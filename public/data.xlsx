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D:\oroh\Documents\Personnel\Programmes\application_herve\app_mots\vocab-app-main_version_actuelle\public\"/>
    </mc:Choice>
  </mc:AlternateContent>
  <xr:revisionPtr revIDLastSave="0" documentId="13_ncr:1_{3F7373B0-DC57-42E0-8445-4F091988CFFF}" xr6:coauthVersionLast="36" xr6:coauthVersionMax="36" xr10:uidLastSave="{00000000-0000-0000-0000-000000000000}"/>
  <bookViews>
    <workbookView xWindow="0" yWindow="0" windowWidth="23040" windowHeight="8472" activeTab="2" xr2:uid="{00000000-000D-0000-FFFF-FFFF00000000}"/>
  </bookViews>
  <sheets>
    <sheet name="Catégories" sheetId="1" r:id="rId1"/>
    <sheet name="Sous-catégories" sheetId="2" r:id="rId2"/>
    <sheet name="Mots" sheetId="3" r:id="rId3"/>
    <sheet name="Liens" sheetId="4" r:id="rId4"/>
    <sheet name="Référence" sheetId="5" r:id="rId5"/>
    <sheet name="Validation" sheetId="6" r:id="rId6"/>
    <sheet name="Classement" sheetId="7" r:id="rId7"/>
    <sheet name="Tags_liste" sheetId="8" r:id="rId8"/>
    <sheet name="Tags" sheetId="9" r:id="rId9"/>
    <sheet name="Synonymes" sheetId="10" r:id="rId10"/>
    <sheet name="Phrases" sheetId="11" r:id="rId11"/>
    <sheet name="Listes_ref" sheetId="12" r:id="rId12"/>
    <sheet name="Listes" sheetId="13" r:id="rId13"/>
    <sheet name="Natures" sheetId="14" r:id="rId14"/>
    <sheet name="Revue_tags" sheetId="15" r:id="rId15"/>
    <sheet name="Suivi" sheetId="16" r:id="rId16"/>
  </sheets>
  <definedNames>
    <definedName name="_xlnm._FilterDatabase" localSheetId="6" hidden="1">Classement!$A$1:$F$1444</definedName>
    <definedName name="_xlnm._FilterDatabase" localSheetId="3" hidden="1">Liens!$A$1:$J$1025</definedName>
    <definedName name="_xlnm._FilterDatabase" localSheetId="2" hidden="1">Mots!$A$1:$N$1458</definedName>
    <definedName name="_xlnm._FilterDatabase" localSheetId="14" hidden="1">Revue_tags!$A$1:$G$79</definedName>
    <definedName name="_xlnm._FilterDatabase" localSheetId="15" hidden="1">Suivi!$A$1:$J$1419</definedName>
    <definedName name="_xlnm._FilterDatabase" localSheetId="9" hidden="1">Synonymes!$A$1:$E$1</definedName>
    <definedName name="liste_categories_id">Catégories!$A$2:$A$218</definedName>
    <definedName name="liste_listes">Listes_ref!$A$2:$A$205</definedName>
    <definedName name="liste_natures">Natures!$A$2:$A$19</definedName>
    <definedName name="liste_sous_categories_id">'Sous-catégories'!$A$2:$A$275</definedName>
    <definedName name="liste_tags">Tags_liste!$B$2:$B$223</definedName>
  </definedNames>
  <calcPr calcId="191029"/>
</workbook>
</file>

<file path=xl/calcChain.xml><?xml version="1.0" encoding="utf-8"?>
<calcChain xmlns="http://schemas.openxmlformats.org/spreadsheetml/2006/main">
  <c r="B1442" i="7" l="1"/>
  <c r="B1443" i="7"/>
  <c r="B1444" i="7"/>
  <c r="B1441" i="7"/>
  <c r="B1440" i="7"/>
  <c r="B1439" i="7"/>
  <c r="B1438" i="7"/>
  <c r="B1437" i="7"/>
  <c r="B1436" i="7"/>
  <c r="B1435" i="7"/>
  <c r="B1434" i="7"/>
  <c r="B1433" i="7"/>
  <c r="B1432" i="7"/>
  <c r="B1431" i="7"/>
  <c r="B1430" i="7"/>
  <c r="B1429" i="7"/>
  <c r="B1428" i="7"/>
  <c r="B1427" i="7"/>
  <c r="B1426" i="7"/>
  <c r="B1425" i="7"/>
  <c r="B1424" i="7"/>
  <c r="B1423" i="7"/>
  <c r="B1422" i="7"/>
  <c r="B1421" i="7"/>
  <c r="B1420" i="7"/>
  <c r="B1419" i="7"/>
  <c r="B1418" i="7"/>
  <c r="B1417" i="7"/>
  <c r="B1416" i="7"/>
  <c r="B1415" i="7"/>
  <c r="B1414" i="7"/>
  <c r="B1413" i="7"/>
  <c r="B1412" i="7"/>
  <c r="B1411" i="7"/>
  <c r="B1410" i="7"/>
  <c r="B1409" i="7"/>
  <c r="B1408" i="7"/>
  <c r="B1407" i="7"/>
  <c r="B1406" i="7"/>
  <c r="B1405" i="7"/>
  <c r="B1404" i="7"/>
  <c r="B1403" i="7"/>
  <c r="B1402" i="7"/>
  <c r="B1401" i="7"/>
  <c r="B1400" i="7"/>
  <c r="B1399" i="7"/>
  <c r="B1398" i="7"/>
  <c r="B1397" i="7"/>
  <c r="B1396" i="7"/>
  <c r="B1395" i="7"/>
  <c r="B1394" i="7"/>
  <c r="B1393" i="7"/>
  <c r="B1392" i="7"/>
  <c r="B1391" i="7"/>
  <c r="B1390" i="7"/>
  <c r="B1389" i="7"/>
  <c r="B1388" i="7"/>
  <c r="B1387" i="7"/>
  <c r="B1386" i="7"/>
  <c r="B1385" i="7"/>
  <c r="B1384" i="7"/>
  <c r="B1383" i="7"/>
  <c r="B1382" i="7"/>
  <c r="B1381" i="7"/>
  <c r="B1380" i="7"/>
  <c r="B1379" i="7"/>
  <c r="B1378" i="7"/>
  <c r="B1377" i="7"/>
  <c r="B1376" i="7"/>
  <c r="B1375" i="7"/>
  <c r="B1374" i="7"/>
  <c r="B1373" i="7"/>
  <c r="B1372" i="7"/>
  <c r="B1371" i="7"/>
  <c r="B1370" i="7"/>
  <c r="B1369" i="7"/>
  <c r="B1368" i="7"/>
  <c r="B1367" i="7"/>
  <c r="B1366" i="7"/>
  <c r="B1365" i="7"/>
  <c r="B1364" i="7"/>
  <c r="B1363" i="7"/>
  <c r="B1362"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9" i="7"/>
  <c r="B1028" i="7"/>
  <c r="B1027" i="7"/>
  <c r="B1026" i="7"/>
  <c r="B1025" i="7"/>
  <c r="B1024" i="7"/>
  <c r="B1023" i="7"/>
  <c r="B1022" i="7"/>
  <c r="B1021" i="7"/>
  <c r="B1020" i="7"/>
  <c r="B1019" i="7"/>
  <c r="B1018" i="7"/>
  <c r="B1017" i="7"/>
  <c r="B1016" i="7"/>
  <c r="B1015" i="7"/>
  <c r="B1014" i="7"/>
  <c r="B1013" i="7"/>
  <c r="B1012" i="7"/>
  <c r="B1011" i="7"/>
  <c r="B1010" i="7"/>
  <c r="B1009" i="7"/>
  <c r="B1008" i="7"/>
  <c r="B1007"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l="1"/>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77" i="10" l="1"/>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F309" i="6" l="1"/>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B10" i="6"/>
  <c r="C10" i="6"/>
  <c r="D10" i="6"/>
  <c r="E10" i="6"/>
  <c r="F10" i="6"/>
  <c r="G10" i="6"/>
  <c r="H10" i="6"/>
  <c r="I10" i="6"/>
  <c r="B11" i="6"/>
  <c r="C11" i="6"/>
  <c r="D11" i="6"/>
  <c r="E11" i="6"/>
  <c r="F11" i="6"/>
  <c r="G11" i="6"/>
  <c r="H11" i="6"/>
  <c r="I11" i="6"/>
  <c r="B12" i="6"/>
  <c r="C12" i="6"/>
  <c r="D12" i="6"/>
  <c r="E12" i="6"/>
  <c r="F12" i="6"/>
  <c r="G12" i="6"/>
  <c r="H12" i="6"/>
  <c r="I12" i="6"/>
  <c r="B13" i="6"/>
  <c r="C13" i="6"/>
  <c r="D13" i="6"/>
  <c r="E13" i="6"/>
  <c r="F13" i="6"/>
  <c r="G13" i="6"/>
  <c r="H13" i="6"/>
  <c r="I13" i="6"/>
  <c r="B14" i="6"/>
  <c r="C14" i="6"/>
  <c r="D14" i="6"/>
  <c r="E14" i="6"/>
  <c r="F14" i="6"/>
  <c r="G14" i="6"/>
  <c r="H14" i="6"/>
  <c r="I14" i="6"/>
  <c r="B15" i="6"/>
  <c r="C15" i="6"/>
  <c r="D15" i="6"/>
  <c r="E15" i="6"/>
  <c r="F15" i="6"/>
  <c r="G15" i="6"/>
  <c r="H15" i="6"/>
  <c r="I15" i="6"/>
  <c r="B16" i="6"/>
  <c r="C16" i="6"/>
  <c r="D16" i="6"/>
  <c r="E16" i="6"/>
  <c r="F16" i="6"/>
  <c r="G16" i="6"/>
  <c r="H16" i="6"/>
  <c r="I16" i="6"/>
  <c r="B17" i="6"/>
  <c r="C17" i="6"/>
  <c r="D17" i="6"/>
  <c r="E17" i="6"/>
  <c r="F17" i="6"/>
  <c r="G17" i="6"/>
  <c r="H17" i="6"/>
  <c r="I17" i="6"/>
  <c r="B18" i="6"/>
  <c r="C18" i="6"/>
  <c r="D18" i="6"/>
  <c r="E18" i="6"/>
  <c r="F18" i="6"/>
  <c r="G18" i="6"/>
  <c r="H18" i="6"/>
  <c r="I18" i="6"/>
  <c r="B19" i="6"/>
  <c r="C19" i="6"/>
  <c r="D19" i="6"/>
  <c r="E19" i="6"/>
  <c r="F19" i="6"/>
  <c r="G19" i="6"/>
  <c r="H19" i="6"/>
  <c r="I19" i="6"/>
  <c r="B20" i="6"/>
  <c r="C20" i="6"/>
  <c r="D20" i="6"/>
  <c r="E20" i="6"/>
  <c r="F20" i="6"/>
  <c r="G20" i="6"/>
  <c r="H20" i="6"/>
  <c r="I20" i="6"/>
  <c r="B21" i="6"/>
  <c r="C21" i="6"/>
  <c r="D21" i="6"/>
  <c r="E21" i="6"/>
  <c r="F21" i="6"/>
  <c r="G21" i="6"/>
  <c r="H21" i="6"/>
  <c r="I21" i="6"/>
  <c r="B22" i="6"/>
  <c r="C22" i="6"/>
  <c r="D22" i="6"/>
  <c r="E22" i="6"/>
  <c r="F22" i="6"/>
  <c r="G22" i="6"/>
  <c r="H22" i="6"/>
  <c r="I22" i="6"/>
  <c r="B23" i="6"/>
  <c r="C23" i="6"/>
  <c r="D23" i="6"/>
  <c r="E23" i="6"/>
  <c r="F23" i="6"/>
  <c r="G23" i="6"/>
  <c r="H23" i="6"/>
  <c r="I23" i="6"/>
  <c r="B24" i="6"/>
  <c r="C24" i="6"/>
  <c r="D24" i="6"/>
  <c r="E24" i="6"/>
  <c r="F24" i="6"/>
  <c r="G24" i="6"/>
  <c r="H24" i="6"/>
  <c r="I24" i="6"/>
  <c r="B25" i="6"/>
  <c r="C25" i="6"/>
  <c r="D25" i="6"/>
  <c r="E25" i="6"/>
  <c r="F25" i="6"/>
  <c r="G25" i="6"/>
  <c r="H25" i="6"/>
  <c r="I25" i="6"/>
  <c r="B26" i="6"/>
  <c r="C26" i="6"/>
  <c r="D26" i="6"/>
  <c r="E26" i="6"/>
  <c r="F26" i="6"/>
  <c r="G26" i="6"/>
  <c r="H26" i="6"/>
  <c r="I26" i="6"/>
  <c r="B27" i="6"/>
  <c r="C27" i="6"/>
  <c r="D27" i="6"/>
  <c r="E27" i="6"/>
  <c r="F27" i="6"/>
  <c r="G27" i="6"/>
  <c r="H27" i="6"/>
  <c r="I27" i="6"/>
  <c r="B28" i="6"/>
  <c r="C28" i="6"/>
  <c r="D28" i="6"/>
  <c r="E28" i="6"/>
  <c r="F28" i="6"/>
  <c r="G28" i="6"/>
  <c r="H28" i="6"/>
  <c r="I28" i="6"/>
  <c r="B29" i="6"/>
  <c r="C29" i="6"/>
  <c r="D29" i="6"/>
  <c r="E29" i="6"/>
  <c r="F29" i="6"/>
  <c r="G29" i="6"/>
  <c r="H29" i="6"/>
  <c r="I29" i="6"/>
  <c r="B30" i="6"/>
  <c r="C30" i="6"/>
  <c r="D30" i="6"/>
  <c r="E30" i="6"/>
  <c r="F30" i="6"/>
  <c r="G30" i="6"/>
  <c r="H30" i="6"/>
  <c r="I30" i="6"/>
  <c r="B31" i="6"/>
  <c r="C31" i="6"/>
  <c r="D31" i="6"/>
  <c r="E31" i="6"/>
  <c r="F31" i="6"/>
  <c r="G31" i="6"/>
  <c r="H31" i="6"/>
  <c r="I31" i="6"/>
  <c r="B32" i="6"/>
  <c r="C32" i="6"/>
  <c r="D32" i="6"/>
  <c r="E32" i="6"/>
  <c r="F32" i="6"/>
  <c r="G32" i="6"/>
  <c r="H32" i="6"/>
  <c r="I32" i="6"/>
  <c r="B33" i="6"/>
  <c r="C33" i="6"/>
  <c r="D33" i="6"/>
  <c r="E33" i="6"/>
  <c r="F33" i="6"/>
  <c r="G33" i="6"/>
  <c r="H33" i="6"/>
  <c r="I33" i="6"/>
  <c r="B34" i="6"/>
  <c r="C34" i="6"/>
  <c r="D34" i="6"/>
  <c r="E34" i="6"/>
  <c r="F34" i="6"/>
  <c r="G34" i="6"/>
  <c r="H34" i="6"/>
  <c r="I34" i="6"/>
  <c r="B35" i="6"/>
  <c r="C35" i="6"/>
  <c r="D35" i="6"/>
  <c r="E35" i="6"/>
  <c r="F35" i="6"/>
  <c r="G35" i="6"/>
  <c r="H35" i="6"/>
  <c r="I35" i="6"/>
  <c r="B36" i="6"/>
  <c r="C36" i="6"/>
  <c r="D36" i="6"/>
  <c r="E36" i="6"/>
  <c r="F36" i="6"/>
  <c r="G36" i="6"/>
  <c r="H36" i="6"/>
  <c r="I36" i="6"/>
  <c r="B37" i="6"/>
  <c r="C37" i="6"/>
  <c r="D37" i="6"/>
  <c r="E37" i="6"/>
  <c r="F37" i="6"/>
  <c r="G37" i="6"/>
  <c r="H37" i="6"/>
  <c r="I37" i="6"/>
  <c r="B38" i="6"/>
  <c r="C38" i="6"/>
  <c r="D38" i="6"/>
  <c r="E38" i="6"/>
  <c r="F38" i="6"/>
  <c r="G38" i="6"/>
  <c r="H38" i="6"/>
  <c r="I38" i="6"/>
  <c r="B39" i="6"/>
  <c r="C39" i="6"/>
  <c r="D39" i="6"/>
  <c r="E39" i="6"/>
  <c r="F39" i="6"/>
  <c r="G39" i="6"/>
  <c r="H39" i="6"/>
  <c r="I39" i="6"/>
  <c r="B40" i="6"/>
  <c r="C40" i="6"/>
  <c r="D40" i="6"/>
  <c r="E40" i="6"/>
  <c r="F40" i="6"/>
  <c r="G40" i="6"/>
  <c r="H40" i="6"/>
  <c r="I40" i="6"/>
  <c r="B41" i="6"/>
  <c r="C41" i="6"/>
  <c r="D41" i="6"/>
  <c r="E41" i="6"/>
  <c r="F41" i="6"/>
  <c r="G41" i="6"/>
  <c r="H41" i="6"/>
  <c r="I41" i="6"/>
  <c r="B42" i="6"/>
  <c r="C42" i="6"/>
  <c r="D42" i="6"/>
  <c r="E42" i="6"/>
  <c r="F42" i="6"/>
  <c r="G42" i="6"/>
  <c r="H42" i="6"/>
  <c r="I42" i="6"/>
  <c r="B43" i="6"/>
  <c r="C43" i="6"/>
  <c r="D43" i="6"/>
  <c r="E43" i="6"/>
  <c r="F43" i="6"/>
  <c r="G43" i="6"/>
  <c r="H43" i="6"/>
  <c r="I43" i="6"/>
  <c r="B44" i="6"/>
  <c r="C44" i="6"/>
  <c r="D44" i="6"/>
  <c r="E44" i="6"/>
  <c r="F44" i="6"/>
  <c r="G44" i="6"/>
  <c r="H44" i="6"/>
  <c r="I44" i="6"/>
  <c r="B45" i="6"/>
  <c r="C45" i="6"/>
  <c r="D45" i="6"/>
  <c r="E45" i="6"/>
  <c r="F45" i="6"/>
  <c r="G45" i="6"/>
  <c r="H45" i="6"/>
  <c r="I45" i="6"/>
  <c r="B46" i="6"/>
  <c r="C46" i="6"/>
  <c r="D46" i="6"/>
  <c r="E46" i="6"/>
  <c r="F46" i="6"/>
  <c r="G46" i="6"/>
  <c r="H46" i="6"/>
  <c r="I46" i="6"/>
  <c r="B47" i="6"/>
  <c r="C47" i="6"/>
  <c r="D47" i="6"/>
  <c r="E47" i="6"/>
  <c r="F47" i="6"/>
  <c r="G47" i="6"/>
  <c r="H47" i="6"/>
  <c r="I47" i="6"/>
  <c r="B48" i="6"/>
  <c r="C48" i="6"/>
  <c r="D48" i="6"/>
  <c r="E48" i="6"/>
  <c r="F48" i="6"/>
  <c r="G48" i="6"/>
  <c r="H48" i="6"/>
  <c r="I48" i="6"/>
  <c r="B49" i="6"/>
  <c r="C49" i="6"/>
  <c r="D49" i="6"/>
  <c r="E49" i="6"/>
  <c r="F49" i="6"/>
  <c r="G49" i="6"/>
  <c r="H49" i="6"/>
  <c r="I49" i="6"/>
  <c r="B50" i="6"/>
  <c r="C50" i="6"/>
  <c r="D50" i="6"/>
  <c r="E50" i="6"/>
  <c r="F50" i="6"/>
  <c r="G50" i="6"/>
  <c r="H50" i="6"/>
  <c r="I50" i="6"/>
  <c r="B51" i="6"/>
  <c r="C51" i="6"/>
  <c r="D51" i="6"/>
  <c r="E51" i="6"/>
  <c r="F51" i="6"/>
  <c r="G51" i="6"/>
  <c r="H51" i="6"/>
  <c r="I51" i="6"/>
  <c r="B52" i="6"/>
  <c r="C52" i="6"/>
  <c r="D52" i="6"/>
  <c r="E52" i="6"/>
  <c r="F52" i="6"/>
  <c r="G52" i="6"/>
  <c r="H52" i="6"/>
  <c r="I52" i="6"/>
  <c r="B53" i="6"/>
  <c r="C53" i="6"/>
  <c r="D53" i="6"/>
  <c r="E53" i="6"/>
  <c r="F53" i="6"/>
  <c r="G53" i="6"/>
  <c r="H53" i="6"/>
  <c r="I53" i="6"/>
  <c r="B54" i="6"/>
  <c r="C54" i="6"/>
  <c r="D54" i="6"/>
  <c r="E54" i="6"/>
  <c r="F54" i="6"/>
  <c r="G54" i="6"/>
  <c r="H54" i="6"/>
  <c r="I54" i="6"/>
  <c r="B55" i="6"/>
  <c r="C55" i="6"/>
  <c r="D55" i="6"/>
  <c r="E55" i="6"/>
  <c r="F55" i="6"/>
  <c r="G55" i="6"/>
  <c r="H55" i="6"/>
  <c r="I55" i="6"/>
  <c r="B56" i="6"/>
  <c r="C56" i="6"/>
  <c r="D56" i="6"/>
  <c r="E56" i="6"/>
  <c r="F56" i="6"/>
  <c r="G56" i="6"/>
  <c r="H56" i="6"/>
  <c r="I56" i="6"/>
  <c r="B57" i="6"/>
  <c r="C57" i="6"/>
  <c r="D57" i="6"/>
  <c r="E57" i="6"/>
  <c r="F57" i="6"/>
  <c r="G57" i="6"/>
  <c r="H57" i="6"/>
  <c r="I57" i="6"/>
  <c r="B58" i="6"/>
  <c r="C58" i="6"/>
  <c r="D58" i="6"/>
  <c r="E58" i="6"/>
  <c r="F58" i="6"/>
  <c r="G58" i="6"/>
  <c r="H58" i="6"/>
  <c r="I58" i="6"/>
  <c r="B59" i="6"/>
  <c r="C59" i="6"/>
  <c r="D59" i="6"/>
  <c r="E59" i="6"/>
  <c r="F59" i="6"/>
  <c r="G59" i="6"/>
  <c r="H59" i="6"/>
  <c r="I59" i="6"/>
  <c r="B60" i="6"/>
  <c r="C60" i="6"/>
  <c r="D60" i="6"/>
  <c r="E60" i="6"/>
  <c r="F60" i="6"/>
  <c r="G60" i="6"/>
  <c r="H60" i="6"/>
  <c r="I60" i="6"/>
  <c r="B61" i="6"/>
  <c r="C61" i="6"/>
  <c r="D61" i="6"/>
  <c r="E61" i="6"/>
  <c r="F61" i="6"/>
  <c r="G61" i="6"/>
  <c r="H61" i="6"/>
  <c r="I61" i="6"/>
  <c r="B62" i="6"/>
  <c r="C62" i="6"/>
  <c r="D62" i="6"/>
  <c r="E62" i="6"/>
  <c r="F62" i="6"/>
  <c r="G62" i="6"/>
  <c r="H62" i="6"/>
  <c r="I62" i="6"/>
  <c r="B63" i="6"/>
  <c r="C63" i="6"/>
  <c r="D63" i="6"/>
  <c r="E63" i="6"/>
  <c r="F63" i="6"/>
  <c r="G63" i="6"/>
  <c r="H63" i="6"/>
  <c r="I63" i="6"/>
  <c r="B64" i="6"/>
  <c r="C64" i="6"/>
  <c r="D64" i="6"/>
  <c r="E64" i="6"/>
  <c r="F64" i="6"/>
  <c r="G64" i="6"/>
  <c r="H64" i="6"/>
  <c r="I64" i="6"/>
  <c r="B65" i="6"/>
  <c r="C65" i="6"/>
  <c r="D65" i="6"/>
  <c r="E65" i="6"/>
  <c r="F65" i="6"/>
  <c r="G65" i="6"/>
  <c r="H65" i="6"/>
  <c r="I65" i="6"/>
  <c r="B66" i="6"/>
  <c r="C66" i="6"/>
  <c r="D66" i="6"/>
  <c r="E66" i="6"/>
  <c r="F66" i="6"/>
  <c r="G66" i="6"/>
  <c r="H66" i="6"/>
  <c r="I66" i="6"/>
  <c r="B67" i="6"/>
  <c r="C67" i="6"/>
  <c r="D67" i="6"/>
  <c r="E67" i="6"/>
  <c r="F67" i="6"/>
  <c r="G67" i="6"/>
  <c r="H67" i="6"/>
  <c r="I67" i="6"/>
  <c r="B68" i="6"/>
  <c r="C68" i="6"/>
  <c r="D68" i="6"/>
  <c r="E68" i="6"/>
  <c r="F68" i="6"/>
  <c r="G68" i="6"/>
  <c r="H68" i="6"/>
  <c r="I68" i="6"/>
  <c r="B69" i="6"/>
  <c r="C69" i="6"/>
  <c r="D69" i="6"/>
  <c r="E69" i="6"/>
  <c r="F69" i="6"/>
  <c r="G69" i="6"/>
  <c r="H69" i="6"/>
  <c r="I69" i="6"/>
  <c r="B70" i="6"/>
  <c r="C70" i="6"/>
  <c r="D70" i="6"/>
  <c r="E70" i="6"/>
  <c r="F70" i="6"/>
  <c r="G70" i="6"/>
  <c r="H70" i="6"/>
  <c r="I70" i="6"/>
  <c r="B71" i="6"/>
  <c r="C71" i="6"/>
  <c r="D71" i="6"/>
  <c r="E71" i="6"/>
  <c r="F71" i="6"/>
  <c r="G71" i="6"/>
  <c r="H71" i="6"/>
  <c r="I71" i="6"/>
  <c r="B72" i="6"/>
  <c r="C72" i="6"/>
  <c r="D72" i="6"/>
  <c r="E72" i="6"/>
  <c r="F72" i="6"/>
  <c r="G72" i="6"/>
  <c r="H72" i="6"/>
  <c r="I72" i="6"/>
  <c r="B73" i="6"/>
  <c r="C73" i="6"/>
  <c r="D73" i="6"/>
  <c r="E73" i="6"/>
  <c r="F73" i="6"/>
  <c r="G73" i="6"/>
  <c r="H73" i="6"/>
  <c r="I73" i="6"/>
  <c r="B74" i="6"/>
  <c r="C74" i="6"/>
  <c r="D74" i="6"/>
  <c r="E74" i="6"/>
  <c r="F74" i="6"/>
  <c r="G74" i="6"/>
  <c r="H74" i="6"/>
  <c r="I74" i="6"/>
  <c r="B75" i="6"/>
  <c r="C75" i="6"/>
  <c r="D75" i="6"/>
  <c r="E75" i="6"/>
  <c r="F75" i="6"/>
  <c r="G75" i="6"/>
  <c r="H75" i="6"/>
  <c r="I75" i="6"/>
  <c r="B76" i="6"/>
  <c r="C76" i="6"/>
  <c r="D76" i="6"/>
  <c r="E76" i="6"/>
  <c r="F76" i="6"/>
  <c r="G76" i="6"/>
  <c r="H76" i="6"/>
  <c r="I76" i="6"/>
  <c r="B77" i="6"/>
  <c r="C77" i="6"/>
  <c r="D77" i="6"/>
  <c r="E77" i="6"/>
  <c r="F77" i="6"/>
  <c r="G77" i="6"/>
  <c r="H77" i="6"/>
  <c r="I77" i="6"/>
  <c r="B78" i="6"/>
  <c r="C78" i="6"/>
  <c r="D78" i="6"/>
  <c r="E78" i="6"/>
  <c r="F78" i="6"/>
  <c r="G78" i="6"/>
  <c r="H78" i="6"/>
  <c r="I78" i="6"/>
  <c r="B79" i="6"/>
  <c r="C79" i="6"/>
  <c r="D79" i="6"/>
  <c r="E79" i="6"/>
  <c r="F79" i="6"/>
  <c r="G79" i="6"/>
  <c r="H79" i="6"/>
  <c r="I79" i="6"/>
  <c r="B80" i="6"/>
  <c r="C80" i="6"/>
  <c r="D80" i="6"/>
  <c r="E80" i="6"/>
  <c r="F80" i="6"/>
  <c r="G80" i="6"/>
  <c r="H80" i="6"/>
  <c r="I80" i="6"/>
  <c r="B81" i="6"/>
  <c r="C81" i="6"/>
  <c r="D81" i="6"/>
  <c r="E81" i="6"/>
  <c r="F81" i="6"/>
  <c r="G81" i="6"/>
  <c r="H81" i="6"/>
  <c r="I81" i="6"/>
  <c r="B82" i="6"/>
  <c r="C82" i="6"/>
  <c r="D82" i="6"/>
  <c r="E82" i="6"/>
  <c r="F82" i="6"/>
  <c r="G82" i="6"/>
  <c r="H82" i="6"/>
  <c r="I82" i="6"/>
  <c r="B83" i="6"/>
  <c r="C83" i="6"/>
  <c r="D83" i="6"/>
  <c r="E83" i="6"/>
  <c r="F83" i="6"/>
  <c r="G83" i="6"/>
  <c r="H83" i="6"/>
  <c r="I83" i="6"/>
  <c r="B84" i="6"/>
  <c r="C84" i="6"/>
  <c r="D84" i="6"/>
  <c r="E84" i="6"/>
  <c r="F84" i="6"/>
  <c r="G84" i="6"/>
  <c r="H84" i="6"/>
  <c r="I84" i="6"/>
  <c r="B85" i="6"/>
  <c r="C85" i="6"/>
  <c r="D85" i="6"/>
  <c r="E85" i="6"/>
  <c r="F85" i="6"/>
  <c r="G85" i="6"/>
  <c r="H85" i="6"/>
  <c r="I85" i="6"/>
  <c r="B86" i="6"/>
  <c r="C86" i="6"/>
  <c r="D86" i="6"/>
  <c r="E86" i="6"/>
  <c r="F86" i="6"/>
  <c r="G86" i="6"/>
  <c r="H86" i="6"/>
  <c r="I86" i="6"/>
  <c r="B87" i="6"/>
  <c r="C87" i="6"/>
  <c r="D87" i="6"/>
  <c r="E87" i="6"/>
  <c r="F87" i="6"/>
  <c r="G87" i="6"/>
  <c r="H87" i="6"/>
  <c r="I87" i="6"/>
  <c r="B88" i="6"/>
  <c r="C88" i="6"/>
  <c r="D88" i="6"/>
  <c r="E88" i="6"/>
  <c r="F88" i="6"/>
  <c r="G88" i="6"/>
  <c r="H88" i="6"/>
  <c r="I88" i="6"/>
  <c r="B89" i="6"/>
  <c r="C89" i="6"/>
  <c r="D89" i="6"/>
  <c r="E89" i="6"/>
  <c r="F89" i="6"/>
  <c r="G89" i="6"/>
  <c r="H89" i="6"/>
  <c r="I89" i="6"/>
  <c r="B90" i="6"/>
  <c r="C90" i="6"/>
  <c r="D90" i="6"/>
  <c r="E90" i="6"/>
  <c r="F90" i="6"/>
  <c r="G90" i="6"/>
  <c r="H90" i="6"/>
  <c r="I90" i="6"/>
  <c r="B91" i="6"/>
  <c r="C91" i="6"/>
  <c r="D91" i="6"/>
  <c r="E91" i="6"/>
  <c r="F91" i="6"/>
  <c r="G91" i="6"/>
  <c r="H91" i="6"/>
  <c r="I91" i="6"/>
  <c r="B92" i="6"/>
  <c r="C92" i="6"/>
  <c r="D92" i="6"/>
  <c r="E92" i="6"/>
  <c r="F92" i="6"/>
  <c r="G92" i="6"/>
  <c r="H92" i="6"/>
  <c r="I92" i="6"/>
  <c r="B93" i="6"/>
  <c r="C93" i="6"/>
  <c r="D93" i="6"/>
  <c r="E93" i="6"/>
  <c r="F93" i="6"/>
  <c r="G93" i="6"/>
  <c r="H93" i="6"/>
  <c r="I93" i="6"/>
  <c r="B94" i="6"/>
  <c r="C94" i="6"/>
  <c r="D94" i="6"/>
  <c r="E94" i="6"/>
  <c r="F94" i="6"/>
  <c r="G94" i="6"/>
  <c r="H94" i="6"/>
  <c r="I94" i="6"/>
  <c r="B95" i="6"/>
  <c r="C95" i="6"/>
  <c r="D95" i="6"/>
  <c r="E95" i="6"/>
  <c r="F95" i="6"/>
  <c r="G95" i="6"/>
  <c r="H95" i="6"/>
  <c r="I95" i="6"/>
  <c r="B96" i="6"/>
  <c r="C96" i="6"/>
  <c r="D96" i="6"/>
  <c r="E96" i="6"/>
  <c r="F96" i="6"/>
  <c r="G96" i="6"/>
  <c r="H96" i="6"/>
  <c r="I96" i="6"/>
  <c r="B97" i="6"/>
  <c r="C97" i="6"/>
  <c r="D97" i="6"/>
  <c r="E97" i="6"/>
  <c r="F97" i="6"/>
  <c r="G97" i="6"/>
  <c r="H97" i="6"/>
  <c r="I97" i="6"/>
  <c r="B98" i="6"/>
  <c r="C98" i="6"/>
  <c r="D98" i="6"/>
  <c r="E98" i="6"/>
  <c r="F98" i="6"/>
  <c r="G98" i="6"/>
  <c r="H98" i="6"/>
  <c r="I98" i="6"/>
  <c r="B99" i="6"/>
  <c r="C99" i="6"/>
  <c r="D99" i="6"/>
  <c r="E99" i="6"/>
  <c r="F99" i="6"/>
  <c r="G99" i="6"/>
  <c r="H99" i="6"/>
  <c r="I99" i="6"/>
  <c r="B100" i="6"/>
  <c r="C100" i="6"/>
  <c r="D100" i="6"/>
  <c r="E100" i="6"/>
  <c r="F100" i="6"/>
  <c r="G100" i="6"/>
  <c r="H100" i="6"/>
  <c r="I100" i="6"/>
  <c r="B101" i="6"/>
  <c r="C101" i="6"/>
  <c r="D101" i="6"/>
  <c r="E101" i="6"/>
  <c r="F101" i="6"/>
  <c r="G101" i="6"/>
  <c r="H101" i="6"/>
  <c r="I101" i="6"/>
  <c r="B102" i="6"/>
  <c r="C102" i="6"/>
  <c r="D102" i="6"/>
  <c r="E102" i="6"/>
  <c r="F102" i="6"/>
  <c r="G102" i="6"/>
  <c r="H102" i="6"/>
  <c r="I102" i="6"/>
  <c r="B103" i="6"/>
  <c r="C103" i="6"/>
  <c r="D103" i="6"/>
  <c r="E103" i="6"/>
  <c r="F103" i="6"/>
  <c r="G103" i="6"/>
  <c r="H103" i="6"/>
  <c r="I103" i="6"/>
  <c r="B104" i="6"/>
  <c r="C104" i="6"/>
  <c r="D104" i="6"/>
  <c r="E104" i="6"/>
  <c r="F104" i="6"/>
  <c r="G104" i="6"/>
  <c r="H104" i="6"/>
  <c r="I104" i="6"/>
  <c r="B105" i="6"/>
  <c r="C105" i="6"/>
  <c r="D105" i="6"/>
  <c r="E105" i="6"/>
  <c r="F105" i="6"/>
  <c r="G105" i="6"/>
  <c r="H105" i="6"/>
  <c r="I105" i="6"/>
  <c r="B106" i="6"/>
  <c r="C106" i="6"/>
  <c r="D106" i="6"/>
  <c r="E106" i="6"/>
  <c r="F106" i="6"/>
  <c r="G106" i="6"/>
  <c r="H106" i="6"/>
  <c r="I106" i="6"/>
  <c r="B107" i="6"/>
  <c r="C107" i="6"/>
  <c r="D107" i="6"/>
  <c r="E107" i="6"/>
  <c r="F107" i="6"/>
  <c r="G107" i="6"/>
  <c r="H107" i="6"/>
  <c r="I107" i="6"/>
  <c r="B108" i="6"/>
  <c r="C108" i="6"/>
  <c r="D108" i="6"/>
  <c r="E108" i="6"/>
  <c r="F108" i="6"/>
  <c r="G108" i="6"/>
  <c r="H108" i="6"/>
  <c r="I108" i="6"/>
  <c r="B109" i="6"/>
  <c r="C109" i="6"/>
  <c r="D109" i="6"/>
  <c r="E109" i="6"/>
  <c r="F109" i="6"/>
  <c r="G109" i="6"/>
  <c r="H109" i="6"/>
  <c r="I109" i="6"/>
  <c r="B110" i="6"/>
  <c r="C110" i="6"/>
  <c r="D110" i="6"/>
  <c r="E110" i="6"/>
  <c r="F110" i="6"/>
  <c r="G110" i="6"/>
  <c r="H110" i="6"/>
  <c r="I110" i="6"/>
  <c r="B111" i="6"/>
  <c r="C111" i="6"/>
  <c r="D111" i="6"/>
  <c r="E111" i="6"/>
  <c r="F111" i="6"/>
  <c r="G111" i="6"/>
  <c r="H111" i="6"/>
  <c r="I111" i="6"/>
  <c r="B112" i="6"/>
  <c r="C112" i="6"/>
  <c r="D112" i="6"/>
  <c r="E112" i="6"/>
  <c r="F112" i="6"/>
  <c r="G112" i="6"/>
  <c r="H112" i="6"/>
  <c r="I112" i="6"/>
  <c r="B113" i="6"/>
  <c r="C113" i="6"/>
  <c r="D113" i="6"/>
  <c r="E113" i="6"/>
  <c r="F113" i="6"/>
  <c r="G113" i="6"/>
  <c r="H113" i="6"/>
  <c r="I113" i="6"/>
  <c r="B114" i="6"/>
  <c r="C114" i="6"/>
  <c r="D114" i="6"/>
  <c r="E114" i="6"/>
  <c r="F114" i="6"/>
  <c r="G114" i="6"/>
  <c r="H114" i="6"/>
  <c r="I114" i="6"/>
  <c r="B115" i="6"/>
  <c r="C115" i="6"/>
  <c r="D115" i="6"/>
  <c r="E115" i="6"/>
  <c r="F115" i="6"/>
  <c r="G115" i="6"/>
  <c r="H115" i="6"/>
  <c r="I115" i="6"/>
  <c r="B116" i="6"/>
  <c r="C116" i="6"/>
  <c r="D116" i="6"/>
  <c r="E116" i="6"/>
  <c r="F116" i="6"/>
  <c r="G116" i="6"/>
  <c r="H116" i="6"/>
  <c r="I116" i="6"/>
  <c r="B117" i="6"/>
  <c r="C117" i="6"/>
  <c r="D117" i="6"/>
  <c r="E117" i="6"/>
  <c r="F117" i="6"/>
  <c r="G117" i="6"/>
  <c r="H117" i="6"/>
  <c r="I117" i="6"/>
  <c r="B118" i="6"/>
  <c r="C118" i="6"/>
  <c r="D118" i="6"/>
  <c r="E118" i="6"/>
  <c r="F118" i="6"/>
  <c r="G118" i="6"/>
  <c r="H118" i="6"/>
  <c r="I118" i="6"/>
  <c r="B119" i="6"/>
  <c r="C119" i="6"/>
  <c r="D119" i="6"/>
  <c r="E119" i="6"/>
  <c r="F119" i="6"/>
  <c r="G119" i="6"/>
  <c r="H119" i="6"/>
  <c r="I119" i="6"/>
  <c r="B120" i="6"/>
  <c r="C120" i="6"/>
  <c r="D120" i="6"/>
  <c r="E120" i="6"/>
  <c r="F120" i="6"/>
  <c r="G120" i="6"/>
  <c r="H120" i="6"/>
  <c r="I120" i="6"/>
  <c r="B121" i="6"/>
  <c r="C121" i="6"/>
  <c r="D121" i="6"/>
  <c r="E121" i="6"/>
  <c r="F121" i="6"/>
  <c r="G121" i="6"/>
  <c r="H121" i="6"/>
  <c r="I121" i="6"/>
  <c r="B122" i="6"/>
  <c r="C122" i="6"/>
  <c r="D122" i="6"/>
  <c r="E122" i="6"/>
  <c r="F122" i="6"/>
  <c r="G122" i="6"/>
  <c r="H122" i="6"/>
  <c r="I122" i="6"/>
  <c r="B123" i="6"/>
  <c r="C123" i="6"/>
  <c r="D123" i="6"/>
  <c r="E123" i="6"/>
  <c r="F123" i="6"/>
  <c r="G123" i="6"/>
  <c r="H123" i="6"/>
  <c r="I123" i="6"/>
  <c r="B124" i="6"/>
  <c r="C124" i="6"/>
  <c r="D124" i="6"/>
  <c r="E124" i="6"/>
  <c r="F124" i="6"/>
  <c r="G124" i="6"/>
  <c r="H124" i="6"/>
  <c r="I124" i="6"/>
  <c r="B125" i="6"/>
  <c r="C125" i="6"/>
  <c r="D125" i="6"/>
  <c r="E125" i="6"/>
  <c r="F125" i="6"/>
  <c r="G125" i="6"/>
  <c r="H125" i="6"/>
  <c r="I125" i="6"/>
  <c r="B126" i="6"/>
  <c r="C126" i="6"/>
  <c r="D126" i="6"/>
  <c r="E126" i="6"/>
  <c r="F126" i="6"/>
  <c r="G126" i="6"/>
  <c r="H126" i="6"/>
  <c r="I126" i="6"/>
  <c r="B127" i="6"/>
  <c r="C127" i="6"/>
  <c r="D127" i="6"/>
  <c r="E127" i="6"/>
  <c r="F127" i="6"/>
  <c r="G127" i="6"/>
  <c r="H127" i="6"/>
  <c r="I127" i="6"/>
  <c r="B128" i="6"/>
  <c r="C128" i="6"/>
  <c r="D128" i="6"/>
  <c r="E128" i="6"/>
  <c r="F128" i="6"/>
  <c r="G128" i="6"/>
  <c r="H128" i="6"/>
  <c r="I128" i="6"/>
  <c r="B129" i="6"/>
  <c r="C129" i="6"/>
  <c r="D129" i="6"/>
  <c r="E129" i="6"/>
  <c r="F129" i="6"/>
  <c r="G129" i="6"/>
  <c r="H129" i="6"/>
  <c r="I129" i="6"/>
  <c r="B130" i="6"/>
  <c r="C130" i="6"/>
  <c r="D130" i="6"/>
  <c r="E130" i="6"/>
  <c r="F130" i="6"/>
  <c r="G130" i="6"/>
  <c r="H130" i="6"/>
  <c r="I130" i="6"/>
  <c r="B131" i="6"/>
  <c r="C131" i="6"/>
  <c r="D131" i="6"/>
  <c r="E131" i="6"/>
  <c r="F131" i="6"/>
  <c r="G131" i="6"/>
  <c r="H131" i="6"/>
  <c r="I131" i="6"/>
  <c r="B132" i="6"/>
  <c r="C132" i="6"/>
  <c r="D132" i="6"/>
  <c r="E132" i="6"/>
  <c r="F132" i="6"/>
  <c r="G132" i="6"/>
  <c r="H132" i="6"/>
  <c r="I132" i="6"/>
  <c r="B133" i="6"/>
  <c r="C133" i="6"/>
  <c r="D133" i="6"/>
  <c r="E133" i="6"/>
  <c r="F133" i="6"/>
  <c r="G133" i="6"/>
  <c r="H133" i="6"/>
  <c r="I133" i="6"/>
  <c r="B134" i="6"/>
  <c r="C134" i="6"/>
  <c r="D134" i="6"/>
  <c r="E134" i="6"/>
  <c r="F134" i="6"/>
  <c r="G134" i="6"/>
  <c r="H134" i="6"/>
  <c r="I134" i="6"/>
  <c r="B135" i="6"/>
  <c r="C135" i="6"/>
  <c r="D135" i="6"/>
  <c r="E135" i="6"/>
  <c r="F135" i="6"/>
  <c r="G135" i="6"/>
  <c r="H135" i="6"/>
  <c r="I135" i="6"/>
  <c r="B136" i="6"/>
  <c r="C136" i="6"/>
  <c r="D136" i="6"/>
  <c r="E136" i="6"/>
  <c r="F136" i="6"/>
  <c r="G136" i="6"/>
  <c r="H136" i="6"/>
  <c r="I136" i="6"/>
  <c r="B137" i="6"/>
  <c r="C137" i="6"/>
  <c r="D137" i="6"/>
  <c r="E137" i="6"/>
  <c r="F137" i="6"/>
  <c r="G137" i="6"/>
  <c r="H137" i="6"/>
  <c r="I137" i="6"/>
  <c r="B138" i="6"/>
  <c r="C138" i="6"/>
  <c r="D138" i="6"/>
  <c r="E138" i="6"/>
  <c r="F138" i="6"/>
  <c r="G138" i="6"/>
  <c r="H138" i="6"/>
  <c r="I138" i="6"/>
  <c r="B139" i="6"/>
  <c r="C139" i="6"/>
  <c r="D139" i="6"/>
  <c r="E139" i="6"/>
  <c r="F139" i="6"/>
  <c r="G139" i="6"/>
  <c r="H139" i="6"/>
  <c r="I139" i="6"/>
  <c r="B140" i="6"/>
  <c r="C140" i="6"/>
  <c r="D140" i="6"/>
  <c r="E140" i="6"/>
  <c r="F140" i="6"/>
  <c r="G140" i="6"/>
  <c r="H140" i="6"/>
  <c r="I140" i="6"/>
  <c r="B141" i="6"/>
  <c r="C141" i="6"/>
  <c r="D141" i="6"/>
  <c r="E141" i="6"/>
  <c r="F141" i="6"/>
  <c r="G141" i="6"/>
  <c r="H141" i="6"/>
  <c r="I141" i="6"/>
  <c r="B142" i="6"/>
  <c r="C142" i="6"/>
  <c r="D142" i="6"/>
  <c r="E142" i="6"/>
  <c r="F142" i="6"/>
  <c r="G142" i="6"/>
  <c r="H142" i="6"/>
  <c r="I142" i="6"/>
  <c r="B143" i="6"/>
  <c r="C143" i="6"/>
  <c r="D143" i="6"/>
  <c r="E143" i="6"/>
  <c r="F143" i="6"/>
  <c r="G143" i="6"/>
  <c r="H143" i="6"/>
  <c r="I143" i="6"/>
  <c r="B144" i="6"/>
  <c r="C144" i="6"/>
  <c r="D144" i="6"/>
  <c r="E144" i="6"/>
  <c r="F144" i="6"/>
  <c r="G144" i="6"/>
  <c r="H144" i="6"/>
  <c r="I144" i="6"/>
  <c r="B145" i="6"/>
  <c r="C145" i="6"/>
  <c r="D145" i="6"/>
  <c r="E145" i="6"/>
  <c r="F145" i="6"/>
  <c r="G145" i="6"/>
  <c r="H145" i="6"/>
  <c r="I145" i="6"/>
  <c r="B146" i="6"/>
  <c r="C146" i="6"/>
  <c r="D146" i="6"/>
  <c r="E146" i="6"/>
  <c r="F146" i="6"/>
  <c r="G146" i="6"/>
  <c r="H146" i="6"/>
  <c r="I146" i="6"/>
  <c r="B147" i="6"/>
  <c r="C147" i="6"/>
  <c r="D147" i="6"/>
  <c r="E147" i="6"/>
  <c r="F147" i="6"/>
  <c r="G147" i="6"/>
  <c r="H147" i="6"/>
  <c r="I147" i="6"/>
  <c r="B148" i="6"/>
  <c r="C148" i="6"/>
  <c r="D148" i="6"/>
  <c r="E148" i="6"/>
  <c r="F148" i="6"/>
  <c r="G148" i="6"/>
  <c r="H148" i="6"/>
  <c r="I148" i="6"/>
  <c r="B149" i="6"/>
  <c r="C149" i="6"/>
  <c r="D149" i="6"/>
  <c r="E149" i="6"/>
  <c r="F149" i="6"/>
  <c r="G149" i="6"/>
  <c r="H149" i="6"/>
  <c r="I149" i="6"/>
  <c r="B150" i="6"/>
  <c r="C150" i="6"/>
  <c r="D150" i="6"/>
  <c r="E150" i="6"/>
  <c r="F150" i="6"/>
  <c r="G150" i="6"/>
  <c r="H150" i="6"/>
  <c r="I150" i="6"/>
  <c r="B151" i="6"/>
  <c r="C151" i="6"/>
  <c r="D151" i="6"/>
  <c r="E151" i="6"/>
  <c r="F151" i="6"/>
  <c r="G151" i="6"/>
  <c r="H151" i="6"/>
  <c r="I151" i="6"/>
  <c r="B152" i="6"/>
  <c r="C152" i="6"/>
  <c r="D152" i="6"/>
  <c r="E152" i="6"/>
  <c r="F152" i="6"/>
  <c r="G152" i="6"/>
  <c r="H152" i="6"/>
  <c r="I152" i="6"/>
  <c r="B153" i="6"/>
  <c r="C153" i="6"/>
  <c r="D153" i="6"/>
  <c r="E153" i="6"/>
  <c r="F153" i="6"/>
  <c r="G153" i="6"/>
  <c r="H153" i="6"/>
  <c r="I153" i="6"/>
  <c r="B154" i="6"/>
  <c r="C154" i="6"/>
  <c r="D154" i="6"/>
  <c r="E154" i="6"/>
  <c r="F154" i="6"/>
  <c r="G154" i="6"/>
  <c r="H154" i="6"/>
  <c r="I154" i="6"/>
  <c r="B155" i="6"/>
  <c r="C155" i="6"/>
  <c r="D155" i="6"/>
  <c r="E155" i="6"/>
  <c r="F155" i="6"/>
  <c r="G155" i="6"/>
  <c r="H155" i="6"/>
  <c r="I155" i="6"/>
  <c r="B156" i="6"/>
  <c r="C156" i="6"/>
  <c r="D156" i="6"/>
  <c r="E156" i="6"/>
  <c r="F156" i="6"/>
  <c r="G156" i="6"/>
  <c r="H156" i="6"/>
  <c r="I156" i="6"/>
  <c r="B157" i="6"/>
  <c r="C157" i="6"/>
  <c r="D157" i="6"/>
  <c r="E157" i="6"/>
  <c r="F157" i="6"/>
  <c r="G157" i="6"/>
  <c r="H157" i="6"/>
  <c r="I157" i="6"/>
  <c r="B158" i="6"/>
  <c r="C158" i="6"/>
  <c r="D158" i="6"/>
  <c r="E158" i="6"/>
  <c r="F158" i="6"/>
  <c r="G158" i="6"/>
  <c r="H158" i="6"/>
  <c r="I158" i="6"/>
  <c r="B159" i="6"/>
  <c r="C159" i="6"/>
  <c r="D159" i="6"/>
  <c r="E159" i="6"/>
  <c r="F159" i="6"/>
  <c r="G159" i="6"/>
  <c r="H159" i="6"/>
  <c r="I159" i="6"/>
  <c r="B160" i="6"/>
  <c r="C160" i="6"/>
  <c r="D160" i="6"/>
  <c r="E160" i="6"/>
  <c r="F160" i="6"/>
  <c r="G160" i="6"/>
  <c r="H160" i="6"/>
  <c r="I160" i="6"/>
  <c r="B161" i="6"/>
  <c r="C161" i="6"/>
  <c r="D161" i="6"/>
  <c r="E161" i="6"/>
  <c r="F161" i="6"/>
  <c r="G161" i="6"/>
  <c r="H161" i="6"/>
  <c r="I161" i="6"/>
  <c r="B162" i="6"/>
  <c r="C162" i="6"/>
  <c r="D162" i="6"/>
  <c r="E162" i="6"/>
  <c r="F162" i="6"/>
  <c r="G162" i="6"/>
  <c r="H162" i="6"/>
  <c r="I162" i="6"/>
  <c r="B163" i="6"/>
  <c r="C163" i="6"/>
  <c r="D163" i="6"/>
  <c r="E163" i="6"/>
  <c r="F163" i="6"/>
  <c r="G163" i="6"/>
  <c r="H163" i="6"/>
  <c r="I163" i="6"/>
  <c r="B164" i="6"/>
  <c r="C164" i="6"/>
  <c r="D164" i="6"/>
  <c r="E164" i="6"/>
  <c r="F164" i="6"/>
  <c r="G164" i="6"/>
  <c r="H164" i="6"/>
  <c r="I164" i="6"/>
  <c r="B165" i="6"/>
  <c r="C165" i="6"/>
  <c r="D165" i="6"/>
  <c r="E165" i="6"/>
  <c r="F165" i="6"/>
  <c r="G165" i="6"/>
  <c r="H165" i="6"/>
  <c r="I165" i="6"/>
  <c r="B166" i="6"/>
  <c r="C166" i="6"/>
  <c r="D166" i="6"/>
  <c r="E166" i="6"/>
  <c r="F166" i="6"/>
  <c r="G166" i="6"/>
  <c r="H166" i="6"/>
  <c r="I166" i="6"/>
  <c r="B167" i="6"/>
  <c r="C167" i="6"/>
  <c r="D167" i="6"/>
  <c r="E167" i="6"/>
  <c r="F167" i="6"/>
  <c r="G167" i="6"/>
  <c r="H167" i="6"/>
  <c r="I167" i="6"/>
  <c r="B168" i="6"/>
  <c r="C168" i="6"/>
  <c r="D168" i="6"/>
  <c r="E168" i="6"/>
  <c r="F168" i="6"/>
  <c r="G168" i="6"/>
  <c r="H168" i="6"/>
  <c r="I168" i="6"/>
  <c r="B169" i="6"/>
  <c r="C169" i="6"/>
  <c r="D169" i="6"/>
  <c r="E169" i="6"/>
  <c r="F169" i="6"/>
  <c r="G169" i="6"/>
  <c r="H169" i="6"/>
  <c r="I169" i="6"/>
  <c r="B170" i="6"/>
  <c r="C170" i="6"/>
  <c r="D170" i="6"/>
  <c r="E170" i="6"/>
  <c r="F170" i="6"/>
  <c r="G170" i="6"/>
  <c r="H170" i="6"/>
  <c r="I170" i="6"/>
  <c r="B171" i="6"/>
  <c r="C171" i="6"/>
  <c r="D171" i="6"/>
  <c r="E171" i="6"/>
  <c r="F171" i="6"/>
  <c r="G171" i="6"/>
  <c r="H171" i="6"/>
  <c r="I171" i="6"/>
  <c r="B172" i="6"/>
  <c r="C172" i="6"/>
  <c r="D172" i="6"/>
  <c r="E172" i="6"/>
  <c r="F172" i="6"/>
  <c r="G172" i="6"/>
  <c r="H172" i="6"/>
  <c r="I172" i="6"/>
  <c r="B173" i="6"/>
  <c r="C173" i="6"/>
  <c r="D173" i="6"/>
  <c r="E173" i="6"/>
  <c r="F173" i="6"/>
  <c r="G173" i="6"/>
  <c r="H173" i="6"/>
  <c r="I173" i="6"/>
  <c r="B174" i="6"/>
  <c r="C174" i="6"/>
  <c r="D174" i="6"/>
  <c r="E174" i="6"/>
  <c r="F174" i="6"/>
  <c r="G174" i="6"/>
  <c r="H174" i="6"/>
  <c r="I174" i="6"/>
  <c r="B175" i="6"/>
  <c r="C175" i="6"/>
  <c r="D175" i="6"/>
  <c r="E175" i="6"/>
  <c r="F175" i="6"/>
  <c r="G175" i="6"/>
  <c r="H175" i="6"/>
  <c r="I175" i="6"/>
  <c r="B176" i="6"/>
  <c r="C176" i="6"/>
  <c r="D176" i="6"/>
  <c r="E176" i="6"/>
  <c r="F176" i="6"/>
  <c r="G176" i="6"/>
  <c r="H176" i="6"/>
  <c r="I176" i="6"/>
  <c r="B177" i="6"/>
  <c r="C177" i="6"/>
  <c r="D177" i="6"/>
  <c r="E177" i="6"/>
  <c r="F177" i="6"/>
  <c r="G177" i="6"/>
  <c r="H177" i="6"/>
  <c r="I177" i="6"/>
  <c r="B178" i="6"/>
  <c r="C178" i="6"/>
  <c r="D178" i="6"/>
  <c r="E178" i="6"/>
  <c r="F178" i="6"/>
  <c r="G178" i="6"/>
  <c r="H178" i="6"/>
  <c r="I178" i="6"/>
  <c r="B179" i="6"/>
  <c r="C179" i="6"/>
  <c r="D179" i="6"/>
  <c r="E179" i="6"/>
  <c r="F179" i="6"/>
  <c r="G179" i="6"/>
  <c r="H179" i="6"/>
  <c r="I179" i="6"/>
  <c r="B180" i="6"/>
  <c r="C180" i="6"/>
  <c r="D180" i="6"/>
  <c r="E180" i="6"/>
  <c r="F180" i="6"/>
  <c r="G180" i="6"/>
  <c r="H180" i="6"/>
  <c r="I180" i="6"/>
  <c r="B181" i="6"/>
  <c r="C181" i="6"/>
  <c r="D181" i="6"/>
  <c r="E181" i="6"/>
  <c r="F181" i="6"/>
  <c r="G181" i="6"/>
  <c r="H181" i="6"/>
  <c r="I181" i="6"/>
  <c r="B182" i="6"/>
  <c r="C182" i="6"/>
  <c r="D182" i="6"/>
  <c r="E182" i="6"/>
  <c r="F182" i="6"/>
  <c r="G182" i="6"/>
  <c r="H182" i="6"/>
  <c r="I182" i="6"/>
  <c r="B183" i="6"/>
  <c r="C183" i="6"/>
  <c r="D183" i="6"/>
  <c r="E183" i="6"/>
  <c r="F183" i="6"/>
  <c r="G183" i="6"/>
  <c r="H183" i="6"/>
  <c r="I183" i="6"/>
  <c r="B184" i="6"/>
  <c r="C184" i="6"/>
  <c r="D184" i="6"/>
  <c r="E184" i="6"/>
  <c r="F184" i="6"/>
  <c r="G184" i="6"/>
  <c r="H184" i="6"/>
  <c r="I184" i="6"/>
  <c r="B185" i="6"/>
  <c r="C185" i="6"/>
  <c r="D185" i="6"/>
  <c r="E185" i="6"/>
  <c r="F185" i="6"/>
  <c r="G185" i="6"/>
  <c r="H185" i="6"/>
  <c r="I185" i="6"/>
  <c r="B186" i="6"/>
  <c r="C186" i="6"/>
  <c r="D186" i="6"/>
  <c r="E186" i="6"/>
  <c r="F186" i="6"/>
  <c r="G186" i="6"/>
  <c r="H186" i="6"/>
  <c r="I186" i="6"/>
  <c r="B187" i="6"/>
  <c r="C187" i="6"/>
  <c r="D187" i="6"/>
  <c r="E187" i="6"/>
  <c r="F187" i="6"/>
  <c r="G187" i="6"/>
  <c r="H187" i="6"/>
  <c r="I187" i="6"/>
  <c r="B188" i="6"/>
  <c r="C188" i="6"/>
  <c r="D188" i="6"/>
  <c r="E188" i="6"/>
  <c r="F188" i="6"/>
  <c r="G188" i="6"/>
  <c r="H188" i="6"/>
  <c r="I188" i="6"/>
  <c r="B189" i="6"/>
  <c r="C189" i="6"/>
  <c r="D189" i="6"/>
  <c r="E189" i="6"/>
  <c r="F189" i="6"/>
  <c r="G189" i="6"/>
  <c r="H189" i="6"/>
  <c r="I189" i="6"/>
  <c r="B190" i="6"/>
  <c r="C190" i="6"/>
  <c r="D190" i="6"/>
  <c r="E190" i="6"/>
  <c r="F190" i="6"/>
  <c r="G190" i="6"/>
  <c r="H190" i="6"/>
  <c r="I190" i="6"/>
  <c r="B191" i="6"/>
  <c r="C191" i="6"/>
  <c r="D191" i="6"/>
  <c r="E191" i="6"/>
  <c r="F191" i="6"/>
  <c r="G191" i="6"/>
  <c r="H191" i="6"/>
  <c r="I191" i="6"/>
  <c r="B192" i="6"/>
  <c r="C192" i="6"/>
  <c r="D192" i="6"/>
  <c r="E192" i="6"/>
  <c r="F192" i="6"/>
  <c r="G192" i="6"/>
  <c r="H192" i="6"/>
  <c r="I192" i="6"/>
  <c r="B193" i="6"/>
  <c r="C193" i="6"/>
  <c r="D193" i="6"/>
  <c r="E193" i="6"/>
  <c r="F193" i="6"/>
  <c r="G193" i="6"/>
  <c r="H193" i="6"/>
  <c r="I193" i="6"/>
  <c r="B194" i="6"/>
  <c r="C194" i="6"/>
  <c r="D194" i="6"/>
  <c r="E194" i="6"/>
  <c r="F194" i="6"/>
  <c r="G194" i="6"/>
  <c r="H194" i="6"/>
  <c r="I194" i="6"/>
  <c r="B195" i="6"/>
  <c r="C195" i="6"/>
  <c r="D195" i="6"/>
  <c r="E195" i="6"/>
  <c r="F195" i="6"/>
  <c r="G195" i="6"/>
  <c r="H195" i="6"/>
  <c r="I195" i="6"/>
  <c r="B196" i="6"/>
  <c r="C196" i="6"/>
  <c r="D196" i="6"/>
  <c r="E196" i="6"/>
  <c r="F196" i="6"/>
  <c r="G196" i="6"/>
  <c r="H196" i="6"/>
  <c r="I196" i="6"/>
  <c r="B197" i="6"/>
  <c r="C197" i="6"/>
  <c r="D197" i="6"/>
  <c r="E197" i="6"/>
  <c r="F197" i="6"/>
  <c r="G197" i="6"/>
  <c r="H197" i="6"/>
  <c r="I197" i="6"/>
  <c r="B198" i="6"/>
  <c r="C198" i="6"/>
  <c r="D198" i="6"/>
  <c r="E198" i="6"/>
  <c r="F198" i="6"/>
  <c r="G198" i="6"/>
  <c r="H198" i="6"/>
  <c r="I198" i="6"/>
  <c r="B199" i="6"/>
  <c r="C199" i="6"/>
  <c r="D199" i="6"/>
  <c r="E199" i="6"/>
  <c r="F199" i="6"/>
  <c r="G199" i="6"/>
  <c r="H199" i="6"/>
  <c r="I199" i="6"/>
  <c r="B200" i="6"/>
  <c r="C200" i="6"/>
  <c r="D200" i="6"/>
  <c r="E200" i="6"/>
  <c r="F200" i="6"/>
  <c r="G200" i="6"/>
  <c r="H200" i="6"/>
  <c r="I200" i="6"/>
  <c r="B201" i="6"/>
  <c r="C201" i="6"/>
  <c r="D201" i="6"/>
  <c r="E201" i="6"/>
  <c r="F201" i="6"/>
  <c r="G201" i="6"/>
  <c r="H201" i="6"/>
  <c r="I201" i="6"/>
  <c r="B202" i="6"/>
  <c r="C202" i="6"/>
  <c r="D202" i="6"/>
  <c r="E202" i="6"/>
  <c r="F202" i="6"/>
  <c r="G202" i="6"/>
  <c r="H202" i="6"/>
  <c r="I202" i="6"/>
  <c r="B203" i="6"/>
  <c r="C203" i="6"/>
  <c r="D203" i="6"/>
  <c r="E203" i="6"/>
  <c r="F203" i="6"/>
  <c r="G203" i="6"/>
  <c r="H203" i="6"/>
  <c r="I203" i="6"/>
  <c r="B204" i="6"/>
  <c r="C204" i="6"/>
  <c r="D204" i="6"/>
  <c r="E204" i="6"/>
  <c r="F204" i="6"/>
  <c r="G204" i="6"/>
  <c r="H204" i="6"/>
  <c r="I204" i="6"/>
  <c r="B205" i="6"/>
  <c r="C205" i="6"/>
  <c r="D205" i="6"/>
  <c r="E205" i="6"/>
  <c r="F205" i="6"/>
  <c r="G205" i="6"/>
  <c r="H205" i="6"/>
  <c r="I205" i="6"/>
  <c r="B206" i="6"/>
  <c r="C206" i="6"/>
  <c r="D206" i="6"/>
  <c r="E206" i="6"/>
  <c r="F206" i="6"/>
  <c r="G206" i="6"/>
  <c r="H206" i="6"/>
  <c r="I206" i="6"/>
  <c r="B207" i="6"/>
  <c r="C207" i="6"/>
  <c r="D207" i="6"/>
  <c r="E207" i="6"/>
  <c r="F207" i="6"/>
  <c r="G207" i="6"/>
  <c r="H207" i="6"/>
  <c r="I207" i="6"/>
  <c r="B208" i="6"/>
  <c r="C208" i="6"/>
  <c r="D208" i="6"/>
  <c r="E208" i="6"/>
  <c r="F208" i="6"/>
  <c r="G208" i="6"/>
  <c r="H208" i="6"/>
  <c r="I208" i="6"/>
  <c r="B209" i="6"/>
  <c r="C209" i="6"/>
  <c r="D209" i="6"/>
  <c r="E209" i="6"/>
  <c r="F209" i="6"/>
  <c r="G209" i="6"/>
  <c r="H209" i="6"/>
  <c r="I209" i="6"/>
  <c r="B210" i="6"/>
  <c r="C210" i="6"/>
  <c r="D210" i="6"/>
  <c r="E210" i="6"/>
  <c r="F210" i="6"/>
  <c r="G210" i="6"/>
  <c r="H210" i="6"/>
  <c r="I210" i="6"/>
  <c r="B211" i="6"/>
  <c r="C211" i="6"/>
  <c r="D211" i="6"/>
  <c r="E211" i="6"/>
  <c r="F211" i="6"/>
  <c r="G211" i="6"/>
  <c r="H211" i="6"/>
  <c r="I211" i="6"/>
  <c r="B212" i="6"/>
  <c r="C212" i="6"/>
  <c r="D212" i="6"/>
  <c r="E212" i="6"/>
  <c r="F212" i="6"/>
  <c r="G212" i="6"/>
  <c r="H212" i="6"/>
  <c r="I212" i="6"/>
  <c r="B213" i="6"/>
  <c r="C213" i="6"/>
  <c r="D213" i="6"/>
  <c r="E213" i="6"/>
  <c r="F213" i="6"/>
  <c r="G213" i="6"/>
  <c r="H213" i="6"/>
  <c r="I213" i="6"/>
  <c r="B214" i="6"/>
  <c r="C214" i="6"/>
  <c r="D214" i="6"/>
  <c r="E214" i="6"/>
  <c r="F214" i="6"/>
  <c r="G214" i="6"/>
  <c r="H214" i="6"/>
  <c r="I214" i="6"/>
  <c r="B215" i="6"/>
  <c r="C215" i="6"/>
  <c r="D215" i="6"/>
  <c r="E215" i="6"/>
  <c r="F215" i="6"/>
  <c r="G215" i="6"/>
  <c r="H215" i="6"/>
  <c r="I215" i="6"/>
  <c r="B216" i="6"/>
  <c r="C216" i="6"/>
  <c r="D216" i="6"/>
  <c r="E216" i="6"/>
  <c r="F216" i="6"/>
  <c r="G216" i="6"/>
  <c r="H216" i="6"/>
  <c r="I216" i="6"/>
  <c r="B217" i="6"/>
  <c r="C217" i="6"/>
  <c r="D217" i="6"/>
  <c r="E217" i="6"/>
  <c r="F217" i="6"/>
  <c r="G217" i="6"/>
  <c r="H217" i="6"/>
  <c r="I217" i="6"/>
  <c r="B218" i="6"/>
  <c r="C218" i="6"/>
  <c r="D218" i="6"/>
  <c r="E218" i="6"/>
  <c r="F218" i="6"/>
  <c r="G218" i="6"/>
  <c r="H218" i="6"/>
  <c r="I218" i="6"/>
  <c r="B219" i="6"/>
  <c r="C219" i="6"/>
  <c r="D219" i="6"/>
  <c r="E219" i="6"/>
  <c r="F219" i="6"/>
  <c r="G219" i="6"/>
  <c r="H219" i="6"/>
  <c r="I219" i="6"/>
  <c r="B220" i="6"/>
  <c r="C220" i="6"/>
  <c r="D220" i="6"/>
  <c r="E220" i="6"/>
  <c r="F220" i="6"/>
  <c r="G220" i="6"/>
  <c r="H220" i="6"/>
  <c r="I220" i="6"/>
  <c r="B221" i="6"/>
  <c r="C221" i="6"/>
  <c r="D221" i="6"/>
  <c r="E221" i="6"/>
  <c r="F221" i="6"/>
  <c r="G221" i="6"/>
  <c r="H221" i="6"/>
  <c r="I221" i="6"/>
  <c r="B222" i="6"/>
  <c r="C222" i="6"/>
  <c r="D222" i="6"/>
  <c r="E222" i="6"/>
  <c r="F222" i="6"/>
  <c r="G222" i="6"/>
  <c r="H222" i="6"/>
  <c r="I222" i="6"/>
  <c r="B223" i="6"/>
  <c r="C223" i="6"/>
  <c r="D223" i="6"/>
  <c r="E223" i="6"/>
  <c r="F223" i="6"/>
  <c r="G223" i="6"/>
  <c r="H223" i="6"/>
  <c r="I223" i="6"/>
  <c r="B224" i="6"/>
  <c r="C224" i="6"/>
  <c r="D224" i="6"/>
  <c r="E224" i="6"/>
  <c r="F224" i="6"/>
  <c r="G224" i="6"/>
  <c r="H224" i="6"/>
  <c r="I224" i="6"/>
  <c r="B225" i="6"/>
  <c r="C225" i="6"/>
  <c r="D225" i="6"/>
  <c r="E225" i="6"/>
  <c r="F225" i="6"/>
  <c r="G225" i="6"/>
  <c r="H225" i="6"/>
  <c r="I225" i="6"/>
  <c r="B226" i="6"/>
  <c r="C226" i="6"/>
  <c r="D226" i="6"/>
  <c r="E226" i="6"/>
  <c r="F226" i="6"/>
  <c r="G226" i="6"/>
  <c r="H226" i="6"/>
  <c r="I226" i="6"/>
  <c r="B227" i="6"/>
  <c r="C227" i="6"/>
  <c r="D227" i="6"/>
  <c r="E227" i="6"/>
  <c r="F227" i="6"/>
  <c r="G227" i="6"/>
  <c r="H227" i="6"/>
  <c r="I227" i="6"/>
  <c r="B228" i="6"/>
  <c r="C228" i="6"/>
  <c r="D228" i="6"/>
  <c r="E228" i="6"/>
  <c r="F228" i="6"/>
  <c r="G228" i="6"/>
  <c r="H228" i="6"/>
  <c r="I228" i="6"/>
  <c r="B229" i="6"/>
  <c r="C229" i="6"/>
  <c r="D229" i="6"/>
  <c r="E229" i="6"/>
  <c r="F229" i="6"/>
  <c r="G229" i="6"/>
  <c r="H229" i="6"/>
  <c r="I229" i="6"/>
  <c r="B230" i="6"/>
  <c r="C230" i="6"/>
  <c r="D230" i="6"/>
  <c r="E230" i="6"/>
  <c r="F230" i="6"/>
  <c r="G230" i="6"/>
  <c r="H230" i="6"/>
  <c r="I230" i="6"/>
  <c r="B231" i="6"/>
  <c r="C231" i="6"/>
  <c r="D231" i="6"/>
  <c r="E231" i="6"/>
  <c r="F231" i="6"/>
  <c r="G231" i="6"/>
  <c r="H231" i="6"/>
  <c r="I231" i="6"/>
  <c r="B232" i="6"/>
  <c r="C232" i="6"/>
  <c r="D232" i="6"/>
  <c r="E232" i="6"/>
  <c r="F232" i="6"/>
  <c r="G232" i="6"/>
  <c r="H232" i="6"/>
  <c r="I232" i="6"/>
  <c r="B233" i="6"/>
  <c r="C233" i="6"/>
  <c r="D233" i="6"/>
  <c r="E233" i="6"/>
  <c r="F233" i="6"/>
  <c r="G233" i="6"/>
  <c r="H233" i="6"/>
  <c r="I233" i="6"/>
  <c r="B234" i="6"/>
  <c r="C234" i="6"/>
  <c r="D234" i="6"/>
  <c r="E234" i="6"/>
  <c r="F234" i="6"/>
  <c r="G234" i="6"/>
  <c r="H234" i="6"/>
  <c r="I234" i="6"/>
  <c r="B235" i="6"/>
  <c r="C235" i="6"/>
  <c r="D235" i="6"/>
  <c r="E235" i="6"/>
  <c r="F235" i="6"/>
  <c r="G235" i="6"/>
  <c r="H235" i="6"/>
  <c r="I235" i="6"/>
  <c r="B236" i="6"/>
  <c r="C236" i="6"/>
  <c r="D236" i="6"/>
  <c r="E236" i="6"/>
  <c r="F236" i="6"/>
  <c r="G236" i="6"/>
  <c r="H236" i="6"/>
  <c r="I236" i="6"/>
  <c r="B237" i="6"/>
  <c r="C237" i="6"/>
  <c r="D237" i="6"/>
  <c r="E237" i="6"/>
  <c r="F237" i="6"/>
  <c r="G237" i="6"/>
  <c r="H237" i="6"/>
  <c r="I237" i="6"/>
  <c r="B238" i="6"/>
  <c r="C238" i="6"/>
  <c r="D238" i="6"/>
  <c r="E238" i="6"/>
  <c r="F238" i="6"/>
  <c r="G238" i="6"/>
  <c r="H238" i="6"/>
  <c r="I238" i="6"/>
  <c r="B239" i="6"/>
  <c r="C239" i="6"/>
  <c r="D239" i="6"/>
  <c r="E239" i="6"/>
  <c r="F239" i="6"/>
  <c r="G239" i="6"/>
  <c r="H239" i="6"/>
  <c r="I239" i="6"/>
  <c r="B240" i="6"/>
  <c r="C240" i="6"/>
  <c r="D240" i="6"/>
  <c r="E240" i="6"/>
  <c r="F240" i="6"/>
  <c r="G240" i="6"/>
  <c r="H240" i="6"/>
  <c r="I240" i="6"/>
  <c r="B241" i="6"/>
  <c r="C241" i="6"/>
  <c r="D241" i="6"/>
  <c r="E241" i="6"/>
  <c r="F241" i="6"/>
  <c r="G241" i="6"/>
  <c r="H241" i="6"/>
  <c r="I241" i="6"/>
  <c r="B242" i="6"/>
  <c r="C242" i="6"/>
  <c r="D242" i="6"/>
  <c r="E242" i="6"/>
  <c r="F242" i="6"/>
  <c r="G242" i="6"/>
  <c r="H242" i="6"/>
  <c r="I242" i="6"/>
  <c r="B243" i="6"/>
  <c r="C243" i="6"/>
  <c r="D243" i="6"/>
  <c r="E243" i="6"/>
  <c r="F243" i="6"/>
  <c r="G243" i="6"/>
  <c r="H243" i="6"/>
  <c r="I243" i="6"/>
  <c r="B244" i="6"/>
  <c r="C244" i="6"/>
  <c r="D244" i="6"/>
  <c r="E244" i="6"/>
  <c r="F244" i="6"/>
  <c r="G244" i="6"/>
  <c r="H244" i="6"/>
  <c r="I244" i="6"/>
  <c r="B245" i="6"/>
  <c r="C245" i="6"/>
  <c r="D245" i="6"/>
  <c r="E245" i="6"/>
  <c r="F245" i="6"/>
  <c r="G245" i="6"/>
  <c r="H245" i="6"/>
  <c r="I245" i="6"/>
  <c r="B246" i="6"/>
  <c r="C246" i="6"/>
  <c r="D246" i="6"/>
  <c r="E246" i="6"/>
  <c r="F246" i="6"/>
  <c r="G246" i="6"/>
  <c r="H246" i="6"/>
  <c r="I246" i="6"/>
  <c r="B247" i="6"/>
  <c r="C247" i="6"/>
  <c r="D247" i="6"/>
  <c r="E247" i="6"/>
  <c r="F247" i="6"/>
  <c r="G247" i="6"/>
  <c r="H247" i="6"/>
  <c r="I247" i="6"/>
  <c r="B248" i="6"/>
  <c r="C248" i="6"/>
  <c r="D248" i="6"/>
  <c r="E248" i="6"/>
  <c r="F248" i="6"/>
  <c r="G248" i="6"/>
  <c r="H248" i="6"/>
  <c r="I248" i="6"/>
  <c r="B249" i="6"/>
  <c r="C249" i="6"/>
  <c r="D249" i="6"/>
  <c r="E249" i="6"/>
  <c r="F249" i="6"/>
  <c r="G249" i="6"/>
  <c r="H249" i="6"/>
  <c r="I249" i="6"/>
  <c r="B250" i="6"/>
  <c r="C250" i="6"/>
  <c r="D250" i="6"/>
  <c r="E250" i="6"/>
  <c r="F250" i="6"/>
  <c r="G250" i="6"/>
  <c r="H250" i="6"/>
  <c r="I250" i="6"/>
  <c r="B251" i="6"/>
  <c r="C251" i="6"/>
  <c r="D251" i="6"/>
  <c r="E251" i="6"/>
  <c r="F251" i="6"/>
  <c r="G251" i="6"/>
  <c r="H251" i="6"/>
  <c r="I251" i="6"/>
  <c r="B252" i="6"/>
  <c r="C252" i="6"/>
  <c r="D252" i="6"/>
  <c r="E252" i="6"/>
  <c r="F252" i="6"/>
  <c r="G252" i="6"/>
  <c r="H252" i="6"/>
  <c r="I252" i="6"/>
  <c r="B253" i="6"/>
  <c r="C253" i="6"/>
  <c r="D253" i="6"/>
  <c r="E253" i="6"/>
  <c r="F253" i="6"/>
  <c r="G253" i="6"/>
  <c r="H253" i="6"/>
  <c r="I253" i="6"/>
  <c r="B254" i="6"/>
  <c r="C254" i="6"/>
  <c r="D254" i="6"/>
  <c r="E254" i="6"/>
  <c r="F254" i="6"/>
  <c r="G254" i="6"/>
  <c r="H254" i="6"/>
  <c r="I254" i="6"/>
  <c r="B255" i="6"/>
  <c r="C255" i="6"/>
  <c r="D255" i="6"/>
  <c r="E255" i="6"/>
  <c r="F255" i="6"/>
  <c r="G255" i="6"/>
  <c r="H255" i="6"/>
  <c r="I255" i="6"/>
  <c r="B256" i="6"/>
  <c r="C256" i="6"/>
  <c r="D256" i="6"/>
  <c r="E256" i="6"/>
  <c r="F256" i="6"/>
  <c r="G256" i="6"/>
  <c r="H256" i="6"/>
  <c r="I256" i="6"/>
  <c r="B257" i="6"/>
  <c r="C257" i="6"/>
  <c r="D257" i="6"/>
  <c r="E257" i="6"/>
  <c r="F257" i="6"/>
  <c r="G257" i="6"/>
  <c r="H257" i="6"/>
  <c r="I257" i="6"/>
  <c r="B258" i="6"/>
  <c r="C258" i="6"/>
  <c r="D258" i="6"/>
  <c r="E258" i="6"/>
  <c r="F258" i="6"/>
  <c r="G258" i="6"/>
  <c r="H258" i="6"/>
  <c r="I258" i="6"/>
  <c r="B259" i="6"/>
  <c r="C259" i="6"/>
  <c r="D259" i="6"/>
  <c r="E259" i="6"/>
  <c r="F259" i="6"/>
  <c r="G259" i="6"/>
  <c r="H259" i="6"/>
  <c r="I259" i="6"/>
  <c r="B260" i="6"/>
  <c r="C260" i="6"/>
  <c r="D260" i="6"/>
  <c r="E260" i="6"/>
  <c r="F260" i="6"/>
  <c r="G260" i="6"/>
  <c r="H260" i="6"/>
  <c r="I260" i="6"/>
  <c r="B261" i="6"/>
  <c r="C261" i="6"/>
  <c r="D261" i="6"/>
  <c r="E261" i="6"/>
  <c r="F261" i="6"/>
  <c r="G261" i="6"/>
  <c r="H261" i="6"/>
  <c r="I261" i="6"/>
  <c r="B262" i="6"/>
  <c r="C262" i="6"/>
  <c r="D262" i="6"/>
  <c r="E262" i="6"/>
  <c r="F262" i="6"/>
  <c r="G262" i="6"/>
  <c r="H262" i="6"/>
  <c r="I262" i="6"/>
  <c r="B263" i="6"/>
  <c r="C263" i="6"/>
  <c r="D263" i="6"/>
  <c r="E263" i="6"/>
  <c r="F263" i="6"/>
  <c r="G263" i="6"/>
  <c r="H263" i="6"/>
  <c r="I263" i="6"/>
  <c r="B264" i="6"/>
  <c r="C264" i="6"/>
  <c r="D264" i="6"/>
  <c r="E264" i="6"/>
  <c r="F264" i="6"/>
  <c r="G264" i="6"/>
  <c r="H264" i="6"/>
  <c r="I264" i="6"/>
  <c r="B265" i="6"/>
  <c r="C265" i="6"/>
  <c r="D265" i="6"/>
  <c r="E265" i="6"/>
  <c r="F265" i="6"/>
  <c r="G265" i="6"/>
  <c r="H265" i="6"/>
  <c r="I265" i="6"/>
  <c r="B266" i="6"/>
  <c r="C266" i="6"/>
  <c r="D266" i="6"/>
  <c r="E266" i="6"/>
  <c r="F266" i="6"/>
  <c r="G266" i="6"/>
  <c r="H266" i="6"/>
  <c r="I266" i="6"/>
  <c r="B267" i="6"/>
  <c r="C267" i="6"/>
  <c r="D267" i="6"/>
  <c r="E267" i="6"/>
  <c r="F267" i="6"/>
  <c r="G267" i="6"/>
  <c r="H267" i="6"/>
  <c r="I267" i="6"/>
  <c r="B268" i="6"/>
  <c r="C268" i="6"/>
  <c r="D268" i="6"/>
  <c r="E268" i="6"/>
  <c r="F268" i="6"/>
  <c r="G268" i="6"/>
  <c r="H268" i="6"/>
  <c r="I268" i="6"/>
  <c r="B269" i="6"/>
  <c r="C269" i="6"/>
  <c r="D269" i="6"/>
  <c r="E269" i="6"/>
  <c r="F269" i="6"/>
  <c r="G269" i="6"/>
  <c r="H269" i="6"/>
  <c r="I269" i="6"/>
  <c r="B270" i="6"/>
  <c r="C270" i="6"/>
  <c r="D270" i="6"/>
  <c r="E270" i="6"/>
  <c r="F270" i="6"/>
  <c r="G270" i="6"/>
  <c r="H270" i="6"/>
  <c r="I270" i="6"/>
  <c r="B271" i="6"/>
  <c r="C271" i="6"/>
  <c r="D271" i="6"/>
  <c r="E271" i="6"/>
  <c r="F271" i="6"/>
  <c r="G271" i="6"/>
  <c r="H271" i="6"/>
  <c r="I271" i="6"/>
  <c r="B272" i="6"/>
  <c r="C272" i="6"/>
  <c r="D272" i="6"/>
  <c r="E272" i="6"/>
  <c r="F272" i="6"/>
  <c r="G272" i="6"/>
  <c r="H272" i="6"/>
  <c r="I272" i="6"/>
  <c r="B273" i="6"/>
  <c r="C273" i="6"/>
  <c r="D273" i="6"/>
  <c r="E273" i="6"/>
  <c r="F273" i="6"/>
  <c r="G273" i="6"/>
  <c r="H273" i="6"/>
  <c r="I273" i="6"/>
  <c r="B274" i="6"/>
  <c r="C274" i="6"/>
  <c r="D274" i="6"/>
  <c r="E274" i="6"/>
  <c r="F274" i="6"/>
  <c r="G274" i="6"/>
  <c r="H274" i="6"/>
  <c r="I274" i="6"/>
  <c r="B275" i="6"/>
  <c r="C275" i="6"/>
  <c r="D275" i="6"/>
  <c r="E275" i="6"/>
  <c r="F275" i="6"/>
  <c r="G275" i="6"/>
  <c r="H275" i="6"/>
  <c r="I275" i="6"/>
  <c r="B276" i="6"/>
  <c r="C276" i="6"/>
  <c r="D276" i="6"/>
  <c r="E276" i="6"/>
  <c r="F276" i="6"/>
  <c r="G276" i="6"/>
  <c r="H276" i="6"/>
  <c r="I276" i="6"/>
  <c r="B277" i="6"/>
  <c r="C277" i="6"/>
  <c r="D277" i="6"/>
  <c r="E277" i="6"/>
  <c r="F277" i="6"/>
  <c r="G277" i="6"/>
  <c r="H277" i="6"/>
  <c r="I277" i="6"/>
  <c r="B278" i="6"/>
  <c r="C278" i="6"/>
  <c r="D278" i="6"/>
  <c r="E278" i="6"/>
  <c r="F278" i="6"/>
  <c r="G278" i="6"/>
  <c r="H278" i="6"/>
  <c r="I278" i="6"/>
  <c r="B279" i="6"/>
  <c r="C279" i="6"/>
  <c r="D279" i="6"/>
  <c r="E279" i="6"/>
  <c r="F279" i="6"/>
  <c r="G279" i="6"/>
  <c r="H279" i="6"/>
  <c r="I279" i="6"/>
  <c r="B280" i="6"/>
  <c r="C280" i="6"/>
  <c r="D280" i="6"/>
  <c r="E280" i="6"/>
  <c r="F280" i="6"/>
  <c r="G280" i="6"/>
  <c r="H280" i="6"/>
  <c r="I280" i="6"/>
  <c r="B281" i="6"/>
  <c r="C281" i="6"/>
  <c r="D281" i="6"/>
  <c r="E281" i="6"/>
  <c r="F281" i="6"/>
  <c r="G281" i="6"/>
  <c r="H281" i="6"/>
  <c r="I281" i="6"/>
  <c r="B282" i="6"/>
  <c r="C282" i="6"/>
  <c r="D282" i="6"/>
  <c r="E282" i="6"/>
  <c r="F282" i="6"/>
  <c r="G282" i="6"/>
  <c r="H282" i="6"/>
  <c r="I282" i="6"/>
  <c r="B283" i="6"/>
  <c r="C283" i="6"/>
  <c r="D283" i="6"/>
  <c r="E283" i="6"/>
  <c r="F283" i="6"/>
  <c r="G283" i="6"/>
  <c r="H283" i="6"/>
  <c r="I283" i="6"/>
  <c r="B284" i="6"/>
  <c r="C284" i="6"/>
  <c r="D284" i="6"/>
  <c r="E284" i="6"/>
  <c r="F284" i="6"/>
  <c r="G284" i="6"/>
  <c r="H284" i="6"/>
  <c r="I284" i="6"/>
  <c r="B285" i="6"/>
  <c r="C285" i="6"/>
  <c r="D285" i="6"/>
  <c r="E285" i="6"/>
  <c r="F285" i="6"/>
  <c r="G285" i="6"/>
  <c r="H285" i="6"/>
  <c r="I285" i="6"/>
  <c r="B286" i="6"/>
  <c r="C286" i="6"/>
  <c r="D286" i="6"/>
  <c r="E286" i="6"/>
  <c r="F286" i="6"/>
  <c r="G286" i="6"/>
  <c r="H286" i="6"/>
  <c r="I286" i="6"/>
  <c r="B287" i="6"/>
  <c r="C287" i="6"/>
  <c r="D287" i="6"/>
  <c r="E287" i="6"/>
  <c r="F287" i="6"/>
  <c r="G287" i="6"/>
  <c r="H287" i="6"/>
  <c r="I287" i="6"/>
  <c r="B288" i="6"/>
  <c r="C288" i="6"/>
  <c r="D288" i="6"/>
  <c r="E288" i="6"/>
  <c r="F288" i="6"/>
  <c r="G288" i="6"/>
  <c r="H288" i="6"/>
  <c r="I288" i="6"/>
  <c r="B289" i="6"/>
  <c r="C289" i="6"/>
  <c r="D289" i="6"/>
  <c r="E289" i="6"/>
  <c r="F289" i="6"/>
  <c r="G289" i="6"/>
  <c r="H289" i="6"/>
  <c r="I289" i="6"/>
  <c r="B290" i="6"/>
  <c r="C290" i="6"/>
  <c r="D290" i="6"/>
  <c r="E290" i="6"/>
  <c r="F290" i="6"/>
  <c r="G290" i="6"/>
  <c r="H290" i="6"/>
  <c r="I290" i="6"/>
  <c r="B291" i="6"/>
  <c r="C291" i="6"/>
  <c r="D291" i="6"/>
  <c r="E291" i="6"/>
  <c r="F291" i="6"/>
  <c r="G291" i="6"/>
  <c r="H291" i="6"/>
  <c r="I291" i="6"/>
  <c r="B292" i="6"/>
  <c r="C292" i="6"/>
  <c r="D292" i="6"/>
  <c r="E292" i="6"/>
  <c r="F292" i="6"/>
  <c r="G292" i="6"/>
  <c r="H292" i="6"/>
  <c r="I292" i="6"/>
  <c r="B293" i="6"/>
  <c r="C293" i="6"/>
  <c r="D293" i="6"/>
  <c r="E293" i="6"/>
  <c r="F293" i="6"/>
  <c r="G293" i="6"/>
  <c r="H293" i="6"/>
  <c r="I293" i="6"/>
  <c r="B294" i="6"/>
  <c r="C294" i="6"/>
  <c r="D294" i="6"/>
  <c r="E294" i="6"/>
  <c r="F294" i="6"/>
  <c r="G294" i="6"/>
  <c r="H294" i="6"/>
  <c r="I294" i="6"/>
  <c r="B295" i="6"/>
  <c r="C295" i="6"/>
  <c r="D295" i="6"/>
  <c r="E295" i="6"/>
  <c r="F295" i="6"/>
  <c r="G295" i="6"/>
  <c r="H295" i="6"/>
  <c r="I295" i="6"/>
  <c r="B296" i="6"/>
  <c r="C296" i="6"/>
  <c r="D296" i="6"/>
  <c r="E296" i="6"/>
  <c r="F296" i="6"/>
  <c r="G296" i="6"/>
  <c r="H296" i="6"/>
  <c r="I296" i="6"/>
  <c r="B297" i="6"/>
  <c r="C297" i="6"/>
  <c r="D297" i="6"/>
  <c r="E297" i="6"/>
  <c r="F297" i="6"/>
  <c r="G297" i="6"/>
  <c r="H297" i="6"/>
  <c r="I297" i="6"/>
  <c r="B298" i="6"/>
  <c r="C298" i="6"/>
  <c r="D298" i="6"/>
  <c r="E298" i="6"/>
  <c r="F298" i="6"/>
  <c r="G298" i="6"/>
  <c r="H298" i="6"/>
  <c r="I298" i="6"/>
  <c r="B299" i="6"/>
  <c r="C299" i="6"/>
  <c r="D299" i="6"/>
  <c r="E299" i="6"/>
  <c r="F299" i="6"/>
  <c r="G299" i="6"/>
  <c r="H299" i="6"/>
  <c r="I299" i="6"/>
  <c r="B300" i="6"/>
  <c r="C300" i="6"/>
  <c r="D300" i="6"/>
  <c r="E300" i="6"/>
  <c r="F300" i="6"/>
  <c r="G300" i="6"/>
  <c r="H300" i="6"/>
  <c r="I300" i="6"/>
  <c r="B301" i="6"/>
  <c r="C301" i="6"/>
  <c r="D301" i="6"/>
  <c r="E301" i="6"/>
  <c r="F301" i="6"/>
  <c r="G301" i="6"/>
  <c r="H301" i="6"/>
  <c r="I301" i="6"/>
  <c r="B302" i="6"/>
  <c r="C302" i="6"/>
  <c r="D302" i="6"/>
  <c r="E302" i="6"/>
  <c r="F302" i="6"/>
  <c r="G302" i="6"/>
  <c r="H302" i="6"/>
  <c r="I302" i="6"/>
  <c r="B303" i="6"/>
  <c r="C303" i="6"/>
  <c r="D303" i="6"/>
  <c r="E303" i="6"/>
  <c r="F303" i="6"/>
  <c r="G303" i="6"/>
  <c r="H303" i="6"/>
  <c r="I303" i="6"/>
  <c r="B304" i="6"/>
  <c r="C304" i="6"/>
  <c r="D304" i="6"/>
  <c r="E304" i="6"/>
  <c r="F304" i="6"/>
  <c r="G304" i="6"/>
  <c r="H304" i="6"/>
  <c r="I304" i="6"/>
  <c r="B305" i="6"/>
  <c r="C305" i="6"/>
  <c r="D305" i="6"/>
  <c r="E305" i="6"/>
  <c r="F305" i="6"/>
  <c r="G305" i="6"/>
  <c r="H305" i="6"/>
  <c r="I305" i="6"/>
  <c r="B306" i="6"/>
  <c r="C306" i="6"/>
  <c r="D306" i="6"/>
  <c r="E306" i="6"/>
  <c r="F306" i="6"/>
  <c r="G306" i="6"/>
  <c r="H306" i="6"/>
  <c r="I306" i="6"/>
  <c r="B307" i="6"/>
  <c r="C307" i="6"/>
  <c r="D307" i="6"/>
  <c r="E307" i="6"/>
  <c r="F307" i="6"/>
  <c r="G307" i="6"/>
  <c r="H307" i="6"/>
  <c r="I307" i="6"/>
  <c r="B308" i="6"/>
  <c r="C308" i="6"/>
  <c r="D308" i="6"/>
  <c r="E308" i="6"/>
  <c r="F308" i="6"/>
  <c r="G308" i="6"/>
  <c r="H308" i="6"/>
  <c r="I308" i="6"/>
  <c r="B309" i="6"/>
  <c r="C309" i="6"/>
  <c r="D309" i="6"/>
  <c r="E309" i="6"/>
  <c r="G309" i="6"/>
  <c r="H309" i="6"/>
  <c r="I309" i="6"/>
  <c r="B310" i="6"/>
  <c r="C310" i="6"/>
  <c r="D310" i="6"/>
  <c r="E310" i="6"/>
  <c r="G310" i="6"/>
  <c r="H310" i="6"/>
  <c r="I310" i="6"/>
  <c r="B311" i="6"/>
  <c r="C311" i="6"/>
  <c r="D311" i="6"/>
  <c r="E311" i="6"/>
  <c r="G311" i="6"/>
  <c r="H311" i="6"/>
  <c r="I311" i="6"/>
  <c r="B312" i="6"/>
  <c r="C312" i="6"/>
  <c r="D312" i="6"/>
  <c r="E312" i="6"/>
  <c r="G312" i="6"/>
  <c r="H312" i="6"/>
  <c r="I312" i="6"/>
  <c r="B313" i="6"/>
  <c r="C313" i="6"/>
  <c r="D313" i="6"/>
  <c r="E313" i="6"/>
  <c r="G313" i="6"/>
  <c r="H313" i="6"/>
  <c r="I313" i="6"/>
  <c r="B314" i="6"/>
  <c r="C314" i="6"/>
  <c r="D314" i="6"/>
  <c r="E314" i="6"/>
  <c r="G314" i="6"/>
  <c r="H314" i="6"/>
  <c r="I314" i="6"/>
  <c r="B315" i="6"/>
  <c r="C315" i="6"/>
  <c r="D315" i="6"/>
  <c r="E315" i="6"/>
  <c r="G315" i="6"/>
  <c r="H315" i="6"/>
  <c r="I315" i="6"/>
  <c r="B316" i="6"/>
  <c r="C316" i="6"/>
  <c r="D316" i="6"/>
  <c r="E316" i="6"/>
  <c r="G316" i="6"/>
  <c r="H316" i="6"/>
  <c r="I316" i="6"/>
  <c r="B317" i="6"/>
  <c r="C317" i="6"/>
  <c r="D317" i="6"/>
  <c r="E317" i="6"/>
  <c r="G317" i="6"/>
  <c r="H317" i="6"/>
  <c r="I317" i="6"/>
  <c r="B318" i="6"/>
  <c r="C318" i="6"/>
  <c r="D318" i="6"/>
  <c r="E318" i="6"/>
  <c r="G318" i="6"/>
  <c r="H318" i="6"/>
  <c r="I318" i="6"/>
  <c r="B319" i="6"/>
  <c r="C319" i="6"/>
  <c r="D319" i="6"/>
  <c r="E319" i="6"/>
  <c r="G319" i="6"/>
  <c r="H319" i="6"/>
  <c r="I319" i="6"/>
  <c r="B320" i="6"/>
  <c r="C320" i="6"/>
  <c r="D320" i="6"/>
  <c r="E320" i="6"/>
  <c r="G320" i="6"/>
  <c r="H320" i="6"/>
  <c r="I320" i="6"/>
  <c r="B321" i="6"/>
  <c r="C321" i="6"/>
  <c r="D321" i="6"/>
  <c r="E321" i="6"/>
  <c r="G321" i="6"/>
  <c r="H321" i="6"/>
  <c r="I321" i="6"/>
  <c r="B322" i="6"/>
  <c r="C322" i="6"/>
  <c r="D322" i="6"/>
  <c r="E322" i="6"/>
  <c r="G322" i="6"/>
  <c r="H322" i="6"/>
  <c r="I322" i="6"/>
  <c r="B323" i="6"/>
  <c r="C323" i="6"/>
  <c r="D323" i="6"/>
  <c r="E323" i="6"/>
  <c r="G323" i="6"/>
  <c r="H323" i="6"/>
  <c r="I323" i="6"/>
  <c r="B324" i="6"/>
  <c r="C324" i="6"/>
  <c r="D324" i="6"/>
  <c r="E324" i="6"/>
  <c r="G324" i="6"/>
  <c r="H324" i="6"/>
  <c r="I324" i="6"/>
  <c r="B325" i="6"/>
  <c r="C325" i="6"/>
  <c r="D325" i="6"/>
  <c r="E325" i="6"/>
  <c r="G325" i="6"/>
  <c r="H325" i="6"/>
  <c r="I325" i="6"/>
  <c r="B326" i="6"/>
  <c r="C326" i="6"/>
  <c r="D326" i="6"/>
  <c r="E326" i="6"/>
  <c r="G326" i="6"/>
  <c r="H326" i="6"/>
  <c r="I326" i="6"/>
  <c r="B327" i="6"/>
  <c r="C327" i="6"/>
  <c r="D327" i="6"/>
  <c r="E327" i="6"/>
  <c r="G327" i="6"/>
  <c r="H327" i="6"/>
  <c r="I327" i="6"/>
  <c r="B328" i="6"/>
  <c r="C328" i="6"/>
  <c r="D328" i="6"/>
  <c r="E328" i="6"/>
  <c r="G328" i="6"/>
  <c r="H328" i="6"/>
  <c r="I328" i="6"/>
  <c r="B329" i="6"/>
  <c r="C329" i="6"/>
  <c r="D329" i="6"/>
  <c r="E329" i="6"/>
  <c r="G329" i="6"/>
  <c r="H329" i="6"/>
  <c r="I329" i="6"/>
  <c r="B330" i="6"/>
  <c r="C330" i="6"/>
  <c r="D330" i="6"/>
  <c r="E330" i="6"/>
  <c r="G330" i="6"/>
  <c r="H330" i="6"/>
  <c r="I330" i="6"/>
  <c r="B331" i="6"/>
  <c r="C331" i="6"/>
  <c r="D331" i="6"/>
  <c r="E331" i="6"/>
  <c r="G331" i="6"/>
  <c r="H331" i="6"/>
  <c r="I331" i="6"/>
  <c r="B332" i="6"/>
  <c r="C332" i="6"/>
  <c r="D332" i="6"/>
  <c r="E332" i="6"/>
  <c r="G332" i="6"/>
  <c r="H332" i="6"/>
  <c r="I332" i="6"/>
  <c r="B333" i="6"/>
  <c r="C333" i="6"/>
  <c r="D333" i="6"/>
  <c r="E333" i="6"/>
  <c r="G333" i="6"/>
  <c r="H333" i="6"/>
  <c r="I333" i="6"/>
  <c r="B334" i="6"/>
  <c r="C334" i="6"/>
  <c r="D334" i="6"/>
  <c r="E334" i="6"/>
  <c r="G334" i="6"/>
  <c r="H334" i="6"/>
  <c r="I334" i="6"/>
  <c r="B335" i="6"/>
  <c r="C335" i="6"/>
  <c r="D335" i="6"/>
  <c r="E335" i="6"/>
  <c r="G335" i="6"/>
  <c r="H335" i="6"/>
  <c r="I335" i="6"/>
  <c r="B336" i="6"/>
  <c r="C336" i="6"/>
  <c r="D336" i="6"/>
  <c r="E336" i="6"/>
  <c r="G336" i="6"/>
  <c r="H336" i="6"/>
  <c r="I336" i="6"/>
  <c r="B337" i="6"/>
  <c r="C337" i="6"/>
  <c r="D337" i="6"/>
  <c r="E337" i="6"/>
  <c r="G337" i="6"/>
  <c r="H337" i="6"/>
  <c r="I337" i="6"/>
  <c r="B338" i="6"/>
  <c r="C338" i="6"/>
  <c r="D338" i="6"/>
  <c r="E338" i="6"/>
  <c r="G338" i="6"/>
  <c r="H338" i="6"/>
  <c r="I338" i="6"/>
  <c r="B339" i="6"/>
  <c r="C339" i="6"/>
  <c r="D339" i="6"/>
  <c r="E339" i="6"/>
  <c r="G339" i="6"/>
  <c r="H339" i="6"/>
  <c r="I339" i="6"/>
  <c r="B340" i="6"/>
  <c r="C340" i="6"/>
  <c r="D340" i="6"/>
  <c r="E340" i="6"/>
  <c r="G340" i="6"/>
  <c r="H340" i="6"/>
  <c r="I340" i="6"/>
  <c r="B341" i="6"/>
  <c r="C341" i="6"/>
  <c r="D341" i="6"/>
  <c r="E341" i="6"/>
  <c r="G341" i="6"/>
  <c r="H341" i="6"/>
  <c r="I341" i="6"/>
  <c r="B342" i="6"/>
  <c r="C342" i="6"/>
  <c r="D342" i="6"/>
  <c r="E342" i="6"/>
  <c r="G342" i="6"/>
  <c r="H342" i="6"/>
  <c r="I342" i="6"/>
  <c r="B343" i="6"/>
  <c r="C343" i="6"/>
  <c r="D343" i="6"/>
  <c r="E343" i="6"/>
  <c r="G343" i="6"/>
  <c r="H343" i="6"/>
  <c r="I343" i="6"/>
  <c r="B344" i="6"/>
  <c r="C344" i="6"/>
  <c r="D344" i="6"/>
  <c r="E344" i="6"/>
  <c r="G344" i="6"/>
  <c r="H344" i="6"/>
  <c r="I344" i="6"/>
  <c r="B345" i="6"/>
  <c r="C345" i="6"/>
  <c r="D345" i="6"/>
  <c r="E345" i="6"/>
  <c r="G345" i="6"/>
  <c r="H345" i="6"/>
  <c r="I345" i="6"/>
  <c r="B346" i="6"/>
  <c r="C346" i="6"/>
  <c r="D346" i="6"/>
  <c r="E346" i="6"/>
  <c r="G346" i="6"/>
  <c r="H346" i="6"/>
  <c r="I346" i="6"/>
  <c r="B347" i="6"/>
  <c r="C347" i="6"/>
  <c r="D347" i="6"/>
  <c r="E347" i="6"/>
  <c r="G347" i="6"/>
  <c r="H347" i="6"/>
  <c r="I347" i="6"/>
  <c r="B348" i="6"/>
  <c r="C348" i="6"/>
  <c r="D348" i="6"/>
  <c r="E348" i="6"/>
  <c r="G348" i="6"/>
  <c r="H348" i="6"/>
  <c r="I348" i="6"/>
  <c r="B349" i="6"/>
  <c r="C349" i="6"/>
  <c r="D349" i="6"/>
  <c r="E349" i="6"/>
  <c r="G349" i="6"/>
  <c r="H349" i="6"/>
  <c r="I349" i="6"/>
  <c r="B350" i="6"/>
  <c r="C350" i="6"/>
  <c r="D350" i="6"/>
  <c r="E350" i="6"/>
  <c r="G350" i="6"/>
  <c r="H350" i="6"/>
  <c r="I350" i="6"/>
  <c r="B351" i="6"/>
  <c r="C351" i="6"/>
  <c r="D351" i="6"/>
  <c r="E351" i="6"/>
  <c r="G351" i="6"/>
  <c r="H351" i="6"/>
  <c r="I351" i="6"/>
  <c r="B352" i="6"/>
  <c r="C352" i="6"/>
  <c r="D352" i="6"/>
  <c r="E352" i="6"/>
  <c r="G352" i="6"/>
  <c r="H352" i="6"/>
  <c r="I352" i="6"/>
  <c r="B353" i="6"/>
  <c r="C353" i="6"/>
  <c r="D353" i="6"/>
  <c r="E353" i="6"/>
  <c r="G353" i="6"/>
  <c r="H353" i="6"/>
  <c r="I353" i="6"/>
  <c r="B354" i="6"/>
  <c r="C354" i="6"/>
  <c r="D354" i="6"/>
  <c r="E354" i="6"/>
  <c r="G354" i="6"/>
  <c r="H354" i="6"/>
  <c r="I354" i="6"/>
  <c r="B355" i="6"/>
  <c r="C355" i="6"/>
  <c r="D355" i="6"/>
  <c r="E355" i="6"/>
  <c r="G355" i="6"/>
  <c r="H355" i="6"/>
  <c r="I355" i="6"/>
  <c r="B356" i="6"/>
  <c r="C356" i="6"/>
  <c r="D356" i="6"/>
  <c r="E356" i="6"/>
  <c r="G356" i="6"/>
  <c r="H356" i="6"/>
  <c r="I356" i="6"/>
  <c r="B357" i="6"/>
  <c r="C357" i="6"/>
  <c r="D357" i="6"/>
  <c r="E357" i="6"/>
  <c r="G357" i="6"/>
  <c r="H357" i="6"/>
  <c r="I357" i="6"/>
  <c r="B358" i="6"/>
  <c r="C358" i="6"/>
  <c r="D358" i="6"/>
  <c r="E358" i="6"/>
  <c r="G358" i="6"/>
  <c r="H358" i="6"/>
  <c r="I358" i="6"/>
  <c r="B359" i="6"/>
  <c r="C359" i="6"/>
  <c r="D359" i="6"/>
  <c r="E359" i="6"/>
  <c r="G359" i="6"/>
  <c r="H359" i="6"/>
  <c r="I359" i="6"/>
  <c r="B360" i="6"/>
  <c r="C360" i="6"/>
  <c r="D360" i="6"/>
  <c r="E360" i="6"/>
  <c r="G360" i="6"/>
  <c r="H360" i="6"/>
  <c r="I360" i="6"/>
  <c r="B361" i="6"/>
  <c r="C361" i="6"/>
  <c r="D361" i="6"/>
  <c r="E361" i="6"/>
  <c r="G361" i="6"/>
  <c r="H361" i="6"/>
  <c r="I361" i="6"/>
  <c r="B362" i="6"/>
  <c r="C362" i="6"/>
  <c r="D362" i="6"/>
  <c r="E362" i="6"/>
  <c r="G362" i="6"/>
  <c r="H362" i="6"/>
  <c r="I362" i="6"/>
  <c r="B363" i="6"/>
  <c r="C363" i="6"/>
  <c r="D363" i="6"/>
  <c r="E363" i="6"/>
  <c r="G363" i="6"/>
  <c r="H363" i="6"/>
  <c r="I363" i="6"/>
  <c r="B364" i="6"/>
  <c r="C364" i="6"/>
  <c r="D364" i="6"/>
  <c r="E364" i="6"/>
  <c r="G364" i="6"/>
  <c r="H364" i="6"/>
  <c r="I364" i="6"/>
  <c r="B365" i="6"/>
  <c r="C365" i="6"/>
  <c r="D365" i="6"/>
  <c r="E365" i="6"/>
  <c r="G365" i="6"/>
  <c r="H365" i="6"/>
  <c r="I365" i="6"/>
  <c r="B366" i="6"/>
  <c r="C366" i="6"/>
  <c r="D366" i="6"/>
  <c r="E366" i="6"/>
  <c r="G366" i="6"/>
  <c r="H366" i="6"/>
  <c r="I366" i="6"/>
  <c r="B367" i="6"/>
  <c r="C367" i="6"/>
  <c r="D367" i="6"/>
  <c r="E367" i="6"/>
  <c r="G367" i="6"/>
  <c r="H367" i="6"/>
  <c r="I367" i="6"/>
  <c r="B368" i="6"/>
  <c r="C368" i="6"/>
  <c r="D368" i="6"/>
  <c r="E368" i="6"/>
  <c r="G368" i="6"/>
  <c r="H368" i="6"/>
  <c r="I368" i="6"/>
  <c r="B369" i="6"/>
  <c r="C369" i="6"/>
  <c r="D369" i="6"/>
  <c r="E369" i="6"/>
  <c r="G369" i="6"/>
  <c r="H369" i="6"/>
  <c r="I369" i="6"/>
  <c r="B370" i="6"/>
  <c r="C370" i="6"/>
  <c r="D370" i="6"/>
  <c r="E370" i="6"/>
  <c r="G370" i="6"/>
  <c r="H370" i="6"/>
  <c r="I370" i="6"/>
  <c r="B371" i="6"/>
  <c r="C371" i="6"/>
  <c r="D371" i="6"/>
  <c r="E371" i="6"/>
  <c r="G371" i="6"/>
  <c r="H371" i="6"/>
  <c r="I371" i="6"/>
  <c r="B372" i="6"/>
  <c r="C372" i="6"/>
  <c r="D372" i="6"/>
  <c r="E372" i="6"/>
  <c r="G372" i="6"/>
  <c r="H372" i="6"/>
  <c r="I372" i="6"/>
  <c r="B373" i="6"/>
  <c r="C373" i="6"/>
  <c r="D373" i="6"/>
  <c r="E373" i="6"/>
  <c r="G373" i="6"/>
  <c r="H373" i="6"/>
  <c r="I373" i="6"/>
  <c r="B374" i="6"/>
  <c r="C374" i="6"/>
  <c r="D374" i="6"/>
  <c r="E374" i="6"/>
  <c r="G374" i="6"/>
  <c r="H374" i="6"/>
  <c r="I374" i="6"/>
  <c r="B375" i="6"/>
  <c r="C375" i="6"/>
  <c r="D375" i="6"/>
  <c r="E375" i="6"/>
  <c r="G375" i="6"/>
  <c r="H375" i="6"/>
  <c r="I375" i="6"/>
  <c r="B376" i="6"/>
  <c r="C376" i="6"/>
  <c r="D376" i="6"/>
  <c r="E376" i="6"/>
  <c r="G376" i="6"/>
  <c r="H376" i="6"/>
  <c r="I376" i="6"/>
  <c r="B377" i="6"/>
  <c r="C377" i="6"/>
  <c r="D377" i="6"/>
  <c r="E377" i="6"/>
  <c r="G377" i="6"/>
  <c r="H377" i="6"/>
  <c r="I377" i="6"/>
  <c r="B378" i="6"/>
  <c r="C378" i="6"/>
  <c r="D378" i="6"/>
  <c r="E378" i="6"/>
  <c r="G378" i="6"/>
  <c r="H378" i="6"/>
  <c r="I378" i="6"/>
  <c r="B379" i="6"/>
  <c r="C379" i="6"/>
  <c r="D379" i="6"/>
  <c r="E379" i="6"/>
  <c r="G379" i="6"/>
  <c r="H379" i="6"/>
  <c r="I379" i="6"/>
  <c r="B380" i="6"/>
  <c r="C380" i="6"/>
  <c r="D380" i="6"/>
  <c r="E380" i="6"/>
  <c r="G380" i="6"/>
  <c r="H380" i="6"/>
  <c r="I380" i="6"/>
  <c r="B381" i="6"/>
  <c r="C381" i="6"/>
  <c r="D381" i="6"/>
  <c r="E381" i="6"/>
  <c r="G381" i="6"/>
  <c r="H381" i="6"/>
  <c r="I381" i="6"/>
  <c r="B382" i="6"/>
  <c r="C382" i="6"/>
  <c r="D382" i="6"/>
  <c r="E382" i="6"/>
  <c r="G382" i="6"/>
  <c r="H382" i="6"/>
  <c r="I382" i="6"/>
  <c r="B383" i="6"/>
  <c r="C383" i="6"/>
  <c r="D383" i="6"/>
  <c r="E383" i="6"/>
  <c r="G383" i="6"/>
  <c r="H383" i="6"/>
  <c r="I383" i="6"/>
  <c r="B384" i="6"/>
  <c r="C384" i="6"/>
  <c r="D384" i="6"/>
  <c r="E384" i="6"/>
  <c r="G384" i="6"/>
  <c r="H384" i="6"/>
  <c r="I384" i="6"/>
  <c r="B385" i="6"/>
  <c r="C385" i="6"/>
  <c r="D385" i="6"/>
  <c r="E385" i="6"/>
  <c r="G385" i="6"/>
  <c r="H385" i="6"/>
  <c r="I385" i="6"/>
  <c r="B386" i="6"/>
  <c r="C386" i="6"/>
  <c r="D386" i="6"/>
  <c r="E386" i="6"/>
  <c r="G386" i="6"/>
  <c r="H386" i="6"/>
  <c r="I386" i="6"/>
  <c r="B387" i="6"/>
  <c r="C387" i="6"/>
  <c r="D387" i="6"/>
  <c r="E387" i="6"/>
  <c r="G387" i="6"/>
  <c r="H387" i="6"/>
  <c r="I387" i="6"/>
  <c r="B388" i="6"/>
  <c r="C388" i="6"/>
  <c r="D388" i="6"/>
  <c r="E388" i="6"/>
  <c r="G388" i="6"/>
  <c r="H388" i="6"/>
  <c r="I388" i="6"/>
  <c r="B389" i="6"/>
  <c r="C389" i="6"/>
  <c r="D389" i="6"/>
  <c r="E389" i="6"/>
  <c r="G389" i="6"/>
  <c r="H389" i="6"/>
  <c r="I389" i="6"/>
  <c r="B390" i="6"/>
  <c r="C390" i="6"/>
  <c r="D390" i="6"/>
  <c r="E390" i="6"/>
  <c r="G390" i="6"/>
  <c r="H390" i="6"/>
  <c r="I390" i="6"/>
  <c r="B391" i="6"/>
  <c r="C391" i="6"/>
  <c r="D391" i="6"/>
  <c r="E391" i="6"/>
  <c r="G391" i="6"/>
  <c r="H391" i="6"/>
  <c r="I391" i="6"/>
  <c r="B392" i="6"/>
  <c r="C392" i="6"/>
  <c r="D392" i="6"/>
  <c r="E392" i="6"/>
  <c r="G392" i="6"/>
  <c r="H392" i="6"/>
  <c r="I392" i="6"/>
  <c r="B393" i="6"/>
  <c r="C393" i="6"/>
  <c r="D393" i="6"/>
  <c r="E393" i="6"/>
  <c r="G393" i="6"/>
  <c r="H393" i="6"/>
  <c r="I393" i="6"/>
  <c r="B394" i="6"/>
  <c r="C394" i="6"/>
  <c r="D394" i="6"/>
  <c r="E394" i="6"/>
  <c r="G394" i="6"/>
  <c r="H394" i="6"/>
  <c r="I394" i="6"/>
  <c r="B395" i="6"/>
  <c r="C395" i="6"/>
  <c r="D395" i="6"/>
  <c r="E395" i="6"/>
  <c r="G395" i="6"/>
  <c r="H395" i="6"/>
  <c r="I395" i="6"/>
  <c r="B396" i="6"/>
  <c r="C396" i="6"/>
  <c r="D396" i="6"/>
  <c r="E396" i="6"/>
  <c r="G396" i="6"/>
  <c r="H396" i="6"/>
  <c r="I396" i="6"/>
  <c r="B397" i="6"/>
  <c r="C397" i="6"/>
  <c r="D397" i="6"/>
  <c r="E397" i="6"/>
  <c r="G397" i="6"/>
  <c r="H397" i="6"/>
  <c r="I397" i="6"/>
  <c r="B398" i="6"/>
  <c r="C398" i="6"/>
  <c r="D398" i="6"/>
  <c r="E398" i="6"/>
  <c r="G398" i="6"/>
  <c r="H398" i="6"/>
  <c r="I398" i="6"/>
  <c r="B399" i="6"/>
  <c r="C399" i="6"/>
  <c r="D399" i="6"/>
  <c r="E399" i="6"/>
  <c r="G399" i="6"/>
  <c r="H399" i="6"/>
  <c r="I399" i="6"/>
  <c r="B400" i="6"/>
  <c r="C400" i="6"/>
  <c r="D400" i="6"/>
  <c r="E400" i="6"/>
  <c r="G400" i="6"/>
  <c r="H400" i="6"/>
  <c r="I400" i="6"/>
  <c r="B401" i="6"/>
  <c r="C401" i="6"/>
  <c r="D401" i="6"/>
  <c r="E401" i="6"/>
  <c r="G401" i="6"/>
  <c r="H401" i="6"/>
  <c r="I401" i="6"/>
  <c r="B402" i="6"/>
  <c r="C402" i="6"/>
  <c r="D402" i="6"/>
  <c r="E402" i="6"/>
  <c r="G402" i="6"/>
  <c r="H402" i="6"/>
  <c r="I402" i="6"/>
  <c r="B403" i="6"/>
  <c r="C403" i="6"/>
  <c r="D403" i="6"/>
  <c r="E403" i="6"/>
  <c r="G403" i="6"/>
  <c r="H403" i="6"/>
  <c r="I403" i="6"/>
  <c r="B404" i="6"/>
  <c r="C404" i="6"/>
  <c r="D404" i="6"/>
  <c r="E404" i="6"/>
  <c r="G404" i="6"/>
  <c r="H404" i="6"/>
  <c r="I404" i="6"/>
  <c r="B405" i="6"/>
  <c r="C405" i="6"/>
  <c r="D405" i="6"/>
  <c r="E405" i="6"/>
  <c r="G405" i="6"/>
  <c r="H405" i="6"/>
  <c r="I405" i="6"/>
  <c r="B406" i="6"/>
  <c r="C406" i="6"/>
  <c r="D406" i="6"/>
  <c r="E406" i="6"/>
  <c r="G406" i="6"/>
  <c r="H406" i="6"/>
  <c r="I406" i="6"/>
  <c r="B407" i="6"/>
  <c r="C407" i="6"/>
  <c r="D407" i="6"/>
  <c r="E407" i="6"/>
  <c r="G407" i="6"/>
  <c r="H407" i="6"/>
  <c r="I407" i="6"/>
  <c r="B408" i="6"/>
  <c r="C408" i="6"/>
  <c r="D408" i="6"/>
  <c r="E408" i="6"/>
  <c r="G408" i="6"/>
  <c r="H408" i="6"/>
  <c r="I408" i="6"/>
  <c r="B409" i="6"/>
  <c r="C409" i="6"/>
  <c r="D409" i="6"/>
  <c r="E409" i="6"/>
  <c r="G409" i="6"/>
  <c r="H409" i="6"/>
  <c r="I409" i="6"/>
  <c r="B410" i="6"/>
  <c r="C410" i="6"/>
  <c r="D410" i="6"/>
  <c r="E410" i="6"/>
  <c r="G410" i="6"/>
  <c r="H410" i="6"/>
  <c r="I410" i="6"/>
  <c r="B411" i="6"/>
  <c r="C411" i="6"/>
  <c r="D411" i="6"/>
  <c r="E411" i="6"/>
  <c r="G411" i="6"/>
  <c r="H411" i="6"/>
  <c r="I411" i="6"/>
  <c r="B412" i="6"/>
  <c r="C412" i="6"/>
  <c r="D412" i="6"/>
  <c r="E412" i="6"/>
  <c r="G412" i="6"/>
  <c r="H412" i="6"/>
  <c r="I412" i="6"/>
  <c r="B413" i="6"/>
  <c r="C413" i="6"/>
  <c r="D413" i="6"/>
  <c r="E413" i="6"/>
  <c r="G413" i="6"/>
  <c r="H413" i="6"/>
  <c r="I413" i="6"/>
  <c r="B414" i="6"/>
  <c r="C414" i="6"/>
  <c r="D414" i="6"/>
  <c r="E414" i="6"/>
  <c r="G414" i="6"/>
  <c r="H414" i="6"/>
  <c r="I414" i="6"/>
  <c r="B415" i="6"/>
  <c r="C415" i="6"/>
  <c r="D415" i="6"/>
  <c r="E415" i="6"/>
  <c r="G415" i="6"/>
  <c r="H415" i="6"/>
  <c r="I415" i="6"/>
  <c r="B416" i="6"/>
  <c r="C416" i="6"/>
  <c r="D416" i="6"/>
  <c r="E416" i="6"/>
  <c r="G416" i="6"/>
  <c r="H416" i="6"/>
  <c r="I416" i="6"/>
  <c r="B417" i="6"/>
  <c r="C417" i="6"/>
  <c r="D417" i="6"/>
  <c r="E417" i="6"/>
  <c r="G417" i="6"/>
  <c r="H417" i="6"/>
  <c r="I417" i="6"/>
  <c r="B418" i="6"/>
  <c r="C418" i="6"/>
  <c r="D418" i="6"/>
  <c r="E418" i="6"/>
  <c r="G418" i="6"/>
  <c r="H418" i="6"/>
  <c r="I418" i="6"/>
  <c r="B419" i="6"/>
  <c r="C419" i="6"/>
  <c r="D419" i="6"/>
  <c r="E419" i="6"/>
  <c r="G419" i="6"/>
  <c r="H419" i="6"/>
  <c r="I419" i="6"/>
  <c r="B420" i="6"/>
  <c r="C420" i="6"/>
  <c r="D420" i="6"/>
  <c r="E420" i="6"/>
  <c r="G420" i="6"/>
  <c r="H420" i="6"/>
  <c r="I420" i="6"/>
  <c r="B421" i="6"/>
  <c r="C421" i="6"/>
  <c r="D421" i="6"/>
  <c r="E421" i="6"/>
  <c r="G421" i="6"/>
  <c r="H421" i="6"/>
  <c r="I421" i="6"/>
  <c r="B422" i="6"/>
  <c r="C422" i="6"/>
  <c r="D422" i="6"/>
  <c r="E422" i="6"/>
  <c r="G422" i="6"/>
  <c r="H422" i="6"/>
  <c r="I422" i="6"/>
  <c r="B423" i="6"/>
  <c r="C423" i="6"/>
  <c r="D423" i="6"/>
  <c r="E423" i="6"/>
  <c r="G423" i="6"/>
  <c r="H423" i="6"/>
  <c r="I423" i="6"/>
  <c r="B424" i="6"/>
  <c r="C424" i="6"/>
  <c r="D424" i="6"/>
  <c r="E424" i="6"/>
  <c r="G424" i="6"/>
  <c r="H424" i="6"/>
  <c r="I424" i="6"/>
  <c r="B425" i="6"/>
  <c r="C425" i="6"/>
  <c r="D425" i="6"/>
  <c r="E425" i="6"/>
  <c r="G425" i="6"/>
  <c r="H425" i="6"/>
  <c r="I425" i="6"/>
  <c r="B426" i="6"/>
  <c r="C426" i="6"/>
  <c r="D426" i="6"/>
  <c r="E426" i="6"/>
  <c r="G426" i="6"/>
  <c r="H426" i="6"/>
  <c r="I426" i="6"/>
  <c r="B427" i="6"/>
  <c r="C427" i="6"/>
  <c r="D427" i="6"/>
  <c r="E427" i="6"/>
  <c r="G427" i="6"/>
  <c r="H427" i="6"/>
  <c r="I427" i="6"/>
  <c r="B428" i="6"/>
  <c r="C428" i="6"/>
  <c r="D428" i="6"/>
  <c r="E428" i="6"/>
  <c r="G428" i="6"/>
  <c r="H428" i="6"/>
  <c r="I428" i="6"/>
  <c r="B429" i="6"/>
  <c r="C429" i="6"/>
  <c r="D429" i="6"/>
  <c r="E429" i="6"/>
  <c r="G429" i="6"/>
  <c r="H429" i="6"/>
  <c r="I429" i="6"/>
  <c r="B430" i="6"/>
  <c r="C430" i="6"/>
  <c r="D430" i="6"/>
  <c r="E430" i="6"/>
  <c r="G430" i="6"/>
  <c r="H430" i="6"/>
  <c r="I430" i="6"/>
  <c r="B431" i="6"/>
  <c r="C431" i="6"/>
  <c r="D431" i="6"/>
  <c r="E431" i="6"/>
  <c r="G431" i="6"/>
  <c r="H431" i="6"/>
  <c r="I431" i="6"/>
  <c r="B432" i="6"/>
  <c r="C432" i="6"/>
  <c r="D432" i="6"/>
  <c r="E432" i="6"/>
  <c r="G432" i="6"/>
  <c r="H432" i="6"/>
  <c r="I432" i="6"/>
  <c r="B433" i="6"/>
  <c r="C433" i="6"/>
  <c r="D433" i="6"/>
  <c r="E433" i="6"/>
  <c r="G433" i="6"/>
  <c r="H433" i="6"/>
  <c r="I433" i="6"/>
  <c r="B434" i="6"/>
  <c r="C434" i="6"/>
  <c r="D434" i="6"/>
  <c r="E434" i="6"/>
  <c r="G434" i="6"/>
  <c r="H434" i="6"/>
  <c r="I434" i="6"/>
  <c r="B435" i="6"/>
  <c r="C435" i="6"/>
  <c r="D435" i="6"/>
  <c r="E435" i="6"/>
  <c r="G435" i="6"/>
  <c r="H435" i="6"/>
  <c r="I435" i="6"/>
  <c r="B436" i="6"/>
  <c r="C436" i="6"/>
  <c r="D436" i="6"/>
  <c r="E436" i="6"/>
  <c r="G436" i="6"/>
  <c r="H436" i="6"/>
  <c r="I436" i="6"/>
  <c r="B437" i="6"/>
  <c r="C437" i="6"/>
  <c r="D437" i="6"/>
  <c r="E437" i="6"/>
  <c r="G437" i="6"/>
  <c r="H437" i="6"/>
  <c r="I437" i="6"/>
  <c r="B438" i="6"/>
  <c r="C438" i="6"/>
  <c r="D438" i="6"/>
  <c r="E438" i="6"/>
  <c r="G438" i="6"/>
  <c r="H438" i="6"/>
  <c r="I438" i="6"/>
  <c r="B439" i="6"/>
  <c r="C439" i="6"/>
  <c r="D439" i="6"/>
  <c r="E439" i="6"/>
  <c r="G439" i="6"/>
  <c r="H439" i="6"/>
  <c r="I439" i="6"/>
  <c r="B440" i="6"/>
  <c r="C440" i="6"/>
  <c r="D440" i="6"/>
  <c r="E440" i="6"/>
  <c r="G440" i="6"/>
  <c r="H440" i="6"/>
  <c r="I440" i="6"/>
  <c r="B441" i="6"/>
  <c r="C441" i="6"/>
  <c r="D441" i="6"/>
  <c r="E441" i="6"/>
  <c r="G441" i="6"/>
  <c r="H441" i="6"/>
  <c r="I441" i="6"/>
  <c r="B442" i="6"/>
  <c r="C442" i="6"/>
  <c r="D442" i="6"/>
  <c r="E442" i="6"/>
  <c r="G442" i="6"/>
  <c r="H442" i="6"/>
  <c r="I442" i="6"/>
  <c r="B443" i="6"/>
  <c r="C443" i="6"/>
  <c r="D443" i="6"/>
  <c r="E443" i="6"/>
  <c r="G443" i="6"/>
  <c r="H443" i="6"/>
  <c r="I443" i="6"/>
  <c r="B444" i="6"/>
  <c r="C444" i="6"/>
  <c r="D444" i="6"/>
  <c r="E444" i="6"/>
  <c r="G444" i="6"/>
  <c r="H444" i="6"/>
  <c r="I444" i="6"/>
  <c r="B445" i="6"/>
  <c r="C445" i="6"/>
  <c r="D445" i="6"/>
  <c r="E445" i="6"/>
  <c r="G445" i="6"/>
  <c r="H445" i="6"/>
  <c r="I445" i="6"/>
  <c r="B446" i="6"/>
  <c r="C446" i="6"/>
  <c r="D446" i="6"/>
  <c r="E446" i="6"/>
  <c r="G446" i="6"/>
  <c r="H446" i="6"/>
  <c r="I446" i="6"/>
  <c r="B447" i="6"/>
  <c r="C447" i="6"/>
  <c r="D447" i="6"/>
  <c r="E447" i="6"/>
  <c r="G447" i="6"/>
  <c r="H447" i="6"/>
  <c r="I447" i="6"/>
  <c r="B448" i="6"/>
  <c r="C448" i="6"/>
  <c r="D448" i="6"/>
  <c r="E448" i="6"/>
  <c r="G448" i="6"/>
  <c r="H448" i="6"/>
  <c r="I448" i="6"/>
  <c r="B449" i="6"/>
  <c r="C449" i="6"/>
  <c r="D449" i="6"/>
  <c r="E449" i="6"/>
  <c r="G449" i="6"/>
  <c r="H449" i="6"/>
  <c r="I449" i="6"/>
  <c r="B450" i="6"/>
  <c r="C450" i="6"/>
  <c r="D450" i="6"/>
  <c r="E450" i="6"/>
  <c r="G450" i="6"/>
  <c r="H450" i="6"/>
  <c r="I450" i="6"/>
  <c r="B451" i="6"/>
  <c r="C451" i="6"/>
  <c r="D451" i="6"/>
  <c r="E451" i="6"/>
  <c r="G451" i="6"/>
  <c r="H451" i="6"/>
  <c r="I451" i="6"/>
  <c r="B452" i="6"/>
  <c r="C452" i="6"/>
  <c r="D452" i="6"/>
  <c r="E452" i="6"/>
  <c r="G452" i="6"/>
  <c r="H452" i="6"/>
  <c r="I452" i="6"/>
  <c r="B453" i="6"/>
  <c r="C453" i="6"/>
  <c r="D453" i="6"/>
  <c r="E453" i="6"/>
  <c r="G453" i="6"/>
  <c r="H453" i="6"/>
  <c r="I453" i="6"/>
  <c r="B454" i="6"/>
  <c r="C454" i="6"/>
  <c r="D454" i="6"/>
  <c r="E454" i="6"/>
  <c r="G454" i="6"/>
  <c r="H454" i="6"/>
  <c r="I454" i="6"/>
  <c r="B455" i="6"/>
  <c r="C455" i="6"/>
  <c r="D455" i="6"/>
  <c r="E455" i="6"/>
  <c r="G455" i="6"/>
  <c r="H455" i="6"/>
  <c r="I455" i="6"/>
  <c r="B456" i="6"/>
  <c r="C456" i="6"/>
  <c r="D456" i="6"/>
  <c r="E456" i="6"/>
  <c r="G456" i="6"/>
  <c r="H456" i="6"/>
  <c r="I456" i="6"/>
  <c r="B457" i="6"/>
  <c r="C457" i="6"/>
  <c r="D457" i="6"/>
  <c r="E457" i="6"/>
  <c r="G457" i="6"/>
  <c r="H457" i="6"/>
  <c r="I457" i="6"/>
  <c r="B458" i="6"/>
  <c r="C458" i="6"/>
  <c r="D458" i="6"/>
  <c r="E458" i="6"/>
  <c r="G458" i="6"/>
  <c r="H458" i="6"/>
  <c r="I458" i="6"/>
  <c r="B459" i="6"/>
  <c r="C459" i="6"/>
  <c r="D459" i="6"/>
  <c r="E459" i="6"/>
  <c r="G459" i="6"/>
  <c r="H459" i="6"/>
  <c r="I459" i="6"/>
  <c r="B460" i="6"/>
  <c r="C460" i="6"/>
  <c r="D460" i="6"/>
  <c r="E460" i="6"/>
  <c r="G460" i="6"/>
  <c r="H460" i="6"/>
  <c r="I460" i="6"/>
  <c r="B461" i="6"/>
  <c r="C461" i="6"/>
  <c r="D461" i="6"/>
  <c r="E461" i="6"/>
  <c r="G461" i="6"/>
  <c r="H461" i="6"/>
  <c r="I461" i="6"/>
  <c r="B462" i="6"/>
  <c r="C462" i="6"/>
  <c r="D462" i="6"/>
  <c r="E462" i="6"/>
  <c r="G462" i="6"/>
  <c r="H462" i="6"/>
  <c r="I462" i="6"/>
  <c r="B463" i="6"/>
  <c r="C463" i="6"/>
  <c r="D463" i="6"/>
  <c r="E463" i="6"/>
  <c r="G463" i="6"/>
  <c r="H463" i="6"/>
  <c r="I463" i="6"/>
  <c r="B464" i="6"/>
  <c r="C464" i="6"/>
  <c r="D464" i="6"/>
  <c r="E464" i="6"/>
  <c r="G464" i="6"/>
  <c r="H464" i="6"/>
  <c r="I464" i="6"/>
  <c r="B465" i="6"/>
  <c r="C465" i="6"/>
  <c r="D465" i="6"/>
  <c r="E465" i="6"/>
  <c r="G465" i="6"/>
  <c r="H465" i="6"/>
  <c r="I465" i="6"/>
  <c r="B466" i="6"/>
  <c r="C466" i="6"/>
  <c r="D466" i="6"/>
  <c r="E466" i="6"/>
  <c r="G466" i="6"/>
  <c r="H466" i="6"/>
  <c r="I466" i="6"/>
  <c r="B467" i="6"/>
  <c r="C467" i="6"/>
  <c r="D467" i="6"/>
  <c r="E467" i="6"/>
  <c r="G467" i="6"/>
  <c r="H467" i="6"/>
  <c r="I467" i="6"/>
  <c r="B468" i="6"/>
  <c r="C468" i="6"/>
  <c r="D468" i="6"/>
  <c r="E468" i="6"/>
  <c r="G468" i="6"/>
  <c r="H468" i="6"/>
  <c r="I468" i="6"/>
  <c r="B469" i="6"/>
  <c r="C469" i="6"/>
  <c r="D469" i="6"/>
  <c r="E469" i="6"/>
  <c r="G469" i="6"/>
  <c r="H469" i="6"/>
  <c r="I469" i="6"/>
  <c r="B470" i="6"/>
  <c r="C470" i="6"/>
  <c r="D470" i="6"/>
  <c r="E470" i="6"/>
  <c r="G470" i="6"/>
  <c r="H470" i="6"/>
  <c r="I470" i="6"/>
  <c r="B471" i="6"/>
  <c r="C471" i="6"/>
  <c r="D471" i="6"/>
  <c r="E471" i="6"/>
  <c r="G471" i="6"/>
  <c r="H471" i="6"/>
  <c r="I471" i="6"/>
  <c r="B472" i="6"/>
  <c r="C472" i="6"/>
  <c r="D472" i="6"/>
  <c r="E472" i="6"/>
  <c r="G472" i="6"/>
  <c r="H472" i="6"/>
  <c r="I472" i="6"/>
  <c r="B473" i="6"/>
  <c r="C473" i="6"/>
  <c r="D473" i="6"/>
  <c r="E473" i="6"/>
  <c r="G473" i="6"/>
  <c r="H473" i="6"/>
  <c r="I473" i="6"/>
  <c r="B474" i="6"/>
  <c r="C474" i="6"/>
  <c r="D474" i="6"/>
  <c r="E474" i="6"/>
  <c r="G474" i="6"/>
  <c r="H474" i="6"/>
  <c r="I474" i="6"/>
  <c r="B475" i="6"/>
  <c r="C475" i="6"/>
  <c r="D475" i="6"/>
  <c r="E475" i="6"/>
  <c r="G475" i="6"/>
  <c r="H475" i="6"/>
  <c r="I475" i="6"/>
  <c r="B476" i="6"/>
  <c r="C476" i="6"/>
  <c r="D476" i="6"/>
  <c r="E476" i="6"/>
  <c r="G476" i="6"/>
  <c r="H476" i="6"/>
  <c r="I476" i="6"/>
  <c r="B477" i="6"/>
  <c r="C477" i="6"/>
  <c r="D477" i="6"/>
  <c r="E477" i="6"/>
  <c r="G477" i="6"/>
  <c r="H477" i="6"/>
  <c r="I477" i="6"/>
  <c r="B478" i="6"/>
  <c r="C478" i="6"/>
  <c r="D478" i="6"/>
  <c r="E478" i="6"/>
  <c r="G478" i="6"/>
  <c r="H478" i="6"/>
  <c r="I478" i="6"/>
  <c r="B479" i="6"/>
  <c r="C479" i="6"/>
  <c r="D479" i="6"/>
  <c r="E479" i="6"/>
  <c r="G479" i="6"/>
  <c r="H479" i="6"/>
  <c r="I479" i="6"/>
  <c r="B480" i="6"/>
  <c r="C480" i="6"/>
  <c r="D480" i="6"/>
  <c r="E480" i="6"/>
  <c r="G480" i="6"/>
  <c r="H480" i="6"/>
  <c r="I480" i="6"/>
  <c r="B481" i="6"/>
  <c r="C481" i="6"/>
  <c r="D481" i="6"/>
  <c r="E481" i="6"/>
  <c r="G481" i="6"/>
  <c r="H481" i="6"/>
  <c r="I481" i="6"/>
  <c r="B482" i="6"/>
  <c r="C482" i="6"/>
  <c r="D482" i="6"/>
  <c r="E482" i="6"/>
  <c r="G482" i="6"/>
  <c r="H482" i="6"/>
  <c r="I482" i="6"/>
  <c r="B483" i="6"/>
  <c r="C483" i="6"/>
  <c r="D483" i="6"/>
  <c r="E483" i="6"/>
  <c r="G483" i="6"/>
  <c r="H483" i="6"/>
  <c r="I483" i="6"/>
  <c r="B484" i="6"/>
  <c r="C484" i="6"/>
  <c r="D484" i="6"/>
  <c r="E484" i="6"/>
  <c r="G484" i="6"/>
  <c r="H484" i="6"/>
  <c r="I484" i="6"/>
  <c r="B485" i="6"/>
  <c r="C485" i="6"/>
  <c r="D485" i="6"/>
  <c r="E485" i="6"/>
  <c r="G485" i="6"/>
  <c r="H485" i="6"/>
  <c r="I485" i="6"/>
  <c r="B486" i="6"/>
  <c r="C486" i="6"/>
  <c r="D486" i="6"/>
  <c r="E486" i="6"/>
  <c r="G486" i="6"/>
  <c r="H486" i="6"/>
  <c r="I486" i="6"/>
  <c r="B487" i="6"/>
  <c r="C487" i="6"/>
  <c r="D487" i="6"/>
  <c r="E487" i="6"/>
  <c r="G487" i="6"/>
  <c r="H487" i="6"/>
  <c r="I487" i="6"/>
  <c r="B488" i="6"/>
  <c r="C488" i="6"/>
  <c r="D488" i="6"/>
  <c r="E488" i="6"/>
  <c r="G488" i="6"/>
  <c r="H488" i="6"/>
  <c r="I488" i="6"/>
  <c r="B489" i="6"/>
  <c r="C489" i="6"/>
  <c r="D489" i="6"/>
  <c r="E489" i="6"/>
  <c r="G489" i="6"/>
  <c r="H489" i="6"/>
  <c r="I489" i="6"/>
  <c r="B490" i="6"/>
  <c r="C490" i="6"/>
  <c r="D490" i="6"/>
  <c r="E490" i="6"/>
  <c r="G490" i="6"/>
  <c r="H490" i="6"/>
  <c r="I490" i="6"/>
  <c r="B491" i="6"/>
  <c r="C491" i="6"/>
  <c r="D491" i="6"/>
  <c r="E491" i="6"/>
  <c r="G491" i="6"/>
  <c r="H491" i="6"/>
  <c r="I491" i="6"/>
  <c r="B492" i="6"/>
  <c r="C492" i="6"/>
  <c r="D492" i="6"/>
  <c r="E492" i="6"/>
  <c r="G492" i="6"/>
  <c r="H492" i="6"/>
  <c r="I492" i="6"/>
  <c r="B493" i="6"/>
  <c r="C493" i="6"/>
  <c r="D493" i="6"/>
  <c r="E493" i="6"/>
  <c r="G493" i="6"/>
  <c r="H493" i="6"/>
  <c r="I493" i="6"/>
  <c r="B494" i="6"/>
  <c r="C494" i="6"/>
  <c r="D494" i="6"/>
  <c r="E494" i="6"/>
  <c r="G494" i="6"/>
  <c r="H494" i="6"/>
  <c r="I494" i="6"/>
  <c r="B495" i="6"/>
  <c r="C495" i="6"/>
  <c r="D495" i="6"/>
  <c r="E495" i="6"/>
  <c r="G495" i="6"/>
  <c r="H495" i="6"/>
  <c r="I495" i="6"/>
  <c r="B496" i="6"/>
  <c r="C496" i="6"/>
  <c r="D496" i="6"/>
  <c r="E496" i="6"/>
  <c r="G496" i="6"/>
  <c r="H496" i="6"/>
  <c r="I496" i="6"/>
  <c r="B497" i="6"/>
  <c r="C497" i="6"/>
  <c r="D497" i="6"/>
  <c r="E497" i="6"/>
  <c r="G497" i="6"/>
  <c r="H497" i="6"/>
  <c r="I497" i="6"/>
  <c r="B498" i="6"/>
  <c r="C498" i="6"/>
  <c r="D498" i="6"/>
  <c r="E498" i="6"/>
  <c r="G498" i="6"/>
  <c r="H498" i="6"/>
  <c r="I498" i="6"/>
  <c r="B499" i="6"/>
  <c r="C499" i="6"/>
  <c r="D499" i="6"/>
  <c r="E499" i="6"/>
  <c r="G499" i="6"/>
  <c r="H499" i="6"/>
  <c r="I499" i="6"/>
  <c r="B500" i="6"/>
  <c r="C500" i="6"/>
  <c r="D500" i="6"/>
  <c r="E500" i="6"/>
  <c r="G500" i="6"/>
  <c r="H500" i="6"/>
  <c r="I500" i="6"/>
  <c r="B501" i="6"/>
  <c r="C501" i="6"/>
  <c r="D501" i="6"/>
  <c r="E501" i="6"/>
  <c r="G501" i="6"/>
  <c r="H501" i="6"/>
  <c r="I501" i="6"/>
  <c r="B502" i="6"/>
  <c r="C502" i="6"/>
  <c r="D502" i="6"/>
  <c r="E502" i="6"/>
  <c r="G502" i="6"/>
  <c r="H502" i="6"/>
  <c r="I502" i="6"/>
  <c r="B503" i="6"/>
  <c r="C503" i="6"/>
  <c r="D503" i="6"/>
  <c r="E503" i="6"/>
  <c r="G503" i="6"/>
  <c r="H503" i="6"/>
  <c r="I503" i="6"/>
  <c r="B504" i="6"/>
  <c r="C504" i="6"/>
  <c r="D504" i="6"/>
  <c r="E504" i="6"/>
  <c r="G504" i="6"/>
  <c r="H504" i="6"/>
  <c r="I504" i="6"/>
  <c r="B505" i="6"/>
  <c r="C505" i="6"/>
  <c r="D505" i="6"/>
  <c r="E505" i="6"/>
  <c r="G505" i="6"/>
  <c r="H505" i="6"/>
  <c r="I505" i="6"/>
  <c r="B506" i="6"/>
  <c r="C506" i="6"/>
  <c r="D506" i="6"/>
  <c r="E506" i="6"/>
  <c r="G506" i="6"/>
  <c r="H506" i="6"/>
  <c r="I506" i="6"/>
  <c r="B507" i="6"/>
  <c r="C507" i="6"/>
  <c r="D507" i="6"/>
  <c r="E507" i="6"/>
  <c r="G507" i="6"/>
  <c r="H507" i="6"/>
  <c r="I507" i="6"/>
  <c r="B508" i="6"/>
  <c r="C508" i="6"/>
  <c r="D508" i="6"/>
  <c r="E508" i="6"/>
  <c r="G508" i="6"/>
  <c r="H508" i="6"/>
  <c r="I508" i="6"/>
  <c r="B509" i="6"/>
  <c r="C509" i="6"/>
  <c r="D509" i="6"/>
  <c r="E509" i="6"/>
  <c r="G509" i="6"/>
  <c r="H509" i="6"/>
  <c r="I509" i="6"/>
  <c r="B510" i="6"/>
  <c r="C510" i="6"/>
  <c r="D510" i="6"/>
  <c r="E510" i="6"/>
  <c r="G510" i="6"/>
  <c r="H510" i="6"/>
  <c r="I510" i="6"/>
  <c r="B511" i="6"/>
  <c r="C511" i="6"/>
  <c r="D511" i="6"/>
  <c r="E511" i="6"/>
  <c r="G511" i="6"/>
  <c r="H511" i="6"/>
  <c r="I511" i="6"/>
  <c r="B512" i="6"/>
  <c r="C512" i="6"/>
  <c r="D512" i="6"/>
  <c r="E512" i="6"/>
  <c r="G512" i="6"/>
  <c r="H512" i="6"/>
  <c r="I512" i="6"/>
  <c r="B513" i="6"/>
  <c r="C513" i="6"/>
  <c r="D513" i="6"/>
  <c r="E513" i="6"/>
  <c r="G513" i="6"/>
  <c r="H513" i="6"/>
  <c r="I513" i="6"/>
  <c r="B514" i="6"/>
  <c r="C514" i="6"/>
  <c r="D514" i="6"/>
  <c r="E514" i="6"/>
  <c r="G514" i="6"/>
  <c r="H514" i="6"/>
  <c r="I514" i="6"/>
  <c r="B515" i="6"/>
  <c r="C515" i="6"/>
  <c r="D515" i="6"/>
  <c r="E515" i="6"/>
  <c r="G515" i="6"/>
  <c r="H515" i="6"/>
  <c r="I515" i="6"/>
  <c r="B516" i="6"/>
  <c r="C516" i="6"/>
  <c r="D516" i="6"/>
  <c r="E516" i="6"/>
  <c r="G516" i="6"/>
  <c r="H516" i="6"/>
  <c r="I516" i="6"/>
  <c r="B517" i="6"/>
  <c r="C517" i="6"/>
  <c r="D517" i="6"/>
  <c r="E517" i="6"/>
  <c r="G517" i="6"/>
  <c r="H517" i="6"/>
  <c r="I517" i="6"/>
  <c r="B518" i="6"/>
  <c r="C518" i="6"/>
  <c r="D518" i="6"/>
  <c r="E518" i="6"/>
  <c r="G518" i="6"/>
  <c r="H518" i="6"/>
  <c r="I518" i="6"/>
  <c r="B519" i="6"/>
  <c r="C519" i="6"/>
  <c r="D519" i="6"/>
  <c r="E519" i="6"/>
  <c r="G519" i="6"/>
  <c r="H519" i="6"/>
  <c r="I519" i="6"/>
  <c r="B520" i="6"/>
  <c r="C520" i="6"/>
  <c r="D520" i="6"/>
  <c r="E520" i="6"/>
  <c r="G520" i="6"/>
  <c r="H520" i="6"/>
  <c r="I520" i="6"/>
  <c r="B521" i="6"/>
  <c r="C521" i="6"/>
  <c r="D521" i="6"/>
  <c r="E521" i="6"/>
  <c r="G521" i="6"/>
  <c r="H521" i="6"/>
  <c r="I521" i="6"/>
  <c r="B522" i="6"/>
  <c r="C522" i="6"/>
  <c r="D522" i="6"/>
  <c r="E522" i="6"/>
  <c r="G522" i="6"/>
  <c r="H522" i="6"/>
  <c r="I522" i="6"/>
  <c r="B523" i="6"/>
  <c r="C523" i="6"/>
  <c r="D523" i="6"/>
  <c r="E523" i="6"/>
  <c r="G523" i="6"/>
  <c r="H523" i="6"/>
  <c r="I523" i="6"/>
  <c r="B524" i="6"/>
  <c r="C524" i="6"/>
  <c r="D524" i="6"/>
  <c r="E524" i="6"/>
  <c r="G524" i="6"/>
  <c r="H524" i="6"/>
  <c r="I524" i="6"/>
  <c r="B525" i="6"/>
  <c r="C525" i="6"/>
  <c r="D525" i="6"/>
  <c r="E525" i="6"/>
  <c r="G525" i="6"/>
  <c r="H525" i="6"/>
  <c r="I525" i="6"/>
  <c r="B526" i="6"/>
  <c r="C526" i="6"/>
  <c r="D526" i="6"/>
  <c r="E526" i="6"/>
  <c r="G526" i="6"/>
  <c r="H526" i="6"/>
  <c r="I526" i="6"/>
  <c r="B527" i="6"/>
  <c r="C527" i="6"/>
  <c r="D527" i="6"/>
  <c r="E527" i="6"/>
  <c r="G527" i="6"/>
  <c r="H527" i="6"/>
  <c r="I527" i="6"/>
  <c r="B528" i="6"/>
  <c r="C528" i="6"/>
  <c r="D528" i="6"/>
  <c r="E528" i="6"/>
  <c r="G528" i="6"/>
  <c r="H528" i="6"/>
  <c r="I528" i="6"/>
  <c r="B529" i="6"/>
  <c r="C529" i="6"/>
  <c r="D529" i="6"/>
  <c r="E529" i="6"/>
  <c r="G529" i="6"/>
  <c r="H529" i="6"/>
  <c r="I529" i="6"/>
  <c r="B530" i="6"/>
  <c r="C530" i="6"/>
  <c r="D530" i="6"/>
  <c r="E530" i="6"/>
  <c r="G530" i="6"/>
  <c r="H530" i="6"/>
  <c r="I530" i="6"/>
  <c r="B531" i="6"/>
  <c r="C531" i="6"/>
  <c r="D531" i="6"/>
  <c r="E531" i="6"/>
  <c r="G531" i="6"/>
  <c r="H531" i="6"/>
  <c r="I531" i="6"/>
  <c r="B532" i="6"/>
  <c r="C532" i="6"/>
  <c r="D532" i="6"/>
  <c r="E532" i="6"/>
  <c r="G532" i="6"/>
  <c r="H532" i="6"/>
  <c r="I532" i="6"/>
  <c r="B533" i="6"/>
  <c r="C533" i="6"/>
  <c r="D533" i="6"/>
  <c r="E533" i="6"/>
  <c r="G533" i="6"/>
  <c r="H533" i="6"/>
  <c r="I533" i="6"/>
  <c r="B534" i="6"/>
  <c r="C534" i="6"/>
  <c r="D534" i="6"/>
  <c r="E534" i="6"/>
  <c r="G534" i="6"/>
  <c r="H534" i="6"/>
  <c r="I534" i="6"/>
  <c r="B535" i="6"/>
  <c r="C535" i="6"/>
  <c r="D535" i="6"/>
  <c r="E535" i="6"/>
  <c r="G535" i="6"/>
  <c r="H535" i="6"/>
  <c r="I535" i="6"/>
  <c r="B536" i="6"/>
  <c r="C536" i="6"/>
  <c r="D536" i="6"/>
  <c r="E536" i="6"/>
  <c r="G536" i="6"/>
  <c r="H536" i="6"/>
  <c r="I536" i="6"/>
  <c r="B537" i="6"/>
  <c r="C537" i="6"/>
  <c r="D537" i="6"/>
  <c r="E537" i="6"/>
  <c r="G537" i="6"/>
  <c r="H537" i="6"/>
  <c r="I537" i="6"/>
  <c r="B538" i="6"/>
  <c r="C538" i="6"/>
  <c r="D538" i="6"/>
  <c r="E538" i="6"/>
  <c r="G538" i="6"/>
  <c r="H538" i="6"/>
  <c r="I538" i="6"/>
  <c r="B539" i="6"/>
  <c r="C539" i="6"/>
  <c r="D539" i="6"/>
  <c r="E539" i="6"/>
  <c r="G539" i="6"/>
  <c r="H539" i="6"/>
  <c r="I539" i="6"/>
  <c r="B540" i="6"/>
  <c r="C540" i="6"/>
  <c r="D540" i="6"/>
  <c r="E540" i="6"/>
  <c r="G540" i="6"/>
  <c r="H540" i="6"/>
  <c r="I540" i="6"/>
  <c r="B541" i="6"/>
  <c r="C541" i="6"/>
  <c r="D541" i="6"/>
  <c r="E541" i="6"/>
  <c r="G541" i="6"/>
  <c r="H541" i="6"/>
  <c r="I541" i="6"/>
  <c r="B542" i="6"/>
  <c r="C542" i="6"/>
  <c r="D542" i="6"/>
  <c r="E542" i="6"/>
  <c r="G542" i="6"/>
  <c r="H542" i="6"/>
  <c r="I542" i="6"/>
  <c r="B543" i="6"/>
  <c r="C543" i="6"/>
  <c r="D543" i="6"/>
  <c r="E543" i="6"/>
  <c r="G543" i="6"/>
  <c r="H543" i="6"/>
  <c r="I543" i="6"/>
  <c r="B544" i="6"/>
  <c r="C544" i="6"/>
  <c r="D544" i="6"/>
  <c r="E544" i="6"/>
  <c r="G544" i="6"/>
  <c r="H544" i="6"/>
  <c r="I544" i="6"/>
  <c r="B545" i="6"/>
  <c r="C545" i="6"/>
  <c r="D545" i="6"/>
  <c r="E545" i="6"/>
  <c r="G545" i="6"/>
  <c r="H545" i="6"/>
  <c r="I545" i="6"/>
  <c r="B546" i="6"/>
  <c r="C546" i="6"/>
  <c r="D546" i="6"/>
  <c r="E546" i="6"/>
  <c r="G546" i="6"/>
  <c r="H546" i="6"/>
  <c r="I546" i="6"/>
  <c r="B547" i="6"/>
  <c r="C547" i="6"/>
  <c r="D547" i="6"/>
  <c r="E547" i="6"/>
  <c r="G547" i="6"/>
  <c r="H547" i="6"/>
  <c r="I547" i="6"/>
  <c r="B548" i="6"/>
  <c r="C548" i="6"/>
  <c r="D548" i="6"/>
  <c r="E548" i="6"/>
  <c r="G548" i="6"/>
  <c r="H548" i="6"/>
  <c r="I548" i="6"/>
  <c r="B549" i="6"/>
  <c r="C549" i="6"/>
  <c r="D549" i="6"/>
  <c r="E549" i="6"/>
  <c r="G549" i="6"/>
  <c r="H549" i="6"/>
  <c r="I549" i="6"/>
  <c r="B550" i="6"/>
  <c r="C550" i="6"/>
  <c r="D550" i="6"/>
  <c r="E550" i="6"/>
  <c r="G550" i="6"/>
  <c r="H550" i="6"/>
  <c r="I550" i="6"/>
  <c r="B551" i="6"/>
  <c r="C551" i="6"/>
  <c r="D551" i="6"/>
  <c r="E551" i="6"/>
  <c r="G551" i="6"/>
  <c r="H551" i="6"/>
  <c r="I551" i="6"/>
  <c r="B552" i="6"/>
  <c r="C552" i="6"/>
  <c r="D552" i="6"/>
  <c r="E552" i="6"/>
  <c r="G552" i="6"/>
  <c r="H552" i="6"/>
  <c r="I552" i="6"/>
  <c r="B553" i="6"/>
  <c r="C553" i="6"/>
  <c r="D553" i="6"/>
  <c r="E553" i="6"/>
  <c r="G553" i="6"/>
  <c r="H553" i="6"/>
  <c r="I553" i="6"/>
  <c r="B554" i="6"/>
  <c r="C554" i="6"/>
  <c r="D554" i="6"/>
  <c r="E554" i="6"/>
  <c r="G554" i="6"/>
  <c r="H554" i="6"/>
  <c r="I554" i="6"/>
  <c r="B555" i="6"/>
  <c r="C555" i="6"/>
  <c r="D555" i="6"/>
  <c r="E555" i="6"/>
  <c r="G555" i="6"/>
  <c r="H555" i="6"/>
  <c r="I555" i="6"/>
  <c r="B556" i="6"/>
  <c r="C556" i="6"/>
  <c r="D556" i="6"/>
  <c r="E556" i="6"/>
  <c r="G556" i="6"/>
  <c r="H556" i="6"/>
  <c r="I556" i="6"/>
  <c r="B557" i="6"/>
  <c r="C557" i="6"/>
  <c r="D557" i="6"/>
  <c r="E557" i="6"/>
  <c r="G557" i="6"/>
  <c r="H557" i="6"/>
  <c r="I557" i="6"/>
  <c r="B558" i="6"/>
  <c r="C558" i="6"/>
  <c r="D558" i="6"/>
  <c r="E558" i="6"/>
  <c r="G558" i="6"/>
  <c r="H558" i="6"/>
  <c r="I558" i="6"/>
  <c r="B559" i="6"/>
  <c r="C559" i="6"/>
  <c r="D559" i="6"/>
  <c r="E559" i="6"/>
  <c r="G559" i="6"/>
  <c r="H559" i="6"/>
  <c r="I559" i="6"/>
  <c r="B560" i="6"/>
  <c r="C560" i="6"/>
  <c r="D560" i="6"/>
  <c r="E560" i="6"/>
  <c r="G560" i="6"/>
  <c r="H560" i="6"/>
  <c r="I560" i="6"/>
  <c r="B561" i="6"/>
  <c r="C561" i="6"/>
  <c r="D561" i="6"/>
  <c r="E561" i="6"/>
  <c r="G561" i="6"/>
  <c r="H561" i="6"/>
  <c r="I561" i="6"/>
  <c r="B562" i="6"/>
  <c r="C562" i="6"/>
  <c r="D562" i="6"/>
  <c r="E562" i="6"/>
  <c r="G562" i="6"/>
  <c r="H562" i="6"/>
  <c r="I562" i="6"/>
  <c r="B563" i="6"/>
  <c r="C563" i="6"/>
  <c r="D563" i="6"/>
  <c r="E563" i="6"/>
  <c r="G563" i="6"/>
  <c r="H563" i="6"/>
  <c r="I563" i="6"/>
  <c r="B564" i="6"/>
  <c r="C564" i="6"/>
  <c r="D564" i="6"/>
  <c r="E564" i="6"/>
  <c r="G564" i="6"/>
  <c r="H564" i="6"/>
  <c r="I564" i="6"/>
  <c r="B565" i="6"/>
  <c r="C565" i="6"/>
  <c r="D565" i="6"/>
  <c r="E565" i="6"/>
  <c r="G565" i="6"/>
  <c r="H565" i="6"/>
  <c r="I565" i="6"/>
  <c r="B566" i="6"/>
  <c r="C566" i="6"/>
  <c r="D566" i="6"/>
  <c r="E566" i="6"/>
  <c r="G566" i="6"/>
  <c r="H566" i="6"/>
  <c r="I566" i="6"/>
  <c r="B567" i="6"/>
  <c r="C567" i="6"/>
  <c r="D567" i="6"/>
  <c r="E567" i="6"/>
  <c r="G567" i="6"/>
  <c r="H567" i="6"/>
  <c r="I567" i="6"/>
  <c r="B568" i="6"/>
  <c r="C568" i="6"/>
  <c r="D568" i="6"/>
  <c r="E568" i="6"/>
  <c r="G568" i="6"/>
  <c r="H568" i="6"/>
  <c r="I568" i="6"/>
  <c r="B569" i="6"/>
  <c r="C569" i="6"/>
  <c r="D569" i="6"/>
  <c r="E569" i="6"/>
  <c r="G569" i="6"/>
  <c r="H569" i="6"/>
  <c r="I569" i="6"/>
  <c r="B570" i="6"/>
  <c r="C570" i="6"/>
  <c r="D570" i="6"/>
  <c r="E570" i="6"/>
  <c r="G570" i="6"/>
  <c r="H570" i="6"/>
  <c r="I570" i="6"/>
  <c r="B571" i="6"/>
  <c r="C571" i="6"/>
  <c r="D571" i="6"/>
  <c r="E571" i="6"/>
  <c r="G571" i="6"/>
  <c r="H571" i="6"/>
  <c r="I571" i="6"/>
  <c r="B572" i="6"/>
  <c r="C572" i="6"/>
  <c r="D572" i="6"/>
  <c r="E572" i="6"/>
  <c r="G572" i="6"/>
  <c r="H572" i="6"/>
  <c r="I572" i="6"/>
  <c r="B573" i="6"/>
  <c r="C573" i="6"/>
  <c r="D573" i="6"/>
  <c r="E573" i="6"/>
  <c r="G573" i="6"/>
  <c r="H573" i="6"/>
  <c r="I573" i="6"/>
  <c r="B574" i="6"/>
  <c r="C574" i="6"/>
  <c r="D574" i="6"/>
  <c r="E574" i="6"/>
  <c r="G574" i="6"/>
  <c r="H574" i="6"/>
  <c r="I574" i="6"/>
  <c r="B575" i="6"/>
  <c r="C575" i="6"/>
  <c r="D575" i="6"/>
  <c r="E575" i="6"/>
  <c r="G575" i="6"/>
  <c r="H575" i="6"/>
  <c r="I575" i="6"/>
  <c r="B576" i="6"/>
  <c r="C576" i="6"/>
  <c r="D576" i="6"/>
  <c r="E576" i="6"/>
  <c r="G576" i="6"/>
  <c r="H576" i="6"/>
  <c r="I576" i="6"/>
  <c r="B577" i="6"/>
  <c r="C577" i="6"/>
  <c r="D577" i="6"/>
  <c r="E577" i="6"/>
  <c r="G577" i="6"/>
  <c r="H577" i="6"/>
  <c r="I577" i="6"/>
  <c r="B578" i="6"/>
  <c r="C578" i="6"/>
  <c r="D578" i="6"/>
  <c r="E578" i="6"/>
  <c r="G578" i="6"/>
  <c r="H578" i="6"/>
  <c r="I578" i="6"/>
  <c r="B579" i="6"/>
  <c r="C579" i="6"/>
  <c r="D579" i="6"/>
  <c r="E579" i="6"/>
  <c r="G579" i="6"/>
  <c r="H579" i="6"/>
  <c r="I579" i="6"/>
  <c r="B580" i="6"/>
  <c r="C580" i="6"/>
  <c r="D580" i="6"/>
  <c r="E580" i="6"/>
  <c r="G580" i="6"/>
  <c r="H580" i="6"/>
  <c r="I580" i="6"/>
  <c r="B581" i="6"/>
  <c r="C581" i="6"/>
  <c r="D581" i="6"/>
  <c r="E581" i="6"/>
  <c r="G581" i="6"/>
  <c r="H581" i="6"/>
  <c r="I581" i="6"/>
  <c r="B582" i="6"/>
  <c r="C582" i="6"/>
  <c r="D582" i="6"/>
  <c r="E582" i="6"/>
  <c r="G582" i="6"/>
  <c r="H582" i="6"/>
  <c r="I582" i="6"/>
  <c r="B583" i="6"/>
  <c r="C583" i="6"/>
  <c r="D583" i="6"/>
  <c r="E583" i="6"/>
  <c r="G583" i="6"/>
  <c r="H583" i="6"/>
  <c r="I583" i="6"/>
  <c r="B584" i="6"/>
  <c r="C584" i="6"/>
  <c r="D584" i="6"/>
  <c r="E584" i="6"/>
  <c r="G584" i="6"/>
  <c r="H584" i="6"/>
  <c r="I584" i="6"/>
  <c r="B585" i="6"/>
  <c r="C585" i="6"/>
  <c r="D585" i="6"/>
  <c r="E585" i="6"/>
  <c r="G585" i="6"/>
  <c r="H585" i="6"/>
  <c r="I585" i="6"/>
  <c r="B586" i="6"/>
  <c r="C586" i="6"/>
  <c r="D586" i="6"/>
  <c r="E586" i="6"/>
  <c r="G586" i="6"/>
  <c r="H586" i="6"/>
  <c r="I586" i="6"/>
  <c r="B587" i="6"/>
  <c r="C587" i="6"/>
  <c r="D587" i="6"/>
  <c r="E587" i="6"/>
  <c r="G587" i="6"/>
  <c r="H587" i="6"/>
  <c r="I587" i="6"/>
  <c r="B588" i="6"/>
  <c r="C588" i="6"/>
  <c r="D588" i="6"/>
  <c r="E588" i="6"/>
  <c r="G588" i="6"/>
  <c r="H588" i="6"/>
  <c r="I588" i="6"/>
  <c r="B589" i="6"/>
  <c r="C589" i="6"/>
  <c r="D589" i="6"/>
  <c r="E589" i="6"/>
  <c r="G589" i="6"/>
  <c r="H589" i="6"/>
  <c r="I589" i="6"/>
  <c r="B590" i="6"/>
  <c r="C590" i="6"/>
  <c r="D590" i="6"/>
  <c r="E590" i="6"/>
  <c r="G590" i="6"/>
  <c r="H590" i="6"/>
  <c r="I590" i="6"/>
  <c r="B591" i="6"/>
  <c r="C591" i="6"/>
  <c r="D591" i="6"/>
  <c r="E591" i="6"/>
  <c r="G591" i="6"/>
  <c r="H591" i="6"/>
  <c r="I591" i="6"/>
  <c r="B592" i="6"/>
  <c r="C592" i="6"/>
  <c r="D592" i="6"/>
  <c r="E592" i="6"/>
  <c r="G592" i="6"/>
  <c r="H592" i="6"/>
  <c r="I592" i="6"/>
  <c r="B593" i="6"/>
  <c r="C593" i="6"/>
  <c r="D593" i="6"/>
  <c r="E593" i="6"/>
  <c r="G593" i="6"/>
  <c r="H593" i="6"/>
  <c r="I593" i="6"/>
  <c r="B594" i="6"/>
  <c r="C594" i="6"/>
  <c r="D594" i="6"/>
  <c r="E594" i="6"/>
  <c r="G594" i="6"/>
  <c r="H594" i="6"/>
  <c r="I594" i="6"/>
  <c r="B595" i="6"/>
  <c r="C595" i="6"/>
  <c r="D595" i="6"/>
  <c r="E595" i="6"/>
  <c r="G595" i="6"/>
  <c r="H595" i="6"/>
  <c r="I595" i="6"/>
  <c r="B596" i="6"/>
  <c r="C596" i="6"/>
  <c r="D596" i="6"/>
  <c r="E596" i="6"/>
  <c r="G596" i="6"/>
  <c r="H596" i="6"/>
  <c r="I596" i="6"/>
  <c r="B597" i="6"/>
  <c r="C597" i="6"/>
  <c r="D597" i="6"/>
  <c r="E597" i="6"/>
  <c r="G597" i="6"/>
  <c r="H597" i="6"/>
  <c r="I597" i="6"/>
  <c r="B598" i="6"/>
  <c r="C598" i="6"/>
  <c r="D598" i="6"/>
  <c r="E598" i="6"/>
  <c r="G598" i="6"/>
  <c r="H598" i="6"/>
  <c r="I598" i="6"/>
  <c r="B599" i="6"/>
  <c r="C599" i="6"/>
  <c r="D599" i="6"/>
  <c r="E599" i="6"/>
  <c r="G599" i="6"/>
  <c r="H599" i="6"/>
  <c r="I599" i="6"/>
  <c r="B600" i="6"/>
  <c r="C600" i="6"/>
  <c r="D600" i="6"/>
  <c r="E600" i="6"/>
  <c r="G600" i="6"/>
  <c r="H600" i="6"/>
  <c r="I600" i="6"/>
  <c r="B601" i="6"/>
  <c r="C601" i="6"/>
  <c r="D601" i="6"/>
  <c r="E601" i="6"/>
  <c r="G601" i="6"/>
  <c r="H601" i="6"/>
  <c r="I601" i="6"/>
  <c r="B602" i="6"/>
  <c r="C602" i="6"/>
  <c r="D602" i="6"/>
  <c r="E602" i="6"/>
  <c r="G602" i="6"/>
  <c r="H602" i="6"/>
  <c r="I602" i="6"/>
  <c r="B603" i="6"/>
  <c r="C603" i="6"/>
  <c r="D603" i="6"/>
  <c r="E603" i="6"/>
  <c r="G603" i="6"/>
  <c r="H603" i="6"/>
  <c r="I603" i="6"/>
  <c r="B604" i="6"/>
  <c r="C604" i="6"/>
  <c r="D604" i="6"/>
  <c r="E604" i="6"/>
  <c r="G604" i="6"/>
  <c r="H604" i="6"/>
  <c r="I604" i="6"/>
  <c r="B605" i="6"/>
  <c r="C605" i="6"/>
  <c r="D605" i="6"/>
  <c r="E605" i="6"/>
  <c r="G605" i="6"/>
  <c r="H605" i="6"/>
  <c r="I605" i="6"/>
  <c r="B606" i="6"/>
  <c r="C606" i="6"/>
  <c r="D606" i="6"/>
  <c r="E606" i="6"/>
  <c r="G606" i="6"/>
  <c r="H606" i="6"/>
  <c r="I606" i="6"/>
  <c r="B607" i="6"/>
  <c r="C607" i="6"/>
  <c r="D607" i="6"/>
  <c r="E607" i="6"/>
  <c r="G607" i="6"/>
  <c r="H607" i="6"/>
  <c r="I607" i="6"/>
  <c r="B608" i="6"/>
  <c r="C608" i="6"/>
  <c r="D608" i="6"/>
  <c r="E608" i="6"/>
  <c r="G608" i="6"/>
  <c r="H608" i="6"/>
  <c r="I608" i="6"/>
  <c r="B609" i="6"/>
  <c r="C609" i="6"/>
  <c r="D609" i="6"/>
  <c r="E609" i="6"/>
  <c r="G609" i="6"/>
  <c r="H609" i="6"/>
  <c r="I609" i="6"/>
  <c r="B610" i="6"/>
  <c r="C610" i="6"/>
  <c r="D610" i="6"/>
  <c r="E610" i="6"/>
  <c r="G610" i="6"/>
  <c r="H610" i="6"/>
  <c r="I610" i="6"/>
  <c r="B611" i="6"/>
  <c r="C611" i="6"/>
  <c r="D611" i="6"/>
  <c r="E611" i="6"/>
  <c r="G611" i="6"/>
  <c r="H611" i="6"/>
  <c r="I611" i="6"/>
  <c r="B612" i="6"/>
  <c r="C612" i="6"/>
  <c r="D612" i="6"/>
  <c r="E612" i="6"/>
  <c r="G612" i="6"/>
  <c r="H612" i="6"/>
  <c r="I612" i="6"/>
  <c r="B613" i="6"/>
  <c r="C613" i="6"/>
  <c r="D613" i="6"/>
  <c r="E613" i="6"/>
  <c r="G613" i="6"/>
  <c r="H613" i="6"/>
  <c r="I613" i="6"/>
  <c r="B614" i="6"/>
  <c r="C614" i="6"/>
  <c r="D614" i="6"/>
  <c r="E614" i="6"/>
  <c r="G614" i="6"/>
  <c r="H614" i="6"/>
  <c r="I614" i="6"/>
  <c r="B615" i="6"/>
  <c r="C615" i="6"/>
  <c r="D615" i="6"/>
  <c r="E615" i="6"/>
  <c r="G615" i="6"/>
  <c r="H615" i="6"/>
  <c r="I615" i="6"/>
  <c r="B616" i="6"/>
  <c r="C616" i="6"/>
  <c r="D616" i="6"/>
  <c r="E616" i="6"/>
  <c r="G616" i="6"/>
  <c r="H616" i="6"/>
  <c r="I616" i="6"/>
  <c r="B617" i="6"/>
  <c r="C617" i="6"/>
  <c r="D617" i="6"/>
  <c r="E617" i="6"/>
  <c r="G617" i="6"/>
  <c r="H617" i="6"/>
  <c r="I617" i="6"/>
  <c r="B618" i="6"/>
  <c r="C618" i="6"/>
  <c r="D618" i="6"/>
  <c r="E618" i="6"/>
  <c r="G618" i="6"/>
  <c r="H618" i="6"/>
  <c r="I618" i="6"/>
  <c r="B619" i="6"/>
  <c r="C619" i="6"/>
  <c r="D619" i="6"/>
  <c r="E619" i="6"/>
  <c r="G619" i="6"/>
  <c r="H619" i="6"/>
  <c r="I619" i="6"/>
  <c r="B620" i="6"/>
  <c r="C620" i="6"/>
  <c r="D620" i="6"/>
  <c r="E620" i="6"/>
  <c r="G620" i="6"/>
  <c r="H620" i="6"/>
  <c r="I620" i="6"/>
  <c r="B621" i="6"/>
  <c r="C621" i="6"/>
  <c r="D621" i="6"/>
  <c r="E621" i="6"/>
  <c r="G621" i="6"/>
  <c r="H621" i="6"/>
  <c r="I621" i="6"/>
  <c r="B622" i="6"/>
  <c r="C622" i="6"/>
  <c r="D622" i="6"/>
  <c r="E622" i="6"/>
  <c r="G622" i="6"/>
  <c r="H622" i="6"/>
  <c r="I622" i="6"/>
  <c r="B623" i="6"/>
  <c r="C623" i="6"/>
  <c r="D623" i="6"/>
  <c r="E623" i="6"/>
  <c r="G623" i="6"/>
  <c r="H623" i="6"/>
  <c r="I623" i="6"/>
  <c r="B624" i="6"/>
  <c r="C624" i="6"/>
  <c r="D624" i="6"/>
  <c r="E624" i="6"/>
  <c r="G624" i="6"/>
  <c r="H624" i="6"/>
  <c r="I624" i="6"/>
  <c r="B625" i="6"/>
  <c r="C625" i="6"/>
  <c r="D625" i="6"/>
  <c r="E625" i="6"/>
  <c r="G625" i="6"/>
  <c r="H625" i="6"/>
  <c r="I625" i="6"/>
  <c r="B626" i="6"/>
  <c r="C626" i="6"/>
  <c r="D626" i="6"/>
  <c r="E626" i="6"/>
  <c r="G626" i="6"/>
  <c r="H626" i="6"/>
  <c r="I626" i="6"/>
  <c r="B627" i="6"/>
  <c r="C627" i="6"/>
  <c r="D627" i="6"/>
  <c r="E627" i="6"/>
  <c r="G627" i="6"/>
  <c r="H627" i="6"/>
  <c r="I627" i="6"/>
  <c r="B628" i="6"/>
  <c r="C628" i="6"/>
  <c r="D628" i="6"/>
  <c r="E628" i="6"/>
  <c r="G628" i="6"/>
  <c r="H628" i="6"/>
  <c r="I628" i="6"/>
  <c r="B629" i="6"/>
  <c r="C629" i="6"/>
  <c r="D629" i="6"/>
  <c r="E629" i="6"/>
  <c r="G629" i="6"/>
  <c r="H629" i="6"/>
  <c r="I629" i="6"/>
  <c r="B630" i="6"/>
  <c r="C630" i="6"/>
  <c r="D630" i="6"/>
  <c r="E630" i="6"/>
  <c r="G630" i="6"/>
  <c r="H630" i="6"/>
  <c r="I630" i="6"/>
  <c r="B631" i="6"/>
  <c r="C631" i="6"/>
  <c r="D631" i="6"/>
  <c r="E631" i="6"/>
  <c r="G631" i="6"/>
  <c r="H631" i="6"/>
  <c r="I631" i="6"/>
  <c r="B632" i="6"/>
  <c r="C632" i="6"/>
  <c r="D632" i="6"/>
  <c r="E632" i="6"/>
  <c r="G632" i="6"/>
  <c r="H632" i="6"/>
  <c r="I632" i="6"/>
  <c r="B633" i="6"/>
  <c r="C633" i="6"/>
  <c r="D633" i="6"/>
  <c r="E633" i="6"/>
  <c r="G633" i="6"/>
  <c r="H633" i="6"/>
  <c r="I633" i="6"/>
  <c r="B634" i="6"/>
  <c r="C634" i="6"/>
  <c r="D634" i="6"/>
  <c r="E634" i="6"/>
  <c r="G634" i="6"/>
  <c r="H634" i="6"/>
  <c r="I634" i="6"/>
  <c r="B635" i="6"/>
  <c r="C635" i="6"/>
  <c r="D635" i="6"/>
  <c r="E635" i="6"/>
  <c r="G635" i="6"/>
  <c r="H635" i="6"/>
  <c r="I635" i="6"/>
  <c r="B636" i="6"/>
  <c r="C636" i="6"/>
  <c r="D636" i="6"/>
  <c r="E636" i="6"/>
  <c r="G636" i="6"/>
  <c r="H636" i="6"/>
  <c r="I636" i="6"/>
  <c r="B637" i="6"/>
  <c r="C637" i="6"/>
  <c r="D637" i="6"/>
  <c r="E637" i="6"/>
  <c r="G637" i="6"/>
  <c r="H637" i="6"/>
  <c r="I637" i="6"/>
  <c r="B638" i="6"/>
  <c r="C638" i="6"/>
  <c r="D638" i="6"/>
  <c r="E638" i="6"/>
  <c r="G638" i="6"/>
  <c r="H638" i="6"/>
  <c r="I638" i="6"/>
  <c r="B639" i="6"/>
  <c r="C639" i="6"/>
  <c r="D639" i="6"/>
  <c r="E639" i="6"/>
  <c r="G639" i="6"/>
  <c r="H639" i="6"/>
  <c r="I639" i="6"/>
  <c r="B640" i="6"/>
  <c r="C640" i="6"/>
  <c r="D640" i="6"/>
  <c r="E640" i="6"/>
  <c r="G640" i="6"/>
  <c r="H640" i="6"/>
  <c r="I640" i="6"/>
  <c r="B641" i="6"/>
  <c r="C641" i="6"/>
  <c r="D641" i="6"/>
  <c r="E641" i="6"/>
  <c r="G641" i="6"/>
  <c r="H641" i="6"/>
  <c r="I641" i="6"/>
  <c r="B642" i="6"/>
  <c r="C642" i="6"/>
  <c r="D642" i="6"/>
  <c r="E642" i="6"/>
  <c r="G642" i="6"/>
  <c r="H642" i="6"/>
  <c r="I642" i="6"/>
  <c r="B643" i="6"/>
  <c r="C643" i="6"/>
  <c r="D643" i="6"/>
  <c r="E643" i="6"/>
  <c r="G643" i="6"/>
  <c r="H643" i="6"/>
  <c r="I643" i="6"/>
  <c r="B644" i="6"/>
  <c r="C644" i="6"/>
  <c r="D644" i="6"/>
  <c r="E644" i="6"/>
  <c r="G644" i="6"/>
  <c r="H644" i="6"/>
  <c r="I644" i="6"/>
  <c r="B645" i="6"/>
  <c r="C645" i="6"/>
  <c r="D645" i="6"/>
  <c r="E645" i="6"/>
  <c r="G645" i="6"/>
  <c r="H645" i="6"/>
  <c r="I645" i="6"/>
  <c r="B646" i="6"/>
  <c r="C646" i="6"/>
  <c r="D646" i="6"/>
  <c r="E646" i="6"/>
  <c r="G646" i="6"/>
  <c r="H646" i="6"/>
  <c r="I646" i="6"/>
  <c r="B647" i="6"/>
  <c r="C647" i="6"/>
  <c r="D647" i="6"/>
  <c r="E647" i="6"/>
  <c r="G647" i="6"/>
  <c r="H647" i="6"/>
  <c r="I647" i="6"/>
  <c r="B648" i="6"/>
  <c r="C648" i="6"/>
  <c r="D648" i="6"/>
  <c r="E648" i="6"/>
  <c r="G648" i="6"/>
  <c r="H648" i="6"/>
  <c r="I648" i="6"/>
  <c r="B649" i="6"/>
  <c r="C649" i="6"/>
  <c r="D649" i="6"/>
  <c r="E649" i="6"/>
  <c r="G649" i="6"/>
  <c r="H649" i="6"/>
  <c r="I649" i="6"/>
  <c r="B650" i="6"/>
  <c r="C650" i="6"/>
  <c r="D650" i="6"/>
  <c r="E650" i="6"/>
  <c r="G650" i="6"/>
  <c r="H650" i="6"/>
  <c r="I650" i="6"/>
  <c r="B651" i="6"/>
  <c r="C651" i="6"/>
  <c r="D651" i="6"/>
  <c r="E651" i="6"/>
  <c r="G651" i="6"/>
  <c r="H651" i="6"/>
  <c r="I651" i="6"/>
  <c r="B652" i="6"/>
  <c r="C652" i="6"/>
  <c r="D652" i="6"/>
  <c r="E652" i="6"/>
  <c r="G652" i="6"/>
  <c r="H652" i="6"/>
  <c r="I652" i="6"/>
  <c r="B653" i="6"/>
  <c r="C653" i="6"/>
  <c r="D653" i="6"/>
  <c r="E653" i="6"/>
  <c r="G653" i="6"/>
  <c r="H653" i="6"/>
  <c r="I653" i="6"/>
  <c r="B654" i="6"/>
  <c r="C654" i="6"/>
  <c r="D654" i="6"/>
  <c r="E654" i="6"/>
  <c r="G654" i="6"/>
  <c r="H654" i="6"/>
  <c r="I654" i="6"/>
  <c r="B655" i="6"/>
  <c r="C655" i="6"/>
  <c r="D655" i="6"/>
  <c r="E655" i="6"/>
  <c r="G655" i="6"/>
  <c r="H655" i="6"/>
  <c r="I655" i="6"/>
  <c r="B656" i="6"/>
  <c r="C656" i="6"/>
  <c r="D656" i="6"/>
  <c r="E656" i="6"/>
  <c r="G656" i="6"/>
  <c r="H656" i="6"/>
  <c r="I656" i="6"/>
  <c r="B657" i="6"/>
  <c r="C657" i="6"/>
  <c r="D657" i="6"/>
  <c r="E657" i="6"/>
  <c r="G657" i="6"/>
  <c r="H657" i="6"/>
  <c r="I657" i="6"/>
  <c r="B658" i="6"/>
  <c r="C658" i="6"/>
  <c r="D658" i="6"/>
  <c r="E658" i="6"/>
  <c r="G658" i="6"/>
  <c r="H658" i="6"/>
  <c r="I658" i="6"/>
  <c r="B659" i="6"/>
  <c r="C659" i="6"/>
  <c r="D659" i="6"/>
  <c r="E659" i="6"/>
  <c r="G659" i="6"/>
  <c r="H659" i="6"/>
  <c r="I659" i="6"/>
  <c r="B660" i="6"/>
  <c r="C660" i="6"/>
  <c r="D660" i="6"/>
  <c r="E660" i="6"/>
  <c r="G660" i="6"/>
  <c r="H660" i="6"/>
  <c r="I660" i="6"/>
  <c r="B661" i="6"/>
  <c r="C661" i="6"/>
  <c r="D661" i="6"/>
  <c r="E661" i="6"/>
  <c r="G661" i="6"/>
  <c r="H661" i="6"/>
  <c r="I661" i="6"/>
  <c r="B662" i="6"/>
  <c r="C662" i="6"/>
  <c r="D662" i="6"/>
  <c r="E662" i="6"/>
  <c r="G662" i="6"/>
  <c r="H662" i="6"/>
  <c r="I662" i="6"/>
  <c r="B663" i="6"/>
  <c r="C663" i="6"/>
  <c r="D663" i="6"/>
  <c r="E663" i="6"/>
  <c r="G663" i="6"/>
  <c r="H663" i="6"/>
  <c r="I663" i="6"/>
  <c r="B664" i="6"/>
  <c r="C664" i="6"/>
  <c r="D664" i="6"/>
  <c r="E664" i="6"/>
  <c r="G664" i="6"/>
  <c r="H664" i="6"/>
  <c r="I664" i="6"/>
  <c r="B665" i="6"/>
  <c r="C665" i="6"/>
  <c r="D665" i="6"/>
  <c r="E665" i="6"/>
  <c r="G665" i="6"/>
  <c r="H665" i="6"/>
  <c r="I665" i="6"/>
  <c r="B666" i="6"/>
  <c r="C666" i="6"/>
  <c r="D666" i="6"/>
  <c r="E666" i="6"/>
  <c r="G666" i="6"/>
  <c r="H666" i="6"/>
  <c r="I666" i="6"/>
  <c r="B667" i="6"/>
  <c r="C667" i="6"/>
  <c r="D667" i="6"/>
  <c r="E667" i="6"/>
  <c r="G667" i="6"/>
  <c r="H667" i="6"/>
  <c r="I667" i="6"/>
  <c r="B668" i="6"/>
  <c r="C668" i="6"/>
  <c r="D668" i="6"/>
  <c r="E668" i="6"/>
  <c r="G668" i="6"/>
  <c r="H668" i="6"/>
  <c r="I668" i="6"/>
  <c r="B669" i="6"/>
  <c r="C669" i="6"/>
  <c r="D669" i="6"/>
  <c r="E669" i="6"/>
  <c r="G669" i="6"/>
  <c r="H669" i="6"/>
  <c r="I669" i="6"/>
  <c r="B670" i="6"/>
  <c r="C670" i="6"/>
  <c r="D670" i="6"/>
  <c r="E670" i="6"/>
  <c r="G670" i="6"/>
  <c r="H670" i="6"/>
  <c r="I670" i="6"/>
  <c r="B671" i="6"/>
  <c r="C671" i="6"/>
  <c r="D671" i="6"/>
  <c r="E671" i="6"/>
  <c r="G671" i="6"/>
  <c r="H671" i="6"/>
  <c r="I671" i="6"/>
  <c r="B672" i="6"/>
  <c r="C672" i="6"/>
  <c r="D672" i="6"/>
  <c r="E672" i="6"/>
  <c r="G672" i="6"/>
  <c r="H672" i="6"/>
  <c r="I672" i="6"/>
  <c r="B673" i="6"/>
  <c r="C673" i="6"/>
  <c r="D673" i="6"/>
  <c r="E673" i="6"/>
  <c r="G673" i="6"/>
  <c r="H673" i="6"/>
  <c r="I673" i="6"/>
  <c r="B674" i="6"/>
  <c r="C674" i="6"/>
  <c r="D674" i="6"/>
  <c r="E674" i="6"/>
  <c r="G674" i="6"/>
  <c r="H674" i="6"/>
  <c r="I674" i="6"/>
  <c r="B675" i="6"/>
  <c r="C675" i="6"/>
  <c r="D675" i="6"/>
  <c r="E675" i="6"/>
  <c r="G675" i="6"/>
  <c r="H675" i="6"/>
  <c r="I675" i="6"/>
  <c r="B676" i="6"/>
  <c r="C676" i="6"/>
  <c r="D676" i="6"/>
  <c r="E676" i="6"/>
  <c r="G676" i="6"/>
  <c r="H676" i="6"/>
  <c r="I676" i="6"/>
  <c r="B677" i="6"/>
  <c r="C677" i="6"/>
  <c r="D677" i="6"/>
  <c r="E677" i="6"/>
  <c r="G677" i="6"/>
  <c r="H677" i="6"/>
  <c r="I677" i="6"/>
  <c r="B678" i="6"/>
  <c r="C678" i="6"/>
  <c r="D678" i="6"/>
  <c r="E678" i="6"/>
  <c r="G678" i="6"/>
  <c r="H678" i="6"/>
  <c r="I678" i="6"/>
  <c r="B679" i="6"/>
  <c r="C679" i="6"/>
  <c r="D679" i="6"/>
  <c r="E679" i="6"/>
  <c r="G679" i="6"/>
  <c r="H679" i="6"/>
  <c r="I679" i="6"/>
  <c r="B680" i="6"/>
  <c r="C680" i="6"/>
  <c r="D680" i="6"/>
  <c r="E680" i="6"/>
  <c r="G680" i="6"/>
  <c r="H680" i="6"/>
  <c r="I680" i="6"/>
  <c r="B681" i="6"/>
  <c r="C681" i="6"/>
  <c r="D681" i="6"/>
  <c r="E681" i="6"/>
  <c r="G681" i="6"/>
  <c r="H681" i="6"/>
  <c r="I681" i="6"/>
  <c r="B682" i="6"/>
  <c r="C682" i="6"/>
  <c r="D682" i="6"/>
  <c r="E682" i="6"/>
  <c r="G682" i="6"/>
  <c r="H682" i="6"/>
  <c r="I682" i="6"/>
  <c r="B683" i="6"/>
  <c r="C683" i="6"/>
  <c r="D683" i="6"/>
  <c r="E683" i="6"/>
  <c r="G683" i="6"/>
  <c r="H683" i="6"/>
  <c r="I683" i="6"/>
  <c r="B684" i="6"/>
  <c r="C684" i="6"/>
  <c r="D684" i="6"/>
  <c r="E684" i="6"/>
  <c r="G684" i="6"/>
  <c r="H684" i="6"/>
  <c r="I684" i="6"/>
  <c r="B685" i="6"/>
  <c r="C685" i="6"/>
  <c r="D685" i="6"/>
  <c r="E685" i="6"/>
  <c r="G685" i="6"/>
  <c r="H685" i="6"/>
  <c r="I685" i="6"/>
  <c r="B686" i="6"/>
  <c r="C686" i="6"/>
  <c r="D686" i="6"/>
  <c r="E686" i="6"/>
  <c r="G686" i="6"/>
  <c r="H686" i="6"/>
  <c r="I686" i="6"/>
  <c r="B687" i="6"/>
  <c r="C687" i="6"/>
  <c r="D687" i="6"/>
  <c r="E687" i="6"/>
  <c r="G687" i="6"/>
  <c r="H687" i="6"/>
  <c r="I687" i="6"/>
  <c r="B688" i="6"/>
  <c r="C688" i="6"/>
  <c r="D688" i="6"/>
  <c r="E688" i="6"/>
  <c r="G688" i="6"/>
  <c r="H688" i="6"/>
  <c r="I688" i="6"/>
  <c r="B689" i="6"/>
  <c r="C689" i="6"/>
  <c r="D689" i="6"/>
  <c r="E689" i="6"/>
  <c r="G689" i="6"/>
  <c r="H689" i="6"/>
  <c r="I689" i="6"/>
  <c r="B690" i="6"/>
  <c r="C690" i="6"/>
  <c r="D690" i="6"/>
  <c r="E690" i="6"/>
  <c r="G690" i="6"/>
  <c r="H690" i="6"/>
  <c r="I690" i="6"/>
  <c r="B691" i="6"/>
  <c r="C691" i="6"/>
  <c r="D691" i="6"/>
  <c r="E691" i="6"/>
  <c r="G691" i="6"/>
  <c r="H691" i="6"/>
  <c r="I691" i="6"/>
  <c r="B692" i="6"/>
  <c r="C692" i="6"/>
  <c r="D692" i="6"/>
  <c r="E692" i="6"/>
  <c r="G692" i="6"/>
  <c r="H692" i="6"/>
  <c r="I692" i="6"/>
  <c r="B693" i="6"/>
  <c r="C693" i="6"/>
  <c r="D693" i="6"/>
  <c r="E693" i="6"/>
  <c r="G693" i="6"/>
  <c r="H693" i="6"/>
  <c r="I693" i="6"/>
  <c r="B694" i="6"/>
  <c r="C694" i="6"/>
  <c r="D694" i="6"/>
  <c r="E694" i="6"/>
  <c r="G694" i="6"/>
  <c r="H694" i="6"/>
  <c r="I694" i="6"/>
  <c r="B695" i="6"/>
  <c r="C695" i="6"/>
  <c r="D695" i="6"/>
  <c r="E695" i="6"/>
  <c r="G695" i="6"/>
  <c r="H695" i="6"/>
  <c r="I695" i="6"/>
  <c r="B696" i="6"/>
  <c r="C696" i="6"/>
  <c r="D696" i="6"/>
  <c r="E696" i="6"/>
  <c r="G696" i="6"/>
  <c r="H696" i="6"/>
  <c r="I696" i="6"/>
  <c r="B697" i="6"/>
  <c r="C697" i="6"/>
  <c r="D697" i="6"/>
  <c r="E697" i="6"/>
  <c r="G697" i="6"/>
  <c r="H697" i="6"/>
  <c r="I697" i="6"/>
  <c r="B698" i="6"/>
  <c r="C698" i="6"/>
  <c r="D698" i="6"/>
  <c r="E698" i="6"/>
  <c r="G698" i="6"/>
  <c r="H698" i="6"/>
  <c r="I698" i="6"/>
  <c r="B699" i="6"/>
  <c r="C699" i="6"/>
  <c r="D699" i="6"/>
  <c r="E699" i="6"/>
  <c r="G699" i="6"/>
  <c r="H699" i="6"/>
  <c r="I699" i="6"/>
  <c r="B700" i="6"/>
  <c r="C700" i="6"/>
  <c r="D700" i="6"/>
  <c r="E700" i="6"/>
  <c r="G700" i="6"/>
  <c r="H700" i="6"/>
  <c r="I700" i="6"/>
  <c r="B701" i="6"/>
  <c r="C701" i="6"/>
  <c r="D701" i="6"/>
  <c r="E701" i="6"/>
  <c r="G701" i="6"/>
  <c r="H701" i="6"/>
  <c r="I701" i="6"/>
  <c r="B702" i="6"/>
  <c r="C702" i="6"/>
  <c r="D702" i="6"/>
  <c r="E702" i="6"/>
  <c r="G702" i="6"/>
  <c r="H702" i="6"/>
  <c r="I702" i="6"/>
  <c r="B703" i="6"/>
  <c r="C703" i="6"/>
  <c r="D703" i="6"/>
  <c r="E703" i="6"/>
  <c r="G703" i="6"/>
  <c r="H703" i="6"/>
  <c r="I703" i="6"/>
  <c r="B704" i="6"/>
  <c r="C704" i="6"/>
  <c r="D704" i="6"/>
  <c r="E704" i="6"/>
  <c r="G704" i="6"/>
  <c r="H704" i="6"/>
  <c r="I704" i="6"/>
  <c r="B705" i="6"/>
  <c r="C705" i="6"/>
  <c r="D705" i="6"/>
  <c r="E705" i="6"/>
  <c r="G705" i="6"/>
  <c r="H705" i="6"/>
  <c r="I705" i="6"/>
  <c r="B706" i="6"/>
  <c r="C706" i="6"/>
  <c r="D706" i="6"/>
  <c r="E706" i="6"/>
  <c r="G706" i="6"/>
  <c r="H706" i="6"/>
  <c r="I706" i="6"/>
  <c r="B707" i="6"/>
  <c r="C707" i="6"/>
  <c r="D707" i="6"/>
  <c r="E707" i="6"/>
  <c r="G707" i="6"/>
  <c r="H707" i="6"/>
  <c r="I707" i="6"/>
  <c r="B708" i="6"/>
  <c r="C708" i="6"/>
  <c r="D708" i="6"/>
  <c r="E708" i="6"/>
  <c r="G708" i="6"/>
  <c r="H708" i="6"/>
  <c r="I708" i="6"/>
  <c r="B709" i="6"/>
  <c r="C709" i="6"/>
  <c r="D709" i="6"/>
  <c r="E709" i="6"/>
  <c r="G709" i="6"/>
  <c r="H709" i="6"/>
  <c r="I709" i="6"/>
  <c r="B710" i="6"/>
  <c r="C710" i="6"/>
  <c r="D710" i="6"/>
  <c r="E710" i="6"/>
  <c r="G710" i="6"/>
  <c r="H710" i="6"/>
  <c r="I710" i="6"/>
  <c r="B711" i="6"/>
  <c r="C711" i="6"/>
  <c r="D711" i="6"/>
  <c r="E711" i="6"/>
  <c r="G711" i="6"/>
  <c r="H711" i="6"/>
  <c r="I711" i="6"/>
  <c r="B712" i="6"/>
  <c r="C712" i="6"/>
  <c r="D712" i="6"/>
  <c r="E712" i="6"/>
  <c r="G712" i="6"/>
  <c r="H712" i="6"/>
  <c r="I712" i="6"/>
  <c r="B713" i="6"/>
  <c r="C713" i="6"/>
  <c r="D713" i="6"/>
  <c r="E713" i="6"/>
  <c r="G713" i="6"/>
  <c r="H713" i="6"/>
  <c r="I713" i="6"/>
  <c r="B714" i="6"/>
  <c r="C714" i="6"/>
  <c r="D714" i="6"/>
  <c r="E714" i="6"/>
  <c r="G714" i="6"/>
  <c r="H714" i="6"/>
  <c r="I714" i="6"/>
  <c r="B715" i="6"/>
  <c r="C715" i="6"/>
  <c r="D715" i="6"/>
  <c r="E715" i="6"/>
  <c r="G715" i="6"/>
  <c r="H715" i="6"/>
  <c r="I715" i="6"/>
  <c r="B716" i="6"/>
  <c r="C716" i="6"/>
  <c r="D716" i="6"/>
  <c r="E716" i="6"/>
  <c r="G716" i="6"/>
  <c r="H716" i="6"/>
  <c r="I716" i="6"/>
  <c r="B717" i="6"/>
  <c r="C717" i="6"/>
  <c r="D717" i="6"/>
  <c r="E717" i="6"/>
  <c r="G717" i="6"/>
  <c r="H717" i="6"/>
  <c r="I717" i="6"/>
  <c r="B718" i="6"/>
  <c r="C718" i="6"/>
  <c r="D718" i="6"/>
  <c r="E718" i="6"/>
  <c r="G718" i="6"/>
  <c r="H718" i="6"/>
  <c r="I718" i="6"/>
  <c r="B719" i="6"/>
  <c r="C719" i="6"/>
  <c r="D719" i="6"/>
  <c r="E719" i="6"/>
  <c r="G719" i="6"/>
  <c r="H719" i="6"/>
  <c r="I719" i="6"/>
  <c r="B720" i="6"/>
  <c r="C720" i="6"/>
  <c r="D720" i="6"/>
  <c r="E720" i="6"/>
  <c r="G720" i="6"/>
  <c r="H720" i="6"/>
  <c r="I720" i="6"/>
  <c r="B721" i="6"/>
  <c r="C721" i="6"/>
  <c r="D721" i="6"/>
  <c r="E721" i="6"/>
  <c r="G721" i="6"/>
  <c r="H721" i="6"/>
  <c r="I721" i="6"/>
  <c r="B722" i="6"/>
  <c r="C722" i="6"/>
  <c r="D722" i="6"/>
  <c r="E722" i="6"/>
  <c r="G722" i="6"/>
  <c r="H722" i="6"/>
  <c r="I722" i="6"/>
  <c r="B723" i="6"/>
  <c r="C723" i="6"/>
  <c r="D723" i="6"/>
  <c r="E723" i="6"/>
  <c r="G723" i="6"/>
  <c r="H723" i="6"/>
  <c r="I723" i="6"/>
  <c r="B724" i="6"/>
  <c r="C724" i="6"/>
  <c r="D724" i="6"/>
  <c r="E724" i="6"/>
  <c r="G724" i="6"/>
  <c r="H724" i="6"/>
  <c r="I724" i="6"/>
  <c r="B725" i="6"/>
  <c r="C725" i="6"/>
  <c r="D725" i="6"/>
  <c r="E725" i="6"/>
  <c r="G725" i="6"/>
  <c r="H725" i="6"/>
  <c r="I725" i="6"/>
  <c r="B726" i="6"/>
  <c r="C726" i="6"/>
  <c r="D726" i="6"/>
  <c r="E726" i="6"/>
  <c r="G726" i="6"/>
  <c r="H726" i="6"/>
  <c r="I726" i="6"/>
  <c r="B727" i="6"/>
  <c r="C727" i="6"/>
  <c r="D727" i="6"/>
  <c r="E727" i="6"/>
  <c r="G727" i="6"/>
  <c r="H727" i="6"/>
  <c r="I727" i="6"/>
  <c r="B728" i="6"/>
  <c r="C728" i="6"/>
  <c r="D728" i="6"/>
  <c r="E728" i="6"/>
  <c r="G728" i="6"/>
  <c r="H728" i="6"/>
  <c r="I728" i="6"/>
  <c r="B729" i="6"/>
  <c r="C729" i="6"/>
  <c r="D729" i="6"/>
  <c r="E729" i="6"/>
  <c r="G729" i="6"/>
  <c r="H729" i="6"/>
  <c r="I729" i="6"/>
  <c r="B730" i="6"/>
  <c r="C730" i="6"/>
  <c r="D730" i="6"/>
  <c r="E730" i="6"/>
  <c r="G730" i="6"/>
  <c r="H730" i="6"/>
  <c r="I730" i="6"/>
  <c r="B731" i="6"/>
  <c r="C731" i="6"/>
  <c r="D731" i="6"/>
  <c r="E731" i="6"/>
  <c r="G731" i="6"/>
  <c r="H731" i="6"/>
  <c r="I731" i="6"/>
  <c r="B732" i="6"/>
  <c r="C732" i="6"/>
  <c r="D732" i="6"/>
  <c r="E732" i="6"/>
  <c r="G732" i="6"/>
  <c r="H732" i="6"/>
  <c r="I732" i="6"/>
  <c r="B733" i="6"/>
  <c r="C733" i="6"/>
  <c r="D733" i="6"/>
  <c r="E733" i="6"/>
  <c r="G733" i="6"/>
  <c r="H733" i="6"/>
  <c r="I733" i="6"/>
  <c r="B734" i="6"/>
  <c r="C734" i="6"/>
  <c r="D734" i="6"/>
  <c r="E734" i="6"/>
  <c r="G734" i="6"/>
  <c r="H734" i="6"/>
  <c r="I734" i="6"/>
  <c r="B735" i="6"/>
  <c r="C735" i="6"/>
  <c r="D735" i="6"/>
  <c r="E735" i="6"/>
  <c r="G735" i="6"/>
  <c r="H735" i="6"/>
  <c r="I735" i="6"/>
  <c r="B736" i="6"/>
  <c r="C736" i="6"/>
  <c r="D736" i="6"/>
  <c r="E736" i="6"/>
  <c r="G736" i="6"/>
  <c r="H736" i="6"/>
  <c r="I736" i="6"/>
  <c r="B737" i="6"/>
  <c r="C737" i="6"/>
  <c r="D737" i="6"/>
  <c r="E737" i="6"/>
  <c r="G737" i="6"/>
  <c r="H737" i="6"/>
  <c r="I737" i="6"/>
  <c r="B738" i="6"/>
  <c r="C738" i="6"/>
  <c r="D738" i="6"/>
  <c r="E738" i="6"/>
  <c r="G738" i="6"/>
  <c r="H738" i="6"/>
  <c r="I738" i="6"/>
  <c r="B739" i="6"/>
  <c r="C739" i="6"/>
  <c r="D739" i="6"/>
  <c r="E739" i="6"/>
  <c r="G739" i="6"/>
  <c r="H739" i="6"/>
  <c r="I739" i="6"/>
  <c r="B740" i="6"/>
  <c r="C740" i="6"/>
  <c r="D740" i="6"/>
  <c r="E740" i="6"/>
  <c r="G740" i="6"/>
  <c r="H740" i="6"/>
  <c r="I740" i="6"/>
  <c r="B741" i="6"/>
  <c r="C741" i="6"/>
  <c r="D741" i="6"/>
  <c r="E741" i="6"/>
  <c r="G741" i="6"/>
  <c r="H741" i="6"/>
  <c r="I741" i="6"/>
  <c r="B742" i="6"/>
  <c r="C742" i="6"/>
  <c r="D742" i="6"/>
  <c r="E742" i="6"/>
  <c r="G742" i="6"/>
  <c r="H742" i="6"/>
  <c r="I742" i="6"/>
  <c r="B743" i="6"/>
  <c r="C743" i="6"/>
  <c r="D743" i="6"/>
  <c r="E743" i="6"/>
  <c r="G743" i="6"/>
  <c r="H743" i="6"/>
  <c r="I743" i="6"/>
  <c r="B744" i="6"/>
  <c r="C744" i="6"/>
  <c r="D744" i="6"/>
  <c r="E744" i="6"/>
  <c r="G744" i="6"/>
  <c r="H744" i="6"/>
  <c r="I744" i="6"/>
  <c r="B745" i="6"/>
  <c r="C745" i="6"/>
  <c r="D745" i="6"/>
  <c r="E745" i="6"/>
  <c r="G745" i="6"/>
  <c r="H745" i="6"/>
  <c r="I745" i="6"/>
  <c r="B746" i="6"/>
  <c r="C746" i="6"/>
  <c r="D746" i="6"/>
  <c r="E746" i="6"/>
  <c r="G746" i="6"/>
  <c r="H746" i="6"/>
  <c r="I746" i="6"/>
  <c r="B747" i="6"/>
  <c r="C747" i="6"/>
  <c r="D747" i="6"/>
  <c r="E747" i="6"/>
  <c r="G747" i="6"/>
  <c r="H747" i="6"/>
  <c r="I747" i="6"/>
  <c r="B748" i="6"/>
  <c r="C748" i="6"/>
  <c r="D748" i="6"/>
  <c r="E748" i="6"/>
  <c r="G748" i="6"/>
  <c r="H748" i="6"/>
  <c r="I748" i="6"/>
  <c r="B749" i="6"/>
  <c r="C749" i="6"/>
  <c r="D749" i="6"/>
  <c r="E749" i="6"/>
  <c r="G749" i="6"/>
  <c r="H749" i="6"/>
  <c r="I749" i="6"/>
  <c r="B750" i="6"/>
  <c r="C750" i="6"/>
  <c r="D750" i="6"/>
  <c r="E750" i="6"/>
  <c r="G750" i="6"/>
  <c r="H750" i="6"/>
  <c r="I750" i="6"/>
  <c r="B751" i="6"/>
  <c r="C751" i="6"/>
  <c r="D751" i="6"/>
  <c r="E751" i="6"/>
  <c r="G751" i="6"/>
  <c r="H751" i="6"/>
  <c r="I751" i="6"/>
  <c r="B752" i="6"/>
  <c r="C752" i="6"/>
  <c r="D752" i="6"/>
  <c r="E752" i="6"/>
  <c r="G752" i="6"/>
  <c r="H752" i="6"/>
  <c r="I752" i="6"/>
  <c r="B753" i="6"/>
  <c r="C753" i="6"/>
  <c r="D753" i="6"/>
  <c r="E753" i="6"/>
  <c r="G753" i="6"/>
  <c r="H753" i="6"/>
  <c r="I753" i="6"/>
  <c r="B754" i="6"/>
  <c r="C754" i="6"/>
  <c r="D754" i="6"/>
  <c r="E754" i="6"/>
  <c r="G754" i="6"/>
  <c r="H754" i="6"/>
  <c r="I754" i="6"/>
  <c r="B755" i="6"/>
  <c r="C755" i="6"/>
  <c r="D755" i="6"/>
  <c r="E755" i="6"/>
  <c r="G755" i="6"/>
  <c r="H755" i="6"/>
  <c r="I755" i="6"/>
  <c r="B756" i="6"/>
  <c r="C756" i="6"/>
  <c r="D756" i="6"/>
  <c r="E756" i="6"/>
  <c r="G756" i="6"/>
  <c r="H756" i="6"/>
  <c r="I756" i="6"/>
  <c r="B757" i="6"/>
  <c r="C757" i="6"/>
  <c r="D757" i="6"/>
  <c r="E757" i="6"/>
  <c r="G757" i="6"/>
  <c r="H757" i="6"/>
  <c r="I757" i="6"/>
  <c r="B758" i="6"/>
  <c r="C758" i="6"/>
  <c r="D758" i="6"/>
  <c r="E758" i="6"/>
  <c r="G758" i="6"/>
  <c r="H758" i="6"/>
  <c r="I758" i="6"/>
  <c r="B759" i="6"/>
  <c r="C759" i="6"/>
  <c r="D759" i="6"/>
  <c r="E759" i="6"/>
  <c r="G759" i="6"/>
  <c r="H759" i="6"/>
  <c r="I759" i="6"/>
  <c r="B760" i="6"/>
  <c r="C760" i="6"/>
  <c r="D760" i="6"/>
  <c r="E760" i="6"/>
  <c r="G760" i="6"/>
  <c r="H760" i="6"/>
  <c r="I760" i="6"/>
  <c r="B761" i="6"/>
  <c r="C761" i="6"/>
  <c r="D761" i="6"/>
  <c r="E761" i="6"/>
  <c r="G761" i="6"/>
  <c r="H761" i="6"/>
  <c r="I761" i="6"/>
  <c r="B762" i="6"/>
  <c r="C762" i="6"/>
  <c r="D762" i="6"/>
  <c r="E762" i="6"/>
  <c r="G762" i="6"/>
  <c r="H762" i="6"/>
  <c r="I762" i="6"/>
  <c r="B763" i="6"/>
  <c r="C763" i="6"/>
  <c r="D763" i="6"/>
  <c r="E763" i="6"/>
  <c r="G763" i="6"/>
  <c r="H763" i="6"/>
  <c r="I763" i="6"/>
  <c r="B764" i="6"/>
  <c r="C764" i="6"/>
  <c r="D764" i="6"/>
  <c r="E764" i="6"/>
  <c r="G764" i="6"/>
  <c r="H764" i="6"/>
  <c r="I764" i="6"/>
  <c r="B765" i="6"/>
  <c r="C765" i="6"/>
  <c r="D765" i="6"/>
  <c r="E765" i="6"/>
  <c r="G765" i="6"/>
  <c r="H765" i="6"/>
  <c r="I765" i="6"/>
  <c r="B766" i="6"/>
  <c r="C766" i="6"/>
  <c r="D766" i="6"/>
  <c r="E766" i="6"/>
  <c r="G766" i="6"/>
  <c r="H766" i="6"/>
  <c r="I766" i="6"/>
  <c r="B767" i="6"/>
  <c r="C767" i="6"/>
  <c r="D767" i="6"/>
  <c r="E767" i="6"/>
  <c r="G767" i="6"/>
  <c r="H767" i="6"/>
  <c r="I767" i="6"/>
  <c r="B768" i="6"/>
  <c r="C768" i="6"/>
  <c r="D768" i="6"/>
  <c r="E768" i="6"/>
  <c r="G768" i="6"/>
  <c r="H768" i="6"/>
  <c r="I768" i="6"/>
  <c r="B769" i="6"/>
  <c r="C769" i="6"/>
  <c r="D769" i="6"/>
  <c r="E769" i="6"/>
  <c r="G769" i="6"/>
  <c r="H769" i="6"/>
  <c r="I769" i="6"/>
  <c r="B770" i="6"/>
  <c r="C770" i="6"/>
  <c r="D770" i="6"/>
  <c r="E770" i="6"/>
  <c r="G770" i="6"/>
  <c r="H770" i="6"/>
  <c r="I770" i="6"/>
  <c r="B771" i="6"/>
  <c r="C771" i="6"/>
  <c r="D771" i="6"/>
  <c r="E771" i="6"/>
  <c r="G771" i="6"/>
  <c r="H771" i="6"/>
  <c r="I771" i="6"/>
  <c r="B772" i="6"/>
  <c r="C772" i="6"/>
  <c r="D772" i="6"/>
  <c r="E772" i="6"/>
  <c r="G772" i="6"/>
  <c r="H772" i="6"/>
  <c r="I772" i="6"/>
  <c r="B773" i="6"/>
  <c r="C773" i="6"/>
  <c r="D773" i="6"/>
  <c r="E773" i="6"/>
  <c r="G773" i="6"/>
  <c r="H773" i="6"/>
  <c r="I773" i="6"/>
  <c r="B774" i="6"/>
  <c r="C774" i="6"/>
  <c r="D774" i="6"/>
  <c r="E774" i="6"/>
  <c r="G774" i="6"/>
  <c r="H774" i="6"/>
  <c r="I774" i="6"/>
  <c r="B775" i="6"/>
  <c r="C775" i="6"/>
  <c r="D775" i="6"/>
  <c r="E775" i="6"/>
  <c r="G775" i="6"/>
  <c r="H775" i="6"/>
  <c r="I775" i="6"/>
  <c r="B776" i="6"/>
  <c r="C776" i="6"/>
  <c r="D776" i="6"/>
  <c r="E776" i="6"/>
  <c r="G776" i="6"/>
  <c r="H776" i="6"/>
  <c r="I776" i="6"/>
  <c r="B777" i="6"/>
  <c r="C777" i="6"/>
  <c r="D777" i="6"/>
  <c r="E777" i="6"/>
  <c r="G777" i="6"/>
  <c r="H777" i="6"/>
  <c r="I777" i="6"/>
  <c r="B778" i="6"/>
  <c r="C778" i="6"/>
  <c r="D778" i="6"/>
  <c r="E778" i="6"/>
  <c r="G778" i="6"/>
  <c r="H778" i="6"/>
  <c r="I778" i="6"/>
  <c r="B779" i="6"/>
  <c r="C779" i="6"/>
  <c r="D779" i="6"/>
  <c r="E779" i="6"/>
  <c r="G779" i="6"/>
  <c r="H779" i="6"/>
  <c r="I779" i="6"/>
  <c r="B780" i="6"/>
  <c r="C780" i="6"/>
  <c r="D780" i="6"/>
  <c r="E780" i="6"/>
  <c r="G780" i="6"/>
  <c r="H780" i="6"/>
  <c r="I780" i="6"/>
  <c r="B781" i="6"/>
  <c r="C781" i="6"/>
  <c r="D781" i="6"/>
  <c r="E781" i="6"/>
  <c r="G781" i="6"/>
  <c r="H781" i="6"/>
  <c r="I781" i="6"/>
  <c r="B782" i="6"/>
  <c r="C782" i="6"/>
  <c r="D782" i="6"/>
  <c r="E782" i="6"/>
  <c r="G782" i="6"/>
  <c r="H782" i="6"/>
  <c r="I782" i="6"/>
  <c r="B783" i="6"/>
  <c r="C783" i="6"/>
  <c r="D783" i="6"/>
  <c r="E783" i="6"/>
  <c r="G783" i="6"/>
  <c r="H783" i="6"/>
  <c r="I783" i="6"/>
  <c r="B784" i="6"/>
  <c r="C784" i="6"/>
  <c r="D784" i="6"/>
  <c r="E784" i="6"/>
  <c r="G784" i="6"/>
  <c r="H784" i="6"/>
  <c r="I784" i="6"/>
  <c r="B785" i="6"/>
  <c r="C785" i="6"/>
  <c r="D785" i="6"/>
  <c r="E785" i="6"/>
  <c r="G785" i="6"/>
  <c r="H785" i="6"/>
  <c r="I785" i="6"/>
  <c r="B786" i="6"/>
  <c r="C786" i="6"/>
  <c r="D786" i="6"/>
  <c r="E786" i="6"/>
  <c r="G786" i="6"/>
  <c r="H786" i="6"/>
  <c r="I786" i="6"/>
  <c r="B787" i="6"/>
  <c r="C787" i="6"/>
  <c r="D787" i="6"/>
  <c r="E787" i="6"/>
  <c r="G787" i="6"/>
  <c r="H787" i="6"/>
  <c r="I787" i="6"/>
  <c r="B788" i="6"/>
  <c r="C788" i="6"/>
  <c r="D788" i="6"/>
  <c r="E788" i="6"/>
  <c r="G788" i="6"/>
  <c r="H788" i="6"/>
  <c r="I788" i="6"/>
  <c r="B789" i="6"/>
  <c r="C789" i="6"/>
  <c r="D789" i="6"/>
  <c r="E789" i="6"/>
  <c r="G789" i="6"/>
  <c r="H789" i="6"/>
  <c r="I789" i="6"/>
  <c r="B790" i="6"/>
  <c r="C790" i="6"/>
  <c r="D790" i="6"/>
  <c r="E790" i="6"/>
  <c r="G790" i="6"/>
  <c r="H790" i="6"/>
  <c r="I790" i="6"/>
  <c r="B791" i="6"/>
  <c r="C791" i="6"/>
  <c r="D791" i="6"/>
  <c r="E791" i="6"/>
  <c r="G791" i="6"/>
  <c r="H791" i="6"/>
  <c r="I791" i="6"/>
  <c r="B792" i="6"/>
  <c r="C792" i="6"/>
  <c r="D792" i="6"/>
  <c r="E792" i="6"/>
  <c r="G792" i="6"/>
  <c r="H792" i="6"/>
  <c r="I792" i="6"/>
  <c r="B793" i="6"/>
  <c r="C793" i="6"/>
  <c r="D793" i="6"/>
  <c r="E793" i="6"/>
  <c r="G793" i="6"/>
  <c r="H793" i="6"/>
  <c r="I793" i="6"/>
  <c r="B794" i="6"/>
  <c r="C794" i="6"/>
  <c r="D794" i="6"/>
  <c r="E794" i="6"/>
  <c r="G794" i="6"/>
  <c r="H794" i="6"/>
  <c r="I794" i="6"/>
  <c r="B795" i="6"/>
  <c r="C795" i="6"/>
  <c r="D795" i="6"/>
  <c r="E795" i="6"/>
  <c r="G795" i="6"/>
  <c r="H795" i="6"/>
  <c r="I795" i="6"/>
  <c r="B796" i="6"/>
  <c r="C796" i="6"/>
  <c r="D796" i="6"/>
  <c r="E796" i="6"/>
  <c r="G796" i="6"/>
  <c r="H796" i="6"/>
  <c r="I796" i="6"/>
  <c r="B797" i="6"/>
  <c r="C797" i="6"/>
  <c r="D797" i="6"/>
  <c r="E797" i="6"/>
  <c r="G797" i="6"/>
  <c r="H797" i="6"/>
  <c r="I797" i="6"/>
  <c r="B798" i="6"/>
  <c r="C798" i="6"/>
  <c r="D798" i="6"/>
  <c r="E798" i="6"/>
  <c r="G798" i="6"/>
  <c r="H798" i="6"/>
  <c r="I798" i="6"/>
  <c r="B799" i="6"/>
  <c r="C799" i="6"/>
  <c r="D799" i="6"/>
  <c r="E799" i="6"/>
  <c r="G799" i="6"/>
  <c r="H799" i="6"/>
  <c r="I799" i="6"/>
  <c r="B800" i="6"/>
  <c r="C800" i="6"/>
  <c r="D800" i="6"/>
  <c r="E800" i="6"/>
  <c r="G800" i="6"/>
  <c r="H800" i="6"/>
  <c r="I800" i="6"/>
  <c r="B801" i="6"/>
  <c r="C801" i="6"/>
  <c r="D801" i="6"/>
  <c r="E801" i="6"/>
  <c r="G801" i="6"/>
  <c r="H801" i="6"/>
  <c r="I801" i="6"/>
  <c r="B802" i="6"/>
  <c r="C802" i="6"/>
  <c r="D802" i="6"/>
  <c r="E802" i="6"/>
  <c r="G802" i="6"/>
  <c r="H802" i="6"/>
  <c r="I802" i="6"/>
  <c r="B803" i="6"/>
  <c r="C803" i="6"/>
  <c r="D803" i="6"/>
  <c r="E803" i="6"/>
  <c r="G803" i="6"/>
  <c r="H803" i="6"/>
  <c r="I803" i="6"/>
  <c r="B804" i="6"/>
  <c r="C804" i="6"/>
  <c r="D804" i="6"/>
  <c r="E804" i="6"/>
  <c r="G804" i="6"/>
  <c r="H804" i="6"/>
  <c r="I804" i="6"/>
  <c r="B805" i="6"/>
  <c r="C805" i="6"/>
  <c r="D805" i="6"/>
  <c r="E805" i="6"/>
  <c r="G805" i="6"/>
  <c r="H805" i="6"/>
  <c r="I805" i="6"/>
  <c r="B806" i="6"/>
  <c r="C806" i="6"/>
  <c r="D806" i="6"/>
  <c r="E806" i="6"/>
  <c r="G806" i="6"/>
  <c r="H806" i="6"/>
  <c r="I806" i="6"/>
  <c r="B807" i="6"/>
  <c r="C807" i="6"/>
  <c r="D807" i="6"/>
  <c r="E807" i="6"/>
  <c r="G807" i="6"/>
  <c r="H807" i="6"/>
  <c r="I807" i="6"/>
  <c r="B808" i="6"/>
  <c r="C808" i="6"/>
  <c r="D808" i="6"/>
  <c r="E808" i="6"/>
  <c r="G808" i="6"/>
  <c r="H808" i="6"/>
  <c r="I808" i="6"/>
  <c r="B809" i="6"/>
  <c r="C809" i="6"/>
  <c r="D809" i="6"/>
  <c r="E809" i="6"/>
  <c r="G809" i="6"/>
  <c r="H809" i="6"/>
  <c r="I809" i="6"/>
  <c r="B810" i="6"/>
  <c r="C810" i="6"/>
  <c r="D810" i="6"/>
  <c r="E810" i="6"/>
  <c r="G810" i="6"/>
  <c r="H810" i="6"/>
  <c r="I810" i="6"/>
  <c r="B811" i="6"/>
  <c r="C811" i="6"/>
  <c r="D811" i="6"/>
  <c r="E811" i="6"/>
  <c r="G811" i="6"/>
  <c r="H811" i="6"/>
  <c r="I811" i="6"/>
  <c r="B812" i="6"/>
  <c r="C812" i="6"/>
  <c r="D812" i="6"/>
  <c r="E812" i="6"/>
  <c r="G812" i="6"/>
  <c r="H812" i="6"/>
  <c r="I812" i="6"/>
  <c r="B813" i="6"/>
  <c r="C813" i="6"/>
  <c r="D813" i="6"/>
  <c r="E813" i="6"/>
  <c r="G813" i="6"/>
  <c r="H813" i="6"/>
  <c r="I813" i="6"/>
  <c r="B814" i="6"/>
  <c r="C814" i="6"/>
  <c r="D814" i="6"/>
  <c r="E814" i="6"/>
  <c r="G814" i="6"/>
  <c r="H814" i="6"/>
  <c r="I814" i="6"/>
  <c r="B815" i="6"/>
  <c r="C815" i="6"/>
  <c r="D815" i="6"/>
  <c r="E815" i="6"/>
  <c r="G815" i="6"/>
  <c r="H815" i="6"/>
  <c r="I815" i="6"/>
  <c r="B816" i="6"/>
  <c r="C816" i="6"/>
  <c r="D816" i="6"/>
  <c r="E816" i="6"/>
  <c r="G816" i="6"/>
  <c r="H816" i="6"/>
  <c r="I816" i="6"/>
  <c r="B817" i="6"/>
  <c r="C817" i="6"/>
  <c r="D817" i="6"/>
  <c r="E817" i="6"/>
  <c r="G817" i="6"/>
  <c r="H817" i="6"/>
  <c r="I817" i="6"/>
  <c r="B818" i="6"/>
  <c r="C818" i="6"/>
  <c r="D818" i="6"/>
  <c r="E818" i="6"/>
  <c r="G818" i="6"/>
  <c r="H818" i="6"/>
  <c r="I818" i="6"/>
  <c r="B819" i="6"/>
  <c r="C819" i="6"/>
  <c r="D819" i="6"/>
  <c r="E819" i="6"/>
  <c r="G819" i="6"/>
  <c r="H819" i="6"/>
  <c r="I819" i="6"/>
  <c r="B820" i="6"/>
  <c r="C820" i="6"/>
  <c r="D820" i="6"/>
  <c r="E820" i="6"/>
  <c r="G820" i="6"/>
  <c r="H820" i="6"/>
  <c r="I820" i="6"/>
  <c r="B821" i="6"/>
  <c r="C821" i="6"/>
  <c r="D821" i="6"/>
  <c r="E821" i="6"/>
  <c r="G821" i="6"/>
  <c r="H821" i="6"/>
  <c r="I821" i="6"/>
  <c r="B822" i="6"/>
  <c r="C822" i="6"/>
  <c r="D822" i="6"/>
  <c r="E822" i="6"/>
  <c r="G822" i="6"/>
  <c r="H822" i="6"/>
  <c r="I822" i="6"/>
  <c r="B823" i="6"/>
  <c r="C823" i="6"/>
  <c r="D823" i="6"/>
  <c r="E823" i="6"/>
  <c r="G823" i="6"/>
  <c r="H823" i="6"/>
  <c r="I823" i="6"/>
  <c r="B824" i="6"/>
  <c r="C824" i="6"/>
  <c r="D824" i="6"/>
  <c r="E824" i="6"/>
  <c r="G824" i="6"/>
  <c r="H824" i="6"/>
  <c r="I824" i="6"/>
  <c r="B825" i="6"/>
  <c r="C825" i="6"/>
  <c r="D825" i="6"/>
  <c r="E825" i="6"/>
  <c r="G825" i="6"/>
  <c r="H825" i="6"/>
  <c r="I825" i="6"/>
  <c r="B826" i="6"/>
  <c r="C826" i="6"/>
  <c r="D826" i="6"/>
  <c r="E826" i="6"/>
  <c r="G826" i="6"/>
  <c r="H826" i="6"/>
  <c r="I826" i="6"/>
  <c r="B827" i="6"/>
  <c r="C827" i="6"/>
  <c r="D827" i="6"/>
  <c r="E827" i="6"/>
  <c r="G827" i="6"/>
  <c r="H827" i="6"/>
  <c r="I827" i="6"/>
  <c r="B828" i="6"/>
  <c r="C828" i="6"/>
  <c r="D828" i="6"/>
  <c r="E828" i="6"/>
  <c r="G828" i="6"/>
  <c r="H828" i="6"/>
  <c r="I828" i="6"/>
  <c r="B829" i="6"/>
  <c r="C829" i="6"/>
  <c r="D829" i="6"/>
  <c r="E829" i="6"/>
  <c r="G829" i="6"/>
  <c r="H829" i="6"/>
  <c r="I829" i="6"/>
  <c r="B830" i="6"/>
  <c r="C830" i="6"/>
  <c r="D830" i="6"/>
  <c r="E830" i="6"/>
  <c r="G830" i="6"/>
  <c r="H830" i="6"/>
  <c r="I830" i="6"/>
  <c r="B831" i="6"/>
  <c r="C831" i="6"/>
  <c r="D831" i="6"/>
  <c r="E831" i="6"/>
  <c r="G831" i="6"/>
  <c r="H831" i="6"/>
  <c r="I831" i="6"/>
  <c r="B832" i="6"/>
  <c r="C832" i="6"/>
  <c r="D832" i="6"/>
  <c r="E832" i="6"/>
  <c r="G832" i="6"/>
  <c r="H832" i="6"/>
  <c r="I832" i="6"/>
  <c r="B833" i="6"/>
  <c r="C833" i="6"/>
  <c r="D833" i="6"/>
  <c r="E833" i="6"/>
  <c r="G833" i="6"/>
  <c r="H833" i="6"/>
  <c r="I833" i="6"/>
  <c r="B834" i="6"/>
  <c r="C834" i="6"/>
  <c r="D834" i="6"/>
  <c r="E834" i="6"/>
  <c r="G834" i="6"/>
  <c r="H834" i="6"/>
  <c r="I834" i="6"/>
  <c r="B835" i="6"/>
  <c r="C835" i="6"/>
  <c r="D835" i="6"/>
  <c r="E835" i="6"/>
  <c r="G835" i="6"/>
  <c r="H835" i="6"/>
  <c r="I835" i="6"/>
  <c r="B836" i="6"/>
  <c r="C836" i="6"/>
  <c r="D836" i="6"/>
  <c r="E836" i="6"/>
  <c r="G836" i="6"/>
  <c r="H836" i="6"/>
  <c r="I836" i="6"/>
  <c r="B837" i="6"/>
  <c r="C837" i="6"/>
  <c r="D837" i="6"/>
  <c r="E837" i="6"/>
  <c r="G837" i="6"/>
  <c r="H837" i="6"/>
  <c r="I837" i="6"/>
  <c r="B838" i="6"/>
  <c r="C838" i="6"/>
  <c r="D838" i="6"/>
  <c r="E838" i="6"/>
  <c r="G838" i="6"/>
  <c r="H838" i="6"/>
  <c r="I838" i="6"/>
  <c r="B839" i="6"/>
  <c r="C839" i="6"/>
  <c r="D839" i="6"/>
  <c r="E839" i="6"/>
  <c r="G839" i="6"/>
  <c r="H839" i="6"/>
  <c r="I839" i="6"/>
  <c r="B840" i="6"/>
  <c r="C840" i="6"/>
  <c r="D840" i="6"/>
  <c r="E840" i="6"/>
  <c r="G840" i="6"/>
  <c r="H840" i="6"/>
  <c r="I840" i="6"/>
  <c r="B841" i="6"/>
  <c r="C841" i="6"/>
  <c r="D841" i="6"/>
  <c r="E841" i="6"/>
  <c r="G841" i="6"/>
  <c r="H841" i="6"/>
  <c r="I841" i="6"/>
  <c r="B842" i="6"/>
  <c r="C842" i="6"/>
  <c r="D842" i="6"/>
  <c r="E842" i="6"/>
  <c r="G842" i="6"/>
  <c r="H842" i="6"/>
  <c r="I842" i="6"/>
  <c r="B843" i="6"/>
  <c r="C843" i="6"/>
  <c r="D843" i="6"/>
  <c r="E843" i="6"/>
  <c r="G843" i="6"/>
  <c r="H843" i="6"/>
  <c r="I843" i="6"/>
  <c r="B844" i="6"/>
  <c r="C844" i="6"/>
  <c r="D844" i="6"/>
  <c r="E844" i="6"/>
  <c r="G844" i="6"/>
  <c r="H844" i="6"/>
  <c r="I844" i="6"/>
  <c r="B845" i="6"/>
  <c r="C845" i="6"/>
  <c r="D845" i="6"/>
  <c r="E845" i="6"/>
  <c r="G845" i="6"/>
  <c r="H845" i="6"/>
  <c r="I845" i="6"/>
  <c r="B846" i="6"/>
  <c r="C846" i="6"/>
  <c r="D846" i="6"/>
  <c r="E846" i="6"/>
  <c r="G846" i="6"/>
  <c r="H846" i="6"/>
  <c r="I846" i="6"/>
  <c r="B847" i="6"/>
  <c r="C847" i="6"/>
  <c r="D847" i="6"/>
  <c r="E847" i="6"/>
  <c r="G847" i="6"/>
  <c r="H847" i="6"/>
  <c r="I847" i="6"/>
  <c r="B848" i="6"/>
  <c r="C848" i="6"/>
  <c r="D848" i="6"/>
  <c r="E848" i="6"/>
  <c r="G848" i="6"/>
  <c r="H848" i="6"/>
  <c r="I848" i="6"/>
  <c r="B849" i="6"/>
  <c r="C849" i="6"/>
  <c r="D849" i="6"/>
  <c r="E849" i="6"/>
  <c r="G849" i="6"/>
  <c r="H849" i="6"/>
  <c r="I849" i="6"/>
  <c r="B850" i="6"/>
  <c r="C850" i="6"/>
  <c r="D850" i="6"/>
  <c r="E850" i="6"/>
  <c r="G850" i="6"/>
  <c r="H850" i="6"/>
  <c r="I850" i="6"/>
  <c r="B851" i="6"/>
  <c r="C851" i="6"/>
  <c r="D851" i="6"/>
  <c r="E851" i="6"/>
  <c r="G851" i="6"/>
  <c r="H851" i="6"/>
  <c r="I851" i="6"/>
  <c r="B852" i="6"/>
  <c r="C852" i="6"/>
  <c r="D852" i="6"/>
  <c r="E852" i="6"/>
  <c r="G852" i="6"/>
  <c r="H852" i="6"/>
  <c r="I852" i="6"/>
  <c r="B853" i="6"/>
  <c r="C853" i="6"/>
  <c r="D853" i="6"/>
  <c r="E853" i="6"/>
  <c r="G853" i="6"/>
  <c r="H853" i="6"/>
  <c r="I853" i="6"/>
  <c r="B854" i="6"/>
  <c r="C854" i="6"/>
  <c r="D854" i="6"/>
  <c r="E854" i="6"/>
  <c r="G854" i="6"/>
  <c r="H854" i="6"/>
  <c r="I854" i="6"/>
  <c r="B855" i="6"/>
  <c r="C855" i="6"/>
  <c r="D855" i="6"/>
  <c r="E855" i="6"/>
  <c r="G855" i="6"/>
  <c r="H855" i="6"/>
  <c r="I855" i="6"/>
  <c r="B856" i="6"/>
  <c r="C856" i="6"/>
  <c r="D856" i="6"/>
  <c r="E856" i="6"/>
  <c r="G856" i="6"/>
  <c r="H856" i="6"/>
  <c r="I856" i="6"/>
  <c r="B857" i="6"/>
  <c r="C857" i="6"/>
  <c r="D857" i="6"/>
  <c r="E857" i="6"/>
  <c r="G857" i="6"/>
  <c r="H857" i="6"/>
  <c r="I857" i="6"/>
  <c r="B858" i="6"/>
  <c r="C858" i="6"/>
  <c r="D858" i="6"/>
  <c r="E858" i="6"/>
  <c r="G858" i="6"/>
  <c r="H858" i="6"/>
  <c r="I858" i="6"/>
  <c r="B859" i="6"/>
  <c r="C859" i="6"/>
  <c r="D859" i="6"/>
  <c r="E859" i="6"/>
  <c r="G859" i="6"/>
  <c r="H859" i="6"/>
  <c r="I859" i="6"/>
  <c r="B860" i="6"/>
  <c r="C860" i="6"/>
  <c r="D860" i="6"/>
  <c r="E860" i="6"/>
  <c r="G860" i="6"/>
  <c r="H860" i="6"/>
  <c r="I860" i="6"/>
  <c r="B861" i="6"/>
  <c r="C861" i="6"/>
  <c r="D861" i="6"/>
  <c r="E861" i="6"/>
  <c r="G861" i="6"/>
  <c r="H861" i="6"/>
  <c r="I861" i="6"/>
  <c r="B862" i="6"/>
  <c r="C862" i="6"/>
  <c r="D862" i="6"/>
  <c r="E862" i="6"/>
  <c r="G862" i="6"/>
  <c r="H862" i="6"/>
  <c r="I862" i="6"/>
  <c r="B863" i="6"/>
  <c r="C863" i="6"/>
  <c r="D863" i="6"/>
  <c r="E863" i="6"/>
  <c r="G863" i="6"/>
  <c r="H863" i="6"/>
  <c r="I863" i="6"/>
  <c r="B864" i="6"/>
  <c r="C864" i="6"/>
  <c r="D864" i="6"/>
  <c r="E864" i="6"/>
  <c r="G864" i="6"/>
  <c r="H864" i="6"/>
  <c r="I864" i="6"/>
  <c r="B865" i="6"/>
  <c r="C865" i="6"/>
  <c r="D865" i="6"/>
  <c r="E865" i="6"/>
  <c r="G865" i="6"/>
  <c r="H865" i="6"/>
  <c r="I865" i="6"/>
  <c r="B866" i="6"/>
  <c r="C866" i="6"/>
  <c r="D866" i="6"/>
  <c r="E866" i="6"/>
  <c r="G866" i="6"/>
  <c r="H866" i="6"/>
  <c r="I866" i="6"/>
  <c r="B867" i="6"/>
  <c r="C867" i="6"/>
  <c r="D867" i="6"/>
  <c r="E867" i="6"/>
  <c r="G867" i="6"/>
  <c r="H867" i="6"/>
  <c r="I867" i="6"/>
  <c r="B868" i="6"/>
  <c r="C868" i="6"/>
  <c r="D868" i="6"/>
  <c r="E868" i="6"/>
  <c r="G868" i="6"/>
  <c r="H868" i="6"/>
  <c r="I868" i="6"/>
  <c r="B869" i="6"/>
  <c r="C869" i="6"/>
  <c r="D869" i="6"/>
  <c r="E869" i="6"/>
  <c r="G869" i="6"/>
  <c r="H869" i="6"/>
  <c r="I869" i="6"/>
  <c r="B870" i="6"/>
  <c r="C870" i="6"/>
  <c r="D870" i="6"/>
  <c r="E870" i="6"/>
  <c r="G870" i="6"/>
  <c r="H870" i="6"/>
  <c r="I870" i="6"/>
  <c r="B871" i="6"/>
  <c r="C871" i="6"/>
  <c r="D871" i="6"/>
  <c r="E871" i="6"/>
  <c r="G871" i="6"/>
  <c r="H871" i="6"/>
  <c r="I871" i="6"/>
  <c r="B872" i="6"/>
  <c r="C872" i="6"/>
  <c r="D872" i="6"/>
  <c r="E872" i="6"/>
  <c r="G872" i="6"/>
  <c r="H872" i="6"/>
  <c r="I872" i="6"/>
  <c r="B873" i="6"/>
  <c r="C873" i="6"/>
  <c r="D873" i="6"/>
  <c r="E873" i="6"/>
  <c r="G873" i="6"/>
  <c r="H873" i="6"/>
  <c r="I873" i="6"/>
  <c r="B874" i="6"/>
  <c r="C874" i="6"/>
  <c r="D874" i="6"/>
  <c r="E874" i="6"/>
  <c r="G874" i="6"/>
  <c r="H874" i="6"/>
  <c r="I874" i="6"/>
  <c r="B875" i="6"/>
  <c r="C875" i="6"/>
  <c r="D875" i="6"/>
  <c r="E875" i="6"/>
  <c r="G875" i="6"/>
  <c r="H875" i="6"/>
  <c r="I875" i="6"/>
  <c r="B876" i="6"/>
  <c r="C876" i="6"/>
  <c r="D876" i="6"/>
  <c r="E876" i="6"/>
  <c r="G876" i="6"/>
  <c r="H876" i="6"/>
  <c r="I876" i="6"/>
  <c r="B877" i="6"/>
  <c r="C877" i="6"/>
  <c r="D877" i="6"/>
  <c r="E877" i="6"/>
  <c r="G877" i="6"/>
  <c r="H877" i="6"/>
  <c r="I877" i="6"/>
  <c r="B878" i="6"/>
  <c r="C878" i="6"/>
  <c r="D878" i="6"/>
  <c r="E878" i="6"/>
  <c r="G878" i="6"/>
  <c r="H878" i="6"/>
  <c r="I878" i="6"/>
  <c r="B879" i="6"/>
  <c r="C879" i="6"/>
  <c r="D879" i="6"/>
  <c r="E879" i="6"/>
  <c r="G879" i="6"/>
  <c r="H879" i="6"/>
  <c r="I879" i="6"/>
  <c r="B880" i="6"/>
  <c r="C880" i="6"/>
  <c r="D880" i="6"/>
  <c r="E880" i="6"/>
  <c r="G880" i="6"/>
  <c r="H880" i="6"/>
  <c r="I880" i="6"/>
  <c r="B881" i="6"/>
  <c r="C881" i="6"/>
  <c r="D881" i="6"/>
  <c r="E881" i="6"/>
  <c r="G881" i="6"/>
  <c r="H881" i="6"/>
  <c r="I881" i="6"/>
  <c r="B882" i="6"/>
  <c r="C882" i="6"/>
  <c r="D882" i="6"/>
  <c r="E882" i="6"/>
  <c r="G882" i="6"/>
  <c r="H882" i="6"/>
  <c r="I882" i="6"/>
  <c r="B883" i="6"/>
  <c r="C883" i="6"/>
  <c r="D883" i="6"/>
  <c r="E883" i="6"/>
  <c r="G883" i="6"/>
  <c r="H883" i="6"/>
  <c r="I883" i="6"/>
  <c r="B884" i="6"/>
  <c r="C884" i="6"/>
  <c r="D884" i="6"/>
  <c r="E884" i="6"/>
  <c r="G884" i="6"/>
  <c r="H884" i="6"/>
  <c r="I884" i="6"/>
  <c r="B885" i="6"/>
  <c r="C885" i="6"/>
  <c r="D885" i="6"/>
  <c r="E885" i="6"/>
  <c r="G885" i="6"/>
  <c r="H885" i="6"/>
  <c r="I885" i="6"/>
  <c r="B886" i="6"/>
  <c r="C886" i="6"/>
  <c r="D886" i="6"/>
  <c r="E886" i="6"/>
  <c r="G886" i="6"/>
  <c r="H886" i="6"/>
  <c r="I886" i="6"/>
  <c r="B887" i="6"/>
  <c r="C887" i="6"/>
  <c r="D887" i="6"/>
  <c r="E887" i="6"/>
  <c r="G887" i="6"/>
  <c r="H887" i="6"/>
  <c r="I887" i="6"/>
  <c r="B888" i="6"/>
  <c r="C888" i="6"/>
  <c r="D888" i="6"/>
  <c r="E888" i="6"/>
  <c r="G888" i="6"/>
  <c r="H888" i="6"/>
  <c r="I888" i="6"/>
  <c r="B889" i="6"/>
  <c r="C889" i="6"/>
  <c r="D889" i="6"/>
  <c r="E889" i="6"/>
  <c r="G889" i="6"/>
  <c r="H889" i="6"/>
  <c r="I889" i="6"/>
  <c r="B890" i="6"/>
  <c r="C890" i="6"/>
  <c r="D890" i="6"/>
  <c r="E890" i="6"/>
  <c r="G890" i="6"/>
  <c r="H890" i="6"/>
  <c r="I890" i="6"/>
  <c r="B891" i="6"/>
  <c r="C891" i="6"/>
  <c r="D891" i="6"/>
  <c r="E891" i="6"/>
  <c r="G891" i="6"/>
  <c r="H891" i="6"/>
  <c r="I891" i="6"/>
  <c r="B892" i="6"/>
  <c r="C892" i="6"/>
  <c r="D892" i="6"/>
  <c r="E892" i="6"/>
  <c r="G892" i="6"/>
  <c r="H892" i="6"/>
  <c r="I892" i="6"/>
  <c r="B893" i="6"/>
  <c r="C893" i="6"/>
  <c r="D893" i="6"/>
  <c r="E893" i="6"/>
  <c r="G893" i="6"/>
  <c r="H893" i="6"/>
  <c r="I893" i="6"/>
  <c r="B894" i="6"/>
  <c r="C894" i="6"/>
  <c r="D894" i="6"/>
  <c r="E894" i="6"/>
  <c r="G894" i="6"/>
  <c r="H894" i="6"/>
  <c r="I894" i="6"/>
  <c r="B895" i="6"/>
  <c r="C895" i="6"/>
  <c r="D895" i="6"/>
  <c r="E895" i="6"/>
  <c r="G895" i="6"/>
  <c r="H895" i="6"/>
  <c r="I895" i="6"/>
  <c r="B896" i="6"/>
  <c r="C896" i="6"/>
  <c r="D896" i="6"/>
  <c r="E896" i="6"/>
  <c r="G896" i="6"/>
  <c r="H896" i="6"/>
  <c r="I896" i="6"/>
  <c r="B897" i="6"/>
  <c r="C897" i="6"/>
  <c r="D897" i="6"/>
  <c r="E897" i="6"/>
  <c r="G897" i="6"/>
  <c r="H897" i="6"/>
  <c r="I897" i="6"/>
  <c r="B898" i="6"/>
  <c r="C898" i="6"/>
  <c r="D898" i="6"/>
  <c r="E898" i="6"/>
  <c r="G898" i="6"/>
  <c r="H898" i="6"/>
  <c r="I898" i="6"/>
  <c r="B899" i="6"/>
  <c r="C899" i="6"/>
  <c r="D899" i="6"/>
  <c r="E899" i="6"/>
  <c r="G899" i="6"/>
  <c r="H899" i="6"/>
  <c r="I899" i="6"/>
  <c r="B900" i="6"/>
  <c r="C900" i="6"/>
  <c r="D900" i="6"/>
  <c r="E900" i="6"/>
  <c r="G900" i="6"/>
  <c r="H900" i="6"/>
  <c r="I900" i="6"/>
  <c r="B901" i="6"/>
  <c r="C901" i="6"/>
  <c r="D901" i="6"/>
  <c r="E901" i="6"/>
  <c r="G901" i="6"/>
  <c r="H901" i="6"/>
  <c r="I901" i="6"/>
  <c r="B902" i="6"/>
  <c r="C902" i="6"/>
  <c r="D902" i="6"/>
  <c r="E902" i="6"/>
  <c r="G902" i="6"/>
  <c r="H902" i="6"/>
  <c r="I902" i="6"/>
  <c r="B903" i="6"/>
  <c r="C903" i="6"/>
  <c r="D903" i="6"/>
  <c r="E903" i="6"/>
  <c r="G903" i="6"/>
  <c r="H903" i="6"/>
  <c r="I903" i="6"/>
  <c r="B904" i="6"/>
  <c r="C904" i="6"/>
  <c r="D904" i="6"/>
  <c r="E904" i="6"/>
  <c r="G904" i="6"/>
  <c r="H904" i="6"/>
  <c r="I904" i="6"/>
  <c r="B905" i="6"/>
  <c r="C905" i="6"/>
  <c r="D905" i="6"/>
  <c r="E905" i="6"/>
  <c r="G905" i="6"/>
  <c r="H905" i="6"/>
  <c r="I905" i="6"/>
  <c r="B906" i="6"/>
  <c r="C906" i="6"/>
  <c r="D906" i="6"/>
  <c r="E906" i="6"/>
  <c r="G906" i="6"/>
  <c r="H906" i="6"/>
  <c r="I906" i="6"/>
  <c r="B907" i="6"/>
  <c r="C907" i="6"/>
  <c r="D907" i="6"/>
  <c r="E907" i="6"/>
  <c r="G907" i="6"/>
  <c r="H907" i="6"/>
  <c r="I907" i="6"/>
  <c r="B908" i="6"/>
  <c r="C908" i="6"/>
  <c r="D908" i="6"/>
  <c r="E908" i="6"/>
  <c r="G908" i="6"/>
  <c r="H908" i="6"/>
  <c r="I908" i="6"/>
  <c r="B909" i="6"/>
  <c r="C909" i="6"/>
  <c r="D909" i="6"/>
  <c r="E909" i="6"/>
  <c r="G909" i="6"/>
  <c r="H909" i="6"/>
  <c r="I909" i="6"/>
  <c r="B910" i="6"/>
  <c r="C910" i="6"/>
  <c r="D910" i="6"/>
  <c r="E910" i="6"/>
  <c r="G910" i="6"/>
  <c r="H910" i="6"/>
  <c r="I910" i="6"/>
  <c r="B911" i="6"/>
  <c r="C911" i="6"/>
  <c r="D911" i="6"/>
  <c r="E911" i="6"/>
  <c r="G911" i="6"/>
  <c r="H911" i="6"/>
  <c r="I911" i="6"/>
  <c r="B912" i="6"/>
  <c r="C912" i="6"/>
  <c r="D912" i="6"/>
  <c r="E912" i="6"/>
  <c r="G912" i="6"/>
  <c r="H912" i="6"/>
  <c r="I912" i="6"/>
  <c r="B913" i="6"/>
  <c r="C913" i="6"/>
  <c r="D913" i="6"/>
  <c r="E913" i="6"/>
  <c r="G913" i="6"/>
  <c r="H913" i="6"/>
  <c r="I913" i="6"/>
  <c r="B914" i="6"/>
  <c r="C914" i="6"/>
  <c r="D914" i="6"/>
  <c r="E914" i="6"/>
  <c r="G914" i="6"/>
  <c r="H914" i="6"/>
  <c r="I914" i="6"/>
  <c r="B915" i="6"/>
  <c r="C915" i="6"/>
  <c r="D915" i="6"/>
  <c r="E915" i="6"/>
  <c r="G915" i="6"/>
  <c r="H915" i="6"/>
  <c r="I915" i="6"/>
  <c r="B916" i="6"/>
  <c r="C916" i="6"/>
  <c r="D916" i="6"/>
  <c r="E916" i="6"/>
  <c r="G916" i="6"/>
  <c r="H916" i="6"/>
  <c r="I916" i="6"/>
  <c r="B917" i="6"/>
  <c r="C917" i="6"/>
  <c r="D917" i="6"/>
  <c r="E917" i="6"/>
  <c r="G917" i="6"/>
  <c r="H917" i="6"/>
  <c r="I917" i="6"/>
  <c r="B918" i="6"/>
  <c r="C918" i="6"/>
  <c r="D918" i="6"/>
  <c r="E918" i="6"/>
  <c r="G918" i="6"/>
  <c r="H918" i="6"/>
  <c r="I918" i="6"/>
  <c r="B919" i="6"/>
  <c r="C919" i="6"/>
  <c r="D919" i="6"/>
  <c r="E919" i="6"/>
  <c r="G919" i="6"/>
  <c r="H919" i="6"/>
  <c r="I919" i="6"/>
  <c r="B920" i="6"/>
  <c r="C920" i="6"/>
  <c r="D920" i="6"/>
  <c r="E920" i="6"/>
  <c r="G920" i="6"/>
  <c r="H920" i="6"/>
  <c r="I920" i="6"/>
  <c r="B921" i="6"/>
  <c r="C921" i="6"/>
  <c r="D921" i="6"/>
  <c r="E921" i="6"/>
  <c r="G921" i="6"/>
  <c r="H921" i="6"/>
  <c r="I921" i="6"/>
  <c r="B922" i="6"/>
  <c r="C922" i="6"/>
  <c r="D922" i="6"/>
  <c r="E922" i="6"/>
  <c r="G922" i="6"/>
  <c r="H922" i="6"/>
  <c r="I922" i="6"/>
  <c r="B923" i="6"/>
  <c r="C923" i="6"/>
  <c r="D923" i="6"/>
  <c r="E923" i="6"/>
  <c r="G923" i="6"/>
  <c r="H923" i="6"/>
  <c r="I923" i="6"/>
  <c r="B924" i="6"/>
  <c r="C924" i="6"/>
  <c r="D924" i="6"/>
  <c r="E924" i="6"/>
  <c r="G924" i="6"/>
  <c r="H924" i="6"/>
  <c r="I924" i="6"/>
  <c r="B925" i="6"/>
  <c r="C925" i="6"/>
  <c r="D925" i="6"/>
  <c r="E925" i="6"/>
  <c r="G925" i="6"/>
  <c r="H925" i="6"/>
  <c r="I925" i="6"/>
  <c r="B926" i="6"/>
  <c r="C926" i="6"/>
  <c r="D926" i="6"/>
  <c r="E926" i="6"/>
  <c r="G926" i="6"/>
  <c r="H926" i="6"/>
  <c r="I926" i="6"/>
  <c r="B927" i="6"/>
  <c r="C927" i="6"/>
  <c r="D927" i="6"/>
  <c r="E927" i="6"/>
  <c r="G927" i="6"/>
  <c r="H927" i="6"/>
  <c r="I927" i="6"/>
  <c r="B928" i="6"/>
  <c r="C928" i="6"/>
  <c r="D928" i="6"/>
  <c r="E928" i="6"/>
  <c r="G928" i="6"/>
  <c r="H928" i="6"/>
  <c r="I928" i="6"/>
  <c r="B929" i="6"/>
  <c r="C929" i="6"/>
  <c r="D929" i="6"/>
  <c r="E929" i="6"/>
  <c r="G929" i="6"/>
  <c r="H929" i="6"/>
  <c r="I929" i="6"/>
  <c r="B930" i="6"/>
  <c r="C930" i="6"/>
  <c r="D930" i="6"/>
  <c r="E930" i="6"/>
  <c r="G930" i="6"/>
  <c r="H930" i="6"/>
  <c r="I930" i="6"/>
  <c r="B931" i="6"/>
  <c r="C931" i="6"/>
  <c r="D931" i="6"/>
  <c r="E931" i="6"/>
  <c r="G931" i="6"/>
  <c r="H931" i="6"/>
  <c r="I931" i="6"/>
  <c r="B932" i="6"/>
  <c r="C932" i="6"/>
  <c r="D932" i="6"/>
  <c r="E932" i="6"/>
  <c r="G932" i="6"/>
  <c r="H932" i="6"/>
  <c r="I932" i="6"/>
  <c r="B933" i="6"/>
  <c r="C933" i="6"/>
  <c r="D933" i="6"/>
  <c r="E933" i="6"/>
  <c r="G933" i="6"/>
  <c r="H933" i="6"/>
  <c r="I933" i="6"/>
  <c r="B934" i="6"/>
  <c r="C934" i="6"/>
  <c r="D934" i="6"/>
  <c r="E934" i="6"/>
  <c r="G934" i="6"/>
  <c r="H934" i="6"/>
  <c r="I934" i="6"/>
  <c r="B935" i="6"/>
  <c r="C935" i="6"/>
  <c r="D935" i="6"/>
  <c r="E935" i="6"/>
  <c r="G935" i="6"/>
  <c r="H935" i="6"/>
  <c r="I935" i="6"/>
  <c r="B936" i="6"/>
  <c r="C936" i="6"/>
  <c r="D936" i="6"/>
  <c r="E936" i="6"/>
  <c r="G936" i="6"/>
  <c r="H936" i="6"/>
  <c r="I936" i="6"/>
  <c r="B937" i="6"/>
  <c r="C937" i="6"/>
  <c r="D937" i="6"/>
  <c r="E937" i="6"/>
  <c r="G937" i="6"/>
  <c r="H937" i="6"/>
  <c r="I937" i="6"/>
  <c r="B938" i="6"/>
  <c r="C938" i="6"/>
  <c r="D938" i="6"/>
  <c r="E938" i="6"/>
  <c r="G938" i="6"/>
  <c r="H938" i="6"/>
  <c r="I938" i="6"/>
  <c r="B939" i="6"/>
  <c r="C939" i="6"/>
  <c r="D939" i="6"/>
  <c r="E939" i="6"/>
  <c r="G939" i="6"/>
  <c r="H939" i="6"/>
  <c r="I939" i="6"/>
  <c r="B940" i="6"/>
  <c r="C940" i="6"/>
  <c r="D940" i="6"/>
  <c r="E940" i="6"/>
  <c r="G940" i="6"/>
  <c r="H940" i="6"/>
  <c r="I940" i="6"/>
  <c r="B941" i="6"/>
  <c r="C941" i="6"/>
  <c r="D941" i="6"/>
  <c r="E941" i="6"/>
  <c r="G941" i="6"/>
  <c r="H941" i="6"/>
  <c r="I941" i="6"/>
  <c r="B942" i="6"/>
  <c r="C942" i="6"/>
  <c r="D942" i="6"/>
  <c r="E942" i="6"/>
  <c r="G942" i="6"/>
  <c r="H942" i="6"/>
  <c r="I942" i="6"/>
  <c r="B943" i="6"/>
  <c r="C943" i="6"/>
  <c r="D943" i="6"/>
  <c r="E943" i="6"/>
  <c r="G943" i="6"/>
  <c r="H943" i="6"/>
  <c r="I943" i="6"/>
  <c r="B944" i="6"/>
  <c r="C944" i="6"/>
  <c r="D944" i="6"/>
  <c r="E944" i="6"/>
  <c r="G944" i="6"/>
  <c r="H944" i="6"/>
  <c r="I944" i="6"/>
  <c r="B945" i="6"/>
  <c r="C945" i="6"/>
  <c r="D945" i="6"/>
  <c r="E945" i="6"/>
  <c r="G945" i="6"/>
  <c r="H945" i="6"/>
  <c r="I945" i="6"/>
  <c r="B946" i="6"/>
  <c r="C946" i="6"/>
  <c r="D946" i="6"/>
  <c r="E946" i="6"/>
  <c r="G946" i="6"/>
  <c r="H946" i="6"/>
  <c r="I946" i="6"/>
  <c r="B947" i="6"/>
  <c r="C947" i="6"/>
  <c r="D947" i="6"/>
  <c r="E947" i="6"/>
  <c r="G947" i="6"/>
  <c r="H947" i="6"/>
  <c r="I947" i="6"/>
  <c r="B948" i="6"/>
  <c r="C948" i="6"/>
  <c r="D948" i="6"/>
  <c r="E948" i="6"/>
  <c r="G948" i="6"/>
  <c r="H948" i="6"/>
  <c r="I948" i="6"/>
  <c r="B949" i="6"/>
  <c r="C949" i="6"/>
  <c r="D949" i="6"/>
  <c r="E949" i="6"/>
  <c r="G949" i="6"/>
  <c r="H949" i="6"/>
  <c r="I949" i="6"/>
  <c r="B950" i="6"/>
  <c r="C950" i="6"/>
  <c r="D950" i="6"/>
  <c r="E950" i="6"/>
  <c r="G950" i="6"/>
  <c r="H950" i="6"/>
  <c r="I950" i="6"/>
  <c r="B951" i="6"/>
  <c r="C951" i="6"/>
  <c r="D951" i="6"/>
  <c r="E951" i="6"/>
  <c r="G951" i="6"/>
  <c r="H951" i="6"/>
  <c r="I951" i="6"/>
  <c r="B952" i="6"/>
  <c r="C952" i="6"/>
  <c r="D952" i="6"/>
  <c r="E952" i="6"/>
  <c r="G952" i="6"/>
  <c r="H952" i="6"/>
  <c r="I952" i="6"/>
  <c r="B953" i="6"/>
  <c r="C953" i="6"/>
  <c r="D953" i="6"/>
  <c r="E953" i="6"/>
  <c r="G953" i="6"/>
  <c r="H953" i="6"/>
  <c r="I953" i="6"/>
  <c r="B954" i="6"/>
  <c r="C954" i="6"/>
  <c r="D954" i="6"/>
  <c r="E954" i="6"/>
  <c r="G954" i="6"/>
  <c r="H954" i="6"/>
  <c r="I954" i="6"/>
  <c r="B955" i="6"/>
  <c r="C955" i="6"/>
  <c r="D955" i="6"/>
  <c r="E955" i="6"/>
  <c r="G955" i="6"/>
  <c r="H955" i="6"/>
  <c r="I955" i="6"/>
  <c r="B956" i="6"/>
  <c r="C956" i="6"/>
  <c r="D956" i="6"/>
  <c r="E956" i="6"/>
  <c r="G956" i="6"/>
  <c r="H956" i="6"/>
  <c r="I956" i="6"/>
  <c r="B957" i="6"/>
  <c r="C957" i="6"/>
  <c r="D957" i="6"/>
  <c r="E957" i="6"/>
  <c r="G957" i="6"/>
  <c r="H957" i="6"/>
  <c r="I957" i="6"/>
  <c r="B958" i="6"/>
  <c r="C958" i="6"/>
  <c r="D958" i="6"/>
  <c r="E958" i="6"/>
  <c r="G958" i="6"/>
  <c r="H958" i="6"/>
  <c r="I958" i="6"/>
  <c r="B959" i="6"/>
  <c r="C959" i="6"/>
  <c r="D959" i="6"/>
  <c r="E959" i="6"/>
  <c r="G959" i="6"/>
  <c r="H959" i="6"/>
  <c r="I959" i="6"/>
  <c r="B960" i="6"/>
  <c r="C960" i="6"/>
  <c r="D960" i="6"/>
  <c r="E960" i="6"/>
  <c r="G960" i="6"/>
  <c r="H960" i="6"/>
  <c r="I960" i="6"/>
  <c r="B961" i="6"/>
  <c r="C961" i="6"/>
  <c r="D961" i="6"/>
  <c r="E961" i="6"/>
  <c r="G961" i="6"/>
  <c r="H961" i="6"/>
  <c r="I961" i="6"/>
  <c r="B962" i="6"/>
  <c r="C962" i="6"/>
  <c r="D962" i="6"/>
  <c r="E962" i="6"/>
  <c r="G962" i="6"/>
  <c r="H962" i="6"/>
  <c r="I962" i="6"/>
  <c r="B963" i="6"/>
  <c r="C963" i="6"/>
  <c r="D963" i="6"/>
  <c r="E963" i="6"/>
  <c r="G963" i="6"/>
  <c r="H963" i="6"/>
  <c r="I963" i="6"/>
  <c r="B964" i="6"/>
  <c r="C964" i="6"/>
  <c r="D964" i="6"/>
  <c r="E964" i="6"/>
  <c r="G964" i="6"/>
  <c r="H964" i="6"/>
  <c r="I964" i="6"/>
  <c r="B965" i="6"/>
  <c r="C965" i="6"/>
  <c r="D965" i="6"/>
  <c r="E965" i="6"/>
  <c r="G965" i="6"/>
  <c r="H965" i="6"/>
  <c r="I965" i="6"/>
  <c r="B966" i="6"/>
  <c r="C966" i="6"/>
  <c r="D966" i="6"/>
  <c r="E966" i="6"/>
  <c r="G966" i="6"/>
  <c r="H966" i="6"/>
  <c r="I966" i="6"/>
  <c r="B967" i="6"/>
  <c r="C967" i="6"/>
  <c r="D967" i="6"/>
  <c r="E967" i="6"/>
  <c r="G967" i="6"/>
  <c r="H967" i="6"/>
  <c r="I967" i="6"/>
  <c r="B968" i="6"/>
  <c r="C968" i="6"/>
  <c r="D968" i="6"/>
  <c r="E968" i="6"/>
  <c r="G968" i="6"/>
  <c r="H968" i="6"/>
  <c r="I968" i="6"/>
  <c r="B969" i="6"/>
  <c r="C969" i="6"/>
  <c r="D969" i="6"/>
  <c r="E969" i="6"/>
  <c r="G969" i="6"/>
  <c r="H969" i="6"/>
  <c r="I969" i="6"/>
  <c r="B970" i="6"/>
  <c r="C970" i="6"/>
  <c r="D970" i="6"/>
  <c r="E970" i="6"/>
  <c r="G970" i="6"/>
  <c r="H970" i="6"/>
  <c r="I970" i="6"/>
  <c r="B971" i="6"/>
  <c r="C971" i="6"/>
  <c r="D971" i="6"/>
  <c r="E971" i="6"/>
  <c r="G971" i="6"/>
  <c r="H971" i="6"/>
  <c r="I971" i="6"/>
  <c r="B972" i="6"/>
  <c r="C972" i="6"/>
  <c r="D972" i="6"/>
  <c r="E972" i="6"/>
  <c r="G972" i="6"/>
  <c r="H972" i="6"/>
  <c r="I972" i="6"/>
  <c r="B973" i="6"/>
  <c r="C973" i="6"/>
  <c r="D973" i="6"/>
  <c r="E973" i="6"/>
  <c r="G973" i="6"/>
  <c r="H973" i="6"/>
  <c r="I973" i="6"/>
  <c r="B974" i="6"/>
  <c r="C974" i="6"/>
  <c r="D974" i="6"/>
  <c r="E974" i="6"/>
  <c r="G974" i="6"/>
  <c r="H974" i="6"/>
  <c r="I974" i="6"/>
  <c r="B975" i="6"/>
  <c r="C975" i="6"/>
  <c r="D975" i="6"/>
  <c r="E975" i="6"/>
  <c r="G975" i="6"/>
  <c r="H975" i="6"/>
  <c r="I975" i="6"/>
  <c r="B976" i="6"/>
  <c r="C976" i="6"/>
  <c r="D976" i="6"/>
  <c r="E976" i="6"/>
  <c r="G976" i="6"/>
  <c r="H976" i="6"/>
  <c r="I976" i="6"/>
  <c r="B977" i="6"/>
  <c r="C977" i="6"/>
  <c r="D977" i="6"/>
  <c r="E977" i="6"/>
  <c r="G977" i="6"/>
  <c r="H977" i="6"/>
  <c r="I977" i="6"/>
  <c r="B978" i="6"/>
  <c r="C978" i="6"/>
  <c r="D978" i="6"/>
  <c r="E978" i="6"/>
  <c r="G978" i="6"/>
  <c r="H978" i="6"/>
  <c r="I978" i="6"/>
  <c r="B979" i="6"/>
  <c r="C979" i="6"/>
  <c r="D979" i="6"/>
  <c r="E979" i="6"/>
  <c r="G979" i="6"/>
  <c r="H979" i="6"/>
  <c r="I979" i="6"/>
  <c r="B980" i="6"/>
  <c r="C980" i="6"/>
  <c r="D980" i="6"/>
  <c r="E980" i="6"/>
  <c r="G980" i="6"/>
  <c r="H980" i="6"/>
  <c r="I980" i="6"/>
  <c r="B981" i="6"/>
  <c r="C981" i="6"/>
  <c r="D981" i="6"/>
  <c r="E981" i="6"/>
  <c r="G981" i="6"/>
  <c r="H981" i="6"/>
  <c r="I981" i="6"/>
  <c r="B982" i="6"/>
  <c r="C982" i="6"/>
  <c r="D982" i="6"/>
  <c r="E982" i="6"/>
  <c r="G982" i="6"/>
  <c r="H982" i="6"/>
  <c r="I982" i="6"/>
  <c r="B983" i="6"/>
  <c r="C983" i="6"/>
  <c r="D983" i="6"/>
  <c r="E983" i="6"/>
  <c r="G983" i="6"/>
  <c r="H983" i="6"/>
  <c r="I983" i="6"/>
  <c r="B984" i="6"/>
  <c r="C984" i="6"/>
  <c r="D984" i="6"/>
  <c r="E984" i="6"/>
  <c r="G984" i="6"/>
  <c r="H984" i="6"/>
  <c r="I984" i="6"/>
  <c r="B985" i="6"/>
  <c r="C985" i="6"/>
  <c r="D985" i="6"/>
  <c r="E985" i="6"/>
  <c r="G985" i="6"/>
  <c r="H985" i="6"/>
  <c r="I985" i="6"/>
  <c r="B986" i="6"/>
  <c r="C986" i="6"/>
  <c r="D986" i="6"/>
  <c r="E986" i="6"/>
  <c r="G986" i="6"/>
  <c r="H986" i="6"/>
  <c r="I986" i="6"/>
  <c r="B987" i="6"/>
  <c r="C987" i="6"/>
  <c r="D987" i="6"/>
  <c r="E987" i="6"/>
  <c r="G987" i="6"/>
  <c r="H987" i="6"/>
  <c r="I987" i="6"/>
  <c r="B988" i="6"/>
  <c r="C988" i="6"/>
  <c r="D988" i="6"/>
  <c r="E988" i="6"/>
  <c r="G988" i="6"/>
  <c r="H988" i="6"/>
  <c r="I988" i="6"/>
  <c r="B989" i="6"/>
  <c r="C989" i="6"/>
  <c r="D989" i="6"/>
  <c r="E989" i="6"/>
  <c r="G989" i="6"/>
  <c r="H989" i="6"/>
  <c r="I989" i="6"/>
  <c r="B990" i="6"/>
  <c r="C990" i="6"/>
  <c r="D990" i="6"/>
  <c r="E990" i="6"/>
  <c r="G990" i="6"/>
  <c r="H990" i="6"/>
  <c r="I990" i="6"/>
  <c r="B991" i="6"/>
  <c r="C991" i="6"/>
  <c r="D991" i="6"/>
  <c r="E991" i="6"/>
  <c r="G991" i="6"/>
  <c r="H991" i="6"/>
  <c r="I991" i="6"/>
  <c r="B992" i="6"/>
  <c r="C992" i="6"/>
  <c r="D992" i="6"/>
  <c r="E992" i="6"/>
  <c r="G992" i="6"/>
  <c r="H992" i="6"/>
  <c r="I992" i="6"/>
  <c r="B993" i="6"/>
  <c r="C993" i="6"/>
  <c r="D993" i="6"/>
  <c r="E993" i="6"/>
  <c r="G993" i="6"/>
  <c r="H993" i="6"/>
  <c r="I993" i="6"/>
  <c r="B994" i="6"/>
  <c r="C994" i="6"/>
  <c r="D994" i="6"/>
  <c r="E994" i="6"/>
  <c r="G994" i="6"/>
  <c r="H994" i="6"/>
  <c r="I994" i="6"/>
  <c r="B995" i="6"/>
  <c r="C995" i="6"/>
  <c r="D995" i="6"/>
  <c r="E995" i="6"/>
  <c r="G995" i="6"/>
  <c r="H995" i="6"/>
  <c r="I995" i="6"/>
  <c r="B996" i="6"/>
  <c r="C996" i="6"/>
  <c r="D996" i="6"/>
  <c r="E996" i="6"/>
  <c r="G996" i="6"/>
  <c r="H996" i="6"/>
  <c r="I996" i="6"/>
  <c r="B997" i="6"/>
  <c r="C997" i="6"/>
  <c r="D997" i="6"/>
  <c r="E997" i="6"/>
  <c r="G997" i="6"/>
  <c r="H997" i="6"/>
  <c r="I997" i="6"/>
  <c r="B998" i="6"/>
  <c r="C998" i="6"/>
  <c r="D998" i="6"/>
  <c r="E998" i="6"/>
  <c r="G998" i="6"/>
  <c r="H998" i="6"/>
  <c r="I998" i="6"/>
  <c r="B999" i="6"/>
  <c r="C999" i="6"/>
  <c r="D999" i="6"/>
  <c r="E999" i="6"/>
  <c r="G999" i="6"/>
  <c r="H999" i="6"/>
  <c r="I999" i="6"/>
  <c r="B1000" i="6"/>
  <c r="C1000" i="6"/>
  <c r="D1000" i="6"/>
  <c r="E1000" i="6"/>
  <c r="G1000" i="6"/>
  <c r="H1000" i="6"/>
  <c r="I1000" i="6"/>
  <c r="B1001" i="6"/>
  <c r="C1001" i="6"/>
  <c r="D1001" i="6"/>
  <c r="E1001" i="6"/>
  <c r="G1001" i="6"/>
  <c r="H1001" i="6"/>
  <c r="I1001" i="6"/>
  <c r="B1002" i="6"/>
  <c r="C1002" i="6"/>
  <c r="D1002" i="6"/>
  <c r="E1002" i="6"/>
  <c r="G1002" i="6"/>
  <c r="H1002" i="6"/>
  <c r="I1002" i="6"/>
  <c r="B1003" i="6"/>
  <c r="C1003" i="6"/>
  <c r="D1003" i="6"/>
  <c r="E1003" i="6"/>
  <c r="G1003" i="6"/>
  <c r="H1003" i="6"/>
  <c r="I1003" i="6"/>
  <c r="B1004" i="6"/>
  <c r="C1004" i="6"/>
  <c r="D1004" i="6"/>
  <c r="E1004" i="6"/>
  <c r="G1004" i="6"/>
  <c r="H1004" i="6"/>
  <c r="I1004" i="6"/>
  <c r="B1005" i="6"/>
  <c r="C1005" i="6"/>
  <c r="D1005" i="6"/>
  <c r="E1005" i="6"/>
  <c r="G1005" i="6"/>
  <c r="H1005" i="6"/>
  <c r="I1005" i="6"/>
  <c r="B1006" i="6"/>
  <c r="C1006" i="6"/>
  <c r="D1006" i="6"/>
  <c r="E1006" i="6"/>
  <c r="G1006" i="6"/>
  <c r="H1006" i="6"/>
  <c r="I1006" i="6"/>
  <c r="B1007" i="6"/>
  <c r="C1007" i="6"/>
  <c r="D1007" i="6"/>
  <c r="E1007" i="6"/>
  <c r="G1007" i="6"/>
  <c r="H1007" i="6"/>
  <c r="I1007" i="6"/>
  <c r="B1008" i="6"/>
  <c r="C1008" i="6"/>
  <c r="D1008" i="6"/>
  <c r="E1008" i="6"/>
  <c r="G1008" i="6"/>
  <c r="H1008" i="6"/>
  <c r="I1008" i="6"/>
  <c r="B1009" i="6"/>
  <c r="C1009" i="6"/>
  <c r="D1009" i="6"/>
  <c r="E1009" i="6"/>
  <c r="G1009" i="6"/>
  <c r="H1009" i="6"/>
  <c r="I1009" i="6"/>
  <c r="B1010" i="6"/>
  <c r="C1010" i="6"/>
  <c r="D1010" i="6"/>
  <c r="E1010" i="6"/>
  <c r="G1010" i="6"/>
  <c r="H1010" i="6"/>
  <c r="I1010" i="6"/>
  <c r="B1011" i="6"/>
  <c r="C1011" i="6"/>
  <c r="D1011" i="6"/>
  <c r="E1011" i="6"/>
  <c r="G1011" i="6"/>
  <c r="H1011" i="6"/>
  <c r="I1011" i="6"/>
  <c r="B1012" i="6"/>
  <c r="C1012" i="6"/>
  <c r="D1012" i="6"/>
  <c r="E1012" i="6"/>
  <c r="G1012" i="6"/>
  <c r="H1012" i="6"/>
  <c r="I1012" i="6"/>
  <c r="B1013" i="6"/>
  <c r="C1013" i="6"/>
  <c r="D1013" i="6"/>
  <c r="E1013" i="6"/>
  <c r="G1013" i="6"/>
  <c r="H1013" i="6"/>
  <c r="I1013" i="6"/>
  <c r="B1014" i="6"/>
  <c r="C1014" i="6"/>
  <c r="D1014" i="6"/>
  <c r="E1014" i="6"/>
  <c r="G1014" i="6"/>
  <c r="H1014" i="6"/>
  <c r="I1014" i="6"/>
  <c r="B1015" i="6"/>
  <c r="C1015" i="6"/>
  <c r="D1015" i="6"/>
  <c r="E1015" i="6"/>
  <c r="G1015" i="6"/>
  <c r="H1015" i="6"/>
  <c r="I1015" i="6"/>
  <c r="B1016" i="6"/>
  <c r="C1016" i="6"/>
  <c r="D1016" i="6"/>
  <c r="E1016" i="6"/>
  <c r="G1016" i="6"/>
  <c r="H1016" i="6"/>
  <c r="I1016" i="6"/>
  <c r="B1017" i="6"/>
  <c r="C1017" i="6"/>
  <c r="D1017" i="6"/>
  <c r="E1017" i="6"/>
  <c r="G1017" i="6"/>
  <c r="H1017" i="6"/>
  <c r="I1017" i="6"/>
  <c r="B1018" i="6"/>
  <c r="C1018" i="6"/>
  <c r="D1018" i="6"/>
  <c r="E1018" i="6"/>
  <c r="G1018" i="6"/>
  <c r="H1018" i="6"/>
  <c r="I1018" i="6"/>
  <c r="B1019" i="6"/>
  <c r="C1019" i="6"/>
  <c r="D1019" i="6"/>
  <c r="E1019" i="6"/>
  <c r="G1019" i="6"/>
  <c r="H1019" i="6"/>
  <c r="I1019" i="6"/>
  <c r="B1020" i="6"/>
  <c r="C1020" i="6"/>
  <c r="D1020" i="6"/>
  <c r="E1020" i="6"/>
  <c r="G1020" i="6"/>
  <c r="H1020" i="6"/>
  <c r="I1020" i="6"/>
  <c r="B1021" i="6"/>
  <c r="C1021" i="6"/>
  <c r="D1021" i="6"/>
  <c r="E1021" i="6"/>
  <c r="G1021" i="6"/>
  <c r="H1021" i="6"/>
  <c r="I1021" i="6"/>
  <c r="B1022" i="6"/>
  <c r="C1022" i="6"/>
  <c r="D1022" i="6"/>
  <c r="E1022" i="6"/>
  <c r="G1022" i="6"/>
  <c r="H1022" i="6"/>
  <c r="I1022" i="6"/>
  <c r="B1023" i="6"/>
  <c r="C1023" i="6"/>
  <c r="D1023" i="6"/>
  <c r="E1023" i="6"/>
  <c r="G1023" i="6"/>
  <c r="H1023" i="6"/>
  <c r="I1023" i="6"/>
  <c r="B1024" i="6"/>
  <c r="C1024" i="6"/>
  <c r="D1024" i="6"/>
  <c r="E1024" i="6"/>
  <c r="G1024" i="6"/>
  <c r="H1024" i="6"/>
  <c r="I1024" i="6"/>
  <c r="B1025" i="6"/>
  <c r="C1025" i="6"/>
  <c r="D1025" i="6"/>
  <c r="E1025" i="6"/>
  <c r="G1025" i="6"/>
  <c r="H1025" i="6"/>
  <c r="I1025" i="6"/>
  <c r="B1026" i="6"/>
  <c r="C1026" i="6"/>
  <c r="D1026" i="6"/>
  <c r="E1026" i="6"/>
  <c r="G1026" i="6"/>
  <c r="H1026" i="6"/>
  <c r="I1026" i="6"/>
  <c r="B1027" i="6"/>
  <c r="C1027" i="6"/>
  <c r="D1027" i="6"/>
  <c r="E1027" i="6"/>
  <c r="G1027" i="6"/>
  <c r="H1027" i="6"/>
  <c r="I1027" i="6"/>
  <c r="B1028" i="6"/>
  <c r="C1028" i="6"/>
  <c r="D1028" i="6"/>
  <c r="E1028" i="6"/>
  <c r="G1028" i="6"/>
  <c r="H1028" i="6"/>
  <c r="I1028" i="6"/>
  <c r="B1029" i="6"/>
  <c r="C1029" i="6"/>
  <c r="D1029" i="6"/>
  <c r="E1029" i="6"/>
  <c r="G1029" i="6"/>
  <c r="H1029" i="6"/>
  <c r="I1029" i="6"/>
  <c r="B1030" i="6"/>
  <c r="C1030" i="6"/>
  <c r="D1030" i="6"/>
  <c r="E1030" i="6"/>
  <c r="G1030" i="6"/>
  <c r="H1030" i="6"/>
  <c r="I1030" i="6"/>
  <c r="B1031" i="6"/>
  <c r="C1031" i="6"/>
  <c r="D1031" i="6"/>
  <c r="E1031" i="6"/>
  <c r="G1031" i="6"/>
  <c r="H1031" i="6"/>
  <c r="I1031" i="6"/>
  <c r="B1032" i="6"/>
  <c r="C1032" i="6"/>
  <c r="D1032" i="6"/>
  <c r="E1032" i="6"/>
  <c r="G1032" i="6"/>
  <c r="H1032" i="6"/>
  <c r="I1032" i="6"/>
  <c r="B1033" i="6"/>
  <c r="C1033" i="6"/>
  <c r="D1033" i="6"/>
  <c r="E1033" i="6"/>
  <c r="G1033" i="6"/>
  <c r="H1033" i="6"/>
  <c r="I1033" i="6"/>
  <c r="B1034" i="6"/>
  <c r="C1034" i="6"/>
  <c r="D1034" i="6"/>
  <c r="E1034" i="6"/>
  <c r="G1034" i="6"/>
  <c r="H1034" i="6"/>
  <c r="I1034" i="6"/>
  <c r="B1035" i="6"/>
  <c r="C1035" i="6"/>
  <c r="D1035" i="6"/>
  <c r="E1035" i="6"/>
  <c r="G1035" i="6"/>
  <c r="H1035" i="6"/>
  <c r="I1035" i="6"/>
  <c r="B1036" i="6"/>
  <c r="C1036" i="6"/>
  <c r="D1036" i="6"/>
  <c r="E1036" i="6"/>
  <c r="G1036" i="6"/>
  <c r="H1036" i="6"/>
  <c r="I1036" i="6"/>
  <c r="B1037" i="6"/>
  <c r="C1037" i="6"/>
  <c r="D1037" i="6"/>
  <c r="E1037" i="6"/>
  <c r="G1037" i="6"/>
  <c r="H1037" i="6"/>
  <c r="I1037" i="6"/>
  <c r="B1038" i="6"/>
  <c r="C1038" i="6"/>
  <c r="D1038" i="6"/>
  <c r="E1038" i="6"/>
  <c r="G1038" i="6"/>
  <c r="H1038" i="6"/>
  <c r="I1038" i="6"/>
  <c r="B1039" i="6"/>
  <c r="C1039" i="6"/>
  <c r="D1039" i="6"/>
  <c r="E1039" i="6"/>
  <c r="G1039" i="6"/>
  <c r="H1039" i="6"/>
  <c r="I1039" i="6"/>
  <c r="B1040" i="6"/>
  <c r="C1040" i="6"/>
  <c r="D1040" i="6"/>
  <c r="E1040" i="6"/>
  <c r="G1040" i="6"/>
  <c r="H1040" i="6"/>
  <c r="I1040" i="6"/>
  <c r="B1041" i="6"/>
  <c r="C1041" i="6"/>
  <c r="D1041" i="6"/>
  <c r="E1041" i="6"/>
  <c r="G1041" i="6"/>
  <c r="H1041" i="6"/>
  <c r="I1041" i="6"/>
  <c r="B1042" i="6"/>
  <c r="C1042" i="6"/>
  <c r="D1042" i="6"/>
  <c r="E1042" i="6"/>
  <c r="G1042" i="6"/>
  <c r="H1042" i="6"/>
  <c r="I1042" i="6"/>
  <c r="B1043" i="6"/>
  <c r="C1043" i="6"/>
  <c r="D1043" i="6"/>
  <c r="E1043" i="6"/>
  <c r="G1043" i="6"/>
  <c r="H1043" i="6"/>
  <c r="I1043" i="6"/>
  <c r="B1044" i="6"/>
  <c r="C1044" i="6"/>
  <c r="D1044" i="6"/>
  <c r="E1044" i="6"/>
  <c r="G1044" i="6"/>
  <c r="H1044" i="6"/>
  <c r="I1044" i="6"/>
  <c r="B1045" i="6"/>
  <c r="C1045" i="6"/>
  <c r="D1045" i="6"/>
  <c r="E1045" i="6"/>
  <c r="G1045" i="6"/>
  <c r="H1045" i="6"/>
  <c r="I1045" i="6"/>
  <c r="B1046" i="6"/>
  <c r="C1046" i="6"/>
  <c r="D1046" i="6"/>
  <c r="E1046" i="6"/>
  <c r="G1046" i="6"/>
  <c r="H1046" i="6"/>
  <c r="I1046" i="6"/>
  <c r="B1047" i="6"/>
  <c r="C1047" i="6"/>
  <c r="D1047" i="6"/>
  <c r="E1047" i="6"/>
  <c r="G1047" i="6"/>
  <c r="H1047" i="6"/>
  <c r="I1047" i="6"/>
  <c r="B1048" i="6"/>
  <c r="C1048" i="6"/>
  <c r="D1048" i="6"/>
  <c r="E1048" i="6"/>
  <c r="G1048" i="6"/>
  <c r="H1048" i="6"/>
  <c r="I1048" i="6"/>
  <c r="B1049" i="6"/>
  <c r="C1049" i="6"/>
  <c r="D1049" i="6"/>
  <c r="E1049" i="6"/>
  <c r="G1049" i="6"/>
  <c r="H1049" i="6"/>
  <c r="I1049" i="6"/>
  <c r="B1050" i="6"/>
  <c r="C1050" i="6"/>
  <c r="D1050" i="6"/>
  <c r="E1050" i="6"/>
  <c r="G1050" i="6"/>
  <c r="H1050" i="6"/>
  <c r="I1050" i="6"/>
  <c r="B1051" i="6"/>
  <c r="C1051" i="6"/>
  <c r="D1051" i="6"/>
  <c r="E1051" i="6"/>
  <c r="G1051" i="6"/>
  <c r="H1051" i="6"/>
  <c r="I1051" i="6"/>
  <c r="B1052" i="6"/>
  <c r="C1052" i="6"/>
  <c r="D1052" i="6"/>
  <c r="E1052" i="6"/>
  <c r="G1052" i="6"/>
  <c r="H1052" i="6"/>
  <c r="I1052" i="6"/>
  <c r="B1053" i="6"/>
  <c r="C1053" i="6"/>
  <c r="D1053" i="6"/>
  <c r="E1053" i="6"/>
  <c r="G1053" i="6"/>
  <c r="H1053" i="6"/>
  <c r="I1053" i="6"/>
  <c r="B1054" i="6"/>
  <c r="C1054" i="6"/>
  <c r="D1054" i="6"/>
  <c r="E1054" i="6"/>
  <c r="G1054" i="6"/>
  <c r="H1054" i="6"/>
  <c r="I1054" i="6"/>
  <c r="B1055" i="6"/>
  <c r="C1055" i="6"/>
  <c r="D1055" i="6"/>
  <c r="E1055" i="6"/>
  <c r="G1055" i="6"/>
  <c r="H1055" i="6"/>
  <c r="I1055" i="6"/>
  <c r="B1056" i="6"/>
  <c r="C1056" i="6"/>
  <c r="D1056" i="6"/>
  <c r="E1056" i="6"/>
  <c r="G1056" i="6"/>
  <c r="H1056" i="6"/>
  <c r="I1056" i="6"/>
  <c r="B1057" i="6"/>
  <c r="C1057" i="6"/>
  <c r="D1057" i="6"/>
  <c r="E1057" i="6"/>
  <c r="G1057" i="6"/>
  <c r="H1057" i="6"/>
  <c r="I1057" i="6"/>
  <c r="B1058" i="6"/>
  <c r="C1058" i="6"/>
  <c r="D1058" i="6"/>
  <c r="E1058" i="6"/>
  <c r="G1058" i="6"/>
  <c r="H1058" i="6"/>
  <c r="I1058" i="6"/>
  <c r="B9" i="6"/>
  <c r="C9" i="6"/>
  <c r="D9" i="6"/>
  <c r="E9" i="6"/>
  <c r="F9" i="6"/>
  <c r="G9" i="6"/>
  <c r="H9" i="6"/>
  <c r="I9" i="6"/>
  <c r="I1419" i="16" l="1"/>
  <c r="H1419" i="16"/>
  <c r="G1419" i="16"/>
  <c r="F1419" i="16"/>
  <c r="E1419" i="16"/>
  <c r="D1419" i="16"/>
  <c r="C1419" i="16"/>
  <c r="B1419" i="16"/>
  <c r="I1418" i="16"/>
  <c r="H1418" i="16"/>
  <c r="G1418" i="16"/>
  <c r="F1418" i="16"/>
  <c r="E1418" i="16"/>
  <c r="D1418" i="16"/>
  <c r="C1418" i="16"/>
  <c r="B1418" i="16"/>
  <c r="I1417" i="16"/>
  <c r="H1417" i="16"/>
  <c r="G1417" i="16"/>
  <c r="F1417" i="16"/>
  <c r="E1417" i="16"/>
  <c r="D1417" i="16"/>
  <c r="C1417" i="16"/>
  <c r="B1417" i="16"/>
  <c r="I1416" i="16"/>
  <c r="H1416" i="16"/>
  <c r="G1416" i="16"/>
  <c r="F1416" i="16"/>
  <c r="E1416" i="16"/>
  <c r="D1416" i="16"/>
  <c r="C1416" i="16"/>
  <c r="B1416" i="16"/>
  <c r="I1415" i="16"/>
  <c r="H1415" i="16"/>
  <c r="G1415" i="16"/>
  <c r="F1415" i="16"/>
  <c r="E1415" i="16"/>
  <c r="D1415" i="16"/>
  <c r="C1415" i="16"/>
  <c r="B1415" i="16"/>
  <c r="I1414" i="16"/>
  <c r="H1414" i="16"/>
  <c r="G1414" i="16"/>
  <c r="F1414" i="16"/>
  <c r="E1414" i="16"/>
  <c r="D1414" i="16"/>
  <c r="C1414" i="16"/>
  <c r="B1414" i="16"/>
  <c r="I1413" i="16"/>
  <c r="H1413" i="16"/>
  <c r="G1413" i="16"/>
  <c r="F1413" i="16"/>
  <c r="E1413" i="16"/>
  <c r="D1413" i="16"/>
  <c r="C1413" i="16"/>
  <c r="B1413" i="16"/>
  <c r="I1412" i="16"/>
  <c r="H1412" i="16"/>
  <c r="G1412" i="16"/>
  <c r="F1412" i="16"/>
  <c r="E1412" i="16"/>
  <c r="D1412" i="16"/>
  <c r="C1412" i="16"/>
  <c r="B1412" i="16"/>
  <c r="I1411" i="16"/>
  <c r="H1411" i="16"/>
  <c r="G1411" i="16"/>
  <c r="F1411" i="16"/>
  <c r="E1411" i="16"/>
  <c r="D1411" i="16"/>
  <c r="C1411" i="16"/>
  <c r="B1411" i="16"/>
  <c r="I1410" i="16"/>
  <c r="H1410" i="16"/>
  <c r="G1410" i="16"/>
  <c r="F1410" i="16"/>
  <c r="E1410" i="16"/>
  <c r="D1410" i="16"/>
  <c r="C1410" i="16"/>
  <c r="B1410" i="16"/>
  <c r="I1409" i="16"/>
  <c r="H1409" i="16"/>
  <c r="G1409" i="16"/>
  <c r="F1409" i="16"/>
  <c r="E1409" i="16"/>
  <c r="D1409" i="16"/>
  <c r="C1409" i="16"/>
  <c r="B1409" i="16"/>
  <c r="I1408" i="16"/>
  <c r="H1408" i="16"/>
  <c r="G1408" i="16"/>
  <c r="F1408" i="16"/>
  <c r="E1408" i="16"/>
  <c r="D1408" i="16"/>
  <c r="C1408" i="16"/>
  <c r="B1408" i="16"/>
  <c r="I1407" i="16"/>
  <c r="H1407" i="16"/>
  <c r="G1407" i="16"/>
  <c r="F1407" i="16"/>
  <c r="E1407" i="16"/>
  <c r="D1407" i="16"/>
  <c r="C1407" i="16"/>
  <c r="B1407" i="16"/>
  <c r="I1406" i="16"/>
  <c r="H1406" i="16"/>
  <c r="G1406" i="16"/>
  <c r="F1406" i="16"/>
  <c r="E1406" i="16"/>
  <c r="D1406" i="16"/>
  <c r="C1406" i="16"/>
  <c r="B1406" i="16"/>
  <c r="I1405" i="16"/>
  <c r="H1405" i="16"/>
  <c r="G1405" i="16"/>
  <c r="F1405" i="16"/>
  <c r="E1405" i="16"/>
  <c r="D1405" i="16"/>
  <c r="C1405" i="16"/>
  <c r="B1405" i="16"/>
  <c r="I1404" i="16"/>
  <c r="H1404" i="16"/>
  <c r="G1404" i="16"/>
  <c r="F1404" i="16"/>
  <c r="E1404" i="16"/>
  <c r="D1404" i="16"/>
  <c r="C1404" i="16"/>
  <c r="B1404" i="16"/>
  <c r="I1403" i="16"/>
  <c r="H1403" i="16"/>
  <c r="G1403" i="16"/>
  <c r="F1403" i="16"/>
  <c r="E1403" i="16"/>
  <c r="D1403" i="16"/>
  <c r="C1403" i="16"/>
  <c r="B1403" i="16"/>
  <c r="I1402" i="16"/>
  <c r="H1402" i="16"/>
  <c r="G1402" i="16"/>
  <c r="F1402" i="16"/>
  <c r="E1402" i="16"/>
  <c r="D1402" i="16"/>
  <c r="C1402" i="16"/>
  <c r="B1402" i="16"/>
  <c r="I1401" i="16"/>
  <c r="H1401" i="16"/>
  <c r="G1401" i="16"/>
  <c r="F1401" i="16"/>
  <c r="E1401" i="16"/>
  <c r="D1401" i="16"/>
  <c r="C1401" i="16"/>
  <c r="B1401" i="16"/>
  <c r="I1400" i="16"/>
  <c r="H1400" i="16"/>
  <c r="G1400" i="16"/>
  <c r="F1400" i="16"/>
  <c r="E1400" i="16"/>
  <c r="D1400" i="16"/>
  <c r="C1400" i="16"/>
  <c r="B1400" i="16"/>
  <c r="I1399" i="16"/>
  <c r="H1399" i="16"/>
  <c r="G1399" i="16"/>
  <c r="F1399" i="16"/>
  <c r="E1399" i="16"/>
  <c r="D1399" i="16"/>
  <c r="C1399" i="16"/>
  <c r="B1399" i="16"/>
  <c r="I1398" i="16"/>
  <c r="H1398" i="16"/>
  <c r="G1398" i="16"/>
  <c r="F1398" i="16"/>
  <c r="E1398" i="16"/>
  <c r="D1398" i="16"/>
  <c r="C1398" i="16"/>
  <c r="B1398" i="16"/>
  <c r="I1397" i="16"/>
  <c r="H1397" i="16"/>
  <c r="G1397" i="16"/>
  <c r="F1397" i="16"/>
  <c r="E1397" i="16"/>
  <c r="D1397" i="16"/>
  <c r="C1397" i="16"/>
  <c r="B1397" i="16"/>
  <c r="I1396" i="16"/>
  <c r="H1396" i="16"/>
  <c r="G1396" i="16"/>
  <c r="F1396" i="16"/>
  <c r="E1396" i="16"/>
  <c r="D1396" i="16"/>
  <c r="C1396" i="16"/>
  <c r="B1396" i="16"/>
  <c r="I1395" i="16"/>
  <c r="H1395" i="16"/>
  <c r="G1395" i="16"/>
  <c r="F1395" i="16"/>
  <c r="E1395" i="16"/>
  <c r="D1395" i="16"/>
  <c r="C1395" i="16"/>
  <c r="B1395" i="16"/>
  <c r="I1394" i="16"/>
  <c r="H1394" i="16"/>
  <c r="G1394" i="16"/>
  <c r="F1394" i="16"/>
  <c r="E1394" i="16"/>
  <c r="D1394" i="16"/>
  <c r="C1394" i="16"/>
  <c r="B1394" i="16"/>
  <c r="I1393" i="16"/>
  <c r="H1393" i="16"/>
  <c r="G1393" i="16"/>
  <c r="F1393" i="16"/>
  <c r="E1393" i="16"/>
  <c r="D1393" i="16"/>
  <c r="C1393" i="16"/>
  <c r="B1393" i="16"/>
  <c r="I1392" i="16"/>
  <c r="H1392" i="16"/>
  <c r="G1392" i="16"/>
  <c r="F1392" i="16"/>
  <c r="E1392" i="16"/>
  <c r="D1392" i="16"/>
  <c r="C1392" i="16"/>
  <c r="B1392" i="16"/>
  <c r="I1391" i="16"/>
  <c r="H1391" i="16"/>
  <c r="G1391" i="16"/>
  <c r="F1391" i="16"/>
  <c r="E1391" i="16"/>
  <c r="D1391" i="16"/>
  <c r="C1391" i="16"/>
  <c r="B1391" i="16"/>
  <c r="I1390" i="16"/>
  <c r="H1390" i="16"/>
  <c r="G1390" i="16"/>
  <c r="F1390" i="16"/>
  <c r="E1390" i="16"/>
  <c r="D1390" i="16"/>
  <c r="C1390" i="16"/>
  <c r="B1390" i="16"/>
  <c r="I1389" i="16"/>
  <c r="H1389" i="16"/>
  <c r="G1389" i="16"/>
  <c r="F1389" i="16"/>
  <c r="E1389" i="16"/>
  <c r="D1389" i="16"/>
  <c r="C1389" i="16"/>
  <c r="B1389" i="16"/>
  <c r="I1388" i="16"/>
  <c r="H1388" i="16"/>
  <c r="G1388" i="16"/>
  <c r="F1388" i="16"/>
  <c r="E1388" i="16"/>
  <c r="D1388" i="16"/>
  <c r="C1388" i="16"/>
  <c r="B1388" i="16"/>
  <c r="I1387" i="16"/>
  <c r="H1387" i="16"/>
  <c r="G1387" i="16"/>
  <c r="F1387" i="16"/>
  <c r="E1387" i="16"/>
  <c r="D1387" i="16"/>
  <c r="C1387" i="16"/>
  <c r="B1387" i="16"/>
  <c r="I1386" i="16"/>
  <c r="H1386" i="16"/>
  <c r="G1386" i="16"/>
  <c r="F1386" i="16"/>
  <c r="E1386" i="16"/>
  <c r="D1386" i="16"/>
  <c r="C1386" i="16"/>
  <c r="B1386" i="16"/>
  <c r="I1385" i="16"/>
  <c r="H1385" i="16"/>
  <c r="G1385" i="16"/>
  <c r="F1385" i="16"/>
  <c r="E1385" i="16"/>
  <c r="D1385" i="16"/>
  <c r="C1385" i="16"/>
  <c r="B1385" i="16"/>
  <c r="I1384" i="16"/>
  <c r="H1384" i="16"/>
  <c r="G1384" i="16"/>
  <c r="F1384" i="16"/>
  <c r="E1384" i="16"/>
  <c r="D1384" i="16"/>
  <c r="C1384" i="16"/>
  <c r="B1384" i="16"/>
  <c r="I1383" i="16"/>
  <c r="H1383" i="16"/>
  <c r="G1383" i="16"/>
  <c r="F1383" i="16"/>
  <c r="E1383" i="16"/>
  <c r="D1383" i="16"/>
  <c r="C1383" i="16"/>
  <c r="B1383" i="16"/>
  <c r="I1382" i="16"/>
  <c r="H1382" i="16"/>
  <c r="G1382" i="16"/>
  <c r="F1382" i="16"/>
  <c r="E1382" i="16"/>
  <c r="D1382" i="16"/>
  <c r="C1382" i="16"/>
  <c r="B1382" i="16"/>
  <c r="I1381" i="16"/>
  <c r="H1381" i="16"/>
  <c r="G1381" i="16"/>
  <c r="F1381" i="16"/>
  <c r="E1381" i="16"/>
  <c r="D1381" i="16"/>
  <c r="C1381" i="16"/>
  <c r="B1381" i="16"/>
  <c r="I1380" i="16"/>
  <c r="H1380" i="16"/>
  <c r="G1380" i="16"/>
  <c r="F1380" i="16"/>
  <c r="E1380" i="16"/>
  <c r="D1380" i="16"/>
  <c r="C1380" i="16"/>
  <c r="B1380" i="16"/>
  <c r="I1379" i="16"/>
  <c r="H1379" i="16"/>
  <c r="G1379" i="16"/>
  <c r="F1379" i="16"/>
  <c r="E1379" i="16"/>
  <c r="D1379" i="16"/>
  <c r="C1379" i="16"/>
  <c r="B1379" i="16"/>
  <c r="I1378" i="16"/>
  <c r="H1378" i="16"/>
  <c r="G1378" i="16"/>
  <c r="F1378" i="16"/>
  <c r="E1378" i="16"/>
  <c r="D1378" i="16"/>
  <c r="C1378" i="16"/>
  <c r="B1378" i="16"/>
  <c r="I1377" i="16"/>
  <c r="H1377" i="16"/>
  <c r="G1377" i="16"/>
  <c r="F1377" i="16"/>
  <c r="E1377" i="16"/>
  <c r="D1377" i="16"/>
  <c r="C1377" i="16"/>
  <c r="B1377" i="16"/>
  <c r="I1376" i="16"/>
  <c r="H1376" i="16"/>
  <c r="G1376" i="16"/>
  <c r="F1376" i="16"/>
  <c r="E1376" i="16"/>
  <c r="D1376" i="16"/>
  <c r="C1376" i="16"/>
  <c r="B1376" i="16"/>
  <c r="I1375" i="16"/>
  <c r="H1375" i="16"/>
  <c r="G1375" i="16"/>
  <c r="F1375" i="16"/>
  <c r="E1375" i="16"/>
  <c r="D1375" i="16"/>
  <c r="C1375" i="16"/>
  <c r="B1375" i="16"/>
  <c r="I1374" i="16"/>
  <c r="H1374" i="16"/>
  <c r="G1374" i="16"/>
  <c r="F1374" i="16"/>
  <c r="E1374" i="16"/>
  <c r="D1374" i="16"/>
  <c r="C1374" i="16"/>
  <c r="B1374" i="16"/>
  <c r="I1373" i="16"/>
  <c r="H1373" i="16"/>
  <c r="G1373" i="16"/>
  <c r="F1373" i="16"/>
  <c r="E1373" i="16"/>
  <c r="D1373" i="16"/>
  <c r="C1373" i="16"/>
  <c r="B1373" i="16"/>
  <c r="I1372" i="16"/>
  <c r="H1372" i="16"/>
  <c r="G1372" i="16"/>
  <c r="F1372" i="16"/>
  <c r="E1372" i="16"/>
  <c r="D1372" i="16"/>
  <c r="C1372" i="16"/>
  <c r="B1372" i="16"/>
  <c r="I1371" i="16"/>
  <c r="H1371" i="16"/>
  <c r="G1371" i="16"/>
  <c r="F1371" i="16"/>
  <c r="E1371" i="16"/>
  <c r="D1371" i="16"/>
  <c r="C1371" i="16"/>
  <c r="B1371" i="16"/>
  <c r="I1370" i="16"/>
  <c r="H1370" i="16"/>
  <c r="G1370" i="16"/>
  <c r="F1370" i="16"/>
  <c r="E1370" i="16"/>
  <c r="D1370" i="16"/>
  <c r="C1370" i="16"/>
  <c r="B1370" i="16"/>
  <c r="I1369" i="16"/>
  <c r="H1369" i="16"/>
  <c r="G1369" i="16"/>
  <c r="F1369" i="16"/>
  <c r="E1369" i="16"/>
  <c r="D1369" i="16"/>
  <c r="C1369" i="16"/>
  <c r="B1369" i="16"/>
  <c r="I1368" i="16"/>
  <c r="H1368" i="16"/>
  <c r="G1368" i="16"/>
  <c r="F1368" i="16"/>
  <c r="E1368" i="16"/>
  <c r="D1368" i="16"/>
  <c r="C1368" i="16"/>
  <c r="B1368" i="16"/>
  <c r="I1367" i="16"/>
  <c r="H1367" i="16"/>
  <c r="G1367" i="16"/>
  <c r="F1367" i="16"/>
  <c r="E1367" i="16"/>
  <c r="D1367" i="16"/>
  <c r="C1367" i="16"/>
  <c r="B1367" i="16"/>
  <c r="I1366" i="16"/>
  <c r="H1366" i="16"/>
  <c r="G1366" i="16"/>
  <c r="F1366" i="16"/>
  <c r="E1366" i="16"/>
  <c r="D1366" i="16"/>
  <c r="C1366" i="16"/>
  <c r="B1366" i="16"/>
  <c r="I1365" i="16"/>
  <c r="H1365" i="16"/>
  <c r="G1365" i="16"/>
  <c r="F1365" i="16"/>
  <c r="E1365" i="16"/>
  <c r="D1365" i="16"/>
  <c r="C1365" i="16"/>
  <c r="B1365" i="16"/>
  <c r="I1364" i="16"/>
  <c r="H1364" i="16"/>
  <c r="G1364" i="16"/>
  <c r="F1364" i="16"/>
  <c r="E1364" i="16"/>
  <c r="D1364" i="16"/>
  <c r="C1364" i="16"/>
  <c r="B1364" i="16"/>
  <c r="I1363" i="16"/>
  <c r="H1363" i="16"/>
  <c r="G1363" i="16"/>
  <c r="F1363" i="16"/>
  <c r="E1363" i="16"/>
  <c r="D1363" i="16"/>
  <c r="C1363" i="16"/>
  <c r="B1363" i="16"/>
  <c r="I1362" i="16"/>
  <c r="H1362" i="16"/>
  <c r="G1362" i="16"/>
  <c r="F1362" i="16"/>
  <c r="E1362" i="16"/>
  <c r="D1362" i="16"/>
  <c r="C1362" i="16"/>
  <c r="B1362" i="16"/>
  <c r="I1361" i="16"/>
  <c r="H1361" i="16"/>
  <c r="G1361" i="16"/>
  <c r="F1361" i="16"/>
  <c r="E1361" i="16"/>
  <c r="D1361" i="16"/>
  <c r="C1361" i="16"/>
  <c r="B1361" i="16"/>
  <c r="I1360" i="16"/>
  <c r="H1360" i="16"/>
  <c r="G1360" i="16"/>
  <c r="F1360" i="16"/>
  <c r="E1360" i="16"/>
  <c r="D1360" i="16"/>
  <c r="C1360" i="16"/>
  <c r="B1360" i="16"/>
  <c r="I1359" i="16"/>
  <c r="H1359" i="16"/>
  <c r="G1359" i="16"/>
  <c r="F1359" i="16"/>
  <c r="E1359" i="16"/>
  <c r="D1359" i="16"/>
  <c r="C1359" i="16"/>
  <c r="B1359" i="16"/>
  <c r="I1358" i="16"/>
  <c r="H1358" i="16"/>
  <c r="G1358" i="16"/>
  <c r="F1358" i="16"/>
  <c r="E1358" i="16"/>
  <c r="D1358" i="16"/>
  <c r="C1358" i="16"/>
  <c r="B1358" i="16"/>
  <c r="I1357" i="16"/>
  <c r="H1357" i="16"/>
  <c r="G1357" i="16"/>
  <c r="F1357" i="16"/>
  <c r="E1357" i="16"/>
  <c r="D1357" i="16"/>
  <c r="C1357" i="16"/>
  <c r="B1357" i="16"/>
  <c r="I1356" i="16"/>
  <c r="H1356" i="16"/>
  <c r="G1356" i="16"/>
  <c r="F1356" i="16"/>
  <c r="E1356" i="16"/>
  <c r="D1356" i="16"/>
  <c r="C1356" i="16"/>
  <c r="B1356" i="16"/>
  <c r="I1355" i="16"/>
  <c r="H1355" i="16"/>
  <c r="G1355" i="16"/>
  <c r="F1355" i="16"/>
  <c r="E1355" i="16"/>
  <c r="D1355" i="16"/>
  <c r="C1355" i="16"/>
  <c r="B1355" i="16"/>
  <c r="I1354" i="16"/>
  <c r="H1354" i="16"/>
  <c r="G1354" i="16"/>
  <c r="F1354" i="16"/>
  <c r="E1354" i="16"/>
  <c r="D1354" i="16"/>
  <c r="C1354" i="16"/>
  <c r="B1354" i="16"/>
  <c r="I1353" i="16"/>
  <c r="H1353" i="16"/>
  <c r="G1353" i="16"/>
  <c r="F1353" i="16"/>
  <c r="E1353" i="16"/>
  <c r="D1353" i="16"/>
  <c r="C1353" i="16"/>
  <c r="B1353" i="16"/>
  <c r="I1352" i="16"/>
  <c r="H1352" i="16"/>
  <c r="G1352" i="16"/>
  <c r="F1352" i="16"/>
  <c r="E1352" i="16"/>
  <c r="D1352" i="16"/>
  <c r="C1352" i="16"/>
  <c r="B1352" i="16"/>
  <c r="I1351" i="16"/>
  <c r="H1351" i="16"/>
  <c r="G1351" i="16"/>
  <c r="F1351" i="16"/>
  <c r="E1351" i="16"/>
  <c r="D1351" i="16"/>
  <c r="C1351" i="16"/>
  <c r="B1351" i="16"/>
  <c r="I1350" i="16"/>
  <c r="H1350" i="16"/>
  <c r="G1350" i="16"/>
  <c r="F1350" i="16"/>
  <c r="E1350" i="16"/>
  <c r="D1350" i="16"/>
  <c r="C1350" i="16"/>
  <c r="B1350" i="16"/>
  <c r="I1349" i="16"/>
  <c r="H1349" i="16"/>
  <c r="G1349" i="16"/>
  <c r="F1349" i="16"/>
  <c r="E1349" i="16"/>
  <c r="D1349" i="16"/>
  <c r="C1349" i="16"/>
  <c r="B1349" i="16"/>
  <c r="I1348" i="16"/>
  <c r="H1348" i="16"/>
  <c r="G1348" i="16"/>
  <c r="F1348" i="16"/>
  <c r="E1348" i="16"/>
  <c r="D1348" i="16"/>
  <c r="C1348" i="16"/>
  <c r="B1348" i="16"/>
  <c r="I1347" i="16"/>
  <c r="H1347" i="16"/>
  <c r="G1347" i="16"/>
  <c r="F1347" i="16"/>
  <c r="E1347" i="16"/>
  <c r="D1347" i="16"/>
  <c r="C1347" i="16"/>
  <c r="B1347" i="16"/>
  <c r="I1346" i="16"/>
  <c r="H1346" i="16"/>
  <c r="G1346" i="16"/>
  <c r="F1346" i="16"/>
  <c r="E1346" i="16"/>
  <c r="D1346" i="16"/>
  <c r="C1346" i="16"/>
  <c r="B1346" i="16"/>
  <c r="I1345" i="16"/>
  <c r="H1345" i="16"/>
  <c r="G1345" i="16"/>
  <c r="F1345" i="16"/>
  <c r="E1345" i="16"/>
  <c r="D1345" i="16"/>
  <c r="C1345" i="16"/>
  <c r="B1345" i="16"/>
  <c r="I1344" i="16"/>
  <c r="H1344" i="16"/>
  <c r="G1344" i="16"/>
  <c r="F1344" i="16"/>
  <c r="E1344" i="16"/>
  <c r="D1344" i="16"/>
  <c r="C1344" i="16"/>
  <c r="B1344" i="16"/>
  <c r="I1343" i="16"/>
  <c r="H1343" i="16"/>
  <c r="G1343" i="16"/>
  <c r="F1343" i="16"/>
  <c r="E1343" i="16"/>
  <c r="D1343" i="16"/>
  <c r="C1343" i="16"/>
  <c r="B1343" i="16"/>
  <c r="I1342" i="16"/>
  <c r="H1342" i="16"/>
  <c r="G1342" i="16"/>
  <c r="F1342" i="16"/>
  <c r="E1342" i="16"/>
  <c r="D1342" i="16"/>
  <c r="C1342" i="16"/>
  <c r="B1342" i="16"/>
  <c r="I1341" i="16"/>
  <c r="H1341" i="16"/>
  <c r="G1341" i="16"/>
  <c r="F1341" i="16"/>
  <c r="E1341" i="16"/>
  <c r="D1341" i="16"/>
  <c r="C1341" i="16"/>
  <c r="B1341" i="16"/>
  <c r="I1340" i="16"/>
  <c r="H1340" i="16"/>
  <c r="G1340" i="16"/>
  <c r="F1340" i="16"/>
  <c r="E1340" i="16"/>
  <c r="D1340" i="16"/>
  <c r="C1340" i="16"/>
  <c r="B1340" i="16"/>
  <c r="I1339" i="16"/>
  <c r="H1339" i="16"/>
  <c r="G1339" i="16"/>
  <c r="F1339" i="16"/>
  <c r="E1339" i="16"/>
  <c r="D1339" i="16"/>
  <c r="C1339" i="16"/>
  <c r="B1339" i="16"/>
  <c r="I1338" i="16"/>
  <c r="H1338" i="16"/>
  <c r="G1338" i="16"/>
  <c r="F1338" i="16"/>
  <c r="E1338" i="16"/>
  <c r="D1338" i="16"/>
  <c r="C1338" i="16"/>
  <c r="B1338" i="16"/>
  <c r="I1337" i="16"/>
  <c r="H1337" i="16"/>
  <c r="G1337" i="16"/>
  <c r="F1337" i="16"/>
  <c r="E1337" i="16"/>
  <c r="D1337" i="16"/>
  <c r="C1337" i="16"/>
  <c r="B1337" i="16"/>
  <c r="I1336" i="16"/>
  <c r="H1336" i="16"/>
  <c r="G1336" i="16"/>
  <c r="F1336" i="16"/>
  <c r="E1336" i="16"/>
  <c r="D1336" i="16"/>
  <c r="C1336" i="16"/>
  <c r="B1336" i="16"/>
  <c r="I1335" i="16"/>
  <c r="H1335" i="16"/>
  <c r="G1335" i="16"/>
  <c r="F1335" i="16"/>
  <c r="E1335" i="16"/>
  <c r="D1335" i="16"/>
  <c r="C1335" i="16"/>
  <c r="B1335" i="16"/>
  <c r="I1334" i="16"/>
  <c r="H1334" i="16"/>
  <c r="G1334" i="16"/>
  <c r="F1334" i="16"/>
  <c r="E1334" i="16"/>
  <c r="D1334" i="16"/>
  <c r="C1334" i="16"/>
  <c r="B1334" i="16"/>
  <c r="I1333" i="16"/>
  <c r="H1333" i="16"/>
  <c r="G1333" i="16"/>
  <c r="F1333" i="16"/>
  <c r="E1333" i="16"/>
  <c r="D1333" i="16"/>
  <c r="C1333" i="16"/>
  <c r="B1333" i="16"/>
  <c r="I1332" i="16"/>
  <c r="H1332" i="16"/>
  <c r="G1332" i="16"/>
  <c r="F1332" i="16"/>
  <c r="E1332" i="16"/>
  <c r="D1332" i="16"/>
  <c r="C1332" i="16"/>
  <c r="B1332" i="16"/>
  <c r="I1331" i="16"/>
  <c r="H1331" i="16"/>
  <c r="G1331" i="16"/>
  <c r="F1331" i="16"/>
  <c r="E1331" i="16"/>
  <c r="D1331" i="16"/>
  <c r="C1331" i="16"/>
  <c r="B1331" i="16"/>
  <c r="I1330" i="16"/>
  <c r="H1330" i="16"/>
  <c r="G1330" i="16"/>
  <c r="F1330" i="16"/>
  <c r="E1330" i="16"/>
  <c r="D1330" i="16"/>
  <c r="C1330" i="16"/>
  <c r="B1330" i="16"/>
  <c r="I1329" i="16"/>
  <c r="H1329" i="16"/>
  <c r="G1329" i="16"/>
  <c r="F1329" i="16"/>
  <c r="E1329" i="16"/>
  <c r="D1329" i="16"/>
  <c r="C1329" i="16"/>
  <c r="B1329" i="16"/>
  <c r="I1328" i="16"/>
  <c r="H1328" i="16"/>
  <c r="G1328" i="16"/>
  <c r="F1328" i="16"/>
  <c r="E1328" i="16"/>
  <c r="D1328" i="16"/>
  <c r="C1328" i="16"/>
  <c r="B1328" i="16"/>
  <c r="I1327" i="16"/>
  <c r="H1327" i="16"/>
  <c r="G1327" i="16"/>
  <c r="F1327" i="16"/>
  <c r="E1327" i="16"/>
  <c r="D1327" i="16"/>
  <c r="C1327" i="16"/>
  <c r="B1327" i="16"/>
  <c r="I1326" i="16"/>
  <c r="H1326" i="16"/>
  <c r="G1326" i="16"/>
  <c r="F1326" i="16"/>
  <c r="E1326" i="16"/>
  <c r="D1326" i="16"/>
  <c r="C1326" i="16"/>
  <c r="B1326" i="16"/>
  <c r="I1325" i="16"/>
  <c r="H1325" i="16"/>
  <c r="G1325" i="16"/>
  <c r="F1325" i="16"/>
  <c r="E1325" i="16"/>
  <c r="D1325" i="16"/>
  <c r="C1325" i="16"/>
  <c r="B1325" i="16"/>
  <c r="I1324" i="16"/>
  <c r="H1324" i="16"/>
  <c r="G1324" i="16"/>
  <c r="F1324" i="16"/>
  <c r="E1324" i="16"/>
  <c r="D1324" i="16"/>
  <c r="C1324" i="16"/>
  <c r="B1324" i="16"/>
  <c r="I1323" i="16"/>
  <c r="H1323" i="16"/>
  <c r="G1323" i="16"/>
  <c r="F1323" i="16"/>
  <c r="E1323" i="16"/>
  <c r="D1323" i="16"/>
  <c r="C1323" i="16"/>
  <c r="B1323" i="16"/>
  <c r="I1322" i="16"/>
  <c r="H1322" i="16"/>
  <c r="G1322" i="16"/>
  <c r="F1322" i="16"/>
  <c r="E1322" i="16"/>
  <c r="D1322" i="16"/>
  <c r="C1322" i="16"/>
  <c r="B1322" i="16"/>
  <c r="I1321" i="16"/>
  <c r="H1321" i="16"/>
  <c r="G1321" i="16"/>
  <c r="F1321" i="16"/>
  <c r="E1321" i="16"/>
  <c r="D1321" i="16"/>
  <c r="C1321" i="16"/>
  <c r="B1321" i="16"/>
  <c r="I1320" i="16"/>
  <c r="H1320" i="16"/>
  <c r="G1320" i="16"/>
  <c r="F1320" i="16"/>
  <c r="E1320" i="16"/>
  <c r="D1320" i="16"/>
  <c r="C1320" i="16"/>
  <c r="B1320" i="16"/>
  <c r="I1319" i="16"/>
  <c r="H1319" i="16"/>
  <c r="G1319" i="16"/>
  <c r="F1319" i="16"/>
  <c r="E1319" i="16"/>
  <c r="D1319" i="16"/>
  <c r="C1319" i="16"/>
  <c r="B1319" i="16"/>
  <c r="I1318" i="16"/>
  <c r="H1318" i="16"/>
  <c r="G1318" i="16"/>
  <c r="F1318" i="16"/>
  <c r="E1318" i="16"/>
  <c r="D1318" i="16"/>
  <c r="C1318" i="16"/>
  <c r="B1318" i="16"/>
  <c r="I1317" i="16"/>
  <c r="H1317" i="16"/>
  <c r="G1317" i="16"/>
  <c r="F1317" i="16"/>
  <c r="E1317" i="16"/>
  <c r="D1317" i="16"/>
  <c r="C1317" i="16"/>
  <c r="B1317" i="16"/>
  <c r="I1316" i="16"/>
  <c r="H1316" i="16"/>
  <c r="G1316" i="16"/>
  <c r="F1316" i="16"/>
  <c r="E1316" i="16"/>
  <c r="D1316" i="16"/>
  <c r="C1316" i="16"/>
  <c r="B1316" i="16"/>
  <c r="I1315" i="16"/>
  <c r="H1315" i="16"/>
  <c r="G1315" i="16"/>
  <c r="F1315" i="16"/>
  <c r="E1315" i="16"/>
  <c r="D1315" i="16"/>
  <c r="C1315" i="16"/>
  <c r="B1315" i="16"/>
  <c r="I1314" i="16"/>
  <c r="H1314" i="16"/>
  <c r="G1314" i="16"/>
  <c r="F1314" i="16"/>
  <c r="E1314" i="16"/>
  <c r="D1314" i="16"/>
  <c r="C1314" i="16"/>
  <c r="B1314" i="16"/>
  <c r="I1313" i="16"/>
  <c r="H1313" i="16"/>
  <c r="G1313" i="16"/>
  <c r="F1313" i="16"/>
  <c r="E1313" i="16"/>
  <c r="D1313" i="16"/>
  <c r="C1313" i="16"/>
  <c r="B1313" i="16"/>
  <c r="I1312" i="16"/>
  <c r="H1312" i="16"/>
  <c r="G1312" i="16"/>
  <c r="F1312" i="16"/>
  <c r="E1312" i="16"/>
  <c r="D1312" i="16"/>
  <c r="C1312" i="16"/>
  <c r="B1312" i="16"/>
  <c r="I1311" i="16"/>
  <c r="H1311" i="16"/>
  <c r="G1311" i="16"/>
  <c r="F1311" i="16"/>
  <c r="E1311" i="16"/>
  <c r="D1311" i="16"/>
  <c r="C1311" i="16"/>
  <c r="B1311" i="16"/>
  <c r="I1310" i="16"/>
  <c r="H1310" i="16"/>
  <c r="G1310" i="16"/>
  <c r="F1310" i="16"/>
  <c r="E1310" i="16"/>
  <c r="D1310" i="16"/>
  <c r="C1310" i="16"/>
  <c r="B1310" i="16"/>
  <c r="I1309" i="16"/>
  <c r="H1309" i="16"/>
  <c r="G1309" i="16"/>
  <c r="F1309" i="16"/>
  <c r="E1309" i="16"/>
  <c r="D1309" i="16"/>
  <c r="C1309" i="16"/>
  <c r="B1309" i="16"/>
  <c r="I1308" i="16"/>
  <c r="H1308" i="16"/>
  <c r="G1308" i="16"/>
  <c r="F1308" i="16"/>
  <c r="E1308" i="16"/>
  <c r="D1308" i="16"/>
  <c r="C1308" i="16"/>
  <c r="B1308" i="16"/>
  <c r="I1307" i="16"/>
  <c r="H1307" i="16"/>
  <c r="G1307" i="16"/>
  <c r="F1307" i="16"/>
  <c r="E1307" i="16"/>
  <c r="D1307" i="16"/>
  <c r="C1307" i="16"/>
  <c r="B1307" i="16"/>
  <c r="I1306" i="16"/>
  <c r="H1306" i="16"/>
  <c r="G1306" i="16"/>
  <c r="F1306" i="16"/>
  <c r="E1306" i="16"/>
  <c r="D1306" i="16"/>
  <c r="C1306" i="16"/>
  <c r="B1306" i="16"/>
  <c r="I1305" i="16"/>
  <c r="H1305" i="16"/>
  <c r="G1305" i="16"/>
  <c r="F1305" i="16"/>
  <c r="E1305" i="16"/>
  <c r="D1305" i="16"/>
  <c r="C1305" i="16"/>
  <c r="B1305" i="16"/>
  <c r="I1304" i="16"/>
  <c r="H1304" i="16"/>
  <c r="G1304" i="16"/>
  <c r="F1304" i="16"/>
  <c r="E1304" i="16"/>
  <c r="D1304" i="16"/>
  <c r="C1304" i="16"/>
  <c r="B1304" i="16"/>
  <c r="I1303" i="16"/>
  <c r="H1303" i="16"/>
  <c r="G1303" i="16"/>
  <c r="F1303" i="16"/>
  <c r="E1303" i="16"/>
  <c r="D1303" i="16"/>
  <c r="C1303" i="16"/>
  <c r="B1303" i="16"/>
  <c r="I1302" i="16"/>
  <c r="H1302" i="16"/>
  <c r="G1302" i="16"/>
  <c r="F1302" i="16"/>
  <c r="E1302" i="16"/>
  <c r="D1302" i="16"/>
  <c r="C1302" i="16"/>
  <c r="B1302" i="16"/>
  <c r="I1301" i="16"/>
  <c r="H1301" i="16"/>
  <c r="G1301" i="16"/>
  <c r="F1301" i="16"/>
  <c r="E1301" i="16"/>
  <c r="D1301" i="16"/>
  <c r="C1301" i="16"/>
  <c r="B1301" i="16"/>
  <c r="I1300" i="16"/>
  <c r="H1300" i="16"/>
  <c r="G1300" i="16"/>
  <c r="F1300" i="16"/>
  <c r="E1300" i="16"/>
  <c r="D1300" i="16"/>
  <c r="C1300" i="16"/>
  <c r="B1300" i="16"/>
  <c r="I1299" i="16"/>
  <c r="H1299" i="16"/>
  <c r="G1299" i="16"/>
  <c r="F1299" i="16"/>
  <c r="E1299" i="16"/>
  <c r="D1299" i="16"/>
  <c r="C1299" i="16"/>
  <c r="B1299" i="16"/>
  <c r="I1298" i="16"/>
  <c r="H1298" i="16"/>
  <c r="G1298" i="16"/>
  <c r="F1298" i="16"/>
  <c r="E1298" i="16"/>
  <c r="D1298" i="16"/>
  <c r="C1298" i="16"/>
  <c r="B1298" i="16"/>
  <c r="I1297" i="16"/>
  <c r="H1297" i="16"/>
  <c r="G1297" i="16"/>
  <c r="F1297" i="16"/>
  <c r="E1297" i="16"/>
  <c r="D1297" i="16"/>
  <c r="C1297" i="16"/>
  <c r="B1297" i="16"/>
  <c r="I1296" i="16"/>
  <c r="H1296" i="16"/>
  <c r="G1296" i="16"/>
  <c r="F1296" i="16"/>
  <c r="E1296" i="16"/>
  <c r="D1296" i="16"/>
  <c r="C1296" i="16"/>
  <c r="B1296" i="16"/>
  <c r="I1295" i="16"/>
  <c r="H1295" i="16"/>
  <c r="G1295" i="16"/>
  <c r="F1295" i="16"/>
  <c r="E1295" i="16"/>
  <c r="D1295" i="16"/>
  <c r="C1295" i="16"/>
  <c r="B1295" i="16"/>
  <c r="I1294" i="16"/>
  <c r="H1294" i="16"/>
  <c r="G1294" i="16"/>
  <c r="F1294" i="16"/>
  <c r="E1294" i="16"/>
  <c r="D1294" i="16"/>
  <c r="C1294" i="16"/>
  <c r="B1294" i="16"/>
  <c r="I1293" i="16"/>
  <c r="H1293" i="16"/>
  <c r="G1293" i="16"/>
  <c r="F1293" i="16"/>
  <c r="E1293" i="16"/>
  <c r="D1293" i="16"/>
  <c r="C1293" i="16"/>
  <c r="B1293" i="16"/>
  <c r="I1292" i="16"/>
  <c r="H1292" i="16"/>
  <c r="G1292" i="16"/>
  <c r="F1292" i="16"/>
  <c r="E1292" i="16"/>
  <c r="D1292" i="16"/>
  <c r="C1292" i="16"/>
  <c r="B1292" i="16"/>
  <c r="I1291" i="16"/>
  <c r="H1291" i="16"/>
  <c r="G1291" i="16"/>
  <c r="F1291" i="16"/>
  <c r="E1291" i="16"/>
  <c r="D1291" i="16"/>
  <c r="C1291" i="16"/>
  <c r="B1291" i="16"/>
  <c r="I1290" i="16"/>
  <c r="H1290" i="16"/>
  <c r="G1290" i="16"/>
  <c r="F1290" i="16"/>
  <c r="E1290" i="16"/>
  <c r="D1290" i="16"/>
  <c r="C1290" i="16"/>
  <c r="B1290" i="16"/>
  <c r="I1289" i="16"/>
  <c r="H1289" i="16"/>
  <c r="G1289" i="16"/>
  <c r="F1289" i="16"/>
  <c r="E1289" i="16"/>
  <c r="D1289" i="16"/>
  <c r="C1289" i="16"/>
  <c r="B1289" i="16"/>
  <c r="I1288" i="16"/>
  <c r="H1288" i="16"/>
  <c r="G1288" i="16"/>
  <c r="F1288" i="16"/>
  <c r="E1288" i="16"/>
  <c r="D1288" i="16"/>
  <c r="C1288" i="16"/>
  <c r="B1288" i="16"/>
  <c r="I1287" i="16"/>
  <c r="H1287" i="16"/>
  <c r="G1287" i="16"/>
  <c r="F1287" i="16"/>
  <c r="E1287" i="16"/>
  <c r="D1287" i="16"/>
  <c r="C1287" i="16"/>
  <c r="B1287" i="16"/>
  <c r="I1286" i="16"/>
  <c r="H1286" i="16"/>
  <c r="G1286" i="16"/>
  <c r="F1286" i="16"/>
  <c r="E1286" i="16"/>
  <c r="D1286" i="16"/>
  <c r="C1286" i="16"/>
  <c r="B1286" i="16"/>
  <c r="I1285" i="16"/>
  <c r="H1285" i="16"/>
  <c r="G1285" i="16"/>
  <c r="F1285" i="16"/>
  <c r="E1285" i="16"/>
  <c r="D1285" i="16"/>
  <c r="C1285" i="16"/>
  <c r="B1285" i="16"/>
  <c r="I1284" i="16"/>
  <c r="H1284" i="16"/>
  <c r="G1284" i="16"/>
  <c r="F1284" i="16"/>
  <c r="E1284" i="16"/>
  <c r="D1284" i="16"/>
  <c r="C1284" i="16"/>
  <c r="B1284" i="16"/>
  <c r="I1283" i="16"/>
  <c r="H1283" i="16"/>
  <c r="G1283" i="16"/>
  <c r="F1283" i="16"/>
  <c r="E1283" i="16"/>
  <c r="D1283" i="16"/>
  <c r="C1283" i="16"/>
  <c r="B1283" i="16"/>
  <c r="I1282" i="16"/>
  <c r="H1282" i="16"/>
  <c r="G1282" i="16"/>
  <c r="F1282" i="16"/>
  <c r="E1282" i="16"/>
  <c r="D1282" i="16"/>
  <c r="C1282" i="16"/>
  <c r="B1282" i="16"/>
  <c r="I1281" i="16"/>
  <c r="H1281" i="16"/>
  <c r="G1281" i="16"/>
  <c r="F1281" i="16"/>
  <c r="E1281" i="16"/>
  <c r="D1281" i="16"/>
  <c r="C1281" i="16"/>
  <c r="B1281" i="16"/>
  <c r="I1280" i="16"/>
  <c r="H1280" i="16"/>
  <c r="G1280" i="16"/>
  <c r="F1280" i="16"/>
  <c r="E1280" i="16"/>
  <c r="D1280" i="16"/>
  <c r="C1280" i="16"/>
  <c r="B1280" i="16"/>
  <c r="I1279" i="16"/>
  <c r="H1279" i="16"/>
  <c r="G1279" i="16"/>
  <c r="F1279" i="16"/>
  <c r="E1279" i="16"/>
  <c r="D1279" i="16"/>
  <c r="C1279" i="16"/>
  <c r="B1279" i="16"/>
  <c r="I1278" i="16"/>
  <c r="H1278" i="16"/>
  <c r="G1278" i="16"/>
  <c r="F1278" i="16"/>
  <c r="E1278" i="16"/>
  <c r="D1278" i="16"/>
  <c r="C1278" i="16"/>
  <c r="B1278" i="16"/>
  <c r="I1277" i="16"/>
  <c r="H1277" i="16"/>
  <c r="G1277" i="16"/>
  <c r="F1277" i="16"/>
  <c r="E1277" i="16"/>
  <c r="D1277" i="16"/>
  <c r="C1277" i="16"/>
  <c r="B1277" i="16"/>
  <c r="I1276" i="16"/>
  <c r="H1276" i="16"/>
  <c r="G1276" i="16"/>
  <c r="F1276" i="16"/>
  <c r="E1276" i="16"/>
  <c r="D1276" i="16"/>
  <c r="C1276" i="16"/>
  <c r="B1276" i="16"/>
  <c r="I1275" i="16"/>
  <c r="H1275" i="16"/>
  <c r="G1275" i="16"/>
  <c r="F1275" i="16"/>
  <c r="E1275" i="16"/>
  <c r="D1275" i="16"/>
  <c r="C1275" i="16"/>
  <c r="B1275" i="16"/>
  <c r="I1274" i="16"/>
  <c r="H1274" i="16"/>
  <c r="G1274" i="16"/>
  <c r="F1274" i="16"/>
  <c r="E1274" i="16"/>
  <c r="D1274" i="16"/>
  <c r="C1274" i="16"/>
  <c r="B1274" i="16"/>
  <c r="I1273" i="16"/>
  <c r="H1273" i="16"/>
  <c r="G1273" i="16"/>
  <c r="F1273" i="16"/>
  <c r="E1273" i="16"/>
  <c r="D1273" i="16"/>
  <c r="C1273" i="16"/>
  <c r="B1273" i="16"/>
  <c r="I1272" i="16"/>
  <c r="H1272" i="16"/>
  <c r="G1272" i="16"/>
  <c r="F1272" i="16"/>
  <c r="E1272" i="16"/>
  <c r="D1272" i="16"/>
  <c r="C1272" i="16"/>
  <c r="B1272" i="16"/>
  <c r="I1271" i="16"/>
  <c r="H1271" i="16"/>
  <c r="G1271" i="16"/>
  <c r="F1271" i="16"/>
  <c r="E1271" i="16"/>
  <c r="D1271" i="16"/>
  <c r="C1271" i="16"/>
  <c r="B1271" i="16"/>
  <c r="I1270" i="16"/>
  <c r="H1270" i="16"/>
  <c r="G1270" i="16"/>
  <c r="F1270" i="16"/>
  <c r="E1270" i="16"/>
  <c r="D1270" i="16"/>
  <c r="C1270" i="16"/>
  <c r="B1270" i="16"/>
  <c r="I1269" i="16"/>
  <c r="H1269" i="16"/>
  <c r="G1269" i="16"/>
  <c r="F1269" i="16"/>
  <c r="E1269" i="16"/>
  <c r="D1269" i="16"/>
  <c r="C1269" i="16"/>
  <c r="B1269" i="16"/>
  <c r="I1268" i="16"/>
  <c r="H1268" i="16"/>
  <c r="G1268" i="16"/>
  <c r="F1268" i="16"/>
  <c r="E1268" i="16"/>
  <c r="D1268" i="16"/>
  <c r="C1268" i="16"/>
  <c r="B1268" i="16"/>
  <c r="I1267" i="16"/>
  <c r="H1267" i="16"/>
  <c r="G1267" i="16"/>
  <c r="F1267" i="16"/>
  <c r="E1267" i="16"/>
  <c r="D1267" i="16"/>
  <c r="C1267" i="16"/>
  <c r="B1267" i="16"/>
  <c r="I1266" i="16"/>
  <c r="H1266" i="16"/>
  <c r="G1266" i="16"/>
  <c r="F1266" i="16"/>
  <c r="E1266" i="16"/>
  <c r="D1266" i="16"/>
  <c r="C1266" i="16"/>
  <c r="B1266" i="16"/>
  <c r="I1265" i="16"/>
  <c r="H1265" i="16"/>
  <c r="G1265" i="16"/>
  <c r="F1265" i="16"/>
  <c r="E1265" i="16"/>
  <c r="D1265" i="16"/>
  <c r="C1265" i="16"/>
  <c r="B1265" i="16"/>
  <c r="I1264" i="16"/>
  <c r="H1264" i="16"/>
  <c r="G1264" i="16"/>
  <c r="F1264" i="16"/>
  <c r="E1264" i="16"/>
  <c r="D1264" i="16"/>
  <c r="C1264" i="16"/>
  <c r="B1264" i="16"/>
  <c r="I1263" i="16"/>
  <c r="H1263" i="16"/>
  <c r="G1263" i="16"/>
  <c r="F1263" i="16"/>
  <c r="E1263" i="16"/>
  <c r="D1263" i="16"/>
  <c r="C1263" i="16"/>
  <c r="B1263" i="16"/>
  <c r="I1262" i="16"/>
  <c r="H1262" i="16"/>
  <c r="G1262" i="16"/>
  <c r="F1262" i="16"/>
  <c r="E1262" i="16"/>
  <c r="D1262" i="16"/>
  <c r="C1262" i="16"/>
  <c r="B1262" i="16"/>
  <c r="I1261" i="16"/>
  <c r="H1261" i="16"/>
  <c r="G1261" i="16"/>
  <c r="F1261" i="16"/>
  <c r="E1261" i="16"/>
  <c r="D1261" i="16"/>
  <c r="C1261" i="16"/>
  <c r="B1261" i="16"/>
  <c r="I1260" i="16"/>
  <c r="H1260" i="16"/>
  <c r="G1260" i="16"/>
  <c r="F1260" i="16"/>
  <c r="E1260" i="16"/>
  <c r="D1260" i="16"/>
  <c r="C1260" i="16"/>
  <c r="B1260" i="16"/>
  <c r="I1259" i="16"/>
  <c r="H1259" i="16"/>
  <c r="G1259" i="16"/>
  <c r="F1259" i="16"/>
  <c r="E1259" i="16"/>
  <c r="D1259" i="16"/>
  <c r="C1259" i="16"/>
  <c r="B1259" i="16"/>
  <c r="I1258" i="16"/>
  <c r="H1258" i="16"/>
  <c r="G1258" i="16"/>
  <c r="F1258" i="16"/>
  <c r="E1258" i="16"/>
  <c r="D1258" i="16"/>
  <c r="C1258" i="16"/>
  <c r="B1258" i="16"/>
  <c r="I1257" i="16"/>
  <c r="H1257" i="16"/>
  <c r="G1257" i="16"/>
  <c r="F1257" i="16"/>
  <c r="E1257" i="16"/>
  <c r="D1257" i="16"/>
  <c r="C1257" i="16"/>
  <c r="B1257" i="16"/>
  <c r="I1256" i="16"/>
  <c r="H1256" i="16"/>
  <c r="G1256" i="16"/>
  <c r="F1256" i="16"/>
  <c r="E1256" i="16"/>
  <c r="D1256" i="16"/>
  <c r="C1256" i="16"/>
  <c r="B1256" i="16"/>
  <c r="I1255" i="16"/>
  <c r="H1255" i="16"/>
  <c r="G1255" i="16"/>
  <c r="F1255" i="16"/>
  <c r="E1255" i="16"/>
  <c r="D1255" i="16"/>
  <c r="C1255" i="16"/>
  <c r="B1255" i="16"/>
  <c r="I1254" i="16"/>
  <c r="H1254" i="16"/>
  <c r="G1254" i="16"/>
  <c r="F1254" i="16"/>
  <c r="E1254" i="16"/>
  <c r="D1254" i="16"/>
  <c r="C1254" i="16"/>
  <c r="B1254" i="16"/>
  <c r="I1253" i="16"/>
  <c r="H1253" i="16"/>
  <c r="G1253" i="16"/>
  <c r="F1253" i="16"/>
  <c r="E1253" i="16"/>
  <c r="D1253" i="16"/>
  <c r="C1253" i="16"/>
  <c r="B1253" i="16"/>
  <c r="I1252" i="16"/>
  <c r="H1252" i="16"/>
  <c r="G1252" i="16"/>
  <c r="F1252" i="16"/>
  <c r="E1252" i="16"/>
  <c r="D1252" i="16"/>
  <c r="C1252" i="16"/>
  <c r="B1252" i="16"/>
  <c r="I1251" i="16"/>
  <c r="H1251" i="16"/>
  <c r="G1251" i="16"/>
  <c r="F1251" i="16"/>
  <c r="E1251" i="16"/>
  <c r="D1251" i="16"/>
  <c r="C1251" i="16"/>
  <c r="B1251" i="16"/>
  <c r="I1250" i="16"/>
  <c r="H1250" i="16"/>
  <c r="G1250" i="16"/>
  <c r="F1250" i="16"/>
  <c r="E1250" i="16"/>
  <c r="D1250" i="16"/>
  <c r="C1250" i="16"/>
  <c r="B1250" i="16"/>
  <c r="I1249" i="16"/>
  <c r="H1249" i="16"/>
  <c r="G1249" i="16"/>
  <c r="F1249" i="16"/>
  <c r="E1249" i="16"/>
  <c r="D1249" i="16"/>
  <c r="C1249" i="16"/>
  <c r="B1249" i="16"/>
  <c r="I1248" i="16"/>
  <c r="H1248" i="16"/>
  <c r="G1248" i="16"/>
  <c r="F1248" i="16"/>
  <c r="E1248" i="16"/>
  <c r="D1248" i="16"/>
  <c r="C1248" i="16"/>
  <c r="B1248" i="16"/>
  <c r="I1247" i="16"/>
  <c r="H1247" i="16"/>
  <c r="G1247" i="16"/>
  <c r="F1247" i="16"/>
  <c r="E1247" i="16"/>
  <c r="D1247" i="16"/>
  <c r="C1247" i="16"/>
  <c r="B1247" i="16"/>
  <c r="I1246" i="16"/>
  <c r="H1246" i="16"/>
  <c r="G1246" i="16"/>
  <c r="F1246" i="16"/>
  <c r="E1246" i="16"/>
  <c r="D1246" i="16"/>
  <c r="C1246" i="16"/>
  <c r="B1246" i="16"/>
  <c r="I1245" i="16"/>
  <c r="H1245" i="16"/>
  <c r="G1245" i="16"/>
  <c r="F1245" i="16"/>
  <c r="E1245" i="16"/>
  <c r="D1245" i="16"/>
  <c r="C1245" i="16"/>
  <c r="B1245" i="16"/>
  <c r="I1244" i="16"/>
  <c r="H1244" i="16"/>
  <c r="G1244" i="16"/>
  <c r="F1244" i="16"/>
  <c r="E1244" i="16"/>
  <c r="D1244" i="16"/>
  <c r="C1244" i="16"/>
  <c r="B1244" i="16"/>
  <c r="I1243" i="16"/>
  <c r="H1243" i="16"/>
  <c r="G1243" i="16"/>
  <c r="F1243" i="16"/>
  <c r="E1243" i="16"/>
  <c r="D1243" i="16"/>
  <c r="C1243" i="16"/>
  <c r="B1243" i="16"/>
  <c r="I1242" i="16"/>
  <c r="H1242" i="16"/>
  <c r="G1242" i="16"/>
  <c r="F1242" i="16"/>
  <c r="E1242" i="16"/>
  <c r="D1242" i="16"/>
  <c r="C1242" i="16"/>
  <c r="B1242" i="16"/>
  <c r="I1241" i="16"/>
  <c r="H1241" i="16"/>
  <c r="G1241" i="16"/>
  <c r="F1241" i="16"/>
  <c r="E1241" i="16"/>
  <c r="D1241" i="16"/>
  <c r="C1241" i="16"/>
  <c r="B1241" i="16"/>
  <c r="I1240" i="16"/>
  <c r="H1240" i="16"/>
  <c r="G1240" i="16"/>
  <c r="F1240" i="16"/>
  <c r="E1240" i="16"/>
  <c r="D1240" i="16"/>
  <c r="C1240" i="16"/>
  <c r="B1240" i="16"/>
  <c r="I1239" i="16"/>
  <c r="H1239" i="16"/>
  <c r="G1239" i="16"/>
  <c r="F1239" i="16"/>
  <c r="E1239" i="16"/>
  <c r="D1239" i="16"/>
  <c r="C1239" i="16"/>
  <c r="B1239" i="16"/>
  <c r="I1238" i="16"/>
  <c r="H1238" i="16"/>
  <c r="G1238" i="16"/>
  <c r="F1238" i="16"/>
  <c r="E1238" i="16"/>
  <c r="D1238" i="16"/>
  <c r="C1238" i="16"/>
  <c r="B1238" i="16"/>
  <c r="I1237" i="16"/>
  <c r="H1237" i="16"/>
  <c r="G1237" i="16"/>
  <c r="F1237" i="16"/>
  <c r="E1237" i="16"/>
  <c r="D1237" i="16"/>
  <c r="C1237" i="16"/>
  <c r="B1237" i="16"/>
  <c r="I1236" i="16"/>
  <c r="H1236" i="16"/>
  <c r="G1236" i="16"/>
  <c r="F1236" i="16"/>
  <c r="E1236" i="16"/>
  <c r="D1236" i="16"/>
  <c r="C1236" i="16"/>
  <c r="B1236" i="16"/>
  <c r="I1235" i="16"/>
  <c r="H1235" i="16"/>
  <c r="G1235" i="16"/>
  <c r="F1235" i="16"/>
  <c r="E1235" i="16"/>
  <c r="D1235" i="16"/>
  <c r="C1235" i="16"/>
  <c r="B1235" i="16"/>
  <c r="I1234" i="16"/>
  <c r="H1234" i="16"/>
  <c r="G1234" i="16"/>
  <c r="F1234" i="16"/>
  <c r="E1234" i="16"/>
  <c r="D1234" i="16"/>
  <c r="C1234" i="16"/>
  <c r="B1234" i="16"/>
  <c r="I1233" i="16"/>
  <c r="H1233" i="16"/>
  <c r="G1233" i="16"/>
  <c r="F1233" i="16"/>
  <c r="E1233" i="16"/>
  <c r="D1233" i="16"/>
  <c r="C1233" i="16"/>
  <c r="B1233" i="16"/>
  <c r="I1232" i="16"/>
  <c r="H1232" i="16"/>
  <c r="G1232" i="16"/>
  <c r="F1232" i="16"/>
  <c r="E1232" i="16"/>
  <c r="D1232" i="16"/>
  <c r="C1232" i="16"/>
  <c r="B1232" i="16"/>
  <c r="I1231" i="16"/>
  <c r="H1231" i="16"/>
  <c r="G1231" i="16"/>
  <c r="F1231" i="16"/>
  <c r="E1231" i="16"/>
  <c r="D1231" i="16"/>
  <c r="C1231" i="16"/>
  <c r="B1231" i="16"/>
  <c r="I1230" i="16"/>
  <c r="H1230" i="16"/>
  <c r="G1230" i="16"/>
  <c r="F1230" i="16"/>
  <c r="E1230" i="16"/>
  <c r="D1230" i="16"/>
  <c r="C1230" i="16"/>
  <c r="B1230" i="16"/>
  <c r="I1229" i="16"/>
  <c r="H1229" i="16"/>
  <c r="G1229" i="16"/>
  <c r="F1229" i="16"/>
  <c r="E1229" i="16"/>
  <c r="D1229" i="16"/>
  <c r="C1229" i="16"/>
  <c r="B1229" i="16"/>
  <c r="I1228" i="16"/>
  <c r="H1228" i="16"/>
  <c r="G1228" i="16"/>
  <c r="F1228" i="16"/>
  <c r="E1228" i="16"/>
  <c r="D1228" i="16"/>
  <c r="C1228" i="16"/>
  <c r="B1228" i="16"/>
  <c r="I1227" i="16"/>
  <c r="H1227" i="16"/>
  <c r="G1227" i="16"/>
  <c r="F1227" i="16"/>
  <c r="E1227" i="16"/>
  <c r="D1227" i="16"/>
  <c r="C1227" i="16"/>
  <c r="B1227" i="16"/>
  <c r="I1226" i="16"/>
  <c r="H1226" i="16"/>
  <c r="G1226" i="16"/>
  <c r="F1226" i="16"/>
  <c r="E1226" i="16"/>
  <c r="D1226" i="16"/>
  <c r="C1226" i="16"/>
  <c r="B1226" i="16"/>
  <c r="I1225" i="16"/>
  <c r="H1225" i="16"/>
  <c r="G1225" i="16"/>
  <c r="F1225" i="16"/>
  <c r="E1225" i="16"/>
  <c r="D1225" i="16"/>
  <c r="C1225" i="16"/>
  <c r="B1225" i="16"/>
  <c r="I1224" i="16"/>
  <c r="H1224" i="16"/>
  <c r="G1224" i="16"/>
  <c r="F1224" i="16"/>
  <c r="E1224" i="16"/>
  <c r="D1224" i="16"/>
  <c r="C1224" i="16"/>
  <c r="B1224" i="16"/>
  <c r="I1223" i="16"/>
  <c r="H1223" i="16"/>
  <c r="G1223" i="16"/>
  <c r="F1223" i="16"/>
  <c r="E1223" i="16"/>
  <c r="D1223" i="16"/>
  <c r="C1223" i="16"/>
  <c r="B1223" i="16"/>
  <c r="I1222" i="16"/>
  <c r="H1222" i="16"/>
  <c r="G1222" i="16"/>
  <c r="F1222" i="16"/>
  <c r="E1222" i="16"/>
  <c r="D1222" i="16"/>
  <c r="C1222" i="16"/>
  <c r="B1222" i="16"/>
  <c r="I1221" i="16"/>
  <c r="H1221" i="16"/>
  <c r="G1221" i="16"/>
  <c r="F1221" i="16"/>
  <c r="E1221" i="16"/>
  <c r="D1221" i="16"/>
  <c r="C1221" i="16"/>
  <c r="B1221" i="16"/>
  <c r="I1220" i="16"/>
  <c r="H1220" i="16"/>
  <c r="G1220" i="16"/>
  <c r="F1220" i="16"/>
  <c r="E1220" i="16"/>
  <c r="D1220" i="16"/>
  <c r="C1220" i="16"/>
  <c r="B1220" i="16"/>
  <c r="I1219" i="16"/>
  <c r="H1219" i="16"/>
  <c r="G1219" i="16"/>
  <c r="F1219" i="16"/>
  <c r="E1219" i="16"/>
  <c r="D1219" i="16"/>
  <c r="C1219" i="16"/>
  <c r="B1219" i="16"/>
  <c r="I1218" i="16"/>
  <c r="H1218" i="16"/>
  <c r="G1218" i="16"/>
  <c r="F1218" i="16"/>
  <c r="E1218" i="16"/>
  <c r="D1218" i="16"/>
  <c r="C1218" i="16"/>
  <c r="B1218" i="16"/>
  <c r="I1217" i="16"/>
  <c r="H1217" i="16"/>
  <c r="G1217" i="16"/>
  <c r="F1217" i="16"/>
  <c r="E1217" i="16"/>
  <c r="D1217" i="16"/>
  <c r="C1217" i="16"/>
  <c r="B1217" i="16"/>
  <c r="I1216" i="16"/>
  <c r="H1216" i="16"/>
  <c r="G1216" i="16"/>
  <c r="F1216" i="16"/>
  <c r="E1216" i="16"/>
  <c r="D1216" i="16"/>
  <c r="C1216" i="16"/>
  <c r="B1216" i="16"/>
  <c r="I1215" i="16"/>
  <c r="H1215" i="16"/>
  <c r="G1215" i="16"/>
  <c r="F1215" i="16"/>
  <c r="E1215" i="16"/>
  <c r="D1215" i="16"/>
  <c r="C1215" i="16"/>
  <c r="B1215" i="16"/>
  <c r="I1214" i="16"/>
  <c r="H1214" i="16"/>
  <c r="G1214" i="16"/>
  <c r="F1214" i="16"/>
  <c r="E1214" i="16"/>
  <c r="D1214" i="16"/>
  <c r="C1214" i="16"/>
  <c r="B1214" i="16"/>
  <c r="I1213" i="16"/>
  <c r="H1213" i="16"/>
  <c r="G1213" i="16"/>
  <c r="F1213" i="16"/>
  <c r="E1213" i="16"/>
  <c r="D1213" i="16"/>
  <c r="C1213" i="16"/>
  <c r="B1213" i="16"/>
  <c r="I1212" i="16"/>
  <c r="H1212" i="16"/>
  <c r="G1212" i="16"/>
  <c r="F1212" i="16"/>
  <c r="E1212" i="16"/>
  <c r="D1212" i="16"/>
  <c r="C1212" i="16"/>
  <c r="B1212" i="16"/>
  <c r="I1211" i="16"/>
  <c r="H1211" i="16"/>
  <c r="G1211" i="16"/>
  <c r="F1211" i="16"/>
  <c r="E1211" i="16"/>
  <c r="D1211" i="16"/>
  <c r="C1211" i="16"/>
  <c r="B1211" i="16"/>
  <c r="I1210" i="16"/>
  <c r="H1210" i="16"/>
  <c r="G1210" i="16"/>
  <c r="F1210" i="16"/>
  <c r="E1210" i="16"/>
  <c r="D1210" i="16"/>
  <c r="C1210" i="16"/>
  <c r="B1210" i="16"/>
  <c r="I1209" i="16"/>
  <c r="H1209" i="16"/>
  <c r="G1209" i="16"/>
  <c r="F1209" i="16"/>
  <c r="E1209" i="16"/>
  <c r="D1209" i="16"/>
  <c r="C1209" i="16"/>
  <c r="B1209" i="16"/>
  <c r="I1208" i="16"/>
  <c r="H1208" i="16"/>
  <c r="G1208" i="16"/>
  <c r="F1208" i="16"/>
  <c r="E1208" i="16"/>
  <c r="D1208" i="16"/>
  <c r="C1208" i="16"/>
  <c r="B1208" i="16"/>
  <c r="I1207" i="16"/>
  <c r="H1207" i="16"/>
  <c r="G1207" i="16"/>
  <c r="F1207" i="16"/>
  <c r="E1207" i="16"/>
  <c r="D1207" i="16"/>
  <c r="C1207" i="16"/>
  <c r="B1207" i="16"/>
  <c r="I1206" i="16"/>
  <c r="H1206" i="16"/>
  <c r="G1206" i="16"/>
  <c r="F1206" i="16"/>
  <c r="E1206" i="16"/>
  <c r="D1206" i="16"/>
  <c r="C1206" i="16"/>
  <c r="B1206" i="16"/>
  <c r="I1205" i="16"/>
  <c r="H1205" i="16"/>
  <c r="G1205" i="16"/>
  <c r="F1205" i="16"/>
  <c r="E1205" i="16"/>
  <c r="D1205" i="16"/>
  <c r="C1205" i="16"/>
  <c r="B1205" i="16"/>
  <c r="I1204" i="16"/>
  <c r="H1204" i="16"/>
  <c r="G1204" i="16"/>
  <c r="F1204" i="16"/>
  <c r="E1204" i="16"/>
  <c r="D1204" i="16"/>
  <c r="C1204" i="16"/>
  <c r="B1204" i="16"/>
  <c r="I1203" i="16"/>
  <c r="H1203" i="16"/>
  <c r="G1203" i="16"/>
  <c r="F1203" i="16"/>
  <c r="E1203" i="16"/>
  <c r="D1203" i="16"/>
  <c r="C1203" i="16"/>
  <c r="B1203" i="16"/>
  <c r="I1202" i="16"/>
  <c r="H1202" i="16"/>
  <c r="G1202" i="16"/>
  <c r="F1202" i="16"/>
  <c r="E1202" i="16"/>
  <c r="D1202" i="16"/>
  <c r="C1202" i="16"/>
  <c r="B1202" i="16"/>
  <c r="I1201" i="16"/>
  <c r="H1201" i="16"/>
  <c r="G1201" i="16"/>
  <c r="F1201" i="16"/>
  <c r="E1201" i="16"/>
  <c r="D1201" i="16"/>
  <c r="C1201" i="16"/>
  <c r="B1201" i="16"/>
  <c r="I1200" i="16"/>
  <c r="H1200" i="16"/>
  <c r="G1200" i="16"/>
  <c r="F1200" i="16"/>
  <c r="E1200" i="16"/>
  <c r="D1200" i="16"/>
  <c r="C1200" i="16"/>
  <c r="B1200" i="16"/>
  <c r="I1199" i="16"/>
  <c r="H1199" i="16"/>
  <c r="G1199" i="16"/>
  <c r="F1199" i="16"/>
  <c r="E1199" i="16"/>
  <c r="D1199" i="16"/>
  <c r="C1199" i="16"/>
  <c r="B1199" i="16"/>
  <c r="I1198" i="16"/>
  <c r="H1198" i="16"/>
  <c r="G1198" i="16"/>
  <c r="F1198" i="16"/>
  <c r="E1198" i="16"/>
  <c r="D1198" i="16"/>
  <c r="C1198" i="16"/>
  <c r="B1198" i="16"/>
  <c r="I1197" i="16"/>
  <c r="H1197" i="16"/>
  <c r="G1197" i="16"/>
  <c r="F1197" i="16"/>
  <c r="E1197" i="16"/>
  <c r="D1197" i="16"/>
  <c r="C1197" i="16"/>
  <c r="B1197" i="16"/>
  <c r="I1196" i="16"/>
  <c r="H1196" i="16"/>
  <c r="G1196" i="16"/>
  <c r="F1196" i="16"/>
  <c r="E1196" i="16"/>
  <c r="D1196" i="16"/>
  <c r="C1196" i="16"/>
  <c r="B1196" i="16"/>
  <c r="I1195" i="16"/>
  <c r="H1195" i="16"/>
  <c r="G1195" i="16"/>
  <c r="F1195" i="16"/>
  <c r="E1195" i="16"/>
  <c r="D1195" i="16"/>
  <c r="C1195" i="16"/>
  <c r="B1195" i="16"/>
  <c r="I1194" i="16"/>
  <c r="H1194" i="16"/>
  <c r="G1194" i="16"/>
  <c r="F1194" i="16"/>
  <c r="E1194" i="16"/>
  <c r="D1194" i="16"/>
  <c r="C1194" i="16"/>
  <c r="B1194" i="16"/>
  <c r="I1193" i="16"/>
  <c r="H1193" i="16"/>
  <c r="G1193" i="16"/>
  <c r="F1193" i="16"/>
  <c r="E1193" i="16"/>
  <c r="D1193" i="16"/>
  <c r="C1193" i="16"/>
  <c r="B1193" i="16"/>
  <c r="I1192" i="16"/>
  <c r="H1192" i="16"/>
  <c r="G1192" i="16"/>
  <c r="F1192" i="16"/>
  <c r="E1192" i="16"/>
  <c r="D1192" i="16"/>
  <c r="C1192" i="16"/>
  <c r="B1192" i="16"/>
  <c r="I1191" i="16"/>
  <c r="H1191" i="16"/>
  <c r="G1191" i="16"/>
  <c r="F1191" i="16"/>
  <c r="E1191" i="16"/>
  <c r="D1191" i="16"/>
  <c r="C1191" i="16"/>
  <c r="B1191" i="16"/>
  <c r="I1190" i="16"/>
  <c r="H1190" i="16"/>
  <c r="G1190" i="16"/>
  <c r="F1190" i="16"/>
  <c r="E1190" i="16"/>
  <c r="D1190" i="16"/>
  <c r="C1190" i="16"/>
  <c r="B1190" i="16"/>
  <c r="I1189" i="16"/>
  <c r="H1189" i="16"/>
  <c r="G1189" i="16"/>
  <c r="F1189" i="16"/>
  <c r="E1189" i="16"/>
  <c r="D1189" i="16"/>
  <c r="C1189" i="16"/>
  <c r="B1189" i="16"/>
  <c r="I1188" i="16"/>
  <c r="H1188" i="16"/>
  <c r="G1188" i="16"/>
  <c r="F1188" i="16"/>
  <c r="E1188" i="16"/>
  <c r="D1188" i="16"/>
  <c r="C1188" i="16"/>
  <c r="B1188" i="16"/>
  <c r="I1187" i="16"/>
  <c r="H1187" i="16"/>
  <c r="G1187" i="16"/>
  <c r="F1187" i="16"/>
  <c r="E1187" i="16"/>
  <c r="D1187" i="16"/>
  <c r="C1187" i="16"/>
  <c r="B1187" i="16"/>
  <c r="I1186" i="16"/>
  <c r="H1186" i="16"/>
  <c r="G1186" i="16"/>
  <c r="F1186" i="16"/>
  <c r="E1186" i="16"/>
  <c r="D1186" i="16"/>
  <c r="C1186" i="16"/>
  <c r="B1186" i="16"/>
  <c r="I1185" i="16"/>
  <c r="H1185" i="16"/>
  <c r="G1185" i="16"/>
  <c r="F1185" i="16"/>
  <c r="E1185" i="16"/>
  <c r="D1185" i="16"/>
  <c r="C1185" i="16"/>
  <c r="B1185" i="16"/>
  <c r="I1184" i="16"/>
  <c r="H1184" i="16"/>
  <c r="G1184" i="16"/>
  <c r="F1184" i="16"/>
  <c r="E1184" i="16"/>
  <c r="D1184" i="16"/>
  <c r="C1184" i="16"/>
  <c r="B1184" i="16"/>
  <c r="I1183" i="16"/>
  <c r="H1183" i="16"/>
  <c r="G1183" i="16"/>
  <c r="F1183" i="16"/>
  <c r="E1183" i="16"/>
  <c r="D1183" i="16"/>
  <c r="C1183" i="16"/>
  <c r="B1183" i="16"/>
  <c r="I1182" i="16"/>
  <c r="H1182" i="16"/>
  <c r="G1182" i="16"/>
  <c r="F1182" i="16"/>
  <c r="E1182" i="16"/>
  <c r="D1182" i="16"/>
  <c r="C1182" i="16"/>
  <c r="B1182" i="16"/>
  <c r="I1181" i="16"/>
  <c r="H1181" i="16"/>
  <c r="G1181" i="16"/>
  <c r="F1181" i="16"/>
  <c r="E1181" i="16"/>
  <c r="D1181" i="16"/>
  <c r="C1181" i="16"/>
  <c r="B1181" i="16"/>
  <c r="I1180" i="16"/>
  <c r="H1180" i="16"/>
  <c r="G1180" i="16"/>
  <c r="F1180" i="16"/>
  <c r="E1180" i="16"/>
  <c r="D1180" i="16"/>
  <c r="C1180" i="16"/>
  <c r="B1180" i="16"/>
  <c r="I1179" i="16"/>
  <c r="H1179" i="16"/>
  <c r="G1179" i="16"/>
  <c r="F1179" i="16"/>
  <c r="E1179" i="16"/>
  <c r="D1179" i="16"/>
  <c r="C1179" i="16"/>
  <c r="B1179" i="16"/>
  <c r="I1178" i="16"/>
  <c r="H1178" i="16"/>
  <c r="G1178" i="16"/>
  <c r="F1178" i="16"/>
  <c r="E1178" i="16"/>
  <c r="D1178" i="16"/>
  <c r="C1178" i="16"/>
  <c r="B1178" i="16"/>
  <c r="I1177" i="16"/>
  <c r="H1177" i="16"/>
  <c r="G1177" i="16"/>
  <c r="F1177" i="16"/>
  <c r="E1177" i="16"/>
  <c r="D1177" i="16"/>
  <c r="C1177" i="16"/>
  <c r="B1177" i="16"/>
  <c r="I1176" i="16"/>
  <c r="H1176" i="16"/>
  <c r="G1176" i="16"/>
  <c r="F1176" i="16"/>
  <c r="E1176" i="16"/>
  <c r="D1176" i="16"/>
  <c r="C1176" i="16"/>
  <c r="B1176" i="16"/>
  <c r="I1175" i="16"/>
  <c r="H1175" i="16"/>
  <c r="G1175" i="16"/>
  <c r="F1175" i="16"/>
  <c r="E1175" i="16"/>
  <c r="D1175" i="16"/>
  <c r="C1175" i="16"/>
  <c r="B1175" i="16"/>
  <c r="I1174" i="16"/>
  <c r="H1174" i="16"/>
  <c r="G1174" i="16"/>
  <c r="F1174" i="16"/>
  <c r="E1174" i="16"/>
  <c r="D1174" i="16"/>
  <c r="C1174" i="16"/>
  <c r="B1174" i="16"/>
  <c r="I1173" i="16"/>
  <c r="H1173" i="16"/>
  <c r="G1173" i="16"/>
  <c r="F1173" i="16"/>
  <c r="E1173" i="16"/>
  <c r="D1173" i="16"/>
  <c r="C1173" i="16"/>
  <c r="B1173" i="16"/>
  <c r="I1172" i="16"/>
  <c r="H1172" i="16"/>
  <c r="G1172" i="16"/>
  <c r="F1172" i="16"/>
  <c r="E1172" i="16"/>
  <c r="D1172" i="16"/>
  <c r="C1172" i="16"/>
  <c r="B1172" i="16"/>
  <c r="I1171" i="16"/>
  <c r="H1171" i="16"/>
  <c r="G1171" i="16"/>
  <c r="F1171" i="16"/>
  <c r="E1171" i="16"/>
  <c r="D1171" i="16"/>
  <c r="C1171" i="16"/>
  <c r="B1171" i="16"/>
  <c r="I1170" i="16"/>
  <c r="H1170" i="16"/>
  <c r="G1170" i="16"/>
  <c r="F1170" i="16"/>
  <c r="E1170" i="16"/>
  <c r="D1170" i="16"/>
  <c r="C1170" i="16"/>
  <c r="B1170" i="16"/>
  <c r="I1169" i="16"/>
  <c r="H1169" i="16"/>
  <c r="G1169" i="16"/>
  <c r="F1169" i="16"/>
  <c r="E1169" i="16"/>
  <c r="D1169" i="16"/>
  <c r="C1169" i="16"/>
  <c r="B1169" i="16"/>
  <c r="I1168" i="16"/>
  <c r="H1168" i="16"/>
  <c r="G1168" i="16"/>
  <c r="F1168" i="16"/>
  <c r="E1168" i="16"/>
  <c r="D1168" i="16"/>
  <c r="C1168" i="16"/>
  <c r="B1168" i="16"/>
  <c r="I1167" i="16"/>
  <c r="H1167" i="16"/>
  <c r="G1167" i="16"/>
  <c r="F1167" i="16"/>
  <c r="E1167" i="16"/>
  <c r="D1167" i="16"/>
  <c r="C1167" i="16"/>
  <c r="B1167" i="16"/>
  <c r="I1166" i="16"/>
  <c r="H1166" i="16"/>
  <c r="G1166" i="16"/>
  <c r="F1166" i="16"/>
  <c r="E1166" i="16"/>
  <c r="D1166" i="16"/>
  <c r="C1166" i="16"/>
  <c r="B1166" i="16"/>
  <c r="I1165" i="16"/>
  <c r="H1165" i="16"/>
  <c r="G1165" i="16"/>
  <c r="F1165" i="16"/>
  <c r="E1165" i="16"/>
  <c r="D1165" i="16"/>
  <c r="C1165" i="16"/>
  <c r="B1165" i="16"/>
  <c r="I1164" i="16"/>
  <c r="H1164" i="16"/>
  <c r="G1164" i="16"/>
  <c r="F1164" i="16"/>
  <c r="E1164" i="16"/>
  <c r="D1164" i="16"/>
  <c r="C1164" i="16"/>
  <c r="B1164" i="16"/>
  <c r="I1163" i="16"/>
  <c r="H1163" i="16"/>
  <c r="G1163" i="16"/>
  <c r="F1163" i="16"/>
  <c r="E1163" i="16"/>
  <c r="D1163" i="16"/>
  <c r="C1163" i="16"/>
  <c r="B1163" i="16"/>
  <c r="I1162" i="16"/>
  <c r="H1162" i="16"/>
  <c r="G1162" i="16"/>
  <c r="F1162" i="16"/>
  <c r="E1162" i="16"/>
  <c r="D1162" i="16"/>
  <c r="C1162" i="16"/>
  <c r="B1162" i="16"/>
  <c r="I1161" i="16"/>
  <c r="H1161" i="16"/>
  <c r="G1161" i="16"/>
  <c r="F1161" i="16"/>
  <c r="E1161" i="16"/>
  <c r="D1161" i="16"/>
  <c r="C1161" i="16"/>
  <c r="B1161" i="16"/>
  <c r="I1160" i="16"/>
  <c r="H1160" i="16"/>
  <c r="G1160" i="16"/>
  <c r="F1160" i="16"/>
  <c r="E1160" i="16"/>
  <c r="D1160" i="16"/>
  <c r="C1160" i="16"/>
  <c r="B1160" i="16"/>
  <c r="I1159" i="16"/>
  <c r="H1159" i="16"/>
  <c r="G1159" i="16"/>
  <c r="F1159" i="16"/>
  <c r="E1159" i="16"/>
  <c r="D1159" i="16"/>
  <c r="C1159" i="16"/>
  <c r="B1159" i="16"/>
  <c r="I1158" i="16"/>
  <c r="H1158" i="16"/>
  <c r="G1158" i="16"/>
  <c r="F1158" i="16"/>
  <c r="E1158" i="16"/>
  <c r="D1158" i="16"/>
  <c r="C1158" i="16"/>
  <c r="B1158" i="16"/>
  <c r="I1157" i="16"/>
  <c r="H1157" i="16"/>
  <c r="G1157" i="16"/>
  <c r="F1157" i="16"/>
  <c r="E1157" i="16"/>
  <c r="D1157" i="16"/>
  <c r="C1157" i="16"/>
  <c r="B1157" i="16"/>
  <c r="I1156" i="16"/>
  <c r="H1156" i="16"/>
  <c r="G1156" i="16"/>
  <c r="F1156" i="16"/>
  <c r="E1156" i="16"/>
  <c r="D1156" i="16"/>
  <c r="C1156" i="16"/>
  <c r="B1156" i="16"/>
  <c r="I1155" i="16"/>
  <c r="H1155" i="16"/>
  <c r="G1155" i="16"/>
  <c r="F1155" i="16"/>
  <c r="E1155" i="16"/>
  <c r="D1155" i="16"/>
  <c r="C1155" i="16"/>
  <c r="B1155" i="16"/>
  <c r="I1154" i="16"/>
  <c r="H1154" i="16"/>
  <c r="G1154" i="16"/>
  <c r="F1154" i="16"/>
  <c r="E1154" i="16"/>
  <c r="D1154" i="16"/>
  <c r="C1154" i="16"/>
  <c r="B1154" i="16"/>
  <c r="I1153" i="16"/>
  <c r="H1153" i="16"/>
  <c r="G1153" i="16"/>
  <c r="F1153" i="16"/>
  <c r="E1153" i="16"/>
  <c r="D1153" i="16"/>
  <c r="C1153" i="16"/>
  <c r="B1153" i="16"/>
  <c r="I1152" i="16"/>
  <c r="H1152" i="16"/>
  <c r="G1152" i="16"/>
  <c r="F1152" i="16"/>
  <c r="E1152" i="16"/>
  <c r="D1152" i="16"/>
  <c r="C1152" i="16"/>
  <c r="B1152" i="16"/>
  <c r="I1151" i="16"/>
  <c r="H1151" i="16"/>
  <c r="G1151" i="16"/>
  <c r="F1151" i="16"/>
  <c r="E1151" i="16"/>
  <c r="D1151" i="16"/>
  <c r="C1151" i="16"/>
  <c r="B1151" i="16"/>
  <c r="I1150" i="16"/>
  <c r="H1150" i="16"/>
  <c r="G1150" i="16"/>
  <c r="F1150" i="16"/>
  <c r="E1150" i="16"/>
  <c r="D1150" i="16"/>
  <c r="C1150" i="16"/>
  <c r="B1150" i="16"/>
  <c r="I1149" i="16"/>
  <c r="H1149" i="16"/>
  <c r="G1149" i="16"/>
  <c r="F1149" i="16"/>
  <c r="E1149" i="16"/>
  <c r="D1149" i="16"/>
  <c r="C1149" i="16"/>
  <c r="B1149" i="16"/>
  <c r="I1148" i="16"/>
  <c r="H1148" i="16"/>
  <c r="G1148" i="16"/>
  <c r="F1148" i="16"/>
  <c r="E1148" i="16"/>
  <c r="D1148" i="16"/>
  <c r="C1148" i="16"/>
  <c r="B1148" i="16"/>
  <c r="I1147" i="16"/>
  <c r="H1147" i="16"/>
  <c r="G1147" i="16"/>
  <c r="F1147" i="16"/>
  <c r="E1147" i="16"/>
  <c r="D1147" i="16"/>
  <c r="C1147" i="16"/>
  <c r="B1147" i="16"/>
  <c r="I1146" i="16"/>
  <c r="H1146" i="16"/>
  <c r="G1146" i="16"/>
  <c r="F1146" i="16"/>
  <c r="E1146" i="16"/>
  <c r="D1146" i="16"/>
  <c r="C1146" i="16"/>
  <c r="B1146" i="16"/>
  <c r="I1145" i="16"/>
  <c r="H1145" i="16"/>
  <c r="G1145" i="16"/>
  <c r="F1145" i="16"/>
  <c r="E1145" i="16"/>
  <c r="D1145" i="16"/>
  <c r="C1145" i="16"/>
  <c r="B1145" i="16"/>
  <c r="I1144" i="16"/>
  <c r="H1144" i="16"/>
  <c r="G1144" i="16"/>
  <c r="F1144" i="16"/>
  <c r="E1144" i="16"/>
  <c r="D1144" i="16"/>
  <c r="C1144" i="16"/>
  <c r="B1144" i="16"/>
  <c r="I1143" i="16"/>
  <c r="H1143" i="16"/>
  <c r="G1143" i="16"/>
  <c r="F1143" i="16"/>
  <c r="E1143" i="16"/>
  <c r="D1143" i="16"/>
  <c r="C1143" i="16"/>
  <c r="B1143" i="16"/>
  <c r="I1142" i="16"/>
  <c r="H1142" i="16"/>
  <c r="G1142" i="16"/>
  <c r="F1142" i="16"/>
  <c r="E1142" i="16"/>
  <c r="D1142" i="16"/>
  <c r="C1142" i="16"/>
  <c r="B1142" i="16"/>
  <c r="I1141" i="16"/>
  <c r="H1141" i="16"/>
  <c r="G1141" i="16"/>
  <c r="F1141" i="16"/>
  <c r="E1141" i="16"/>
  <c r="D1141" i="16"/>
  <c r="C1141" i="16"/>
  <c r="B1141" i="16"/>
  <c r="I1140" i="16"/>
  <c r="H1140" i="16"/>
  <c r="G1140" i="16"/>
  <c r="F1140" i="16"/>
  <c r="E1140" i="16"/>
  <c r="D1140" i="16"/>
  <c r="C1140" i="16"/>
  <c r="B1140" i="16"/>
  <c r="I1139" i="16"/>
  <c r="H1139" i="16"/>
  <c r="G1139" i="16"/>
  <c r="F1139" i="16"/>
  <c r="E1139" i="16"/>
  <c r="D1139" i="16"/>
  <c r="C1139" i="16"/>
  <c r="B1139" i="16"/>
  <c r="I1138" i="16"/>
  <c r="H1138" i="16"/>
  <c r="G1138" i="16"/>
  <c r="F1138" i="16"/>
  <c r="E1138" i="16"/>
  <c r="D1138" i="16"/>
  <c r="C1138" i="16"/>
  <c r="B1138" i="16"/>
  <c r="I1137" i="16"/>
  <c r="H1137" i="16"/>
  <c r="G1137" i="16"/>
  <c r="F1137" i="16"/>
  <c r="E1137" i="16"/>
  <c r="D1137" i="16"/>
  <c r="C1137" i="16"/>
  <c r="B1137" i="16"/>
  <c r="I1136" i="16"/>
  <c r="H1136" i="16"/>
  <c r="G1136" i="16"/>
  <c r="F1136" i="16"/>
  <c r="E1136" i="16"/>
  <c r="D1136" i="16"/>
  <c r="C1136" i="16"/>
  <c r="B1136" i="16"/>
  <c r="I1135" i="16"/>
  <c r="H1135" i="16"/>
  <c r="G1135" i="16"/>
  <c r="F1135" i="16"/>
  <c r="E1135" i="16"/>
  <c r="D1135" i="16"/>
  <c r="C1135" i="16"/>
  <c r="B1135" i="16"/>
  <c r="I1134" i="16"/>
  <c r="H1134" i="16"/>
  <c r="G1134" i="16"/>
  <c r="F1134" i="16"/>
  <c r="E1134" i="16"/>
  <c r="D1134" i="16"/>
  <c r="C1134" i="16"/>
  <c r="B1134" i="16"/>
  <c r="I1133" i="16"/>
  <c r="H1133" i="16"/>
  <c r="G1133" i="16"/>
  <c r="F1133" i="16"/>
  <c r="E1133" i="16"/>
  <c r="D1133" i="16"/>
  <c r="C1133" i="16"/>
  <c r="B1133" i="16"/>
  <c r="I1132" i="16"/>
  <c r="H1132" i="16"/>
  <c r="G1132" i="16"/>
  <c r="F1132" i="16"/>
  <c r="E1132" i="16"/>
  <c r="D1132" i="16"/>
  <c r="C1132" i="16"/>
  <c r="B1132" i="16"/>
  <c r="I1131" i="16"/>
  <c r="H1131" i="16"/>
  <c r="G1131" i="16"/>
  <c r="F1131" i="16"/>
  <c r="E1131" i="16"/>
  <c r="D1131" i="16"/>
  <c r="C1131" i="16"/>
  <c r="B1131" i="16"/>
  <c r="I1130" i="16"/>
  <c r="H1130" i="16"/>
  <c r="G1130" i="16"/>
  <c r="F1130" i="16"/>
  <c r="E1130" i="16"/>
  <c r="D1130" i="16"/>
  <c r="C1130" i="16"/>
  <c r="B1130" i="16"/>
  <c r="I1129" i="16"/>
  <c r="H1129" i="16"/>
  <c r="G1129" i="16"/>
  <c r="F1129" i="16"/>
  <c r="E1129" i="16"/>
  <c r="D1129" i="16"/>
  <c r="C1129" i="16"/>
  <c r="B1129" i="16"/>
  <c r="I1128" i="16"/>
  <c r="H1128" i="16"/>
  <c r="G1128" i="16"/>
  <c r="F1128" i="16"/>
  <c r="E1128" i="16"/>
  <c r="D1128" i="16"/>
  <c r="C1128" i="16"/>
  <c r="B1128" i="16"/>
  <c r="I1127" i="16"/>
  <c r="H1127" i="16"/>
  <c r="G1127" i="16"/>
  <c r="F1127" i="16"/>
  <c r="E1127" i="16"/>
  <c r="D1127" i="16"/>
  <c r="C1127" i="16"/>
  <c r="B1127" i="16"/>
  <c r="I1126" i="16"/>
  <c r="H1126" i="16"/>
  <c r="G1126" i="16"/>
  <c r="F1126" i="16"/>
  <c r="E1126" i="16"/>
  <c r="D1126" i="16"/>
  <c r="C1126" i="16"/>
  <c r="B1126" i="16"/>
  <c r="I1125" i="16"/>
  <c r="H1125" i="16"/>
  <c r="G1125" i="16"/>
  <c r="F1125" i="16"/>
  <c r="E1125" i="16"/>
  <c r="D1125" i="16"/>
  <c r="C1125" i="16"/>
  <c r="B1125" i="16"/>
  <c r="I1124" i="16"/>
  <c r="H1124" i="16"/>
  <c r="G1124" i="16"/>
  <c r="F1124" i="16"/>
  <c r="E1124" i="16"/>
  <c r="D1124" i="16"/>
  <c r="C1124" i="16"/>
  <c r="B1124" i="16"/>
  <c r="I1123" i="16"/>
  <c r="H1123" i="16"/>
  <c r="G1123" i="16"/>
  <c r="F1123" i="16"/>
  <c r="E1123" i="16"/>
  <c r="D1123" i="16"/>
  <c r="C1123" i="16"/>
  <c r="B1123" i="16"/>
  <c r="I1122" i="16"/>
  <c r="H1122" i="16"/>
  <c r="G1122" i="16"/>
  <c r="F1122" i="16"/>
  <c r="E1122" i="16"/>
  <c r="D1122" i="16"/>
  <c r="C1122" i="16"/>
  <c r="B1122" i="16"/>
  <c r="I1121" i="16"/>
  <c r="H1121" i="16"/>
  <c r="G1121" i="16"/>
  <c r="F1121" i="16"/>
  <c r="E1121" i="16"/>
  <c r="D1121" i="16"/>
  <c r="C1121" i="16"/>
  <c r="B1121" i="16"/>
  <c r="I1120" i="16"/>
  <c r="H1120" i="16"/>
  <c r="G1120" i="16"/>
  <c r="F1120" i="16"/>
  <c r="E1120" i="16"/>
  <c r="D1120" i="16"/>
  <c r="C1120" i="16"/>
  <c r="B1120" i="16"/>
  <c r="I1119" i="16"/>
  <c r="H1119" i="16"/>
  <c r="G1119" i="16"/>
  <c r="F1119" i="16"/>
  <c r="E1119" i="16"/>
  <c r="D1119" i="16"/>
  <c r="C1119" i="16"/>
  <c r="B1119" i="16"/>
  <c r="I1118" i="16"/>
  <c r="H1118" i="16"/>
  <c r="G1118" i="16"/>
  <c r="F1118" i="16"/>
  <c r="E1118" i="16"/>
  <c r="D1118" i="16"/>
  <c r="C1118" i="16"/>
  <c r="B1118" i="16"/>
  <c r="I1117" i="16"/>
  <c r="H1117" i="16"/>
  <c r="G1117" i="16"/>
  <c r="F1117" i="16"/>
  <c r="E1117" i="16"/>
  <c r="D1117" i="16"/>
  <c r="C1117" i="16"/>
  <c r="B1117" i="16"/>
  <c r="I1116" i="16"/>
  <c r="H1116" i="16"/>
  <c r="G1116" i="16"/>
  <c r="F1116" i="16"/>
  <c r="E1116" i="16"/>
  <c r="D1116" i="16"/>
  <c r="C1116" i="16"/>
  <c r="B1116" i="16"/>
  <c r="I1115" i="16"/>
  <c r="H1115" i="16"/>
  <c r="G1115" i="16"/>
  <c r="F1115" i="16"/>
  <c r="E1115" i="16"/>
  <c r="D1115" i="16"/>
  <c r="C1115" i="16"/>
  <c r="B1115" i="16"/>
  <c r="I1114" i="16"/>
  <c r="H1114" i="16"/>
  <c r="G1114" i="16"/>
  <c r="F1114" i="16"/>
  <c r="E1114" i="16"/>
  <c r="D1114" i="16"/>
  <c r="C1114" i="16"/>
  <c r="B1114" i="16"/>
  <c r="I1113" i="16"/>
  <c r="H1113" i="16"/>
  <c r="G1113" i="16"/>
  <c r="F1113" i="16"/>
  <c r="E1113" i="16"/>
  <c r="D1113" i="16"/>
  <c r="C1113" i="16"/>
  <c r="B1113" i="16"/>
  <c r="I1112" i="16"/>
  <c r="H1112" i="16"/>
  <c r="G1112" i="16"/>
  <c r="F1112" i="16"/>
  <c r="E1112" i="16"/>
  <c r="D1112" i="16"/>
  <c r="C1112" i="16"/>
  <c r="B1112" i="16"/>
  <c r="I1111" i="16"/>
  <c r="H1111" i="16"/>
  <c r="G1111" i="16"/>
  <c r="F1111" i="16"/>
  <c r="E1111" i="16"/>
  <c r="D1111" i="16"/>
  <c r="C1111" i="16"/>
  <c r="B1111" i="16"/>
  <c r="I1110" i="16"/>
  <c r="H1110" i="16"/>
  <c r="G1110" i="16"/>
  <c r="F1110" i="16"/>
  <c r="E1110" i="16"/>
  <c r="D1110" i="16"/>
  <c r="C1110" i="16"/>
  <c r="B1110" i="16"/>
  <c r="I1109" i="16"/>
  <c r="H1109" i="16"/>
  <c r="G1109" i="16"/>
  <c r="F1109" i="16"/>
  <c r="E1109" i="16"/>
  <c r="D1109" i="16"/>
  <c r="C1109" i="16"/>
  <c r="B1109" i="16"/>
  <c r="I1108" i="16"/>
  <c r="H1108" i="16"/>
  <c r="G1108" i="16"/>
  <c r="F1108" i="16"/>
  <c r="E1108" i="16"/>
  <c r="D1108" i="16"/>
  <c r="C1108" i="16"/>
  <c r="B1108" i="16"/>
  <c r="I1107" i="16"/>
  <c r="H1107" i="16"/>
  <c r="G1107" i="16"/>
  <c r="F1107" i="16"/>
  <c r="E1107" i="16"/>
  <c r="D1107" i="16"/>
  <c r="C1107" i="16"/>
  <c r="B1107" i="16"/>
  <c r="I1106" i="16"/>
  <c r="H1106" i="16"/>
  <c r="G1106" i="16"/>
  <c r="F1106" i="16"/>
  <c r="E1106" i="16"/>
  <c r="D1106" i="16"/>
  <c r="C1106" i="16"/>
  <c r="B1106" i="16"/>
  <c r="I1105" i="16"/>
  <c r="H1105" i="16"/>
  <c r="G1105" i="16"/>
  <c r="F1105" i="16"/>
  <c r="E1105" i="16"/>
  <c r="D1105" i="16"/>
  <c r="C1105" i="16"/>
  <c r="B1105" i="16"/>
  <c r="I1104" i="16"/>
  <c r="H1104" i="16"/>
  <c r="G1104" i="16"/>
  <c r="F1104" i="16"/>
  <c r="E1104" i="16"/>
  <c r="D1104" i="16"/>
  <c r="C1104" i="16"/>
  <c r="B1104" i="16"/>
  <c r="I1103" i="16"/>
  <c r="H1103" i="16"/>
  <c r="G1103" i="16"/>
  <c r="F1103" i="16"/>
  <c r="E1103" i="16"/>
  <c r="D1103" i="16"/>
  <c r="C1103" i="16"/>
  <c r="B1103" i="16"/>
  <c r="I1102" i="16"/>
  <c r="H1102" i="16"/>
  <c r="G1102" i="16"/>
  <c r="F1102" i="16"/>
  <c r="E1102" i="16"/>
  <c r="D1102" i="16"/>
  <c r="C1102" i="16"/>
  <c r="B1102" i="16"/>
  <c r="I1101" i="16"/>
  <c r="H1101" i="16"/>
  <c r="G1101" i="16"/>
  <c r="F1101" i="16"/>
  <c r="E1101" i="16"/>
  <c r="D1101" i="16"/>
  <c r="C1101" i="16"/>
  <c r="B1101" i="16"/>
  <c r="I1100" i="16"/>
  <c r="H1100" i="16"/>
  <c r="G1100" i="16"/>
  <c r="F1100" i="16"/>
  <c r="E1100" i="16"/>
  <c r="D1100" i="16"/>
  <c r="C1100" i="16"/>
  <c r="B1100" i="16"/>
  <c r="I1099" i="16"/>
  <c r="H1099" i="16"/>
  <c r="G1099" i="16"/>
  <c r="F1099" i="16"/>
  <c r="E1099" i="16"/>
  <c r="D1099" i="16"/>
  <c r="C1099" i="16"/>
  <c r="B1099" i="16"/>
  <c r="I1098" i="16"/>
  <c r="H1098" i="16"/>
  <c r="G1098" i="16"/>
  <c r="F1098" i="16"/>
  <c r="E1098" i="16"/>
  <c r="D1098" i="16"/>
  <c r="C1098" i="16"/>
  <c r="B1098" i="16"/>
  <c r="I1097" i="16"/>
  <c r="H1097" i="16"/>
  <c r="G1097" i="16"/>
  <c r="F1097" i="16"/>
  <c r="E1097" i="16"/>
  <c r="D1097" i="16"/>
  <c r="C1097" i="16"/>
  <c r="B1097" i="16"/>
  <c r="I1096" i="16"/>
  <c r="H1096" i="16"/>
  <c r="G1096" i="16"/>
  <c r="F1096" i="16"/>
  <c r="E1096" i="16"/>
  <c r="D1096" i="16"/>
  <c r="C1096" i="16"/>
  <c r="B1096" i="16"/>
  <c r="I1095" i="16"/>
  <c r="H1095" i="16"/>
  <c r="G1095" i="16"/>
  <c r="F1095" i="16"/>
  <c r="E1095" i="16"/>
  <c r="D1095" i="16"/>
  <c r="C1095" i="16"/>
  <c r="B1095" i="16"/>
  <c r="I1094" i="16"/>
  <c r="H1094" i="16"/>
  <c r="G1094" i="16"/>
  <c r="F1094" i="16"/>
  <c r="E1094" i="16"/>
  <c r="D1094" i="16"/>
  <c r="C1094" i="16"/>
  <c r="B1094" i="16"/>
  <c r="I1093" i="16"/>
  <c r="H1093" i="16"/>
  <c r="G1093" i="16"/>
  <c r="F1093" i="16"/>
  <c r="E1093" i="16"/>
  <c r="D1093" i="16"/>
  <c r="C1093" i="16"/>
  <c r="B1093" i="16"/>
  <c r="I1092" i="16"/>
  <c r="H1092" i="16"/>
  <c r="G1092" i="16"/>
  <c r="F1092" i="16"/>
  <c r="E1092" i="16"/>
  <c r="D1092" i="16"/>
  <c r="C1092" i="16"/>
  <c r="B1092" i="16"/>
  <c r="I1091" i="16"/>
  <c r="H1091" i="16"/>
  <c r="G1091" i="16"/>
  <c r="F1091" i="16"/>
  <c r="E1091" i="16"/>
  <c r="D1091" i="16"/>
  <c r="C1091" i="16"/>
  <c r="B1091" i="16"/>
  <c r="I1090" i="16"/>
  <c r="H1090" i="16"/>
  <c r="G1090" i="16"/>
  <c r="F1090" i="16"/>
  <c r="E1090" i="16"/>
  <c r="D1090" i="16"/>
  <c r="C1090" i="16"/>
  <c r="B1090" i="16"/>
  <c r="I1089" i="16"/>
  <c r="H1089" i="16"/>
  <c r="G1089" i="16"/>
  <c r="F1089" i="16"/>
  <c r="E1089" i="16"/>
  <c r="D1089" i="16"/>
  <c r="C1089" i="16"/>
  <c r="B1089" i="16"/>
  <c r="I1088" i="16"/>
  <c r="H1088" i="16"/>
  <c r="G1088" i="16"/>
  <c r="F1088" i="16"/>
  <c r="E1088" i="16"/>
  <c r="D1088" i="16"/>
  <c r="C1088" i="16"/>
  <c r="B1088" i="16"/>
  <c r="I1087" i="16"/>
  <c r="H1087" i="16"/>
  <c r="G1087" i="16"/>
  <c r="F1087" i="16"/>
  <c r="E1087" i="16"/>
  <c r="D1087" i="16"/>
  <c r="C1087" i="16"/>
  <c r="B1087" i="16"/>
  <c r="I1086" i="16"/>
  <c r="H1086" i="16"/>
  <c r="G1086" i="16"/>
  <c r="F1086" i="16"/>
  <c r="E1086" i="16"/>
  <c r="D1086" i="16"/>
  <c r="C1086" i="16"/>
  <c r="B1086" i="16"/>
  <c r="I1085" i="16"/>
  <c r="H1085" i="16"/>
  <c r="G1085" i="16"/>
  <c r="F1085" i="16"/>
  <c r="E1085" i="16"/>
  <c r="D1085" i="16"/>
  <c r="C1085" i="16"/>
  <c r="B1085" i="16"/>
  <c r="I1084" i="16"/>
  <c r="H1084" i="16"/>
  <c r="G1084" i="16"/>
  <c r="F1084" i="16"/>
  <c r="E1084" i="16"/>
  <c r="D1084" i="16"/>
  <c r="C1084" i="16"/>
  <c r="B1084" i="16"/>
  <c r="I1083" i="16"/>
  <c r="H1083" i="16"/>
  <c r="G1083" i="16"/>
  <c r="F1083" i="16"/>
  <c r="E1083" i="16"/>
  <c r="D1083" i="16"/>
  <c r="C1083" i="16"/>
  <c r="B1083" i="16"/>
  <c r="I1082" i="16"/>
  <c r="H1082" i="16"/>
  <c r="G1082" i="16"/>
  <c r="F1082" i="16"/>
  <c r="E1082" i="16"/>
  <c r="D1082" i="16"/>
  <c r="C1082" i="16"/>
  <c r="B1082" i="16"/>
  <c r="I1081" i="16"/>
  <c r="H1081" i="16"/>
  <c r="G1081" i="16"/>
  <c r="F1081" i="16"/>
  <c r="E1081" i="16"/>
  <c r="D1081" i="16"/>
  <c r="C1081" i="16"/>
  <c r="B1081" i="16"/>
  <c r="I1080" i="16"/>
  <c r="H1080" i="16"/>
  <c r="G1080" i="16"/>
  <c r="F1080" i="16"/>
  <c r="E1080" i="16"/>
  <c r="D1080" i="16"/>
  <c r="C1080" i="16"/>
  <c r="B1080" i="16"/>
  <c r="I1079" i="16"/>
  <c r="H1079" i="16"/>
  <c r="G1079" i="16"/>
  <c r="F1079" i="16"/>
  <c r="E1079" i="16"/>
  <c r="D1079" i="16"/>
  <c r="C1079" i="16"/>
  <c r="B1079" i="16"/>
  <c r="I1078" i="16"/>
  <c r="H1078" i="16"/>
  <c r="G1078" i="16"/>
  <c r="F1078" i="16"/>
  <c r="E1078" i="16"/>
  <c r="D1078" i="16"/>
  <c r="C1078" i="16"/>
  <c r="B1078" i="16"/>
  <c r="I1077" i="16"/>
  <c r="H1077" i="16"/>
  <c r="G1077" i="16"/>
  <c r="F1077" i="16"/>
  <c r="E1077" i="16"/>
  <c r="D1077" i="16"/>
  <c r="C1077" i="16"/>
  <c r="B1077" i="16"/>
  <c r="I1076" i="16"/>
  <c r="H1076" i="16"/>
  <c r="G1076" i="16"/>
  <c r="F1076" i="16"/>
  <c r="E1076" i="16"/>
  <c r="D1076" i="16"/>
  <c r="C1076" i="16"/>
  <c r="B1076" i="16"/>
  <c r="I1075" i="16"/>
  <c r="H1075" i="16"/>
  <c r="G1075" i="16"/>
  <c r="F1075" i="16"/>
  <c r="E1075" i="16"/>
  <c r="D1075" i="16"/>
  <c r="C1075" i="16"/>
  <c r="B1075" i="16"/>
  <c r="I1074" i="16"/>
  <c r="H1074" i="16"/>
  <c r="G1074" i="16"/>
  <c r="F1074" i="16"/>
  <c r="E1074" i="16"/>
  <c r="D1074" i="16"/>
  <c r="C1074" i="16"/>
  <c r="B1074" i="16"/>
  <c r="I1073" i="16"/>
  <c r="H1073" i="16"/>
  <c r="G1073" i="16"/>
  <c r="F1073" i="16"/>
  <c r="E1073" i="16"/>
  <c r="D1073" i="16"/>
  <c r="C1073" i="16"/>
  <c r="B1073" i="16"/>
  <c r="I1072" i="16"/>
  <c r="H1072" i="16"/>
  <c r="G1072" i="16"/>
  <c r="F1072" i="16"/>
  <c r="E1072" i="16"/>
  <c r="D1072" i="16"/>
  <c r="C1072" i="16"/>
  <c r="B1072" i="16"/>
  <c r="I1071" i="16"/>
  <c r="H1071" i="16"/>
  <c r="G1071" i="16"/>
  <c r="F1071" i="16"/>
  <c r="E1071" i="16"/>
  <c r="D1071" i="16"/>
  <c r="C1071" i="16"/>
  <c r="B1071" i="16"/>
  <c r="I1070" i="16"/>
  <c r="H1070" i="16"/>
  <c r="G1070" i="16"/>
  <c r="F1070" i="16"/>
  <c r="E1070" i="16"/>
  <c r="D1070" i="16"/>
  <c r="C1070" i="16"/>
  <c r="B1070" i="16"/>
  <c r="I1069" i="16"/>
  <c r="H1069" i="16"/>
  <c r="G1069" i="16"/>
  <c r="F1069" i="16"/>
  <c r="E1069" i="16"/>
  <c r="D1069" i="16"/>
  <c r="C1069" i="16"/>
  <c r="B1069" i="16"/>
  <c r="I1068" i="16"/>
  <c r="H1068" i="16"/>
  <c r="G1068" i="16"/>
  <c r="F1068" i="16"/>
  <c r="E1068" i="16"/>
  <c r="D1068" i="16"/>
  <c r="C1068" i="16"/>
  <c r="B1068" i="16"/>
  <c r="I1067" i="16"/>
  <c r="H1067" i="16"/>
  <c r="G1067" i="16"/>
  <c r="F1067" i="16"/>
  <c r="E1067" i="16"/>
  <c r="D1067" i="16"/>
  <c r="C1067" i="16"/>
  <c r="B1067" i="16"/>
  <c r="I1066" i="16"/>
  <c r="H1066" i="16"/>
  <c r="G1066" i="16"/>
  <c r="F1066" i="16"/>
  <c r="E1066" i="16"/>
  <c r="D1066" i="16"/>
  <c r="C1066" i="16"/>
  <c r="B1066" i="16"/>
  <c r="I1065" i="16"/>
  <c r="H1065" i="16"/>
  <c r="G1065" i="16"/>
  <c r="F1065" i="16"/>
  <c r="E1065" i="16"/>
  <c r="D1065" i="16"/>
  <c r="C1065" i="16"/>
  <c r="B1065" i="16"/>
  <c r="I1064" i="16"/>
  <c r="H1064" i="16"/>
  <c r="G1064" i="16"/>
  <c r="F1064" i="16"/>
  <c r="E1064" i="16"/>
  <c r="D1064" i="16"/>
  <c r="C1064" i="16"/>
  <c r="B1064" i="16"/>
  <c r="I1063" i="16"/>
  <c r="H1063" i="16"/>
  <c r="G1063" i="16"/>
  <c r="F1063" i="16"/>
  <c r="E1063" i="16"/>
  <c r="D1063" i="16"/>
  <c r="C1063" i="16"/>
  <c r="B1063" i="16"/>
  <c r="I1062" i="16"/>
  <c r="H1062" i="16"/>
  <c r="G1062" i="16"/>
  <c r="F1062" i="16"/>
  <c r="E1062" i="16"/>
  <c r="D1062" i="16"/>
  <c r="C1062" i="16"/>
  <c r="B1062" i="16"/>
  <c r="I1061" i="16"/>
  <c r="H1061" i="16"/>
  <c r="G1061" i="16"/>
  <c r="F1061" i="16"/>
  <c r="E1061" i="16"/>
  <c r="D1061" i="16"/>
  <c r="C1061" i="16"/>
  <c r="B1061" i="16"/>
  <c r="I1060" i="16"/>
  <c r="H1060" i="16"/>
  <c r="G1060" i="16"/>
  <c r="F1060" i="16"/>
  <c r="E1060" i="16"/>
  <c r="D1060" i="16"/>
  <c r="C1060" i="16"/>
  <c r="B1060" i="16"/>
  <c r="I1059" i="16"/>
  <c r="H1059" i="16"/>
  <c r="G1059" i="16"/>
  <c r="F1059" i="16"/>
  <c r="E1059" i="16"/>
  <c r="D1059" i="16"/>
  <c r="C1059" i="16"/>
  <c r="B1059" i="16"/>
  <c r="I1058" i="16"/>
  <c r="H1058" i="16"/>
  <c r="G1058" i="16"/>
  <c r="F1058" i="16"/>
  <c r="E1058" i="16"/>
  <c r="D1058" i="16"/>
  <c r="C1058" i="16"/>
  <c r="B1058" i="16"/>
  <c r="I1057" i="16"/>
  <c r="H1057" i="16"/>
  <c r="G1057" i="16"/>
  <c r="F1057" i="16"/>
  <c r="E1057" i="16"/>
  <c r="D1057" i="16"/>
  <c r="C1057" i="16"/>
  <c r="B1057" i="16"/>
  <c r="I1056" i="16"/>
  <c r="H1056" i="16"/>
  <c r="G1056" i="16"/>
  <c r="F1056" i="16"/>
  <c r="E1056" i="16"/>
  <c r="D1056" i="16"/>
  <c r="C1056" i="16"/>
  <c r="B1056" i="16"/>
  <c r="I1055" i="16"/>
  <c r="H1055" i="16"/>
  <c r="G1055" i="16"/>
  <c r="F1055" i="16"/>
  <c r="E1055" i="16"/>
  <c r="D1055" i="16"/>
  <c r="C1055" i="16"/>
  <c r="B1055" i="16"/>
  <c r="I1054" i="16"/>
  <c r="H1054" i="16"/>
  <c r="G1054" i="16"/>
  <c r="F1054" i="16"/>
  <c r="E1054" i="16"/>
  <c r="D1054" i="16"/>
  <c r="C1054" i="16"/>
  <c r="B1054" i="16"/>
  <c r="I1053" i="16"/>
  <c r="H1053" i="16"/>
  <c r="G1053" i="16"/>
  <c r="F1053" i="16"/>
  <c r="E1053" i="16"/>
  <c r="D1053" i="16"/>
  <c r="C1053" i="16"/>
  <c r="B1053" i="16"/>
  <c r="I1052" i="16"/>
  <c r="H1052" i="16"/>
  <c r="G1052" i="16"/>
  <c r="F1052" i="16"/>
  <c r="E1052" i="16"/>
  <c r="D1052" i="16"/>
  <c r="C1052" i="16"/>
  <c r="B1052" i="16"/>
  <c r="I1051" i="16"/>
  <c r="H1051" i="16"/>
  <c r="G1051" i="16"/>
  <c r="F1051" i="16"/>
  <c r="E1051" i="16"/>
  <c r="D1051" i="16"/>
  <c r="C1051" i="16"/>
  <c r="B1051" i="16"/>
  <c r="I1050" i="16"/>
  <c r="H1050" i="16"/>
  <c r="G1050" i="16"/>
  <c r="F1050" i="16"/>
  <c r="E1050" i="16"/>
  <c r="D1050" i="16"/>
  <c r="C1050" i="16"/>
  <c r="B1050" i="16"/>
  <c r="I1049" i="16"/>
  <c r="H1049" i="16"/>
  <c r="G1049" i="16"/>
  <c r="F1049" i="16"/>
  <c r="E1049" i="16"/>
  <c r="D1049" i="16"/>
  <c r="C1049" i="16"/>
  <c r="B1049" i="16"/>
  <c r="I1048" i="16"/>
  <c r="H1048" i="16"/>
  <c r="G1048" i="16"/>
  <c r="F1048" i="16"/>
  <c r="E1048" i="16"/>
  <c r="D1048" i="16"/>
  <c r="C1048" i="16"/>
  <c r="B1048" i="16"/>
  <c r="I1047" i="16"/>
  <c r="H1047" i="16"/>
  <c r="G1047" i="16"/>
  <c r="F1047" i="16"/>
  <c r="E1047" i="16"/>
  <c r="D1047" i="16"/>
  <c r="C1047" i="16"/>
  <c r="B1047" i="16"/>
  <c r="I1046" i="16"/>
  <c r="H1046" i="16"/>
  <c r="G1046" i="16"/>
  <c r="F1046" i="16"/>
  <c r="E1046" i="16"/>
  <c r="D1046" i="16"/>
  <c r="C1046" i="16"/>
  <c r="B1046" i="16"/>
  <c r="I1045" i="16"/>
  <c r="H1045" i="16"/>
  <c r="G1045" i="16"/>
  <c r="F1045" i="16"/>
  <c r="E1045" i="16"/>
  <c r="D1045" i="16"/>
  <c r="C1045" i="16"/>
  <c r="B1045" i="16"/>
  <c r="I1044" i="16"/>
  <c r="H1044" i="16"/>
  <c r="G1044" i="16"/>
  <c r="F1044" i="16"/>
  <c r="E1044" i="16"/>
  <c r="D1044" i="16"/>
  <c r="C1044" i="16"/>
  <c r="B1044" i="16"/>
  <c r="I1043" i="16"/>
  <c r="H1043" i="16"/>
  <c r="G1043" i="16"/>
  <c r="F1043" i="16"/>
  <c r="E1043" i="16"/>
  <c r="D1043" i="16"/>
  <c r="C1043" i="16"/>
  <c r="B1043" i="16"/>
  <c r="I1042" i="16"/>
  <c r="H1042" i="16"/>
  <c r="G1042" i="16"/>
  <c r="F1042" i="16"/>
  <c r="E1042" i="16"/>
  <c r="D1042" i="16"/>
  <c r="C1042" i="16"/>
  <c r="B1042" i="16"/>
  <c r="I1041" i="16"/>
  <c r="H1041" i="16"/>
  <c r="G1041" i="16"/>
  <c r="F1041" i="16"/>
  <c r="E1041" i="16"/>
  <c r="D1041" i="16"/>
  <c r="C1041" i="16"/>
  <c r="B1041" i="16"/>
  <c r="I1040" i="16"/>
  <c r="H1040" i="16"/>
  <c r="G1040" i="16"/>
  <c r="F1040" i="16"/>
  <c r="E1040" i="16"/>
  <c r="D1040" i="16"/>
  <c r="C1040" i="16"/>
  <c r="B1040" i="16"/>
  <c r="I1039" i="16"/>
  <c r="H1039" i="16"/>
  <c r="G1039" i="16"/>
  <c r="F1039" i="16"/>
  <c r="E1039" i="16"/>
  <c r="D1039" i="16"/>
  <c r="C1039" i="16"/>
  <c r="B1039" i="16"/>
  <c r="I1038" i="16"/>
  <c r="H1038" i="16"/>
  <c r="G1038" i="16"/>
  <c r="F1038" i="16"/>
  <c r="E1038" i="16"/>
  <c r="D1038" i="16"/>
  <c r="C1038" i="16"/>
  <c r="B1038" i="16"/>
  <c r="I1037" i="16"/>
  <c r="H1037" i="16"/>
  <c r="G1037" i="16"/>
  <c r="F1037" i="16"/>
  <c r="E1037" i="16"/>
  <c r="D1037" i="16"/>
  <c r="C1037" i="16"/>
  <c r="B1037" i="16"/>
  <c r="I1036" i="16"/>
  <c r="H1036" i="16"/>
  <c r="G1036" i="16"/>
  <c r="F1036" i="16"/>
  <c r="E1036" i="16"/>
  <c r="D1036" i="16"/>
  <c r="C1036" i="16"/>
  <c r="B1036" i="16"/>
  <c r="I1035" i="16"/>
  <c r="H1035" i="16"/>
  <c r="G1035" i="16"/>
  <c r="F1035" i="16"/>
  <c r="E1035" i="16"/>
  <c r="D1035" i="16"/>
  <c r="C1035" i="16"/>
  <c r="B1035" i="16"/>
  <c r="I1034" i="16"/>
  <c r="H1034" i="16"/>
  <c r="G1034" i="16"/>
  <c r="F1034" i="16"/>
  <c r="E1034" i="16"/>
  <c r="D1034" i="16"/>
  <c r="C1034" i="16"/>
  <c r="B1034" i="16"/>
  <c r="I1033" i="16"/>
  <c r="H1033" i="16"/>
  <c r="G1033" i="16"/>
  <c r="F1033" i="16"/>
  <c r="E1033" i="16"/>
  <c r="D1033" i="16"/>
  <c r="C1033" i="16"/>
  <c r="B1033" i="16"/>
  <c r="I1032" i="16"/>
  <c r="H1032" i="16"/>
  <c r="G1032" i="16"/>
  <c r="F1032" i="16"/>
  <c r="E1032" i="16"/>
  <c r="D1032" i="16"/>
  <c r="C1032" i="16"/>
  <c r="B1032" i="16"/>
  <c r="I1031" i="16"/>
  <c r="H1031" i="16"/>
  <c r="G1031" i="16"/>
  <c r="F1031" i="16"/>
  <c r="E1031" i="16"/>
  <c r="D1031" i="16"/>
  <c r="C1031" i="16"/>
  <c r="B1031" i="16"/>
  <c r="I1030" i="16"/>
  <c r="H1030" i="16"/>
  <c r="G1030" i="16"/>
  <c r="F1030" i="16"/>
  <c r="E1030" i="16"/>
  <c r="D1030" i="16"/>
  <c r="C1030" i="16"/>
  <c r="B1030" i="16"/>
  <c r="I1029" i="16"/>
  <c r="H1029" i="16"/>
  <c r="G1029" i="16"/>
  <c r="F1029" i="16"/>
  <c r="E1029" i="16"/>
  <c r="D1029" i="16"/>
  <c r="C1029" i="16"/>
  <c r="B1029" i="16"/>
  <c r="I1028" i="16"/>
  <c r="H1028" i="16"/>
  <c r="G1028" i="16"/>
  <c r="F1028" i="16"/>
  <c r="E1028" i="16"/>
  <c r="D1028" i="16"/>
  <c r="C1028" i="16"/>
  <c r="B1028" i="16"/>
  <c r="I1027" i="16"/>
  <c r="H1027" i="16"/>
  <c r="G1027" i="16"/>
  <c r="F1027" i="16"/>
  <c r="E1027" i="16"/>
  <c r="D1027" i="16"/>
  <c r="C1027" i="16"/>
  <c r="B1027" i="16"/>
  <c r="I1026" i="16"/>
  <c r="H1026" i="16"/>
  <c r="G1026" i="16"/>
  <c r="F1026" i="16"/>
  <c r="E1026" i="16"/>
  <c r="D1026" i="16"/>
  <c r="C1026" i="16"/>
  <c r="B1026" i="16"/>
  <c r="I1025" i="16"/>
  <c r="H1025" i="16"/>
  <c r="G1025" i="16"/>
  <c r="F1025" i="16"/>
  <c r="E1025" i="16"/>
  <c r="D1025" i="16"/>
  <c r="C1025" i="16"/>
  <c r="B1025" i="16"/>
  <c r="I1024" i="16"/>
  <c r="H1024" i="16"/>
  <c r="G1024" i="16"/>
  <c r="F1024" i="16"/>
  <c r="E1024" i="16"/>
  <c r="D1024" i="16"/>
  <c r="C1024" i="16"/>
  <c r="B1024" i="16"/>
  <c r="I1023" i="16"/>
  <c r="H1023" i="16"/>
  <c r="G1023" i="16"/>
  <c r="F1023" i="16"/>
  <c r="E1023" i="16"/>
  <c r="D1023" i="16"/>
  <c r="C1023" i="16"/>
  <c r="B1023" i="16"/>
  <c r="I1022" i="16"/>
  <c r="H1022" i="16"/>
  <c r="G1022" i="16"/>
  <c r="F1022" i="16"/>
  <c r="E1022" i="16"/>
  <c r="D1022" i="16"/>
  <c r="C1022" i="16"/>
  <c r="B1022" i="16"/>
  <c r="I1021" i="16"/>
  <c r="H1021" i="16"/>
  <c r="G1021" i="16"/>
  <c r="F1021" i="16"/>
  <c r="E1021" i="16"/>
  <c r="D1021" i="16"/>
  <c r="C1021" i="16"/>
  <c r="B1021" i="16"/>
  <c r="I1020" i="16"/>
  <c r="H1020" i="16"/>
  <c r="G1020" i="16"/>
  <c r="F1020" i="16"/>
  <c r="E1020" i="16"/>
  <c r="D1020" i="16"/>
  <c r="C1020" i="16"/>
  <c r="B1020" i="16"/>
  <c r="I1019" i="16"/>
  <c r="H1019" i="16"/>
  <c r="G1019" i="16"/>
  <c r="F1019" i="16"/>
  <c r="E1019" i="16"/>
  <c r="D1019" i="16"/>
  <c r="C1019" i="16"/>
  <c r="B1019" i="16"/>
  <c r="I1018" i="16"/>
  <c r="H1018" i="16"/>
  <c r="G1018" i="16"/>
  <c r="F1018" i="16"/>
  <c r="E1018" i="16"/>
  <c r="D1018" i="16"/>
  <c r="C1018" i="16"/>
  <c r="B1018" i="16"/>
  <c r="I1017" i="16"/>
  <c r="H1017" i="16"/>
  <c r="G1017" i="16"/>
  <c r="F1017" i="16"/>
  <c r="E1017" i="16"/>
  <c r="D1017" i="16"/>
  <c r="C1017" i="16"/>
  <c r="B1017" i="16"/>
  <c r="I1016" i="16"/>
  <c r="H1016" i="16"/>
  <c r="G1016" i="16"/>
  <c r="F1016" i="16"/>
  <c r="E1016" i="16"/>
  <c r="D1016" i="16"/>
  <c r="C1016" i="16"/>
  <c r="B1016" i="16"/>
  <c r="I1015" i="16"/>
  <c r="H1015" i="16"/>
  <c r="G1015" i="16"/>
  <c r="F1015" i="16"/>
  <c r="E1015" i="16"/>
  <c r="D1015" i="16"/>
  <c r="C1015" i="16"/>
  <c r="B1015" i="16"/>
  <c r="I1014" i="16"/>
  <c r="H1014" i="16"/>
  <c r="G1014" i="16"/>
  <c r="F1014" i="16"/>
  <c r="E1014" i="16"/>
  <c r="D1014" i="16"/>
  <c r="C1014" i="16"/>
  <c r="B1014" i="16"/>
  <c r="I1013" i="16"/>
  <c r="H1013" i="16"/>
  <c r="G1013" i="16"/>
  <c r="F1013" i="16"/>
  <c r="E1013" i="16"/>
  <c r="D1013" i="16"/>
  <c r="C1013" i="16"/>
  <c r="B1013" i="16"/>
  <c r="I1012" i="16"/>
  <c r="H1012" i="16"/>
  <c r="G1012" i="16"/>
  <c r="F1012" i="16"/>
  <c r="E1012" i="16"/>
  <c r="D1012" i="16"/>
  <c r="C1012" i="16"/>
  <c r="B1012" i="16"/>
  <c r="I1011" i="16"/>
  <c r="H1011" i="16"/>
  <c r="G1011" i="16"/>
  <c r="F1011" i="16"/>
  <c r="E1011" i="16"/>
  <c r="D1011" i="16"/>
  <c r="C1011" i="16"/>
  <c r="B1011" i="16"/>
  <c r="I1010" i="16"/>
  <c r="H1010" i="16"/>
  <c r="G1010" i="16"/>
  <c r="F1010" i="16"/>
  <c r="E1010" i="16"/>
  <c r="D1010" i="16"/>
  <c r="C1010" i="16"/>
  <c r="B1010" i="16"/>
  <c r="I1009" i="16"/>
  <c r="H1009" i="16"/>
  <c r="G1009" i="16"/>
  <c r="F1009" i="16"/>
  <c r="E1009" i="16"/>
  <c r="D1009" i="16"/>
  <c r="C1009" i="16"/>
  <c r="B1009" i="16"/>
  <c r="I1008" i="16"/>
  <c r="H1008" i="16"/>
  <c r="G1008" i="16"/>
  <c r="F1008" i="16"/>
  <c r="E1008" i="16"/>
  <c r="D1008" i="16"/>
  <c r="C1008" i="16"/>
  <c r="B1008" i="16"/>
  <c r="I1007" i="16"/>
  <c r="H1007" i="16"/>
  <c r="G1007" i="16"/>
  <c r="F1007" i="16"/>
  <c r="E1007" i="16"/>
  <c r="D1007" i="16"/>
  <c r="C1007" i="16"/>
  <c r="B1007" i="16"/>
  <c r="I1006" i="16"/>
  <c r="H1006" i="16"/>
  <c r="G1006" i="16"/>
  <c r="F1006" i="16"/>
  <c r="E1006" i="16"/>
  <c r="D1006" i="16"/>
  <c r="C1006" i="16"/>
  <c r="B1006" i="16"/>
  <c r="I1005" i="16"/>
  <c r="H1005" i="16"/>
  <c r="G1005" i="16"/>
  <c r="F1005" i="16"/>
  <c r="E1005" i="16"/>
  <c r="D1005" i="16"/>
  <c r="C1005" i="16"/>
  <c r="B1005" i="16"/>
  <c r="I1004" i="16"/>
  <c r="H1004" i="16"/>
  <c r="G1004" i="16"/>
  <c r="F1004" i="16"/>
  <c r="E1004" i="16"/>
  <c r="D1004" i="16"/>
  <c r="C1004" i="16"/>
  <c r="B1004" i="16"/>
  <c r="I1003" i="16"/>
  <c r="H1003" i="16"/>
  <c r="G1003" i="16"/>
  <c r="F1003" i="16"/>
  <c r="E1003" i="16"/>
  <c r="D1003" i="16"/>
  <c r="C1003" i="16"/>
  <c r="B1003" i="16"/>
  <c r="I1002" i="16"/>
  <c r="H1002" i="16"/>
  <c r="G1002" i="16"/>
  <c r="F1002" i="16"/>
  <c r="E1002" i="16"/>
  <c r="D1002" i="16"/>
  <c r="C1002" i="16"/>
  <c r="B1002" i="16"/>
  <c r="I1001" i="16"/>
  <c r="H1001" i="16"/>
  <c r="G1001" i="16"/>
  <c r="F1001" i="16"/>
  <c r="E1001" i="16"/>
  <c r="D1001" i="16"/>
  <c r="C1001" i="16"/>
  <c r="B1001" i="16"/>
  <c r="I1000" i="16"/>
  <c r="H1000" i="16"/>
  <c r="G1000" i="16"/>
  <c r="F1000" i="16"/>
  <c r="E1000" i="16"/>
  <c r="D1000" i="16"/>
  <c r="C1000" i="16"/>
  <c r="B1000" i="16"/>
  <c r="I999" i="16"/>
  <c r="H999" i="16"/>
  <c r="G999" i="16"/>
  <c r="F999" i="16"/>
  <c r="E999" i="16"/>
  <c r="D999" i="16"/>
  <c r="C999" i="16"/>
  <c r="B999" i="16"/>
  <c r="I998" i="16"/>
  <c r="H998" i="16"/>
  <c r="G998" i="16"/>
  <c r="F998" i="16"/>
  <c r="E998" i="16"/>
  <c r="D998" i="16"/>
  <c r="C998" i="16"/>
  <c r="B998" i="16"/>
  <c r="I997" i="16"/>
  <c r="H997" i="16"/>
  <c r="G997" i="16"/>
  <c r="F997" i="16"/>
  <c r="E997" i="16"/>
  <c r="D997" i="16"/>
  <c r="C997" i="16"/>
  <c r="B997" i="16"/>
  <c r="I996" i="16"/>
  <c r="H996" i="16"/>
  <c r="G996" i="16"/>
  <c r="F996" i="16"/>
  <c r="E996" i="16"/>
  <c r="D996" i="16"/>
  <c r="C996" i="16"/>
  <c r="B996" i="16"/>
  <c r="I995" i="16"/>
  <c r="H995" i="16"/>
  <c r="G995" i="16"/>
  <c r="F995" i="16"/>
  <c r="E995" i="16"/>
  <c r="D995" i="16"/>
  <c r="C995" i="16"/>
  <c r="B995" i="16"/>
  <c r="I994" i="16"/>
  <c r="H994" i="16"/>
  <c r="G994" i="16"/>
  <c r="F994" i="16"/>
  <c r="E994" i="16"/>
  <c r="D994" i="16"/>
  <c r="C994" i="16"/>
  <c r="B994" i="16"/>
  <c r="I993" i="16"/>
  <c r="H993" i="16"/>
  <c r="G993" i="16"/>
  <c r="F993" i="16"/>
  <c r="E993" i="16"/>
  <c r="D993" i="16"/>
  <c r="C993" i="16"/>
  <c r="B993" i="16"/>
  <c r="I992" i="16"/>
  <c r="H992" i="16"/>
  <c r="G992" i="16"/>
  <c r="F992" i="16"/>
  <c r="E992" i="16"/>
  <c r="D992" i="16"/>
  <c r="C992" i="16"/>
  <c r="B992" i="16"/>
  <c r="I991" i="16"/>
  <c r="H991" i="16"/>
  <c r="G991" i="16"/>
  <c r="F991" i="16"/>
  <c r="E991" i="16"/>
  <c r="D991" i="16"/>
  <c r="C991" i="16"/>
  <c r="B991" i="16"/>
  <c r="I990" i="16"/>
  <c r="H990" i="16"/>
  <c r="G990" i="16"/>
  <c r="F990" i="16"/>
  <c r="E990" i="16"/>
  <c r="D990" i="16"/>
  <c r="C990" i="16"/>
  <c r="B990" i="16"/>
  <c r="I989" i="16"/>
  <c r="H989" i="16"/>
  <c r="G989" i="16"/>
  <c r="F989" i="16"/>
  <c r="E989" i="16"/>
  <c r="D989" i="16"/>
  <c r="C989" i="16"/>
  <c r="B989" i="16"/>
  <c r="I988" i="16"/>
  <c r="H988" i="16"/>
  <c r="G988" i="16"/>
  <c r="F988" i="16"/>
  <c r="E988" i="16"/>
  <c r="D988" i="16"/>
  <c r="C988" i="16"/>
  <c r="B988" i="16"/>
  <c r="I987" i="16"/>
  <c r="H987" i="16"/>
  <c r="G987" i="16"/>
  <c r="F987" i="16"/>
  <c r="E987" i="16"/>
  <c r="D987" i="16"/>
  <c r="C987" i="16"/>
  <c r="B987" i="16"/>
  <c r="I986" i="16"/>
  <c r="H986" i="16"/>
  <c r="G986" i="16"/>
  <c r="F986" i="16"/>
  <c r="E986" i="16"/>
  <c r="D986" i="16"/>
  <c r="C986" i="16"/>
  <c r="B986" i="16"/>
  <c r="I985" i="16"/>
  <c r="H985" i="16"/>
  <c r="G985" i="16"/>
  <c r="F985" i="16"/>
  <c r="E985" i="16"/>
  <c r="D985" i="16"/>
  <c r="C985" i="16"/>
  <c r="B985" i="16"/>
  <c r="I984" i="16"/>
  <c r="H984" i="16"/>
  <c r="G984" i="16"/>
  <c r="F984" i="16"/>
  <c r="E984" i="16"/>
  <c r="D984" i="16"/>
  <c r="C984" i="16"/>
  <c r="B984" i="16"/>
  <c r="I983" i="16"/>
  <c r="H983" i="16"/>
  <c r="G983" i="16"/>
  <c r="F983" i="16"/>
  <c r="E983" i="16"/>
  <c r="D983" i="16"/>
  <c r="C983" i="16"/>
  <c r="B983" i="16"/>
  <c r="I982" i="16"/>
  <c r="H982" i="16"/>
  <c r="G982" i="16"/>
  <c r="F982" i="16"/>
  <c r="E982" i="16"/>
  <c r="D982" i="16"/>
  <c r="C982" i="16"/>
  <c r="B982" i="16"/>
  <c r="I981" i="16"/>
  <c r="H981" i="16"/>
  <c r="G981" i="16"/>
  <c r="F981" i="16"/>
  <c r="E981" i="16"/>
  <c r="D981" i="16"/>
  <c r="C981" i="16"/>
  <c r="B981" i="16"/>
  <c r="I980" i="16"/>
  <c r="H980" i="16"/>
  <c r="G980" i="16"/>
  <c r="F980" i="16"/>
  <c r="E980" i="16"/>
  <c r="D980" i="16"/>
  <c r="C980" i="16"/>
  <c r="B980" i="16"/>
  <c r="I979" i="16"/>
  <c r="H979" i="16"/>
  <c r="G979" i="16"/>
  <c r="F979" i="16"/>
  <c r="E979" i="16"/>
  <c r="D979" i="16"/>
  <c r="C979" i="16"/>
  <c r="B979" i="16"/>
  <c r="I978" i="16"/>
  <c r="H978" i="16"/>
  <c r="G978" i="16"/>
  <c r="F978" i="16"/>
  <c r="E978" i="16"/>
  <c r="D978" i="16"/>
  <c r="C978" i="16"/>
  <c r="B978" i="16"/>
  <c r="I977" i="16"/>
  <c r="H977" i="16"/>
  <c r="G977" i="16"/>
  <c r="F977" i="16"/>
  <c r="E977" i="16"/>
  <c r="D977" i="16"/>
  <c r="C977" i="16"/>
  <c r="B977" i="16"/>
  <c r="I976" i="16"/>
  <c r="H976" i="16"/>
  <c r="G976" i="16"/>
  <c r="F976" i="16"/>
  <c r="E976" i="16"/>
  <c r="D976" i="16"/>
  <c r="C976" i="16"/>
  <c r="B976" i="16"/>
  <c r="I975" i="16"/>
  <c r="H975" i="16"/>
  <c r="G975" i="16"/>
  <c r="F975" i="16"/>
  <c r="E975" i="16"/>
  <c r="D975" i="16"/>
  <c r="C975" i="16"/>
  <c r="B975" i="16"/>
  <c r="I974" i="16"/>
  <c r="H974" i="16"/>
  <c r="G974" i="16"/>
  <c r="F974" i="16"/>
  <c r="E974" i="16"/>
  <c r="D974" i="16"/>
  <c r="C974" i="16"/>
  <c r="B974" i="16"/>
  <c r="I973" i="16"/>
  <c r="H973" i="16"/>
  <c r="G973" i="16"/>
  <c r="F973" i="16"/>
  <c r="E973" i="16"/>
  <c r="D973" i="16"/>
  <c r="C973" i="16"/>
  <c r="B973" i="16"/>
  <c r="I972" i="16"/>
  <c r="H972" i="16"/>
  <c r="G972" i="16"/>
  <c r="F972" i="16"/>
  <c r="E972" i="16"/>
  <c r="D972" i="16"/>
  <c r="C972" i="16"/>
  <c r="B972" i="16"/>
  <c r="I971" i="16"/>
  <c r="H971" i="16"/>
  <c r="G971" i="16"/>
  <c r="F971" i="16"/>
  <c r="E971" i="16"/>
  <c r="D971" i="16"/>
  <c r="C971" i="16"/>
  <c r="B971" i="16"/>
  <c r="I970" i="16"/>
  <c r="H970" i="16"/>
  <c r="G970" i="16"/>
  <c r="F970" i="16"/>
  <c r="E970" i="16"/>
  <c r="D970" i="16"/>
  <c r="C970" i="16"/>
  <c r="B970" i="16"/>
  <c r="I969" i="16"/>
  <c r="H969" i="16"/>
  <c r="G969" i="16"/>
  <c r="F969" i="16"/>
  <c r="E969" i="16"/>
  <c r="D969" i="16"/>
  <c r="C969" i="16"/>
  <c r="B969" i="16"/>
  <c r="I968" i="16"/>
  <c r="H968" i="16"/>
  <c r="G968" i="16"/>
  <c r="F968" i="16"/>
  <c r="E968" i="16"/>
  <c r="D968" i="16"/>
  <c r="C968" i="16"/>
  <c r="B968" i="16"/>
  <c r="I967" i="16"/>
  <c r="H967" i="16"/>
  <c r="G967" i="16"/>
  <c r="F967" i="16"/>
  <c r="E967" i="16"/>
  <c r="D967" i="16"/>
  <c r="C967" i="16"/>
  <c r="B967" i="16"/>
  <c r="I966" i="16"/>
  <c r="H966" i="16"/>
  <c r="G966" i="16"/>
  <c r="F966" i="16"/>
  <c r="E966" i="16"/>
  <c r="D966" i="16"/>
  <c r="C966" i="16"/>
  <c r="B966" i="16"/>
  <c r="I965" i="16"/>
  <c r="H965" i="16"/>
  <c r="G965" i="16"/>
  <c r="F965" i="16"/>
  <c r="E965" i="16"/>
  <c r="D965" i="16"/>
  <c r="C965" i="16"/>
  <c r="B965" i="16"/>
  <c r="I964" i="16"/>
  <c r="H964" i="16"/>
  <c r="G964" i="16"/>
  <c r="F964" i="16"/>
  <c r="E964" i="16"/>
  <c r="D964" i="16"/>
  <c r="C964" i="16"/>
  <c r="B964" i="16"/>
  <c r="I963" i="16"/>
  <c r="H963" i="16"/>
  <c r="G963" i="16"/>
  <c r="F963" i="16"/>
  <c r="E963" i="16"/>
  <c r="D963" i="16"/>
  <c r="C963" i="16"/>
  <c r="B963" i="16"/>
  <c r="I962" i="16"/>
  <c r="H962" i="16"/>
  <c r="G962" i="16"/>
  <c r="F962" i="16"/>
  <c r="E962" i="16"/>
  <c r="D962" i="16"/>
  <c r="C962" i="16"/>
  <c r="B962" i="16"/>
  <c r="I961" i="16"/>
  <c r="H961" i="16"/>
  <c r="G961" i="16"/>
  <c r="F961" i="16"/>
  <c r="E961" i="16"/>
  <c r="D961" i="16"/>
  <c r="C961" i="16"/>
  <c r="B961" i="16"/>
  <c r="I960" i="16"/>
  <c r="H960" i="16"/>
  <c r="G960" i="16"/>
  <c r="F960" i="16"/>
  <c r="E960" i="16"/>
  <c r="D960" i="16"/>
  <c r="C960" i="16"/>
  <c r="B960" i="16"/>
  <c r="I959" i="16"/>
  <c r="H959" i="16"/>
  <c r="G959" i="16"/>
  <c r="F959" i="16"/>
  <c r="E959" i="16"/>
  <c r="D959" i="16"/>
  <c r="C959" i="16"/>
  <c r="B959" i="16"/>
  <c r="I958" i="16"/>
  <c r="H958" i="16"/>
  <c r="G958" i="16"/>
  <c r="F958" i="16"/>
  <c r="E958" i="16"/>
  <c r="D958" i="16"/>
  <c r="C958" i="16"/>
  <c r="B958" i="16"/>
  <c r="I957" i="16"/>
  <c r="H957" i="16"/>
  <c r="G957" i="16"/>
  <c r="F957" i="16"/>
  <c r="E957" i="16"/>
  <c r="D957" i="16"/>
  <c r="C957" i="16"/>
  <c r="B957" i="16"/>
  <c r="I956" i="16"/>
  <c r="H956" i="16"/>
  <c r="G956" i="16"/>
  <c r="F956" i="16"/>
  <c r="E956" i="16"/>
  <c r="D956" i="16"/>
  <c r="C956" i="16"/>
  <c r="B956" i="16"/>
  <c r="I955" i="16"/>
  <c r="H955" i="16"/>
  <c r="G955" i="16"/>
  <c r="F955" i="16"/>
  <c r="E955" i="16"/>
  <c r="D955" i="16"/>
  <c r="C955" i="16"/>
  <c r="B955" i="16"/>
  <c r="I954" i="16"/>
  <c r="H954" i="16"/>
  <c r="G954" i="16"/>
  <c r="F954" i="16"/>
  <c r="E954" i="16"/>
  <c r="D954" i="16"/>
  <c r="C954" i="16"/>
  <c r="B954" i="16"/>
  <c r="I953" i="16"/>
  <c r="H953" i="16"/>
  <c r="G953" i="16"/>
  <c r="F953" i="16"/>
  <c r="E953" i="16"/>
  <c r="D953" i="16"/>
  <c r="C953" i="16"/>
  <c r="B953" i="16"/>
  <c r="I952" i="16"/>
  <c r="H952" i="16"/>
  <c r="G952" i="16"/>
  <c r="F952" i="16"/>
  <c r="E952" i="16"/>
  <c r="D952" i="16"/>
  <c r="C952" i="16"/>
  <c r="B952" i="16"/>
  <c r="I951" i="16"/>
  <c r="H951" i="16"/>
  <c r="G951" i="16"/>
  <c r="F951" i="16"/>
  <c r="E951" i="16"/>
  <c r="D951" i="16"/>
  <c r="C951" i="16"/>
  <c r="B951" i="16"/>
  <c r="I950" i="16"/>
  <c r="H950" i="16"/>
  <c r="G950" i="16"/>
  <c r="F950" i="16"/>
  <c r="E950" i="16"/>
  <c r="D950" i="16"/>
  <c r="C950" i="16"/>
  <c r="B950" i="16"/>
  <c r="I949" i="16"/>
  <c r="H949" i="16"/>
  <c r="G949" i="16"/>
  <c r="F949" i="16"/>
  <c r="E949" i="16"/>
  <c r="D949" i="16"/>
  <c r="C949" i="16"/>
  <c r="B949" i="16"/>
  <c r="I948" i="16"/>
  <c r="H948" i="16"/>
  <c r="G948" i="16"/>
  <c r="F948" i="16"/>
  <c r="E948" i="16"/>
  <c r="D948" i="16"/>
  <c r="C948" i="16"/>
  <c r="B948" i="16"/>
  <c r="I947" i="16"/>
  <c r="H947" i="16"/>
  <c r="G947" i="16"/>
  <c r="F947" i="16"/>
  <c r="E947" i="16"/>
  <c r="D947" i="16"/>
  <c r="C947" i="16"/>
  <c r="B947" i="16"/>
  <c r="I946" i="16"/>
  <c r="H946" i="16"/>
  <c r="G946" i="16"/>
  <c r="F946" i="16"/>
  <c r="E946" i="16"/>
  <c r="D946" i="16"/>
  <c r="C946" i="16"/>
  <c r="B946" i="16"/>
  <c r="I945" i="16"/>
  <c r="H945" i="16"/>
  <c r="G945" i="16"/>
  <c r="F945" i="16"/>
  <c r="E945" i="16"/>
  <c r="D945" i="16"/>
  <c r="C945" i="16"/>
  <c r="B945" i="16"/>
  <c r="I944" i="16"/>
  <c r="H944" i="16"/>
  <c r="G944" i="16"/>
  <c r="F944" i="16"/>
  <c r="E944" i="16"/>
  <c r="D944" i="16"/>
  <c r="C944" i="16"/>
  <c r="B944" i="16"/>
  <c r="I943" i="16"/>
  <c r="H943" i="16"/>
  <c r="G943" i="16"/>
  <c r="F943" i="16"/>
  <c r="E943" i="16"/>
  <c r="D943" i="16"/>
  <c r="C943" i="16"/>
  <c r="B943" i="16"/>
  <c r="I942" i="16"/>
  <c r="H942" i="16"/>
  <c r="G942" i="16"/>
  <c r="F942" i="16"/>
  <c r="E942" i="16"/>
  <c r="D942" i="16"/>
  <c r="C942" i="16"/>
  <c r="B942" i="16"/>
  <c r="I941" i="16"/>
  <c r="H941" i="16"/>
  <c r="G941" i="16"/>
  <c r="F941" i="16"/>
  <c r="E941" i="16"/>
  <c r="D941" i="16"/>
  <c r="C941" i="16"/>
  <c r="B941" i="16"/>
  <c r="I940" i="16"/>
  <c r="H940" i="16"/>
  <c r="G940" i="16"/>
  <c r="F940" i="16"/>
  <c r="E940" i="16"/>
  <c r="D940" i="16"/>
  <c r="C940" i="16"/>
  <c r="B940" i="16"/>
  <c r="I939" i="16"/>
  <c r="H939" i="16"/>
  <c r="G939" i="16"/>
  <c r="F939" i="16"/>
  <c r="E939" i="16"/>
  <c r="D939" i="16"/>
  <c r="C939" i="16"/>
  <c r="B939" i="16"/>
  <c r="I938" i="16"/>
  <c r="H938" i="16"/>
  <c r="G938" i="16"/>
  <c r="F938" i="16"/>
  <c r="E938" i="16"/>
  <c r="D938" i="16"/>
  <c r="C938" i="16"/>
  <c r="B938" i="16"/>
  <c r="I937" i="16"/>
  <c r="H937" i="16"/>
  <c r="G937" i="16"/>
  <c r="F937" i="16"/>
  <c r="E937" i="16"/>
  <c r="D937" i="16"/>
  <c r="C937" i="16"/>
  <c r="B937" i="16"/>
  <c r="I936" i="16"/>
  <c r="H936" i="16"/>
  <c r="G936" i="16"/>
  <c r="F936" i="16"/>
  <c r="E936" i="16"/>
  <c r="D936" i="16"/>
  <c r="C936" i="16"/>
  <c r="B936" i="16"/>
  <c r="I935" i="16"/>
  <c r="H935" i="16"/>
  <c r="G935" i="16"/>
  <c r="F935" i="16"/>
  <c r="E935" i="16"/>
  <c r="D935" i="16"/>
  <c r="C935" i="16"/>
  <c r="B935" i="16"/>
  <c r="I934" i="16"/>
  <c r="H934" i="16"/>
  <c r="G934" i="16"/>
  <c r="F934" i="16"/>
  <c r="E934" i="16"/>
  <c r="D934" i="16"/>
  <c r="C934" i="16"/>
  <c r="B934" i="16"/>
  <c r="I933" i="16"/>
  <c r="H933" i="16"/>
  <c r="G933" i="16"/>
  <c r="F933" i="16"/>
  <c r="E933" i="16"/>
  <c r="D933" i="16"/>
  <c r="C933" i="16"/>
  <c r="B933" i="16"/>
  <c r="I932" i="16"/>
  <c r="H932" i="16"/>
  <c r="G932" i="16"/>
  <c r="F932" i="16"/>
  <c r="E932" i="16"/>
  <c r="D932" i="16"/>
  <c r="C932" i="16"/>
  <c r="B932" i="16"/>
  <c r="I931" i="16"/>
  <c r="H931" i="16"/>
  <c r="G931" i="16"/>
  <c r="F931" i="16"/>
  <c r="E931" i="16"/>
  <c r="D931" i="16"/>
  <c r="C931" i="16"/>
  <c r="B931" i="16"/>
  <c r="I930" i="16"/>
  <c r="H930" i="16"/>
  <c r="G930" i="16"/>
  <c r="F930" i="16"/>
  <c r="E930" i="16"/>
  <c r="D930" i="16"/>
  <c r="C930" i="16"/>
  <c r="B930" i="16"/>
  <c r="I929" i="16"/>
  <c r="H929" i="16"/>
  <c r="G929" i="16"/>
  <c r="F929" i="16"/>
  <c r="E929" i="16"/>
  <c r="D929" i="16"/>
  <c r="C929" i="16"/>
  <c r="B929" i="16"/>
  <c r="I928" i="16"/>
  <c r="H928" i="16"/>
  <c r="G928" i="16"/>
  <c r="F928" i="16"/>
  <c r="E928" i="16"/>
  <c r="D928" i="16"/>
  <c r="C928" i="16"/>
  <c r="B928" i="16"/>
  <c r="I927" i="16"/>
  <c r="H927" i="16"/>
  <c r="G927" i="16"/>
  <c r="F927" i="16"/>
  <c r="E927" i="16"/>
  <c r="D927" i="16"/>
  <c r="C927" i="16"/>
  <c r="B927" i="16"/>
  <c r="I926" i="16"/>
  <c r="H926" i="16"/>
  <c r="G926" i="16"/>
  <c r="F926" i="16"/>
  <c r="E926" i="16"/>
  <c r="D926" i="16"/>
  <c r="C926" i="16"/>
  <c r="B926" i="16"/>
  <c r="I925" i="16"/>
  <c r="H925" i="16"/>
  <c r="G925" i="16"/>
  <c r="F925" i="16"/>
  <c r="E925" i="16"/>
  <c r="D925" i="16"/>
  <c r="C925" i="16"/>
  <c r="B925" i="16"/>
  <c r="I924" i="16"/>
  <c r="H924" i="16"/>
  <c r="G924" i="16"/>
  <c r="F924" i="16"/>
  <c r="E924" i="16"/>
  <c r="D924" i="16"/>
  <c r="C924" i="16"/>
  <c r="B924" i="16"/>
  <c r="I923" i="16"/>
  <c r="H923" i="16"/>
  <c r="G923" i="16"/>
  <c r="F923" i="16"/>
  <c r="E923" i="16"/>
  <c r="D923" i="16"/>
  <c r="C923" i="16"/>
  <c r="B923" i="16"/>
  <c r="I922" i="16"/>
  <c r="H922" i="16"/>
  <c r="G922" i="16"/>
  <c r="F922" i="16"/>
  <c r="E922" i="16"/>
  <c r="D922" i="16"/>
  <c r="C922" i="16"/>
  <c r="B922" i="16"/>
  <c r="I921" i="16"/>
  <c r="H921" i="16"/>
  <c r="G921" i="16"/>
  <c r="F921" i="16"/>
  <c r="E921" i="16"/>
  <c r="D921" i="16"/>
  <c r="C921" i="16"/>
  <c r="B921" i="16"/>
  <c r="I920" i="16"/>
  <c r="H920" i="16"/>
  <c r="G920" i="16"/>
  <c r="F920" i="16"/>
  <c r="E920" i="16"/>
  <c r="D920" i="16"/>
  <c r="C920" i="16"/>
  <c r="B920" i="16"/>
  <c r="I919" i="16"/>
  <c r="H919" i="16"/>
  <c r="G919" i="16"/>
  <c r="F919" i="16"/>
  <c r="E919" i="16"/>
  <c r="D919" i="16"/>
  <c r="C919" i="16"/>
  <c r="B919" i="16"/>
  <c r="I918" i="16"/>
  <c r="H918" i="16"/>
  <c r="G918" i="16"/>
  <c r="F918" i="16"/>
  <c r="E918" i="16"/>
  <c r="D918" i="16"/>
  <c r="C918" i="16"/>
  <c r="B918" i="16"/>
  <c r="I917" i="16"/>
  <c r="H917" i="16"/>
  <c r="G917" i="16"/>
  <c r="F917" i="16"/>
  <c r="E917" i="16"/>
  <c r="D917" i="16"/>
  <c r="C917" i="16"/>
  <c r="B917" i="16"/>
  <c r="I916" i="16"/>
  <c r="H916" i="16"/>
  <c r="G916" i="16"/>
  <c r="F916" i="16"/>
  <c r="E916" i="16"/>
  <c r="D916" i="16"/>
  <c r="C916" i="16"/>
  <c r="B916" i="16"/>
  <c r="I915" i="16"/>
  <c r="H915" i="16"/>
  <c r="G915" i="16"/>
  <c r="F915" i="16"/>
  <c r="E915" i="16"/>
  <c r="D915" i="16"/>
  <c r="C915" i="16"/>
  <c r="B915" i="16"/>
  <c r="I914" i="16"/>
  <c r="H914" i="16"/>
  <c r="G914" i="16"/>
  <c r="F914" i="16"/>
  <c r="E914" i="16"/>
  <c r="D914" i="16"/>
  <c r="C914" i="16"/>
  <c r="B914" i="16"/>
  <c r="I913" i="16"/>
  <c r="H913" i="16"/>
  <c r="G913" i="16"/>
  <c r="F913" i="16"/>
  <c r="E913" i="16"/>
  <c r="D913" i="16"/>
  <c r="C913" i="16"/>
  <c r="B913" i="16"/>
  <c r="I912" i="16"/>
  <c r="H912" i="16"/>
  <c r="G912" i="16"/>
  <c r="F912" i="16"/>
  <c r="E912" i="16"/>
  <c r="D912" i="16"/>
  <c r="C912" i="16"/>
  <c r="B912" i="16"/>
  <c r="I911" i="16"/>
  <c r="H911" i="16"/>
  <c r="G911" i="16"/>
  <c r="F911" i="16"/>
  <c r="E911" i="16"/>
  <c r="D911" i="16"/>
  <c r="C911" i="16"/>
  <c r="B911" i="16"/>
  <c r="I910" i="16"/>
  <c r="H910" i="16"/>
  <c r="G910" i="16"/>
  <c r="F910" i="16"/>
  <c r="E910" i="16"/>
  <c r="D910" i="16"/>
  <c r="C910" i="16"/>
  <c r="B910" i="16"/>
  <c r="I909" i="16"/>
  <c r="H909" i="16"/>
  <c r="G909" i="16"/>
  <c r="F909" i="16"/>
  <c r="E909" i="16"/>
  <c r="D909" i="16"/>
  <c r="C909" i="16"/>
  <c r="B909" i="16"/>
  <c r="I908" i="16"/>
  <c r="H908" i="16"/>
  <c r="G908" i="16"/>
  <c r="F908" i="16"/>
  <c r="E908" i="16"/>
  <c r="D908" i="16"/>
  <c r="C908" i="16"/>
  <c r="B908" i="16"/>
  <c r="I907" i="16"/>
  <c r="H907" i="16"/>
  <c r="G907" i="16"/>
  <c r="F907" i="16"/>
  <c r="E907" i="16"/>
  <c r="D907" i="16"/>
  <c r="C907" i="16"/>
  <c r="B907" i="16"/>
  <c r="I906" i="16"/>
  <c r="H906" i="16"/>
  <c r="G906" i="16"/>
  <c r="F906" i="16"/>
  <c r="E906" i="16"/>
  <c r="D906" i="16"/>
  <c r="C906" i="16"/>
  <c r="B906" i="16"/>
  <c r="I905" i="16"/>
  <c r="H905" i="16"/>
  <c r="G905" i="16"/>
  <c r="F905" i="16"/>
  <c r="E905" i="16"/>
  <c r="D905" i="16"/>
  <c r="C905" i="16"/>
  <c r="B905" i="16"/>
  <c r="I904" i="16"/>
  <c r="H904" i="16"/>
  <c r="G904" i="16"/>
  <c r="F904" i="16"/>
  <c r="E904" i="16"/>
  <c r="D904" i="16"/>
  <c r="C904" i="16"/>
  <c r="B904" i="16"/>
  <c r="I903" i="16"/>
  <c r="H903" i="16"/>
  <c r="G903" i="16"/>
  <c r="F903" i="16"/>
  <c r="E903" i="16"/>
  <c r="D903" i="16"/>
  <c r="C903" i="16"/>
  <c r="B903" i="16"/>
  <c r="I902" i="16"/>
  <c r="H902" i="16"/>
  <c r="G902" i="16"/>
  <c r="F902" i="16"/>
  <c r="E902" i="16"/>
  <c r="D902" i="16"/>
  <c r="C902" i="16"/>
  <c r="B902" i="16"/>
  <c r="I901" i="16"/>
  <c r="H901" i="16"/>
  <c r="G901" i="16"/>
  <c r="F901" i="16"/>
  <c r="E901" i="16"/>
  <c r="D901" i="16"/>
  <c r="C901" i="16"/>
  <c r="B901" i="16"/>
  <c r="I900" i="16"/>
  <c r="H900" i="16"/>
  <c r="G900" i="16"/>
  <c r="F900" i="16"/>
  <c r="E900" i="16"/>
  <c r="D900" i="16"/>
  <c r="C900" i="16"/>
  <c r="B900" i="16"/>
  <c r="I899" i="16"/>
  <c r="H899" i="16"/>
  <c r="G899" i="16"/>
  <c r="F899" i="16"/>
  <c r="E899" i="16"/>
  <c r="D899" i="16"/>
  <c r="C899" i="16"/>
  <c r="B899" i="16"/>
  <c r="I898" i="16"/>
  <c r="H898" i="16"/>
  <c r="G898" i="16"/>
  <c r="F898" i="16"/>
  <c r="E898" i="16"/>
  <c r="D898" i="16"/>
  <c r="C898" i="16"/>
  <c r="B898" i="16"/>
  <c r="I897" i="16"/>
  <c r="H897" i="16"/>
  <c r="G897" i="16"/>
  <c r="F897" i="16"/>
  <c r="E897" i="16"/>
  <c r="D897" i="16"/>
  <c r="C897" i="16"/>
  <c r="B897" i="16"/>
  <c r="I896" i="16"/>
  <c r="H896" i="16"/>
  <c r="G896" i="16"/>
  <c r="F896" i="16"/>
  <c r="E896" i="16"/>
  <c r="D896" i="16"/>
  <c r="C896" i="16"/>
  <c r="B896" i="16"/>
  <c r="I895" i="16"/>
  <c r="H895" i="16"/>
  <c r="G895" i="16"/>
  <c r="F895" i="16"/>
  <c r="E895" i="16"/>
  <c r="D895" i="16"/>
  <c r="C895" i="16"/>
  <c r="B895" i="16"/>
  <c r="I894" i="16"/>
  <c r="H894" i="16"/>
  <c r="G894" i="16"/>
  <c r="F894" i="16"/>
  <c r="E894" i="16"/>
  <c r="D894" i="16"/>
  <c r="C894" i="16"/>
  <c r="B894" i="16"/>
  <c r="I893" i="16"/>
  <c r="H893" i="16"/>
  <c r="G893" i="16"/>
  <c r="F893" i="16"/>
  <c r="E893" i="16"/>
  <c r="D893" i="16"/>
  <c r="C893" i="16"/>
  <c r="B893" i="16"/>
  <c r="I892" i="16"/>
  <c r="H892" i="16"/>
  <c r="G892" i="16"/>
  <c r="F892" i="16"/>
  <c r="E892" i="16"/>
  <c r="D892" i="16"/>
  <c r="C892" i="16"/>
  <c r="B892" i="16"/>
  <c r="I891" i="16"/>
  <c r="H891" i="16"/>
  <c r="G891" i="16"/>
  <c r="F891" i="16"/>
  <c r="E891" i="16"/>
  <c r="D891" i="16"/>
  <c r="C891" i="16"/>
  <c r="B891" i="16"/>
  <c r="I890" i="16"/>
  <c r="H890" i="16"/>
  <c r="G890" i="16"/>
  <c r="F890" i="16"/>
  <c r="E890" i="16"/>
  <c r="D890" i="16"/>
  <c r="C890" i="16"/>
  <c r="B890" i="16"/>
  <c r="I889" i="16"/>
  <c r="H889" i="16"/>
  <c r="G889" i="16"/>
  <c r="F889" i="16"/>
  <c r="E889" i="16"/>
  <c r="D889" i="16"/>
  <c r="C889" i="16"/>
  <c r="B889" i="16"/>
  <c r="I888" i="16"/>
  <c r="H888" i="16"/>
  <c r="G888" i="16"/>
  <c r="F888" i="16"/>
  <c r="E888" i="16"/>
  <c r="D888" i="16"/>
  <c r="C888" i="16"/>
  <c r="B888" i="16"/>
  <c r="I887" i="16"/>
  <c r="H887" i="16"/>
  <c r="G887" i="16"/>
  <c r="F887" i="16"/>
  <c r="E887" i="16"/>
  <c r="D887" i="16"/>
  <c r="C887" i="16"/>
  <c r="B887" i="16"/>
  <c r="I886" i="16"/>
  <c r="H886" i="16"/>
  <c r="G886" i="16"/>
  <c r="F886" i="16"/>
  <c r="E886" i="16"/>
  <c r="D886" i="16"/>
  <c r="C886" i="16"/>
  <c r="B886" i="16"/>
  <c r="I885" i="16"/>
  <c r="H885" i="16"/>
  <c r="G885" i="16"/>
  <c r="F885" i="16"/>
  <c r="E885" i="16"/>
  <c r="D885" i="16"/>
  <c r="C885" i="16"/>
  <c r="B885" i="16"/>
  <c r="I884" i="16"/>
  <c r="H884" i="16"/>
  <c r="G884" i="16"/>
  <c r="F884" i="16"/>
  <c r="E884" i="16"/>
  <c r="D884" i="16"/>
  <c r="C884" i="16"/>
  <c r="B884" i="16"/>
  <c r="I883" i="16"/>
  <c r="H883" i="16"/>
  <c r="G883" i="16"/>
  <c r="F883" i="16"/>
  <c r="E883" i="16"/>
  <c r="D883" i="16"/>
  <c r="C883" i="16"/>
  <c r="B883" i="16"/>
  <c r="I882" i="16"/>
  <c r="H882" i="16"/>
  <c r="G882" i="16"/>
  <c r="F882" i="16"/>
  <c r="E882" i="16"/>
  <c r="D882" i="16"/>
  <c r="C882" i="16"/>
  <c r="B882" i="16"/>
  <c r="I881" i="16"/>
  <c r="H881" i="16"/>
  <c r="G881" i="16"/>
  <c r="F881" i="16"/>
  <c r="E881" i="16"/>
  <c r="D881" i="16"/>
  <c r="C881" i="16"/>
  <c r="B881" i="16"/>
  <c r="I880" i="16"/>
  <c r="H880" i="16"/>
  <c r="G880" i="16"/>
  <c r="F880" i="16"/>
  <c r="E880" i="16"/>
  <c r="D880" i="16"/>
  <c r="C880" i="16"/>
  <c r="B880" i="16"/>
  <c r="I879" i="16"/>
  <c r="H879" i="16"/>
  <c r="G879" i="16"/>
  <c r="F879" i="16"/>
  <c r="E879" i="16"/>
  <c r="D879" i="16"/>
  <c r="C879" i="16"/>
  <c r="B879" i="16"/>
  <c r="I878" i="16"/>
  <c r="H878" i="16"/>
  <c r="G878" i="16"/>
  <c r="F878" i="16"/>
  <c r="E878" i="16"/>
  <c r="D878" i="16"/>
  <c r="C878" i="16"/>
  <c r="B878" i="16"/>
  <c r="I877" i="16"/>
  <c r="H877" i="16"/>
  <c r="G877" i="16"/>
  <c r="F877" i="16"/>
  <c r="E877" i="16"/>
  <c r="D877" i="16"/>
  <c r="C877" i="16"/>
  <c r="B877" i="16"/>
  <c r="I876" i="16"/>
  <c r="H876" i="16"/>
  <c r="G876" i="16"/>
  <c r="F876" i="16"/>
  <c r="E876" i="16"/>
  <c r="D876" i="16"/>
  <c r="C876" i="16"/>
  <c r="B876" i="16"/>
  <c r="I875" i="16"/>
  <c r="H875" i="16"/>
  <c r="G875" i="16"/>
  <c r="F875" i="16"/>
  <c r="E875" i="16"/>
  <c r="D875" i="16"/>
  <c r="C875" i="16"/>
  <c r="B875" i="16"/>
  <c r="I874" i="16"/>
  <c r="H874" i="16"/>
  <c r="G874" i="16"/>
  <c r="F874" i="16"/>
  <c r="E874" i="16"/>
  <c r="D874" i="16"/>
  <c r="C874" i="16"/>
  <c r="B874" i="16"/>
  <c r="I873" i="16"/>
  <c r="H873" i="16"/>
  <c r="G873" i="16"/>
  <c r="F873" i="16"/>
  <c r="E873" i="16"/>
  <c r="D873" i="16"/>
  <c r="C873" i="16"/>
  <c r="B873" i="16"/>
  <c r="I872" i="16"/>
  <c r="H872" i="16"/>
  <c r="G872" i="16"/>
  <c r="F872" i="16"/>
  <c r="E872" i="16"/>
  <c r="D872" i="16"/>
  <c r="C872" i="16"/>
  <c r="B872" i="16"/>
  <c r="I871" i="16"/>
  <c r="H871" i="16"/>
  <c r="G871" i="16"/>
  <c r="F871" i="16"/>
  <c r="E871" i="16"/>
  <c r="D871" i="16"/>
  <c r="C871" i="16"/>
  <c r="B871" i="16"/>
  <c r="I870" i="16"/>
  <c r="H870" i="16"/>
  <c r="G870" i="16"/>
  <c r="F870" i="16"/>
  <c r="E870" i="16"/>
  <c r="D870" i="16"/>
  <c r="C870" i="16"/>
  <c r="B870" i="16"/>
  <c r="I869" i="16"/>
  <c r="H869" i="16"/>
  <c r="G869" i="16"/>
  <c r="F869" i="16"/>
  <c r="E869" i="16"/>
  <c r="D869" i="16"/>
  <c r="C869" i="16"/>
  <c r="B869" i="16"/>
  <c r="I868" i="16"/>
  <c r="H868" i="16"/>
  <c r="G868" i="16"/>
  <c r="F868" i="16"/>
  <c r="E868" i="16"/>
  <c r="D868" i="16"/>
  <c r="C868" i="16"/>
  <c r="B868" i="16"/>
  <c r="I867" i="16"/>
  <c r="H867" i="16"/>
  <c r="G867" i="16"/>
  <c r="F867" i="16"/>
  <c r="E867" i="16"/>
  <c r="D867" i="16"/>
  <c r="C867" i="16"/>
  <c r="B867" i="16"/>
  <c r="I866" i="16"/>
  <c r="H866" i="16"/>
  <c r="G866" i="16"/>
  <c r="F866" i="16"/>
  <c r="E866" i="16"/>
  <c r="D866" i="16"/>
  <c r="C866" i="16"/>
  <c r="B866" i="16"/>
  <c r="I865" i="16"/>
  <c r="H865" i="16"/>
  <c r="G865" i="16"/>
  <c r="F865" i="16"/>
  <c r="E865" i="16"/>
  <c r="D865" i="16"/>
  <c r="C865" i="16"/>
  <c r="B865" i="16"/>
  <c r="I864" i="16"/>
  <c r="H864" i="16"/>
  <c r="G864" i="16"/>
  <c r="F864" i="16"/>
  <c r="E864" i="16"/>
  <c r="D864" i="16"/>
  <c r="C864" i="16"/>
  <c r="B864" i="16"/>
  <c r="I863" i="16"/>
  <c r="H863" i="16"/>
  <c r="G863" i="16"/>
  <c r="F863" i="16"/>
  <c r="E863" i="16"/>
  <c r="D863" i="16"/>
  <c r="C863" i="16"/>
  <c r="B863" i="16"/>
  <c r="I862" i="16"/>
  <c r="H862" i="16"/>
  <c r="G862" i="16"/>
  <c r="F862" i="16"/>
  <c r="E862" i="16"/>
  <c r="D862" i="16"/>
  <c r="C862" i="16"/>
  <c r="B862" i="16"/>
  <c r="I861" i="16"/>
  <c r="H861" i="16"/>
  <c r="G861" i="16"/>
  <c r="F861" i="16"/>
  <c r="E861" i="16"/>
  <c r="D861" i="16"/>
  <c r="C861" i="16"/>
  <c r="B861" i="16"/>
  <c r="I860" i="16"/>
  <c r="H860" i="16"/>
  <c r="G860" i="16"/>
  <c r="F860" i="16"/>
  <c r="E860" i="16"/>
  <c r="D860" i="16"/>
  <c r="C860" i="16"/>
  <c r="B860" i="16"/>
  <c r="I859" i="16"/>
  <c r="H859" i="16"/>
  <c r="G859" i="16"/>
  <c r="F859" i="16"/>
  <c r="E859" i="16"/>
  <c r="D859" i="16"/>
  <c r="C859" i="16"/>
  <c r="B859" i="16"/>
  <c r="I858" i="16"/>
  <c r="H858" i="16"/>
  <c r="G858" i="16"/>
  <c r="F858" i="16"/>
  <c r="E858" i="16"/>
  <c r="D858" i="16"/>
  <c r="C858" i="16"/>
  <c r="B858" i="16"/>
  <c r="I857" i="16"/>
  <c r="H857" i="16"/>
  <c r="G857" i="16"/>
  <c r="F857" i="16"/>
  <c r="E857" i="16"/>
  <c r="D857" i="16"/>
  <c r="C857" i="16"/>
  <c r="B857" i="16"/>
  <c r="I856" i="16"/>
  <c r="H856" i="16"/>
  <c r="G856" i="16"/>
  <c r="F856" i="16"/>
  <c r="E856" i="16"/>
  <c r="D856" i="16"/>
  <c r="C856" i="16"/>
  <c r="B856" i="16"/>
  <c r="I855" i="16"/>
  <c r="H855" i="16"/>
  <c r="G855" i="16"/>
  <c r="F855" i="16"/>
  <c r="E855" i="16"/>
  <c r="D855" i="16"/>
  <c r="C855" i="16"/>
  <c r="B855" i="16"/>
  <c r="I854" i="16"/>
  <c r="H854" i="16"/>
  <c r="G854" i="16"/>
  <c r="F854" i="16"/>
  <c r="E854" i="16"/>
  <c r="D854" i="16"/>
  <c r="C854" i="16"/>
  <c r="B854" i="16"/>
  <c r="I853" i="16"/>
  <c r="H853" i="16"/>
  <c r="G853" i="16"/>
  <c r="F853" i="16"/>
  <c r="E853" i="16"/>
  <c r="D853" i="16"/>
  <c r="C853" i="16"/>
  <c r="B853" i="16"/>
  <c r="I852" i="16"/>
  <c r="H852" i="16"/>
  <c r="G852" i="16"/>
  <c r="F852" i="16"/>
  <c r="E852" i="16"/>
  <c r="D852" i="16"/>
  <c r="C852" i="16"/>
  <c r="B852" i="16"/>
  <c r="I851" i="16"/>
  <c r="H851" i="16"/>
  <c r="G851" i="16"/>
  <c r="F851" i="16"/>
  <c r="E851" i="16"/>
  <c r="D851" i="16"/>
  <c r="C851" i="16"/>
  <c r="B851" i="16"/>
  <c r="I850" i="16"/>
  <c r="H850" i="16"/>
  <c r="G850" i="16"/>
  <c r="F850" i="16"/>
  <c r="E850" i="16"/>
  <c r="D850" i="16"/>
  <c r="C850" i="16"/>
  <c r="B850" i="16"/>
  <c r="I849" i="16"/>
  <c r="H849" i="16"/>
  <c r="G849" i="16"/>
  <c r="F849" i="16"/>
  <c r="E849" i="16"/>
  <c r="D849" i="16"/>
  <c r="C849" i="16"/>
  <c r="B849" i="16"/>
  <c r="I848" i="16"/>
  <c r="H848" i="16"/>
  <c r="G848" i="16"/>
  <c r="F848" i="16"/>
  <c r="E848" i="16"/>
  <c r="D848" i="16"/>
  <c r="C848" i="16"/>
  <c r="B848" i="16"/>
  <c r="I847" i="16"/>
  <c r="H847" i="16"/>
  <c r="G847" i="16"/>
  <c r="F847" i="16"/>
  <c r="E847" i="16"/>
  <c r="D847" i="16"/>
  <c r="C847" i="16"/>
  <c r="B847" i="16"/>
  <c r="I846" i="16"/>
  <c r="H846" i="16"/>
  <c r="G846" i="16"/>
  <c r="F846" i="16"/>
  <c r="E846" i="16"/>
  <c r="D846" i="16"/>
  <c r="C846" i="16"/>
  <c r="B846" i="16"/>
  <c r="I845" i="16"/>
  <c r="H845" i="16"/>
  <c r="G845" i="16"/>
  <c r="F845" i="16"/>
  <c r="E845" i="16"/>
  <c r="D845" i="16"/>
  <c r="C845" i="16"/>
  <c r="B845" i="16"/>
  <c r="I844" i="16"/>
  <c r="H844" i="16"/>
  <c r="G844" i="16"/>
  <c r="F844" i="16"/>
  <c r="E844" i="16"/>
  <c r="D844" i="16"/>
  <c r="C844" i="16"/>
  <c r="B844" i="16"/>
  <c r="I843" i="16"/>
  <c r="H843" i="16"/>
  <c r="G843" i="16"/>
  <c r="F843" i="16"/>
  <c r="E843" i="16"/>
  <c r="D843" i="16"/>
  <c r="C843" i="16"/>
  <c r="B843" i="16"/>
  <c r="I842" i="16"/>
  <c r="H842" i="16"/>
  <c r="G842" i="16"/>
  <c r="F842" i="16"/>
  <c r="E842" i="16"/>
  <c r="D842" i="16"/>
  <c r="C842" i="16"/>
  <c r="B842" i="16"/>
  <c r="I841" i="16"/>
  <c r="H841" i="16"/>
  <c r="G841" i="16"/>
  <c r="F841" i="16"/>
  <c r="E841" i="16"/>
  <c r="D841" i="16"/>
  <c r="C841" i="16"/>
  <c r="B841" i="16"/>
  <c r="I840" i="16"/>
  <c r="H840" i="16"/>
  <c r="G840" i="16"/>
  <c r="F840" i="16"/>
  <c r="E840" i="16"/>
  <c r="D840" i="16"/>
  <c r="C840" i="16"/>
  <c r="B840" i="16"/>
  <c r="I839" i="16"/>
  <c r="H839" i="16"/>
  <c r="G839" i="16"/>
  <c r="F839" i="16"/>
  <c r="E839" i="16"/>
  <c r="D839" i="16"/>
  <c r="C839" i="16"/>
  <c r="B839" i="16"/>
  <c r="I838" i="16"/>
  <c r="H838" i="16"/>
  <c r="G838" i="16"/>
  <c r="F838" i="16"/>
  <c r="E838" i="16"/>
  <c r="D838" i="16"/>
  <c r="C838" i="16"/>
  <c r="B838" i="16"/>
  <c r="I837" i="16"/>
  <c r="H837" i="16"/>
  <c r="G837" i="16"/>
  <c r="F837" i="16"/>
  <c r="E837" i="16"/>
  <c r="D837" i="16"/>
  <c r="C837" i="16"/>
  <c r="B837" i="16"/>
  <c r="I836" i="16"/>
  <c r="H836" i="16"/>
  <c r="G836" i="16"/>
  <c r="F836" i="16"/>
  <c r="E836" i="16"/>
  <c r="D836" i="16"/>
  <c r="C836" i="16"/>
  <c r="B836" i="16"/>
  <c r="I835" i="16"/>
  <c r="H835" i="16"/>
  <c r="G835" i="16"/>
  <c r="F835" i="16"/>
  <c r="E835" i="16"/>
  <c r="D835" i="16"/>
  <c r="C835" i="16"/>
  <c r="B835" i="16"/>
  <c r="I834" i="16"/>
  <c r="H834" i="16"/>
  <c r="G834" i="16"/>
  <c r="F834" i="16"/>
  <c r="E834" i="16"/>
  <c r="D834" i="16"/>
  <c r="C834" i="16"/>
  <c r="B834" i="16"/>
  <c r="I833" i="16"/>
  <c r="H833" i="16"/>
  <c r="G833" i="16"/>
  <c r="F833" i="16"/>
  <c r="E833" i="16"/>
  <c r="D833" i="16"/>
  <c r="C833" i="16"/>
  <c r="B833" i="16"/>
  <c r="I832" i="16"/>
  <c r="H832" i="16"/>
  <c r="G832" i="16"/>
  <c r="F832" i="16"/>
  <c r="E832" i="16"/>
  <c r="D832" i="16"/>
  <c r="C832" i="16"/>
  <c r="B832" i="16"/>
  <c r="I831" i="16"/>
  <c r="H831" i="16"/>
  <c r="G831" i="16"/>
  <c r="F831" i="16"/>
  <c r="E831" i="16"/>
  <c r="D831" i="16"/>
  <c r="C831" i="16"/>
  <c r="B831" i="16"/>
  <c r="I830" i="16"/>
  <c r="H830" i="16"/>
  <c r="G830" i="16"/>
  <c r="F830" i="16"/>
  <c r="E830" i="16"/>
  <c r="D830" i="16"/>
  <c r="C830" i="16"/>
  <c r="B830" i="16"/>
  <c r="I829" i="16"/>
  <c r="H829" i="16"/>
  <c r="G829" i="16"/>
  <c r="F829" i="16"/>
  <c r="E829" i="16"/>
  <c r="D829" i="16"/>
  <c r="C829" i="16"/>
  <c r="B829" i="16"/>
  <c r="I828" i="16"/>
  <c r="H828" i="16"/>
  <c r="G828" i="16"/>
  <c r="F828" i="16"/>
  <c r="E828" i="16"/>
  <c r="D828" i="16"/>
  <c r="C828" i="16"/>
  <c r="B828" i="16"/>
  <c r="I827" i="16"/>
  <c r="H827" i="16"/>
  <c r="G827" i="16"/>
  <c r="F827" i="16"/>
  <c r="E827" i="16"/>
  <c r="D827" i="16"/>
  <c r="C827" i="16"/>
  <c r="B827" i="16"/>
  <c r="I826" i="16"/>
  <c r="H826" i="16"/>
  <c r="G826" i="16"/>
  <c r="F826" i="16"/>
  <c r="E826" i="16"/>
  <c r="D826" i="16"/>
  <c r="C826" i="16"/>
  <c r="B826" i="16"/>
  <c r="I825" i="16"/>
  <c r="H825" i="16"/>
  <c r="G825" i="16"/>
  <c r="F825" i="16"/>
  <c r="E825" i="16"/>
  <c r="D825" i="16"/>
  <c r="C825" i="16"/>
  <c r="B825" i="16"/>
  <c r="I824" i="16"/>
  <c r="H824" i="16"/>
  <c r="G824" i="16"/>
  <c r="F824" i="16"/>
  <c r="E824" i="16"/>
  <c r="D824" i="16"/>
  <c r="C824" i="16"/>
  <c r="B824" i="16"/>
  <c r="I823" i="16"/>
  <c r="H823" i="16"/>
  <c r="G823" i="16"/>
  <c r="F823" i="16"/>
  <c r="E823" i="16"/>
  <c r="D823" i="16"/>
  <c r="C823" i="16"/>
  <c r="B823" i="16"/>
  <c r="I822" i="16"/>
  <c r="H822" i="16"/>
  <c r="G822" i="16"/>
  <c r="F822" i="16"/>
  <c r="E822" i="16"/>
  <c r="D822" i="16"/>
  <c r="C822" i="16"/>
  <c r="B822" i="16"/>
  <c r="I821" i="16"/>
  <c r="H821" i="16"/>
  <c r="G821" i="16"/>
  <c r="F821" i="16"/>
  <c r="E821" i="16"/>
  <c r="D821" i="16"/>
  <c r="C821" i="16"/>
  <c r="B821" i="16"/>
  <c r="I820" i="16"/>
  <c r="H820" i="16"/>
  <c r="G820" i="16"/>
  <c r="F820" i="16"/>
  <c r="E820" i="16"/>
  <c r="D820" i="16"/>
  <c r="C820" i="16"/>
  <c r="B820" i="16"/>
  <c r="I819" i="16"/>
  <c r="H819" i="16"/>
  <c r="G819" i="16"/>
  <c r="F819" i="16"/>
  <c r="E819" i="16"/>
  <c r="D819" i="16"/>
  <c r="C819" i="16"/>
  <c r="B819" i="16"/>
  <c r="I818" i="16"/>
  <c r="H818" i="16"/>
  <c r="G818" i="16"/>
  <c r="F818" i="16"/>
  <c r="E818" i="16"/>
  <c r="D818" i="16"/>
  <c r="C818" i="16"/>
  <c r="B818" i="16"/>
  <c r="I817" i="16"/>
  <c r="H817" i="16"/>
  <c r="G817" i="16"/>
  <c r="F817" i="16"/>
  <c r="E817" i="16"/>
  <c r="D817" i="16"/>
  <c r="C817" i="16"/>
  <c r="B817" i="16"/>
  <c r="I816" i="16"/>
  <c r="H816" i="16"/>
  <c r="G816" i="16"/>
  <c r="F816" i="16"/>
  <c r="E816" i="16"/>
  <c r="D816" i="16"/>
  <c r="C816" i="16"/>
  <c r="B816" i="16"/>
  <c r="I815" i="16"/>
  <c r="H815" i="16"/>
  <c r="G815" i="16"/>
  <c r="F815" i="16"/>
  <c r="E815" i="16"/>
  <c r="D815" i="16"/>
  <c r="C815" i="16"/>
  <c r="B815" i="16"/>
  <c r="I814" i="16"/>
  <c r="H814" i="16"/>
  <c r="G814" i="16"/>
  <c r="F814" i="16"/>
  <c r="E814" i="16"/>
  <c r="D814" i="16"/>
  <c r="C814" i="16"/>
  <c r="B814" i="16"/>
  <c r="I813" i="16"/>
  <c r="H813" i="16"/>
  <c r="G813" i="16"/>
  <c r="F813" i="16"/>
  <c r="E813" i="16"/>
  <c r="D813" i="16"/>
  <c r="C813" i="16"/>
  <c r="B813" i="16"/>
  <c r="I812" i="16"/>
  <c r="H812" i="16"/>
  <c r="G812" i="16"/>
  <c r="F812" i="16"/>
  <c r="E812" i="16"/>
  <c r="D812" i="16"/>
  <c r="C812" i="16"/>
  <c r="B812" i="16"/>
  <c r="I811" i="16"/>
  <c r="H811" i="16"/>
  <c r="G811" i="16"/>
  <c r="F811" i="16"/>
  <c r="E811" i="16"/>
  <c r="D811" i="16"/>
  <c r="C811" i="16"/>
  <c r="B811" i="16"/>
  <c r="I810" i="16"/>
  <c r="H810" i="16"/>
  <c r="G810" i="16"/>
  <c r="F810" i="16"/>
  <c r="E810" i="16"/>
  <c r="D810" i="16"/>
  <c r="C810" i="16"/>
  <c r="B810" i="16"/>
  <c r="I809" i="16"/>
  <c r="H809" i="16"/>
  <c r="G809" i="16"/>
  <c r="F809" i="16"/>
  <c r="E809" i="16"/>
  <c r="D809" i="16"/>
  <c r="C809" i="16"/>
  <c r="B809" i="16"/>
  <c r="I808" i="16"/>
  <c r="H808" i="16"/>
  <c r="G808" i="16"/>
  <c r="F808" i="16"/>
  <c r="E808" i="16"/>
  <c r="D808" i="16"/>
  <c r="C808" i="16"/>
  <c r="B808" i="16"/>
  <c r="I807" i="16"/>
  <c r="H807" i="16"/>
  <c r="G807" i="16"/>
  <c r="F807" i="16"/>
  <c r="E807" i="16"/>
  <c r="D807" i="16"/>
  <c r="C807" i="16"/>
  <c r="B807" i="16"/>
  <c r="I806" i="16"/>
  <c r="H806" i="16"/>
  <c r="G806" i="16"/>
  <c r="F806" i="16"/>
  <c r="E806" i="16"/>
  <c r="D806" i="16"/>
  <c r="C806" i="16"/>
  <c r="B806" i="16"/>
  <c r="I805" i="16"/>
  <c r="H805" i="16"/>
  <c r="G805" i="16"/>
  <c r="F805" i="16"/>
  <c r="E805" i="16"/>
  <c r="D805" i="16"/>
  <c r="C805" i="16"/>
  <c r="B805" i="16"/>
  <c r="I804" i="16"/>
  <c r="H804" i="16"/>
  <c r="G804" i="16"/>
  <c r="F804" i="16"/>
  <c r="E804" i="16"/>
  <c r="D804" i="16"/>
  <c r="C804" i="16"/>
  <c r="B804" i="16"/>
  <c r="I803" i="16"/>
  <c r="H803" i="16"/>
  <c r="G803" i="16"/>
  <c r="F803" i="16"/>
  <c r="E803" i="16"/>
  <c r="D803" i="16"/>
  <c r="C803" i="16"/>
  <c r="B803" i="16"/>
  <c r="I802" i="16"/>
  <c r="H802" i="16"/>
  <c r="G802" i="16"/>
  <c r="F802" i="16"/>
  <c r="E802" i="16"/>
  <c r="D802" i="16"/>
  <c r="C802" i="16"/>
  <c r="B802" i="16"/>
  <c r="I801" i="16"/>
  <c r="H801" i="16"/>
  <c r="G801" i="16"/>
  <c r="F801" i="16"/>
  <c r="E801" i="16"/>
  <c r="D801" i="16"/>
  <c r="C801" i="16"/>
  <c r="B801" i="16"/>
  <c r="I800" i="16"/>
  <c r="H800" i="16"/>
  <c r="G800" i="16"/>
  <c r="F800" i="16"/>
  <c r="E800" i="16"/>
  <c r="D800" i="16"/>
  <c r="C800" i="16"/>
  <c r="B800" i="16"/>
  <c r="I799" i="16"/>
  <c r="H799" i="16"/>
  <c r="G799" i="16"/>
  <c r="F799" i="16"/>
  <c r="E799" i="16"/>
  <c r="D799" i="16"/>
  <c r="C799" i="16"/>
  <c r="B799" i="16"/>
  <c r="I798" i="16"/>
  <c r="H798" i="16"/>
  <c r="G798" i="16"/>
  <c r="F798" i="16"/>
  <c r="E798" i="16"/>
  <c r="D798" i="16"/>
  <c r="C798" i="16"/>
  <c r="B798" i="16"/>
  <c r="I797" i="16"/>
  <c r="H797" i="16"/>
  <c r="G797" i="16"/>
  <c r="F797" i="16"/>
  <c r="E797" i="16"/>
  <c r="D797" i="16"/>
  <c r="C797" i="16"/>
  <c r="B797" i="16"/>
  <c r="I796" i="16"/>
  <c r="H796" i="16"/>
  <c r="G796" i="16"/>
  <c r="F796" i="16"/>
  <c r="E796" i="16"/>
  <c r="D796" i="16"/>
  <c r="C796" i="16"/>
  <c r="B796" i="16"/>
  <c r="I795" i="16"/>
  <c r="H795" i="16"/>
  <c r="G795" i="16"/>
  <c r="F795" i="16"/>
  <c r="E795" i="16"/>
  <c r="D795" i="16"/>
  <c r="C795" i="16"/>
  <c r="B795" i="16"/>
  <c r="I794" i="16"/>
  <c r="H794" i="16"/>
  <c r="G794" i="16"/>
  <c r="F794" i="16"/>
  <c r="E794" i="16"/>
  <c r="D794" i="16"/>
  <c r="C794" i="16"/>
  <c r="B794" i="16"/>
  <c r="I793" i="16"/>
  <c r="H793" i="16"/>
  <c r="G793" i="16"/>
  <c r="F793" i="16"/>
  <c r="E793" i="16"/>
  <c r="D793" i="16"/>
  <c r="C793" i="16"/>
  <c r="B793" i="16"/>
  <c r="I792" i="16"/>
  <c r="H792" i="16"/>
  <c r="G792" i="16"/>
  <c r="F792" i="16"/>
  <c r="E792" i="16"/>
  <c r="D792" i="16"/>
  <c r="C792" i="16"/>
  <c r="B792" i="16"/>
  <c r="I791" i="16"/>
  <c r="H791" i="16"/>
  <c r="G791" i="16"/>
  <c r="F791" i="16"/>
  <c r="E791" i="16"/>
  <c r="D791" i="16"/>
  <c r="C791" i="16"/>
  <c r="B791" i="16"/>
  <c r="I790" i="16"/>
  <c r="H790" i="16"/>
  <c r="G790" i="16"/>
  <c r="F790" i="16"/>
  <c r="E790" i="16"/>
  <c r="D790" i="16"/>
  <c r="C790" i="16"/>
  <c r="B790" i="16"/>
  <c r="I789" i="16"/>
  <c r="H789" i="16"/>
  <c r="G789" i="16"/>
  <c r="F789" i="16"/>
  <c r="E789" i="16"/>
  <c r="D789" i="16"/>
  <c r="C789" i="16"/>
  <c r="B789" i="16"/>
  <c r="I788" i="16"/>
  <c r="H788" i="16"/>
  <c r="G788" i="16"/>
  <c r="F788" i="16"/>
  <c r="E788" i="16"/>
  <c r="D788" i="16"/>
  <c r="C788" i="16"/>
  <c r="B788" i="16"/>
  <c r="I787" i="16"/>
  <c r="H787" i="16"/>
  <c r="G787" i="16"/>
  <c r="F787" i="16"/>
  <c r="E787" i="16"/>
  <c r="D787" i="16"/>
  <c r="C787" i="16"/>
  <c r="B787" i="16"/>
  <c r="I786" i="16"/>
  <c r="H786" i="16"/>
  <c r="G786" i="16"/>
  <c r="F786" i="16"/>
  <c r="E786" i="16"/>
  <c r="D786" i="16"/>
  <c r="C786" i="16"/>
  <c r="B786" i="16"/>
  <c r="I785" i="16"/>
  <c r="H785" i="16"/>
  <c r="G785" i="16"/>
  <c r="F785" i="16"/>
  <c r="E785" i="16"/>
  <c r="D785" i="16"/>
  <c r="C785" i="16"/>
  <c r="B785" i="16"/>
  <c r="I784" i="16"/>
  <c r="H784" i="16"/>
  <c r="G784" i="16"/>
  <c r="F784" i="16"/>
  <c r="E784" i="16"/>
  <c r="D784" i="16"/>
  <c r="C784" i="16"/>
  <c r="B784" i="16"/>
  <c r="I783" i="16"/>
  <c r="H783" i="16"/>
  <c r="G783" i="16"/>
  <c r="F783" i="16"/>
  <c r="E783" i="16"/>
  <c r="D783" i="16"/>
  <c r="C783" i="16"/>
  <c r="B783" i="16"/>
  <c r="I782" i="16"/>
  <c r="H782" i="16"/>
  <c r="G782" i="16"/>
  <c r="F782" i="16"/>
  <c r="E782" i="16"/>
  <c r="D782" i="16"/>
  <c r="C782" i="16"/>
  <c r="B782" i="16"/>
  <c r="I781" i="16"/>
  <c r="H781" i="16"/>
  <c r="G781" i="16"/>
  <c r="F781" i="16"/>
  <c r="E781" i="16"/>
  <c r="D781" i="16"/>
  <c r="C781" i="16"/>
  <c r="B781" i="16"/>
  <c r="I780" i="16"/>
  <c r="H780" i="16"/>
  <c r="G780" i="16"/>
  <c r="F780" i="16"/>
  <c r="E780" i="16"/>
  <c r="D780" i="16"/>
  <c r="C780" i="16"/>
  <c r="B780" i="16"/>
  <c r="I779" i="16"/>
  <c r="H779" i="16"/>
  <c r="G779" i="16"/>
  <c r="F779" i="16"/>
  <c r="E779" i="16"/>
  <c r="D779" i="16"/>
  <c r="C779" i="16"/>
  <c r="B779" i="16"/>
  <c r="I778" i="16"/>
  <c r="H778" i="16"/>
  <c r="G778" i="16"/>
  <c r="F778" i="16"/>
  <c r="E778" i="16"/>
  <c r="D778" i="16"/>
  <c r="C778" i="16"/>
  <c r="B778" i="16"/>
  <c r="I777" i="16"/>
  <c r="H777" i="16"/>
  <c r="G777" i="16"/>
  <c r="F777" i="16"/>
  <c r="E777" i="16"/>
  <c r="D777" i="16"/>
  <c r="C777" i="16"/>
  <c r="B777" i="16"/>
  <c r="I776" i="16"/>
  <c r="H776" i="16"/>
  <c r="G776" i="16"/>
  <c r="F776" i="16"/>
  <c r="E776" i="16"/>
  <c r="D776" i="16"/>
  <c r="C776" i="16"/>
  <c r="B776" i="16"/>
  <c r="I775" i="16"/>
  <c r="H775" i="16"/>
  <c r="G775" i="16"/>
  <c r="F775" i="16"/>
  <c r="E775" i="16"/>
  <c r="D775" i="16"/>
  <c r="C775" i="16"/>
  <c r="B775" i="16"/>
  <c r="I774" i="16"/>
  <c r="H774" i="16"/>
  <c r="G774" i="16"/>
  <c r="F774" i="16"/>
  <c r="E774" i="16"/>
  <c r="D774" i="16"/>
  <c r="C774" i="16"/>
  <c r="B774" i="16"/>
  <c r="I773" i="16"/>
  <c r="H773" i="16"/>
  <c r="G773" i="16"/>
  <c r="F773" i="16"/>
  <c r="E773" i="16"/>
  <c r="D773" i="16"/>
  <c r="C773" i="16"/>
  <c r="B773" i="16"/>
  <c r="I772" i="16"/>
  <c r="H772" i="16"/>
  <c r="G772" i="16"/>
  <c r="F772" i="16"/>
  <c r="E772" i="16"/>
  <c r="D772" i="16"/>
  <c r="C772" i="16"/>
  <c r="B772" i="16"/>
  <c r="I771" i="16"/>
  <c r="H771" i="16"/>
  <c r="G771" i="16"/>
  <c r="F771" i="16"/>
  <c r="E771" i="16"/>
  <c r="D771" i="16"/>
  <c r="C771" i="16"/>
  <c r="B771" i="16"/>
  <c r="I770" i="16"/>
  <c r="H770" i="16"/>
  <c r="G770" i="16"/>
  <c r="F770" i="16"/>
  <c r="E770" i="16"/>
  <c r="D770" i="16"/>
  <c r="C770" i="16"/>
  <c r="B770" i="16"/>
  <c r="I769" i="16"/>
  <c r="H769" i="16"/>
  <c r="G769" i="16"/>
  <c r="F769" i="16"/>
  <c r="E769" i="16"/>
  <c r="D769" i="16"/>
  <c r="C769" i="16"/>
  <c r="B769" i="16"/>
  <c r="I768" i="16"/>
  <c r="H768" i="16"/>
  <c r="G768" i="16"/>
  <c r="F768" i="16"/>
  <c r="E768" i="16"/>
  <c r="D768" i="16"/>
  <c r="C768" i="16"/>
  <c r="B768" i="16"/>
  <c r="I767" i="16"/>
  <c r="H767" i="16"/>
  <c r="G767" i="16"/>
  <c r="F767" i="16"/>
  <c r="E767" i="16"/>
  <c r="D767" i="16"/>
  <c r="C767" i="16"/>
  <c r="B767" i="16"/>
  <c r="I766" i="16"/>
  <c r="H766" i="16"/>
  <c r="G766" i="16"/>
  <c r="F766" i="16"/>
  <c r="E766" i="16"/>
  <c r="D766" i="16"/>
  <c r="C766" i="16"/>
  <c r="B766" i="16"/>
  <c r="I765" i="16"/>
  <c r="H765" i="16"/>
  <c r="G765" i="16"/>
  <c r="F765" i="16"/>
  <c r="E765" i="16"/>
  <c r="D765" i="16"/>
  <c r="C765" i="16"/>
  <c r="B765" i="16"/>
  <c r="I764" i="16"/>
  <c r="H764" i="16"/>
  <c r="G764" i="16"/>
  <c r="F764" i="16"/>
  <c r="E764" i="16"/>
  <c r="D764" i="16"/>
  <c r="C764" i="16"/>
  <c r="B764" i="16"/>
  <c r="I763" i="16"/>
  <c r="H763" i="16"/>
  <c r="G763" i="16"/>
  <c r="F763" i="16"/>
  <c r="E763" i="16"/>
  <c r="D763" i="16"/>
  <c r="C763" i="16"/>
  <c r="B763" i="16"/>
  <c r="I762" i="16"/>
  <c r="H762" i="16"/>
  <c r="G762" i="16"/>
  <c r="F762" i="16"/>
  <c r="E762" i="16"/>
  <c r="D762" i="16"/>
  <c r="C762" i="16"/>
  <c r="B762" i="16"/>
  <c r="I761" i="16"/>
  <c r="H761" i="16"/>
  <c r="G761" i="16"/>
  <c r="F761" i="16"/>
  <c r="E761" i="16"/>
  <c r="D761" i="16"/>
  <c r="C761" i="16"/>
  <c r="B761" i="16"/>
  <c r="I760" i="16"/>
  <c r="H760" i="16"/>
  <c r="G760" i="16"/>
  <c r="F760" i="16"/>
  <c r="E760" i="16"/>
  <c r="D760" i="16"/>
  <c r="C760" i="16"/>
  <c r="B760" i="16"/>
  <c r="I759" i="16"/>
  <c r="H759" i="16"/>
  <c r="G759" i="16"/>
  <c r="F759" i="16"/>
  <c r="E759" i="16"/>
  <c r="D759" i="16"/>
  <c r="C759" i="16"/>
  <c r="B759" i="16"/>
  <c r="I758" i="16"/>
  <c r="H758" i="16"/>
  <c r="G758" i="16"/>
  <c r="F758" i="16"/>
  <c r="E758" i="16"/>
  <c r="D758" i="16"/>
  <c r="C758" i="16"/>
  <c r="B758" i="16"/>
  <c r="I757" i="16"/>
  <c r="H757" i="16"/>
  <c r="G757" i="16"/>
  <c r="F757" i="16"/>
  <c r="E757" i="16"/>
  <c r="D757" i="16"/>
  <c r="C757" i="16"/>
  <c r="B757" i="16"/>
  <c r="I756" i="16"/>
  <c r="H756" i="16"/>
  <c r="G756" i="16"/>
  <c r="F756" i="16"/>
  <c r="E756" i="16"/>
  <c r="D756" i="16"/>
  <c r="C756" i="16"/>
  <c r="B756" i="16"/>
  <c r="I755" i="16"/>
  <c r="H755" i="16"/>
  <c r="G755" i="16"/>
  <c r="F755" i="16"/>
  <c r="E755" i="16"/>
  <c r="D755" i="16"/>
  <c r="C755" i="16"/>
  <c r="B755" i="16"/>
  <c r="I754" i="16"/>
  <c r="H754" i="16"/>
  <c r="G754" i="16"/>
  <c r="F754" i="16"/>
  <c r="E754" i="16"/>
  <c r="D754" i="16"/>
  <c r="C754" i="16"/>
  <c r="B754" i="16"/>
  <c r="I753" i="16"/>
  <c r="H753" i="16"/>
  <c r="G753" i="16"/>
  <c r="F753" i="16"/>
  <c r="E753" i="16"/>
  <c r="D753" i="16"/>
  <c r="C753" i="16"/>
  <c r="B753" i="16"/>
  <c r="I752" i="16"/>
  <c r="H752" i="16"/>
  <c r="G752" i="16"/>
  <c r="F752" i="16"/>
  <c r="E752" i="16"/>
  <c r="D752" i="16"/>
  <c r="C752" i="16"/>
  <c r="B752" i="16"/>
  <c r="I751" i="16"/>
  <c r="H751" i="16"/>
  <c r="G751" i="16"/>
  <c r="F751" i="16"/>
  <c r="E751" i="16"/>
  <c r="D751" i="16"/>
  <c r="C751" i="16"/>
  <c r="B751" i="16"/>
  <c r="I750" i="16"/>
  <c r="H750" i="16"/>
  <c r="G750" i="16"/>
  <c r="F750" i="16"/>
  <c r="E750" i="16"/>
  <c r="D750" i="16"/>
  <c r="C750" i="16"/>
  <c r="B750" i="16"/>
  <c r="I749" i="16"/>
  <c r="H749" i="16"/>
  <c r="G749" i="16"/>
  <c r="F749" i="16"/>
  <c r="E749" i="16"/>
  <c r="D749" i="16"/>
  <c r="C749" i="16"/>
  <c r="B749" i="16"/>
  <c r="I748" i="16"/>
  <c r="H748" i="16"/>
  <c r="G748" i="16"/>
  <c r="F748" i="16"/>
  <c r="E748" i="16"/>
  <c r="D748" i="16"/>
  <c r="C748" i="16"/>
  <c r="B748" i="16"/>
  <c r="I747" i="16"/>
  <c r="H747" i="16"/>
  <c r="G747" i="16"/>
  <c r="F747" i="16"/>
  <c r="E747" i="16"/>
  <c r="D747" i="16"/>
  <c r="C747" i="16"/>
  <c r="B747" i="16"/>
  <c r="I746" i="16"/>
  <c r="H746" i="16"/>
  <c r="G746" i="16"/>
  <c r="F746" i="16"/>
  <c r="E746" i="16"/>
  <c r="D746" i="16"/>
  <c r="C746" i="16"/>
  <c r="B746" i="16"/>
  <c r="I745" i="16"/>
  <c r="H745" i="16"/>
  <c r="G745" i="16"/>
  <c r="F745" i="16"/>
  <c r="E745" i="16"/>
  <c r="D745" i="16"/>
  <c r="C745" i="16"/>
  <c r="B745" i="16"/>
  <c r="I744" i="16"/>
  <c r="H744" i="16"/>
  <c r="G744" i="16"/>
  <c r="F744" i="16"/>
  <c r="E744" i="16"/>
  <c r="D744" i="16"/>
  <c r="C744" i="16"/>
  <c r="B744" i="16"/>
  <c r="I743" i="16"/>
  <c r="H743" i="16"/>
  <c r="G743" i="16"/>
  <c r="F743" i="16"/>
  <c r="E743" i="16"/>
  <c r="D743" i="16"/>
  <c r="C743" i="16"/>
  <c r="B743" i="16"/>
  <c r="I742" i="16"/>
  <c r="H742" i="16"/>
  <c r="G742" i="16"/>
  <c r="F742" i="16"/>
  <c r="E742" i="16"/>
  <c r="D742" i="16"/>
  <c r="C742" i="16"/>
  <c r="B742" i="16"/>
  <c r="I741" i="16"/>
  <c r="H741" i="16"/>
  <c r="G741" i="16"/>
  <c r="F741" i="16"/>
  <c r="E741" i="16"/>
  <c r="D741" i="16"/>
  <c r="C741" i="16"/>
  <c r="B741" i="16"/>
  <c r="I740" i="16"/>
  <c r="H740" i="16"/>
  <c r="G740" i="16"/>
  <c r="F740" i="16"/>
  <c r="E740" i="16"/>
  <c r="D740" i="16"/>
  <c r="C740" i="16"/>
  <c r="B740" i="16"/>
  <c r="I739" i="16"/>
  <c r="H739" i="16"/>
  <c r="G739" i="16"/>
  <c r="F739" i="16"/>
  <c r="E739" i="16"/>
  <c r="D739" i="16"/>
  <c r="C739" i="16"/>
  <c r="B739" i="16"/>
  <c r="I738" i="16"/>
  <c r="H738" i="16"/>
  <c r="G738" i="16"/>
  <c r="F738" i="16"/>
  <c r="E738" i="16"/>
  <c r="D738" i="16"/>
  <c r="C738" i="16"/>
  <c r="B738" i="16"/>
  <c r="I737" i="16"/>
  <c r="H737" i="16"/>
  <c r="G737" i="16"/>
  <c r="F737" i="16"/>
  <c r="E737" i="16"/>
  <c r="D737" i="16"/>
  <c r="C737" i="16"/>
  <c r="B737" i="16"/>
  <c r="I736" i="16"/>
  <c r="H736" i="16"/>
  <c r="G736" i="16"/>
  <c r="F736" i="16"/>
  <c r="E736" i="16"/>
  <c r="D736" i="16"/>
  <c r="C736" i="16"/>
  <c r="B736" i="16"/>
  <c r="I735" i="16"/>
  <c r="H735" i="16"/>
  <c r="G735" i="16"/>
  <c r="F735" i="16"/>
  <c r="E735" i="16"/>
  <c r="D735" i="16"/>
  <c r="C735" i="16"/>
  <c r="B735" i="16"/>
  <c r="I734" i="16"/>
  <c r="H734" i="16"/>
  <c r="G734" i="16"/>
  <c r="F734" i="16"/>
  <c r="E734" i="16"/>
  <c r="D734" i="16"/>
  <c r="C734" i="16"/>
  <c r="B734" i="16"/>
  <c r="I733" i="16"/>
  <c r="H733" i="16"/>
  <c r="G733" i="16"/>
  <c r="F733" i="16"/>
  <c r="E733" i="16"/>
  <c r="D733" i="16"/>
  <c r="C733" i="16"/>
  <c r="B733" i="16"/>
  <c r="I732" i="16"/>
  <c r="H732" i="16"/>
  <c r="G732" i="16"/>
  <c r="F732" i="16"/>
  <c r="E732" i="16"/>
  <c r="D732" i="16"/>
  <c r="C732" i="16"/>
  <c r="B732" i="16"/>
  <c r="I731" i="16"/>
  <c r="H731" i="16"/>
  <c r="G731" i="16"/>
  <c r="F731" i="16"/>
  <c r="E731" i="16"/>
  <c r="D731" i="16"/>
  <c r="C731" i="16"/>
  <c r="B731" i="16"/>
  <c r="I730" i="16"/>
  <c r="H730" i="16"/>
  <c r="G730" i="16"/>
  <c r="F730" i="16"/>
  <c r="E730" i="16"/>
  <c r="D730" i="16"/>
  <c r="C730" i="16"/>
  <c r="B730" i="16"/>
  <c r="I729" i="16"/>
  <c r="H729" i="16"/>
  <c r="G729" i="16"/>
  <c r="F729" i="16"/>
  <c r="E729" i="16"/>
  <c r="D729" i="16"/>
  <c r="C729" i="16"/>
  <c r="B729" i="16"/>
  <c r="I728" i="16"/>
  <c r="H728" i="16"/>
  <c r="G728" i="16"/>
  <c r="F728" i="16"/>
  <c r="E728" i="16"/>
  <c r="D728" i="16"/>
  <c r="C728" i="16"/>
  <c r="B728" i="16"/>
  <c r="I727" i="16"/>
  <c r="H727" i="16"/>
  <c r="G727" i="16"/>
  <c r="F727" i="16"/>
  <c r="E727" i="16"/>
  <c r="D727" i="16"/>
  <c r="C727" i="16"/>
  <c r="B727" i="16"/>
  <c r="I726" i="16"/>
  <c r="H726" i="16"/>
  <c r="G726" i="16"/>
  <c r="F726" i="16"/>
  <c r="E726" i="16"/>
  <c r="D726" i="16"/>
  <c r="C726" i="16"/>
  <c r="B726" i="16"/>
  <c r="I725" i="16"/>
  <c r="H725" i="16"/>
  <c r="G725" i="16"/>
  <c r="F725" i="16"/>
  <c r="E725" i="16"/>
  <c r="D725" i="16"/>
  <c r="C725" i="16"/>
  <c r="B725" i="16"/>
  <c r="I724" i="16"/>
  <c r="H724" i="16"/>
  <c r="G724" i="16"/>
  <c r="F724" i="16"/>
  <c r="E724" i="16"/>
  <c r="D724" i="16"/>
  <c r="C724" i="16"/>
  <c r="B724" i="16"/>
  <c r="I723" i="16"/>
  <c r="H723" i="16"/>
  <c r="G723" i="16"/>
  <c r="F723" i="16"/>
  <c r="E723" i="16"/>
  <c r="D723" i="16"/>
  <c r="C723" i="16"/>
  <c r="B723" i="16"/>
  <c r="I722" i="16"/>
  <c r="H722" i="16"/>
  <c r="G722" i="16"/>
  <c r="F722" i="16"/>
  <c r="E722" i="16"/>
  <c r="D722" i="16"/>
  <c r="C722" i="16"/>
  <c r="B722" i="16"/>
  <c r="I721" i="16"/>
  <c r="H721" i="16"/>
  <c r="G721" i="16"/>
  <c r="F721" i="16"/>
  <c r="E721" i="16"/>
  <c r="D721" i="16"/>
  <c r="C721" i="16"/>
  <c r="B721" i="16"/>
  <c r="I720" i="16"/>
  <c r="H720" i="16"/>
  <c r="G720" i="16"/>
  <c r="F720" i="16"/>
  <c r="E720" i="16"/>
  <c r="D720" i="16"/>
  <c r="C720" i="16"/>
  <c r="B720" i="16"/>
  <c r="I719" i="16"/>
  <c r="H719" i="16"/>
  <c r="G719" i="16"/>
  <c r="F719" i="16"/>
  <c r="E719" i="16"/>
  <c r="D719" i="16"/>
  <c r="C719" i="16"/>
  <c r="B719" i="16"/>
  <c r="I718" i="16"/>
  <c r="H718" i="16"/>
  <c r="G718" i="16"/>
  <c r="F718" i="16"/>
  <c r="E718" i="16"/>
  <c r="D718" i="16"/>
  <c r="C718" i="16"/>
  <c r="B718" i="16"/>
  <c r="I717" i="16"/>
  <c r="H717" i="16"/>
  <c r="G717" i="16"/>
  <c r="F717" i="16"/>
  <c r="E717" i="16"/>
  <c r="D717" i="16"/>
  <c r="C717" i="16"/>
  <c r="B717" i="16"/>
  <c r="I716" i="16"/>
  <c r="H716" i="16"/>
  <c r="G716" i="16"/>
  <c r="F716" i="16"/>
  <c r="E716" i="16"/>
  <c r="D716" i="16"/>
  <c r="C716" i="16"/>
  <c r="B716" i="16"/>
  <c r="I715" i="16"/>
  <c r="H715" i="16"/>
  <c r="G715" i="16"/>
  <c r="F715" i="16"/>
  <c r="E715" i="16"/>
  <c r="D715" i="16"/>
  <c r="C715" i="16"/>
  <c r="B715" i="16"/>
  <c r="I714" i="16"/>
  <c r="H714" i="16"/>
  <c r="G714" i="16"/>
  <c r="F714" i="16"/>
  <c r="E714" i="16"/>
  <c r="D714" i="16"/>
  <c r="C714" i="16"/>
  <c r="B714" i="16"/>
  <c r="I713" i="16"/>
  <c r="H713" i="16"/>
  <c r="G713" i="16"/>
  <c r="F713" i="16"/>
  <c r="E713" i="16"/>
  <c r="D713" i="16"/>
  <c r="C713" i="16"/>
  <c r="B713" i="16"/>
  <c r="I712" i="16"/>
  <c r="H712" i="16"/>
  <c r="G712" i="16"/>
  <c r="F712" i="16"/>
  <c r="E712" i="16"/>
  <c r="D712" i="16"/>
  <c r="C712" i="16"/>
  <c r="B712" i="16"/>
  <c r="I711" i="16"/>
  <c r="H711" i="16"/>
  <c r="G711" i="16"/>
  <c r="F711" i="16"/>
  <c r="E711" i="16"/>
  <c r="D711" i="16"/>
  <c r="C711" i="16"/>
  <c r="B711" i="16"/>
  <c r="I710" i="16"/>
  <c r="H710" i="16"/>
  <c r="G710" i="16"/>
  <c r="F710" i="16"/>
  <c r="E710" i="16"/>
  <c r="D710" i="16"/>
  <c r="C710" i="16"/>
  <c r="B710" i="16"/>
  <c r="I709" i="16"/>
  <c r="H709" i="16"/>
  <c r="G709" i="16"/>
  <c r="F709" i="16"/>
  <c r="E709" i="16"/>
  <c r="D709" i="16"/>
  <c r="C709" i="16"/>
  <c r="B709" i="16"/>
  <c r="I708" i="16"/>
  <c r="H708" i="16"/>
  <c r="G708" i="16"/>
  <c r="F708" i="16"/>
  <c r="E708" i="16"/>
  <c r="D708" i="16"/>
  <c r="C708" i="16"/>
  <c r="B708" i="16"/>
  <c r="I707" i="16"/>
  <c r="H707" i="16"/>
  <c r="G707" i="16"/>
  <c r="F707" i="16"/>
  <c r="E707" i="16"/>
  <c r="D707" i="16"/>
  <c r="C707" i="16"/>
  <c r="B707" i="16"/>
  <c r="I706" i="16"/>
  <c r="H706" i="16"/>
  <c r="G706" i="16"/>
  <c r="F706" i="16"/>
  <c r="E706" i="16"/>
  <c r="D706" i="16"/>
  <c r="C706" i="16"/>
  <c r="B706" i="16"/>
  <c r="I705" i="16"/>
  <c r="H705" i="16"/>
  <c r="G705" i="16"/>
  <c r="F705" i="16"/>
  <c r="E705" i="16"/>
  <c r="D705" i="16"/>
  <c r="C705" i="16"/>
  <c r="B705" i="16"/>
  <c r="I704" i="16"/>
  <c r="H704" i="16"/>
  <c r="G704" i="16"/>
  <c r="F704" i="16"/>
  <c r="E704" i="16"/>
  <c r="D704" i="16"/>
  <c r="C704" i="16"/>
  <c r="B704" i="16"/>
  <c r="I703" i="16"/>
  <c r="H703" i="16"/>
  <c r="G703" i="16"/>
  <c r="F703" i="16"/>
  <c r="E703" i="16"/>
  <c r="D703" i="16"/>
  <c r="C703" i="16"/>
  <c r="B703" i="16"/>
  <c r="I702" i="16"/>
  <c r="H702" i="16"/>
  <c r="G702" i="16"/>
  <c r="F702" i="16"/>
  <c r="E702" i="16"/>
  <c r="D702" i="16"/>
  <c r="C702" i="16"/>
  <c r="B702" i="16"/>
  <c r="I701" i="16"/>
  <c r="H701" i="16"/>
  <c r="G701" i="16"/>
  <c r="F701" i="16"/>
  <c r="E701" i="16"/>
  <c r="D701" i="16"/>
  <c r="C701" i="16"/>
  <c r="B701" i="16"/>
  <c r="I700" i="16"/>
  <c r="H700" i="16"/>
  <c r="G700" i="16"/>
  <c r="F700" i="16"/>
  <c r="E700" i="16"/>
  <c r="D700" i="16"/>
  <c r="C700" i="16"/>
  <c r="B700" i="16"/>
  <c r="I699" i="16"/>
  <c r="H699" i="16"/>
  <c r="G699" i="16"/>
  <c r="F699" i="16"/>
  <c r="E699" i="16"/>
  <c r="D699" i="16"/>
  <c r="C699" i="16"/>
  <c r="B699" i="16"/>
  <c r="I698" i="16"/>
  <c r="H698" i="16"/>
  <c r="G698" i="16"/>
  <c r="F698" i="16"/>
  <c r="E698" i="16"/>
  <c r="D698" i="16"/>
  <c r="C698" i="16"/>
  <c r="B698" i="16"/>
  <c r="I697" i="16"/>
  <c r="H697" i="16"/>
  <c r="G697" i="16"/>
  <c r="F697" i="16"/>
  <c r="E697" i="16"/>
  <c r="D697" i="16"/>
  <c r="C697" i="16"/>
  <c r="B697" i="16"/>
  <c r="I696" i="16"/>
  <c r="H696" i="16"/>
  <c r="G696" i="16"/>
  <c r="F696" i="16"/>
  <c r="E696" i="16"/>
  <c r="D696" i="16"/>
  <c r="C696" i="16"/>
  <c r="B696" i="16"/>
  <c r="I695" i="16"/>
  <c r="H695" i="16"/>
  <c r="G695" i="16"/>
  <c r="F695" i="16"/>
  <c r="E695" i="16"/>
  <c r="D695" i="16"/>
  <c r="C695" i="16"/>
  <c r="B695" i="16"/>
  <c r="I694" i="16"/>
  <c r="H694" i="16"/>
  <c r="G694" i="16"/>
  <c r="F694" i="16"/>
  <c r="E694" i="16"/>
  <c r="D694" i="16"/>
  <c r="C694" i="16"/>
  <c r="B694" i="16"/>
  <c r="I693" i="16"/>
  <c r="H693" i="16"/>
  <c r="G693" i="16"/>
  <c r="F693" i="16"/>
  <c r="E693" i="16"/>
  <c r="D693" i="16"/>
  <c r="C693" i="16"/>
  <c r="B693" i="16"/>
  <c r="I692" i="16"/>
  <c r="H692" i="16"/>
  <c r="G692" i="16"/>
  <c r="F692" i="16"/>
  <c r="E692" i="16"/>
  <c r="D692" i="16"/>
  <c r="C692" i="16"/>
  <c r="B692" i="16"/>
  <c r="I691" i="16"/>
  <c r="H691" i="16"/>
  <c r="G691" i="16"/>
  <c r="F691" i="16"/>
  <c r="E691" i="16"/>
  <c r="D691" i="16"/>
  <c r="C691" i="16"/>
  <c r="B691" i="16"/>
  <c r="I690" i="16"/>
  <c r="H690" i="16"/>
  <c r="G690" i="16"/>
  <c r="F690" i="16"/>
  <c r="E690" i="16"/>
  <c r="D690" i="16"/>
  <c r="C690" i="16"/>
  <c r="B690" i="16"/>
  <c r="I689" i="16"/>
  <c r="H689" i="16"/>
  <c r="G689" i="16"/>
  <c r="F689" i="16"/>
  <c r="E689" i="16"/>
  <c r="D689" i="16"/>
  <c r="C689" i="16"/>
  <c r="B689" i="16"/>
  <c r="I688" i="16"/>
  <c r="H688" i="16"/>
  <c r="G688" i="16"/>
  <c r="F688" i="16"/>
  <c r="E688" i="16"/>
  <c r="D688" i="16"/>
  <c r="C688" i="16"/>
  <c r="B688" i="16"/>
  <c r="I687" i="16"/>
  <c r="H687" i="16"/>
  <c r="G687" i="16"/>
  <c r="F687" i="16"/>
  <c r="E687" i="16"/>
  <c r="D687" i="16"/>
  <c r="C687" i="16"/>
  <c r="B687" i="16"/>
  <c r="I686" i="16"/>
  <c r="H686" i="16"/>
  <c r="G686" i="16"/>
  <c r="F686" i="16"/>
  <c r="E686" i="16"/>
  <c r="D686" i="16"/>
  <c r="C686" i="16"/>
  <c r="B686" i="16"/>
  <c r="I685" i="16"/>
  <c r="H685" i="16"/>
  <c r="G685" i="16"/>
  <c r="F685" i="16"/>
  <c r="E685" i="16"/>
  <c r="D685" i="16"/>
  <c r="C685" i="16"/>
  <c r="B685" i="16"/>
  <c r="I684" i="16"/>
  <c r="H684" i="16"/>
  <c r="G684" i="16"/>
  <c r="F684" i="16"/>
  <c r="E684" i="16"/>
  <c r="D684" i="16"/>
  <c r="C684" i="16"/>
  <c r="B684" i="16"/>
  <c r="I683" i="16"/>
  <c r="H683" i="16"/>
  <c r="G683" i="16"/>
  <c r="F683" i="16"/>
  <c r="E683" i="16"/>
  <c r="D683" i="16"/>
  <c r="C683" i="16"/>
  <c r="B683" i="16"/>
  <c r="I682" i="16"/>
  <c r="H682" i="16"/>
  <c r="G682" i="16"/>
  <c r="F682" i="16"/>
  <c r="E682" i="16"/>
  <c r="D682" i="16"/>
  <c r="C682" i="16"/>
  <c r="B682" i="16"/>
  <c r="I681" i="16"/>
  <c r="H681" i="16"/>
  <c r="G681" i="16"/>
  <c r="F681" i="16"/>
  <c r="E681" i="16"/>
  <c r="D681" i="16"/>
  <c r="C681" i="16"/>
  <c r="B681" i="16"/>
  <c r="I680" i="16"/>
  <c r="H680" i="16"/>
  <c r="G680" i="16"/>
  <c r="F680" i="16"/>
  <c r="E680" i="16"/>
  <c r="D680" i="16"/>
  <c r="C680" i="16"/>
  <c r="B680" i="16"/>
  <c r="I679" i="16"/>
  <c r="H679" i="16"/>
  <c r="G679" i="16"/>
  <c r="F679" i="16"/>
  <c r="E679" i="16"/>
  <c r="D679" i="16"/>
  <c r="C679" i="16"/>
  <c r="B679" i="16"/>
  <c r="I678" i="16"/>
  <c r="H678" i="16"/>
  <c r="G678" i="16"/>
  <c r="F678" i="16"/>
  <c r="E678" i="16"/>
  <c r="D678" i="16"/>
  <c r="C678" i="16"/>
  <c r="B678" i="16"/>
  <c r="I677" i="16"/>
  <c r="H677" i="16"/>
  <c r="G677" i="16"/>
  <c r="F677" i="16"/>
  <c r="E677" i="16"/>
  <c r="D677" i="16"/>
  <c r="C677" i="16"/>
  <c r="B677" i="16"/>
  <c r="I676" i="16"/>
  <c r="H676" i="16"/>
  <c r="G676" i="16"/>
  <c r="F676" i="16"/>
  <c r="E676" i="16"/>
  <c r="D676" i="16"/>
  <c r="C676" i="16"/>
  <c r="B676" i="16"/>
  <c r="I675" i="16"/>
  <c r="H675" i="16"/>
  <c r="G675" i="16"/>
  <c r="F675" i="16"/>
  <c r="E675" i="16"/>
  <c r="D675" i="16"/>
  <c r="C675" i="16"/>
  <c r="B675" i="16"/>
  <c r="I674" i="16"/>
  <c r="H674" i="16"/>
  <c r="G674" i="16"/>
  <c r="F674" i="16"/>
  <c r="E674" i="16"/>
  <c r="D674" i="16"/>
  <c r="C674" i="16"/>
  <c r="B674" i="16"/>
  <c r="I673" i="16"/>
  <c r="H673" i="16"/>
  <c r="G673" i="16"/>
  <c r="F673" i="16"/>
  <c r="E673" i="16"/>
  <c r="D673" i="16"/>
  <c r="C673" i="16"/>
  <c r="B673" i="16"/>
  <c r="I672" i="16"/>
  <c r="H672" i="16"/>
  <c r="G672" i="16"/>
  <c r="F672" i="16"/>
  <c r="E672" i="16"/>
  <c r="D672" i="16"/>
  <c r="C672" i="16"/>
  <c r="B672" i="16"/>
  <c r="I671" i="16"/>
  <c r="H671" i="16"/>
  <c r="G671" i="16"/>
  <c r="F671" i="16"/>
  <c r="E671" i="16"/>
  <c r="D671" i="16"/>
  <c r="C671" i="16"/>
  <c r="B671" i="16"/>
  <c r="I670" i="16"/>
  <c r="H670" i="16"/>
  <c r="G670" i="16"/>
  <c r="F670" i="16"/>
  <c r="E670" i="16"/>
  <c r="D670" i="16"/>
  <c r="C670" i="16"/>
  <c r="B670" i="16"/>
  <c r="I669" i="16"/>
  <c r="H669" i="16"/>
  <c r="G669" i="16"/>
  <c r="F669" i="16"/>
  <c r="E669" i="16"/>
  <c r="D669" i="16"/>
  <c r="C669" i="16"/>
  <c r="B669" i="16"/>
  <c r="I668" i="16"/>
  <c r="H668" i="16"/>
  <c r="G668" i="16"/>
  <c r="F668" i="16"/>
  <c r="E668" i="16"/>
  <c r="D668" i="16"/>
  <c r="C668" i="16"/>
  <c r="B668" i="16"/>
  <c r="I667" i="16"/>
  <c r="H667" i="16"/>
  <c r="G667" i="16"/>
  <c r="F667" i="16"/>
  <c r="E667" i="16"/>
  <c r="D667" i="16"/>
  <c r="C667" i="16"/>
  <c r="B667" i="16"/>
  <c r="I666" i="16"/>
  <c r="H666" i="16"/>
  <c r="G666" i="16"/>
  <c r="F666" i="16"/>
  <c r="E666" i="16"/>
  <c r="D666" i="16"/>
  <c r="C666" i="16"/>
  <c r="B666" i="16"/>
  <c r="I665" i="16"/>
  <c r="H665" i="16"/>
  <c r="G665" i="16"/>
  <c r="F665" i="16"/>
  <c r="E665" i="16"/>
  <c r="D665" i="16"/>
  <c r="C665" i="16"/>
  <c r="B665" i="16"/>
  <c r="I664" i="16"/>
  <c r="H664" i="16"/>
  <c r="G664" i="16"/>
  <c r="F664" i="16"/>
  <c r="E664" i="16"/>
  <c r="D664" i="16"/>
  <c r="C664" i="16"/>
  <c r="B664" i="16"/>
  <c r="I663" i="16"/>
  <c r="H663" i="16"/>
  <c r="G663" i="16"/>
  <c r="F663" i="16"/>
  <c r="E663" i="16"/>
  <c r="D663" i="16"/>
  <c r="C663" i="16"/>
  <c r="B663" i="16"/>
  <c r="I662" i="16"/>
  <c r="H662" i="16"/>
  <c r="G662" i="16"/>
  <c r="F662" i="16"/>
  <c r="E662" i="16"/>
  <c r="D662" i="16"/>
  <c r="C662" i="16"/>
  <c r="B662" i="16"/>
  <c r="I661" i="16"/>
  <c r="H661" i="16"/>
  <c r="G661" i="16"/>
  <c r="F661" i="16"/>
  <c r="E661" i="16"/>
  <c r="D661" i="16"/>
  <c r="C661" i="16"/>
  <c r="B661" i="16"/>
  <c r="I660" i="16"/>
  <c r="H660" i="16"/>
  <c r="G660" i="16"/>
  <c r="F660" i="16"/>
  <c r="E660" i="16"/>
  <c r="D660" i="16"/>
  <c r="C660" i="16"/>
  <c r="B660" i="16"/>
  <c r="I659" i="16"/>
  <c r="H659" i="16"/>
  <c r="G659" i="16"/>
  <c r="F659" i="16"/>
  <c r="E659" i="16"/>
  <c r="D659" i="16"/>
  <c r="C659" i="16"/>
  <c r="B659" i="16"/>
  <c r="I658" i="16"/>
  <c r="H658" i="16"/>
  <c r="G658" i="16"/>
  <c r="F658" i="16"/>
  <c r="E658" i="16"/>
  <c r="D658" i="16"/>
  <c r="C658" i="16"/>
  <c r="B658" i="16"/>
  <c r="I657" i="16"/>
  <c r="H657" i="16"/>
  <c r="G657" i="16"/>
  <c r="F657" i="16"/>
  <c r="E657" i="16"/>
  <c r="D657" i="16"/>
  <c r="C657" i="16"/>
  <c r="B657" i="16"/>
  <c r="I656" i="16"/>
  <c r="H656" i="16"/>
  <c r="G656" i="16"/>
  <c r="F656" i="16"/>
  <c r="E656" i="16"/>
  <c r="D656" i="16"/>
  <c r="C656" i="16"/>
  <c r="B656" i="16"/>
  <c r="I655" i="16"/>
  <c r="H655" i="16"/>
  <c r="G655" i="16"/>
  <c r="F655" i="16"/>
  <c r="E655" i="16"/>
  <c r="D655" i="16"/>
  <c r="C655" i="16"/>
  <c r="B655" i="16"/>
  <c r="I654" i="16"/>
  <c r="H654" i="16"/>
  <c r="G654" i="16"/>
  <c r="F654" i="16"/>
  <c r="E654" i="16"/>
  <c r="D654" i="16"/>
  <c r="C654" i="16"/>
  <c r="B654" i="16"/>
  <c r="I653" i="16"/>
  <c r="H653" i="16"/>
  <c r="G653" i="16"/>
  <c r="F653" i="16"/>
  <c r="E653" i="16"/>
  <c r="D653" i="16"/>
  <c r="C653" i="16"/>
  <c r="B653" i="16"/>
  <c r="I652" i="16"/>
  <c r="H652" i="16"/>
  <c r="G652" i="16"/>
  <c r="F652" i="16"/>
  <c r="E652" i="16"/>
  <c r="D652" i="16"/>
  <c r="C652" i="16"/>
  <c r="B652" i="16"/>
  <c r="I651" i="16"/>
  <c r="H651" i="16"/>
  <c r="G651" i="16"/>
  <c r="F651" i="16"/>
  <c r="E651" i="16"/>
  <c r="D651" i="16"/>
  <c r="C651" i="16"/>
  <c r="B651" i="16"/>
  <c r="I650" i="16"/>
  <c r="H650" i="16"/>
  <c r="G650" i="16"/>
  <c r="F650" i="16"/>
  <c r="E650" i="16"/>
  <c r="D650" i="16"/>
  <c r="C650" i="16"/>
  <c r="B650" i="16"/>
  <c r="I649" i="16"/>
  <c r="H649" i="16"/>
  <c r="G649" i="16"/>
  <c r="F649" i="16"/>
  <c r="E649" i="16"/>
  <c r="D649" i="16"/>
  <c r="C649" i="16"/>
  <c r="B649" i="16"/>
  <c r="I648" i="16"/>
  <c r="H648" i="16"/>
  <c r="G648" i="16"/>
  <c r="F648" i="16"/>
  <c r="E648" i="16"/>
  <c r="D648" i="16"/>
  <c r="C648" i="16"/>
  <c r="B648" i="16"/>
  <c r="I647" i="16"/>
  <c r="H647" i="16"/>
  <c r="G647" i="16"/>
  <c r="F647" i="16"/>
  <c r="E647" i="16"/>
  <c r="D647" i="16"/>
  <c r="C647" i="16"/>
  <c r="B647" i="16"/>
  <c r="I646" i="16"/>
  <c r="H646" i="16"/>
  <c r="G646" i="16"/>
  <c r="F646" i="16"/>
  <c r="E646" i="16"/>
  <c r="D646" i="16"/>
  <c r="C646" i="16"/>
  <c r="B646" i="16"/>
  <c r="I645" i="16"/>
  <c r="H645" i="16"/>
  <c r="G645" i="16"/>
  <c r="F645" i="16"/>
  <c r="E645" i="16"/>
  <c r="D645" i="16"/>
  <c r="C645" i="16"/>
  <c r="B645" i="16"/>
  <c r="I644" i="16"/>
  <c r="H644" i="16"/>
  <c r="G644" i="16"/>
  <c r="F644" i="16"/>
  <c r="E644" i="16"/>
  <c r="D644" i="16"/>
  <c r="C644" i="16"/>
  <c r="B644" i="16"/>
  <c r="I643" i="16"/>
  <c r="H643" i="16"/>
  <c r="G643" i="16"/>
  <c r="F643" i="16"/>
  <c r="E643" i="16"/>
  <c r="D643" i="16"/>
  <c r="C643" i="16"/>
  <c r="B643" i="16"/>
  <c r="I642" i="16"/>
  <c r="H642" i="16"/>
  <c r="G642" i="16"/>
  <c r="F642" i="16"/>
  <c r="E642" i="16"/>
  <c r="D642" i="16"/>
  <c r="C642" i="16"/>
  <c r="B642" i="16"/>
  <c r="I641" i="16"/>
  <c r="H641" i="16"/>
  <c r="G641" i="16"/>
  <c r="F641" i="16"/>
  <c r="E641" i="16"/>
  <c r="D641" i="16"/>
  <c r="C641" i="16"/>
  <c r="B641" i="16"/>
  <c r="I640" i="16"/>
  <c r="H640" i="16"/>
  <c r="G640" i="16"/>
  <c r="F640" i="16"/>
  <c r="E640" i="16"/>
  <c r="D640" i="16"/>
  <c r="C640" i="16"/>
  <c r="B640" i="16"/>
  <c r="I639" i="16"/>
  <c r="H639" i="16"/>
  <c r="G639" i="16"/>
  <c r="F639" i="16"/>
  <c r="E639" i="16"/>
  <c r="D639" i="16"/>
  <c r="C639" i="16"/>
  <c r="B639" i="16"/>
  <c r="I638" i="16"/>
  <c r="H638" i="16"/>
  <c r="G638" i="16"/>
  <c r="F638" i="16"/>
  <c r="E638" i="16"/>
  <c r="D638" i="16"/>
  <c r="C638" i="16"/>
  <c r="B638" i="16"/>
  <c r="I637" i="16"/>
  <c r="H637" i="16"/>
  <c r="G637" i="16"/>
  <c r="F637" i="16"/>
  <c r="E637" i="16"/>
  <c r="D637" i="16"/>
  <c r="C637" i="16"/>
  <c r="B637" i="16"/>
  <c r="I636" i="16"/>
  <c r="H636" i="16"/>
  <c r="G636" i="16"/>
  <c r="F636" i="16"/>
  <c r="E636" i="16"/>
  <c r="D636" i="16"/>
  <c r="C636" i="16"/>
  <c r="B636" i="16"/>
  <c r="I635" i="16"/>
  <c r="H635" i="16"/>
  <c r="G635" i="16"/>
  <c r="F635" i="16"/>
  <c r="E635" i="16"/>
  <c r="D635" i="16"/>
  <c r="C635" i="16"/>
  <c r="B635" i="16"/>
  <c r="I634" i="16"/>
  <c r="H634" i="16"/>
  <c r="G634" i="16"/>
  <c r="F634" i="16"/>
  <c r="E634" i="16"/>
  <c r="D634" i="16"/>
  <c r="C634" i="16"/>
  <c r="B634" i="16"/>
  <c r="I633" i="16"/>
  <c r="H633" i="16"/>
  <c r="G633" i="16"/>
  <c r="F633" i="16"/>
  <c r="E633" i="16"/>
  <c r="D633" i="16"/>
  <c r="C633" i="16"/>
  <c r="B633" i="16"/>
  <c r="I632" i="16"/>
  <c r="H632" i="16"/>
  <c r="G632" i="16"/>
  <c r="F632" i="16"/>
  <c r="E632" i="16"/>
  <c r="D632" i="16"/>
  <c r="C632" i="16"/>
  <c r="B632" i="16"/>
  <c r="I631" i="16"/>
  <c r="H631" i="16"/>
  <c r="G631" i="16"/>
  <c r="F631" i="16"/>
  <c r="E631" i="16"/>
  <c r="D631" i="16"/>
  <c r="C631" i="16"/>
  <c r="B631" i="16"/>
  <c r="I630" i="16"/>
  <c r="H630" i="16"/>
  <c r="G630" i="16"/>
  <c r="F630" i="16"/>
  <c r="E630" i="16"/>
  <c r="D630" i="16"/>
  <c r="C630" i="16"/>
  <c r="B630" i="16"/>
  <c r="I629" i="16"/>
  <c r="H629" i="16"/>
  <c r="G629" i="16"/>
  <c r="F629" i="16"/>
  <c r="E629" i="16"/>
  <c r="D629" i="16"/>
  <c r="C629" i="16"/>
  <c r="B629" i="16"/>
  <c r="I628" i="16"/>
  <c r="H628" i="16"/>
  <c r="G628" i="16"/>
  <c r="F628" i="16"/>
  <c r="E628" i="16"/>
  <c r="D628" i="16"/>
  <c r="C628" i="16"/>
  <c r="B628" i="16"/>
  <c r="I627" i="16"/>
  <c r="H627" i="16"/>
  <c r="G627" i="16"/>
  <c r="F627" i="16"/>
  <c r="E627" i="16"/>
  <c r="D627" i="16"/>
  <c r="C627" i="16"/>
  <c r="B627" i="16"/>
  <c r="I626" i="16"/>
  <c r="H626" i="16"/>
  <c r="G626" i="16"/>
  <c r="F626" i="16"/>
  <c r="E626" i="16"/>
  <c r="D626" i="16"/>
  <c r="C626" i="16"/>
  <c r="B626" i="16"/>
  <c r="I625" i="16"/>
  <c r="H625" i="16"/>
  <c r="G625" i="16"/>
  <c r="F625" i="16"/>
  <c r="E625" i="16"/>
  <c r="D625" i="16"/>
  <c r="C625" i="16"/>
  <c r="B625" i="16"/>
  <c r="I624" i="16"/>
  <c r="H624" i="16"/>
  <c r="G624" i="16"/>
  <c r="F624" i="16"/>
  <c r="E624" i="16"/>
  <c r="D624" i="16"/>
  <c r="C624" i="16"/>
  <c r="B624" i="16"/>
  <c r="I623" i="16"/>
  <c r="H623" i="16"/>
  <c r="G623" i="16"/>
  <c r="F623" i="16"/>
  <c r="E623" i="16"/>
  <c r="D623" i="16"/>
  <c r="C623" i="16"/>
  <c r="B623" i="16"/>
  <c r="I622" i="16"/>
  <c r="H622" i="16"/>
  <c r="G622" i="16"/>
  <c r="F622" i="16"/>
  <c r="E622" i="16"/>
  <c r="D622" i="16"/>
  <c r="C622" i="16"/>
  <c r="B622" i="16"/>
  <c r="I621" i="16"/>
  <c r="H621" i="16"/>
  <c r="G621" i="16"/>
  <c r="F621" i="16"/>
  <c r="E621" i="16"/>
  <c r="D621" i="16"/>
  <c r="C621" i="16"/>
  <c r="B621" i="16"/>
  <c r="I620" i="16"/>
  <c r="H620" i="16"/>
  <c r="G620" i="16"/>
  <c r="F620" i="16"/>
  <c r="E620" i="16"/>
  <c r="D620" i="16"/>
  <c r="C620" i="16"/>
  <c r="B620" i="16"/>
  <c r="I619" i="16"/>
  <c r="H619" i="16"/>
  <c r="G619" i="16"/>
  <c r="F619" i="16"/>
  <c r="E619" i="16"/>
  <c r="D619" i="16"/>
  <c r="C619" i="16"/>
  <c r="B619" i="16"/>
  <c r="I618" i="16"/>
  <c r="H618" i="16"/>
  <c r="G618" i="16"/>
  <c r="F618" i="16"/>
  <c r="E618" i="16"/>
  <c r="D618" i="16"/>
  <c r="C618" i="16"/>
  <c r="B618" i="16"/>
  <c r="I617" i="16"/>
  <c r="H617" i="16"/>
  <c r="G617" i="16"/>
  <c r="F617" i="16"/>
  <c r="E617" i="16"/>
  <c r="D617" i="16"/>
  <c r="C617" i="16"/>
  <c r="B617" i="16"/>
  <c r="I616" i="16"/>
  <c r="H616" i="16"/>
  <c r="G616" i="16"/>
  <c r="F616" i="16"/>
  <c r="E616" i="16"/>
  <c r="D616" i="16"/>
  <c r="C616" i="16"/>
  <c r="B616" i="16"/>
  <c r="I615" i="16"/>
  <c r="H615" i="16"/>
  <c r="G615" i="16"/>
  <c r="F615" i="16"/>
  <c r="E615" i="16"/>
  <c r="D615" i="16"/>
  <c r="C615" i="16"/>
  <c r="B615" i="16"/>
  <c r="I614" i="16"/>
  <c r="H614" i="16"/>
  <c r="G614" i="16"/>
  <c r="F614" i="16"/>
  <c r="E614" i="16"/>
  <c r="D614" i="16"/>
  <c r="C614" i="16"/>
  <c r="B614" i="16"/>
  <c r="I613" i="16"/>
  <c r="H613" i="16"/>
  <c r="G613" i="16"/>
  <c r="F613" i="16"/>
  <c r="E613" i="16"/>
  <c r="D613" i="16"/>
  <c r="C613" i="16"/>
  <c r="B613" i="16"/>
  <c r="I612" i="16"/>
  <c r="H612" i="16"/>
  <c r="G612" i="16"/>
  <c r="F612" i="16"/>
  <c r="E612" i="16"/>
  <c r="D612" i="16"/>
  <c r="C612" i="16"/>
  <c r="B612" i="16"/>
  <c r="I611" i="16"/>
  <c r="H611" i="16"/>
  <c r="G611" i="16"/>
  <c r="F611" i="16"/>
  <c r="E611" i="16"/>
  <c r="D611" i="16"/>
  <c r="C611" i="16"/>
  <c r="B611" i="16"/>
  <c r="I610" i="16"/>
  <c r="H610" i="16"/>
  <c r="G610" i="16"/>
  <c r="F610" i="16"/>
  <c r="E610" i="16"/>
  <c r="D610" i="16"/>
  <c r="C610" i="16"/>
  <c r="B610" i="16"/>
  <c r="I609" i="16"/>
  <c r="H609" i="16"/>
  <c r="G609" i="16"/>
  <c r="F609" i="16"/>
  <c r="E609" i="16"/>
  <c r="D609" i="16"/>
  <c r="C609" i="16"/>
  <c r="B609" i="16"/>
  <c r="I608" i="16"/>
  <c r="H608" i="16"/>
  <c r="G608" i="16"/>
  <c r="F608" i="16"/>
  <c r="E608" i="16"/>
  <c r="D608" i="16"/>
  <c r="C608" i="16"/>
  <c r="B608" i="16"/>
  <c r="I607" i="16"/>
  <c r="H607" i="16"/>
  <c r="G607" i="16"/>
  <c r="F607" i="16"/>
  <c r="E607" i="16"/>
  <c r="D607" i="16"/>
  <c r="C607" i="16"/>
  <c r="B607" i="16"/>
  <c r="I606" i="16"/>
  <c r="H606" i="16"/>
  <c r="G606" i="16"/>
  <c r="F606" i="16"/>
  <c r="E606" i="16"/>
  <c r="D606" i="16"/>
  <c r="C606" i="16"/>
  <c r="B606" i="16"/>
  <c r="I605" i="16"/>
  <c r="H605" i="16"/>
  <c r="G605" i="16"/>
  <c r="F605" i="16"/>
  <c r="E605" i="16"/>
  <c r="D605" i="16"/>
  <c r="C605" i="16"/>
  <c r="B605" i="16"/>
  <c r="I604" i="16"/>
  <c r="H604" i="16"/>
  <c r="G604" i="16"/>
  <c r="F604" i="16"/>
  <c r="E604" i="16"/>
  <c r="D604" i="16"/>
  <c r="C604" i="16"/>
  <c r="B604" i="16"/>
  <c r="I603" i="16"/>
  <c r="H603" i="16"/>
  <c r="G603" i="16"/>
  <c r="F603" i="16"/>
  <c r="E603" i="16"/>
  <c r="D603" i="16"/>
  <c r="C603" i="16"/>
  <c r="B603" i="16"/>
  <c r="I602" i="16"/>
  <c r="H602" i="16"/>
  <c r="G602" i="16"/>
  <c r="F602" i="16"/>
  <c r="E602" i="16"/>
  <c r="D602" i="16"/>
  <c r="C602" i="16"/>
  <c r="B602" i="16"/>
  <c r="I601" i="16"/>
  <c r="H601" i="16"/>
  <c r="G601" i="16"/>
  <c r="F601" i="16"/>
  <c r="E601" i="16"/>
  <c r="D601" i="16"/>
  <c r="C601" i="16"/>
  <c r="B601" i="16"/>
  <c r="I600" i="16"/>
  <c r="H600" i="16"/>
  <c r="G600" i="16"/>
  <c r="F600" i="16"/>
  <c r="E600" i="16"/>
  <c r="D600" i="16"/>
  <c r="C600" i="16"/>
  <c r="B600" i="16"/>
  <c r="I599" i="16"/>
  <c r="H599" i="16"/>
  <c r="G599" i="16"/>
  <c r="F599" i="16"/>
  <c r="E599" i="16"/>
  <c r="D599" i="16"/>
  <c r="C599" i="16"/>
  <c r="B599" i="16"/>
  <c r="I598" i="16"/>
  <c r="H598" i="16"/>
  <c r="G598" i="16"/>
  <c r="F598" i="16"/>
  <c r="E598" i="16"/>
  <c r="D598" i="16"/>
  <c r="C598" i="16"/>
  <c r="B598" i="16"/>
  <c r="I597" i="16"/>
  <c r="H597" i="16"/>
  <c r="G597" i="16"/>
  <c r="F597" i="16"/>
  <c r="E597" i="16"/>
  <c r="D597" i="16"/>
  <c r="C597" i="16"/>
  <c r="B597" i="16"/>
  <c r="I596" i="16"/>
  <c r="H596" i="16"/>
  <c r="G596" i="16"/>
  <c r="F596" i="16"/>
  <c r="E596" i="16"/>
  <c r="D596" i="16"/>
  <c r="C596" i="16"/>
  <c r="B596" i="16"/>
  <c r="I595" i="16"/>
  <c r="H595" i="16"/>
  <c r="G595" i="16"/>
  <c r="F595" i="16"/>
  <c r="E595" i="16"/>
  <c r="D595" i="16"/>
  <c r="C595" i="16"/>
  <c r="B595" i="16"/>
  <c r="I594" i="16"/>
  <c r="H594" i="16"/>
  <c r="G594" i="16"/>
  <c r="F594" i="16"/>
  <c r="E594" i="16"/>
  <c r="D594" i="16"/>
  <c r="C594" i="16"/>
  <c r="B594" i="16"/>
  <c r="I593" i="16"/>
  <c r="H593" i="16"/>
  <c r="G593" i="16"/>
  <c r="F593" i="16"/>
  <c r="E593" i="16"/>
  <c r="D593" i="16"/>
  <c r="C593" i="16"/>
  <c r="B593" i="16"/>
  <c r="I592" i="16"/>
  <c r="H592" i="16"/>
  <c r="G592" i="16"/>
  <c r="F592" i="16"/>
  <c r="E592" i="16"/>
  <c r="D592" i="16"/>
  <c r="C592" i="16"/>
  <c r="B592" i="16"/>
  <c r="I591" i="16"/>
  <c r="H591" i="16"/>
  <c r="G591" i="16"/>
  <c r="F591" i="16"/>
  <c r="E591" i="16"/>
  <c r="D591" i="16"/>
  <c r="C591" i="16"/>
  <c r="B591" i="16"/>
  <c r="I590" i="16"/>
  <c r="H590" i="16"/>
  <c r="G590" i="16"/>
  <c r="F590" i="16"/>
  <c r="E590" i="16"/>
  <c r="D590" i="16"/>
  <c r="C590" i="16"/>
  <c r="B590" i="16"/>
  <c r="I589" i="16"/>
  <c r="H589" i="16"/>
  <c r="G589" i="16"/>
  <c r="F589" i="16"/>
  <c r="E589" i="16"/>
  <c r="D589" i="16"/>
  <c r="C589" i="16"/>
  <c r="B589" i="16"/>
  <c r="I588" i="16"/>
  <c r="H588" i="16"/>
  <c r="G588" i="16"/>
  <c r="F588" i="16"/>
  <c r="E588" i="16"/>
  <c r="D588" i="16"/>
  <c r="C588" i="16"/>
  <c r="B588" i="16"/>
  <c r="I587" i="16"/>
  <c r="H587" i="16"/>
  <c r="G587" i="16"/>
  <c r="F587" i="16"/>
  <c r="E587" i="16"/>
  <c r="D587" i="16"/>
  <c r="C587" i="16"/>
  <c r="B587" i="16"/>
  <c r="I586" i="16"/>
  <c r="H586" i="16"/>
  <c r="G586" i="16"/>
  <c r="F586" i="16"/>
  <c r="E586" i="16"/>
  <c r="D586" i="16"/>
  <c r="C586" i="16"/>
  <c r="B586" i="16"/>
  <c r="I585" i="16"/>
  <c r="H585" i="16"/>
  <c r="G585" i="16"/>
  <c r="F585" i="16"/>
  <c r="E585" i="16"/>
  <c r="D585" i="16"/>
  <c r="C585" i="16"/>
  <c r="B585" i="16"/>
  <c r="I584" i="16"/>
  <c r="H584" i="16"/>
  <c r="G584" i="16"/>
  <c r="F584" i="16"/>
  <c r="E584" i="16"/>
  <c r="D584" i="16"/>
  <c r="C584" i="16"/>
  <c r="B584" i="16"/>
  <c r="I583" i="16"/>
  <c r="H583" i="16"/>
  <c r="G583" i="16"/>
  <c r="F583" i="16"/>
  <c r="E583" i="16"/>
  <c r="D583" i="16"/>
  <c r="C583" i="16"/>
  <c r="B583" i="16"/>
  <c r="I582" i="16"/>
  <c r="H582" i="16"/>
  <c r="G582" i="16"/>
  <c r="F582" i="16"/>
  <c r="E582" i="16"/>
  <c r="D582" i="16"/>
  <c r="C582" i="16"/>
  <c r="B582" i="16"/>
  <c r="I581" i="16"/>
  <c r="H581" i="16"/>
  <c r="G581" i="16"/>
  <c r="F581" i="16"/>
  <c r="E581" i="16"/>
  <c r="D581" i="16"/>
  <c r="C581" i="16"/>
  <c r="B581" i="16"/>
  <c r="I580" i="16"/>
  <c r="H580" i="16"/>
  <c r="G580" i="16"/>
  <c r="F580" i="16"/>
  <c r="E580" i="16"/>
  <c r="D580" i="16"/>
  <c r="C580" i="16"/>
  <c r="B580" i="16"/>
  <c r="I579" i="16"/>
  <c r="H579" i="16"/>
  <c r="G579" i="16"/>
  <c r="F579" i="16"/>
  <c r="E579" i="16"/>
  <c r="D579" i="16"/>
  <c r="C579" i="16"/>
  <c r="B579" i="16"/>
  <c r="I578" i="16"/>
  <c r="H578" i="16"/>
  <c r="G578" i="16"/>
  <c r="F578" i="16"/>
  <c r="E578" i="16"/>
  <c r="D578" i="16"/>
  <c r="C578" i="16"/>
  <c r="B578" i="16"/>
  <c r="I577" i="16"/>
  <c r="H577" i="16"/>
  <c r="G577" i="16"/>
  <c r="F577" i="16"/>
  <c r="E577" i="16"/>
  <c r="D577" i="16"/>
  <c r="C577" i="16"/>
  <c r="B577" i="16"/>
  <c r="I576" i="16"/>
  <c r="H576" i="16"/>
  <c r="G576" i="16"/>
  <c r="F576" i="16"/>
  <c r="E576" i="16"/>
  <c r="D576" i="16"/>
  <c r="C576" i="16"/>
  <c r="B576" i="16"/>
  <c r="I575" i="16"/>
  <c r="H575" i="16"/>
  <c r="G575" i="16"/>
  <c r="F575" i="16"/>
  <c r="E575" i="16"/>
  <c r="D575" i="16"/>
  <c r="C575" i="16"/>
  <c r="B575" i="16"/>
  <c r="I574" i="16"/>
  <c r="H574" i="16"/>
  <c r="G574" i="16"/>
  <c r="F574" i="16"/>
  <c r="E574" i="16"/>
  <c r="D574" i="16"/>
  <c r="C574" i="16"/>
  <c r="B574" i="16"/>
  <c r="I573" i="16"/>
  <c r="H573" i="16"/>
  <c r="G573" i="16"/>
  <c r="F573" i="16"/>
  <c r="E573" i="16"/>
  <c r="D573" i="16"/>
  <c r="C573" i="16"/>
  <c r="B573" i="16"/>
  <c r="I572" i="16"/>
  <c r="H572" i="16"/>
  <c r="G572" i="16"/>
  <c r="F572" i="16"/>
  <c r="E572" i="16"/>
  <c r="D572" i="16"/>
  <c r="C572" i="16"/>
  <c r="B572" i="16"/>
  <c r="I571" i="16"/>
  <c r="H571" i="16"/>
  <c r="G571" i="16"/>
  <c r="F571" i="16"/>
  <c r="E571" i="16"/>
  <c r="D571" i="16"/>
  <c r="C571" i="16"/>
  <c r="B571" i="16"/>
  <c r="I570" i="16"/>
  <c r="H570" i="16"/>
  <c r="G570" i="16"/>
  <c r="F570" i="16"/>
  <c r="E570" i="16"/>
  <c r="D570" i="16"/>
  <c r="C570" i="16"/>
  <c r="B570" i="16"/>
  <c r="I569" i="16"/>
  <c r="H569" i="16"/>
  <c r="G569" i="16"/>
  <c r="F569" i="16"/>
  <c r="E569" i="16"/>
  <c r="D569" i="16"/>
  <c r="C569" i="16"/>
  <c r="B569" i="16"/>
  <c r="I568" i="16"/>
  <c r="H568" i="16"/>
  <c r="G568" i="16"/>
  <c r="F568" i="16"/>
  <c r="E568" i="16"/>
  <c r="D568" i="16"/>
  <c r="C568" i="16"/>
  <c r="B568" i="16"/>
  <c r="I567" i="16"/>
  <c r="H567" i="16"/>
  <c r="G567" i="16"/>
  <c r="F567" i="16"/>
  <c r="E567" i="16"/>
  <c r="D567" i="16"/>
  <c r="C567" i="16"/>
  <c r="B567" i="16"/>
  <c r="I566" i="16"/>
  <c r="H566" i="16"/>
  <c r="G566" i="16"/>
  <c r="F566" i="16"/>
  <c r="E566" i="16"/>
  <c r="D566" i="16"/>
  <c r="C566" i="16"/>
  <c r="B566" i="16"/>
  <c r="I565" i="16"/>
  <c r="H565" i="16"/>
  <c r="G565" i="16"/>
  <c r="F565" i="16"/>
  <c r="E565" i="16"/>
  <c r="D565" i="16"/>
  <c r="C565" i="16"/>
  <c r="B565" i="16"/>
  <c r="I564" i="16"/>
  <c r="H564" i="16"/>
  <c r="G564" i="16"/>
  <c r="F564" i="16"/>
  <c r="E564" i="16"/>
  <c r="D564" i="16"/>
  <c r="C564" i="16"/>
  <c r="B564" i="16"/>
  <c r="I563" i="16"/>
  <c r="H563" i="16"/>
  <c r="G563" i="16"/>
  <c r="F563" i="16"/>
  <c r="E563" i="16"/>
  <c r="D563" i="16"/>
  <c r="C563" i="16"/>
  <c r="B563" i="16"/>
  <c r="I562" i="16"/>
  <c r="H562" i="16"/>
  <c r="G562" i="16"/>
  <c r="F562" i="16"/>
  <c r="E562" i="16"/>
  <c r="D562" i="16"/>
  <c r="C562" i="16"/>
  <c r="B562" i="16"/>
  <c r="I561" i="16"/>
  <c r="H561" i="16"/>
  <c r="G561" i="16"/>
  <c r="F561" i="16"/>
  <c r="E561" i="16"/>
  <c r="D561" i="16"/>
  <c r="C561" i="16"/>
  <c r="B561" i="16"/>
  <c r="I560" i="16"/>
  <c r="H560" i="16"/>
  <c r="G560" i="16"/>
  <c r="F560" i="16"/>
  <c r="E560" i="16"/>
  <c r="D560" i="16"/>
  <c r="C560" i="16"/>
  <c r="B560" i="16"/>
  <c r="I559" i="16"/>
  <c r="H559" i="16"/>
  <c r="G559" i="16"/>
  <c r="F559" i="16"/>
  <c r="E559" i="16"/>
  <c r="D559" i="16"/>
  <c r="C559" i="16"/>
  <c r="B559" i="16"/>
  <c r="I558" i="16"/>
  <c r="H558" i="16"/>
  <c r="G558" i="16"/>
  <c r="F558" i="16"/>
  <c r="E558" i="16"/>
  <c r="D558" i="16"/>
  <c r="C558" i="16"/>
  <c r="B558" i="16"/>
  <c r="I557" i="16"/>
  <c r="H557" i="16"/>
  <c r="G557" i="16"/>
  <c r="F557" i="16"/>
  <c r="E557" i="16"/>
  <c r="D557" i="16"/>
  <c r="C557" i="16"/>
  <c r="B557" i="16"/>
  <c r="I556" i="16"/>
  <c r="H556" i="16"/>
  <c r="G556" i="16"/>
  <c r="F556" i="16"/>
  <c r="E556" i="16"/>
  <c r="D556" i="16"/>
  <c r="C556" i="16"/>
  <c r="B556" i="16"/>
  <c r="I555" i="16"/>
  <c r="H555" i="16"/>
  <c r="G555" i="16"/>
  <c r="F555" i="16"/>
  <c r="E555" i="16"/>
  <c r="D555" i="16"/>
  <c r="C555" i="16"/>
  <c r="B555" i="16"/>
  <c r="I554" i="16"/>
  <c r="H554" i="16"/>
  <c r="G554" i="16"/>
  <c r="F554" i="16"/>
  <c r="E554" i="16"/>
  <c r="D554" i="16"/>
  <c r="C554" i="16"/>
  <c r="B554" i="16"/>
  <c r="I553" i="16"/>
  <c r="H553" i="16"/>
  <c r="G553" i="16"/>
  <c r="F553" i="16"/>
  <c r="E553" i="16"/>
  <c r="D553" i="16"/>
  <c r="C553" i="16"/>
  <c r="B553" i="16"/>
  <c r="I552" i="16"/>
  <c r="H552" i="16"/>
  <c r="G552" i="16"/>
  <c r="F552" i="16"/>
  <c r="E552" i="16"/>
  <c r="D552" i="16"/>
  <c r="C552" i="16"/>
  <c r="B552" i="16"/>
  <c r="I551" i="16"/>
  <c r="H551" i="16"/>
  <c r="G551" i="16"/>
  <c r="F551" i="16"/>
  <c r="E551" i="16"/>
  <c r="D551" i="16"/>
  <c r="C551" i="16"/>
  <c r="B551" i="16"/>
  <c r="I550" i="16"/>
  <c r="H550" i="16"/>
  <c r="G550" i="16"/>
  <c r="F550" i="16"/>
  <c r="E550" i="16"/>
  <c r="D550" i="16"/>
  <c r="C550" i="16"/>
  <c r="B550" i="16"/>
  <c r="I549" i="16"/>
  <c r="H549" i="16"/>
  <c r="G549" i="16"/>
  <c r="F549" i="16"/>
  <c r="E549" i="16"/>
  <c r="D549" i="16"/>
  <c r="C549" i="16"/>
  <c r="B549" i="16"/>
  <c r="I548" i="16"/>
  <c r="H548" i="16"/>
  <c r="G548" i="16"/>
  <c r="F548" i="16"/>
  <c r="E548" i="16"/>
  <c r="D548" i="16"/>
  <c r="C548" i="16"/>
  <c r="B548" i="16"/>
  <c r="I547" i="16"/>
  <c r="H547" i="16"/>
  <c r="G547" i="16"/>
  <c r="F547" i="16"/>
  <c r="E547" i="16"/>
  <c r="D547" i="16"/>
  <c r="C547" i="16"/>
  <c r="B547" i="16"/>
  <c r="I546" i="16"/>
  <c r="H546" i="16"/>
  <c r="G546" i="16"/>
  <c r="F546" i="16"/>
  <c r="E546" i="16"/>
  <c r="D546" i="16"/>
  <c r="C546" i="16"/>
  <c r="B546" i="16"/>
  <c r="I545" i="16"/>
  <c r="H545" i="16"/>
  <c r="G545" i="16"/>
  <c r="F545" i="16"/>
  <c r="E545" i="16"/>
  <c r="D545" i="16"/>
  <c r="C545" i="16"/>
  <c r="B545" i="16"/>
  <c r="I544" i="16"/>
  <c r="H544" i="16"/>
  <c r="G544" i="16"/>
  <c r="F544" i="16"/>
  <c r="E544" i="16"/>
  <c r="D544" i="16"/>
  <c r="C544" i="16"/>
  <c r="B544" i="16"/>
  <c r="I543" i="16"/>
  <c r="H543" i="16"/>
  <c r="G543" i="16"/>
  <c r="F543" i="16"/>
  <c r="E543" i="16"/>
  <c r="D543" i="16"/>
  <c r="C543" i="16"/>
  <c r="B543" i="16"/>
  <c r="I542" i="16"/>
  <c r="H542" i="16"/>
  <c r="G542" i="16"/>
  <c r="F542" i="16"/>
  <c r="E542" i="16"/>
  <c r="D542" i="16"/>
  <c r="C542" i="16"/>
  <c r="B542" i="16"/>
  <c r="I541" i="16"/>
  <c r="H541" i="16"/>
  <c r="G541" i="16"/>
  <c r="F541" i="16"/>
  <c r="E541" i="16"/>
  <c r="D541" i="16"/>
  <c r="C541" i="16"/>
  <c r="B541" i="16"/>
  <c r="I540" i="16"/>
  <c r="H540" i="16"/>
  <c r="G540" i="16"/>
  <c r="F540" i="16"/>
  <c r="E540" i="16"/>
  <c r="D540" i="16"/>
  <c r="C540" i="16"/>
  <c r="B540" i="16"/>
  <c r="I539" i="16"/>
  <c r="H539" i="16"/>
  <c r="G539" i="16"/>
  <c r="F539" i="16"/>
  <c r="E539" i="16"/>
  <c r="D539" i="16"/>
  <c r="C539" i="16"/>
  <c r="B539" i="16"/>
  <c r="I538" i="16"/>
  <c r="H538" i="16"/>
  <c r="G538" i="16"/>
  <c r="F538" i="16"/>
  <c r="E538" i="16"/>
  <c r="D538" i="16"/>
  <c r="C538" i="16"/>
  <c r="B538" i="16"/>
  <c r="I537" i="16"/>
  <c r="H537" i="16"/>
  <c r="G537" i="16"/>
  <c r="F537" i="16"/>
  <c r="E537" i="16"/>
  <c r="D537" i="16"/>
  <c r="C537" i="16"/>
  <c r="B537" i="16"/>
  <c r="I536" i="16"/>
  <c r="H536" i="16"/>
  <c r="G536" i="16"/>
  <c r="F536" i="16"/>
  <c r="E536" i="16"/>
  <c r="D536" i="16"/>
  <c r="C536" i="16"/>
  <c r="B536" i="16"/>
  <c r="I535" i="16"/>
  <c r="H535" i="16"/>
  <c r="G535" i="16"/>
  <c r="F535" i="16"/>
  <c r="E535" i="16"/>
  <c r="D535" i="16"/>
  <c r="C535" i="16"/>
  <c r="B535" i="16"/>
  <c r="I534" i="16"/>
  <c r="H534" i="16"/>
  <c r="G534" i="16"/>
  <c r="F534" i="16"/>
  <c r="E534" i="16"/>
  <c r="D534" i="16"/>
  <c r="C534" i="16"/>
  <c r="B534" i="16"/>
  <c r="I533" i="16"/>
  <c r="H533" i="16"/>
  <c r="G533" i="16"/>
  <c r="F533" i="16"/>
  <c r="E533" i="16"/>
  <c r="D533" i="16"/>
  <c r="C533" i="16"/>
  <c r="B533" i="16"/>
  <c r="I532" i="16"/>
  <c r="H532" i="16"/>
  <c r="G532" i="16"/>
  <c r="F532" i="16"/>
  <c r="E532" i="16"/>
  <c r="D532" i="16"/>
  <c r="C532" i="16"/>
  <c r="B532" i="16"/>
  <c r="I531" i="16"/>
  <c r="H531" i="16"/>
  <c r="G531" i="16"/>
  <c r="F531" i="16"/>
  <c r="E531" i="16"/>
  <c r="D531" i="16"/>
  <c r="C531" i="16"/>
  <c r="B531" i="16"/>
  <c r="I530" i="16"/>
  <c r="H530" i="16"/>
  <c r="G530" i="16"/>
  <c r="F530" i="16"/>
  <c r="E530" i="16"/>
  <c r="D530" i="16"/>
  <c r="C530" i="16"/>
  <c r="B530" i="16"/>
  <c r="I529" i="16"/>
  <c r="H529" i="16"/>
  <c r="G529" i="16"/>
  <c r="F529" i="16"/>
  <c r="E529" i="16"/>
  <c r="D529" i="16"/>
  <c r="C529" i="16"/>
  <c r="B529" i="16"/>
  <c r="I528" i="16"/>
  <c r="H528" i="16"/>
  <c r="G528" i="16"/>
  <c r="F528" i="16"/>
  <c r="E528" i="16"/>
  <c r="D528" i="16"/>
  <c r="C528" i="16"/>
  <c r="B528" i="16"/>
  <c r="I527" i="16"/>
  <c r="H527" i="16"/>
  <c r="G527" i="16"/>
  <c r="F527" i="16"/>
  <c r="E527" i="16"/>
  <c r="D527" i="16"/>
  <c r="C527" i="16"/>
  <c r="B527" i="16"/>
  <c r="I526" i="16"/>
  <c r="H526" i="16"/>
  <c r="G526" i="16"/>
  <c r="F526" i="16"/>
  <c r="E526" i="16"/>
  <c r="D526" i="16"/>
  <c r="C526" i="16"/>
  <c r="B526" i="16"/>
  <c r="I525" i="16"/>
  <c r="H525" i="16"/>
  <c r="G525" i="16"/>
  <c r="F525" i="16"/>
  <c r="E525" i="16"/>
  <c r="D525" i="16"/>
  <c r="C525" i="16"/>
  <c r="B525" i="16"/>
  <c r="I524" i="16"/>
  <c r="H524" i="16"/>
  <c r="G524" i="16"/>
  <c r="F524" i="16"/>
  <c r="E524" i="16"/>
  <c r="D524" i="16"/>
  <c r="C524" i="16"/>
  <c r="B524" i="16"/>
  <c r="I523" i="16"/>
  <c r="H523" i="16"/>
  <c r="G523" i="16"/>
  <c r="F523" i="16"/>
  <c r="E523" i="16"/>
  <c r="D523" i="16"/>
  <c r="C523" i="16"/>
  <c r="B523" i="16"/>
  <c r="I522" i="16"/>
  <c r="H522" i="16"/>
  <c r="G522" i="16"/>
  <c r="F522" i="16"/>
  <c r="E522" i="16"/>
  <c r="D522" i="16"/>
  <c r="C522" i="16"/>
  <c r="B522" i="16"/>
  <c r="I521" i="16"/>
  <c r="H521" i="16"/>
  <c r="G521" i="16"/>
  <c r="F521" i="16"/>
  <c r="E521" i="16"/>
  <c r="D521" i="16"/>
  <c r="C521" i="16"/>
  <c r="B521" i="16"/>
  <c r="I520" i="16"/>
  <c r="H520" i="16"/>
  <c r="G520" i="16"/>
  <c r="F520" i="16"/>
  <c r="E520" i="16"/>
  <c r="D520" i="16"/>
  <c r="C520" i="16"/>
  <c r="B520" i="16"/>
  <c r="I519" i="16"/>
  <c r="H519" i="16"/>
  <c r="G519" i="16"/>
  <c r="F519" i="16"/>
  <c r="E519" i="16"/>
  <c r="D519" i="16"/>
  <c r="C519" i="16"/>
  <c r="B519" i="16"/>
  <c r="I518" i="16"/>
  <c r="H518" i="16"/>
  <c r="G518" i="16"/>
  <c r="F518" i="16"/>
  <c r="E518" i="16"/>
  <c r="D518" i="16"/>
  <c r="C518" i="16"/>
  <c r="B518" i="16"/>
  <c r="I517" i="16"/>
  <c r="H517" i="16"/>
  <c r="G517" i="16"/>
  <c r="F517" i="16"/>
  <c r="E517" i="16"/>
  <c r="D517" i="16"/>
  <c r="C517" i="16"/>
  <c r="B517" i="16"/>
  <c r="I516" i="16"/>
  <c r="H516" i="16"/>
  <c r="G516" i="16"/>
  <c r="F516" i="16"/>
  <c r="E516" i="16"/>
  <c r="D516" i="16"/>
  <c r="C516" i="16"/>
  <c r="B516" i="16"/>
  <c r="I515" i="16"/>
  <c r="H515" i="16"/>
  <c r="G515" i="16"/>
  <c r="F515" i="16"/>
  <c r="E515" i="16"/>
  <c r="D515" i="16"/>
  <c r="C515" i="16"/>
  <c r="B515" i="16"/>
  <c r="I514" i="16"/>
  <c r="H514" i="16"/>
  <c r="G514" i="16"/>
  <c r="F514" i="16"/>
  <c r="E514" i="16"/>
  <c r="D514" i="16"/>
  <c r="C514" i="16"/>
  <c r="B514" i="16"/>
  <c r="I513" i="16"/>
  <c r="H513" i="16"/>
  <c r="G513" i="16"/>
  <c r="F513" i="16"/>
  <c r="E513" i="16"/>
  <c r="D513" i="16"/>
  <c r="C513" i="16"/>
  <c r="B513" i="16"/>
  <c r="I512" i="16"/>
  <c r="H512" i="16"/>
  <c r="G512" i="16"/>
  <c r="F512" i="16"/>
  <c r="E512" i="16"/>
  <c r="D512" i="16"/>
  <c r="C512" i="16"/>
  <c r="B512" i="16"/>
  <c r="I511" i="16"/>
  <c r="H511" i="16"/>
  <c r="G511" i="16"/>
  <c r="F511" i="16"/>
  <c r="E511" i="16"/>
  <c r="D511" i="16"/>
  <c r="C511" i="16"/>
  <c r="B511" i="16"/>
  <c r="I510" i="16"/>
  <c r="H510" i="16"/>
  <c r="G510" i="16"/>
  <c r="F510" i="16"/>
  <c r="E510" i="16"/>
  <c r="D510" i="16"/>
  <c r="C510" i="16"/>
  <c r="B510" i="16"/>
  <c r="I509" i="16"/>
  <c r="H509" i="16"/>
  <c r="G509" i="16"/>
  <c r="F509" i="16"/>
  <c r="E509" i="16"/>
  <c r="D509" i="16"/>
  <c r="C509" i="16"/>
  <c r="B509" i="16"/>
  <c r="I508" i="16"/>
  <c r="H508" i="16"/>
  <c r="G508" i="16"/>
  <c r="F508" i="16"/>
  <c r="E508" i="16"/>
  <c r="D508" i="16"/>
  <c r="C508" i="16"/>
  <c r="B508" i="16"/>
  <c r="I507" i="16"/>
  <c r="H507" i="16"/>
  <c r="G507" i="16"/>
  <c r="F507" i="16"/>
  <c r="E507" i="16"/>
  <c r="D507" i="16"/>
  <c r="C507" i="16"/>
  <c r="B507" i="16"/>
  <c r="I506" i="16"/>
  <c r="H506" i="16"/>
  <c r="G506" i="16"/>
  <c r="F506" i="16"/>
  <c r="E506" i="16"/>
  <c r="D506" i="16"/>
  <c r="C506" i="16"/>
  <c r="B506" i="16"/>
  <c r="I505" i="16"/>
  <c r="H505" i="16"/>
  <c r="G505" i="16"/>
  <c r="F505" i="16"/>
  <c r="E505" i="16"/>
  <c r="D505" i="16"/>
  <c r="C505" i="16"/>
  <c r="B505" i="16"/>
  <c r="I504" i="16"/>
  <c r="H504" i="16"/>
  <c r="G504" i="16"/>
  <c r="F504" i="16"/>
  <c r="E504" i="16"/>
  <c r="D504" i="16"/>
  <c r="C504" i="16"/>
  <c r="B504" i="16"/>
  <c r="I503" i="16"/>
  <c r="H503" i="16"/>
  <c r="G503" i="16"/>
  <c r="F503" i="16"/>
  <c r="E503" i="16"/>
  <c r="D503" i="16"/>
  <c r="C503" i="16"/>
  <c r="B503" i="16"/>
  <c r="I502" i="16"/>
  <c r="H502" i="16"/>
  <c r="G502" i="16"/>
  <c r="F502" i="16"/>
  <c r="E502" i="16"/>
  <c r="D502" i="16"/>
  <c r="C502" i="16"/>
  <c r="B502" i="16"/>
  <c r="I501" i="16"/>
  <c r="H501" i="16"/>
  <c r="G501" i="16"/>
  <c r="F501" i="16"/>
  <c r="E501" i="16"/>
  <c r="D501" i="16"/>
  <c r="C501" i="16"/>
  <c r="B501" i="16"/>
  <c r="I500" i="16"/>
  <c r="H500" i="16"/>
  <c r="G500" i="16"/>
  <c r="F500" i="16"/>
  <c r="E500" i="16"/>
  <c r="D500" i="16"/>
  <c r="C500" i="16"/>
  <c r="B500" i="16"/>
  <c r="I499" i="16"/>
  <c r="H499" i="16"/>
  <c r="G499" i="16"/>
  <c r="F499" i="16"/>
  <c r="E499" i="16"/>
  <c r="D499" i="16"/>
  <c r="C499" i="16"/>
  <c r="B499" i="16"/>
  <c r="I498" i="16"/>
  <c r="H498" i="16"/>
  <c r="G498" i="16"/>
  <c r="F498" i="16"/>
  <c r="E498" i="16"/>
  <c r="D498" i="16"/>
  <c r="C498" i="16"/>
  <c r="B498" i="16"/>
  <c r="I497" i="16"/>
  <c r="H497" i="16"/>
  <c r="G497" i="16"/>
  <c r="F497" i="16"/>
  <c r="E497" i="16"/>
  <c r="D497" i="16"/>
  <c r="C497" i="16"/>
  <c r="B497" i="16"/>
  <c r="I496" i="16"/>
  <c r="H496" i="16"/>
  <c r="G496" i="16"/>
  <c r="F496" i="16"/>
  <c r="E496" i="16"/>
  <c r="D496" i="16"/>
  <c r="C496" i="16"/>
  <c r="B496" i="16"/>
  <c r="I495" i="16"/>
  <c r="H495" i="16"/>
  <c r="G495" i="16"/>
  <c r="F495" i="16"/>
  <c r="E495" i="16"/>
  <c r="D495" i="16"/>
  <c r="C495" i="16"/>
  <c r="B495" i="16"/>
  <c r="I494" i="16"/>
  <c r="H494" i="16"/>
  <c r="G494" i="16"/>
  <c r="F494" i="16"/>
  <c r="E494" i="16"/>
  <c r="D494" i="16"/>
  <c r="C494" i="16"/>
  <c r="B494" i="16"/>
  <c r="I493" i="16"/>
  <c r="H493" i="16"/>
  <c r="G493" i="16"/>
  <c r="F493" i="16"/>
  <c r="E493" i="16"/>
  <c r="D493" i="16"/>
  <c r="C493" i="16"/>
  <c r="B493" i="16"/>
  <c r="I492" i="16"/>
  <c r="H492" i="16"/>
  <c r="G492" i="16"/>
  <c r="F492" i="16"/>
  <c r="E492" i="16"/>
  <c r="D492" i="16"/>
  <c r="C492" i="16"/>
  <c r="B492" i="16"/>
  <c r="I491" i="16"/>
  <c r="H491" i="16"/>
  <c r="G491" i="16"/>
  <c r="F491" i="16"/>
  <c r="E491" i="16"/>
  <c r="D491" i="16"/>
  <c r="C491" i="16"/>
  <c r="B491" i="16"/>
  <c r="I490" i="16"/>
  <c r="H490" i="16"/>
  <c r="G490" i="16"/>
  <c r="F490" i="16"/>
  <c r="E490" i="16"/>
  <c r="D490" i="16"/>
  <c r="C490" i="16"/>
  <c r="B490" i="16"/>
  <c r="I489" i="16"/>
  <c r="H489" i="16"/>
  <c r="G489" i="16"/>
  <c r="F489" i="16"/>
  <c r="E489" i="16"/>
  <c r="D489" i="16"/>
  <c r="C489" i="16"/>
  <c r="B489" i="16"/>
  <c r="I488" i="16"/>
  <c r="H488" i="16"/>
  <c r="G488" i="16"/>
  <c r="F488" i="16"/>
  <c r="E488" i="16"/>
  <c r="D488" i="16"/>
  <c r="C488" i="16"/>
  <c r="B488" i="16"/>
  <c r="I487" i="16"/>
  <c r="H487" i="16"/>
  <c r="G487" i="16"/>
  <c r="F487" i="16"/>
  <c r="E487" i="16"/>
  <c r="D487" i="16"/>
  <c r="C487" i="16"/>
  <c r="B487" i="16"/>
  <c r="I486" i="16"/>
  <c r="H486" i="16"/>
  <c r="G486" i="16"/>
  <c r="F486" i="16"/>
  <c r="E486" i="16"/>
  <c r="D486" i="16"/>
  <c r="C486" i="16"/>
  <c r="B486" i="16"/>
  <c r="I485" i="16"/>
  <c r="H485" i="16"/>
  <c r="G485" i="16"/>
  <c r="F485" i="16"/>
  <c r="E485" i="16"/>
  <c r="D485" i="16"/>
  <c r="C485" i="16"/>
  <c r="B485" i="16"/>
  <c r="I484" i="16"/>
  <c r="H484" i="16"/>
  <c r="G484" i="16"/>
  <c r="F484" i="16"/>
  <c r="E484" i="16"/>
  <c r="D484" i="16"/>
  <c r="C484" i="16"/>
  <c r="B484" i="16"/>
  <c r="I483" i="16"/>
  <c r="H483" i="16"/>
  <c r="G483" i="16"/>
  <c r="F483" i="16"/>
  <c r="E483" i="16"/>
  <c r="D483" i="16"/>
  <c r="C483" i="16"/>
  <c r="B483" i="16"/>
  <c r="I482" i="16"/>
  <c r="H482" i="16"/>
  <c r="G482" i="16"/>
  <c r="F482" i="16"/>
  <c r="E482" i="16"/>
  <c r="D482" i="16"/>
  <c r="C482" i="16"/>
  <c r="B482" i="16"/>
  <c r="I481" i="16"/>
  <c r="H481" i="16"/>
  <c r="G481" i="16"/>
  <c r="F481" i="16"/>
  <c r="E481" i="16"/>
  <c r="D481" i="16"/>
  <c r="C481" i="16"/>
  <c r="B481" i="16"/>
  <c r="I480" i="16"/>
  <c r="H480" i="16"/>
  <c r="G480" i="16"/>
  <c r="F480" i="16"/>
  <c r="E480" i="16"/>
  <c r="D480" i="16"/>
  <c r="C480" i="16"/>
  <c r="B480" i="16"/>
  <c r="I479" i="16"/>
  <c r="H479" i="16"/>
  <c r="G479" i="16"/>
  <c r="F479" i="16"/>
  <c r="E479" i="16"/>
  <c r="D479" i="16"/>
  <c r="C479" i="16"/>
  <c r="B479" i="16"/>
  <c r="I478" i="16"/>
  <c r="H478" i="16"/>
  <c r="G478" i="16"/>
  <c r="F478" i="16"/>
  <c r="E478" i="16"/>
  <c r="D478" i="16"/>
  <c r="C478" i="16"/>
  <c r="B478" i="16"/>
  <c r="I477" i="16"/>
  <c r="H477" i="16"/>
  <c r="G477" i="16"/>
  <c r="F477" i="16"/>
  <c r="E477" i="16"/>
  <c r="D477" i="16"/>
  <c r="C477" i="16"/>
  <c r="B477" i="16"/>
  <c r="I476" i="16"/>
  <c r="H476" i="16"/>
  <c r="G476" i="16"/>
  <c r="F476" i="16"/>
  <c r="E476" i="16"/>
  <c r="D476" i="16"/>
  <c r="C476" i="16"/>
  <c r="B476" i="16"/>
  <c r="I475" i="16"/>
  <c r="H475" i="16"/>
  <c r="G475" i="16"/>
  <c r="F475" i="16"/>
  <c r="E475" i="16"/>
  <c r="D475" i="16"/>
  <c r="C475" i="16"/>
  <c r="B475" i="16"/>
  <c r="I474" i="16"/>
  <c r="H474" i="16"/>
  <c r="G474" i="16"/>
  <c r="F474" i="16"/>
  <c r="E474" i="16"/>
  <c r="D474" i="16"/>
  <c r="C474" i="16"/>
  <c r="B474" i="16"/>
  <c r="I473" i="16"/>
  <c r="H473" i="16"/>
  <c r="G473" i="16"/>
  <c r="F473" i="16"/>
  <c r="E473" i="16"/>
  <c r="D473" i="16"/>
  <c r="C473" i="16"/>
  <c r="B473" i="16"/>
  <c r="I472" i="16"/>
  <c r="H472" i="16"/>
  <c r="G472" i="16"/>
  <c r="F472" i="16"/>
  <c r="E472" i="16"/>
  <c r="D472" i="16"/>
  <c r="C472" i="16"/>
  <c r="B472" i="16"/>
  <c r="I471" i="16"/>
  <c r="H471" i="16"/>
  <c r="G471" i="16"/>
  <c r="F471" i="16"/>
  <c r="E471" i="16"/>
  <c r="D471" i="16"/>
  <c r="C471" i="16"/>
  <c r="B471" i="16"/>
  <c r="I470" i="16"/>
  <c r="H470" i="16"/>
  <c r="G470" i="16"/>
  <c r="F470" i="16"/>
  <c r="E470" i="16"/>
  <c r="D470" i="16"/>
  <c r="C470" i="16"/>
  <c r="B470" i="16"/>
  <c r="I469" i="16"/>
  <c r="H469" i="16"/>
  <c r="G469" i="16"/>
  <c r="F469" i="16"/>
  <c r="E469" i="16"/>
  <c r="D469" i="16"/>
  <c r="C469" i="16"/>
  <c r="B469" i="16"/>
  <c r="I468" i="16"/>
  <c r="H468" i="16"/>
  <c r="G468" i="16"/>
  <c r="F468" i="16"/>
  <c r="E468" i="16"/>
  <c r="D468" i="16"/>
  <c r="C468" i="16"/>
  <c r="B468" i="16"/>
  <c r="I467" i="16"/>
  <c r="H467" i="16"/>
  <c r="G467" i="16"/>
  <c r="F467" i="16"/>
  <c r="E467" i="16"/>
  <c r="D467" i="16"/>
  <c r="C467" i="16"/>
  <c r="B467" i="16"/>
  <c r="I466" i="16"/>
  <c r="H466" i="16"/>
  <c r="G466" i="16"/>
  <c r="F466" i="16"/>
  <c r="E466" i="16"/>
  <c r="D466" i="16"/>
  <c r="C466" i="16"/>
  <c r="B466" i="16"/>
  <c r="I465" i="16"/>
  <c r="H465" i="16"/>
  <c r="G465" i="16"/>
  <c r="F465" i="16"/>
  <c r="E465" i="16"/>
  <c r="D465" i="16"/>
  <c r="C465" i="16"/>
  <c r="B465" i="16"/>
  <c r="I464" i="16"/>
  <c r="H464" i="16"/>
  <c r="G464" i="16"/>
  <c r="F464" i="16"/>
  <c r="E464" i="16"/>
  <c r="D464" i="16"/>
  <c r="C464" i="16"/>
  <c r="B464" i="16"/>
  <c r="I463" i="16"/>
  <c r="H463" i="16"/>
  <c r="G463" i="16"/>
  <c r="F463" i="16"/>
  <c r="E463" i="16"/>
  <c r="D463" i="16"/>
  <c r="C463" i="16"/>
  <c r="B463" i="16"/>
  <c r="I462" i="16"/>
  <c r="H462" i="16"/>
  <c r="G462" i="16"/>
  <c r="F462" i="16"/>
  <c r="E462" i="16"/>
  <c r="D462" i="16"/>
  <c r="C462" i="16"/>
  <c r="B462" i="16"/>
  <c r="I461" i="16"/>
  <c r="H461" i="16"/>
  <c r="G461" i="16"/>
  <c r="F461" i="16"/>
  <c r="E461" i="16"/>
  <c r="D461" i="16"/>
  <c r="C461" i="16"/>
  <c r="B461" i="16"/>
  <c r="I460" i="16"/>
  <c r="H460" i="16"/>
  <c r="G460" i="16"/>
  <c r="F460" i="16"/>
  <c r="E460" i="16"/>
  <c r="D460" i="16"/>
  <c r="C460" i="16"/>
  <c r="B460" i="16"/>
  <c r="I459" i="16"/>
  <c r="H459" i="16"/>
  <c r="G459" i="16"/>
  <c r="F459" i="16"/>
  <c r="E459" i="16"/>
  <c r="D459" i="16"/>
  <c r="C459" i="16"/>
  <c r="B459" i="16"/>
  <c r="I458" i="16"/>
  <c r="H458" i="16"/>
  <c r="G458" i="16"/>
  <c r="F458" i="16"/>
  <c r="E458" i="16"/>
  <c r="D458" i="16"/>
  <c r="C458" i="16"/>
  <c r="B458" i="16"/>
  <c r="I457" i="16"/>
  <c r="H457" i="16"/>
  <c r="G457" i="16"/>
  <c r="F457" i="16"/>
  <c r="E457" i="16"/>
  <c r="D457" i="16"/>
  <c r="C457" i="16"/>
  <c r="B457" i="16"/>
  <c r="I456" i="16"/>
  <c r="H456" i="16"/>
  <c r="G456" i="16"/>
  <c r="F456" i="16"/>
  <c r="E456" i="16"/>
  <c r="D456" i="16"/>
  <c r="C456" i="16"/>
  <c r="B456" i="16"/>
  <c r="I455" i="16"/>
  <c r="H455" i="16"/>
  <c r="G455" i="16"/>
  <c r="F455" i="16"/>
  <c r="E455" i="16"/>
  <c r="D455" i="16"/>
  <c r="C455" i="16"/>
  <c r="B455" i="16"/>
  <c r="I454" i="16"/>
  <c r="H454" i="16"/>
  <c r="G454" i="16"/>
  <c r="F454" i="16"/>
  <c r="E454" i="16"/>
  <c r="D454" i="16"/>
  <c r="C454" i="16"/>
  <c r="B454" i="16"/>
  <c r="I453" i="16"/>
  <c r="H453" i="16"/>
  <c r="G453" i="16"/>
  <c r="F453" i="16"/>
  <c r="E453" i="16"/>
  <c r="D453" i="16"/>
  <c r="C453" i="16"/>
  <c r="B453" i="16"/>
  <c r="I452" i="16"/>
  <c r="H452" i="16"/>
  <c r="G452" i="16"/>
  <c r="F452" i="16"/>
  <c r="E452" i="16"/>
  <c r="D452" i="16"/>
  <c r="C452" i="16"/>
  <c r="B452" i="16"/>
  <c r="I451" i="16"/>
  <c r="H451" i="16"/>
  <c r="G451" i="16"/>
  <c r="F451" i="16"/>
  <c r="E451" i="16"/>
  <c r="D451" i="16"/>
  <c r="C451" i="16"/>
  <c r="B451" i="16"/>
  <c r="I450" i="16"/>
  <c r="H450" i="16"/>
  <c r="G450" i="16"/>
  <c r="F450" i="16"/>
  <c r="E450" i="16"/>
  <c r="D450" i="16"/>
  <c r="C450" i="16"/>
  <c r="B450" i="16"/>
  <c r="I449" i="16"/>
  <c r="H449" i="16"/>
  <c r="G449" i="16"/>
  <c r="F449" i="16"/>
  <c r="E449" i="16"/>
  <c r="D449" i="16"/>
  <c r="C449" i="16"/>
  <c r="B449" i="16"/>
  <c r="I448" i="16"/>
  <c r="H448" i="16"/>
  <c r="G448" i="16"/>
  <c r="F448" i="16"/>
  <c r="E448" i="16"/>
  <c r="D448" i="16"/>
  <c r="C448" i="16"/>
  <c r="B448" i="16"/>
  <c r="I447" i="16"/>
  <c r="H447" i="16"/>
  <c r="G447" i="16"/>
  <c r="F447" i="16"/>
  <c r="E447" i="16"/>
  <c r="D447" i="16"/>
  <c r="C447" i="16"/>
  <c r="B447" i="16"/>
  <c r="I446" i="16"/>
  <c r="H446" i="16"/>
  <c r="G446" i="16"/>
  <c r="F446" i="16"/>
  <c r="E446" i="16"/>
  <c r="D446" i="16"/>
  <c r="C446" i="16"/>
  <c r="B446" i="16"/>
  <c r="I445" i="16"/>
  <c r="H445" i="16"/>
  <c r="G445" i="16"/>
  <c r="F445" i="16"/>
  <c r="E445" i="16"/>
  <c r="D445" i="16"/>
  <c r="C445" i="16"/>
  <c r="B445" i="16"/>
  <c r="I444" i="16"/>
  <c r="H444" i="16"/>
  <c r="G444" i="16"/>
  <c r="F444" i="16"/>
  <c r="E444" i="16"/>
  <c r="D444" i="16"/>
  <c r="C444" i="16"/>
  <c r="B444" i="16"/>
  <c r="I443" i="16"/>
  <c r="H443" i="16"/>
  <c r="G443" i="16"/>
  <c r="F443" i="16"/>
  <c r="E443" i="16"/>
  <c r="D443" i="16"/>
  <c r="C443" i="16"/>
  <c r="B443" i="16"/>
  <c r="I442" i="16"/>
  <c r="H442" i="16"/>
  <c r="G442" i="16"/>
  <c r="F442" i="16"/>
  <c r="E442" i="16"/>
  <c r="D442" i="16"/>
  <c r="C442" i="16"/>
  <c r="B442" i="16"/>
  <c r="I441" i="16"/>
  <c r="H441" i="16"/>
  <c r="G441" i="16"/>
  <c r="F441" i="16"/>
  <c r="E441" i="16"/>
  <c r="D441" i="16"/>
  <c r="C441" i="16"/>
  <c r="B441" i="16"/>
  <c r="I440" i="16"/>
  <c r="H440" i="16"/>
  <c r="G440" i="16"/>
  <c r="F440" i="16"/>
  <c r="E440" i="16"/>
  <c r="D440" i="16"/>
  <c r="C440" i="16"/>
  <c r="B440" i="16"/>
  <c r="I439" i="16"/>
  <c r="H439" i="16"/>
  <c r="G439" i="16"/>
  <c r="F439" i="16"/>
  <c r="E439" i="16"/>
  <c r="D439" i="16"/>
  <c r="C439" i="16"/>
  <c r="B439" i="16"/>
  <c r="I438" i="16"/>
  <c r="H438" i="16"/>
  <c r="G438" i="16"/>
  <c r="F438" i="16"/>
  <c r="E438" i="16"/>
  <c r="D438" i="16"/>
  <c r="C438" i="16"/>
  <c r="B438" i="16"/>
  <c r="I437" i="16"/>
  <c r="H437" i="16"/>
  <c r="G437" i="16"/>
  <c r="F437" i="16"/>
  <c r="E437" i="16"/>
  <c r="D437" i="16"/>
  <c r="C437" i="16"/>
  <c r="B437" i="16"/>
  <c r="I436" i="16"/>
  <c r="H436" i="16"/>
  <c r="G436" i="16"/>
  <c r="F436" i="16"/>
  <c r="E436" i="16"/>
  <c r="D436" i="16"/>
  <c r="C436" i="16"/>
  <c r="B436" i="16"/>
  <c r="I435" i="16"/>
  <c r="H435" i="16"/>
  <c r="G435" i="16"/>
  <c r="F435" i="16"/>
  <c r="E435" i="16"/>
  <c r="D435" i="16"/>
  <c r="C435" i="16"/>
  <c r="B435" i="16"/>
  <c r="I434" i="16"/>
  <c r="H434" i="16"/>
  <c r="G434" i="16"/>
  <c r="F434" i="16"/>
  <c r="E434" i="16"/>
  <c r="D434" i="16"/>
  <c r="C434" i="16"/>
  <c r="B434" i="16"/>
  <c r="I433" i="16"/>
  <c r="H433" i="16"/>
  <c r="G433" i="16"/>
  <c r="F433" i="16"/>
  <c r="E433" i="16"/>
  <c r="D433" i="16"/>
  <c r="C433" i="16"/>
  <c r="B433" i="16"/>
  <c r="I432" i="16"/>
  <c r="H432" i="16"/>
  <c r="G432" i="16"/>
  <c r="F432" i="16"/>
  <c r="E432" i="16"/>
  <c r="D432" i="16"/>
  <c r="C432" i="16"/>
  <c r="B432" i="16"/>
  <c r="I431" i="16"/>
  <c r="H431" i="16"/>
  <c r="G431" i="16"/>
  <c r="F431" i="16"/>
  <c r="E431" i="16"/>
  <c r="D431" i="16"/>
  <c r="C431" i="16"/>
  <c r="B431" i="16"/>
  <c r="I430" i="16"/>
  <c r="H430" i="16"/>
  <c r="G430" i="16"/>
  <c r="F430" i="16"/>
  <c r="E430" i="16"/>
  <c r="D430" i="16"/>
  <c r="C430" i="16"/>
  <c r="B430" i="16"/>
  <c r="I429" i="16"/>
  <c r="H429" i="16"/>
  <c r="G429" i="16"/>
  <c r="F429" i="16"/>
  <c r="E429" i="16"/>
  <c r="D429" i="16"/>
  <c r="C429" i="16"/>
  <c r="B429" i="16"/>
  <c r="I428" i="16"/>
  <c r="H428" i="16"/>
  <c r="G428" i="16"/>
  <c r="F428" i="16"/>
  <c r="E428" i="16"/>
  <c r="D428" i="16"/>
  <c r="C428" i="16"/>
  <c r="B428" i="16"/>
  <c r="I427" i="16"/>
  <c r="H427" i="16"/>
  <c r="G427" i="16"/>
  <c r="F427" i="16"/>
  <c r="E427" i="16"/>
  <c r="D427" i="16"/>
  <c r="C427" i="16"/>
  <c r="B427" i="16"/>
  <c r="I426" i="16"/>
  <c r="H426" i="16"/>
  <c r="G426" i="16"/>
  <c r="F426" i="16"/>
  <c r="E426" i="16"/>
  <c r="D426" i="16"/>
  <c r="C426" i="16"/>
  <c r="B426" i="16"/>
  <c r="I425" i="16"/>
  <c r="H425" i="16"/>
  <c r="G425" i="16"/>
  <c r="F425" i="16"/>
  <c r="E425" i="16"/>
  <c r="D425" i="16"/>
  <c r="C425" i="16"/>
  <c r="B425" i="16"/>
  <c r="I424" i="16"/>
  <c r="H424" i="16"/>
  <c r="G424" i="16"/>
  <c r="F424" i="16"/>
  <c r="E424" i="16"/>
  <c r="D424" i="16"/>
  <c r="C424" i="16"/>
  <c r="B424" i="16"/>
  <c r="I423" i="16"/>
  <c r="H423" i="16"/>
  <c r="G423" i="16"/>
  <c r="F423" i="16"/>
  <c r="E423" i="16"/>
  <c r="D423" i="16"/>
  <c r="C423" i="16"/>
  <c r="B423" i="16"/>
  <c r="I422" i="16"/>
  <c r="H422" i="16"/>
  <c r="G422" i="16"/>
  <c r="F422" i="16"/>
  <c r="E422" i="16"/>
  <c r="D422" i="16"/>
  <c r="C422" i="16"/>
  <c r="B422" i="16"/>
  <c r="I421" i="16"/>
  <c r="H421" i="16"/>
  <c r="G421" i="16"/>
  <c r="F421" i="16"/>
  <c r="E421" i="16"/>
  <c r="D421" i="16"/>
  <c r="C421" i="16"/>
  <c r="B421" i="16"/>
  <c r="I420" i="16"/>
  <c r="H420" i="16"/>
  <c r="G420" i="16"/>
  <c r="F420" i="16"/>
  <c r="E420" i="16"/>
  <c r="D420" i="16"/>
  <c r="C420" i="16"/>
  <c r="B420" i="16"/>
  <c r="I419" i="16"/>
  <c r="H419" i="16"/>
  <c r="G419" i="16"/>
  <c r="F419" i="16"/>
  <c r="E419" i="16"/>
  <c r="D419" i="16"/>
  <c r="C419" i="16"/>
  <c r="B419" i="16"/>
  <c r="I418" i="16"/>
  <c r="H418" i="16"/>
  <c r="G418" i="16"/>
  <c r="F418" i="16"/>
  <c r="E418" i="16"/>
  <c r="D418" i="16"/>
  <c r="C418" i="16"/>
  <c r="B418" i="16"/>
  <c r="I417" i="16"/>
  <c r="H417" i="16"/>
  <c r="G417" i="16"/>
  <c r="F417" i="16"/>
  <c r="E417" i="16"/>
  <c r="D417" i="16"/>
  <c r="C417" i="16"/>
  <c r="B417" i="16"/>
  <c r="I416" i="16"/>
  <c r="H416" i="16"/>
  <c r="G416" i="16"/>
  <c r="F416" i="16"/>
  <c r="E416" i="16"/>
  <c r="D416" i="16"/>
  <c r="C416" i="16"/>
  <c r="B416" i="16"/>
  <c r="I415" i="16"/>
  <c r="H415" i="16"/>
  <c r="G415" i="16"/>
  <c r="F415" i="16"/>
  <c r="E415" i="16"/>
  <c r="D415" i="16"/>
  <c r="C415" i="16"/>
  <c r="B415" i="16"/>
  <c r="I414" i="16"/>
  <c r="H414" i="16"/>
  <c r="G414" i="16"/>
  <c r="F414" i="16"/>
  <c r="E414" i="16"/>
  <c r="D414" i="16"/>
  <c r="C414" i="16"/>
  <c r="B414" i="16"/>
  <c r="I413" i="16"/>
  <c r="H413" i="16"/>
  <c r="G413" i="16"/>
  <c r="F413" i="16"/>
  <c r="E413" i="16"/>
  <c r="D413" i="16"/>
  <c r="C413" i="16"/>
  <c r="B413" i="16"/>
  <c r="I412" i="16"/>
  <c r="H412" i="16"/>
  <c r="G412" i="16"/>
  <c r="F412" i="16"/>
  <c r="E412" i="16"/>
  <c r="D412" i="16"/>
  <c r="C412" i="16"/>
  <c r="B412" i="16"/>
  <c r="I411" i="16"/>
  <c r="H411" i="16"/>
  <c r="G411" i="16"/>
  <c r="F411" i="16"/>
  <c r="E411" i="16"/>
  <c r="D411" i="16"/>
  <c r="C411" i="16"/>
  <c r="B411" i="16"/>
  <c r="I410" i="16"/>
  <c r="H410" i="16"/>
  <c r="G410" i="16"/>
  <c r="F410" i="16"/>
  <c r="E410" i="16"/>
  <c r="D410" i="16"/>
  <c r="C410" i="16"/>
  <c r="B410" i="16"/>
  <c r="I409" i="16"/>
  <c r="H409" i="16"/>
  <c r="G409" i="16"/>
  <c r="F409" i="16"/>
  <c r="E409" i="16"/>
  <c r="D409" i="16"/>
  <c r="C409" i="16"/>
  <c r="B409" i="16"/>
  <c r="I408" i="16"/>
  <c r="H408" i="16"/>
  <c r="G408" i="16"/>
  <c r="F408" i="16"/>
  <c r="E408" i="16"/>
  <c r="D408" i="16"/>
  <c r="C408" i="16"/>
  <c r="B408" i="16"/>
  <c r="I407" i="16"/>
  <c r="H407" i="16"/>
  <c r="G407" i="16"/>
  <c r="F407" i="16"/>
  <c r="E407" i="16"/>
  <c r="D407" i="16"/>
  <c r="C407" i="16"/>
  <c r="B407" i="16"/>
  <c r="I406" i="16"/>
  <c r="H406" i="16"/>
  <c r="G406" i="16"/>
  <c r="F406" i="16"/>
  <c r="E406" i="16"/>
  <c r="D406" i="16"/>
  <c r="C406" i="16"/>
  <c r="B406" i="16"/>
  <c r="I405" i="16"/>
  <c r="H405" i="16"/>
  <c r="G405" i="16"/>
  <c r="F405" i="16"/>
  <c r="E405" i="16"/>
  <c r="D405" i="16"/>
  <c r="C405" i="16"/>
  <c r="B405" i="16"/>
  <c r="I404" i="16"/>
  <c r="H404" i="16"/>
  <c r="G404" i="16"/>
  <c r="F404" i="16"/>
  <c r="E404" i="16"/>
  <c r="D404" i="16"/>
  <c r="C404" i="16"/>
  <c r="B404" i="16"/>
  <c r="I403" i="16"/>
  <c r="H403" i="16"/>
  <c r="G403" i="16"/>
  <c r="F403" i="16"/>
  <c r="E403" i="16"/>
  <c r="D403" i="16"/>
  <c r="C403" i="16"/>
  <c r="B403" i="16"/>
  <c r="I402" i="16"/>
  <c r="H402" i="16"/>
  <c r="G402" i="16"/>
  <c r="F402" i="16"/>
  <c r="E402" i="16"/>
  <c r="D402" i="16"/>
  <c r="C402" i="16"/>
  <c r="B402" i="16"/>
  <c r="I401" i="16"/>
  <c r="H401" i="16"/>
  <c r="G401" i="16"/>
  <c r="F401" i="16"/>
  <c r="E401" i="16"/>
  <c r="D401" i="16"/>
  <c r="C401" i="16"/>
  <c r="B401" i="16"/>
  <c r="I400" i="16"/>
  <c r="H400" i="16"/>
  <c r="G400" i="16"/>
  <c r="F400" i="16"/>
  <c r="E400" i="16"/>
  <c r="D400" i="16"/>
  <c r="C400" i="16"/>
  <c r="B400" i="16"/>
  <c r="I399" i="16"/>
  <c r="H399" i="16"/>
  <c r="G399" i="16"/>
  <c r="F399" i="16"/>
  <c r="E399" i="16"/>
  <c r="D399" i="16"/>
  <c r="C399" i="16"/>
  <c r="B399" i="16"/>
  <c r="I398" i="16"/>
  <c r="H398" i="16"/>
  <c r="G398" i="16"/>
  <c r="F398" i="16"/>
  <c r="E398" i="16"/>
  <c r="D398" i="16"/>
  <c r="C398" i="16"/>
  <c r="B398" i="16"/>
  <c r="I397" i="16"/>
  <c r="H397" i="16"/>
  <c r="G397" i="16"/>
  <c r="F397" i="16"/>
  <c r="E397" i="16"/>
  <c r="D397" i="16"/>
  <c r="C397" i="16"/>
  <c r="B397" i="16"/>
  <c r="I396" i="16"/>
  <c r="H396" i="16"/>
  <c r="G396" i="16"/>
  <c r="F396" i="16"/>
  <c r="E396" i="16"/>
  <c r="D396" i="16"/>
  <c r="C396" i="16"/>
  <c r="B396" i="16"/>
  <c r="I395" i="16"/>
  <c r="H395" i="16"/>
  <c r="G395" i="16"/>
  <c r="F395" i="16"/>
  <c r="E395" i="16"/>
  <c r="D395" i="16"/>
  <c r="C395" i="16"/>
  <c r="B395" i="16"/>
  <c r="I394" i="16"/>
  <c r="H394" i="16"/>
  <c r="G394" i="16"/>
  <c r="F394" i="16"/>
  <c r="E394" i="16"/>
  <c r="D394" i="16"/>
  <c r="C394" i="16"/>
  <c r="B394" i="16"/>
  <c r="I393" i="16"/>
  <c r="H393" i="16"/>
  <c r="G393" i="16"/>
  <c r="F393" i="16"/>
  <c r="E393" i="16"/>
  <c r="D393" i="16"/>
  <c r="C393" i="16"/>
  <c r="B393" i="16"/>
  <c r="I392" i="16"/>
  <c r="H392" i="16"/>
  <c r="G392" i="16"/>
  <c r="F392" i="16"/>
  <c r="E392" i="16"/>
  <c r="D392" i="16"/>
  <c r="C392" i="16"/>
  <c r="B392" i="16"/>
  <c r="I391" i="16"/>
  <c r="H391" i="16"/>
  <c r="G391" i="16"/>
  <c r="F391" i="16"/>
  <c r="E391" i="16"/>
  <c r="D391" i="16"/>
  <c r="C391" i="16"/>
  <c r="B391" i="16"/>
  <c r="I390" i="16"/>
  <c r="H390" i="16"/>
  <c r="G390" i="16"/>
  <c r="F390" i="16"/>
  <c r="E390" i="16"/>
  <c r="D390" i="16"/>
  <c r="C390" i="16"/>
  <c r="B390" i="16"/>
  <c r="I389" i="16"/>
  <c r="H389" i="16"/>
  <c r="G389" i="16"/>
  <c r="F389" i="16"/>
  <c r="E389" i="16"/>
  <c r="D389" i="16"/>
  <c r="C389" i="16"/>
  <c r="B389" i="16"/>
  <c r="I388" i="16"/>
  <c r="H388" i="16"/>
  <c r="G388" i="16"/>
  <c r="F388" i="16"/>
  <c r="E388" i="16"/>
  <c r="D388" i="16"/>
  <c r="C388" i="16"/>
  <c r="B388" i="16"/>
  <c r="I387" i="16"/>
  <c r="H387" i="16"/>
  <c r="G387" i="16"/>
  <c r="F387" i="16"/>
  <c r="E387" i="16"/>
  <c r="D387" i="16"/>
  <c r="C387" i="16"/>
  <c r="B387" i="16"/>
  <c r="I386" i="16"/>
  <c r="H386" i="16"/>
  <c r="G386" i="16"/>
  <c r="F386" i="16"/>
  <c r="E386" i="16"/>
  <c r="D386" i="16"/>
  <c r="C386" i="16"/>
  <c r="B386" i="16"/>
  <c r="I385" i="16"/>
  <c r="H385" i="16"/>
  <c r="G385" i="16"/>
  <c r="F385" i="16"/>
  <c r="E385" i="16"/>
  <c r="D385" i="16"/>
  <c r="C385" i="16"/>
  <c r="B385" i="16"/>
  <c r="I384" i="16"/>
  <c r="H384" i="16"/>
  <c r="G384" i="16"/>
  <c r="F384" i="16"/>
  <c r="E384" i="16"/>
  <c r="D384" i="16"/>
  <c r="C384" i="16"/>
  <c r="B384" i="16"/>
  <c r="I383" i="16"/>
  <c r="H383" i="16"/>
  <c r="G383" i="16"/>
  <c r="F383" i="16"/>
  <c r="E383" i="16"/>
  <c r="D383" i="16"/>
  <c r="C383" i="16"/>
  <c r="B383" i="16"/>
  <c r="I382" i="16"/>
  <c r="H382" i="16"/>
  <c r="G382" i="16"/>
  <c r="F382" i="16"/>
  <c r="E382" i="16"/>
  <c r="D382" i="16"/>
  <c r="C382" i="16"/>
  <c r="B382" i="16"/>
  <c r="I381" i="16"/>
  <c r="H381" i="16"/>
  <c r="G381" i="16"/>
  <c r="F381" i="16"/>
  <c r="E381" i="16"/>
  <c r="D381" i="16"/>
  <c r="C381" i="16"/>
  <c r="B381" i="16"/>
  <c r="I380" i="16"/>
  <c r="H380" i="16"/>
  <c r="G380" i="16"/>
  <c r="F380" i="16"/>
  <c r="E380" i="16"/>
  <c r="D380" i="16"/>
  <c r="C380" i="16"/>
  <c r="B380" i="16"/>
  <c r="I379" i="16"/>
  <c r="H379" i="16"/>
  <c r="G379" i="16"/>
  <c r="F379" i="16"/>
  <c r="E379" i="16"/>
  <c r="D379" i="16"/>
  <c r="C379" i="16"/>
  <c r="B379" i="16"/>
  <c r="I378" i="16"/>
  <c r="H378" i="16"/>
  <c r="G378" i="16"/>
  <c r="F378" i="16"/>
  <c r="E378" i="16"/>
  <c r="D378" i="16"/>
  <c r="C378" i="16"/>
  <c r="B378" i="16"/>
  <c r="I377" i="16"/>
  <c r="H377" i="16"/>
  <c r="G377" i="16"/>
  <c r="F377" i="16"/>
  <c r="E377" i="16"/>
  <c r="D377" i="16"/>
  <c r="C377" i="16"/>
  <c r="B377" i="16"/>
  <c r="I376" i="16"/>
  <c r="H376" i="16"/>
  <c r="G376" i="16"/>
  <c r="F376" i="16"/>
  <c r="E376" i="16"/>
  <c r="D376" i="16"/>
  <c r="C376" i="16"/>
  <c r="B376" i="16"/>
  <c r="I375" i="16"/>
  <c r="H375" i="16"/>
  <c r="G375" i="16"/>
  <c r="F375" i="16"/>
  <c r="E375" i="16"/>
  <c r="D375" i="16"/>
  <c r="C375" i="16"/>
  <c r="B375" i="16"/>
  <c r="I374" i="16"/>
  <c r="H374" i="16"/>
  <c r="G374" i="16"/>
  <c r="F374" i="16"/>
  <c r="E374" i="16"/>
  <c r="D374" i="16"/>
  <c r="C374" i="16"/>
  <c r="B374" i="16"/>
  <c r="I373" i="16"/>
  <c r="H373" i="16"/>
  <c r="G373" i="16"/>
  <c r="F373" i="16"/>
  <c r="E373" i="16"/>
  <c r="D373" i="16"/>
  <c r="C373" i="16"/>
  <c r="B373" i="16"/>
  <c r="I372" i="16"/>
  <c r="H372" i="16"/>
  <c r="G372" i="16"/>
  <c r="F372" i="16"/>
  <c r="E372" i="16"/>
  <c r="D372" i="16"/>
  <c r="C372" i="16"/>
  <c r="B372" i="16"/>
  <c r="I371" i="16"/>
  <c r="H371" i="16"/>
  <c r="G371" i="16"/>
  <c r="F371" i="16"/>
  <c r="E371" i="16"/>
  <c r="D371" i="16"/>
  <c r="C371" i="16"/>
  <c r="B371" i="16"/>
  <c r="I370" i="16"/>
  <c r="H370" i="16"/>
  <c r="G370" i="16"/>
  <c r="F370" i="16"/>
  <c r="E370" i="16"/>
  <c r="D370" i="16"/>
  <c r="C370" i="16"/>
  <c r="B370" i="16"/>
  <c r="I369" i="16"/>
  <c r="H369" i="16"/>
  <c r="G369" i="16"/>
  <c r="F369" i="16"/>
  <c r="E369" i="16"/>
  <c r="D369" i="16"/>
  <c r="C369" i="16"/>
  <c r="B369" i="16"/>
  <c r="I368" i="16"/>
  <c r="H368" i="16"/>
  <c r="G368" i="16"/>
  <c r="F368" i="16"/>
  <c r="E368" i="16"/>
  <c r="D368" i="16"/>
  <c r="C368" i="16"/>
  <c r="B368" i="16"/>
  <c r="I367" i="16"/>
  <c r="H367" i="16"/>
  <c r="G367" i="16"/>
  <c r="F367" i="16"/>
  <c r="E367" i="16"/>
  <c r="D367" i="16"/>
  <c r="C367" i="16"/>
  <c r="B367" i="16"/>
  <c r="I366" i="16"/>
  <c r="H366" i="16"/>
  <c r="G366" i="16"/>
  <c r="F366" i="16"/>
  <c r="E366" i="16"/>
  <c r="D366" i="16"/>
  <c r="C366" i="16"/>
  <c r="B366" i="16"/>
  <c r="I365" i="16"/>
  <c r="H365" i="16"/>
  <c r="G365" i="16"/>
  <c r="F365" i="16"/>
  <c r="E365" i="16"/>
  <c r="D365" i="16"/>
  <c r="C365" i="16"/>
  <c r="B365" i="16"/>
  <c r="I364" i="16"/>
  <c r="H364" i="16"/>
  <c r="G364" i="16"/>
  <c r="F364" i="16"/>
  <c r="E364" i="16"/>
  <c r="D364" i="16"/>
  <c r="C364" i="16"/>
  <c r="B364" i="16"/>
  <c r="I363" i="16"/>
  <c r="H363" i="16"/>
  <c r="G363" i="16"/>
  <c r="F363" i="16"/>
  <c r="E363" i="16"/>
  <c r="D363" i="16"/>
  <c r="C363" i="16"/>
  <c r="B363" i="16"/>
  <c r="I362" i="16"/>
  <c r="H362" i="16"/>
  <c r="G362" i="16"/>
  <c r="F362" i="16"/>
  <c r="E362" i="16"/>
  <c r="D362" i="16"/>
  <c r="C362" i="16"/>
  <c r="B362" i="16"/>
  <c r="I361" i="16"/>
  <c r="H361" i="16"/>
  <c r="G361" i="16"/>
  <c r="F361" i="16"/>
  <c r="E361" i="16"/>
  <c r="D361" i="16"/>
  <c r="C361" i="16"/>
  <c r="B361" i="16"/>
  <c r="I360" i="16"/>
  <c r="H360" i="16"/>
  <c r="G360" i="16"/>
  <c r="F360" i="16"/>
  <c r="E360" i="16"/>
  <c r="D360" i="16"/>
  <c r="C360" i="16"/>
  <c r="B360" i="16"/>
  <c r="I359" i="16"/>
  <c r="H359" i="16"/>
  <c r="G359" i="16"/>
  <c r="F359" i="16"/>
  <c r="E359" i="16"/>
  <c r="D359" i="16"/>
  <c r="C359" i="16"/>
  <c r="B359" i="16"/>
  <c r="I358" i="16"/>
  <c r="H358" i="16"/>
  <c r="G358" i="16"/>
  <c r="F358" i="16"/>
  <c r="E358" i="16"/>
  <c r="D358" i="16"/>
  <c r="C358" i="16"/>
  <c r="B358" i="16"/>
  <c r="I357" i="16"/>
  <c r="H357" i="16"/>
  <c r="G357" i="16"/>
  <c r="F357" i="16"/>
  <c r="E357" i="16"/>
  <c r="D357" i="16"/>
  <c r="C357" i="16"/>
  <c r="B357" i="16"/>
  <c r="I356" i="16"/>
  <c r="H356" i="16"/>
  <c r="G356" i="16"/>
  <c r="F356" i="16"/>
  <c r="E356" i="16"/>
  <c r="D356" i="16"/>
  <c r="C356" i="16"/>
  <c r="B356" i="16"/>
  <c r="I355" i="16"/>
  <c r="H355" i="16"/>
  <c r="G355" i="16"/>
  <c r="F355" i="16"/>
  <c r="E355" i="16"/>
  <c r="D355" i="16"/>
  <c r="C355" i="16"/>
  <c r="B355" i="16"/>
  <c r="I354" i="16"/>
  <c r="H354" i="16"/>
  <c r="G354" i="16"/>
  <c r="F354" i="16"/>
  <c r="E354" i="16"/>
  <c r="D354" i="16"/>
  <c r="C354" i="16"/>
  <c r="B354" i="16"/>
  <c r="I353" i="16"/>
  <c r="H353" i="16"/>
  <c r="G353" i="16"/>
  <c r="F353" i="16"/>
  <c r="E353" i="16"/>
  <c r="D353" i="16"/>
  <c r="C353" i="16"/>
  <c r="B353" i="16"/>
  <c r="I352" i="16"/>
  <c r="H352" i="16"/>
  <c r="G352" i="16"/>
  <c r="F352" i="16"/>
  <c r="E352" i="16"/>
  <c r="D352" i="16"/>
  <c r="C352" i="16"/>
  <c r="B352" i="16"/>
  <c r="I351" i="16"/>
  <c r="H351" i="16"/>
  <c r="G351" i="16"/>
  <c r="F351" i="16"/>
  <c r="E351" i="16"/>
  <c r="D351" i="16"/>
  <c r="C351" i="16"/>
  <c r="B351" i="16"/>
  <c r="I350" i="16"/>
  <c r="H350" i="16"/>
  <c r="G350" i="16"/>
  <c r="F350" i="16"/>
  <c r="E350" i="16"/>
  <c r="D350" i="16"/>
  <c r="C350" i="16"/>
  <c r="B350" i="16"/>
  <c r="I349" i="16"/>
  <c r="H349" i="16"/>
  <c r="G349" i="16"/>
  <c r="F349" i="16"/>
  <c r="E349" i="16"/>
  <c r="D349" i="16"/>
  <c r="C349" i="16"/>
  <c r="B349" i="16"/>
  <c r="I348" i="16"/>
  <c r="H348" i="16"/>
  <c r="G348" i="16"/>
  <c r="F348" i="16"/>
  <c r="E348" i="16"/>
  <c r="D348" i="16"/>
  <c r="C348" i="16"/>
  <c r="B348" i="16"/>
  <c r="I347" i="16"/>
  <c r="H347" i="16"/>
  <c r="G347" i="16"/>
  <c r="F347" i="16"/>
  <c r="E347" i="16"/>
  <c r="D347" i="16"/>
  <c r="C347" i="16"/>
  <c r="B347" i="16"/>
  <c r="I346" i="16"/>
  <c r="H346" i="16"/>
  <c r="G346" i="16"/>
  <c r="F346" i="16"/>
  <c r="E346" i="16"/>
  <c r="D346" i="16"/>
  <c r="C346" i="16"/>
  <c r="B346" i="16"/>
  <c r="I345" i="16"/>
  <c r="H345" i="16"/>
  <c r="G345" i="16"/>
  <c r="F345" i="16"/>
  <c r="E345" i="16"/>
  <c r="D345" i="16"/>
  <c r="C345" i="16"/>
  <c r="B345" i="16"/>
  <c r="I344" i="16"/>
  <c r="H344" i="16"/>
  <c r="G344" i="16"/>
  <c r="F344" i="16"/>
  <c r="E344" i="16"/>
  <c r="D344" i="16"/>
  <c r="C344" i="16"/>
  <c r="B344" i="16"/>
  <c r="I343" i="16"/>
  <c r="H343" i="16"/>
  <c r="G343" i="16"/>
  <c r="F343" i="16"/>
  <c r="E343" i="16"/>
  <c r="D343" i="16"/>
  <c r="C343" i="16"/>
  <c r="B343" i="16"/>
  <c r="I342" i="16"/>
  <c r="H342" i="16"/>
  <c r="G342" i="16"/>
  <c r="F342" i="16"/>
  <c r="E342" i="16"/>
  <c r="D342" i="16"/>
  <c r="C342" i="16"/>
  <c r="B342" i="16"/>
  <c r="I341" i="16"/>
  <c r="H341" i="16"/>
  <c r="G341" i="16"/>
  <c r="F341" i="16"/>
  <c r="E341" i="16"/>
  <c r="D341" i="16"/>
  <c r="C341" i="16"/>
  <c r="B341" i="16"/>
  <c r="I340" i="16"/>
  <c r="H340" i="16"/>
  <c r="G340" i="16"/>
  <c r="F340" i="16"/>
  <c r="E340" i="16"/>
  <c r="D340" i="16"/>
  <c r="C340" i="16"/>
  <c r="B340" i="16"/>
  <c r="I339" i="16"/>
  <c r="H339" i="16"/>
  <c r="G339" i="16"/>
  <c r="F339" i="16"/>
  <c r="E339" i="16"/>
  <c r="D339" i="16"/>
  <c r="C339" i="16"/>
  <c r="B339" i="16"/>
  <c r="I338" i="16"/>
  <c r="H338" i="16"/>
  <c r="G338" i="16"/>
  <c r="F338" i="16"/>
  <c r="E338" i="16"/>
  <c r="D338" i="16"/>
  <c r="C338" i="16"/>
  <c r="B338" i="16"/>
  <c r="I337" i="16"/>
  <c r="H337" i="16"/>
  <c r="G337" i="16"/>
  <c r="F337" i="16"/>
  <c r="E337" i="16"/>
  <c r="D337" i="16"/>
  <c r="C337" i="16"/>
  <c r="B337" i="16"/>
  <c r="I336" i="16"/>
  <c r="H336" i="16"/>
  <c r="G336" i="16"/>
  <c r="F336" i="16"/>
  <c r="E336" i="16"/>
  <c r="D336" i="16"/>
  <c r="C336" i="16"/>
  <c r="B336" i="16"/>
  <c r="I335" i="16"/>
  <c r="H335" i="16"/>
  <c r="G335" i="16"/>
  <c r="F335" i="16"/>
  <c r="E335" i="16"/>
  <c r="D335" i="16"/>
  <c r="C335" i="16"/>
  <c r="B335" i="16"/>
  <c r="I334" i="16"/>
  <c r="H334" i="16"/>
  <c r="G334" i="16"/>
  <c r="F334" i="16"/>
  <c r="E334" i="16"/>
  <c r="D334" i="16"/>
  <c r="C334" i="16"/>
  <c r="B334" i="16"/>
  <c r="I333" i="16"/>
  <c r="H333" i="16"/>
  <c r="G333" i="16"/>
  <c r="F333" i="16"/>
  <c r="E333" i="16"/>
  <c r="D333" i="16"/>
  <c r="C333" i="16"/>
  <c r="B333" i="16"/>
  <c r="I332" i="16"/>
  <c r="H332" i="16"/>
  <c r="G332" i="16"/>
  <c r="F332" i="16"/>
  <c r="E332" i="16"/>
  <c r="D332" i="16"/>
  <c r="C332" i="16"/>
  <c r="B332" i="16"/>
  <c r="I331" i="16"/>
  <c r="H331" i="16"/>
  <c r="G331" i="16"/>
  <c r="F331" i="16"/>
  <c r="E331" i="16"/>
  <c r="D331" i="16"/>
  <c r="C331" i="16"/>
  <c r="B331" i="16"/>
  <c r="I330" i="16"/>
  <c r="H330" i="16"/>
  <c r="G330" i="16"/>
  <c r="F330" i="16"/>
  <c r="E330" i="16"/>
  <c r="D330" i="16"/>
  <c r="C330" i="16"/>
  <c r="B330" i="16"/>
  <c r="I329" i="16"/>
  <c r="H329" i="16"/>
  <c r="G329" i="16"/>
  <c r="F329" i="16"/>
  <c r="E329" i="16"/>
  <c r="D329" i="16"/>
  <c r="C329" i="16"/>
  <c r="B329" i="16"/>
  <c r="I328" i="16"/>
  <c r="H328" i="16"/>
  <c r="G328" i="16"/>
  <c r="F328" i="16"/>
  <c r="E328" i="16"/>
  <c r="D328" i="16"/>
  <c r="C328" i="16"/>
  <c r="B328" i="16"/>
  <c r="I327" i="16"/>
  <c r="H327" i="16"/>
  <c r="G327" i="16"/>
  <c r="F327" i="16"/>
  <c r="E327" i="16"/>
  <c r="D327" i="16"/>
  <c r="C327" i="16"/>
  <c r="B327" i="16"/>
  <c r="I326" i="16"/>
  <c r="H326" i="16"/>
  <c r="G326" i="16"/>
  <c r="F326" i="16"/>
  <c r="E326" i="16"/>
  <c r="D326" i="16"/>
  <c r="C326" i="16"/>
  <c r="B326" i="16"/>
  <c r="I325" i="16"/>
  <c r="H325" i="16"/>
  <c r="G325" i="16"/>
  <c r="F325" i="16"/>
  <c r="E325" i="16"/>
  <c r="D325" i="16"/>
  <c r="C325" i="16"/>
  <c r="B325" i="16"/>
  <c r="I324" i="16"/>
  <c r="H324" i="16"/>
  <c r="G324" i="16"/>
  <c r="F324" i="16"/>
  <c r="E324" i="16"/>
  <c r="D324" i="16"/>
  <c r="C324" i="16"/>
  <c r="B324" i="16"/>
  <c r="I323" i="16"/>
  <c r="H323" i="16"/>
  <c r="G323" i="16"/>
  <c r="F323" i="16"/>
  <c r="E323" i="16"/>
  <c r="D323" i="16"/>
  <c r="C323" i="16"/>
  <c r="B323" i="16"/>
  <c r="I322" i="16"/>
  <c r="H322" i="16"/>
  <c r="G322" i="16"/>
  <c r="F322" i="16"/>
  <c r="E322" i="16"/>
  <c r="D322" i="16"/>
  <c r="C322" i="16"/>
  <c r="B322" i="16"/>
  <c r="I321" i="16"/>
  <c r="H321" i="16"/>
  <c r="G321" i="16"/>
  <c r="F321" i="16"/>
  <c r="E321" i="16"/>
  <c r="D321" i="16"/>
  <c r="C321" i="16"/>
  <c r="B321" i="16"/>
  <c r="I320" i="16"/>
  <c r="H320" i="16"/>
  <c r="G320" i="16"/>
  <c r="F320" i="16"/>
  <c r="E320" i="16"/>
  <c r="D320" i="16"/>
  <c r="C320" i="16"/>
  <c r="B320" i="16"/>
  <c r="I319" i="16"/>
  <c r="H319" i="16"/>
  <c r="G319" i="16"/>
  <c r="F319" i="16"/>
  <c r="E319" i="16"/>
  <c r="D319" i="16"/>
  <c r="C319" i="16"/>
  <c r="B319" i="16"/>
  <c r="I318" i="16"/>
  <c r="H318" i="16"/>
  <c r="G318" i="16"/>
  <c r="F318" i="16"/>
  <c r="E318" i="16"/>
  <c r="D318" i="16"/>
  <c r="C318" i="16"/>
  <c r="B318" i="16"/>
  <c r="I317" i="16"/>
  <c r="H317" i="16"/>
  <c r="G317" i="16"/>
  <c r="F317" i="16"/>
  <c r="E317" i="16"/>
  <c r="D317" i="16"/>
  <c r="C317" i="16"/>
  <c r="B317" i="16"/>
  <c r="I316" i="16"/>
  <c r="H316" i="16"/>
  <c r="G316" i="16"/>
  <c r="F316" i="16"/>
  <c r="E316" i="16"/>
  <c r="D316" i="16"/>
  <c r="C316" i="16"/>
  <c r="B316" i="16"/>
  <c r="I315" i="16"/>
  <c r="H315" i="16"/>
  <c r="G315" i="16"/>
  <c r="F315" i="16"/>
  <c r="E315" i="16"/>
  <c r="D315" i="16"/>
  <c r="C315" i="16"/>
  <c r="B315" i="16"/>
  <c r="I314" i="16"/>
  <c r="H314" i="16"/>
  <c r="G314" i="16"/>
  <c r="F314" i="16"/>
  <c r="E314" i="16"/>
  <c r="D314" i="16"/>
  <c r="C314" i="16"/>
  <c r="B314" i="16"/>
  <c r="I313" i="16"/>
  <c r="H313" i="16"/>
  <c r="G313" i="16"/>
  <c r="F313" i="16"/>
  <c r="E313" i="16"/>
  <c r="D313" i="16"/>
  <c r="C313" i="16"/>
  <c r="B313" i="16"/>
  <c r="I312" i="16"/>
  <c r="H312" i="16"/>
  <c r="G312" i="16"/>
  <c r="F312" i="16"/>
  <c r="E312" i="16"/>
  <c r="D312" i="16"/>
  <c r="C312" i="16"/>
  <c r="B312" i="16"/>
  <c r="I311" i="16"/>
  <c r="H311" i="16"/>
  <c r="G311" i="16"/>
  <c r="F311" i="16"/>
  <c r="E311" i="16"/>
  <c r="D311" i="16"/>
  <c r="C311" i="16"/>
  <c r="B311" i="16"/>
  <c r="I310" i="16"/>
  <c r="H310" i="16"/>
  <c r="G310" i="16"/>
  <c r="F310" i="16"/>
  <c r="E310" i="16"/>
  <c r="D310" i="16"/>
  <c r="C310" i="16"/>
  <c r="B310" i="16"/>
  <c r="I309" i="16"/>
  <c r="H309" i="16"/>
  <c r="G309" i="16"/>
  <c r="F309" i="16"/>
  <c r="E309" i="16"/>
  <c r="D309" i="16"/>
  <c r="C309" i="16"/>
  <c r="B309" i="16"/>
  <c r="I308" i="16"/>
  <c r="H308" i="16"/>
  <c r="G308" i="16"/>
  <c r="F308" i="16"/>
  <c r="E308" i="16"/>
  <c r="D308" i="16"/>
  <c r="C308" i="16"/>
  <c r="B308" i="16"/>
  <c r="I307" i="16"/>
  <c r="H307" i="16"/>
  <c r="G307" i="16"/>
  <c r="F307" i="16"/>
  <c r="E307" i="16"/>
  <c r="D307" i="16"/>
  <c r="C307" i="16"/>
  <c r="B307" i="16"/>
  <c r="I306" i="16"/>
  <c r="H306" i="16"/>
  <c r="G306" i="16"/>
  <c r="F306" i="16"/>
  <c r="E306" i="16"/>
  <c r="D306" i="16"/>
  <c r="C306" i="16"/>
  <c r="B306" i="16"/>
  <c r="I305" i="16"/>
  <c r="H305" i="16"/>
  <c r="G305" i="16"/>
  <c r="F305" i="16"/>
  <c r="E305" i="16"/>
  <c r="D305" i="16"/>
  <c r="C305" i="16"/>
  <c r="B305" i="16"/>
  <c r="I304" i="16"/>
  <c r="H304" i="16"/>
  <c r="G304" i="16"/>
  <c r="F304" i="16"/>
  <c r="E304" i="16"/>
  <c r="D304" i="16"/>
  <c r="C304" i="16"/>
  <c r="B304" i="16"/>
  <c r="I303" i="16"/>
  <c r="H303" i="16"/>
  <c r="G303" i="16"/>
  <c r="F303" i="16"/>
  <c r="E303" i="16"/>
  <c r="D303" i="16"/>
  <c r="C303" i="16"/>
  <c r="B303" i="16"/>
  <c r="I302" i="16"/>
  <c r="H302" i="16"/>
  <c r="G302" i="16"/>
  <c r="F302" i="16"/>
  <c r="E302" i="16"/>
  <c r="D302" i="16"/>
  <c r="C302" i="16"/>
  <c r="B302" i="16"/>
  <c r="I301" i="16"/>
  <c r="H301" i="16"/>
  <c r="G301" i="16"/>
  <c r="F301" i="16"/>
  <c r="E301" i="16"/>
  <c r="D301" i="16"/>
  <c r="C301" i="16"/>
  <c r="B301" i="16"/>
  <c r="I300" i="16"/>
  <c r="H300" i="16"/>
  <c r="G300" i="16"/>
  <c r="F300" i="16"/>
  <c r="E300" i="16"/>
  <c r="D300" i="16"/>
  <c r="C300" i="16"/>
  <c r="B300" i="16"/>
  <c r="I299" i="16"/>
  <c r="H299" i="16"/>
  <c r="G299" i="16"/>
  <c r="F299" i="16"/>
  <c r="E299" i="16"/>
  <c r="D299" i="16"/>
  <c r="C299" i="16"/>
  <c r="B299" i="16"/>
  <c r="I298" i="16"/>
  <c r="H298" i="16"/>
  <c r="G298" i="16"/>
  <c r="F298" i="16"/>
  <c r="E298" i="16"/>
  <c r="D298" i="16"/>
  <c r="C298" i="16"/>
  <c r="B298" i="16"/>
  <c r="I297" i="16"/>
  <c r="H297" i="16"/>
  <c r="G297" i="16"/>
  <c r="F297" i="16"/>
  <c r="E297" i="16"/>
  <c r="D297" i="16"/>
  <c r="C297" i="16"/>
  <c r="B297" i="16"/>
  <c r="I296" i="16"/>
  <c r="H296" i="16"/>
  <c r="G296" i="16"/>
  <c r="F296" i="16"/>
  <c r="E296" i="16"/>
  <c r="D296" i="16"/>
  <c r="C296" i="16"/>
  <c r="B296" i="16"/>
  <c r="I295" i="16"/>
  <c r="H295" i="16"/>
  <c r="G295" i="16"/>
  <c r="F295" i="16"/>
  <c r="E295" i="16"/>
  <c r="D295" i="16"/>
  <c r="C295" i="16"/>
  <c r="B295" i="16"/>
  <c r="I294" i="16"/>
  <c r="H294" i="16"/>
  <c r="G294" i="16"/>
  <c r="F294" i="16"/>
  <c r="E294" i="16"/>
  <c r="D294" i="16"/>
  <c r="C294" i="16"/>
  <c r="B294" i="16"/>
  <c r="I293" i="16"/>
  <c r="H293" i="16"/>
  <c r="G293" i="16"/>
  <c r="F293" i="16"/>
  <c r="E293" i="16"/>
  <c r="D293" i="16"/>
  <c r="C293" i="16"/>
  <c r="B293" i="16"/>
  <c r="I292" i="16"/>
  <c r="H292" i="16"/>
  <c r="G292" i="16"/>
  <c r="F292" i="16"/>
  <c r="E292" i="16"/>
  <c r="D292" i="16"/>
  <c r="C292" i="16"/>
  <c r="B292" i="16"/>
  <c r="I291" i="16"/>
  <c r="H291" i="16"/>
  <c r="G291" i="16"/>
  <c r="F291" i="16"/>
  <c r="E291" i="16"/>
  <c r="D291" i="16"/>
  <c r="C291" i="16"/>
  <c r="B291" i="16"/>
  <c r="I290" i="16"/>
  <c r="H290" i="16"/>
  <c r="G290" i="16"/>
  <c r="F290" i="16"/>
  <c r="E290" i="16"/>
  <c r="D290" i="16"/>
  <c r="C290" i="16"/>
  <c r="B290" i="16"/>
  <c r="I289" i="16"/>
  <c r="H289" i="16"/>
  <c r="G289" i="16"/>
  <c r="F289" i="16"/>
  <c r="E289" i="16"/>
  <c r="D289" i="16"/>
  <c r="C289" i="16"/>
  <c r="B289" i="16"/>
  <c r="I288" i="16"/>
  <c r="H288" i="16"/>
  <c r="G288" i="16"/>
  <c r="F288" i="16"/>
  <c r="E288" i="16"/>
  <c r="D288" i="16"/>
  <c r="C288" i="16"/>
  <c r="B288" i="16"/>
  <c r="I287" i="16"/>
  <c r="H287" i="16"/>
  <c r="G287" i="16"/>
  <c r="F287" i="16"/>
  <c r="E287" i="16"/>
  <c r="D287" i="16"/>
  <c r="C287" i="16"/>
  <c r="B287" i="16"/>
  <c r="I286" i="16"/>
  <c r="H286" i="16"/>
  <c r="G286" i="16"/>
  <c r="F286" i="16"/>
  <c r="E286" i="16"/>
  <c r="D286" i="16"/>
  <c r="C286" i="16"/>
  <c r="B286" i="16"/>
  <c r="I285" i="16"/>
  <c r="H285" i="16"/>
  <c r="G285" i="16"/>
  <c r="F285" i="16"/>
  <c r="E285" i="16"/>
  <c r="D285" i="16"/>
  <c r="C285" i="16"/>
  <c r="B285" i="16"/>
  <c r="I284" i="16"/>
  <c r="H284" i="16"/>
  <c r="G284" i="16"/>
  <c r="F284" i="16"/>
  <c r="E284" i="16"/>
  <c r="D284" i="16"/>
  <c r="C284" i="16"/>
  <c r="B284" i="16"/>
  <c r="I283" i="16"/>
  <c r="H283" i="16"/>
  <c r="G283" i="16"/>
  <c r="F283" i="16"/>
  <c r="E283" i="16"/>
  <c r="D283" i="16"/>
  <c r="C283" i="16"/>
  <c r="B283" i="16"/>
  <c r="I282" i="16"/>
  <c r="H282" i="16"/>
  <c r="G282" i="16"/>
  <c r="F282" i="16"/>
  <c r="E282" i="16"/>
  <c r="D282" i="16"/>
  <c r="C282" i="16"/>
  <c r="B282" i="16"/>
  <c r="I281" i="16"/>
  <c r="H281" i="16"/>
  <c r="G281" i="16"/>
  <c r="F281" i="16"/>
  <c r="E281" i="16"/>
  <c r="D281" i="16"/>
  <c r="C281" i="16"/>
  <c r="B281" i="16"/>
  <c r="I280" i="16"/>
  <c r="H280" i="16"/>
  <c r="G280" i="16"/>
  <c r="F280" i="16"/>
  <c r="E280" i="16"/>
  <c r="D280" i="16"/>
  <c r="C280" i="16"/>
  <c r="B280" i="16"/>
  <c r="I279" i="16"/>
  <c r="H279" i="16"/>
  <c r="G279" i="16"/>
  <c r="F279" i="16"/>
  <c r="E279" i="16"/>
  <c r="D279" i="16"/>
  <c r="C279" i="16"/>
  <c r="B279" i="16"/>
  <c r="I278" i="16"/>
  <c r="H278" i="16"/>
  <c r="G278" i="16"/>
  <c r="F278" i="16"/>
  <c r="E278" i="16"/>
  <c r="D278" i="16"/>
  <c r="C278" i="16"/>
  <c r="B278" i="16"/>
  <c r="I277" i="16"/>
  <c r="H277" i="16"/>
  <c r="G277" i="16"/>
  <c r="F277" i="16"/>
  <c r="E277" i="16"/>
  <c r="D277" i="16"/>
  <c r="C277" i="16"/>
  <c r="B277" i="16"/>
  <c r="I276" i="16"/>
  <c r="H276" i="16"/>
  <c r="G276" i="16"/>
  <c r="F276" i="16"/>
  <c r="E276" i="16"/>
  <c r="D276" i="16"/>
  <c r="C276" i="16"/>
  <c r="B276" i="16"/>
  <c r="I275" i="16"/>
  <c r="H275" i="16"/>
  <c r="G275" i="16"/>
  <c r="F275" i="16"/>
  <c r="E275" i="16"/>
  <c r="D275" i="16"/>
  <c r="C275" i="16"/>
  <c r="B275" i="16"/>
  <c r="I274" i="16"/>
  <c r="H274" i="16"/>
  <c r="G274" i="16"/>
  <c r="F274" i="16"/>
  <c r="E274" i="16"/>
  <c r="D274" i="16"/>
  <c r="C274" i="16"/>
  <c r="B274" i="16"/>
  <c r="I273" i="16"/>
  <c r="H273" i="16"/>
  <c r="G273" i="16"/>
  <c r="F273" i="16"/>
  <c r="E273" i="16"/>
  <c r="D273" i="16"/>
  <c r="C273" i="16"/>
  <c r="B273" i="16"/>
  <c r="I272" i="16"/>
  <c r="H272" i="16"/>
  <c r="G272" i="16"/>
  <c r="F272" i="16"/>
  <c r="E272" i="16"/>
  <c r="D272" i="16"/>
  <c r="C272" i="16"/>
  <c r="B272" i="16"/>
  <c r="I271" i="16"/>
  <c r="H271" i="16"/>
  <c r="G271" i="16"/>
  <c r="F271" i="16"/>
  <c r="E271" i="16"/>
  <c r="D271" i="16"/>
  <c r="C271" i="16"/>
  <c r="B271" i="16"/>
  <c r="I270" i="16"/>
  <c r="H270" i="16"/>
  <c r="G270" i="16"/>
  <c r="F270" i="16"/>
  <c r="E270" i="16"/>
  <c r="D270" i="16"/>
  <c r="C270" i="16"/>
  <c r="B270" i="16"/>
  <c r="I269" i="16"/>
  <c r="H269" i="16"/>
  <c r="G269" i="16"/>
  <c r="F269" i="16"/>
  <c r="E269" i="16"/>
  <c r="D269" i="16"/>
  <c r="C269" i="16"/>
  <c r="B269" i="16"/>
  <c r="I268" i="16"/>
  <c r="H268" i="16"/>
  <c r="G268" i="16"/>
  <c r="F268" i="16"/>
  <c r="E268" i="16"/>
  <c r="D268" i="16"/>
  <c r="C268" i="16"/>
  <c r="B268" i="16"/>
  <c r="I267" i="16"/>
  <c r="H267" i="16"/>
  <c r="G267" i="16"/>
  <c r="F267" i="16"/>
  <c r="E267" i="16"/>
  <c r="D267" i="16"/>
  <c r="C267" i="16"/>
  <c r="B267" i="16"/>
  <c r="I266" i="16"/>
  <c r="H266" i="16"/>
  <c r="G266" i="16"/>
  <c r="F266" i="16"/>
  <c r="E266" i="16"/>
  <c r="D266" i="16"/>
  <c r="C266" i="16"/>
  <c r="B266" i="16"/>
  <c r="I265" i="16"/>
  <c r="H265" i="16"/>
  <c r="G265" i="16"/>
  <c r="F265" i="16"/>
  <c r="E265" i="16"/>
  <c r="D265" i="16"/>
  <c r="C265" i="16"/>
  <c r="B265" i="16"/>
  <c r="I264" i="16"/>
  <c r="H264" i="16"/>
  <c r="G264" i="16"/>
  <c r="F264" i="16"/>
  <c r="E264" i="16"/>
  <c r="D264" i="16"/>
  <c r="C264" i="16"/>
  <c r="B264" i="16"/>
  <c r="I263" i="16"/>
  <c r="H263" i="16"/>
  <c r="G263" i="16"/>
  <c r="F263" i="16"/>
  <c r="E263" i="16"/>
  <c r="D263" i="16"/>
  <c r="C263" i="16"/>
  <c r="B263" i="16"/>
  <c r="I262" i="16"/>
  <c r="H262" i="16"/>
  <c r="G262" i="16"/>
  <c r="F262" i="16"/>
  <c r="E262" i="16"/>
  <c r="D262" i="16"/>
  <c r="C262" i="16"/>
  <c r="B262" i="16"/>
  <c r="I261" i="16"/>
  <c r="H261" i="16"/>
  <c r="G261" i="16"/>
  <c r="F261" i="16"/>
  <c r="E261" i="16"/>
  <c r="D261" i="16"/>
  <c r="C261" i="16"/>
  <c r="B261" i="16"/>
  <c r="I260" i="16"/>
  <c r="H260" i="16"/>
  <c r="G260" i="16"/>
  <c r="F260" i="16"/>
  <c r="E260" i="16"/>
  <c r="D260" i="16"/>
  <c r="C260" i="16"/>
  <c r="B260" i="16"/>
  <c r="I259" i="16"/>
  <c r="H259" i="16"/>
  <c r="G259" i="16"/>
  <c r="F259" i="16"/>
  <c r="E259" i="16"/>
  <c r="D259" i="16"/>
  <c r="C259" i="16"/>
  <c r="B259" i="16"/>
  <c r="I258" i="16"/>
  <c r="H258" i="16"/>
  <c r="G258" i="16"/>
  <c r="F258" i="16"/>
  <c r="E258" i="16"/>
  <c r="D258" i="16"/>
  <c r="C258" i="16"/>
  <c r="B258" i="16"/>
  <c r="I257" i="16"/>
  <c r="H257" i="16"/>
  <c r="G257" i="16"/>
  <c r="F257" i="16"/>
  <c r="E257" i="16"/>
  <c r="D257" i="16"/>
  <c r="C257" i="16"/>
  <c r="B257" i="16"/>
  <c r="I256" i="16"/>
  <c r="H256" i="16"/>
  <c r="G256" i="16"/>
  <c r="F256" i="16"/>
  <c r="E256" i="16"/>
  <c r="D256" i="16"/>
  <c r="C256" i="16"/>
  <c r="B256" i="16"/>
  <c r="I255" i="16"/>
  <c r="H255" i="16"/>
  <c r="G255" i="16"/>
  <c r="F255" i="16"/>
  <c r="E255" i="16"/>
  <c r="D255" i="16"/>
  <c r="C255" i="16"/>
  <c r="B255" i="16"/>
  <c r="I254" i="16"/>
  <c r="H254" i="16"/>
  <c r="G254" i="16"/>
  <c r="F254" i="16"/>
  <c r="E254" i="16"/>
  <c r="D254" i="16"/>
  <c r="C254" i="16"/>
  <c r="B254" i="16"/>
  <c r="I253" i="16"/>
  <c r="H253" i="16"/>
  <c r="G253" i="16"/>
  <c r="F253" i="16"/>
  <c r="E253" i="16"/>
  <c r="D253" i="16"/>
  <c r="C253" i="16"/>
  <c r="B253" i="16"/>
  <c r="I252" i="16"/>
  <c r="H252" i="16"/>
  <c r="G252" i="16"/>
  <c r="F252" i="16"/>
  <c r="E252" i="16"/>
  <c r="D252" i="16"/>
  <c r="C252" i="16"/>
  <c r="B252" i="16"/>
  <c r="I251" i="16"/>
  <c r="H251" i="16"/>
  <c r="G251" i="16"/>
  <c r="F251" i="16"/>
  <c r="E251" i="16"/>
  <c r="D251" i="16"/>
  <c r="C251" i="16"/>
  <c r="B251" i="16"/>
  <c r="I250" i="16"/>
  <c r="H250" i="16"/>
  <c r="G250" i="16"/>
  <c r="F250" i="16"/>
  <c r="E250" i="16"/>
  <c r="D250" i="16"/>
  <c r="C250" i="16"/>
  <c r="B250" i="16"/>
  <c r="I249" i="16"/>
  <c r="H249" i="16"/>
  <c r="G249" i="16"/>
  <c r="F249" i="16"/>
  <c r="E249" i="16"/>
  <c r="D249" i="16"/>
  <c r="C249" i="16"/>
  <c r="B249" i="16"/>
  <c r="I248" i="16"/>
  <c r="H248" i="16"/>
  <c r="G248" i="16"/>
  <c r="F248" i="16"/>
  <c r="E248" i="16"/>
  <c r="D248" i="16"/>
  <c r="C248" i="16"/>
  <c r="B248" i="16"/>
  <c r="I247" i="16"/>
  <c r="H247" i="16"/>
  <c r="G247" i="16"/>
  <c r="F247" i="16"/>
  <c r="E247" i="16"/>
  <c r="D247" i="16"/>
  <c r="C247" i="16"/>
  <c r="B247" i="16"/>
  <c r="I246" i="16"/>
  <c r="H246" i="16"/>
  <c r="G246" i="16"/>
  <c r="F246" i="16"/>
  <c r="E246" i="16"/>
  <c r="D246" i="16"/>
  <c r="C246" i="16"/>
  <c r="B246" i="16"/>
  <c r="I245" i="16"/>
  <c r="H245" i="16"/>
  <c r="G245" i="16"/>
  <c r="F245" i="16"/>
  <c r="E245" i="16"/>
  <c r="D245" i="16"/>
  <c r="C245" i="16"/>
  <c r="B245" i="16"/>
  <c r="I244" i="16"/>
  <c r="H244" i="16"/>
  <c r="G244" i="16"/>
  <c r="F244" i="16"/>
  <c r="E244" i="16"/>
  <c r="D244" i="16"/>
  <c r="C244" i="16"/>
  <c r="B244" i="16"/>
  <c r="I243" i="16"/>
  <c r="H243" i="16"/>
  <c r="G243" i="16"/>
  <c r="F243" i="16"/>
  <c r="E243" i="16"/>
  <c r="D243" i="16"/>
  <c r="C243" i="16"/>
  <c r="B243" i="16"/>
  <c r="I242" i="16"/>
  <c r="H242" i="16"/>
  <c r="G242" i="16"/>
  <c r="F242" i="16"/>
  <c r="E242" i="16"/>
  <c r="D242" i="16"/>
  <c r="C242" i="16"/>
  <c r="B242" i="16"/>
  <c r="I241" i="16"/>
  <c r="H241" i="16"/>
  <c r="G241" i="16"/>
  <c r="F241" i="16"/>
  <c r="E241" i="16"/>
  <c r="D241" i="16"/>
  <c r="C241" i="16"/>
  <c r="B241" i="16"/>
  <c r="I240" i="16"/>
  <c r="H240" i="16"/>
  <c r="G240" i="16"/>
  <c r="F240" i="16"/>
  <c r="E240" i="16"/>
  <c r="D240" i="16"/>
  <c r="C240" i="16"/>
  <c r="B240" i="16"/>
  <c r="I239" i="16"/>
  <c r="H239" i="16"/>
  <c r="G239" i="16"/>
  <c r="F239" i="16"/>
  <c r="E239" i="16"/>
  <c r="D239" i="16"/>
  <c r="C239" i="16"/>
  <c r="B239" i="16"/>
  <c r="I238" i="16"/>
  <c r="H238" i="16"/>
  <c r="G238" i="16"/>
  <c r="F238" i="16"/>
  <c r="E238" i="16"/>
  <c r="D238" i="16"/>
  <c r="C238" i="16"/>
  <c r="B238" i="16"/>
  <c r="I237" i="16"/>
  <c r="H237" i="16"/>
  <c r="G237" i="16"/>
  <c r="F237" i="16"/>
  <c r="E237" i="16"/>
  <c r="D237" i="16"/>
  <c r="C237" i="16"/>
  <c r="B237" i="16"/>
  <c r="I236" i="16"/>
  <c r="H236" i="16"/>
  <c r="G236" i="16"/>
  <c r="F236" i="16"/>
  <c r="E236" i="16"/>
  <c r="D236" i="16"/>
  <c r="C236" i="16"/>
  <c r="B236" i="16"/>
  <c r="I235" i="16"/>
  <c r="H235" i="16"/>
  <c r="G235" i="16"/>
  <c r="F235" i="16"/>
  <c r="E235" i="16"/>
  <c r="D235" i="16"/>
  <c r="C235" i="16"/>
  <c r="B235" i="16"/>
  <c r="I234" i="16"/>
  <c r="H234" i="16"/>
  <c r="G234" i="16"/>
  <c r="F234" i="16"/>
  <c r="E234" i="16"/>
  <c r="D234" i="16"/>
  <c r="C234" i="16"/>
  <c r="B234" i="16"/>
  <c r="I233" i="16"/>
  <c r="H233" i="16"/>
  <c r="G233" i="16"/>
  <c r="F233" i="16"/>
  <c r="E233" i="16"/>
  <c r="D233" i="16"/>
  <c r="C233" i="16"/>
  <c r="B233" i="16"/>
  <c r="I232" i="16"/>
  <c r="H232" i="16"/>
  <c r="G232" i="16"/>
  <c r="F232" i="16"/>
  <c r="E232" i="16"/>
  <c r="D232" i="16"/>
  <c r="C232" i="16"/>
  <c r="B232" i="16"/>
  <c r="I231" i="16"/>
  <c r="H231" i="16"/>
  <c r="G231" i="16"/>
  <c r="F231" i="16"/>
  <c r="E231" i="16"/>
  <c r="D231" i="16"/>
  <c r="C231" i="16"/>
  <c r="B231" i="16"/>
  <c r="I230" i="16"/>
  <c r="H230" i="16"/>
  <c r="G230" i="16"/>
  <c r="F230" i="16"/>
  <c r="E230" i="16"/>
  <c r="D230" i="16"/>
  <c r="C230" i="16"/>
  <c r="B230" i="16"/>
  <c r="I229" i="16"/>
  <c r="H229" i="16"/>
  <c r="G229" i="16"/>
  <c r="F229" i="16"/>
  <c r="E229" i="16"/>
  <c r="D229" i="16"/>
  <c r="C229" i="16"/>
  <c r="B229" i="16"/>
  <c r="I228" i="16"/>
  <c r="H228" i="16"/>
  <c r="G228" i="16"/>
  <c r="F228" i="16"/>
  <c r="E228" i="16"/>
  <c r="D228" i="16"/>
  <c r="C228" i="16"/>
  <c r="B228" i="16"/>
  <c r="I227" i="16"/>
  <c r="H227" i="16"/>
  <c r="G227" i="16"/>
  <c r="F227" i="16"/>
  <c r="E227" i="16"/>
  <c r="D227" i="16"/>
  <c r="C227" i="16"/>
  <c r="B227" i="16"/>
  <c r="I226" i="16"/>
  <c r="H226" i="16"/>
  <c r="G226" i="16"/>
  <c r="F226" i="16"/>
  <c r="E226" i="16"/>
  <c r="D226" i="16"/>
  <c r="C226" i="16"/>
  <c r="B226" i="16"/>
  <c r="I225" i="16"/>
  <c r="H225" i="16"/>
  <c r="G225" i="16"/>
  <c r="F225" i="16"/>
  <c r="E225" i="16"/>
  <c r="D225" i="16"/>
  <c r="C225" i="16"/>
  <c r="B225" i="16"/>
  <c r="I224" i="16"/>
  <c r="H224" i="16"/>
  <c r="G224" i="16"/>
  <c r="F224" i="16"/>
  <c r="E224" i="16"/>
  <c r="D224" i="16"/>
  <c r="C224" i="16"/>
  <c r="B224" i="16"/>
  <c r="I223" i="16"/>
  <c r="H223" i="16"/>
  <c r="G223" i="16"/>
  <c r="F223" i="16"/>
  <c r="E223" i="16"/>
  <c r="D223" i="16"/>
  <c r="C223" i="16"/>
  <c r="B223" i="16"/>
  <c r="I222" i="16"/>
  <c r="H222" i="16"/>
  <c r="G222" i="16"/>
  <c r="F222" i="16"/>
  <c r="E222" i="16"/>
  <c r="D222" i="16"/>
  <c r="C222" i="16"/>
  <c r="B222" i="16"/>
  <c r="I221" i="16"/>
  <c r="H221" i="16"/>
  <c r="G221" i="16"/>
  <c r="F221" i="16"/>
  <c r="E221" i="16"/>
  <c r="D221" i="16"/>
  <c r="C221" i="16"/>
  <c r="B221" i="16"/>
  <c r="I220" i="16"/>
  <c r="H220" i="16"/>
  <c r="G220" i="16"/>
  <c r="F220" i="16"/>
  <c r="E220" i="16"/>
  <c r="D220" i="16"/>
  <c r="C220" i="16"/>
  <c r="B220" i="16"/>
  <c r="I219" i="16"/>
  <c r="H219" i="16"/>
  <c r="G219" i="16"/>
  <c r="F219" i="16"/>
  <c r="E219" i="16"/>
  <c r="D219" i="16"/>
  <c r="C219" i="16"/>
  <c r="B219" i="16"/>
  <c r="I218" i="16"/>
  <c r="H218" i="16"/>
  <c r="G218" i="16"/>
  <c r="F218" i="16"/>
  <c r="E218" i="16"/>
  <c r="D218" i="16"/>
  <c r="C218" i="16"/>
  <c r="B218" i="16"/>
  <c r="I217" i="16"/>
  <c r="H217" i="16"/>
  <c r="G217" i="16"/>
  <c r="F217" i="16"/>
  <c r="E217" i="16"/>
  <c r="D217" i="16"/>
  <c r="C217" i="16"/>
  <c r="B217" i="16"/>
  <c r="I216" i="16"/>
  <c r="H216" i="16"/>
  <c r="G216" i="16"/>
  <c r="F216" i="16"/>
  <c r="E216" i="16"/>
  <c r="D216" i="16"/>
  <c r="C216" i="16"/>
  <c r="B216" i="16"/>
  <c r="I215" i="16"/>
  <c r="H215" i="16"/>
  <c r="G215" i="16"/>
  <c r="F215" i="16"/>
  <c r="E215" i="16"/>
  <c r="D215" i="16"/>
  <c r="C215" i="16"/>
  <c r="B215" i="16"/>
  <c r="I214" i="16"/>
  <c r="H214" i="16"/>
  <c r="G214" i="16"/>
  <c r="F214" i="16"/>
  <c r="E214" i="16"/>
  <c r="D214" i="16"/>
  <c r="C214" i="16"/>
  <c r="B214" i="16"/>
  <c r="I213" i="16"/>
  <c r="H213" i="16"/>
  <c r="G213" i="16"/>
  <c r="F213" i="16"/>
  <c r="E213" i="16"/>
  <c r="D213" i="16"/>
  <c r="C213" i="16"/>
  <c r="B213" i="16"/>
  <c r="I212" i="16"/>
  <c r="H212" i="16"/>
  <c r="G212" i="16"/>
  <c r="F212" i="16"/>
  <c r="E212" i="16"/>
  <c r="D212" i="16"/>
  <c r="C212" i="16"/>
  <c r="B212" i="16"/>
  <c r="I211" i="16"/>
  <c r="H211" i="16"/>
  <c r="G211" i="16"/>
  <c r="F211" i="16"/>
  <c r="E211" i="16"/>
  <c r="D211" i="16"/>
  <c r="C211" i="16"/>
  <c r="B211" i="16"/>
  <c r="I210" i="16"/>
  <c r="H210" i="16"/>
  <c r="G210" i="16"/>
  <c r="F210" i="16"/>
  <c r="E210" i="16"/>
  <c r="D210" i="16"/>
  <c r="C210" i="16"/>
  <c r="B210" i="16"/>
  <c r="I209" i="16"/>
  <c r="H209" i="16"/>
  <c r="G209" i="16"/>
  <c r="F209" i="16"/>
  <c r="E209" i="16"/>
  <c r="D209" i="16"/>
  <c r="C209" i="16"/>
  <c r="B209" i="16"/>
  <c r="I208" i="16"/>
  <c r="H208" i="16"/>
  <c r="G208" i="16"/>
  <c r="F208" i="16"/>
  <c r="E208" i="16"/>
  <c r="D208" i="16"/>
  <c r="C208" i="16"/>
  <c r="B208" i="16"/>
  <c r="I207" i="16"/>
  <c r="H207" i="16"/>
  <c r="G207" i="16"/>
  <c r="F207" i="16"/>
  <c r="E207" i="16"/>
  <c r="D207" i="16"/>
  <c r="C207" i="16"/>
  <c r="B207" i="16"/>
  <c r="I206" i="16"/>
  <c r="H206" i="16"/>
  <c r="G206" i="16"/>
  <c r="F206" i="16"/>
  <c r="E206" i="16"/>
  <c r="D206" i="16"/>
  <c r="C206" i="16"/>
  <c r="B206" i="16"/>
  <c r="I205" i="16"/>
  <c r="H205" i="16"/>
  <c r="G205" i="16"/>
  <c r="F205" i="16"/>
  <c r="E205" i="16"/>
  <c r="D205" i="16"/>
  <c r="C205" i="16"/>
  <c r="B205" i="16"/>
  <c r="I204" i="16"/>
  <c r="H204" i="16"/>
  <c r="G204" i="16"/>
  <c r="F204" i="16"/>
  <c r="E204" i="16"/>
  <c r="D204" i="16"/>
  <c r="C204" i="16"/>
  <c r="B204" i="16"/>
  <c r="I203" i="16"/>
  <c r="H203" i="16"/>
  <c r="G203" i="16"/>
  <c r="F203" i="16"/>
  <c r="E203" i="16"/>
  <c r="D203" i="16"/>
  <c r="C203" i="16"/>
  <c r="B203" i="16"/>
  <c r="I202" i="16"/>
  <c r="H202" i="16"/>
  <c r="G202" i="16"/>
  <c r="F202" i="16"/>
  <c r="E202" i="16"/>
  <c r="D202" i="16"/>
  <c r="C202" i="16"/>
  <c r="B202" i="16"/>
  <c r="I201" i="16"/>
  <c r="H201" i="16"/>
  <c r="G201" i="16"/>
  <c r="F201" i="16"/>
  <c r="E201" i="16"/>
  <c r="D201" i="16"/>
  <c r="C201" i="16"/>
  <c r="B201" i="16"/>
  <c r="I200" i="16"/>
  <c r="H200" i="16"/>
  <c r="G200" i="16"/>
  <c r="F200" i="16"/>
  <c r="E200" i="16"/>
  <c r="D200" i="16"/>
  <c r="C200" i="16"/>
  <c r="B200" i="16"/>
  <c r="I199" i="16"/>
  <c r="H199" i="16"/>
  <c r="G199" i="16"/>
  <c r="F199" i="16"/>
  <c r="E199" i="16"/>
  <c r="D199" i="16"/>
  <c r="C199" i="16"/>
  <c r="B199" i="16"/>
  <c r="I198" i="16"/>
  <c r="H198" i="16"/>
  <c r="G198" i="16"/>
  <c r="F198" i="16"/>
  <c r="E198" i="16"/>
  <c r="D198" i="16"/>
  <c r="C198" i="16"/>
  <c r="B198" i="16"/>
  <c r="I197" i="16"/>
  <c r="H197" i="16"/>
  <c r="G197" i="16"/>
  <c r="F197" i="16"/>
  <c r="E197" i="16"/>
  <c r="D197" i="16"/>
  <c r="C197" i="16"/>
  <c r="B197" i="16"/>
  <c r="I196" i="16"/>
  <c r="H196" i="16"/>
  <c r="G196" i="16"/>
  <c r="F196" i="16"/>
  <c r="E196" i="16"/>
  <c r="D196" i="16"/>
  <c r="C196" i="16"/>
  <c r="B196" i="16"/>
  <c r="I195" i="16"/>
  <c r="H195" i="16"/>
  <c r="G195" i="16"/>
  <c r="F195" i="16"/>
  <c r="E195" i="16"/>
  <c r="D195" i="16"/>
  <c r="C195" i="16"/>
  <c r="B195" i="16"/>
  <c r="I194" i="16"/>
  <c r="H194" i="16"/>
  <c r="G194" i="16"/>
  <c r="F194" i="16"/>
  <c r="E194" i="16"/>
  <c r="D194" i="16"/>
  <c r="C194" i="16"/>
  <c r="B194" i="16"/>
  <c r="I193" i="16"/>
  <c r="H193" i="16"/>
  <c r="G193" i="16"/>
  <c r="F193" i="16"/>
  <c r="E193" i="16"/>
  <c r="D193" i="16"/>
  <c r="C193" i="16"/>
  <c r="B193" i="16"/>
  <c r="I192" i="16"/>
  <c r="H192" i="16"/>
  <c r="G192" i="16"/>
  <c r="F192" i="16"/>
  <c r="E192" i="16"/>
  <c r="D192" i="16"/>
  <c r="C192" i="16"/>
  <c r="B192" i="16"/>
  <c r="I191" i="16"/>
  <c r="H191" i="16"/>
  <c r="G191" i="16"/>
  <c r="F191" i="16"/>
  <c r="E191" i="16"/>
  <c r="D191" i="16"/>
  <c r="C191" i="16"/>
  <c r="B191" i="16"/>
  <c r="I190" i="16"/>
  <c r="H190" i="16"/>
  <c r="G190" i="16"/>
  <c r="F190" i="16"/>
  <c r="E190" i="16"/>
  <c r="D190" i="16"/>
  <c r="C190" i="16"/>
  <c r="B190" i="16"/>
  <c r="I189" i="16"/>
  <c r="H189" i="16"/>
  <c r="G189" i="16"/>
  <c r="F189" i="16"/>
  <c r="E189" i="16"/>
  <c r="D189" i="16"/>
  <c r="C189" i="16"/>
  <c r="B189" i="16"/>
  <c r="I188" i="16"/>
  <c r="H188" i="16"/>
  <c r="G188" i="16"/>
  <c r="F188" i="16"/>
  <c r="E188" i="16"/>
  <c r="D188" i="16"/>
  <c r="C188" i="16"/>
  <c r="B188" i="16"/>
  <c r="I187" i="16"/>
  <c r="H187" i="16"/>
  <c r="G187" i="16"/>
  <c r="F187" i="16"/>
  <c r="E187" i="16"/>
  <c r="D187" i="16"/>
  <c r="C187" i="16"/>
  <c r="B187" i="16"/>
  <c r="I186" i="16"/>
  <c r="H186" i="16"/>
  <c r="G186" i="16"/>
  <c r="F186" i="16"/>
  <c r="E186" i="16"/>
  <c r="D186" i="16"/>
  <c r="C186" i="16"/>
  <c r="B186" i="16"/>
  <c r="I185" i="16"/>
  <c r="H185" i="16"/>
  <c r="G185" i="16"/>
  <c r="F185" i="16"/>
  <c r="E185" i="16"/>
  <c r="D185" i="16"/>
  <c r="C185" i="16"/>
  <c r="B185" i="16"/>
  <c r="I184" i="16"/>
  <c r="H184" i="16"/>
  <c r="G184" i="16"/>
  <c r="F184" i="16"/>
  <c r="E184" i="16"/>
  <c r="D184" i="16"/>
  <c r="C184" i="16"/>
  <c r="B184" i="16"/>
  <c r="I183" i="16"/>
  <c r="H183" i="16"/>
  <c r="G183" i="16"/>
  <c r="F183" i="16"/>
  <c r="E183" i="16"/>
  <c r="D183" i="16"/>
  <c r="C183" i="16"/>
  <c r="B183" i="16"/>
  <c r="I182" i="16"/>
  <c r="H182" i="16"/>
  <c r="G182" i="16"/>
  <c r="F182" i="16"/>
  <c r="E182" i="16"/>
  <c r="D182" i="16"/>
  <c r="C182" i="16"/>
  <c r="B182" i="16"/>
  <c r="I181" i="16"/>
  <c r="H181" i="16"/>
  <c r="G181" i="16"/>
  <c r="F181" i="16"/>
  <c r="E181" i="16"/>
  <c r="D181" i="16"/>
  <c r="C181" i="16"/>
  <c r="B181" i="16"/>
  <c r="I180" i="16"/>
  <c r="H180" i="16"/>
  <c r="G180" i="16"/>
  <c r="F180" i="16"/>
  <c r="E180" i="16"/>
  <c r="D180" i="16"/>
  <c r="C180" i="16"/>
  <c r="B180" i="16"/>
  <c r="I179" i="16"/>
  <c r="H179" i="16"/>
  <c r="G179" i="16"/>
  <c r="F179" i="16"/>
  <c r="E179" i="16"/>
  <c r="D179" i="16"/>
  <c r="C179" i="16"/>
  <c r="B179" i="16"/>
  <c r="I178" i="16"/>
  <c r="H178" i="16"/>
  <c r="G178" i="16"/>
  <c r="F178" i="16"/>
  <c r="E178" i="16"/>
  <c r="D178" i="16"/>
  <c r="C178" i="16"/>
  <c r="B178" i="16"/>
  <c r="I177" i="16"/>
  <c r="H177" i="16"/>
  <c r="G177" i="16"/>
  <c r="F177" i="16"/>
  <c r="E177" i="16"/>
  <c r="D177" i="16"/>
  <c r="C177" i="16"/>
  <c r="B177" i="16"/>
  <c r="I176" i="16"/>
  <c r="H176" i="16"/>
  <c r="G176" i="16"/>
  <c r="F176" i="16"/>
  <c r="E176" i="16"/>
  <c r="D176" i="16"/>
  <c r="C176" i="16"/>
  <c r="B176" i="16"/>
  <c r="I175" i="16"/>
  <c r="H175" i="16"/>
  <c r="G175" i="16"/>
  <c r="F175" i="16"/>
  <c r="E175" i="16"/>
  <c r="D175" i="16"/>
  <c r="C175" i="16"/>
  <c r="B175" i="16"/>
  <c r="I174" i="16"/>
  <c r="H174" i="16"/>
  <c r="G174" i="16"/>
  <c r="F174" i="16"/>
  <c r="E174" i="16"/>
  <c r="D174" i="16"/>
  <c r="C174" i="16"/>
  <c r="B174" i="16"/>
  <c r="I173" i="16"/>
  <c r="H173" i="16"/>
  <c r="G173" i="16"/>
  <c r="F173" i="16"/>
  <c r="E173" i="16"/>
  <c r="D173" i="16"/>
  <c r="C173" i="16"/>
  <c r="B173" i="16"/>
  <c r="I172" i="16"/>
  <c r="H172" i="16"/>
  <c r="G172" i="16"/>
  <c r="F172" i="16"/>
  <c r="E172" i="16"/>
  <c r="D172" i="16"/>
  <c r="C172" i="16"/>
  <c r="B172" i="16"/>
  <c r="I171" i="16"/>
  <c r="H171" i="16"/>
  <c r="G171" i="16"/>
  <c r="F171" i="16"/>
  <c r="E171" i="16"/>
  <c r="D171" i="16"/>
  <c r="C171" i="16"/>
  <c r="B171" i="16"/>
  <c r="I170" i="16"/>
  <c r="H170" i="16"/>
  <c r="G170" i="16"/>
  <c r="F170" i="16"/>
  <c r="E170" i="16"/>
  <c r="D170" i="16"/>
  <c r="C170" i="16"/>
  <c r="B170" i="16"/>
  <c r="I169" i="16"/>
  <c r="H169" i="16"/>
  <c r="G169" i="16"/>
  <c r="F169" i="16"/>
  <c r="E169" i="16"/>
  <c r="D169" i="16"/>
  <c r="C169" i="16"/>
  <c r="B169" i="16"/>
  <c r="I168" i="16"/>
  <c r="H168" i="16"/>
  <c r="G168" i="16"/>
  <c r="F168" i="16"/>
  <c r="E168" i="16"/>
  <c r="D168" i="16"/>
  <c r="C168" i="16"/>
  <c r="B168" i="16"/>
  <c r="I167" i="16"/>
  <c r="H167" i="16"/>
  <c r="G167" i="16"/>
  <c r="F167" i="16"/>
  <c r="E167" i="16"/>
  <c r="D167" i="16"/>
  <c r="C167" i="16"/>
  <c r="B167" i="16"/>
  <c r="I166" i="16"/>
  <c r="H166" i="16"/>
  <c r="G166" i="16"/>
  <c r="F166" i="16"/>
  <c r="E166" i="16"/>
  <c r="D166" i="16"/>
  <c r="C166" i="16"/>
  <c r="B166" i="16"/>
  <c r="I165" i="16"/>
  <c r="H165" i="16"/>
  <c r="G165" i="16"/>
  <c r="F165" i="16"/>
  <c r="E165" i="16"/>
  <c r="D165" i="16"/>
  <c r="C165" i="16"/>
  <c r="B165" i="16"/>
  <c r="I164" i="16"/>
  <c r="H164" i="16"/>
  <c r="G164" i="16"/>
  <c r="F164" i="16"/>
  <c r="E164" i="16"/>
  <c r="D164" i="16"/>
  <c r="C164" i="16"/>
  <c r="B164" i="16"/>
  <c r="I163" i="16"/>
  <c r="H163" i="16"/>
  <c r="G163" i="16"/>
  <c r="F163" i="16"/>
  <c r="E163" i="16"/>
  <c r="D163" i="16"/>
  <c r="C163" i="16"/>
  <c r="B163" i="16"/>
  <c r="I162" i="16"/>
  <c r="H162" i="16"/>
  <c r="G162" i="16"/>
  <c r="F162" i="16"/>
  <c r="E162" i="16"/>
  <c r="D162" i="16"/>
  <c r="C162" i="16"/>
  <c r="B162" i="16"/>
  <c r="I161" i="16"/>
  <c r="H161" i="16"/>
  <c r="G161" i="16"/>
  <c r="F161" i="16"/>
  <c r="E161" i="16"/>
  <c r="D161" i="16"/>
  <c r="C161" i="16"/>
  <c r="B161" i="16"/>
  <c r="I160" i="16"/>
  <c r="H160" i="16"/>
  <c r="G160" i="16"/>
  <c r="F160" i="16"/>
  <c r="E160" i="16"/>
  <c r="D160" i="16"/>
  <c r="C160" i="16"/>
  <c r="B160" i="16"/>
  <c r="I159" i="16"/>
  <c r="H159" i="16"/>
  <c r="G159" i="16"/>
  <c r="F159" i="16"/>
  <c r="E159" i="16"/>
  <c r="D159" i="16"/>
  <c r="C159" i="16"/>
  <c r="B159" i="16"/>
  <c r="I158" i="16"/>
  <c r="H158" i="16"/>
  <c r="G158" i="16"/>
  <c r="F158" i="16"/>
  <c r="E158" i="16"/>
  <c r="D158" i="16"/>
  <c r="C158" i="16"/>
  <c r="B158" i="16"/>
  <c r="I157" i="16"/>
  <c r="H157" i="16"/>
  <c r="G157" i="16"/>
  <c r="F157" i="16"/>
  <c r="E157" i="16"/>
  <c r="D157" i="16"/>
  <c r="C157" i="16"/>
  <c r="B157" i="16"/>
  <c r="I156" i="16"/>
  <c r="H156" i="16"/>
  <c r="G156" i="16"/>
  <c r="F156" i="16"/>
  <c r="E156" i="16"/>
  <c r="D156" i="16"/>
  <c r="C156" i="16"/>
  <c r="B156" i="16"/>
  <c r="I155" i="16"/>
  <c r="H155" i="16"/>
  <c r="G155" i="16"/>
  <c r="F155" i="16"/>
  <c r="E155" i="16"/>
  <c r="D155" i="16"/>
  <c r="C155" i="16"/>
  <c r="B155" i="16"/>
  <c r="I154" i="16"/>
  <c r="H154" i="16"/>
  <c r="G154" i="16"/>
  <c r="F154" i="16"/>
  <c r="E154" i="16"/>
  <c r="D154" i="16"/>
  <c r="C154" i="16"/>
  <c r="B154" i="16"/>
  <c r="I153" i="16"/>
  <c r="H153" i="16"/>
  <c r="G153" i="16"/>
  <c r="F153" i="16"/>
  <c r="E153" i="16"/>
  <c r="D153" i="16"/>
  <c r="C153" i="16"/>
  <c r="B153" i="16"/>
  <c r="I152" i="16"/>
  <c r="H152" i="16"/>
  <c r="G152" i="16"/>
  <c r="F152" i="16"/>
  <c r="E152" i="16"/>
  <c r="D152" i="16"/>
  <c r="C152" i="16"/>
  <c r="B152" i="16"/>
  <c r="I151" i="16"/>
  <c r="H151" i="16"/>
  <c r="G151" i="16"/>
  <c r="F151" i="16"/>
  <c r="E151" i="16"/>
  <c r="D151" i="16"/>
  <c r="C151" i="16"/>
  <c r="B151" i="16"/>
  <c r="I150" i="16"/>
  <c r="H150" i="16"/>
  <c r="G150" i="16"/>
  <c r="F150" i="16"/>
  <c r="E150" i="16"/>
  <c r="D150" i="16"/>
  <c r="C150" i="16"/>
  <c r="B150" i="16"/>
  <c r="I149" i="16"/>
  <c r="H149" i="16"/>
  <c r="G149" i="16"/>
  <c r="F149" i="16"/>
  <c r="E149" i="16"/>
  <c r="D149" i="16"/>
  <c r="C149" i="16"/>
  <c r="B149" i="16"/>
  <c r="I148" i="16"/>
  <c r="H148" i="16"/>
  <c r="G148" i="16"/>
  <c r="F148" i="16"/>
  <c r="E148" i="16"/>
  <c r="D148" i="16"/>
  <c r="C148" i="16"/>
  <c r="B148" i="16"/>
  <c r="I147" i="16"/>
  <c r="H147" i="16"/>
  <c r="G147" i="16"/>
  <c r="F147" i="16"/>
  <c r="E147" i="16"/>
  <c r="D147" i="16"/>
  <c r="C147" i="16"/>
  <c r="B147" i="16"/>
  <c r="I146" i="16"/>
  <c r="H146" i="16"/>
  <c r="G146" i="16"/>
  <c r="F146" i="16"/>
  <c r="E146" i="16"/>
  <c r="D146" i="16"/>
  <c r="C146" i="16"/>
  <c r="B146" i="16"/>
  <c r="I145" i="16"/>
  <c r="H145" i="16"/>
  <c r="G145" i="16"/>
  <c r="F145" i="16"/>
  <c r="E145" i="16"/>
  <c r="D145" i="16"/>
  <c r="C145" i="16"/>
  <c r="B145" i="16"/>
  <c r="I144" i="16"/>
  <c r="H144" i="16"/>
  <c r="G144" i="16"/>
  <c r="F144" i="16"/>
  <c r="E144" i="16"/>
  <c r="D144" i="16"/>
  <c r="C144" i="16"/>
  <c r="B144" i="16"/>
  <c r="I143" i="16"/>
  <c r="H143" i="16"/>
  <c r="G143" i="16"/>
  <c r="F143" i="16"/>
  <c r="E143" i="16"/>
  <c r="D143" i="16"/>
  <c r="C143" i="16"/>
  <c r="B143" i="16"/>
  <c r="I142" i="16"/>
  <c r="H142" i="16"/>
  <c r="G142" i="16"/>
  <c r="F142" i="16"/>
  <c r="E142" i="16"/>
  <c r="D142" i="16"/>
  <c r="C142" i="16"/>
  <c r="B142" i="16"/>
  <c r="I141" i="16"/>
  <c r="H141" i="16"/>
  <c r="G141" i="16"/>
  <c r="F141" i="16"/>
  <c r="E141" i="16"/>
  <c r="D141" i="16"/>
  <c r="C141" i="16"/>
  <c r="B141" i="16"/>
  <c r="I140" i="16"/>
  <c r="H140" i="16"/>
  <c r="G140" i="16"/>
  <c r="F140" i="16"/>
  <c r="E140" i="16"/>
  <c r="D140" i="16"/>
  <c r="C140" i="16"/>
  <c r="B140" i="16"/>
  <c r="I139" i="16"/>
  <c r="H139" i="16"/>
  <c r="G139" i="16"/>
  <c r="F139" i="16"/>
  <c r="E139" i="16"/>
  <c r="D139" i="16"/>
  <c r="C139" i="16"/>
  <c r="B139" i="16"/>
  <c r="I138" i="16"/>
  <c r="H138" i="16"/>
  <c r="G138" i="16"/>
  <c r="F138" i="16"/>
  <c r="E138" i="16"/>
  <c r="D138" i="16"/>
  <c r="C138" i="16"/>
  <c r="B138" i="16"/>
  <c r="I137" i="16"/>
  <c r="H137" i="16"/>
  <c r="G137" i="16"/>
  <c r="F137" i="16"/>
  <c r="E137" i="16"/>
  <c r="D137" i="16"/>
  <c r="C137" i="16"/>
  <c r="B137" i="16"/>
  <c r="I136" i="16"/>
  <c r="H136" i="16"/>
  <c r="G136" i="16"/>
  <c r="F136" i="16"/>
  <c r="E136" i="16"/>
  <c r="D136" i="16"/>
  <c r="C136" i="16"/>
  <c r="B136" i="16"/>
  <c r="I135" i="16"/>
  <c r="H135" i="16"/>
  <c r="G135" i="16"/>
  <c r="F135" i="16"/>
  <c r="E135" i="16"/>
  <c r="D135" i="16"/>
  <c r="C135" i="16"/>
  <c r="B135" i="16"/>
  <c r="I134" i="16"/>
  <c r="H134" i="16"/>
  <c r="G134" i="16"/>
  <c r="F134" i="16"/>
  <c r="E134" i="16"/>
  <c r="D134" i="16"/>
  <c r="C134" i="16"/>
  <c r="B134" i="16"/>
  <c r="I133" i="16"/>
  <c r="H133" i="16"/>
  <c r="G133" i="16"/>
  <c r="F133" i="16"/>
  <c r="E133" i="16"/>
  <c r="D133" i="16"/>
  <c r="C133" i="16"/>
  <c r="B133" i="16"/>
  <c r="I132" i="16"/>
  <c r="H132" i="16"/>
  <c r="G132" i="16"/>
  <c r="F132" i="16"/>
  <c r="E132" i="16"/>
  <c r="D132" i="16"/>
  <c r="C132" i="16"/>
  <c r="B132" i="16"/>
  <c r="I131" i="16"/>
  <c r="H131" i="16"/>
  <c r="G131" i="16"/>
  <c r="F131" i="16"/>
  <c r="E131" i="16"/>
  <c r="D131" i="16"/>
  <c r="C131" i="16"/>
  <c r="B131" i="16"/>
  <c r="I130" i="16"/>
  <c r="H130" i="16"/>
  <c r="G130" i="16"/>
  <c r="F130" i="16"/>
  <c r="E130" i="16"/>
  <c r="D130" i="16"/>
  <c r="C130" i="16"/>
  <c r="B130" i="16"/>
  <c r="I129" i="16"/>
  <c r="H129" i="16"/>
  <c r="G129" i="16"/>
  <c r="F129" i="16"/>
  <c r="E129" i="16"/>
  <c r="D129" i="16"/>
  <c r="C129" i="16"/>
  <c r="B129" i="16"/>
  <c r="I128" i="16"/>
  <c r="H128" i="16"/>
  <c r="G128" i="16"/>
  <c r="F128" i="16"/>
  <c r="E128" i="16"/>
  <c r="D128" i="16"/>
  <c r="C128" i="16"/>
  <c r="B128" i="16"/>
  <c r="I127" i="16"/>
  <c r="H127" i="16"/>
  <c r="G127" i="16"/>
  <c r="F127" i="16"/>
  <c r="E127" i="16"/>
  <c r="D127" i="16"/>
  <c r="C127" i="16"/>
  <c r="B127" i="16"/>
  <c r="I126" i="16"/>
  <c r="H126" i="16"/>
  <c r="G126" i="16"/>
  <c r="F126" i="16"/>
  <c r="E126" i="16"/>
  <c r="D126" i="16"/>
  <c r="C126" i="16"/>
  <c r="B126" i="16"/>
  <c r="I125" i="16"/>
  <c r="H125" i="16"/>
  <c r="G125" i="16"/>
  <c r="F125" i="16"/>
  <c r="E125" i="16"/>
  <c r="D125" i="16"/>
  <c r="C125" i="16"/>
  <c r="B125" i="16"/>
  <c r="I124" i="16"/>
  <c r="H124" i="16"/>
  <c r="G124" i="16"/>
  <c r="F124" i="16"/>
  <c r="E124" i="16"/>
  <c r="D124" i="16"/>
  <c r="C124" i="16"/>
  <c r="B124" i="16"/>
  <c r="I123" i="16"/>
  <c r="H123" i="16"/>
  <c r="G123" i="16"/>
  <c r="F123" i="16"/>
  <c r="E123" i="16"/>
  <c r="D123" i="16"/>
  <c r="C123" i="16"/>
  <c r="B123" i="16"/>
  <c r="I122" i="16"/>
  <c r="H122" i="16"/>
  <c r="G122" i="16"/>
  <c r="F122" i="16"/>
  <c r="E122" i="16"/>
  <c r="D122" i="16"/>
  <c r="C122" i="16"/>
  <c r="B122" i="16"/>
  <c r="I121" i="16"/>
  <c r="H121" i="16"/>
  <c r="G121" i="16"/>
  <c r="F121" i="16"/>
  <c r="E121" i="16"/>
  <c r="D121" i="16"/>
  <c r="C121" i="16"/>
  <c r="B121" i="16"/>
  <c r="I120" i="16"/>
  <c r="H120" i="16"/>
  <c r="G120" i="16"/>
  <c r="F120" i="16"/>
  <c r="E120" i="16"/>
  <c r="D120" i="16"/>
  <c r="C120" i="16"/>
  <c r="B120" i="16"/>
  <c r="I119" i="16"/>
  <c r="H119" i="16"/>
  <c r="G119" i="16"/>
  <c r="F119" i="16"/>
  <c r="E119" i="16"/>
  <c r="D119" i="16"/>
  <c r="C119" i="16"/>
  <c r="B119" i="16"/>
  <c r="I118" i="16"/>
  <c r="H118" i="16"/>
  <c r="G118" i="16"/>
  <c r="F118" i="16"/>
  <c r="E118" i="16"/>
  <c r="D118" i="16"/>
  <c r="C118" i="16"/>
  <c r="B118" i="16"/>
  <c r="I117" i="16"/>
  <c r="H117" i="16"/>
  <c r="G117" i="16"/>
  <c r="F117" i="16"/>
  <c r="E117" i="16"/>
  <c r="D117" i="16"/>
  <c r="C117" i="16"/>
  <c r="B117" i="16"/>
  <c r="I116" i="16"/>
  <c r="H116" i="16"/>
  <c r="G116" i="16"/>
  <c r="F116" i="16"/>
  <c r="E116" i="16"/>
  <c r="D116" i="16"/>
  <c r="C116" i="16"/>
  <c r="B116" i="16"/>
  <c r="I115" i="16"/>
  <c r="H115" i="16"/>
  <c r="G115" i="16"/>
  <c r="F115" i="16"/>
  <c r="E115" i="16"/>
  <c r="D115" i="16"/>
  <c r="C115" i="16"/>
  <c r="B115" i="16"/>
  <c r="I114" i="16"/>
  <c r="H114" i="16"/>
  <c r="G114" i="16"/>
  <c r="F114" i="16"/>
  <c r="E114" i="16"/>
  <c r="D114" i="16"/>
  <c r="C114" i="16"/>
  <c r="B114" i="16"/>
  <c r="I113" i="16"/>
  <c r="H113" i="16"/>
  <c r="G113" i="16"/>
  <c r="F113" i="16"/>
  <c r="E113" i="16"/>
  <c r="D113" i="16"/>
  <c r="C113" i="16"/>
  <c r="B113" i="16"/>
  <c r="I112" i="16"/>
  <c r="H112" i="16"/>
  <c r="G112" i="16"/>
  <c r="F112" i="16"/>
  <c r="E112" i="16"/>
  <c r="D112" i="16"/>
  <c r="C112" i="16"/>
  <c r="B112" i="16"/>
  <c r="I111" i="16"/>
  <c r="H111" i="16"/>
  <c r="G111" i="16"/>
  <c r="F111" i="16"/>
  <c r="E111" i="16"/>
  <c r="D111" i="16"/>
  <c r="C111" i="16"/>
  <c r="B111" i="16"/>
  <c r="I110" i="16"/>
  <c r="H110" i="16"/>
  <c r="G110" i="16"/>
  <c r="F110" i="16"/>
  <c r="E110" i="16"/>
  <c r="D110" i="16"/>
  <c r="C110" i="16"/>
  <c r="B110" i="16"/>
  <c r="I109" i="16"/>
  <c r="H109" i="16"/>
  <c r="G109" i="16"/>
  <c r="F109" i="16"/>
  <c r="E109" i="16"/>
  <c r="D109" i="16"/>
  <c r="C109" i="16"/>
  <c r="B109" i="16"/>
  <c r="I108" i="16"/>
  <c r="H108" i="16"/>
  <c r="G108" i="16"/>
  <c r="F108" i="16"/>
  <c r="E108" i="16"/>
  <c r="D108" i="16"/>
  <c r="C108" i="16"/>
  <c r="B108" i="16"/>
  <c r="I107" i="16"/>
  <c r="H107" i="16"/>
  <c r="G107" i="16"/>
  <c r="F107" i="16"/>
  <c r="E107" i="16"/>
  <c r="D107" i="16"/>
  <c r="C107" i="16"/>
  <c r="B107" i="16"/>
  <c r="I106" i="16"/>
  <c r="H106" i="16"/>
  <c r="G106" i="16"/>
  <c r="F106" i="16"/>
  <c r="E106" i="16"/>
  <c r="D106" i="16"/>
  <c r="C106" i="16"/>
  <c r="B106" i="16"/>
  <c r="I105" i="16"/>
  <c r="H105" i="16"/>
  <c r="G105" i="16"/>
  <c r="F105" i="16"/>
  <c r="E105" i="16"/>
  <c r="D105" i="16"/>
  <c r="C105" i="16"/>
  <c r="B105" i="16"/>
  <c r="I104" i="16"/>
  <c r="H104" i="16"/>
  <c r="G104" i="16"/>
  <c r="F104" i="16"/>
  <c r="E104" i="16"/>
  <c r="D104" i="16"/>
  <c r="C104" i="16"/>
  <c r="B104" i="16"/>
  <c r="I103" i="16"/>
  <c r="H103" i="16"/>
  <c r="G103" i="16"/>
  <c r="F103" i="16"/>
  <c r="E103" i="16"/>
  <c r="D103" i="16"/>
  <c r="C103" i="16"/>
  <c r="B103" i="16"/>
  <c r="I102" i="16"/>
  <c r="H102" i="16"/>
  <c r="G102" i="16"/>
  <c r="F102" i="16"/>
  <c r="E102" i="16"/>
  <c r="D102" i="16"/>
  <c r="C102" i="16"/>
  <c r="B102" i="16"/>
  <c r="I101" i="16"/>
  <c r="H101" i="16"/>
  <c r="G101" i="16"/>
  <c r="F101" i="16"/>
  <c r="E101" i="16"/>
  <c r="D101" i="16"/>
  <c r="C101" i="16"/>
  <c r="B101" i="16"/>
  <c r="I100" i="16"/>
  <c r="H100" i="16"/>
  <c r="G100" i="16"/>
  <c r="F100" i="16"/>
  <c r="E100" i="16"/>
  <c r="D100" i="16"/>
  <c r="C100" i="16"/>
  <c r="B100" i="16"/>
  <c r="I99" i="16"/>
  <c r="H99" i="16"/>
  <c r="G99" i="16"/>
  <c r="F99" i="16"/>
  <c r="E99" i="16"/>
  <c r="D99" i="16"/>
  <c r="C99" i="16"/>
  <c r="B99" i="16"/>
  <c r="I98" i="16"/>
  <c r="H98" i="16"/>
  <c r="G98" i="16"/>
  <c r="F98" i="16"/>
  <c r="E98" i="16"/>
  <c r="D98" i="16"/>
  <c r="C98" i="16"/>
  <c r="B98" i="16"/>
  <c r="I97" i="16"/>
  <c r="H97" i="16"/>
  <c r="G97" i="16"/>
  <c r="F97" i="16"/>
  <c r="E97" i="16"/>
  <c r="D97" i="16"/>
  <c r="C97" i="16"/>
  <c r="B97" i="16"/>
  <c r="I96" i="16"/>
  <c r="H96" i="16"/>
  <c r="G96" i="16"/>
  <c r="F96" i="16"/>
  <c r="E96" i="16"/>
  <c r="D96" i="16"/>
  <c r="C96" i="16"/>
  <c r="B96" i="16"/>
  <c r="I95" i="16"/>
  <c r="H95" i="16"/>
  <c r="G95" i="16"/>
  <c r="F95" i="16"/>
  <c r="E95" i="16"/>
  <c r="D95" i="16"/>
  <c r="C95" i="16"/>
  <c r="B95" i="16"/>
  <c r="I94" i="16"/>
  <c r="H94" i="16"/>
  <c r="G94" i="16"/>
  <c r="F94" i="16"/>
  <c r="E94" i="16"/>
  <c r="D94" i="16"/>
  <c r="C94" i="16"/>
  <c r="B94" i="16"/>
  <c r="I93" i="16"/>
  <c r="H93" i="16"/>
  <c r="G93" i="16"/>
  <c r="F93" i="16"/>
  <c r="E93" i="16"/>
  <c r="D93" i="16"/>
  <c r="C93" i="16"/>
  <c r="B93" i="16"/>
  <c r="I92" i="16"/>
  <c r="H92" i="16"/>
  <c r="G92" i="16"/>
  <c r="F92" i="16"/>
  <c r="E92" i="16"/>
  <c r="D92" i="16"/>
  <c r="C92" i="16"/>
  <c r="B92" i="16"/>
  <c r="I91" i="16"/>
  <c r="H91" i="16"/>
  <c r="G91" i="16"/>
  <c r="F91" i="16"/>
  <c r="E91" i="16"/>
  <c r="D91" i="16"/>
  <c r="C91" i="16"/>
  <c r="B91" i="16"/>
  <c r="I90" i="16"/>
  <c r="H90" i="16"/>
  <c r="G90" i="16"/>
  <c r="F90" i="16"/>
  <c r="E90" i="16"/>
  <c r="D90" i="16"/>
  <c r="C90" i="16"/>
  <c r="B90" i="16"/>
  <c r="I89" i="16"/>
  <c r="H89" i="16"/>
  <c r="G89" i="16"/>
  <c r="F89" i="16"/>
  <c r="E89" i="16"/>
  <c r="D89" i="16"/>
  <c r="C89" i="16"/>
  <c r="B89" i="16"/>
  <c r="I88" i="16"/>
  <c r="H88" i="16"/>
  <c r="G88" i="16"/>
  <c r="F88" i="16"/>
  <c r="E88" i="16"/>
  <c r="D88" i="16"/>
  <c r="C88" i="16"/>
  <c r="B88" i="16"/>
  <c r="I87" i="16"/>
  <c r="H87" i="16"/>
  <c r="G87" i="16"/>
  <c r="F87" i="16"/>
  <c r="E87" i="16"/>
  <c r="D87" i="16"/>
  <c r="C87" i="16"/>
  <c r="B87" i="16"/>
  <c r="I86" i="16"/>
  <c r="H86" i="16"/>
  <c r="G86" i="16"/>
  <c r="F86" i="16"/>
  <c r="E86" i="16"/>
  <c r="D86" i="16"/>
  <c r="C86" i="16"/>
  <c r="B86" i="16"/>
  <c r="I85" i="16"/>
  <c r="H85" i="16"/>
  <c r="G85" i="16"/>
  <c r="F85" i="16"/>
  <c r="E85" i="16"/>
  <c r="D85" i="16"/>
  <c r="C85" i="16"/>
  <c r="B85" i="16"/>
  <c r="I84" i="16"/>
  <c r="H84" i="16"/>
  <c r="G84" i="16"/>
  <c r="F84" i="16"/>
  <c r="E84" i="16"/>
  <c r="D84" i="16"/>
  <c r="C84" i="16"/>
  <c r="B84" i="16"/>
  <c r="I83" i="16"/>
  <c r="H83" i="16"/>
  <c r="G83" i="16"/>
  <c r="F83" i="16"/>
  <c r="E83" i="16"/>
  <c r="D83" i="16"/>
  <c r="C83" i="16"/>
  <c r="B83" i="16"/>
  <c r="I82" i="16"/>
  <c r="H82" i="16"/>
  <c r="G82" i="16"/>
  <c r="F82" i="16"/>
  <c r="E82" i="16"/>
  <c r="D82" i="16"/>
  <c r="C82" i="16"/>
  <c r="B82" i="16"/>
  <c r="I81" i="16"/>
  <c r="H81" i="16"/>
  <c r="G81" i="16"/>
  <c r="F81" i="16"/>
  <c r="E81" i="16"/>
  <c r="D81" i="16"/>
  <c r="C81" i="16"/>
  <c r="B81" i="16"/>
  <c r="I80" i="16"/>
  <c r="H80" i="16"/>
  <c r="G80" i="16"/>
  <c r="F80" i="16"/>
  <c r="E80" i="16"/>
  <c r="D80" i="16"/>
  <c r="C80" i="16"/>
  <c r="B80" i="16"/>
  <c r="I79" i="16"/>
  <c r="H79" i="16"/>
  <c r="G79" i="16"/>
  <c r="F79" i="16"/>
  <c r="E79" i="16"/>
  <c r="D79" i="16"/>
  <c r="C79" i="16"/>
  <c r="B79" i="16"/>
  <c r="I78" i="16"/>
  <c r="H78" i="16"/>
  <c r="G78" i="16"/>
  <c r="F78" i="16"/>
  <c r="E78" i="16"/>
  <c r="D78" i="16"/>
  <c r="C78" i="16"/>
  <c r="B78" i="16"/>
  <c r="I77" i="16"/>
  <c r="H77" i="16"/>
  <c r="G77" i="16"/>
  <c r="F77" i="16"/>
  <c r="E77" i="16"/>
  <c r="D77" i="16"/>
  <c r="C77" i="16"/>
  <c r="B77" i="16"/>
  <c r="I76" i="16"/>
  <c r="H76" i="16"/>
  <c r="G76" i="16"/>
  <c r="F76" i="16"/>
  <c r="E76" i="16"/>
  <c r="D76" i="16"/>
  <c r="C76" i="16"/>
  <c r="B76" i="16"/>
  <c r="I75" i="16"/>
  <c r="H75" i="16"/>
  <c r="G75" i="16"/>
  <c r="F75" i="16"/>
  <c r="E75" i="16"/>
  <c r="D75" i="16"/>
  <c r="C75" i="16"/>
  <c r="B75" i="16"/>
  <c r="I74" i="16"/>
  <c r="H74" i="16"/>
  <c r="G74" i="16"/>
  <c r="F74" i="16"/>
  <c r="E74" i="16"/>
  <c r="D74" i="16"/>
  <c r="C74" i="16"/>
  <c r="B74" i="16"/>
  <c r="I73" i="16"/>
  <c r="H73" i="16"/>
  <c r="G73" i="16"/>
  <c r="F73" i="16"/>
  <c r="E73" i="16"/>
  <c r="D73" i="16"/>
  <c r="C73" i="16"/>
  <c r="B73" i="16"/>
  <c r="I72" i="16"/>
  <c r="H72" i="16"/>
  <c r="G72" i="16"/>
  <c r="F72" i="16"/>
  <c r="E72" i="16"/>
  <c r="D72" i="16"/>
  <c r="C72" i="16"/>
  <c r="B72" i="16"/>
  <c r="I71" i="16"/>
  <c r="H71" i="16"/>
  <c r="G71" i="16"/>
  <c r="F71" i="16"/>
  <c r="E71" i="16"/>
  <c r="D71" i="16"/>
  <c r="C71" i="16"/>
  <c r="B71" i="16"/>
  <c r="I70" i="16"/>
  <c r="H70" i="16"/>
  <c r="G70" i="16"/>
  <c r="F70" i="16"/>
  <c r="E70" i="16"/>
  <c r="D70" i="16"/>
  <c r="C70" i="16"/>
  <c r="B70" i="16"/>
  <c r="I69" i="16"/>
  <c r="H69" i="16"/>
  <c r="G69" i="16"/>
  <c r="F69" i="16"/>
  <c r="E69" i="16"/>
  <c r="D69" i="16"/>
  <c r="C69" i="16"/>
  <c r="B69" i="16"/>
  <c r="I68" i="16"/>
  <c r="H68" i="16"/>
  <c r="G68" i="16"/>
  <c r="F68" i="16"/>
  <c r="E68" i="16"/>
  <c r="D68" i="16"/>
  <c r="C68" i="16"/>
  <c r="B68" i="16"/>
  <c r="I67" i="16"/>
  <c r="H67" i="16"/>
  <c r="G67" i="16"/>
  <c r="F67" i="16"/>
  <c r="E67" i="16"/>
  <c r="D67" i="16"/>
  <c r="C67" i="16"/>
  <c r="B67" i="16"/>
  <c r="I66" i="16"/>
  <c r="H66" i="16"/>
  <c r="G66" i="16"/>
  <c r="F66" i="16"/>
  <c r="E66" i="16"/>
  <c r="D66" i="16"/>
  <c r="C66" i="16"/>
  <c r="B66" i="16"/>
  <c r="I65" i="16"/>
  <c r="H65" i="16"/>
  <c r="G65" i="16"/>
  <c r="F65" i="16"/>
  <c r="E65" i="16"/>
  <c r="D65" i="16"/>
  <c r="C65" i="16"/>
  <c r="B65" i="16"/>
  <c r="I64" i="16"/>
  <c r="H64" i="16"/>
  <c r="G64" i="16"/>
  <c r="F64" i="16"/>
  <c r="E64" i="16"/>
  <c r="D64" i="16"/>
  <c r="C64" i="16"/>
  <c r="B64" i="16"/>
  <c r="I63" i="16"/>
  <c r="H63" i="16"/>
  <c r="G63" i="16"/>
  <c r="F63" i="16"/>
  <c r="E63" i="16"/>
  <c r="D63" i="16"/>
  <c r="C63" i="16"/>
  <c r="B63" i="16"/>
  <c r="I62" i="16"/>
  <c r="H62" i="16"/>
  <c r="G62" i="16"/>
  <c r="F62" i="16"/>
  <c r="E62" i="16"/>
  <c r="D62" i="16"/>
  <c r="C62" i="16"/>
  <c r="B62" i="16"/>
  <c r="I61" i="16"/>
  <c r="H61" i="16"/>
  <c r="G61" i="16"/>
  <c r="F61" i="16"/>
  <c r="E61" i="16"/>
  <c r="D61" i="16"/>
  <c r="C61" i="16"/>
  <c r="B61" i="16"/>
  <c r="I60" i="16"/>
  <c r="H60" i="16"/>
  <c r="G60" i="16"/>
  <c r="F60" i="16"/>
  <c r="E60" i="16"/>
  <c r="D60" i="16"/>
  <c r="C60" i="16"/>
  <c r="B60" i="16"/>
  <c r="I59" i="16"/>
  <c r="H59" i="16"/>
  <c r="G59" i="16"/>
  <c r="F59" i="16"/>
  <c r="E59" i="16"/>
  <c r="D59" i="16"/>
  <c r="C59" i="16"/>
  <c r="B59" i="16"/>
  <c r="I58" i="16"/>
  <c r="H58" i="16"/>
  <c r="G58" i="16"/>
  <c r="F58" i="16"/>
  <c r="E58" i="16"/>
  <c r="D58" i="16"/>
  <c r="C58" i="16"/>
  <c r="B58" i="16"/>
  <c r="I57" i="16"/>
  <c r="H57" i="16"/>
  <c r="G57" i="16"/>
  <c r="F57" i="16"/>
  <c r="E57" i="16"/>
  <c r="D57" i="16"/>
  <c r="C57" i="16"/>
  <c r="B57" i="16"/>
  <c r="I56" i="16"/>
  <c r="H56" i="16"/>
  <c r="G56" i="16"/>
  <c r="F56" i="16"/>
  <c r="E56" i="16"/>
  <c r="D56" i="16"/>
  <c r="C56" i="16"/>
  <c r="B56" i="16"/>
  <c r="I55" i="16"/>
  <c r="H55" i="16"/>
  <c r="G55" i="16"/>
  <c r="F55" i="16"/>
  <c r="E55" i="16"/>
  <c r="D55" i="16"/>
  <c r="C55" i="16"/>
  <c r="B55" i="16"/>
  <c r="I54" i="16"/>
  <c r="H54" i="16"/>
  <c r="G54" i="16"/>
  <c r="F54" i="16"/>
  <c r="E54" i="16"/>
  <c r="D54" i="16"/>
  <c r="C54" i="16"/>
  <c r="B54" i="16"/>
  <c r="I53" i="16"/>
  <c r="H53" i="16"/>
  <c r="G53" i="16"/>
  <c r="F53" i="16"/>
  <c r="E53" i="16"/>
  <c r="D53" i="16"/>
  <c r="C53" i="16"/>
  <c r="B53" i="16"/>
  <c r="I52" i="16"/>
  <c r="H52" i="16"/>
  <c r="G52" i="16"/>
  <c r="F52" i="16"/>
  <c r="E52" i="16"/>
  <c r="D52" i="16"/>
  <c r="C52" i="16"/>
  <c r="B52" i="16"/>
  <c r="I51" i="16"/>
  <c r="H51" i="16"/>
  <c r="G51" i="16"/>
  <c r="F51" i="16"/>
  <c r="E51" i="16"/>
  <c r="D51" i="16"/>
  <c r="C51" i="16"/>
  <c r="B51" i="16"/>
  <c r="I50" i="16"/>
  <c r="H50" i="16"/>
  <c r="G50" i="16"/>
  <c r="F50" i="16"/>
  <c r="E50" i="16"/>
  <c r="D50" i="16"/>
  <c r="C50" i="16"/>
  <c r="B50" i="16"/>
  <c r="I49" i="16"/>
  <c r="H49" i="16"/>
  <c r="G49" i="16"/>
  <c r="F49" i="16"/>
  <c r="E49" i="16"/>
  <c r="D49" i="16"/>
  <c r="C49" i="16"/>
  <c r="B49" i="16"/>
  <c r="I48" i="16"/>
  <c r="H48" i="16"/>
  <c r="G48" i="16"/>
  <c r="F48" i="16"/>
  <c r="E48" i="16"/>
  <c r="D48" i="16"/>
  <c r="C48" i="16"/>
  <c r="B48" i="16"/>
  <c r="I47" i="16"/>
  <c r="H47" i="16"/>
  <c r="G47" i="16"/>
  <c r="F47" i="16"/>
  <c r="E47" i="16"/>
  <c r="D47" i="16"/>
  <c r="C47" i="16"/>
  <c r="B47" i="16"/>
  <c r="I46" i="16"/>
  <c r="H46" i="16"/>
  <c r="G46" i="16"/>
  <c r="F46" i="16"/>
  <c r="E46" i="16"/>
  <c r="D46" i="16"/>
  <c r="C46" i="16"/>
  <c r="B46" i="16"/>
  <c r="I45" i="16"/>
  <c r="H45" i="16"/>
  <c r="G45" i="16"/>
  <c r="F45" i="16"/>
  <c r="E45" i="16"/>
  <c r="D45" i="16"/>
  <c r="C45" i="16"/>
  <c r="B45" i="16"/>
  <c r="I44" i="16"/>
  <c r="H44" i="16"/>
  <c r="G44" i="16"/>
  <c r="F44" i="16"/>
  <c r="E44" i="16"/>
  <c r="D44" i="16"/>
  <c r="C44" i="16"/>
  <c r="B44" i="16"/>
  <c r="I43" i="16"/>
  <c r="H43" i="16"/>
  <c r="G43" i="16"/>
  <c r="F43" i="16"/>
  <c r="E43" i="16"/>
  <c r="D43" i="16"/>
  <c r="C43" i="16"/>
  <c r="B43" i="16"/>
  <c r="I42" i="16"/>
  <c r="H42" i="16"/>
  <c r="G42" i="16"/>
  <c r="F42" i="16"/>
  <c r="E42" i="16"/>
  <c r="D42" i="16"/>
  <c r="C42" i="16"/>
  <c r="B42" i="16"/>
  <c r="I41" i="16"/>
  <c r="H41" i="16"/>
  <c r="G41" i="16"/>
  <c r="F41" i="16"/>
  <c r="E41" i="16"/>
  <c r="D41" i="16"/>
  <c r="C41" i="16"/>
  <c r="B41" i="16"/>
  <c r="I40" i="16"/>
  <c r="H40" i="16"/>
  <c r="G40" i="16"/>
  <c r="F40" i="16"/>
  <c r="E40" i="16"/>
  <c r="D40" i="16"/>
  <c r="C40" i="16"/>
  <c r="B40" i="16"/>
  <c r="I39" i="16"/>
  <c r="H39" i="16"/>
  <c r="G39" i="16"/>
  <c r="F39" i="16"/>
  <c r="E39" i="16"/>
  <c r="D39" i="16"/>
  <c r="C39" i="16"/>
  <c r="B39" i="16"/>
  <c r="I38" i="16"/>
  <c r="H38" i="16"/>
  <c r="G38" i="16"/>
  <c r="F38" i="16"/>
  <c r="E38" i="16"/>
  <c r="D38" i="16"/>
  <c r="C38" i="16"/>
  <c r="B38" i="16"/>
  <c r="I37" i="16"/>
  <c r="H37" i="16"/>
  <c r="G37" i="16"/>
  <c r="F37" i="16"/>
  <c r="E37" i="16"/>
  <c r="D37" i="16"/>
  <c r="C37" i="16"/>
  <c r="B37" i="16"/>
  <c r="I36" i="16"/>
  <c r="H36" i="16"/>
  <c r="G36" i="16"/>
  <c r="F36" i="16"/>
  <c r="E36" i="16"/>
  <c r="D36" i="16"/>
  <c r="C36" i="16"/>
  <c r="B36" i="16"/>
  <c r="I35" i="16"/>
  <c r="H35" i="16"/>
  <c r="G35" i="16"/>
  <c r="F35" i="16"/>
  <c r="E35" i="16"/>
  <c r="D35" i="16"/>
  <c r="C35" i="16"/>
  <c r="B35" i="16"/>
  <c r="I34" i="16"/>
  <c r="H34" i="16"/>
  <c r="G34" i="16"/>
  <c r="F34" i="16"/>
  <c r="E34" i="16"/>
  <c r="D34" i="16"/>
  <c r="C34" i="16"/>
  <c r="B34" i="16"/>
  <c r="I33" i="16"/>
  <c r="H33" i="16"/>
  <c r="G33" i="16"/>
  <c r="F33" i="16"/>
  <c r="E33" i="16"/>
  <c r="D33" i="16"/>
  <c r="C33" i="16"/>
  <c r="B33" i="16"/>
  <c r="I32" i="16"/>
  <c r="H32" i="16"/>
  <c r="G32" i="16"/>
  <c r="F32" i="16"/>
  <c r="E32" i="16"/>
  <c r="D32" i="16"/>
  <c r="C32" i="16"/>
  <c r="B32" i="16"/>
  <c r="I31" i="16"/>
  <c r="H31" i="16"/>
  <c r="G31" i="16"/>
  <c r="F31" i="16"/>
  <c r="E31" i="16"/>
  <c r="D31" i="16"/>
  <c r="C31" i="16"/>
  <c r="B31" i="16"/>
  <c r="I30" i="16"/>
  <c r="H30" i="16"/>
  <c r="G30" i="16"/>
  <c r="F30" i="16"/>
  <c r="E30" i="16"/>
  <c r="D30" i="16"/>
  <c r="C30" i="16"/>
  <c r="B30" i="16"/>
  <c r="I29" i="16"/>
  <c r="H29" i="16"/>
  <c r="G29" i="16"/>
  <c r="F29" i="16"/>
  <c r="E29" i="16"/>
  <c r="D29" i="16"/>
  <c r="C29" i="16"/>
  <c r="B29" i="16"/>
  <c r="I28" i="16"/>
  <c r="H28" i="16"/>
  <c r="G28" i="16"/>
  <c r="F28" i="16"/>
  <c r="E28" i="16"/>
  <c r="D28" i="16"/>
  <c r="C28" i="16"/>
  <c r="B28" i="16"/>
  <c r="I27" i="16"/>
  <c r="H27" i="16"/>
  <c r="G27" i="16"/>
  <c r="F27" i="16"/>
  <c r="E27" i="16"/>
  <c r="D27" i="16"/>
  <c r="C27" i="16"/>
  <c r="B27" i="16"/>
  <c r="I26" i="16"/>
  <c r="H26" i="16"/>
  <c r="G26" i="16"/>
  <c r="F26" i="16"/>
  <c r="E26" i="16"/>
  <c r="D26" i="16"/>
  <c r="C26" i="16"/>
  <c r="B26" i="16"/>
  <c r="I25" i="16"/>
  <c r="H25" i="16"/>
  <c r="G25" i="16"/>
  <c r="F25" i="16"/>
  <c r="E25" i="16"/>
  <c r="D25" i="16"/>
  <c r="C25" i="16"/>
  <c r="B25" i="16"/>
  <c r="I24" i="16"/>
  <c r="H24" i="16"/>
  <c r="G24" i="16"/>
  <c r="F24" i="16"/>
  <c r="E24" i="16"/>
  <c r="D24" i="16"/>
  <c r="C24" i="16"/>
  <c r="B24" i="16"/>
  <c r="I23" i="16"/>
  <c r="H23" i="16"/>
  <c r="G23" i="16"/>
  <c r="F23" i="16"/>
  <c r="E23" i="16"/>
  <c r="D23" i="16"/>
  <c r="C23" i="16"/>
  <c r="B23" i="16"/>
  <c r="I22" i="16"/>
  <c r="H22" i="16"/>
  <c r="G22" i="16"/>
  <c r="F22" i="16"/>
  <c r="E22" i="16"/>
  <c r="D22" i="16"/>
  <c r="C22" i="16"/>
  <c r="B22" i="16"/>
  <c r="I21" i="16"/>
  <c r="H21" i="16"/>
  <c r="G21" i="16"/>
  <c r="F21" i="16"/>
  <c r="E21" i="16"/>
  <c r="D21" i="16"/>
  <c r="C21" i="16"/>
  <c r="B21" i="16"/>
  <c r="I20" i="16"/>
  <c r="H20" i="16"/>
  <c r="G20" i="16"/>
  <c r="F20" i="16"/>
  <c r="E20" i="16"/>
  <c r="D20" i="16"/>
  <c r="C20" i="16"/>
  <c r="B20" i="16"/>
  <c r="I19" i="16"/>
  <c r="H19" i="16"/>
  <c r="G19" i="16"/>
  <c r="F19" i="16"/>
  <c r="E19" i="16"/>
  <c r="D19" i="16"/>
  <c r="C19" i="16"/>
  <c r="B19" i="16"/>
  <c r="I18" i="16"/>
  <c r="H18" i="16"/>
  <c r="G18" i="16"/>
  <c r="F18" i="16"/>
  <c r="E18" i="16"/>
  <c r="D18" i="16"/>
  <c r="C18" i="16"/>
  <c r="B18" i="16"/>
  <c r="I17" i="16"/>
  <c r="H17" i="16"/>
  <c r="G17" i="16"/>
  <c r="F17" i="16"/>
  <c r="E17" i="16"/>
  <c r="D17" i="16"/>
  <c r="C17" i="16"/>
  <c r="B17" i="16"/>
  <c r="I16" i="16"/>
  <c r="H16" i="16"/>
  <c r="G16" i="16"/>
  <c r="F16" i="16"/>
  <c r="E16" i="16"/>
  <c r="D16" i="16"/>
  <c r="C16" i="16"/>
  <c r="B16" i="16"/>
  <c r="I15" i="16"/>
  <c r="H15" i="16"/>
  <c r="G15" i="16"/>
  <c r="F15" i="16"/>
  <c r="E15" i="16"/>
  <c r="D15" i="16"/>
  <c r="C15" i="16"/>
  <c r="B15" i="16"/>
  <c r="I14" i="16"/>
  <c r="H14" i="16"/>
  <c r="G14" i="16"/>
  <c r="F14" i="16"/>
  <c r="E14" i="16"/>
  <c r="D14" i="16"/>
  <c r="C14" i="16"/>
  <c r="B14" i="16"/>
  <c r="I13" i="16"/>
  <c r="H13" i="16"/>
  <c r="G13" i="16"/>
  <c r="F13" i="16"/>
  <c r="E13" i="16"/>
  <c r="D13" i="16"/>
  <c r="C13" i="16"/>
  <c r="B13" i="16"/>
  <c r="I12" i="16"/>
  <c r="H12" i="16"/>
  <c r="G12" i="16"/>
  <c r="F12" i="16"/>
  <c r="E12" i="16"/>
  <c r="D12" i="16"/>
  <c r="C12" i="16"/>
  <c r="B12" i="16"/>
  <c r="I11" i="16"/>
  <c r="H11" i="16"/>
  <c r="G11" i="16"/>
  <c r="F11" i="16"/>
  <c r="E11" i="16"/>
  <c r="D11" i="16"/>
  <c r="C11" i="16"/>
  <c r="B11" i="16"/>
  <c r="I10" i="16"/>
  <c r="H10" i="16"/>
  <c r="G10" i="16"/>
  <c r="F10" i="16"/>
  <c r="E10" i="16"/>
  <c r="D10" i="16"/>
  <c r="C10" i="16"/>
  <c r="B10" i="16"/>
  <c r="I9" i="16"/>
  <c r="H9" i="16"/>
  <c r="G9" i="16"/>
  <c r="F9" i="16"/>
  <c r="E9" i="16"/>
  <c r="D9" i="16"/>
  <c r="C9" i="16"/>
  <c r="B9" i="16"/>
  <c r="I8" i="16"/>
  <c r="H8" i="16"/>
  <c r="G8" i="16"/>
  <c r="F8" i="16"/>
  <c r="E8" i="16"/>
  <c r="D8" i="16"/>
  <c r="C8" i="16"/>
  <c r="B8" i="16"/>
  <c r="I7" i="16"/>
  <c r="H7" i="16"/>
  <c r="G7" i="16"/>
  <c r="F7" i="16"/>
  <c r="E7" i="16"/>
  <c r="D7" i="16"/>
  <c r="C7" i="16"/>
  <c r="B7" i="16"/>
  <c r="I6" i="16"/>
  <c r="H6" i="16"/>
  <c r="G6" i="16"/>
  <c r="F6" i="16"/>
  <c r="E6" i="16"/>
  <c r="D6" i="16"/>
  <c r="C6" i="16"/>
  <c r="B6" i="16"/>
  <c r="I5" i="16"/>
  <c r="H5" i="16"/>
  <c r="G5" i="16"/>
  <c r="F5" i="16"/>
  <c r="E5" i="16"/>
  <c r="D5" i="16"/>
  <c r="C5" i="16"/>
  <c r="B5" i="16"/>
  <c r="I4" i="16"/>
  <c r="H4" i="16"/>
  <c r="G4" i="16"/>
  <c r="F4" i="16"/>
  <c r="E4" i="16"/>
  <c r="D4" i="16"/>
  <c r="C4" i="16"/>
  <c r="B4" i="16"/>
  <c r="I3" i="16"/>
  <c r="H3" i="16"/>
  <c r="G3" i="16"/>
  <c r="F3" i="16"/>
  <c r="E3" i="16"/>
  <c r="D3" i="16"/>
  <c r="C3" i="16"/>
  <c r="B3" i="16"/>
  <c r="I2" i="16"/>
  <c r="H2" i="16"/>
  <c r="G2" i="16"/>
  <c r="F2" i="16"/>
  <c r="E2" i="16"/>
  <c r="D2" i="16"/>
  <c r="C2" i="16"/>
  <c r="B2" i="16"/>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B2" i="13"/>
  <c r="B1020" i="11"/>
  <c r="B1019" i="11"/>
  <c r="B1018" i="11"/>
  <c r="B1017" i="11"/>
  <c r="B1016" i="11"/>
  <c r="B1015" i="11"/>
  <c r="B1014" i="11"/>
  <c r="B1013" i="11"/>
  <c r="B1012" i="11"/>
  <c r="B1011" i="11"/>
  <c r="B1010" i="11"/>
  <c r="B1009" i="11"/>
  <c r="B1008" i="11"/>
  <c r="B1007" i="11"/>
  <c r="B1006" i="11"/>
  <c r="B1005" i="11"/>
  <c r="B1004" i="11"/>
  <c r="B1003" i="11"/>
  <c r="B1002" i="11"/>
  <c r="B1001" i="11"/>
  <c r="B1000" i="11"/>
  <c r="B999" i="11"/>
  <c r="B998" i="11"/>
  <c r="B997" i="11"/>
  <c r="B996" i="11"/>
  <c r="B995" i="11"/>
  <c r="B994" i="11"/>
  <c r="B993" i="11"/>
  <c r="B992" i="11"/>
  <c r="B991" i="11"/>
  <c r="B990" i="11"/>
  <c r="B989" i="11"/>
  <c r="B988" i="11"/>
  <c r="B987" i="11"/>
  <c r="B986" i="11"/>
  <c r="B985" i="11"/>
  <c r="B984" i="11"/>
  <c r="B983" i="11"/>
  <c r="B982" i="11"/>
  <c r="B981" i="11"/>
  <c r="B980" i="11"/>
  <c r="B979" i="11"/>
  <c r="B978" i="11"/>
  <c r="B977" i="11"/>
  <c r="B976" i="11"/>
  <c r="B975" i="11"/>
  <c r="B974" i="11"/>
  <c r="B973" i="11"/>
  <c r="B972" i="11"/>
  <c r="B971" i="11"/>
  <c r="B970" i="11"/>
  <c r="B969" i="11"/>
  <c r="B968" i="11"/>
  <c r="B967" i="11"/>
  <c r="B966" i="11"/>
  <c r="B965" i="11"/>
  <c r="B964" i="11"/>
  <c r="B963" i="11"/>
  <c r="B962" i="11"/>
  <c r="B961" i="11"/>
  <c r="B960" i="11"/>
  <c r="B959" i="11"/>
  <c r="B958" i="11"/>
  <c r="B957" i="11"/>
  <c r="B956" i="11"/>
  <c r="B955" i="11"/>
  <c r="B954" i="11"/>
  <c r="B953" i="11"/>
  <c r="B952" i="11"/>
  <c r="B951" i="11"/>
  <c r="B950" i="11"/>
  <c r="B949" i="11"/>
  <c r="B948" i="11"/>
  <c r="B947" i="11"/>
  <c r="B946" i="11"/>
  <c r="B945" i="11"/>
  <c r="B944" i="11"/>
  <c r="B943" i="11"/>
  <c r="B942" i="11"/>
  <c r="B941" i="11"/>
  <c r="B940" i="11"/>
  <c r="B939" i="11"/>
  <c r="B938" i="11"/>
  <c r="B937" i="11"/>
  <c r="B936" i="11"/>
  <c r="B935" i="11"/>
  <c r="B934" i="11"/>
  <c r="B933" i="11"/>
  <c r="B932" i="11"/>
  <c r="B931" i="11"/>
  <c r="B930" i="11"/>
  <c r="B929" i="11"/>
  <c r="B928" i="11"/>
  <c r="B927" i="11"/>
  <c r="B926" i="11"/>
  <c r="B925" i="11"/>
  <c r="B924" i="11"/>
  <c r="B923" i="11"/>
  <c r="B922" i="11"/>
  <c r="B921" i="11"/>
  <c r="B920" i="11"/>
  <c r="B919" i="11"/>
  <c r="B918" i="11"/>
  <c r="B917" i="11"/>
  <c r="B916" i="11"/>
  <c r="B915" i="11"/>
  <c r="B914" i="11"/>
  <c r="B913" i="11"/>
  <c r="B912" i="11"/>
  <c r="B911" i="11"/>
  <c r="B910" i="11"/>
  <c r="B909" i="11"/>
  <c r="B908" i="11"/>
  <c r="B907" i="11"/>
  <c r="B906" i="11"/>
  <c r="B905" i="11"/>
  <c r="B904" i="11"/>
  <c r="B903" i="11"/>
  <c r="B902" i="11"/>
  <c r="B901" i="11"/>
  <c r="B900" i="11"/>
  <c r="B899" i="11"/>
  <c r="B898" i="11"/>
  <c r="B897" i="11"/>
  <c r="B896" i="11"/>
  <c r="B895" i="11"/>
  <c r="B894" i="11"/>
  <c r="B893" i="11"/>
  <c r="B892" i="11"/>
  <c r="B891" i="11"/>
  <c r="B890" i="11"/>
  <c r="B889" i="11"/>
  <c r="B888" i="11"/>
  <c r="B887" i="11"/>
  <c r="B886" i="11"/>
  <c r="B885" i="11"/>
  <c r="B884" i="11"/>
  <c r="B883" i="11"/>
  <c r="B882" i="11"/>
  <c r="B881" i="11"/>
  <c r="B880" i="11"/>
  <c r="B879" i="11"/>
  <c r="B878" i="11"/>
  <c r="B877" i="11"/>
  <c r="B876" i="11"/>
  <c r="B875" i="11"/>
  <c r="B874" i="11"/>
  <c r="B873" i="11"/>
  <c r="B872" i="11"/>
  <c r="B871" i="11"/>
  <c r="B870" i="11"/>
  <c r="B869" i="11"/>
  <c r="B868" i="11"/>
  <c r="B867" i="11"/>
  <c r="B866" i="11"/>
  <c r="B865" i="11"/>
  <c r="B864" i="11"/>
  <c r="B863" i="11"/>
  <c r="B862" i="11"/>
  <c r="B861" i="11"/>
  <c r="B860" i="11"/>
  <c r="B859" i="11"/>
  <c r="B858" i="11"/>
  <c r="B857" i="11"/>
  <c r="B856" i="11"/>
  <c r="B855" i="11"/>
  <c r="B854" i="11"/>
  <c r="B853" i="11"/>
  <c r="B852" i="11"/>
  <c r="B851" i="11"/>
  <c r="B850" i="11"/>
  <c r="B849" i="11"/>
  <c r="B848" i="11"/>
  <c r="B847" i="11"/>
  <c r="B846" i="11"/>
  <c r="B845" i="11"/>
  <c r="B844" i="11"/>
  <c r="B843" i="11"/>
  <c r="B842" i="11"/>
  <c r="B841" i="11"/>
  <c r="B840" i="11"/>
  <c r="B839" i="11"/>
  <c r="B838" i="11"/>
  <c r="B837" i="11"/>
  <c r="B836" i="11"/>
  <c r="B835" i="11"/>
  <c r="B834" i="11"/>
  <c r="B833" i="11"/>
  <c r="B832" i="11"/>
  <c r="B831" i="11"/>
  <c r="B830" i="11"/>
  <c r="B829" i="11"/>
  <c r="B828" i="11"/>
  <c r="B827" i="11"/>
  <c r="B826" i="11"/>
  <c r="B825" i="11"/>
  <c r="B824" i="11"/>
  <c r="B823" i="11"/>
  <c r="B822" i="11"/>
  <c r="B821" i="11"/>
  <c r="B820" i="11"/>
  <c r="B819" i="11"/>
  <c r="B818" i="11"/>
  <c r="B817" i="11"/>
  <c r="B816" i="11"/>
  <c r="B815" i="11"/>
  <c r="B814" i="11"/>
  <c r="B813" i="11"/>
  <c r="B812" i="11"/>
  <c r="B811" i="11"/>
  <c r="B810" i="11"/>
  <c r="B809" i="11"/>
  <c r="B808" i="11"/>
  <c r="B807" i="11"/>
  <c r="B806" i="11"/>
  <c r="B805" i="11"/>
  <c r="B804" i="11"/>
  <c r="B803" i="11"/>
  <c r="B802" i="11"/>
  <c r="B801" i="11"/>
  <c r="B800" i="11"/>
  <c r="B799" i="11"/>
  <c r="B798" i="11"/>
  <c r="B797" i="11"/>
  <c r="B796" i="11"/>
  <c r="B795" i="11"/>
  <c r="B794" i="11"/>
  <c r="B793" i="11"/>
  <c r="B792" i="11"/>
  <c r="B791" i="11"/>
  <c r="B790" i="11"/>
  <c r="B789" i="11"/>
  <c r="B788" i="11"/>
  <c r="B787" i="11"/>
  <c r="B786" i="11"/>
  <c r="B785" i="11"/>
  <c r="B784" i="11"/>
  <c r="B783" i="11"/>
  <c r="B782" i="11"/>
  <c r="B781" i="11"/>
  <c r="B780" i="11"/>
  <c r="B779" i="11"/>
  <c r="B778" i="11"/>
  <c r="B777" i="11"/>
  <c r="B776" i="11"/>
  <c r="B775" i="11"/>
  <c r="B774" i="11"/>
  <c r="B773" i="11"/>
  <c r="B772" i="11"/>
  <c r="B771" i="11"/>
  <c r="B770" i="11"/>
  <c r="B769" i="11"/>
  <c r="B768" i="11"/>
  <c r="B767" i="11"/>
  <c r="B766" i="11"/>
  <c r="B765" i="11"/>
  <c r="B764" i="11"/>
  <c r="B763" i="11"/>
  <c r="B762" i="11"/>
  <c r="B761" i="11"/>
  <c r="B760" i="11"/>
  <c r="B759" i="11"/>
  <c r="B758" i="11"/>
  <c r="B757" i="11"/>
  <c r="B756" i="11"/>
  <c r="B755" i="11"/>
  <c r="B754" i="11"/>
  <c r="B753" i="11"/>
  <c r="B752" i="11"/>
  <c r="B751" i="11"/>
  <c r="B750" i="11"/>
  <c r="B749" i="11"/>
  <c r="B748" i="11"/>
  <c r="B747" i="11"/>
  <c r="B746" i="11"/>
  <c r="B745" i="11"/>
  <c r="B744" i="11"/>
  <c r="B743" i="11"/>
  <c r="B742" i="11"/>
  <c r="B741" i="11"/>
  <c r="B740" i="11"/>
  <c r="B739" i="11"/>
  <c r="B738" i="11"/>
  <c r="B737" i="11"/>
  <c r="B736" i="11"/>
  <c r="B735" i="11"/>
  <c r="B734" i="11"/>
  <c r="B733" i="11"/>
  <c r="B732" i="11"/>
  <c r="B731" i="11"/>
  <c r="B730" i="11"/>
  <c r="B729" i="11"/>
  <c r="B728" i="11"/>
  <c r="B727" i="11"/>
  <c r="B726" i="11"/>
  <c r="B725" i="11"/>
  <c r="B724" i="11"/>
  <c r="B723" i="11"/>
  <c r="B722" i="11"/>
  <c r="B721" i="11"/>
  <c r="B720" i="11"/>
  <c r="B719" i="11"/>
  <c r="B718" i="11"/>
  <c r="B717" i="11"/>
  <c r="B716" i="11"/>
  <c r="B715" i="11"/>
  <c r="B714" i="11"/>
  <c r="B713" i="11"/>
  <c r="B712" i="11"/>
  <c r="B711" i="11"/>
  <c r="B710" i="11"/>
  <c r="B709" i="11"/>
  <c r="B708" i="11"/>
  <c r="B707" i="11"/>
  <c r="B706" i="11"/>
  <c r="B705" i="11"/>
  <c r="B704" i="11"/>
  <c r="B703" i="11"/>
  <c r="B702" i="11"/>
  <c r="B701" i="11"/>
  <c r="B700" i="11"/>
  <c r="B699" i="11"/>
  <c r="B698" i="11"/>
  <c r="B697" i="11"/>
  <c r="B696" i="11"/>
  <c r="B695" i="11"/>
  <c r="B694" i="11"/>
  <c r="B693" i="11"/>
  <c r="B692" i="11"/>
  <c r="B691" i="11"/>
  <c r="B690" i="11"/>
  <c r="B689" i="11"/>
  <c r="B688" i="11"/>
  <c r="B687" i="11"/>
  <c r="B686" i="11"/>
  <c r="B685" i="11"/>
  <c r="B684" i="11"/>
  <c r="B683" i="11"/>
  <c r="B682" i="11"/>
  <c r="B681" i="11"/>
  <c r="B680" i="11"/>
  <c r="B679" i="11"/>
  <c r="B678" i="11"/>
  <c r="B677" i="11"/>
  <c r="B676" i="11"/>
  <c r="B675" i="11"/>
  <c r="B674" i="11"/>
  <c r="B673" i="11"/>
  <c r="B672" i="11"/>
  <c r="B671" i="11"/>
  <c r="B670" i="11"/>
  <c r="B669" i="11"/>
  <c r="B668" i="11"/>
  <c r="B667" i="11"/>
  <c r="B666" i="11"/>
  <c r="B665" i="11"/>
  <c r="B664" i="11"/>
  <c r="B663" i="11"/>
  <c r="B662" i="11"/>
  <c r="B661" i="11"/>
  <c r="B660" i="11"/>
  <c r="B659" i="11"/>
  <c r="B658" i="11"/>
  <c r="B657" i="11"/>
  <c r="B656" i="11"/>
  <c r="B655" i="11"/>
  <c r="B654" i="11"/>
  <c r="B653" i="11"/>
  <c r="B652" i="11"/>
  <c r="B651" i="11"/>
  <c r="B650" i="11"/>
  <c r="B649" i="11"/>
  <c r="B648" i="11"/>
  <c r="B647" i="11"/>
  <c r="B646" i="11"/>
  <c r="B645" i="11"/>
  <c r="B644" i="11"/>
  <c r="B643" i="11"/>
  <c r="B642" i="11"/>
  <c r="B641" i="11"/>
  <c r="B640" i="11"/>
  <c r="B639" i="11"/>
  <c r="B638" i="11"/>
  <c r="B637" i="11"/>
  <c r="B636" i="11"/>
  <c r="B635" i="11"/>
  <c r="B634" i="11"/>
  <c r="B633" i="11"/>
  <c r="B632" i="11"/>
  <c r="B631" i="11"/>
  <c r="B630" i="11"/>
  <c r="B629" i="11"/>
  <c r="B628" i="11"/>
  <c r="B627" i="11"/>
  <c r="B626" i="11"/>
  <c r="B625" i="11"/>
  <c r="B624" i="11"/>
  <c r="B623" i="11"/>
  <c r="B622" i="11"/>
  <c r="B621" i="11"/>
  <c r="B620" i="11"/>
  <c r="B619" i="11"/>
  <c r="B618" i="11"/>
  <c r="B617" i="11"/>
  <c r="B616" i="11"/>
  <c r="B615" i="11"/>
  <c r="B614" i="11"/>
  <c r="B613" i="11"/>
  <c r="B612" i="11"/>
  <c r="B611" i="11"/>
  <c r="B610" i="11"/>
  <c r="B609" i="11"/>
  <c r="B608" i="11"/>
  <c r="B607" i="11"/>
  <c r="B606" i="11"/>
  <c r="B605" i="11"/>
  <c r="B604" i="11"/>
  <c r="B603" i="11"/>
  <c r="B602" i="11"/>
  <c r="B601" i="11"/>
  <c r="B600" i="11"/>
  <c r="B599" i="11"/>
  <c r="B598" i="11"/>
  <c r="B597" i="11"/>
  <c r="B596" i="11"/>
  <c r="B595" i="11"/>
  <c r="B594" i="11"/>
  <c r="B593" i="11"/>
  <c r="B592" i="11"/>
  <c r="B591" i="11"/>
  <c r="B590" i="11"/>
  <c r="B589" i="11"/>
  <c r="B588" i="11"/>
  <c r="B587" i="11"/>
  <c r="B586" i="11"/>
  <c r="B585" i="11"/>
  <c r="B584" i="11"/>
  <c r="B583" i="11"/>
  <c r="B582" i="11"/>
  <c r="B581" i="11"/>
  <c r="B580" i="1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1157" i="9"/>
  <c r="B1156" i="9"/>
  <c r="B1155" i="9"/>
  <c r="B1154" i="9"/>
  <c r="B1153" i="9"/>
  <c r="B1152" i="9"/>
  <c r="B1151" i="9"/>
  <c r="B1150" i="9"/>
  <c r="B1149" i="9"/>
  <c r="B1148" i="9"/>
  <c r="B1147" i="9"/>
  <c r="B1146" i="9"/>
  <c r="B1145" i="9"/>
  <c r="B1144" i="9"/>
  <c r="B1143" i="9"/>
  <c r="B1142" i="9"/>
  <c r="B1141" i="9"/>
  <c r="B1140" i="9"/>
  <c r="B1139" i="9"/>
  <c r="B1138" i="9"/>
  <c r="B1137" i="9"/>
  <c r="B1136" i="9"/>
  <c r="B1135" i="9"/>
  <c r="B1134" i="9"/>
  <c r="B1133" i="9"/>
  <c r="B1132" i="9"/>
  <c r="B1131" i="9"/>
  <c r="B1130" i="9"/>
  <c r="B1129" i="9"/>
  <c r="B1128" i="9"/>
  <c r="B1127" i="9"/>
  <c r="B1126" i="9"/>
  <c r="B1125" i="9"/>
  <c r="B1124" i="9"/>
  <c r="B1123" i="9"/>
  <c r="B1122" i="9"/>
  <c r="B1121" i="9"/>
  <c r="B1120" i="9"/>
  <c r="B1119" i="9"/>
  <c r="B1118" i="9"/>
  <c r="B1117" i="9"/>
  <c r="B1116" i="9"/>
  <c r="B1115" i="9"/>
  <c r="B1114" i="9"/>
  <c r="B1113" i="9"/>
  <c r="B1112" i="9"/>
  <c r="B1111" i="9"/>
  <c r="B1110" i="9"/>
  <c r="B1109" i="9"/>
  <c r="B1108" i="9"/>
  <c r="B1107" i="9"/>
  <c r="B1106" i="9"/>
  <c r="B1105" i="9"/>
  <c r="B1104" i="9"/>
  <c r="B1103" i="9"/>
  <c r="B1102" i="9"/>
  <c r="B1101" i="9"/>
  <c r="B1100" i="9"/>
  <c r="B1099" i="9"/>
  <c r="B1098" i="9"/>
  <c r="B1097" i="9"/>
  <c r="B1096" i="9"/>
  <c r="B1095" i="9"/>
  <c r="B1094" i="9"/>
  <c r="B1093" i="9"/>
  <c r="B1092" i="9"/>
  <c r="B1091" i="9"/>
  <c r="B1090" i="9"/>
  <c r="B1089" i="9"/>
  <c r="B1088" i="9"/>
  <c r="B1087" i="9"/>
  <c r="B1086" i="9"/>
  <c r="B1085" i="9"/>
  <c r="B1084" i="9"/>
  <c r="B1083" i="9"/>
  <c r="B1082" i="9"/>
  <c r="B1081" i="9"/>
  <c r="B1080" i="9"/>
  <c r="B1079" i="9"/>
  <c r="B1078" i="9"/>
  <c r="B1077" i="9"/>
  <c r="B1076" i="9"/>
  <c r="B1075" i="9"/>
  <c r="B1074" i="9"/>
  <c r="B1073" i="9"/>
  <c r="B1072" i="9"/>
  <c r="B1071" i="9"/>
  <c r="B1070" i="9"/>
  <c r="B1069" i="9"/>
  <c r="B1068" i="9"/>
  <c r="B1067" i="9"/>
  <c r="B1066" i="9"/>
  <c r="B1065" i="9"/>
  <c r="B1064" i="9"/>
  <c r="B1063" i="9"/>
  <c r="B1062" i="9"/>
  <c r="B1061" i="9"/>
  <c r="B1060" i="9"/>
  <c r="B1059" i="9"/>
  <c r="B1058" i="9"/>
  <c r="B1057" i="9"/>
  <c r="B1056" i="9"/>
  <c r="B1055" i="9"/>
  <c r="B1054" i="9"/>
  <c r="B1053" i="9"/>
  <c r="B1052" i="9"/>
  <c r="B1051" i="9"/>
  <c r="B1050" i="9"/>
  <c r="B1049" i="9"/>
  <c r="B1048" i="9"/>
  <c r="B1047" i="9"/>
  <c r="B1046" i="9"/>
  <c r="B1045" i="9"/>
  <c r="B1044" i="9"/>
  <c r="B1043" i="9"/>
  <c r="B1042" i="9"/>
  <c r="B1041" i="9"/>
  <c r="B1040" i="9"/>
  <c r="B1039" i="9"/>
  <c r="B1038" i="9"/>
  <c r="B1037" i="9"/>
  <c r="B1036" i="9"/>
  <c r="B1035" i="9"/>
  <c r="B1034" i="9"/>
  <c r="B1033" i="9"/>
  <c r="B1032" i="9"/>
  <c r="B1031" i="9"/>
  <c r="B1030" i="9"/>
  <c r="B1029" i="9"/>
  <c r="B1028" i="9"/>
  <c r="B1027" i="9"/>
  <c r="B1026" i="9"/>
  <c r="B1025" i="9"/>
  <c r="B1024" i="9"/>
  <c r="B1023" i="9"/>
  <c r="B1022" i="9"/>
  <c r="B1021" i="9"/>
  <c r="B1020" i="9"/>
  <c r="B1019" i="9"/>
  <c r="B1018" i="9"/>
  <c r="B1017" i="9"/>
  <c r="B1016" i="9"/>
  <c r="B1015" i="9"/>
  <c r="B1014" i="9"/>
  <c r="B1013" i="9"/>
  <c r="B1012" i="9"/>
  <c r="B1011" i="9"/>
  <c r="B1010" i="9"/>
  <c r="B1009" i="9"/>
  <c r="B1008" i="9"/>
  <c r="B1007" i="9"/>
  <c r="B1006" i="9"/>
  <c r="B1005" i="9"/>
  <c r="B1004" i="9"/>
  <c r="B1003" i="9"/>
  <c r="B1002" i="9"/>
  <c r="B1001" i="9"/>
  <c r="B1000" i="9"/>
  <c r="B999" i="9"/>
  <c r="B998" i="9"/>
  <c r="B997" i="9"/>
  <c r="B996" i="9"/>
  <c r="B995" i="9"/>
  <c r="B994" i="9"/>
  <c r="B993" i="9"/>
  <c r="B992" i="9"/>
  <c r="B991" i="9"/>
  <c r="B990" i="9"/>
  <c r="B989" i="9"/>
  <c r="B988" i="9"/>
  <c r="B987" i="9"/>
  <c r="B986" i="9"/>
  <c r="B985" i="9"/>
  <c r="B984" i="9"/>
  <c r="B983" i="9"/>
  <c r="B982" i="9"/>
  <c r="B981" i="9"/>
  <c r="B980" i="9"/>
  <c r="B979" i="9"/>
  <c r="B978" i="9"/>
  <c r="B977" i="9"/>
  <c r="B976" i="9"/>
  <c r="B975" i="9"/>
  <c r="B974" i="9"/>
  <c r="B973" i="9"/>
  <c r="B972" i="9"/>
  <c r="B971" i="9"/>
  <c r="B970" i="9"/>
  <c r="B969" i="9"/>
  <c r="B968" i="9"/>
  <c r="B967" i="9"/>
  <c r="B966" i="9"/>
  <c r="B965" i="9"/>
  <c r="B964" i="9"/>
  <c r="B963" i="9"/>
  <c r="B962" i="9"/>
  <c r="B961" i="9"/>
  <c r="B960" i="9"/>
  <c r="B959" i="9"/>
  <c r="B958" i="9"/>
  <c r="B957" i="9"/>
  <c r="B956" i="9"/>
  <c r="B955" i="9"/>
  <c r="B954" i="9"/>
  <c r="B953" i="9"/>
  <c r="B952" i="9"/>
  <c r="B951" i="9"/>
  <c r="B950" i="9"/>
  <c r="B949" i="9"/>
  <c r="B948" i="9"/>
  <c r="B947" i="9"/>
  <c r="B946" i="9"/>
  <c r="B945" i="9"/>
  <c r="B944" i="9"/>
  <c r="B943" i="9"/>
  <c r="B942" i="9"/>
  <c r="B941" i="9"/>
  <c r="B940" i="9"/>
  <c r="B939" i="9"/>
  <c r="B938" i="9"/>
  <c r="B937" i="9"/>
  <c r="B936" i="9"/>
  <c r="B935" i="9"/>
  <c r="B934" i="9"/>
  <c r="B933" i="9"/>
  <c r="B932" i="9"/>
  <c r="B931" i="9"/>
  <c r="B930" i="9"/>
  <c r="B929" i="9"/>
  <c r="B928" i="9"/>
  <c r="B927" i="9"/>
  <c r="B926" i="9"/>
  <c r="B925" i="9"/>
  <c r="B924" i="9"/>
  <c r="B923" i="9"/>
  <c r="B922" i="9"/>
  <c r="B921" i="9"/>
  <c r="B920" i="9"/>
  <c r="B919" i="9"/>
  <c r="B918" i="9"/>
  <c r="B917" i="9"/>
  <c r="B916" i="9"/>
  <c r="B915" i="9"/>
  <c r="B914" i="9"/>
  <c r="B913" i="9"/>
  <c r="B912" i="9"/>
  <c r="B911" i="9"/>
  <c r="B910" i="9"/>
  <c r="B909" i="9"/>
  <c r="B908" i="9"/>
  <c r="B907" i="9"/>
  <c r="B906" i="9"/>
  <c r="B905" i="9"/>
  <c r="B904" i="9"/>
  <c r="B903" i="9"/>
  <c r="B902" i="9"/>
  <c r="B901" i="9"/>
  <c r="B900" i="9"/>
  <c r="B899" i="9"/>
  <c r="B898" i="9"/>
  <c r="B897" i="9"/>
  <c r="B896" i="9"/>
  <c r="B895" i="9"/>
  <c r="B894" i="9"/>
  <c r="B893" i="9"/>
  <c r="B892" i="9"/>
  <c r="B891" i="9"/>
  <c r="B890" i="9"/>
  <c r="B889" i="9"/>
  <c r="B888" i="9"/>
  <c r="B887" i="9"/>
  <c r="B886" i="9"/>
  <c r="B885" i="9"/>
  <c r="B884" i="9"/>
  <c r="B883" i="9"/>
  <c r="B882" i="9"/>
  <c r="B881" i="9"/>
  <c r="B880" i="9"/>
  <c r="B879" i="9"/>
  <c r="B878" i="9"/>
  <c r="B877" i="9"/>
  <c r="B876" i="9"/>
  <c r="B875" i="9"/>
  <c r="B874" i="9"/>
  <c r="B873" i="9"/>
  <c r="B872" i="9"/>
  <c r="B871" i="9"/>
  <c r="B870" i="9"/>
  <c r="B869" i="9"/>
  <c r="B868" i="9"/>
  <c r="B867" i="9"/>
  <c r="B866" i="9"/>
  <c r="B865" i="9"/>
  <c r="B864" i="9"/>
  <c r="B863" i="9"/>
  <c r="B862" i="9"/>
  <c r="B861" i="9"/>
  <c r="B860" i="9"/>
  <c r="B859" i="9"/>
  <c r="B858" i="9"/>
  <c r="B857" i="9"/>
  <c r="B856" i="9"/>
  <c r="B855" i="9"/>
  <c r="B854" i="9"/>
  <c r="B853" i="9"/>
  <c r="B852" i="9"/>
  <c r="B851" i="9"/>
  <c r="B850" i="9"/>
  <c r="B849" i="9"/>
  <c r="B848" i="9"/>
  <c r="B847" i="9"/>
  <c r="B846" i="9"/>
  <c r="B845" i="9"/>
  <c r="B844" i="9"/>
  <c r="B843" i="9"/>
  <c r="B842" i="9"/>
  <c r="B841" i="9"/>
  <c r="B840" i="9"/>
  <c r="B839" i="9"/>
  <c r="B838" i="9"/>
  <c r="B837" i="9"/>
  <c r="B836" i="9"/>
  <c r="B835" i="9"/>
  <c r="B834" i="9"/>
  <c r="B833" i="9"/>
  <c r="B832" i="9"/>
  <c r="B831" i="9"/>
  <c r="B830" i="9"/>
  <c r="B829" i="9"/>
  <c r="B828" i="9"/>
  <c r="B827" i="9"/>
  <c r="B826" i="9"/>
  <c r="B825" i="9"/>
  <c r="B824" i="9"/>
  <c r="B823" i="9"/>
  <c r="B822" i="9"/>
  <c r="B821" i="9"/>
  <c r="B820" i="9"/>
  <c r="B819" i="9"/>
  <c r="B818" i="9"/>
  <c r="B817" i="9"/>
  <c r="B816" i="9"/>
  <c r="B815" i="9"/>
  <c r="B814" i="9"/>
  <c r="B813" i="9"/>
  <c r="B812" i="9"/>
  <c r="B811" i="9"/>
  <c r="B810" i="9"/>
  <c r="B809" i="9"/>
  <c r="B808" i="9"/>
  <c r="B807" i="9"/>
  <c r="B806" i="9"/>
  <c r="B805" i="9"/>
  <c r="B804" i="9"/>
  <c r="B803" i="9"/>
  <c r="B802" i="9"/>
  <c r="B801" i="9"/>
  <c r="B800" i="9"/>
  <c r="B799" i="9"/>
  <c r="B798" i="9"/>
  <c r="B797" i="9"/>
  <c r="B796" i="9"/>
  <c r="B795" i="9"/>
  <c r="B794" i="9"/>
  <c r="B793" i="9"/>
  <c r="B792" i="9"/>
  <c r="B791" i="9"/>
  <c r="B790" i="9"/>
  <c r="B789" i="9"/>
  <c r="B788" i="9"/>
  <c r="B787" i="9"/>
  <c r="B786" i="9"/>
  <c r="B785" i="9"/>
  <c r="B784" i="9"/>
  <c r="B783" i="9"/>
  <c r="B782" i="9"/>
  <c r="B781" i="9"/>
  <c r="B780" i="9"/>
  <c r="B779" i="9"/>
  <c r="B778" i="9"/>
  <c r="B777" i="9"/>
  <c r="B776" i="9"/>
  <c r="B775" i="9"/>
  <c r="B774" i="9"/>
  <c r="B773" i="9"/>
  <c r="B772" i="9"/>
  <c r="B771" i="9"/>
  <c r="B770" i="9"/>
  <c r="B769" i="9"/>
  <c r="B768" i="9"/>
  <c r="B767" i="9"/>
  <c r="B766" i="9"/>
  <c r="B765" i="9"/>
  <c r="B764" i="9"/>
  <c r="B763" i="9"/>
  <c r="B762" i="9"/>
  <c r="B761" i="9"/>
  <c r="B760" i="9"/>
  <c r="B759" i="9"/>
  <c r="B758" i="9"/>
  <c r="B757" i="9"/>
  <c r="B756" i="9"/>
  <c r="B755" i="9"/>
  <c r="B754" i="9"/>
  <c r="B753" i="9"/>
  <c r="B752" i="9"/>
  <c r="B751" i="9"/>
  <c r="B750" i="9"/>
  <c r="B749" i="9"/>
  <c r="B748" i="9"/>
  <c r="B747" i="9"/>
  <c r="B746" i="9"/>
  <c r="B745" i="9"/>
  <c r="B744" i="9"/>
  <c r="B743" i="9"/>
  <c r="B742" i="9"/>
  <c r="B741" i="9"/>
  <c r="B740" i="9"/>
  <c r="B739" i="9"/>
  <c r="B738" i="9"/>
  <c r="B737" i="9"/>
  <c r="B736" i="9"/>
  <c r="B735" i="9"/>
  <c r="B734" i="9"/>
  <c r="B733" i="9"/>
  <c r="B732" i="9"/>
  <c r="B731" i="9"/>
  <c r="B730" i="9"/>
  <c r="B729" i="9"/>
  <c r="B728" i="9"/>
  <c r="B727" i="9"/>
  <c r="B726" i="9"/>
  <c r="B725" i="9"/>
  <c r="B724" i="9"/>
  <c r="B723" i="9"/>
  <c r="B722" i="9"/>
  <c r="B721" i="9"/>
  <c r="B720" i="9"/>
  <c r="B719" i="9"/>
  <c r="B718" i="9"/>
  <c r="B717" i="9"/>
  <c r="B716" i="9"/>
  <c r="B715" i="9"/>
  <c r="B714" i="9"/>
  <c r="B713" i="9"/>
  <c r="B712" i="9"/>
  <c r="B711" i="9"/>
  <c r="B710" i="9"/>
  <c r="B709" i="9"/>
  <c r="B708" i="9"/>
  <c r="B707" i="9"/>
  <c r="B706" i="9"/>
  <c r="B705" i="9"/>
  <c r="B704" i="9"/>
  <c r="B703" i="9"/>
  <c r="B702" i="9"/>
  <c r="B701" i="9"/>
  <c r="B700" i="9"/>
  <c r="B699" i="9"/>
  <c r="B698" i="9"/>
  <c r="B697" i="9"/>
  <c r="B696" i="9"/>
  <c r="B695" i="9"/>
  <c r="B694" i="9"/>
  <c r="B693" i="9"/>
  <c r="B692" i="9"/>
  <c r="B691" i="9"/>
  <c r="B690" i="9"/>
  <c r="B689" i="9"/>
  <c r="B688" i="9"/>
  <c r="B687" i="9"/>
  <c r="B686" i="9"/>
  <c r="B685" i="9"/>
  <c r="B684" i="9"/>
  <c r="B683" i="9"/>
  <c r="B682" i="9"/>
  <c r="B681" i="9"/>
  <c r="B680" i="9"/>
  <c r="B679" i="9"/>
  <c r="B678" i="9"/>
  <c r="B677" i="9"/>
  <c r="B676" i="9"/>
  <c r="B675" i="9"/>
  <c r="B674" i="9"/>
  <c r="B673" i="9"/>
  <c r="B672" i="9"/>
  <c r="B671" i="9"/>
  <c r="B670" i="9"/>
  <c r="B669" i="9"/>
  <c r="B668" i="9"/>
  <c r="B667" i="9"/>
  <c r="B666" i="9"/>
  <c r="B665" i="9"/>
  <c r="B664" i="9"/>
  <c r="B663" i="9"/>
  <c r="B662" i="9"/>
  <c r="B661" i="9"/>
  <c r="B660" i="9"/>
  <c r="B659" i="9"/>
  <c r="B658" i="9"/>
  <c r="B657" i="9"/>
  <c r="B656" i="9"/>
  <c r="B655" i="9"/>
  <c r="B654" i="9"/>
  <c r="B653" i="9"/>
  <c r="B652" i="9"/>
  <c r="B651" i="9"/>
  <c r="B650" i="9"/>
  <c r="B649" i="9"/>
  <c r="B648" i="9"/>
  <c r="B647" i="9"/>
  <c r="B646" i="9"/>
  <c r="B645" i="9"/>
  <c r="B644" i="9"/>
  <c r="B643" i="9"/>
  <c r="B642" i="9"/>
  <c r="B641" i="9"/>
  <c r="B640" i="9"/>
  <c r="B639" i="9"/>
  <c r="B638" i="9"/>
  <c r="B637" i="9"/>
  <c r="B636" i="9"/>
  <c r="B635" i="9"/>
  <c r="B634" i="9"/>
  <c r="B633" i="9"/>
  <c r="B632" i="9"/>
  <c r="B631" i="9"/>
  <c r="B630" i="9"/>
  <c r="B629" i="9"/>
  <c r="B628" i="9"/>
  <c r="B627" i="9"/>
  <c r="B626" i="9"/>
  <c r="B625" i="9"/>
  <c r="B624" i="9"/>
  <c r="B623" i="9"/>
  <c r="B622" i="9"/>
  <c r="B621" i="9"/>
  <c r="B620" i="9"/>
  <c r="B619" i="9"/>
  <c r="B618" i="9"/>
  <c r="B617" i="9"/>
  <c r="B616" i="9"/>
  <c r="B615" i="9"/>
  <c r="B614" i="9"/>
  <c r="B613" i="9"/>
  <c r="B612" i="9"/>
  <c r="B611" i="9"/>
  <c r="B610" i="9"/>
  <c r="B609" i="9"/>
  <c r="B608" i="9"/>
  <c r="B607" i="9"/>
  <c r="B606" i="9"/>
  <c r="B605" i="9"/>
  <c r="B604" i="9"/>
  <c r="B603" i="9"/>
  <c r="B602" i="9"/>
  <c r="B601" i="9"/>
  <c r="B600" i="9"/>
  <c r="B599" i="9"/>
  <c r="B598" i="9"/>
  <c r="B597" i="9"/>
  <c r="B596" i="9"/>
  <c r="B595" i="9"/>
  <c r="B594" i="9"/>
  <c r="B593" i="9"/>
  <c r="B592" i="9"/>
  <c r="B591" i="9"/>
  <c r="B590" i="9"/>
  <c r="B589" i="9"/>
  <c r="B588" i="9"/>
  <c r="B587" i="9"/>
  <c r="B586" i="9"/>
  <c r="B585" i="9"/>
  <c r="B584" i="9"/>
  <c r="B583" i="9"/>
  <c r="B582" i="9"/>
  <c r="B581" i="9"/>
  <c r="B580" i="9"/>
  <c r="B579" i="9"/>
  <c r="B578" i="9"/>
  <c r="B577" i="9"/>
  <c r="B576" i="9"/>
  <c r="B575" i="9"/>
  <c r="B574" i="9"/>
  <c r="B573" i="9"/>
  <c r="B572" i="9"/>
  <c r="B571" i="9"/>
  <c r="B570" i="9"/>
  <c r="B569" i="9"/>
  <c r="B568" i="9"/>
  <c r="B567" i="9"/>
  <c r="B566" i="9"/>
  <c r="B565" i="9"/>
  <c r="B564" i="9"/>
  <c r="B563" i="9"/>
  <c r="B562" i="9"/>
  <c r="B561" i="9"/>
  <c r="B560" i="9"/>
  <c r="B559" i="9"/>
  <c r="B558" i="9"/>
  <c r="B557" i="9"/>
  <c r="B556" i="9"/>
  <c r="B555" i="9"/>
  <c r="B554" i="9"/>
  <c r="B553" i="9"/>
  <c r="B552" i="9"/>
  <c r="B551" i="9"/>
  <c r="B550" i="9"/>
  <c r="B549" i="9"/>
  <c r="B548" i="9"/>
  <c r="B547" i="9"/>
  <c r="B546" i="9"/>
  <c r="B545" i="9"/>
  <c r="B544" i="9"/>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10" i="9"/>
  <c r="B509" i="9"/>
  <c r="B508" i="9"/>
  <c r="B507" i="9"/>
  <c r="B506" i="9"/>
  <c r="B505" i="9"/>
  <c r="B504" i="9"/>
  <c r="B503" i="9"/>
  <c r="B502" i="9"/>
  <c r="B501" i="9"/>
  <c r="B500" i="9"/>
  <c r="B499" i="9"/>
  <c r="B498" i="9"/>
  <c r="B497" i="9"/>
  <c r="B496" i="9"/>
  <c r="B495" i="9"/>
  <c r="B494" i="9"/>
  <c r="B493" i="9"/>
  <c r="B492" i="9"/>
  <c r="B491" i="9"/>
  <c r="B490" i="9"/>
  <c r="B489" i="9"/>
  <c r="B488" i="9"/>
  <c r="B487" i="9"/>
  <c r="B486" i="9"/>
  <c r="B485" i="9"/>
  <c r="B484" i="9"/>
  <c r="B483" i="9"/>
  <c r="B482" i="9"/>
  <c r="B481" i="9"/>
  <c r="B480" i="9"/>
  <c r="B479" i="9"/>
  <c r="B478" i="9"/>
  <c r="B477" i="9"/>
  <c r="B476" i="9"/>
  <c r="B475" i="9"/>
  <c r="B474" i="9"/>
  <c r="B473" i="9"/>
  <c r="B472" i="9"/>
  <c r="B471" i="9"/>
  <c r="B470" i="9"/>
  <c r="B469" i="9"/>
  <c r="B468" i="9"/>
  <c r="B467" i="9"/>
  <c r="B466" i="9"/>
  <c r="B465" i="9"/>
  <c r="B464" i="9"/>
  <c r="B463" i="9"/>
  <c r="B462" i="9"/>
  <c r="B461" i="9"/>
  <c r="B460" i="9"/>
  <c r="B459" i="9"/>
  <c r="B458" i="9"/>
  <c r="B457" i="9"/>
  <c r="B456" i="9"/>
  <c r="B455" i="9"/>
  <c r="B454" i="9"/>
  <c r="B453" i="9"/>
  <c r="B452" i="9"/>
  <c r="B451" i="9"/>
  <c r="B450" i="9"/>
  <c r="B449" i="9"/>
  <c r="B448" i="9"/>
  <c r="B447" i="9"/>
  <c r="B446" i="9"/>
  <c r="B445" i="9"/>
  <c r="B444" i="9"/>
  <c r="B443" i="9"/>
  <c r="B442" i="9"/>
  <c r="B441" i="9"/>
  <c r="B440" i="9"/>
  <c r="B439" i="9"/>
  <c r="B438" i="9"/>
  <c r="B437" i="9"/>
  <c r="B436" i="9"/>
  <c r="B435" i="9"/>
  <c r="B434" i="9"/>
  <c r="B433" i="9"/>
  <c r="B432" i="9"/>
  <c r="B431" i="9"/>
  <c r="B430" i="9"/>
  <c r="B429" i="9"/>
  <c r="B428" i="9"/>
  <c r="B427" i="9"/>
  <c r="B426" i="9"/>
  <c r="B425" i="9"/>
  <c r="B424" i="9"/>
  <c r="B423" i="9"/>
  <c r="B422" i="9"/>
  <c r="B421" i="9"/>
  <c r="B420" i="9"/>
  <c r="B419" i="9"/>
  <c r="B418" i="9"/>
  <c r="B417" i="9"/>
  <c r="B416" i="9"/>
  <c r="B415" i="9"/>
  <c r="B414" i="9"/>
  <c r="B413" i="9"/>
  <c r="B412" i="9"/>
  <c r="B411" i="9"/>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F39" i="8"/>
  <c r="F37" i="8"/>
  <c r="F36" i="8"/>
  <c r="F35" i="8"/>
  <c r="F34" i="8"/>
  <c r="F33" i="8"/>
  <c r="F31" i="8"/>
  <c r="F30" i="8"/>
  <c r="F29" i="8"/>
  <c r="F28" i="8"/>
  <c r="F27" i="8"/>
  <c r="F26" i="8"/>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A207" i="6"/>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A248" i="6" s="1"/>
  <c r="A249" i="6" s="1"/>
  <c r="A250" i="6" s="1"/>
  <c r="A251" i="6" s="1"/>
  <c r="A252" i="6" s="1"/>
  <c r="A253" i="6" s="1"/>
  <c r="A254" i="6" s="1"/>
  <c r="A255" i="6" s="1"/>
  <c r="A256" i="6" s="1"/>
  <c r="A257" i="6" s="1"/>
  <c r="A258" i="6" s="1"/>
  <c r="A259" i="6" s="1"/>
  <c r="A260" i="6" s="1"/>
  <c r="A261" i="6" s="1"/>
  <c r="A262" i="6" s="1"/>
  <c r="A263" i="6" s="1"/>
  <c r="A264" i="6" s="1"/>
  <c r="A265" i="6" s="1"/>
  <c r="A266" i="6" s="1"/>
  <c r="A267" i="6" s="1"/>
  <c r="A268" i="6" s="1"/>
  <c r="A269" i="6" s="1"/>
  <c r="A270" i="6" s="1"/>
  <c r="A271" i="6" s="1"/>
  <c r="A272" i="6" s="1"/>
  <c r="A273" i="6" s="1"/>
  <c r="A274" i="6" s="1"/>
  <c r="A275" i="6" s="1"/>
  <c r="A276" i="6" s="1"/>
  <c r="A277" i="6" s="1"/>
  <c r="A278" i="6" s="1"/>
  <c r="A279" i="6" s="1"/>
  <c r="A280" i="6" s="1"/>
  <c r="A281" i="6" s="1"/>
  <c r="A282" i="6" s="1"/>
  <c r="A283" i="6" s="1"/>
  <c r="A284" i="6" s="1"/>
  <c r="A285" i="6" s="1"/>
  <c r="A286" i="6" s="1"/>
  <c r="A287" i="6" s="1"/>
  <c r="A288" i="6" s="1"/>
  <c r="A289" i="6" s="1"/>
  <c r="A290" i="6" s="1"/>
  <c r="A291" i="6" s="1"/>
  <c r="A292" i="6" s="1"/>
  <c r="A293" i="6" s="1"/>
  <c r="A294" i="6" s="1"/>
  <c r="A295" i="6" s="1"/>
  <c r="A296" i="6" s="1"/>
  <c r="A297" i="6" s="1"/>
  <c r="A298" i="6" s="1"/>
  <c r="A299" i="6" s="1"/>
  <c r="A300" i="6" s="1"/>
  <c r="A301" i="6" s="1"/>
  <c r="A302" i="6" s="1"/>
  <c r="A303" i="6" s="1"/>
  <c r="A304" i="6" s="1"/>
  <c r="A305" i="6" s="1"/>
  <c r="A306" i="6" s="1"/>
  <c r="A307" i="6" s="1"/>
  <c r="A308" i="6" s="1"/>
  <c r="A309" i="6" s="1"/>
  <c r="A310" i="6" s="1"/>
  <c r="A311" i="6" s="1"/>
  <c r="A312" i="6" s="1"/>
  <c r="A313" i="6" s="1"/>
  <c r="A314" i="6" s="1"/>
  <c r="A315" i="6" s="1"/>
  <c r="A316" i="6" s="1"/>
  <c r="A317" i="6" s="1"/>
  <c r="A318" i="6" s="1"/>
  <c r="A319" i="6" s="1"/>
  <c r="A320" i="6" s="1"/>
  <c r="A321" i="6" s="1"/>
  <c r="A322" i="6" s="1"/>
  <c r="A323" i="6" s="1"/>
  <c r="A324" i="6" s="1"/>
  <c r="A325" i="6" s="1"/>
  <c r="A326" i="6" s="1"/>
  <c r="A327" i="6" s="1"/>
  <c r="A328" i="6" s="1"/>
  <c r="A329" i="6" s="1"/>
  <c r="A330" i="6" s="1"/>
  <c r="A331" i="6" s="1"/>
  <c r="A332" i="6" s="1"/>
  <c r="A333" i="6" s="1"/>
  <c r="A334" i="6" s="1"/>
  <c r="A335" i="6" s="1"/>
  <c r="A336" i="6" s="1"/>
  <c r="A337" i="6" s="1"/>
  <c r="A338" i="6" s="1"/>
  <c r="A339" i="6" s="1"/>
  <c r="A340" i="6" s="1"/>
  <c r="A341" i="6" s="1"/>
  <c r="A342" i="6" s="1"/>
  <c r="A343" i="6" s="1"/>
  <c r="A344" i="6" s="1"/>
  <c r="A345" i="6" s="1"/>
  <c r="A346" i="6" s="1"/>
  <c r="A347" i="6" s="1"/>
  <c r="A348" i="6" s="1"/>
  <c r="A349" i="6" s="1"/>
  <c r="A350" i="6" s="1"/>
  <c r="A351" i="6" s="1"/>
  <c r="A352" i="6" s="1"/>
  <c r="A353" i="6" s="1"/>
  <c r="A354" i="6" s="1"/>
  <c r="A355" i="6" s="1"/>
  <c r="A356" i="6" s="1"/>
  <c r="A357" i="6" s="1"/>
  <c r="A358" i="6" s="1"/>
  <c r="A359" i="6" s="1"/>
  <c r="A360" i="6" s="1"/>
  <c r="A361" i="6" s="1"/>
  <c r="A362" i="6" s="1"/>
  <c r="A363" i="6" s="1"/>
  <c r="A364" i="6" s="1"/>
  <c r="A365" i="6" s="1"/>
  <c r="A366" i="6" s="1"/>
  <c r="A367" i="6" s="1"/>
  <c r="A368" i="6" s="1"/>
  <c r="A369" i="6" s="1"/>
  <c r="A370" i="6" s="1"/>
  <c r="A371" i="6" s="1"/>
  <c r="A372" i="6" s="1"/>
  <c r="A373" i="6" s="1"/>
  <c r="A374" i="6" s="1"/>
  <c r="A375" i="6" s="1"/>
  <c r="A376" i="6" s="1"/>
  <c r="A377" i="6" s="1"/>
  <c r="A378" i="6" s="1"/>
  <c r="A379" i="6" s="1"/>
  <c r="A380" i="6" s="1"/>
  <c r="A381" i="6" s="1"/>
  <c r="A382" i="6" s="1"/>
  <c r="A383" i="6" s="1"/>
  <c r="A384" i="6" s="1"/>
  <c r="A385" i="6" s="1"/>
  <c r="A386" i="6" s="1"/>
  <c r="A387" i="6" s="1"/>
  <c r="A388" i="6" s="1"/>
  <c r="A389" i="6" s="1"/>
  <c r="A390" i="6" s="1"/>
  <c r="A391" i="6" s="1"/>
  <c r="A392" i="6" s="1"/>
  <c r="A393" i="6" s="1"/>
  <c r="A394" i="6" s="1"/>
  <c r="A395" i="6" s="1"/>
  <c r="A396" i="6" s="1"/>
  <c r="A397" i="6" s="1"/>
  <c r="A398" i="6" s="1"/>
  <c r="A399" i="6" s="1"/>
  <c r="A400" i="6" s="1"/>
  <c r="A401" i="6" s="1"/>
  <c r="A402" i="6" s="1"/>
  <c r="A403" i="6" s="1"/>
  <c r="A404" i="6" s="1"/>
  <c r="A405" i="6" s="1"/>
  <c r="A406" i="6" s="1"/>
  <c r="A407" i="6" s="1"/>
  <c r="A408" i="6" s="1"/>
  <c r="A409" i="6" s="1"/>
  <c r="A410" i="6" s="1"/>
  <c r="A411" i="6" s="1"/>
  <c r="A412" i="6" s="1"/>
  <c r="A413" i="6" s="1"/>
  <c r="A414" i="6" s="1"/>
  <c r="A415" i="6" s="1"/>
  <c r="A416" i="6" s="1"/>
  <c r="A417" i="6" s="1"/>
  <c r="A418" i="6" s="1"/>
  <c r="A419" i="6" s="1"/>
  <c r="A420" i="6" s="1"/>
  <c r="A421" i="6" s="1"/>
  <c r="A422" i="6" s="1"/>
  <c r="A423" i="6" s="1"/>
  <c r="A424" i="6" s="1"/>
  <c r="A425" i="6" s="1"/>
  <c r="A426" i="6" s="1"/>
  <c r="A427" i="6" s="1"/>
  <c r="A428" i="6" s="1"/>
  <c r="A429" i="6" s="1"/>
  <c r="A430" i="6" s="1"/>
  <c r="A431" i="6" s="1"/>
  <c r="A432" i="6" s="1"/>
  <c r="A433" i="6" s="1"/>
  <c r="A434" i="6" s="1"/>
  <c r="A435" i="6" s="1"/>
  <c r="A436" i="6" s="1"/>
  <c r="A437" i="6" s="1"/>
  <c r="A438" i="6" s="1"/>
  <c r="A439" i="6" s="1"/>
  <c r="A440" i="6" s="1"/>
  <c r="A441" i="6" s="1"/>
  <c r="A442" i="6" s="1"/>
  <c r="A443" i="6" s="1"/>
  <c r="A444" i="6" s="1"/>
  <c r="A445" i="6" s="1"/>
  <c r="A446" i="6" s="1"/>
  <c r="A447" i="6" s="1"/>
  <c r="A448" i="6" s="1"/>
  <c r="A449" i="6" s="1"/>
  <c r="A450" i="6" s="1"/>
  <c r="A451" i="6" s="1"/>
  <c r="A452" i="6" s="1"/>
  <c r="A453" i="6" s="1"/>
  <c r="A454" i="6" s="1"/>
  <c r="A455" i="6" s="1"/>
  <c r="A456" i="6" s="1"/>
  <c r="A457" i="6" s="1"/>
  <c r="A458" i="6" s="1"/>
  <c r="A459" i="6" s="1"/>
  <c r="A460" i="6" s="1"/>
  <c r="A461" i="6" s="1"/>
  <c r="A462" i="6" s="1"/>
  <c r="A463" i="6" s="1"/>
  <c r="A464" i="6" s="1"/>
  <c r="A465" i="6" s="1"/>
  <c r="A466" i="6" s="1"/>
  <c r="A467" i="6" s="1"/>
  <c r="A468" i="6" s="1"/>
  <c r="A469" i="6" s="1"/>
  <c r="A470" i="6" s="1"/>
  <c r="A471" i="6" s="1"/>
  <c r="A472" i="6" s="1"/>
  <c r="A473" i="6" s="1"/>
  <c r="A474" i="6" s="1"/>
  <c r="A475" i="6" s="1"/>
  <c r="A476" i="6" s="1"/>
  <c r="A477" i="6" s="1"/>
  <c r="A478" i="6" s="1"/>
  <c r="A479" i="6" s="1"/>
  <c r="A480" i="6" s="1"/>
  <c r="A481" i="6" s="1"/>
  <c r="A482" i="6" s="1"/>
  <c r="A483" i="6" s="1"/>
  <c r="A484" i="6" s="1"/>
  <c r="A485" i="6" s="1"/>
  <c r="A486" i="6" s="1"/>
  <c r="A487" i="6" s="1"/>
  <c r="A488" i="6" s="1"/>
  <c r="A489" i="6" s="1"/>
  <c r="A490" i="6" s="1"/>
  <c r="A491" i="6" s="1"/>
  <c r="A492" i="6" s="1"/>
  <c r="A493" i="6" s="1"/>
  <c r="A494" i="6" s="1"/>
  <c r="A495" i="6" s="1"/>
  <c r="A496" i="6" s="1"/>
  <c r="A497" i="6" s="1"/>
  <c r="A498" i="6" s="1"/>
  <c r="A499" i="6" s="1"/>
  <c r="A500" i="6" s="1"/>
  <c r="A501" i="6" s="1"/>
  <c r="A502" i="6" s="1"/>
  <c r="A503" i="6" s="1"/>
  <c r="A504" i="6" s="1"/>
  <c r="A505" i="6" s="1"/>
  <c r="A506" i="6" s="1"/>
  <c r="A507" i="6" s="1"/>
  <c r="A508" i="6" s="1"/>
  <c r="A509" i="6" s="1"/>
  <c r="A510" i="6" s="1"/>
  <c r="A511" i="6" s="1"/>
  <c r="A512" i="6" s="1"/>
  <c r="A513" i="6" s="1"/>
  <c r="A514" i="6" s="1"/>
  <c r="A515" i="6" s="1"/>
  <c r="A516" i="6" s="1"/>
  <c r="A517" i="6" s="1"/>
  <c r="A518" i="6" s="1"/>
  <c r="A519" i="6" s="1"/>
  <c r="A520" i="6" s="1"/>
  <c r="A521" i="6" s="1"/>
  <c r="A522" i="6" s="1"/>
  <c r="A523" i="6" s="1"/>
  <c r="A524" i="6" s="1"/>
  <c r="A525" i="6" s="1"/>
  <c r="A526" i="6" s="1"/>
  <c r="A527" i="6" s="1"/>
  <c r="A528" i="6" s="1"/>
  <c r="A529" i="6" s="1"/>
  <c r="A530" i="6" s="1"/>
  <c r="A531" i="6" s="1"/>
  <c r="A532" i="6" s="1"/>
  <c r="A533" i="6" s="1"/>
  <c r="A534" i="6" s="1"/>
  <c r="A535" i="6" s="1"/>
  <c r="A536" i="6" s="1"/>
  <c r="A537" i="6" s="1"/>
  <c r="A538" i="6" s="1"/>
  <c r="A539" i="6" s="1"/>
  <c r="A540" i="6" s="1"/>
  <c r="A541" i="6" s="1"/>
  <c r="A542" i="6" s="1"/>
  <c r="A543" i="6" s="1"/>
  <c r="A544" i="6" s="1"/>
  <c r="A545" i="6" s="1"/>
  <c r="A546" i="6" s="1"/>
  <c r="A547" i="6" s="1"/>
  <c r="A548" i="6" s="1"/>
  <c r="A549" i="6" s="1"/>
  <c r="A550" i="6" s="1"/>
  <c r="A551" i="6" s="1"/>
  <c r="A552" i="6" s="1"/>
  <c r="A553" i="6" s="1"/>
  <c r="A554" i="6" s="1"/>
  <c r="A555" i="6" s="1"/>
  <c r="A556" i="6" s="1"/>
  <c r="A557" i="6" s="1"/>
  <c r="A558" i="6" s="1"/>
  <c r="A559" i="6" s="1"/>
  <c r="A560" i="6" s="1"/>
  <c r="A561" i="6" s="1"/>
  <c r="A562" i="6" s="1"/>
  <c r="A563" i="6" s="1"/>
  <c r="A564" i="6" s="1"/>
  <c r="A565" i="6" s="1"/>
  <c r="A566" i="6" s="1"/>
  <c r="A567" i="6" s="1"/>
  <c r="A568" i="6" s="1"/>
  <c r="A569" i="6" s="1"/>
  <c r="A570" i="6" s="1"/>
  <c r="A571" i="6" s="1"/>
  <c r="A572" i="6" s="1"/>
  <c r="A573" i="6" s="1"/>
  <c r="A574" i="6" s="1"/>
  <c r="A575" i="6" s="1"/>
  <c r="A576" i="6" s="1"/>
  <c r="A577" i="6" s="1"/>
  <c r="A578" i="6" s="1"/>
  <c r="A579" i="6" s="1"/>
  <c r="A580" i="6" s="1"/>
  <c r="A581" i="6" s="1"/>
  <c r="A582" i="6" s="1"/>
  <c r="A583" i="6" s="1"/>
  <c r="A584" i="6" s="1"/>
  <c r="A585" i="6" s="1"/>
  <c r="A586" i="6" s="1"/>
  <c r="A587" i="6" s="1"/>
  <c r="A588" i="6" s="1"/>
  <c r="A589" i="6" s="1"/>
  <c r="A590" i="6" s="1"/>
  <c r="A591" i="6" s="1"/>
  <c r="A592" i="6" s="1"/>
  <c r="A593" i="6" s="1"/>
  <c r="A594" i="6" s="1"/>
  <c r="A595" i="6" s="1"/>
  <c r="A596" i="6" s="1"/>
  <c r="A597" i="6" s="1"/>
  <c r="A598" i="6" s="1"/>
  <c r="A599" i="6" s="1"/>
  <c r="A600" i="6" s="1"/>
  <c r="A601" i="6" s="1"/>
  <c r="A602" i="6" s="1"/>
  <c r="A603" i="6" s="1"/>
  <c r="A604" i="6" s="1"/>
  <c r="A605" i="6" s="1"/>
  <c r="A606" i="6" s="1"/>
  <c r="A607" i="6" s="1"/>
  <c r="A608" i="6" s="1"/>
  <c r="A609" i="6" s="1"/>
  <c r="A610" i="6" s="1"/>
  <c r="A611" i="6" s="1"/>
  <c r="A612" i="6" s="1"/>
  <c r="A613" i="6" s="1"/>
  <c r="A614" i="6" s="1"/>
  <c r="A615" i="6" s="1"/>
  <c r="A616" i="6" s="1"/>
  <c r="A617" i="6" s="1"/>
  <c r="A618" i="6" s="1"/>
  <c r="A619" i="6" s="1"/>
  <c r="A620" i="6" s="1"/>
  <c r="A621" i="6" s="1"/>
  <c r="A622" i="6" s="1"/>
  <c r="A623" i="6" s="1"/>
  <c r="A624" i="6" s="1"/>
  <c r="A625" i="6" s="1"/>
  <c r="A626" i="6" s="1"/>
  <c r="A627" i="6" s="1"/>
  <c r="A628" i="6" s="1"/>
  <c r="A629" i="6" s="1"/>
  <c r="A630" i="6" s="1"/>
  <c r="A631" i="6" s="1"/>
  <c r="A632" i="6" s="1"/>
  <c r="A633" i="6" s="1"/>
  <c r="A634" i="6" s="1"/>
  <c r="A635" i="6" s="1"/>
  <c r="A636" i="6" s="1"/>
  <c r="A637" i="6" s="1"/>
  <c r="A638" i="6" s="1"/>
  <c r="A639" i="6" s="1"/>
  <c r="A640" i="6" s="1"/>
  <c r="A641" i="6" s="1"/>
  <c r="A642" i="6" s="1"/>
  <c r="A643" i="6" s="1"/>
  <c r="A644" i="6" s="1"/>
  <c r="A645" i="6" s="1"/>
  <c r="A646" i="6" s="1"/>
  <c r="A647" i="6" s="1"/>
  <c r="A648" i="6" s="1"/>
  <c r="A649" i="6" s="1"/>
  <c r="A650" i="6" s="1"/>
  <c r="A651" i="6" s="1"/>
  <c r="A652" i="6" s="1"/>
  <c r="A653" i="6" s="1"/>
  <c r="A654" i="6" s="1"/>
  <c r="A655" i="6" s="1"/>
  <c r="A656" i="6" s="1"/>
  <c r="A657" i="6" s="1"/>
  <c r="A658" i="6" s="1"/>
  <c r="A659" i="6" s="1"/>
  <c r="A660" i="6" s="1"/>
  <c r="A661" i="6" s="1"/>
  <c r="A662" i="6" s="1"/>
  <c r="A663" i="6" s="1"/>
  <c r="A664" i="6" s="1"/>
  <c r="A665" i="6" s="1"/>
  <c r="A666" i="6" s="1"/>
  <c r="A667" i="6" s="1"/>
  <c r="A668" i="6" s="1"/>
  <c r="A669" i="6" s="1"/>
  <c r="A670" i="6" s="1"/>
  <c r="A671" i="6" s="1"/>
  <c r="A672" i="6" s="1"/>
  <c r="A673" i="6" s="1"/>
  <c r="A674" i="6" s="1"/>
  <c r="A675" i="6" s="1"/>
  <c r="A676" i="6" s="1"/>
  <c r="A677" i="6" s="1"/>
  <c r="A678" i="6" s="1"/>
  <c r="A679" i="6" s="1"/>
  <c r="A680" i="6" s="1"/>
  <c r="A681" i="6" s="1"/>
  <c r="A682" i="6" s="1"/>
  <c r="A683" i="6" s="1"/>
  <c r="A684" i="6" s="1"/>
  <c r="A685" i="6" s="1"/>
  <c r="A686" i="6" s="1"/>
  <c r="A687" i="6" s="1"/>
  <c r="A688" i="6" s="1"/>
  <c r="A689" i="6" s="1"/>
  <c r="A690" i="6" s="1"/>
  <c r="A691" i="6" s="1"/>
  <c r="A692" i="6" s="1"/>
  <c r="A693" i="6" s="1"/>
  <c r="A694" i="6" s="1"/>
  <c r="A695" i="6" s="1"/>
  <c r="A696" i="6" s="1"/>
  <c r="A697" i="6" s="1"/>
  <c r="A698" i="6" s="1"/>
  <c r="A699" i="6" s="1"/>
  <c r="A700" i="6" s="1"/>
  <c r="A701" i="6" s="1"/>
  <c r="A702" i="6" s="1"/>
  <c r="A703" i="6" s="1"/>
  <c r="A704" i="6" s="1"/>
  <c r="A705" i="6" s="1"/>
  <c r="A706" i="6" s="1"/>
  <c r="A707" i="6" s="1"/>
  <c r="A708" i="6" s="1"/>
  <c r="A709" i="6" s="1"/>
  <c r="A710" i="6" s="1"/>
  <c r="A711" i="6" s="1"/>
  <c r="A712" i="6" s="1"/>
  <c r="A713" i="6" s="1"/>
  <c r="A714" i="6" s="1"/>
  <c r="A715" i="6" s="1"/>
  <c r="A716" i="6" s="1"/>
  <c r="A717" i="6" s="1"/>
  <c r="A718" i="6" s="1"/>
  <c r="A719" i="6" s="1"/>
  <c r="A720" i="6" s="1"/>
  <c r="A721" i="6" s="1"/>
  <c r="A722" i="6" s="1"/>
  <c r="A723" i="6" s="1"/>
  <c r="A724" i="6" s="1"/>
  <c r="A725" i="6" s="1"/>
  <c r="A726" i="6" s="1"/>
  <c r="A727" i="6" s="1"/>
  <c r="A728" i="6" s="1"/>
  <c r="A729" i="6" s="1"/>
  <c r="A730" i="6" s="1"/>
  <c r="A731" i="6" s="1"/>
  <c r="A732" i="6" s="1"/>
  <c r="A733" i="6" s="1"/>
  <c r="A734" i="6" s="1"/>
  <c r="A735" i="6" s="1"/>
  <c r="A736" i="6" s="1"/>
  <c r="A737" i="6" s="1"/>
  <c r="A738" i="6" s="1"/>
  <c r="A739" i="6" s="1"/>
  <c r="A740" i="6" s="1"/>
  <c r="A741" i="6" s="1"/>
  <c r="A742" i="6" s="1"/>
  <c r="A743" i="6" s="1"/>
  <c r="A744" i="6" s="1"/>
  <c r="A745" i="6" s="1"/>
  <c r="A746" i="6" s="1"/>
  <c r="A747" i="6" s="1"/>
  <c r="A748" i="6" s="1"/>
  <c r="A749" i="6" s="1"/>
  <c r="A750" i="6" s="1"/>
  <c r="A751" i="6" s="1"/>
  <c r="A752" i="6" s="1"/>
  <c r="A753" i="6" s="1"/>
  <c r="A754" i="6" s="1"/>
  <c r="A755" i="6" s="1"/>
  <c r="A756" i="6" s="1"/>
  <c r="A757" i="6" s="1"/>
  <c r="A758" i="6" s="1"/>
  <c r="A759" i="6" s="1"/>
  <c r="A760" i="6" s="1"/>
  <c r="A761" i="6" s="1"/>
  <c r="A762" i="6" s="1"/>
  <c r="A763" i="6" s="1"/>
  <c r="A764" i="6" s="1"/>
  <c r="A765" i="6" s="1"/>
  <c r="A766" i="6" s="1"/>
  <c r="A767" i="6" s="1"/>
  <c r="A768" i="6" s="1"/>
  <c r="A769" i="6" s="1"/>
  <c r="A770" i="6" s="1"/>
  <c r="A771" i="6" s="1"/>
  <c r="A772" i="6" s="1"/>
  <c r="A773" i="6" s="1"/>
  <c r="A774" i="6" s="1"/>
  <c r="A775" i="6" s="1"/>
  <c r="A776" i="6" s="1"/>
  <c r="A777" i="6" s="1"/>
  <c r="A778" i="6" s="1"/>
  <c r="A779" i="6" s="1"/>
  <c r="A780" i="6" s="1"/>
  <c r="A781" i="6" s="1"/>
  <c r="A782" i="6" s="1"/>
  <c r="A783" i="6" s="1"/>
  <c r="A784" i="6" s="1"/>
  <c r="A785" i="6" s="1"/>
  <c r="A786" i="6" s="1"/>
  <c r="A787" i="6" s="1"/>
  <c r="A788" i="6" s="1"/>
  <c r="A789" i="6" s="1"/>
  <c r="A790" i="6" s="1"/>
  <c r="A791" i="6" s="1"/>
  <c r="A792" i="6" s="1"/>
  <c r="A793" i="6" s="1"/>
  <c r="A794" i="6" s="1"/>
  <c r="A795" i="6" s="1"/>
  <c r="A796" i="6" s="1"/>
  <c r="A797" i="6" s="1"/>
  <c r="A798" i="6" s="1"/>
  <c r="A799" i="6" s="1"/>
  <c r="A800" i="6" s="1"/>
  <c r="A801" i="6" s="1"/>
  <c r="A802" i="6" s="1"/>
  <c r="A803" i="6" s="1"/>
  <c r="A804" i="6" s="1"/>
  <c r="A805" i="6" s="1"/>
  <c r="A806" i="6" s="1"/>
  <c r="A807" i="6" s="1"/>
  <c r="A808" i="6" s="1"/>
  <c r="A809" i="6" s="1"/>
  <c r="A810" i="6" s="1"/>
  <c r="A811" i="6" s="1"/>
  <c r="A812" i="6" s="1"/>
  <c r="A813" i="6" s="1"/>
  <c r="A814" i="6" s="1"/>
  <c r="A815" i="6" s="1"/>
  <c r="A816" i="6" s="1"/>
  <c r="A817" i="6" s="1"/>
  <c r="A818" i="6" s="1"/>
  <c r="A819" i="6" s="1"/>
  <c r="A820" i="6" s="1"/>
  <c r="A821" i="6" s="1"/>
  <c r="A822" i="6" s="1"/>
  <c r="A823" i="6" s="1"/>
  <c r="A824" i="6" s="1"/>
  <c r="A825" i="6" s="1"/>
  <c r="A826" i="6" s="1"/>
  <c r="A827" i="6" s="1"/>
  <c r="A828" i="6" s="1"/>
  <c r="A829" i="6" s="1"/>
  <c r="A830" i="6" s="1"/>
  <c r="A831" i="6" s="1"/>
  <c r="A832" i="6" s="1"/>
  <c r="A833" i="6" s="1"/>
  <c r="A834" i="6" s="1"/>
  <c r="A835" i="6" s="1"/>
  <c r="A836" i="6" s="1"/>
  <c r="A837" i="6" s="1"/>
  <c r="A838" i="6" s="1"/>
  <c r="A839" i="6" s="1"/>
  <c r="A840" i="6" s="1"/>
  <c r="A841" i="6" s="1"/>
  <c r="A842" i="6" s="1"/>
  <c r="A843" i="6" s="1"/>
  <c r="A844" i="6" s="1"/>
  <c r="A845" i="6" s="1"/>
  <c r="A846" i="6" s="1"/>
  <c r="A847" i="6" s="1"/>
  <c r="A848" i="6" s="1"/>
  <c r="A849" i="6" s="1"/>
  <c r="A850" i="6" s="1"/>
  <c r="A851" i="6" s="1"/>
  <c r="A852" i="6" s="1"/>
  <c r="A853" i="6" s="1"/>
  <c r="A854" i="6" s="1"/>
  <c r="A855" i="6" s="1"/>
  <c r="A856" i="6" s="1"/>
  <c r="A857" i="6" s="1"/>
  <c r="A858" i="6" s="1"/>
  <c r="A859" i="6" s="1"/>
  <c r="A860" i="6" s="1"/>
  <c r="A861" i="6" s="1"/>
  <c r="A862" i="6" s="1"/>
  <c r="A863" i="6" s="1"/>
  <c r="A864" i="6" s="1"/>
  <c r="A865" i="6" s="1"/>
  <c r="A866" i="6" s="1"/>
  <c r="A867" i="6" s="1"/>
  <c r="A868" i="6" s="1"/>
  <c r="A869" i="6" s="1"/>
  <c r="A870" i="6" s="1"/>
  <c r="A871" i="6" s="1"/>
  <c r="A872" i="6" s="1"/>
  <c r="A873" i="6" s="1"/>
  <c r="A874" i="6" s="1"/>
  <c r="A875" i="6" s="1"/>
  <c r="A876" i="6" s="1"/>
  <c r="A877" i="6" s="1"/>
  <c r="A878" i="6" s="1"/>
  <c r="A879" i="6" s="1"/>
  <c r="A880" i="6" s="1"/>
  <c r="A881" i="6" s="1"/>
  <c r="A882" i="6" s="1"/>
  <c r="A883" i="6" s="1"/>
  <c r="A884" i="6" s="1"/>
  <c r="A885" i="6" s="1"/>
  <c r="A886" i="6" s="1"/>
  <c r="A887" i="6" s="1"/>
  <c r="A888" i="6" s="1"/>
  <c r="A889" i="6" s="1"/>
  <c r="A890" i="6" s="1"/>
  <c r="A891" i="6" s="1"/>
  <c r="A892" i="6" s="1"/>
  <c r="A893" i="6" s="1"/>
  <c r="A894" i="6" s="1"/>
  <c r="A895" i="6" s="1"/>
  <c r="A896" i="6" s="1"/>
  <c r="A897" i="6" s="1"/>
  <c r="A898" i="6" s="1"/>
  <c r="A899" i="6" s="1"/>
  <c r="A900" i="6" s="1"/>
  <c r="A901" i="6" s="1"/>
  <c r="A902" i="6" s="1"/>
  <c r="A903" i="6" s="1"/>
  <c r="A904" i="6" s="1"/>
  <c r="A905" i="6" s="1"/>
  <c r="A906" i="6" s="1"/>
  <c r="A907" i="6" s="1"/>
  <c r="A908" i="6" s="1"/>
  <c r="A909" i="6" s="1"/>
  <c r="A910" i="6" s="1"/>
  <c r="A911" i="6" s="1"/>
  <c r="A912" i="6" s="1"/>
  <c r="A913" i="6" s="1"/>
  <c r="A914" i="6" s="1"/>
  <c r="A915" i="6" s="1"/>
  <c r="A916" i="6" s="1"/>
  <c r="A917" i="6" s="1"/>
  <c r="A918" i="6" s="1"/>
  <c r="A919" i="6" s="1"/>
  <c r="A920" i="6" s="1"/>
  <c r="A921" i="6" s="1"/>
  <c r="A922" i="6" s="1"/>
  <c r="A923" i="6" s="1"/>
  <c r="A924" i="6" s="1"/>
  <c r="A925" i="6" s="1"/>
  <c r="A926" i="6" s="1"/>
  <c r="A927" i="6" s="1"/>
  <c r="A928" i="6" s="1"/>
  <c r="A929" i="6" s="1"/>
  <c r="A930" i="6" s="1"/>
  <c r="A931" i="6" s="1"/>
  <c r="A932" i="6" s="1"/>
  <c r="A933" i="6" s="1"/>
  <c r="A934" i="6" s="1"/>
  <c r="A935" i="6" s="1"/>
  <c r="A936" i="6" s="1"/>
  <c r="A937" i="6" s="1"/>
  <c r="A938" i="6" s="1"/>
  <c r="A939" i="6" s="1"/>
  <c r="A940" i="6" s="1"/>
  <c r="A941" i="6" s="1"/>
  <c r="A942" i="6" s="1"/>
  <c r="A943" i="6" s="1"/>
  <c r="A944" i="6" s="1"/>
  <c r="A945" i="6" s="1"/>
  <c r="A946" i="6" s="1"/>
  <c r="A947" i="6" s="1"/>
  <c r="A948" i="6" s="1"/>
  <c r="A949" i="6" s="1"/>
  <c r="A950" i="6" s="1"/>
  <c r="A951" i="6" s="1"/>
  <c r="A952" i="6" s="1"/>
  <c r="A953" i="6" s="1"/>
  <c r="A954" i="6" s="1"/>
  <c r="A955" i="6" s="1"/>
  <c r="A956" i="6" s="1"/>
  <c r="A957" i="6" s="1"/>
  <c r="A958" i="6" s="1"/>
  <c r="A959" i="6" s="1"/>
  <c r="A960" i="6" s="1"/>
  <c r="A961" i="6" s="1"/>
  <c r="A962" i="6" s="1"/>
  <c r="A963" i="6" s="1"/>
  <c r="A964" i="6" s="1"/>
  <c r="A965" i="6" s="1"/>
  <c r="A966" i="6" s="1"/>
  <c r="A967" i="6" s="1"/>
  <c r="A968" i="6" s="1"/>
  <c r="A969" i="6" s="1"/>
  <c r="A970" i="6" s="1"/>
  <c r="A971" i="6" s="1"/>
  <c r="A972" i="6" s="1"/>
  <c r="A973" i="6" s="1"/>
  <c r="A974" i="6" s="1"/>
  <c r="A975" i="6" s="1"/>
  <c r="A976" i="6" s="1"/>
  <c r="A977" i="6" s="1"/>
  <c r="A978" i="6" s="1"/>
  <c r="A979" i="6" s="1"/>
  <c r="A980" i="6" s="1"/>
  <c r="A981" i="6" s="1"/>
  <c r="A982" i="6" s="1"/>
  <c r="A983" i="6" s="1"/>
  <c r="A984" i="6" s="1"/>
  <c r="A985" i="6" s="1"/>
  <c r="A986" i="6" s="1"/>
  <c r="A987" i="6" s="1"/>
  <c r="A988" i="6" s="1"/>
  <c r="A989" i="6" s="1"/>
  <c r="A990" i="6" s="1"/>
  <c r="A991" i="6" s="1"/>
  <c r="A992" i="6" s="1"/>
  <c r="A993" i="6" s="1"/>
  <c r="A994" i="6" s="1"/>
  <c r="A995" i="6" s="1"/>
  <c r="A996" i="6" s="1"/>
  <c r="A997" i="6" s="1"/>
  <c r="A998" i="6" s="1"/>
  <c r="A999" i="6" s="1"/>
  <c r="A1000" i="6" s="1"/>
  <c r="A1001" i="6" s="1"/>
  <c r="A1002" i="6" s="1"/>
  <c r="A1003" i="6" s="1"/>
  <c r="A1004" i="6" s="1"/>
  <c r="A1005" i="6" s="1"/>
  <c r="A1006" i="6" s="1"/>
  <c r="A1007" i="6" s="1"/>
  <c r="A1008" i="6" s="1"/>
  <c r="A1009" i="6" s="1"/>
  <c r="A1010" i="6" s="1"/>
  <c r="A1011" i="6" s="1"/>
  <c r="A1012" i="6" s="1"/>
  <c r="A1013" i="6" s="1"/>
  <c r="A1014" i="6" s="1"/>
  <c r="A1015" i="6" s="1"/>
  <c r="A1016" i="6" s="1"/>
  <c r="A1017" i="6" s="1"/>
  <c r="A1018" i="6" s="1"/>
  <c r="A1019" i="6" s="1"/>
  <c r="A1020" i="6" s="1"/>
  <c r="A1021" i="6" s="1"/>
  <c r="A1022" i="6" s="1"/>
  <c r="A1023" i="6" s="1"/>
  <c r="A1024" i="6" s="1"/>
  <c r="A1025" i="6" s="1"/>
  <c r="A1026" i="6" s="1"/>
  <c r="A1027" i="6" s="1"/>
  <c r="A1028" i="6" s="1"/>
  <c r="A1029" i="6" s="1"/>
  <c r="A1030" i="6" s="1"/>
  <c r="A1031" i="6" s="1"/>
  <c r="A1032" i="6" s="1"/>
  <c r="A1033" i="6" s="1"/>
  <c r="A1034" i="6" s="1"/>
  <c r="A1035" i="6" s="1"/>
  <c r="A1036" i="6" s="1"/>
  <c r="A1037" i="6" s="1"/>
  <c r="A1038" i="6" s="1"/>
  <c r="A1039" i="6" s="1"/>
  <c r="A1040" i="6" s="1"/>
  <c r="A1041" i="6" s="1"/>
  <c r="A1042" i="6" s="1"/>
  <c r="A1043" i="6" s="1"/>
  <c r="A1044" i="6" s="1"/>
  <c r="A1045" i="6" s="1"/>
  <c r="A1046" i="6" s="1"/>
  <c r="A1047" i="6" s="1"/>
  <c r="A1048" i="6" s="1"/>
  <c r="A1049" i="6" s="1"/>
  <c r="A1050" i="6" s="1"/>
  <c r="A1051" i="6" s="1"/>
  <c r="A1052" i="6" s="1"/>
  <c r="A1053" i="6" s="1"/>
  <c r="A1054" i="6" s="1"/>
  <c r="A1055" i="6" s="1"/>
  <c r="A1056" i="6" s="1"/>
  <c r="A1057" i="6" s="1"/>
  <c r="A1058" i="6" s="1"/>
  <c r="I8" i="6"/>
  <c r="H8" i="6"/>
  <c r="G8" i="6"/>
  <c r="F8" i="6"/>
  <c r="E8" i="6"/>
  <c r="D8" i="6"/>
  <c r="C8" i="6"/>
  <c r="B8" i="6"/>
  <c r="I7" i="6"/>
  <c r="H7" i="6"/>
  <c r="G7" i="6"/>
  <c r="F7" i="6"/>
  <c r="E7" i="6"/>
  <c r="D7" i="6"/>
  <c r="C7" i="6"/>
  <c r="B7" i="6"/>
  <c r="J390" i="16" l="1"/>
  <c r="J533" i="16"/>
  <c r="J401" i="16"/>
  <c r="J529" i="16"/>
  <c r="J571" i="16"/>
  <c r="J1078" i="16"/>
  <c r="J537" i="16"/>
  <c r="J579" i="16"/>
  <c r="J229" i="16"/>
  <c r="J740" i="16"/>
  <c r="J605" i="16"/>
  <c r="J191" i="16"/>
  <c r="J230" i="16"/>
  <c r="J236" i="16"/>
  <c r="J239" i="16"/>
  <c r="J356" i="16"/>
  <c r="J359" i="16"/>
  <c r="J362" i="16"/>
  <c r="J476" i="16"/>
  <c r="J1045" i="16"/>
  <c r="J1057" i="16"/>
  <c r="J1060" i="16"/>
  <c r="J634" i="16"/>
  <c r="J193" i="16"/>
  <c r="J217" i="16"/>
  <c r="J232" i="16"/>
  <c r="J235" i="16"/>
  <c r="J361" i="16"/>
  <c r="J1041" i="16"/>
  <c r="J1044" i="16"/>
  <c r="J714" i="16"/>
  <c r="J597" i="16"/>
  <c r="J204" i="16"/>
  <c r="J234" i="16"/>
  <c r="J237" i="16"/>
  <c r="J354" i="16"/>
  <c r="J360" i="16"/>
  <c r="J372" i="16"/>
  <c r="J581" i="16"/>
  <c r="J1061" i="16"/>
  <c r="J1064" i="16"/>
  <c r="J389" i="16"/>
  <c r="J404" i="16"/>
  <c r="J565" i="16"/>
  <c r="J646" i="16"/>
  <c r="J655" i="16"/>
  <c r="J658" i="16"/>
  <c r="J667" i="16"/>
  <c r="J670" i="16"/>
  <c r="J682" i="16"/>
  <c r="J1040" i="16"/>
  <c r="J440" i="16"/>
  <c r="J506" i="16"/>
  <c r="J676" i="16"/>
  <c r="J703" i="16"/>
  <c r="J715" i="16"/>
  <c r="J1106" i="16"/>
  <c r="J373" i="16"/>
  <c r="J397" i="16"/>
  <c r="J169" i="16"/>
  <c r="J196" i="16"/>
  <c r="J241" i="16"/>
  <c r="J478" i="16"/>
  <c r="J484" i="16"/>
  <c r="J490" i="16"/>
  <c r="J493" i="16"/>
  <c r="J502" i="16"/>
  <c r="J1048" i="16"/>
  <c r="J1099" i="16"/>
  <c r="J1102" i="16"/>
  <c r="J376" i="16"/>
  <c r="J394" i="16"/>
  <c r="J400" i="16"/>
  <c r="J460" i="16"/>
  <c r="J573" i="16"/>
  <c r="J594" i="16"/>
  <c r="J672" i="16"/>
  <c r="J690" i="16"/>
  <c r="J693" i="16"/>
  <c r="J696" i="16"/>
  <c r="J699" i="16"/>
  <c r="J660" i="16"/>
  <c r="J666" i="16"/>
  <c r="J687" i="16"/>
  <c r="J720" i="16"/>
  <c r="J726" i="16"/>
  <c r="J748" i="16"/>
  <c r="J378" i="16"/>
  <c r="J396" i="16"/>
  <c r="J303" i="16"/>
  <c r="J402" i="16"/>
  <c r="J117" i="16"/>
  <c r="J267" i="16"/>
  <c r="J477" i="16"/>
  <c r="J486" i="16"/>
  <c r="J498" i="16"/>
  <c r="J603" i="16"/>
  <c r="J1056" i="16"/>
  <c r="J1065" i="16"/>
  <c r="J1068" i="16"/>
  <c r="J1071" i="16"/>
  <c r="J1092" i="16"/>
  <c r="J1098" i="16"/>
  <c r="J1101" i="16"/>
  <c r="J315" i="16"/>
  <c r="J363" i="16"/>
  <c r="J381" i="16"/>
  <c r="J399" i="16"/>
  <c r="J255" i="16"/>
  <c r="J590" i="16"/>
  <c r="J593" i="16"/>
  <c r="J647" i="16"/>
  <c r="J656" i="16"/>
  <c r="J659" i="16"/>
  <c r="J671" i="16"/>
  <c r="J680" i="16"/>
  <c r="J683" i="16"/>
  <c r="J695" i="16"/>
  <c r="J698" i="16"/>
  <c r="J972" i="16"/>
  <c r="J444" i="16"/>
  <c r="J557" i="16"/>
  <c r="J644" i="16"/>
  <c r="J650" i="16"/>
  <c r="J719" i="16"/>
  <c r="J725" i="16"/>
  <c r="J728" i="16"/>
  <c r="J731" i="16"/>
  <c r="J347" i="16"/>
  <c r="J383" i="16"/>
  <c r="J392" i="16"/>
  <c r="J377" i="16"/>
  <c r="J386" i="16"/>
  <c r="J143" i="16"/>
  <c r="J482" i="16"/>
  <c r="J491" i="16"/>
  <c r="J494" i="16"/>
  <c r="J500" i="16"/>
  <c r="J562" i="16"/>
  <c r="J1076" i="16"/>
  <c r="J1091" i="16"/>
  <c r="J1094" i="16"/>
  <c r="J1097" i="16"/>
  <c r="J492" i="16"/>
  <c r="J428" i="16"/>
  <c r="J446" i="16"/>
  <c r="J452" i="16"/>
  <c r="J458" i="16"/>
  <c r="J539" i="16"/>
  <c r="J545" i="16"/>
  <c r="J606" i="16"/>
  <c r="J609" i="16"/>
  <c r="J624" i="16"/>
  <c r="J630" i="16"/>
  <c r="J700" i="16"/>
  <c r="J751" i="16"/>
  <c r="J844" i="16"/>
  <c r="J940" i="16"/>
  <c r="J973" i="16"/>
  <c r="J976" i="16"/>
  <c r="J985" i="16"/>
  <c r="J988" i="16"/>
  <c r="J991" i="16"/>
  <c r="J1003" i="16"/>
  <c r="J1121" i="16"/>
  <c r="J132" i="16"/>
  <c r="J165" i="16"/>
  <c r="J168" i="16"/>
  <c r="J259" i="16"/>
  <c r="J262" i="16"/>
  <c r="J265" i="16"/>
  <c r="J156" i="16"/>
  <c r="J213" i="16"/>
  <c r="J216" i="16"/>
  <c r="J307" i="16"/>
  <c r="J310" i="16"/>
  <c r="J313" i="16"/>
  <c r="J319" i="16"/>
  <c r="J322" i="16"/>
  <c r="J331" i="16"/>
  <c r="J340" i="16"/>
  <c r="J343" i="16"/>
  <c r="J346" i="16"/>
  <c r="J352" i="16"/>
  <c r="J566" i="16"/>
  <c r="J569" i="16"/>
  <c r="J578" i="16"/>
  <c r="J618" i="16"/>
  <c r="J636" i="16"/>
  <c r="J639" i="16"/>
  <c r="J645" i="16"/>
  <c r="J648" i="16"/>
  <c r="J1000" i="16"/>
  <c r="J50" i="16"/>
  <c r="J53" i="16"/>
  <c r="J56" i="16"/>
  <c r="J59" i="16"/>
  <c r="J62" i="16"/>
  <c r="J65" i="16"/>
  <c r="J68" i="16"/>
  <c r="J71" i="16"/>
  <c r="J74" i="16"/>
  <c r="J77" i="16"/>
  <c r="J80" i="16"/>
  <c r="J83" i="16"/>
  <c r="J86" i="16"/>
  <c r="J89" i="16"/>
  <c r="J92" i="16"/>
  <c r="J95" i="16"/>
  <c r="J98" i="16"/>
  <c r="J101" i="16"/>
  <c r="J104" i="16"/>
  <c r="J107" i="16"/>
  <c r="J110" i="16"/>
  <c r="J113" i="16"/>
  <c r="J116" i="16"/>
  <c r="J134" i="16"/>
  <c r="J140" i="16"/>
  <c r="J192" i="16"/>
  <c r="J243" i="16"/>
  <c r="J249" i="16"/>
  <c r="J252" i="16"/>
  <c r="J382" i="16"/>
  <c r="J415" i="16"/>
  <c r="J418" i="16"/>
  <c r="J421" i="16"/>
  <c r="J436" i="16"/>
  <c r="J442" i="16"/>
  <c r="J602" i="16"/>
  <c r="J741" i="16"/>
  <c r="J744" i="16"/>
  <c r="J747" i="16"/>
  <c r="J750" i="16"/>
  <c r="J774" i="16"/>
  <c r="J780" i="16"/>
  <c r="J789" i="16"/>
  <c r="J846" i="16"/>
  <c r="J852" i="16"/>
  <c r="J861" i="16"/>
  <c r="J864" i="16"/>
  <c r="J873" i="16"/>
  <c r="J909" i="16"/>
  <c r="J912" i="16"/>
  <c r="J921" i="16"/>
  <c r="J924" i="16"/>
  <c r="J927" i="16"/>
  <c r="J936" i="16"/>
  <c r="J1072" i="16"/>
  <c r="J1090" i="16"/>
  <c r="J1108" i="16"/>
  <c r="J1111" i="16"/>
  <c r="J1117" i="16"/>
  <c r="J164" i="16"/>
  <c r="J167" i="16"/>
  <c r="J445" i="16"/>
  <c r="J448" i="16"/>
  <c r="J454" i="16"/>
  <c r="J538" i="16"/>
  <c r="J541" i="16"/>
  <c r="J544" i="16"/>
  <c r="J623" i="16"/>
  <c r="J629" i="16"/>
  <c r="J632" i="16"/>
  <c r="J786" i="16"/>
  <c r="J876" i="16"/>
  <c r="J975" i="16"/>
  <c r="J984" i="16"/>
  <c r="J987" i="16"/>
  <c r="J990" i="16"/>
  <c r="J1129" i="16"/>
  <c r="J119" i="16"/>
  <c r="J197" i="16"/>
  <c r="J200" i="16"/>
  <c r="J212" i="16"/>
  <c r="J215" i="16"/>
  <c r="J58" i="16"/>
  <c r="J61" i="16"/>
  <c r="J64" i="16"/>
  <c r="J67" i="16"/>
  <c r="J70" i="16"/>
  <c r="J73" i="16"/>
  <c r="J76" i="16"/>
  <c r="J79" i="16"/>
  <c r="J82" i="16"/>
  <c r="J85" i="16"/>
  <c r="J88" i="16"/>
  <c r="J91" i="16"/>
  <c r="J94" i="16"/>
  <c r="J97" i="16"/>
  <c r="J100" i="16"/>
  <c r="J103" i="16"/>
  <c r="J106" i="16"/>
  <c r="J109" i="16"/>
  <c r="J112" i="16"/>
  <c r="J115" i="16"/>
  <c r="J133" i="16"/>
  <c r="J136" i="16"/>
  <c r="J139" i="16"/>
  <c r="J261" i="16"/>
  <c r="J393" i="16"/>
  <c r="J417" i="16"/>
  <c r="J420" i="16"/>
  <c r="J426" i="16"/>
  <c r="J429" i="16"/>
  <c r="J438" i="16"/>
  <c r="J508" i="16"/>
  <c r="J513" i="16"/>
  <c r="J522" i="16"/>
  <c r="J525" i="16"/>
  <c r="J531" i="16"/>
  <c r="J547" i="16"/>
  <c r="J568" i="16"/>
  <c r="J589" i="16"/>
  <c r="J611" i="16"/>
  <c r="J773" i="16"/>
  <c r="J782" i="16"/>
  <c r="J797" i="16"/>
  <c r="J800" i="16"/>
  <c r="J809" i="16"/>
  <c r="J845" i="16"/>
  <c r="J848" i="16"/>
  <c r="J857" i="16"/>
  <c r="J860" i="16"/>
  <c r="J863" i="16"/>
  <c r="J872" i="16"/>
  <c r="J911" i="16"/>
  <c r="J920" i="16"/>
  <c r="J926" i="16"/>
  <c r="J1080" i="16"/>
  <c r="J414" i="16"/>
  <c r="J610" i="16"/>
  <c r="J619" i="16"/>
  <c r="J622" i="16"/>
  <c r="J734" i="16"/>
  <c r="J764" i="16"/>
  <c r="J770" i="16"/>
  <c r="J794" i="16"/>
  <c r="J812" i="16"/>
  <c r="J908" i="16"/>
  <c r="J974" i="16"/>
  <c r="J980" i="16"/>
  <c r="J989" i="16"/>
  <c r="J992" i="16"/>
  <c r="J1001" i="16"/>
  <c r="J1007" i="16"/>
  <c r="J1019" i="16"/>
  <c r="J1022" i="16"/>
  <c r="J1037" i="16"/>
  <c r="J118" i="16"/>
  <c r="J145" i="16"/>
  <c r="J151" i="16"/>
  <c r="J157" i="16"/>
  <c r="J160" i="16"/>
  <c r="J163" i="16"/>
  <c r="J257" i="16"/>
  <c r="J205" i="16"/>
  <c r="J208" i="16"/>
  <c r="J211" i="16"/>
  <c r="J305" i="16"/>
  <c r="J549" i="16"/>
  <c r="J558" i="16"/>
  <c r="J561" i="16"/>
  <c r="J613" i="16"/>
  <c r="J628" i="16"/>
  <c r="J1004" i="16"/>
  <c r="J69" i="16"/>
  <c r="J72" i="16"/>
  <c r="J75" i="16"/>
  <c r="J78" i="16"/>
  <c r="J81" i="16"/>
  <c r="J84" i="16"/>
  <c r="J87" i="16"/>
  <c r="J90" i="16"/>
  <c r="J93" i="16"/>
  <c r="J96" i="16"/>
  <c r="J99" i="16"/>
  <c r="J102" i="16"/>
  <c r="J105" i="16"/>
  <c r="J108" i="16"/>
  <c r="J111" i="16"/>
  <c r="J114" i="16"/>
  <c r="J141" i="16"/>
  <c r="J148" i="16"/>
  <c r="J263" i="16"/>
  <c r="J416" i="16"/>
  <c r="J422" i="16"/>
  <c r="J724" i="16"/>
  <c r="J730" i="16"/>
  <c r="J742" i="16"/>
  <c r="J778" i="16"/>
  <c r="J781" i="16"/>
  <c r="J796" i="16"/>
  <c r="J799" i="16"/>
  <c r="J808" i="16"/>
  <c r="J847" i="16"/>
  <c r="J856" i="16"/>
  <c r="J862" i="16"/>
  <c r="J877" i="16"/>
  <c r="J880" i="16"/>
  <c r="J889" i="16"/>
  <c r="J892" i="16"/>
  <c r="J895" i="16"/>
  <c r="J904" i="16"/>
  <c r="J556" i="16"/>
  <c r="J3" i="16"/>
  <c r="J6" i="16"/>
  <c r="J9" i="16"/>
  <c r="J12" i="16"/>
  <c r="J15" i="16"/>
  <c r="J18" i="16"/>
  <c r="J21" i="16"/>
  <c r="J24" i="16"/>
  <c r="J27" i="16"/>
  <c r="J30" i="16"/>
  <c r="J33" i="16"/>
  <c r="J36" i="16"/>
  <c r="J39" i="16"/>
  <c r="J42" i="16"/>
  <c r="J45" i="16"/>
  <c r="J48" i="16"/>
  <c r="J51" i="16"/>
  <c r="J54" i="16"/>
  <c r="J57" i="16"/>
  <c r="J60" i="16"/>
  <c r="J63" i="16"/>
  <c r="J66" i="16"/>
  <c r="J185" i="16"/>
  <c r="J240" i="16"/>
  <c r="J349" i="16"/>
  <c r="J398" i="16"/>
  <c r="J450" i="16"/>
  <c r="J453" i="16"/>
  <c r="J540" i="16"/>
  <c r="J574" i="16"/>
  <c r="J577" i="16"/>
  <c r="J587" i="16"/>
  <c r="J627" i="16"/>
  <c r="J651" i="16"/>
  <c r="J654" i="16"/>
  <c r="J688" i="16"/>
  <c r="J694" i="16"/>
  <c r="J746" i="16"/>
  <c r="J798" i="16"/>
  <c r="J910" i="16"/>
  <c r="J916" i="16"/>
  <c r="J925" i="16"/>
  <c r="J928" i="16"/>
  <c r="J937" i="16"/>
  <c r="J1077" i="16"/>
  <c r="J1123" i="16"/>
  <c r="J584" i="16"/>
  <c r="J120" i="16"/>
  <c r="J123" i="16"/>
  <c r="J129" i="16"/>
  <c r="J175" i="16"/>
  <c r="J184" i="16"/>
  <c r="J187" i="16"/>
  <c r="J221" i="16"/>
  <c r="J224" i="16"/>
  <c r="J227" i="16"/>
  <c r="J273" i="16"/>
  <c r="J276" i="16"/>
  <c r="J279" i="16"/>
  <c r="J291" i="16"/>
  <c r="J297" i="16"/>
  <c r="J300" i="16"/>
  <c r="J364" i="16"/>
  <c r="J367" i="16"/>
  <c r="J370" i="16"/>
  <c r="J410" i="16"/>
  <c r="J462" i="16"/>
  <c r="J468" i="16"/>
  <c r="J474" i="16"/>
  <c r="J586" i="16"/>
  <c r="J614" i="16"/>
  <c r="J709" i="16"/>
  <c r="J712" i="16"/>
  <c r="J722" i="16"/>
  <c r="J752" i="16"/>
  <c r="J755" i="16"/>
  <c r="J758" i="16"/>
  <c r="J813" i="16"/>
  <c r="J816" i="16"/>
  <c r="J825" i="16"/>
  <c r="J828" i="16"/>
  <c r="J831" i="16"/>
  <c r="J840" i="16"/>
  <c r="J943" i="16"/>
  <c r="J952" i="16"/>
  <c r="J958" i="16"/>
  <c r="J1049" i="16"/>
  <c r="J1052" i="16"/>
  <c r="J1055" i="16"/>
  <c r="J1086" i="16"/>
  <c r="J1089" i="16"/>
  <c r="J1132" i="16"/>
  <c r="J1381" i="16"/>
  <c r="J1384" i="16"/>
  <c r="J1387" i="16"/>
  <c r="J1390" i="16"/>
  <c r="J1393" i="16"/>
  <c r="J1396" i="16"/>
  <c r="J1399" i="16"/>
  <c r="J1402" i="16"/>
  <c r="J1405" i="16"/>
  <c r="J1408" i="16"/>
  <c r="J1411" i="16"/>
  <c r="J1414" i="16"/>
  <c r="J1417" i="16"/>
  <c r="J147" i="16"/>
  <c r="J153" i="16"/>
  <c r="J199" i="16"/>
  <c r="J245" i="16"/>
  <c r="J324" i="16"/>
  <c r="J327" i="16"/>
  <c r="J330" i="16"/>
  <c r="J333" i="16"/>
  <c r="J339" i="16"/>
  <c r="J345" i="16"/>
  <c r="J388" i="16"/>
  <c r="J434" i="16"/>
  <c r="J437" i="16"/>
  <c r="J507" i="16"/>
  <c r="J515" i="16"/>
  <c r="J521" i="16"/>
  <c r="J524" i="16"/>
  <c r="J552" i="16"/>
  <c r="J570" i="16"/>
  <c r="J598" i="16"/>
  <c r="J601" i="16"/>
  <c r="J635" i="16"/>
  <c r="J678" i="16"/>
  <c r="J736" i="16"/>
  <c r="J739" i="16"/>
  <c r="J788" i="16"/>
  <c r="J879" i="16"/>
  <c r="J888" i="16"/>
  <c r="J894" i="16"/>
  <c r="J1006" i="16"/>
  <c r="J1021" i="16"/>
  <c r="J1024" i="16"/>
  <c r="J1033" i="16"/>
  <c r="J1036" i="16"/>
  <c r="J1039" i="16"/>
  <c r="J1067" i="16"/>
  <c r="J1070" i="16"/>
  <c r="J1107" i="16"/>
  <c r="J1116" i="16"/>
  <c r="J2" i="16"/>
  <c r="J5" i="16"/>
  <c r="J8" i="16"/>
  <c r="J11" i="16"/>
  <c r="J14" i="16"/>
  <c r="J17" i="16"/>
  <c r="J20" i="16"/>
  <c r="J23" i="16"/>
  <c r="J26" i="16"/>
  <c r="J29" i="16"/>
  <c r="J32" i="16"/>
  <c r="J35" i="16"/>
  <c r="J38" i="16"/>
  <c r="J41" i="16"/>
  <c r="J44" i="16"/>
  <c r="J47" i="16"/>
  <c r="J181" i="16"/>
  <c r="J555" i="16"/>
  <c r="J1073" i="16"/>
  <c r="J1122" i="16"/>
  <c r="J1125" i="16"/>
  <c r="J125" i="16"/>
  <c r="J128" i="16"/>
  <c r="J131" i="16"/>
  <c r="J171" i="16"/>
  <c r="J177" i="16"/>
  <c r="J180" i="16"/>
  <c r="J186" i="16"/>
  <c r="J189" i="16"/>
  <c r="J223" i="16"/>
  <c r="J269" i="16"/>
  <c r="J281" i="16"/>
  <c r="J293" i="16"/>
  <c r="J409" i="16"/>
  <c r="J461" i="16"/>
  <c r="J470" i="16"/>
  <c r="J554" i="16"/>
  <c r="J582" i="16"/>
  <c r="J585" i="16"/>
  <c r="J595" i="16"/>
  <c r="J604" i="16"/>
  <c r="J616" i="16"/>
  <c r="J626" i="16"/>
  <c r="J638" i="16"/>
  <c r="J662" i="16"/>
  <c r="J754" i="16"/>
  <c r="J757" i="16"/>
  <c r="J766" i="16"/>
  <c r="J815" i="16"/>
  <c r="J824" i="16"/>
  <c r="J830" i="16"/>
  <c r="J942" i="16"/>
  <c r="J948" i="16"/>
  <c r="J957" i="16"/>
  <c r="J960" i="16"/>
  <c r="J969" i="16"/>
  <c r="J1051" i="16"/>
  <c r="J1054" i="16"/>
  <c r="J1085" i="16"/>
  <c r="J1131" i="16"/>
  <c r="J1377" i="16"/>
  <c r="J1380" i="16"/>
  <c r="J1383" i="16"/>
  <c r="J1386" i="16"/>
  <c r="J1389" i="16"/>
  <c r="J1392" i="16"/>
  <c r="J1395" i="16"/>
  <c r="J1398" i="16"/>
  <c r="J1401" i="16"/>
  <c r="J1404" i="16"/>
  <c r="J1407" i="16"/>
  <c r="J1410" i="16"/>
  <c r="J1413" i="16"/>
  <c r="J1416" i="16"/>
  <c r="J1419" i="16"/>
  <c r="J149" i="16"/>
  <c r="J152" i="16"/>
  <c r="J183" i="16"/>
  <c r="J195" i="16"/>
  <c r="J201" i="16"/>
  <c r="J220" i="16"/>
  <c r="J247" i="16"/>
  <c r="J253" i="16"/>
  <c r="J317" i="16"/>
  <c r="J323" i="16"/>
  <c r="J329" i="16"/>
  <c r="J335" i="16"/>
  <c r="J338" i="16"/>
  <c r="J384" i="16"/>
  <c r="J430" i="16"/>
  <c r="J509" i="16"/>
  <c r="J523" i="16"/>
  <c r="J588" i="16"/>
  <c r="J640" i="16"/>
  <c r="J643" i="16"/>
  <c r="J677" i="16"/>
  <c r="J732" i="16"/>
  <c r="J735" i="16"/>
  <c r="J790" i="16"/>
  <c r="J878" i="16"/>
  <c r="J884" i="16"/>
  <c r="J893" i="16"/>
  <c r="J896" i="16"/>
  <c r="J905" i="16"/>
  <c r="J1005" i="16"/>
  <c r="J1008" i="16"/>
  <c r="J1017" i="16"/>
  <c r="J1023" i="16"/>
  <c r="J1029" i="16"/>
  <c r="J1035" i="16"/>
  <c r="J1038" i="16"/>
  <c r="J1069" i="16"/>
  <c r="J1109" i="16"/>
  <c r="J1115" i="16"/>
  <c r="J4" i="16"/>
  <c r="J7" i="16"/>
  <c r="J10" i="16"/>
  <c r="J13" i="16"/>
  <c r="J16" i="16"/>
  <c r="J19" i="16"/>
  <c r="J22" i="16"/>
  <c r="J25" i="16"/>
  <c r="J28" i="16"/>
  <c r="J31" i="16"/>
  <c r="J34" i="16"/>
  <c r="J37" i="16"/>
  <c r="J40" i="16"/>
  <c r="J43" i="16"/>
  <c r="J46" i="16"/>
  <c r="J49" i="16"/>
  <c r="J52" i="16"/>
  <c r="J55" i="16"/>
  <c r="J299" i="16"/>
  <c r="J412" i="16"/>
  <c r="J723" i="16"/>
  <c r="J1088" i="16"/>
  <c r="J1124" i="16"/>
  <c r="J121" i="16"/>
  <c r="J127" i="16"/>
  <c r="J137" i="16"/>
  <c r="J155" i="16"/>
  <c r="J173" i="16"/>
  <c r="J176" i="16"/>
  <c r="J179" i="16"/>
  <c r="J182" i="16"/>
  <c r="J188" i="16"/>
  <c r="J219" i="16"/>
  <c r="J225" i="16"/>
  <c r="J228" i="16"/>
  <c r="J271" i="16"/>
  <c r="J277" i="16"/>
  <c r="J283" i="16"/>
  <c r="J286" i="16"/>
  <c r="J289" i="16"/>
  <c r="J295" i="16"/>
  <c r="J301" i="16"/>
  <c r="J365" i="16"/>
  <c r="J368" i="16"/>
  <c r="J405" i="16"/>
  <c r="J408" i="16"/>
  <c r="J466" i="16"/>
  <c r="J469" i="16"/>
  <c r="J472" i="16"/>
  <c r="J553" i="16"/>
  <c r="J563" i="16"/>
  <c r="J572" i="16"/>
  <c r="J600" i="16"/>
  <c r="J661" i="16"/>
  <c r="J664" i="16"/>
  <c r="J674" i="16"/>
  <c r="J686" i="16"/>
  <c r="J704" i="16"/>
  <c r="J710" i="16"/>
  <c r="J756" i="16"/>
  <c r="J762" i="16"/>
  <c r="J765" i="16"/>
  <c r="J814" i="16"/>
  <c r="J820" i="16"/>
  <c r="J829" i="16"/>
  <c r="J832" i="16"/>
  <c r="J841" i="16"/>
  <c r="J941" i="16"/>
  <c r="J944" i="16"/>
  <c r="J953" i="16"/>
  <c r="J956" i="16"/>
  <c r="J959" i="16"/>
  <c r="J968" i="16"/>
  <c r="J996" i="16"/>
  <c r="J1053" i="16"/>
  <c r="J1081" i="16"/>
  <c r="J1130" i="16"/>
  <c r="J1133" i="16"/>
  <c r="J1379" i="16"/>
  <c r="J1382" i="16"/>
  <c r="J1385" i="16"/>
  <c r="J1388" i="16"/>
  <c r="J1391" i="16"/>
  <c r="J1394" i="16"/>
  <c r="J1397" i="16"/>
  <c r="J1400" i="16"/>
  <c r="J1403" i="16"/>
  <c r="J1406" i="16"/>
  <c r="J1409" i="16"/>
  <c r="J1412" i="16"/>
  <c r="J1415" i="16"/>
  <c r="J1418" i="16"/>
  <c r="J159" i="16"/>
  <c r="J692" i="16"/>
  <c r="J711" i="16"/>
  <c r="J1012" i="16"/>
  <c r="J124" i="16"/>
  <c r="J233" i="16"/>
  <c r="J285" i="16"/>
  <c r="J355" i="16"/>
  <c r="J559" i="16"/>
  <c r="J575" i="16"/>
  <c r="J591" i="16"/>
  <c r="J607" i="16"/>
  <c r="J776" i="16"/>
  <c r="J1020" i="16"/>
  <c r="J1032" i="16"/>
  <c r="J1074" i="16"/>
  <c r="J1093" i="16"/>
  <c r="J161" i="16"/>
  <c r="J251" i="16"/>
  <c r="J309" i="16"/>
  <c r="J464" i="16"/>
  <c r="J663" i="16"/>
  <c r="J772" i="16"/>
  <c r="J1114" i="16"/>
  <c r="J207" i="16"/>
  <c r="J275" i="16"/>
  <c r="J287" i="16"/>
  <c r="J351" i="16"/>
  <c r="J564" i="16"/>
  <c r="J580" i="16"/>
  <c r="J596" i="16"/>
  <c r="J612" i="16"/>
  <c r="J675" i="16"/>
  <c r="J1016" i="16"/>
  <c r="J135" i="16"/>
  <c r="J203" i="16"/>
  <c r="J244" i="16"/>
  <c r="J311" i="16"/>
  <c r="J517" i="16"/>
  <c r="J551" i="16"/>
  <c r="J567" i="16"/>
  <c r="J583" i="16"/>
  <c r="J599" i="16"/>
  <c r="J615" i="16"/>
  <c r="J1028" i="16"/>
  <c r="J1082" i="16"/>
  <c r="J144" i="16"/>
  <c r="J172" i="16"/>
  <c r="J231" i="16"/>
  <c r="J560" i="16"/>
  <c r="J576" i="16"/>
  <c r="J592" i="16"/>
  <c r="J608" i="16"/>
  <c r="J209" i="16"/>
  <c r="J652" i="16"/>
  <c r="J708" i="16"/>
  <c r="B3" i="6"/>
  <c r="J166" i="16"/>
  <c r="J214" i="16"/>
  <c r="J254" i="16"/>
  <c r="J278" i="16"/>
  <c r="J302" i="16"/>
  <c r="J332" i="16"/>
  <c r="J348" i="16"/>
  <c r="J380" i="16"/>
  <c r="J424" i="16"/>
  <c r="J162" i="16"/>
  <c r="J210" i="16"/>
  <c r="J264" i="16"/>
  <c r="J288" i="16"/>
  <c r="J312" i="16"/>
  <c r="J158" i="16"/>
  <c r="J206" i="16"/>
  <c r="J250" i="16"/>
  <c r="J274" i="16"/>
  <c r="J298" i="16"/>
  <c r="J325" i="16"/>
  <c r="J341" i="16"/>
  <c r="J357" i="16"/>
  <c r="J154" i="16"/>
  <c r="J202" i="16"/>
  <c r="J260" i="16"/>
  <c r="J284" i="16"/>
  <c r="J308" i="16"/>
  <c r="J328" i="16"/>
  <c r="J344" i="16"/>
  <c r="J150" i="16"/>
  <c r="J198" i="16"/>
  <c r="J246" i="16"/>
  <c r="J270" i="16"/>
  <c r="J294" i="16"/>
  <c r="J318" i="16"/>
  <c r="J334" i="16"/>
  <c r="J350" i="16"/>
  <c r="J366" i="16"/>
  <c r="J146" i="16"/>
  <c r="J194" i="16"/>
  <c r="J242" i="16"/>
  <c r="J256" i="16"/>
  <c r="J280" i="16"/>
  <c r="J304" i="16"/>
  <c r="J321" i="16"/>
  <c r="J337" i="16"/>
  <c r="J353" i="16"/>
  <c r="J369" i="16"/>
  <c r="J385" i="16"/>
  <c r="J432" i="16"/>
  <c r="J142" i="16"/>
  <c r="J190" i="16"/>
  <c r="J238" i="16"/>
  <c r="J266" i="16"/>
  <c r="J290" i="16"/>
  <c r="J314" i="16"/>
  <c r="J413" i="16"/>
  <c r="J138" i="16"/>
  <c r="J456" i="16"/>
  <c r="J130" i="16"/>
  <c r="J178" i="16"/>
  <c r="J226" i="16"/>
  <c r="J248" i="16"/>
  <c r="J272" i="16"/>
  <c r="J296" i="16"/>
  <c r="J320" i="16"/>
  <c r="J336" i="16"/>
  <c r="J406" i="16"/>
  <c r="J126" i="16"/>
  <c r="J174" i="16"/>
  <c r="J222" i="16"/>
  <c r="J258" i="16"/>
  <c r="J282" i="16"/>
  <c r="J306" i="16"/>
  <c r="J326" i="16"/>
  <c r="J342" i="16"/>
  <c r="J358" i="16"/>
  <c r="J374" i="16"/>
  <c r="J122" i="16"/>
  <c r="J170" i="16"/>
  <c r="J218" i="16"/>
  <c r="J268" i="16"/>
  <c r="J292" i="16"/>
  <c r="J316" i="16"/>
  <c r="J375" i="16"/>
  <c r="J433" i="16"/>
  <c r="J457" i="16"/>
  <c r="J684" i="16"/>
  <c r="J706" i="16"/>
  <c r="J371" i="16"/>
  <c r="J419" i="16"/>
  <c r="J443" i="16"/>
  <c r="J467" i="16"/>
  <c r="J487" i="16"/>
  <c r="J503" i="16"/>
  <c r="J518" i="16"/>
  <c r="J534" i="16"/>
  <c r="J550" i="16"/>
  <c r="J668" i="16"/>
  <c r="J411" i="16"/>
  <c r="J439" i="16"/>
  <c r="J463" i="16"/>
  <c r="J480" i="16"/>
  <c r="J496" i="16"/>
  <c r="J511" i="16"/>
  <c r="J527" i="16"/>
  <c r="J543" i="16"/>
  <c r="J620" i="16"/>
  <c r="J642" i="16"/>
  <c r="J702" i="16"/>
  <c r="J718" i="16"/>
  <c r="J784" i="16"/>
  <c r="J407" i="16"/>
  <c r="J425" i="16"/>
  <c r="J449" i="16"/>
  <c r="J473" i="16"/>
  <c r="J483" i="16"/>
  <c r="J499" i="16"/>
  <c r="J514" i="16"/>
  <c r="J530" i="16"/>
  <c r="J546" i="16"/>
  <c r="J743" i="16"/>
  <c r="J768" i="16"/>
  <c r="J403" i="16"/>
  <c r="J435" i="16"/>
  <c r="J459" i="16"/>
  <c r="J489" i="16"/>
  <c r="J505" i="16"/>
  <c r="J520" i="16"/>
  <c r="J536" i="16"/>
  <c r="J727" i="16"/>
  <c r="J836" i="16"/>
  <c r="J900" i="16"/>
  <c r="J964" i="16"/>
  <c r="J395" i="16"/>
  <c r="J431" i="16"/>
  <c r="J455" i="16"/>
  <c r="J479" i="16"/>
  <c r="J495" i="16"/>
  <c r="J510" i="16"/>
  <c r="J526" i="16"/>
  <c r="J542" i="16"/>
  <c r="J679" i="16"/>
  <c r="J391" i="16"/>
  <c r="J441" i="16"/>
  <c r="J465" i="16"/>
  <c r="J485" i="16"/>
  <c r="J501" i="16"/>
  <c r="J516" i="16"/>
  <c r="J532" i="16"/>
  <c r="J548" i="16"/>
  <c r="J707" i="16"/>
  <c r="J387" i="16"/>
  <c r="J427" i="16"/>
  <c r="J451" i="16"/>
  <c r="J475" i="16"/>
  <c r="J488" i="16"/>
  <c r="J504" i="16"/>
  <c r="J519" i="16"/>
  <c r="J535" i="16"/>
  <c r="J631" i="16"/>
  <c r="J691" i="16"/>
  <c r="J792" i="16"/>
  <c r="J379" i="16"/>
  <c r="J423" i="16"/>
  <c r="J447" i="16"/>
  <c r="J471" i="16"/>
  <c r="J481" i="16"/>
  <c r="J497" i="16"/>
  <c r="J512" i="16"/>
  <c r="J528" i="16"/>
  <c r="J716" i="16"/>
  <c r="J738" i="16"/>
  <c r="J760" i="16"/>
  <c r="J804" i="16"/>
  <c r="J868" i="16"/>
  <c r="J932" i="16"/>
  <c r="J621" i="16"/>
  <c r="J669" i="16"/>
  <c r="J717" i="16"/>
  <c r="J761" i="16"/>
  <c r="J785" i="16"/>
  <c r="J805" i="16"/>
  <c r="J821" i="16"/>
  <c r="J837" i="16"/>
  <c r="J853" i="16"/>
  <c r="J869" i="16"/>
  <c r="J885" i="16"/>
  <c r="J901" i="16"/>
  <c r="J917" i="16"/>
  <c r="J933" i="16"/>
  <c r="J949" i="16"/>
  <c r="J965" i="16"/>
  <c r="J981" i="16"/>
  <c r="J997" i="16"/>
  <c r="J1013" i="16"/>
  <c r="J617" i="16"/>
  <c r="J665" i="16"/>
  <c r="J713" i="16"/>
  <c r="J771" i="16"/>
  <c r="J795" i="16"/>
  <c r="J811" i="16"/>
  <c r="J827" i="16"/>
  <c r="J843" i="16"/>
  <c r="J859" i="16"/>
  <c r="J875" i="16"/>
  <c r="J891" i="16"/>
  <c r="J907" i="16"/>
  <c r="J923" i="16"/>
  <c r="J939" i="16"/>
  <c r="J955" i="16"/>
  <c r="J971" i="16"/>
  <c r="J657" i="16"/>
  <c r="J705" i="16"/>
  <c r="J753" i="16"/>
  <c r="J767" i="16"/>
  <c r="J791" i="16"/>
  <c r="J801" i="16"/>
  <c r="J817" i="16"/>
  <c r="J833" i="16"/>
  <c r="J849" i="16"/>
  <c r="J865" i="16"/>
  <c r="J881" i="16"/>
  <c r="J897" i="16"/>
  <c r="J913" i="16"/>
  <c r="J929" i="16"/>
  <c r="J945" i="16"/>
  <c r="J961" i="16"/>
  <c r="J977" i="16"/>
  <c r="J993" i="16"/>
  <c r="J1009" i="16"/>
  <c r="J1025" i="16"/>
  <c r="J653" i="16"/>
  <c r="J701" i="16"/>
  <c r="J749" i="16"/>
  <c r="J777" i="16"/>
  <c r="J807" i="16"/>
  <c r="J823" i="16"/>
  <c r="J839" i="16"/>
  <c r="J855" i="16"/>
  <c r="J871" i="16"/>
  <c r="J887" i="16"/>
  <c r="J903" i="16"/>
  <c r="J919" i="16"/>
  <c r="J935" i="16"/>
  <c r="J951" i="16"/>
  <c r="J967" i="16"/>
  <c r="J983" i="16"/>
  <c r="J999" i="16"/>
  <c r="J1015" i="16"/>
  <c r="J1031" i="16"/>
  <c r="J1047" i="16"/>
  <c r="J1063" i="16"/>
  <c r="J1079" i="16"/>
  <c r="J649" i="16"/>
  <c r="J697" i="16"/>
  <c r="J745" i="16"/>
  <c r="J763" i="16"/>
  <c r="J787" i="16"/>
  <c r="J810" i="16"/>
  <c r="J826" i="16"/>
  <c r="J842" i="16"/>
  <c r="J858" i="16"/>
  <c r="J874" i="16"/>
  <c r="J890" i="16"/>
  <c r="J906" i="16"/>
  <c r="J922" i="16"/>
  <c r="J938" i="16"/>
  <c r="J954" i="16"/>
  <c r="J970" i="16"/>
  <c r="J986" i="16"/>
  <c r="J1002" i="16"/>
  <c r="J1018" i="16"/>
  <c r="J1034" i="16"/>
  <c r="J1050" i="16"/>
  <c r="J1066" i="16"/>
  <c r="J1110" i="16"/>
  <c r="J641" i="16"/>
  <c r="J689" i="16"/>
  <c r="J737" i="16"/>
  <c r="J759" i="16"/>
  <c r="J783" i="16"/>
  <c r="J803" i="16"/>
  <c r="J819" i="16"/>
  <c r="J835" i="16"/>
  <c r="J851" i="16"/>
  <c r="J867" i="16"/>
  <c r="J883" i="16"/>
  <c r="J899" i="16"/>
  <c r="J915" i="16"/>
  <c r="J931" i="16"/>
  <c r="J947" i="16"/>
  <c r="J963" i="16"/>
  <c r="J979" i="16"/>
  <c r="J995" i="16"/>
  <c r="J1011" i="16"/>
  <c r="J1027" i="16"/>
  <c r="J1043" i="16"/>
  <c r="J1059" i="16"/>
  <c r="J1075" i="16"/>
  <c r="J637" i="16"/>
  <c r="J685" i="16"/>
  <c r="J733" i="16"/>
  <c r="J769" i="16"/>
  <c r="J793" i="16"/>
  <c r="J806" i="16"/>
  <c r="J822" i="16"/>
  <c r="J838" i="16"/>
  <c r="J854" i="16"/>
  <c r="J870" i="16"/>
  <c r="J886" i="16"/>
  <c r="J902" i="16"/>
  <c r="J918" i="16"/>
  <c r="J934" i="16"/>
  <c r="J950" i="16"/>
  <c r="J966" i="16"/>
  <c r="J982" i="16"/>
  <c r="J998" i="16"/>
  <c r="J1014" i="16"/>
  <c r="J1030" i="16"/>
  <c r="J1046" i="16"/>
  <c r="J1062" i="16"/>
  <c r="J633" i="16"/>
  <c r="J681" i="16"/>
  <c r="J729" i="16"/>
  <c r="J779" i="16"/>
  <c r="J1084" i="16"/>
  <c r="J625" i="16"/>
  <c r="J673" i="16"/>
  <c r="J721" i="16"/>
  <c r="J775" i="16"/>
  <c r="J802" i="16"/>
  <c r="J818" i="16"/>
  <c r="J834" i="16"/>
  <c r="J850" i="16"/>
  <c r="J866" i="16"/>
  <c r="J882" i="16"/>
  <c r="J898" i="16"/>
  <c r="J914" i="16"/>
  <c r="J930" i="16"/>
  <c r="J946" i="16"/>
  <c r="J962" i="16"/>
  <c r="J978" i="16"/>
  <c r="J994" i="16"/>
  <c r="J1010" i="16"/>
  <c r="J1026" i="16"/>
  <c r="J1042" i="16"/>
  <c r="J1058" i="16"/>
  <c r="J1083" i="16"/>
  <c r="J1104" i="16"/>
  <c r="J1120" i="16"/>
  <c r="J1100" i="16"/>
  <c r="J1113" i="16"/>
  <c r="J1096" i="16"/>
  <c r="J1103" i="16"/>
  <c r="J1112" i="16"/>
  <c r="J1095" i="16"/>
  <c r="J1105" i="16"/>
  <c r="J1118" i="16"/>
  <c r="J1087" i="16"/>
  <c r="J1126" i="16"/>
  <c r="J1119" i="16"/>
  <c r="J1135" i="16"/>
  <c r="J1138" i="16"/>
  <c r="J1141" i="16"/>
  <c r="J1144" i="16"/>
  <c r="J1147" i="16"/>
  <c r="J1150" i="16"/>
  <c r="J1153" i="16"/>
  <c r="J1156" i="16"/>
  <c r="J1159" i="16"/>
  <c r="J1162" i="16"/>
  <c r="J1165" i="16"/>
  <c r="J1168" i="16"/>
  <c r="J1171" i="16"/>
  <c r="J1174" i="16"/>
  <c r="J1177" i="16"/>
  <c r="J1180" i="16"/>
  <c r="J1183" i="16"/>
  <c r="J1186" i="16"/>
  <c r="J1189" i="16"/>
  <c r="J1192" i="16"/>
  <c r="J1195" i="16"/>
  <c r="J1198" i="16"/>
  <c r="J1201" i="16"/>
  <c r="J1204" i="16"/>
  <c r="J1207" i="16"/>
  <c r="J1210" i="16"/>
  <c r="J1213" i="16"/>
  <c r="J1216" i="16"/>
  <c r="J1219" i="16"/>
  <c r="J1222" i="16"/>
  <c r="J1225" i="16"/>
  <c r="J1228" i="16"/>
  <c r="J1231" i="16"/>
  <c r="J1234" i="16"/>
  <c r="J1237" i="16"/>
  <c r="J1240" i="16"/>
  <c r="J1243" i="16"/>
  <c r="J1246" i="16"/>
  <c r="J1249" i="16"/>
  <c r="J1252" i="16"/>
  <c r="J1255" i="16"/>
  <c r="J1258" i="16"/>
  <c r="J1261" i="16"/>
  <c r="J1264" i="16"/>
  <c r="J1267" i="16"/>
  <c r="J1270" i="16"/>
  <c r="J1273" i="16"/>
  <c r="J1276" i="16"/>
  <c r="J1279" i="16"/>
  <c r="J1282" i="16"/>
  <c r="J1285" i="16"/>
  <c r="J1288" i="16"/>
  <c r="J1291" i="16"/>
  <c r="J1294" i="16"/>
  <c r="J1297" i="16"/>
  <c r="J1300" i="16"/>
  <c r="J1303" i="16"/>
  <c r="J1306" i="16"/>
  <c r="J1309" i="16"/>
  <c r="J1312" i="16"/>
  <c r="J1315" i="16"/>
  <c r="J1318" i="16"/>
  <c r="J1321" i="16"/>
  <c r="J1324" i="16"/>
  <c r="J1327" i="16"/>
  <c r="J1330" i="16"/>
  <c r="J1333" i="16"/>
  <c r="J1336" i="16"/>
  <c r="J1339" i="16"/>
  <c r="J1342" i="16"/>
  <c r="J1345" i="16"/>
  <c r="J1348" i="16"/>
  <c r="J1351" i="16"/>
  <c r="J1354" i="16"/>
  <c r="J1357" i="16"/>
  <c r="J1360" i="16"/>
  <c r="J1363" i="16"/>
  <c r="J1366" i="16"/>
  <c r="J1369" i="16"/>
  <c r="J1372" i="16"/>
  <c r="J1375" i="16"/>
  <c r="J1378" i="16"/>
  <c r="J1128" i="16"/>
  <c r="J1134" i="16"/>
  <c r="J1137" i="16"/>
  <c r="J1140" i="16"/>
  <c r="J1143" i="16"/>
  <c r="J1146" i="16"/>
  <c r="J1149" i="16"/>
  <c r="J1152" i="16"/>
  <c r="J1155" i="16"/>
  <c r="J1158" i="16"/>
  <c r="J1161" i="16"/>
  <c r="J1164" i="16"/>
  <c r="J1167" i="16"/>
  <c r="J1170" i="16"/>
  <c r="J1173" i="16"/>
  <c r="J1176" i="16"/>
  <c r="J1179" i="16"/>
  <c r="J1182" i="16"/>
  <c r="J1185" i="16"/>
  <c r="J1188" i="16"/>
  <c r="J1191" i="16"/>
  <c r="J1194" i="16"/>
  <c r="J1197" i="16"/>
  <c r="J1200" i="16"/>
  <c r="J1203" i="16"/>
  <c r="J1206" i="16"/>
  <c r="J1209" i="16"/>
  <c r="J1212" i="16"/>
  <c r="J1215" i="16"/>
  <c r="J1218" i="16"/>
  <c r="J1221" i="16"/>
  <c r="J1224" i="16"/>
  <c r="J1227" i="16"/>
  <c r="J1230" i="16"/>
  <c r="J1233" i="16"/>
  <c r="J1236" i="16"/>
  <c r="J1239" i="16"/>
  <c r="J1242" i="16"/>
  <c r="J1245" i="16"/>
  <c r="J1248" i="16"/>
  <c r="J1251" i="16"/>
  <c r="J1254" i="16"/>
  <c r="J1257" i="16"/>
  <c r="J1260" i="16"/>
  <c r="J1263" i="16"/>
  <c r="J1266" i="16"/>
  <c r="J1269" i="16"/>
  <c r="J1272" i="16"/>
  <c r="J1275" i="16"/>
  <c r="J1278" i="16"/>
  <c r="J1281" i="16"/>
  <c r="J1284" i="16"/>
  <c r="J1287" i="16"/>
  <c r="J1290" i="16"/>
  <c r="J1293" i="16"/>
  <c r="J1296" i="16"/>
  <c r="J1299" i="16"/>
  <c r="J1302" i="16"/>
  <c r="J1305" i="16"/>
  <c r="J1308" i="16"/>
  <c r="J1311" i="16"/>
  <c r="J1314" i="16"/>
  <c r="J1317" i="16"/>
  <c r="J1320" i="16"/>
  <c r="J1323" i="16"/>
  <c r="J1326" i="16"/>
  <c r="J1329" i="16"/>
  <c r="J1332" i="16"/>
  <c r="J1335" i="16"/>
  <c r="J1338" i="16"/>
  <c r="J1341" i="16"/>
  <c r="J1344" i="16"/>
  <c r="J1347" i="16"/>
  <c r="J1350" i="16"/>
  <c r="J1353" i="16"/>
  <c r="J1356" i="16"/>
  <c r="J1359" i="16"/>
  <c r="J1362" i="16"/>
  <c r="J1365" i="16"/>
  <c r="J1368" i="16"/>
  <c r="J1371" i="16"/>
  <c r="J1374" i="16"/>
  <c r="J1127" i="16"/>
  <c r="J1136" i="16"/>
  <c r="J1139" i="16"/>
  <c r="J1142" i="16"/>
  <c r="J1145" i="16"/>
  <c r="J1148" i="16"/>
  <c r="J1151" i="16"/>
  <c r="J1154" i="16"/>
  <c r="J1157" i="16"/>
  <c r="J1160" i="16"/>
  <c r="J1163" i="16"/>
  <c r="J1166" i="16"/>
  <c r="J1169" i="16"/>
  <c r="J1172" i="16"/>
  <c r="J1175" i="16"/>
  <c r="J1178" i="16"/>
  <c r="J1181" i="16"/>
  <c r="J1184" i="16"/>
  <c r="J1187" i="16"/>
  <c r="J1190" i="16"/>
  <c r="J1193" i="16"/>
  <c r="J1196" i="16"/>
  <c r="J1199" i="16"/>
  <c r="J1202" i="16"/>
  <c r="J1205" i="16"/>
  <c r="J1208" i="16"/>
  <c r="J1211" i="16"/>
  <c r="J1214" i="16"/>
  <c r="J1217" i="16"/>
  <c r="J1220" i="16"/>
  <c r="J1223" i="16"/>
  <c r="J1226" i="16"/>
  <c r="J1229" i="16"/>
  <c r="J1232" i="16"/>
  <c r="J1235" i="16"/>
  <c r="J1238" i="16"/>
  <c r="J1241" i="16"/>
  <c r="J1244" i="16"/>
  <c r="J1247" i="16"/>
  <c r="J1250" i="16"/>
  <c r="J1253" i="16"/>
  <c r="J1256" i="16"/>
  <c r="J1259" i="16"/>
  <c r="J1262" i="16"/>
  <c r="J1265" i="16"/>
  <c r="J1268" i="16"/>
  <c r="J1271" i="16"/>
  <c r="J1274" i="16"/>
  <c r="J1277" i="16"/>
  <c r="J1280" i="16"/>
  <c r="J1283" i="16"/>
  <c r="J1286" i="16"/>
  <c r="J1289" i="16"/>
  <c r="J1292" i="16"/>
  <c r="J1295" i="16"/>
  <c r="J1298" i="16"/>
  <c r="J1301" i="16"/>
  <c r="J1304" i="16"/>
  <c r="J1307" i="16"/>
  <c r="J1310" i="16"/>
  <c r="J1313" i="16"/>
  <c r="J1316" i="16"/>
  <c r="J1319" i="16"/>
  <c r="J1322" i="16"/>
  <c r="J1325" i="16"/>
  <c r="J1328" i="16"/>
  <c r="J1331" i="16"/>
  <c r="J1334" i="16"/>
  <c r="J1337" i="16"/>
  <c r="J1340" i="16"/>
  <c r="J1343" i="16"/>
  <c r="J1346" i="16"/>
  <c r="J1349" i="16"/>
  <c r="J1352" i="16"/>
  <c r="J1355" i="16"/>
  <c r="J1358" i="16"/>
  <c r="J1361" i="16"/>
  <c r="J1364" i="16"/>
  <c r="J1367" i="16"/>
  <c r="J1370" i="16"/>
  <c r="J1373" i="16"/>
  <c r="J1376" i="16"/>
</calcChain>
</file>

<file path=xl/sharedStrings.xml><?xml version="1.0" encoding="utf-8"?>
<sst xmlns="http://schemas.openxmlformats.org/spreadsheetml/2006/main" count="27742" uniqueCount="10335">
  <si>
    <t>id</t>
  </si>
  <si>
    <t>ordre</t>
  </si>
  <si>
    <t>label</t>
  </si>
  <si>
    <t>emoji</t>
  </si>
  <si>
    <t>color</t>
  </si>
  <si>
    <t>cover</t>
  </si>
  <si>
    <t>url</t>
  </si>
  <si>
    <t>mots</t>
  </si>
  <si>
    <t>Mots utiles</t>
  </si>
  <si>
    <t>💼</t>
  </si>
  <si>
    <t>#2c3e50</t>
  </si>
  <si>
    <t>https://raw.githubusercontent.com/olaf-programmeur/images/main/mots.webp</t>
  </si>
  <si>
    <t>mes_affaires</t>
  </si>
  <si>
    <t>Informations</t>
  </si>
  <si>
    <t>🪪</t>
  </si>
  <si>
    <t>#e91e63</t>
  </si>
  <si>
    <t>https://raw.githubusercontent.com/olaf-programmeur/images/main/affaires.webp</t>
  </si>
  <si>
    <t>boissons</t>
  </si>
  <si>
    <t>Boissons</t>
  </si>
  <si>
    <t>☕</t>
  </si>
  <si>
    <t>#8B4513</t>
  </si>
  <si>
    <t>coffee bar bistrot</t>
  </si>
  <si>
    <t>https://raw.githubusercontent.com/olaf-programmeur/images/main/boissons.webp</t>
  </si>
  <si>
    <t>nourriture</t>
  </si>
  <si>
    <t>Nourriture</t>
  </si>
  <si>
    <t>🛒</t>
  </si>
  <si>
    <t>#e67e22</t>
  </si>
  <si>
    <t>food market grocery</t>
  </si>
  <si>
    <t>https://raw.githubusercontent.com/olaf-programmeur/images/main/nourriture.webp</t>
  </si>
  <si>
    <t>famille</t>
  </si>
  <si>
    <t>Famille</t>
  </si>
  <si>
    <t>👨‍👩‍👧</t>
  </si>
  <si>
    <t>happy family together</t>
  </si>
  <si>
    <t>https://raw.githubusercontent.com/olaf-programmeur/images/main/famille.webp</t>
  </si>
  <si>
    <t>maison</t>
  </si>
  <si>
    <t>Maison</t>
  </si>
  <si>
    <t>🏠</t>
  </si>
  <si>
    <t>#f39c12</t>
  </si>
  <si>
    <t>cozy house home exterior</t>
  </si>
  <si>
    <t>data:image/jpeg;base64,/9j/4AAQSkZJRgABAQAAAQABAAD/2wCEAAkGBxMTEhUTExMWFhUXGB0bFxcYFx0bGhgbGB0YHRgeGhoaHSggGh0lGxcaITEiJSorLi4uHR8zODMtNygtLisBCgoKDg0OGxAQGy8mICYvLS8rMDAvLy8vNS4tLS0tLS8tLSsvLS8tLy0tLS0tLS0tLS0tLS0tLS0tLS0tLS0tLf/AABEIALABHwMBIgACEQEDEQH/xAAcAAACAwEBAQEAAAAAAAAAAAAFBgIDBAcBAAj/xABEEAACAQIEAwYDBQYFAgUFAAABAhEDIQAEEjEFQVEGEyJhcYEykaFCscHR8AcUI1Ji8RUkM3LhQ4JTc6Kj0hY0Y5Ky/8QAGgEAAwEBAQEAAAAAAAAAAAAAAgMEAQUABv/EADIRAAICAQMCAwYGAgMBAAAAAAECAAMRBBIhMUETIlEFYZGhsfAUMnGBwdFCUjNi4RX/2gAMAwEAAhEDEQA/AHbJcXqLs2sDdWv9dxhgyPEqdRZUaSPiXp+Y88KVOmBcYuHhIdTfmOowZQGL3ERjzFVTipaKE3AOAb57zxtoZmcMNRAiBcGOIapZGkwgLHpbCT2s7EOp77LS0nxqSJHmpPLyw35PMibHBUEEYBL7KXyDDt09WoTDCcVKuj6XNxvecfVUQgzvjqnGOz9Gsullj+UjcH9cscw4/kHy1Qo6+E/C0QGHl547Om1SXcDgz5nWaCzT89RMdGvoMjBfI8eXSysCSbAeuFxK6n4sQaqAfD88WNWG6yWssh4hIcErvdEJB9vqcNvZ7h1ZE7tqQE/akfhtgTkO0ZRACJjFFXtTU1SreHpiexbXyuBKaXpTDZJMo7V8Fel4yIBPWRfC2MNfF+MGtT0M0TBAIwBoZIEwxAOH07tvn6xdllYJ2dJRRUT1xpA3vivM0ChsbdcUrVwyKI3cibKlOwIOK6ZLGJx9SMgg2xVGk49BA7QxU4Z/DmZnpywBKGYwToZtoi+Kq9Em4jGDPeYjbTgzEaRxtp1AqjrjMkixxXWczjYwjdwYb4fmixgGBz54u4llUDAoxvuepwHyDecEeeCn+JAUygAkncRt088LYEHIiyMZWZMztY7dcDS04J1HSPPA2rAODm09MT5QMT7ucZwTiXeHGxxUyxiRiOok4hqnBjh/B6jAMAI6k4EkDrPYPQDmZ8v054P0uKLSphVuY+uA+YolCVG+M2s4WyhxzFo7IxIjRw7iXeG+/wB2D9JsJvCzpvGGDK5vHPvTnidfR3Er5usMbDA+rU1HF3eTih3jEoE6JbMry5JJjYffjVqGFSpxPuKjUTV1VZ1RvAbYQOcC4HmeeGHJ19agyD6HCJWeuJNqEgwbzbGanUbmYxqDHULYqztJXOnYtYHzO31xXVaPytObqdO3Lp8JKhmyp+LBzKcVPXHOajFCVJIIMHBPgmZOqxnFdujBXM5lHtJgwUidHy/Egd8W5gUqyFKihkNiGv8A2PnhcWVptUaQoX08h7Yx940g6wF6En+39sci1VQ8dZ9FQz2rz098Ue0fZ1qFQ6RNJj4GmbdDzxVlOBhgGatTUHruCOUYfeKZEOAKo1rFjf0Nwd8Bz2apb6nX3BHyIvjqVe00K4fIPrici/2VcGJrwR6QCvZ9yJWrTYdQT+WCmQ7HhtOuoZIvpiB7nGpuAWP8SemlY+k39sE+x1EKWD2ANtQIJ84OHWakGstW2ce6SVaZ1tVLkxn38RazvZxjWFBJb+UmNvOMC+O8Dr5SpDgxyYDwn32nyx1/LhQ3hX35431qKuullDA7giRiM+02Rhkcd/WdBPZCFThuc8en6T8+1Mwx3xGhvhu7cdkjl37yih7k9CTpPOeg6YWKG0D547NNi2oHWci6o0koRzDOV4YSgYMCTyB2xjzfDa4P+mx9F/LFuTqFSCCJGDtDjLKRqg+g2+eBfevTmS1tXu8xxEym5U3xpfNWw9GnTzEHulJm5i+CuU7HUGuaYAxO+sSsecYl6aFrzlMGcpepNzithOOt5jsDlyQVZ1AvpEET7jAvM9jIcovjLfaYWUdQBgU9oUN3ht7O1Cf4/AznCsBbGrhuTNWqEBicOFX9mRmRmLdNH46sVN2QWlUDpVYaeoE/TDPxlLDytMbRXLyV+k2cG/Z4GlqtUhT8IXf1JOPuIfszW5pVyDyDLIPqR+WGDhXFW+C9tsEjmjzOOU+p1AfO6davS6UpwJyvI8LIJV6ReCQYGxHnjRxPsowUvTFgJKkyfbHSHzFthjB++IxIIw78bYTkCTD2dWowW6zjq0STbBShxl6S6QQfW+Ol5irRX7KA+gwq8byVBlJWkNU/ZEHFSaoWcMskt0hr53dIsUWes8AG+G3hnZgxJEnzxLs/k1S+kA4a6NYAYn1OpOdqSnRaFCN7xdzXCVRTIwv8N1moRBAHUYbOJZnU3liimJwCWELz3jLaFZxt4xKksMCeL51gYAvg3VqgbYw1KeoyceQgHJE25SV2gxJ4TkwlRtRDiT4pLSSZ1Sb332G5wz5bNIPDrF/hi/3YqocHJWZX1AIHtBOPuFcPQVDU1qQLTMiVsRJ6H645+8dJ2fDOcmMGQQgDX8XliVdASp5qQfkZxqSurD4dsZ2qL6Y1cxbgGae03Z1MxSNanOvTIKj4ugI+nlgL2SyQXxVFMgkCfy+eGfsm5LuAfCBME7EnkNuVz6Y3cW4N3tRX16FAOoCxJ5X6Yqr1hVTS549f4nO1GgDMLqxz6fzMfGq6HLlDsxUR1gzB8vDgA9AkSWhQbjm3l6Y08XylNa9NdbNC69+pImOgA+oxjerOxjp5emIX2k+XpOpTuC+brNbViZvadvPEe+JPp52P/NsYe952sYm/OPriLPsZN+fvf05YHEZmbRmmmAp9Z/XLF4zuwYA9PP0/XLGFcxY8gBcxYiJMRNsVLXm5sJgCDJ5/L9evgPSePPBh6nxkKAdJwYpcapW8Yv1t1/L6jHG+J/tBo0XZBTeoAblWULPMAx9fbBHs92r/AHpgBlMws/CwptURvVlXwnz288EST1ghAOk7FUVK1MrIZWBFjO4xxOvw806r0zcoxU8tjGHzL5WuplAV85jGTifB0Zmq1aqoSZczbb2Axf7O1K0Fg/Q/Wcv2ppH1Cg19R9JhyL5dU8ayY2gGfxGJ5XKLmW0LTCibsCAQPfGKlXyIPhr1Kpm3dIWHzUEct5xe3aEqxSjlWgD4ncKPkuo/MDD7vaFC5KtzIdP7G1bkCxQAPif3jTwrJ0KbadVhy6+pwz06qmwIxyg8fcVBK03Ui9OmYqLBuVYt49xYhes8sMHCuIq47yi+tRY7hkPRlN1PrjmNYuoOd3M7i6d9KuNvEd6lUDfFL5tfXAEZwt8U7Yj+9+WCXTwG1XMOpXBxizuU1GQcAaztMqxHlyx4/F6qr8Gojzw5aOfKZO+p4w6n6yHGKrUfGQImJGJcH4l3sxywucS41VzH8MJ7bnGrheW0BSXKkC4xe2n21+frOQurJu8n5YyZyk5spnFdLIMqyRfGSjxykDBfG3NcdpqskwDtacSFLBxidFbqWyxb5xK45maoq+MECfDIgGOnXG7LZsNFiZwRbidGr8cR0YfngpladGPCqAeQGKHswoDLIqqd1hZHBBgqvmdA6YD5vtK0BV35nDxVoIw5YWM72WpkljVIJ5ACMDTZUfziP1NOoH/GePhB1DiMiSb4gvEajNANsYeI5QUzpUzinIZnS2LfDUjInJNtgO1j06xmpKx3xcEIxXkMyHFjJ/XXFiktyOIWyDidisgjIiNmuO0W4fp70pVDLqWlpVtIcBgokN8M8/Uxj3sJxCki1EJgahog+JtVgIU/ESJuTc88auxOWptS76tRHgLMajv4lAncWhAJ3PKfRqFfKVCtWmKLVEEhwAe7EGY0xuCRHP2xy16zutwJBs1oqinpIZlDXuYM2JFuXXBUUwY5HHOOE5zNVmLs2kMxg/EfIEneAQLRtyw7cEr7y2pgbi1vWMO7SfEOcOc0nDj0PmDvg3ns6JVoJXlym929I68vUYBayTfGruQ1Px1dCjefK/OwF5wuxM8wq2wcQBxiv3lVn53AJ5LED7gcZqXtFgLx+gMGDV4egBNQ1rSNJZ5Ex8NMXuOnLGdO1yq7U8vw9zE6XIRFMbGQSwU9dM+WFNYqjkx61ux4E8ocPqupIQty2IE9RjZS4FmiTKqo5amFrzyn9DA3iHa3NkR3mVy42JdtTf8AbJW/quF6rx47VM9mapJP+mhQHyUqqD6nCTqV7c/fvxHDSv3IH37o9VuF0qKTXzKIu5mAPZmI2nAvMcX4SoIaua+qRCFmEEEm9EQBHU/fhJ4tRpZlLwqif4tVjUKzEmT4ZsJl5tjFGVRJFepWCwDoZVHkPACfrgTeSOBGLpRnkxyyPaLJUpXLcMWms/Gy01BtYyCzE77gYqzfazO1v9N6VMAXCKapFzfVIAER9nkfZOXtCQspl6YAj+JVO0kAEd4XJjnAwIzPbLN1ZGtaaLvpFvvI+UYDfYw4P3843wa1PIj5nKmYYTWr1SrXgstIEf0qsPy8+fXAetmcjShmNLWBzl3jlvB9oxz/AIhxh6jElmIOwJMD2JMY+yGXnUzkCBabCTtjGrOMuTGK6g4QTodTjytpp0qVR3I+yQABy9PfC5xPtJVSp3a0qeuby3ekHoTqgMDuMB2yGZcGH1DybFWSyrU2JZbos6fO8YFUQdwfdCLOegxDKdo6wEVR3gnxLtpHLRHw+u/nhn4RxVKrrUovFWI3AqgfykG1Zb7H2k452cySZYFH6xE+ox6K15Eq4vI2P5YPw8cjgzNwIweRO38M7UIx7usAjSAKgB7sk7BudMyIhvnNsGKtMjcfryxybg3aSaZOajkoqCC5BmzDZ1HRvOCMM3CuOPQACEVaR+yzEqQT/wBNzJpmD/pt6DriivVEeV5BdoAfMnwjcTj5FnfH2UzVKupeg2oD4l+2h6Mv4jHwOLA+ek55rI4Il+X7PLUJem2kne8/TFWa7Ivf/MGLR4fnN8To1mQypjGkcQeSSd8O/E3DoZKdBp2/MvzMw5XsvTXdtTdSIHynFOb7MM7jVUMdIt7XwbGd1kCAMHMvBsRI5f3wB1lqnJMP/wCbpyMAcTn/ABHsuFQsmtiOWAWV4i6MFMgLup/Gcdfc0wJIEYEVMvk2Ys1BS3UpM/O2G1a/giwZk1/sgbg1LbYqZPi+oxN8EBl+9I3PkMMtDheXI8FGkJ//ABifuxaMlSp30R5gE/S+Evqk/wARiVU6OwDFhBgMdnwxE0wR7Y1N2cR7MqxjZnOLd2SDTMCwMgzbeJn54XOI8W8Wpi0ctR5egthS22t0MpNFI6gQivC6atoQLq9R+ePs3w9ljbAuj2mpEMArBhMOBeYtb6fLrhXz/FC9ySxm0zHytz6dMGniMeYD+Eq8fKc5SkaSd2jTrgsKZZp0mFLfCTBbmIBjnGNVM5hvgqCkqLcjwrEXllXzvO1sN+UKLTXXUy6Bhq8GWPfajqAVKjVBJBPOAJE7k4X8/wAMXX3dBw2tgzywIvptUC6gWZt1XWfFsARhGcS3GZAUWyuhKrtLqWQ7gyDcHkDpsCTPPph34DxVtAU0wI9PuG2AHF80lbLjLVmVXptOtRq8YgJESRuQR54M8B4dAUQ0ROopYfMQMOX3xFvSN+XqgrqO5P6jpjk3amulfiLvTmpSRgpGslajqJJAAMKGMbHa2+HTtvxb92y3drPeOQATAKGCysSBsI1XEEKR0xyM1WLW2J+K4sTc2YC8z74Re/G0R2kq53n9o9V+0NcCAadJepAG3/mEH5KcAM5xoj/UzNVgdlphgI/9sfQ4DcUcrppoCPTy9PPFGTyFSdUD3xEqqBunRbJOIdPF0pDwqJ/mY/8Ax0mfMscDs12iYmQxnyEfXf64xVcrTEmpVBPQfkMS/eqCfBTLHqbD6ycbtB7Ez2SPdKyalZrg33JEn5m/1xpqZSrGlfAgvvc+Ziwxv4ZUbMU2SkQlcXVbQ4G4BOx/XWF/MCqxIfUSNw02jyO2PAknHAxPHAGeTPcxlgPt6m9f74b+wvAqdVmaqrtRC7rTLrrkWfa0SflhR4dlC7lREwd9rDHUuyGXo0suEq96YqPDUlJIiA0gAneIsdsess2kAHmeVAyEkcQB2x7F0Kao+SdnJaKlIq2oA3DDVyEQbnceePuzKCi1Q1qCuplIqJIABFwrAg2AgxzOG3i/cVKRQV6jHUkU6tNhJmmd4XZtZtuFHIgm7geSNYGBQMaYDlkJ1gHdL21D5YxdQQ6lhn5RbUbqWCNg8c9friK3FOz9Gqr1aFFKZVSZpl12B5Dw8sfZfgYqZFayMVrdwrajcGImfM7ThzfgpHeDuXEqIWnWt4g0mH3A8Mrz5c8CuGKBQRVqSpprEUW0EGCIn4ViOc4K/UrYy+XABGfePlF6bS2VI+HySOPcf0BM5PmM9UBIcKSDB8MfdGNuVoGKbEgI/ib0BI39sdA7S8KXNIgPdMwVr0/CynwRII8Rsf8A1TuMDMh2YOmizK4VVI0ugDWZj4gGIHxW3kYG6ytV8so04sY+fr9+sSsxnCXLADSTZTyHKOmNnDOJmmSabE9Ua4PXfcY29q+BaHTuyqmNnYUydvh1xO/1GAj8KrBdRQ2O4g+/hJxq7GUHpNJdWIjxwnjVNyDTJpVRsFOlgZHwMTcG0o1va2HTL9paJIXMstKoTHegQhY7CohMoT12O/QY4tTp6Id9UgixEH64M5DtINQFZQyzKMoE0/8AbI2v8MR5TfGoWQ+XpBsrVx5hzOzVi1M6aixOzfZI8jzx9qU7EYTeC9pDTpQmmpR50XPg33ptc0j5XUEiMMNCjRrKWyrGppGpqDGKqbwdM+IdCPriuu5W47zn20MnXpCRp+eLKdVxYMR74CJnCLaiLxBvET9LYtbiJEeGbTv9B5+WHybjtGClnnUWPqCJxmr512sTjDSzYYA7HobYmHxgUTxJmgZmpydo8icQfNVOZY4r74DGavxADG7czN2Js1ljfFdamGENBvz2+XvgeeKztf0xmbiRJIj5+X1+mCFcE2zaOG07xAnfEBwtAZB39/PY268sYWrVTsAfIEbdRjMa9VpBUrB6i+DCn1iy49IE4PxbQ7tmGFRVBHwyGJtKhvifSObSvimTMyrZSm9Qii3eM19VYtYN4goRLkAtsoA3PniXFuB5dEp21szaE1tGoOQZVGkqAB6wBHIYMdm8tl8ofEjLqMBWIvMiArRKw/xG55zviTE6W70kMjllgPrClARKlgsDVI8S2IMkjeN8GuB1Ur0qdZXOgEtdmE2KgQ1j4tjcGLTgZ2izuXqF6hUO6CEorqRmP2ZKGSbxOwvbmRXaCogylHL0RFVzqcd4YULOq5IUeKBJ3LSNsFuxA2FotdsOMCvmGZfFbQpIAaAbwwEkF5IB5euJ8JyaiEe7qrVY9It6TAwNy+UHdtXdioFki952Cn5D54J9l+G1a37w9NgxakoDMYsXViPI+CI8+hnEFh3AmdKtQuAJTk2arVKCkGAN2JIjrJxtqZzLBtBo98o3YRE9BqF/UYIZvKHuaqgQIK25k2JPznC5R4N9gVP4mnUVg2B2M7e2I/KeTx99ZVz0ELtT4axXXlaiz/LHPb4XGNX+BcKO/f07Ws5/BsKWby9ak+kX9ziLcRzC7zt16eow8UWkAqeP1MnOopDFW6j3Rwp8ByUg080yMDYm0QbbqsGMX8X4HRrw616RqRDlSCHNvFpVjp+uEilxesGX4gSYEjmdueCI4rVXxxDLF/z8j0wl6rVIyfv4R9dlbjjpKeI8LbLAuHU6rKVmRIvMj1HvglTz1EZahNSopTvNQVmBUuwiSI1TE+V8e5elSqs+YRQNS+Nf5WkTHr+ueB2eQaVLU3KAWKleukSGMnbfzwSEv5T1nnwg3doWo8VpER+/stwYenIt1JB+eL1zGqFp18pVsZ1JMiCpsQI8JI9CRhRRKFRlRdYZiFWQIljAuGPXFlOmtNGW+omNQBJAG+3XDDTg98/oP4i1uBGeMfrOh8LrVQlUrSVm1U7U6hVW1CvqMqTe5tzJ98e0mNJUHdZlNKooAVHsggCW0qbb+mObo8LpFfSpMlSGUEiYJGxIBN/M4vpZmsvwZn5VSPpOMNTdz9Z4WL2/idBzfGu8Kd5WbwggB8sxuT4iRSJFwF6AETfbEcm606VLxoBrrGZKSDUkRqgyAYjlhL/xvPj/AKrNHVlb78SXtHXYU6Jo0iwLEsyTq1kHYRpiOW84yxGdcfz/AOT1ZVGz/EbOIhnIhdSnclg4EXkhpmcZeC5dQ9P+BTUswmKekiWKjaBMHmOeF/OcVpBgHpLU07ySIafs/Fa2NPC+PUFq02/iUgHUmKmpQAwJlYBIibAYEK2zGPv4/wAQyy785murkAQ4DONP9bG/kHnAqtwcPbVJIBvTWbmBdSvPBFeM5ciBWqA/1Uw31BOKlz1OZXMUp/qRlJgg/wBI3GMUsOx+/wBow7G7wPlAMu0BiSyBlEkAhh4bTbf1wY4dxlTpKylVIKXgqwm6Ny325zEXJwM7RZAt3VRGWO6WwM2DOsi5t4cCqDUxupaN53xQAGG7vJm4O3GBO1ZLtLSrgDNAK23foB4ehrJtE/bW3oJxdxLhJUoStt1dSWQ23Ujf0tjlCcTJbXMibFbMk+XS3Pfrhq4D2wegNJ0PSY+IGe6b1AvRfnqA5TGKKryODIrtMDysZlIMMDIPMDrfflviNVryrC+425H8sUvncs38WhVKkuFek/xKSCQQws6GDDDymTYe5hdYidNj4hseRMT5x8sWqQRkTnsCMg9ZOjmGi6ke8jlN+XPFdalHjED1PKxF4j9RirvtAUNEc+Y6b8h7dTjwvqkq+gttz5ydzG8Ai33YIRZ6TJmKTiorBYg7KLFdjHQzbzvizMZtLBtUkHadgPyGNlOtOqIMNcCVPKfzvjJXrrfvFGoGzD+Um3mbeu+GBs9YorjpJ5HMUwAQ0C8chYed8R4lTcAlQpa0gEnynrHLFNPL04lqZPO0kmL2ky1vfbfHlPMMEmlpdhZQSV9jJAEKR63x49cie524MGcRWjmMwzau5pBYXTRqAuwu8LCgMCbXBtsbSW4NkQrq1OodO0sUFon4Q5YEE8wDO4GBFTiFCkyqFY2UFbkGYPi3j0F/XBmhlTWH8NKbElWYh1U35aCZCrZtJUGNybzJxOkc4jDneHLSpCpSALsDKqmpWaJBIMncRYibdAQmJwBM4ivVrVGrKHVoICkhmkwVkQ2rw2EAe+qjkT3VV5FRwjtSpIsh4BKiCZuYPwz9+DfBuHqKFM0jNQ+J3J1ai7d4x1gAbyflbfGEZM8GwOIlLl83lVpsq0KtNmhalSkD3Z2j4tIBj0mQSMGeDZiogfucpRLOQMy/fMsVLsABLKPiMgLAmJMasFOPrpoFB/DLEBYAaNRvAFpkm52+uBeVK08suoXq5knwjeQJ0iIJJMDqTiS8hRtllAL+aTriuKZDZdFUkeLvib25Cn/TjQ1IgD/KEPAGtSpLDYCSAfY+eBhSmXgMZEEakQHeBbTeb+89MGsuPCGFQkQp+zzDN/L0Axz7CmeR9f7l6BsQCyksxNFxJ38BAEDc6+o+oxnzGSDVBCGAnkd28iemD+TqkqT4JLEEQdxbkwjH3hZ3YpTkDTPivEmPj/qn3xalu1QBOfZTliT6xWzfDgKlE6WAFVS5KtZRMk2xbxjgtNiHVyINhEAgxM+mGrj3dLmKavR1shLBu8KkaEAuApBsYxfVZDpJpkSwELUHXn/C2tifUWZYHPMq09e1SMcZiL2WoBatfV8J0C9gfHJ8jYYx9ss2qV1ppGgUxYG3xP54cOHvSWo5FTNXO3eKVEa9trRTJv5Yw8Zq5dqjKc1mEhTqVqFKqthUJ+JjNqbfIdcMpK+NuPp/UG8N4O0esSeE/wD3eWsB/FpmxBsSpG2Oh5LglLQNMsCSWLwTOk2sBYRgfxbs5l/30xXWmqso7pcvEEICQKiXB3MxbblgxkuAU9JAzVcEGP4b1QARqBEFCJmfrhllgNqkHHESlZFLKfWVf/T1Ii6Lt0/24D8N7NUqj11KDwVdI9NCnB7/AAhxZc7mLfzd2w5fzUxgXQoZig9Vv3tQrOCW7pKpJKwCy0yCs6SPbFAtAHWSeAc9JAdhqBYAKVPkYjf8sAuz/CXfSFEw7gmf5SY+inDNQ43W1WzeXJH8+VrIOfR/P64F9m6ebXW6UkZe9e7F1Ukl50nSbGbT1GJ9SxZODKtGpR/MOJX21yHdZXLVe6FGpUYh1s0fHAJi/wAOExMwx3CHzKj8Iw8ftAzeYqZektWkiaTqlaus81gqUBUzUHywhDD9IqGsbhE6trRYdphCjknak9UUlKU2UMQSD4zAgE3x5S4aGRKlwGdl8hp3n2vg32bzUZDOroqNOkhlWUXRJ8TfZx7waqhy9SkyM0vVKRTJ+IACDpIBlSMZqMKMr6w9IWY4s9IBfjBUlaaqEmwIv0kkEGbY8K95dqbKeThTHv1wd7PUaYCOAodfF45VZ3XxaWEcpIIty3wR4nlaNU1KmXzVAMpLLQBFIkFpBFTV3bleQIUkSDc3xUXqOIT2uDg8xV4fwatUchCoAUkuWhYAkkn0wx9luxlWoq1mqaFb7IElxym4t5Yx8FpNVZcspADsWc6gAEUAkHysPrjp9RCiKAClxpgE2UwbDqLX64OtSx5gXWbFGO8EZHs3Sy+tlUlmPM/DawC7b3m+NmWoKnhJkMR8Qm5mfxt+eN1QAgiwm1x0xmqAAWQtfxGRJG253gx54rHAxOcxycmXUwPs3j3MA7Tv1+mBHEcihE0/AQLEAxpkEg7mYnG1Qt2QncBl32iLG425f28amA0iVLXO8QfP2+owY4gHBHMECs9OSA3gA8JE3G5855RO3OMbaecV4BuDHoDF7fh5euNWYJgmCxXkBuAZ257zbAwZcFWRAFM6rmxaZ3vbl5YLOYvBE118irCAzLp5raQZHKwN998ZswaiT41LE7EiB7wJ2n1xX+710JKvrG+m4JPpMGPwxtMMwSosE/aIIiwIAPP7VuWPdJvWLeQyuXKNVrklyJkNpjzaByifTBHg+WVoLVTUkaCXuQvRAAJsQJM9ZsMZ8hw5Kzrp8SgEaipZA0KVIg+NQQTa22Pm47XyuY8dGlWphbNRPjINgQ2qT4pJUfO04kAVes6TMz5Cw/k+1+Wc1srVpqgQsi1KahYX4FJQ+GpbpB5AGxLLwPIIMrTWjVFZUQKzAFSCAJ1U5BpnYwRYY47R/fK6ZutWNVyKShRDQWaoijSvkurzw2/s+4Bme6ZkrVKdVGAgiyCAdJBv9qdMxbbCkcliBDsqUID0mztnxJKbpqQuKaFyFB0jVtr07ABCdxuPTC3mOL94lE5mnVqhpemEOkAljpDzZFhV06dhMCwGJdoOOP3zq7T3hZWRCKdFh8Gpvh1A6TdpgSLThc4zlz4ZB0j7OoMB0gA2EbA4B2BMdVWQvWMVbhmYcyMsIhfgzT2uCftD7RJsLE4vXhFdYAyVcgSJOYYqPCVAtVECJHphNq5V0FhAaxKyPSfLH3BMiHrJ/KDLW5AEn7o98TkEjOfr/coyAcAR9yNHYDJVi257uuWuxDGZrncqD7Ym1Mh9JyuYp6mABLBtxHi8ZCxJ64RuP5v/ADDBSwCQliQJX4tv6icZ6XF3RlcVKkqQR4mIkGRKkxFtsbhyB/X/ALMwufv+p0TjtZXzbk5fMsNTqaqnSANvCvdnUCPPpiwPJkUs2RvsNyWMae66nHPM32grOxY5iqpYlvC7KJJnZTAucX5HiucYgDM14PM1XtvzmeWFvWTycfCGjY4GfjGj92VT/o58dZpKRsReAOTH54y5rh9DxM376CQQSaA2IcEfEOTt88eLx3NqO7WvXJBu5qsZtcXP4nbFVXtFn5INZmWbqxN45G3lgA3PEMqcYML9ohRObrM1Woh1mSKWtbKwsQ4Jsem+LOGcXpLr/wA1T8TFvGGSCdRtq3Hi64A1O1WdDOyuEkzGkMPL4h0xqynazNMNVaqWQ2KrTpgn3ABHzxvvMzHG0Q+ON0Nv3qhf+s8yD/L0GK8vnlUVqivTrQ9KRSaSs6/i1qscojzwvt2kzUkqlEr9nVTSdPKY5xGK8vxVgKuvL0iamjkNPg1RKjc+LeeuN3DHP1gCs56/KMA4+ZE0mNgPsnmdobAzJGpqYr3d3JK99T1iVAAZdcggjbFFPiKEy2RyjHzpdB5YhX4jRGo/uGX9gV/PrgMoRiMVWU5hbiAZqUVabEWgA6paQBGk73nAR+GVNZ0ZepIqKYFJ5Cx/t2nGOlxajrf/ACghl06A50sNSGDa11G041VMzk4LHIw23dpWaRcydREDzHXB1rs9fl/c9YS3TEP8JoutKuWoOr6WK/wI1bwNOjx29d8VLm2ShTepTCsajAg0QlglNp0BQN2N4wNy3F8ompRl8yqsLhcyYPvEiMWUONUO70/50eNio71tagqgu53HhPhmxvhjHcO8UikHmDMzncs6kPRoytliUI6bNt/zgzwHiyBqVLwsrwkaiVHSFmCZO5mxjnjDU41lluanETHWtqv5hmiMSo8eoM6FWzfhqKYqLSKQCD4iJYbHbBFsjvBCjPOJWlSm8qgBZmUKqlFHLqpU7mZH3Y08JylLUwpIuoGWY1SxGoWICBVWPTlzxlq5bJrAWrWDwB4KNE3I5sqyd74spZ2AQuZJOmR+8AUlI5eMOhIsf+cEp9M/CY/7fGO1KolOkoHwaFIBJJAInnPUXn7saHjutamVJ3DAxG8weg2/LCzS7c5enRpU1BqVtIUKoLqLaVBZipuAJAk408Oq02qV6q1CUWmqsimmCjOzeGooaygx41nmW0gY6CsNonIdG3GHtMHUIJkXtPWPPyx9rBHiaV3HM7/ffnjS9BSqsgW9yJt7dYPpscVFIaCIvPT05++DzAAmU1BzIIm3I+fPGetTQ7nf77fn9+NKVA5I0aChsSInnczbef74hmqV1MKVYw0eLeYIG83Jt54IRRg6llHVrelp58/mIxvoVlgIy6lHXlG0zzvjQMsRYkCwuPWZHSceLw8lpVp3gSBt1J3/AOPbHicwwMTGzpVc1auXy7KQT4fFrjmLKWJgi5i+5JwE4DlBWqV6jyf4zhBB0qoIgKCTG2GvIdlDUpljUBDXUNrUi48LIQCp08wLeWAOV7D8RoiKOaoBQWOllLNcySWK3PyxBbSzDAnRruRTyYzZDJoqlYiSCfafzwo8YGZr5EVErE0mILrqj44EkADUNLKIJIEbYcez/C8yiMuZrU3eTDKIGkxAiB54VO1+XqZOilNqwqCpUqVPCunwqQ+kgzcMwgzyHS4VUsgO4TXuV2ULzFjMcGNc1WVl/hqZXvKIICXY6XfUJJJAi/U4zZNqVHLlWDSwqx/oQSjWBYtrmRsLn7Mxhj/w8Cgmmtlybd7NbKvIPKmDSL69REEm0HfA3MUqtCigpKwZ5mVm1z9gG0xOwkrymMYbcAxyMWyYK4LUOrTE02BJU3iJkiPTBrheRFB2dQXDA6AASRAJ/CMAOCpUbNMSCGKnqTbT78sOGUpMAFJky0/ID8cSakbBuH7ymg722kTnGdZtXiADN4jPIkn8seUaLFGYLq8UQOXhmcNXGeyr1G7zWFGkCIk7nzHXEctw0UafdglmZixMActMWJO4w9tUnhDHX0ik0r+MSenrANXhxET0w38F4IzomgA7TcCx19d7DFXFqKgiI6D5n8sM/ZVwoX/s+5vzxBZeXUS5KwpOIaynZ5FUSJJm/wAvzwpdpOCU2rEwLah/7tXHRu8snr+Iwq8V4LmHqtoqU0BJsVnmSbz/AFYZQVVs5k1wZlwIu9kuDCpkC8SQjkfNo+8Y28N7O6BS7xYJ12/2yLx5gnB3s9ws5TKPRZg2kWI5iVHzxZm8yA+XB2Zapn3b8/phNjZY47nPzlFedoH30nLO0ORK5h4dgsJADEAeBJsPfBT9neV70ZjWdWmANV4+LEOMoWrubRC7/wDlpjb+zWoFXNfrkcdC1h+H/YSGpSNQf1MbclwZNBYUwxCE6eZOkmMYV4OKtPW1I0mZAxQ7qYFjYXww8EzQ07/ZH/8AJx7WzILtP/hg/djmZXbL/NuiAvZl++JAhQPi8zti49lwilmqVDAn4sNWVzILso2Ok/IH8sas3SBVweYj5j++OloyCuTzOfrshgAcRW4b2Rp1KFKrreXpqxuIlgDzHngFw/h3+erZZjKoAVkLIkC9h/Vh87JVYyOWIH/Rp/cBhN7+OM1CbalX7lxRft2HAk+mLGwAk/GCO0XDGpZ1aAfUlQAqCBIJkRMdRiWb4JXpU6LERTLA1RaZ1Lpnyjpgp24p6OJZV+R0f+mo35jDD2lqr+5s3dhiaYho+GwP4fOMLf8ANxxHVsdozzAyClSrVKb6G10yAXBNRCI7oUxZIAUKZ9b3muh2cGbNQVKTUmBBNYow12WNCO0LsZj0tJweyNSmrir+703qMhFMmiNQqS6hw9jUWCF0yLhrjBvivCnFM1EyL1WeSUTM1JBEsQfGNPwlfADciLYdUM1jB7RFzYtOf2iDmuw6ZeKiGrXZSPAEHMxNgdpkW3GBfFjmaBAq0/t97UVUVHOgkzUqBTrVWqKQYZdtogPPEdFI0Vr5GrSeqrNAzFXQNC6jNyQVtJgczMWPmQ4omaouBlS4R3pNqYtKgwpDG94vpJg9LYei8YiHfuYM4T2getSp6Q4NMpTb7S+JdQlTsCCbCBYiBza6tI6Q0OqgWBB57X6cp+/AXK5Gjl1L0stoqQJILQQthIYzso268sSynapzUCBS1UwSIu28faGmwPykzM4bgqOYgEMfLPq9Qpd9muNJb4gBaTY7f2x89YKhkySZEiCDPhO82A5esYJcVCJTd+7qs4UMaEadP+06ZJvvJBi22AGQ4rTzRqdzk69QUgO8JYLcx4QGYSfl+bARjmKZWzwIXocRDqQJMC1t5+hHni6jxIK2ruyxUCSLCWkckbcTv0xnyvF8hUKQzIieF3JbSjMAdL6rA2vPOZMm4vi/EnzGXIyzqKGqHqVqSaiUKhdKpCsp3uOYNrDGEjtCwe8ZMjxDVPgqKdzqW3sVJGCFPM+eKaSBhMj2M49OXwe71gbB2k6uZnnhF7cVDUzWWo3a2oqAzGNQJsgZtqREgGJw25iiwuMcz4hXqNxB2qEA010L4YtJIMEknfcdTGEX2ALKdPUd+Yx8f4pXdBRD1F1kSrmuNVxptVQSAYNp2OCvDg1PLEqtMqVZpam7E23B06fkfuwB/cKj0zUEGCQTqW0QbqYkRG2BeYrozG+gsLrrO0AaV+yDEbG598c21i5yRidSmsIuAcynszkNFYh2bxUjeoCv2kBMzadW+D3fKhkRpB5ta5HMyeWMvf06Wkqra50EM7OW1QRLx4dpjYR5408SyGmm7S/hUnSG6Xi6g7nnie1TYAI6sipjA/HO1GyqpUR8W+21iBG3PAbL52rUuHgxDEMRaei73O3pjJnyXqVGaApJIAEKB0AmwG3tjTlcgUKsabLsQHUywMxpnqfx9MPWqtBwOZniOTzJUKju+hmeSQSGNywmDe0W+6+OlZDhr0ypgMqgA/oC3974QDIDVXBBXZftSfaw3sOmOkrWIkDl0aLc9/PAuqv1EBndOhm8cQqCPAnhgiWM3M8lx4alQsSUAN48RmbHmnkMZFqwDO/S9/Yi2PS5/l+8+ew54zwkPaL8V/WSqI5DKYGq0luUgmLdRiByYY07j+GCASsfHJP2rmSeWJ5dWInS5PIxBE7i08/w6Y0BHMeFhEkW9PL7/PGClf8AWb47/wC055xukRVYKpMGJA30qB+GI/s8ktWW3ieDIPQzsQZnDBmuzudd2KvpUsSAUEiZ5l77zsMe9m+x9bL1CxOoMxJPh3g8pveMOKFkC49O0zeA5bPr3EN5bL6PCGQSIjSZ2IgS9+eI1KJJYlhsF+GxG/8APbrggnDnA5DzB/4x6OHPF2A9GP5YH8N/1+UH8R/2+cEZWgobUN5A5+fXbc4J5lTcAbj7j/ziupwVjYVSGMQ4JBGkzAO454Hv2XJYKa2YEADU1aq2uZM3q2iAIgDbD66inRfpE2WB+rfWT7LEjJ0QNgsD/tYj8MJXH3K8VBPOmPx/LDbQ7JAHR3jadMgw0AydQjX7/o4mOxdCdUjUNm03+erB2Vu6kAdYNVldbhi31iv+054qZWpfc391P44M1+LLTybBvhrZd6JP8pZPCYAP2lA98EX7IUTux/8A1U/eDiWY7JUnprSapV0gzYgat/itBEmdtwOmPClyQcTxurC4BmrsfxUplKSVFkodQkA2cbg8viJwwjjUN8IgjaOcRyPMW9vPC0nZ5FVVWtWUKI8JQSNhMoZ2xdRyZWAa1Rtx4tFiIKnwoOgPyxTUm1QpHSS2uHYsD1h7N5xKqqHVSFkrI2lWQ7zujsvoTiGUziglIsDJ2F2AAsBeYYnzjA1YMem3Tr9bYroH4iObn5afDHlYHDdo9Igk+sPpWo/+EpvOw5Y8bMUzH8P4dr/qcCFbHxc4LaIG4w22dUjxLJmRtA9vTCzxjsvlcwQe77shi38MKoYkEEsCpn4jjX35xD99P98bsWe8Rgc5m6rk8u5JbLUGn4pprDebWufPC92zouRTTLaKLnZaYVCwEkgMRCgXPnEeYKrxEdZ9sCe0rLVpgFRIMqWkRO8Abn8Jx7YJniHvD2rEhfljEucIvYe2LanEqjbuY6bD5DBFDMDibUok9B6mMZM5wahUI71KLxsSFJHvGKRWxIVMCa4Xi46SI7O5EwGpwBYadXUm1xzOB+Z7GcPLhxTqEiI1VDFv6SSMEg+PdeB/DpnOIf4p/WDqvZjLMxZg5No8ZEadoCwNycaqvCaTKVIYg7jW354068e6sZ+Hr9BMOqsP+RgpOyuTBnuFJ6y3tzxqPBsvq1mihb+Zhqb5sScbNQ6497wYLwE9BM/FWf7H4zL/AITl5nuKRPmgP3jGxKajZVHsMfCoPPHxqY0UqOggm9j1MtDYpzecFNHc7KpaB/SNvux8annjLxBdahSJBYSORE7HqLXxprmC0kwgzeYx7UqKqi5DfatsIvFvLGGjXMFmJEnYiDI395n2AxXRYgOYmNpO+kWB9Rf/ALse2T3iGElqyAVuCJBFwQdoPTHveHA7IqyroKwFssGZX7PuBY9SCeeNBfGhIJtwZeakbm2Ja8Zw+K61ZFuxCjrtHSPPHimJq2k9JZnUJWxIIuMe1axZFYmTY+wj8MUJXLbWHKbk9fS9ueKvEVZN4kdDBErzg2IHLbGbZu6aNUGPM/WT+X1x73lsZKFfUWIFxBvzJA/Ii/XF6VP19R9MEFglzmTLY+DHFQqy2kA2EluXp5n02xIvj22ZvnqvI32Me4xVW5m+1/KOfv18sWaed/OOeKeIOFXUk73JIAvyj6e/ljCIQOZXTqnx7yqztsT16S04kCFS2wNvQN+WLEzhpOgUeGpoDAkGCjA2MCZmPlijNCaMCZIiIuCRH/GMHWEegmxBy6D9frzx4rCfacY6Tkg3H9R5CLET7XxFQ1/Fc35eg3wYWLLTbViw6nEawHzxgqVmBBNxMHa3viupUm4mAD8/zxu2DvmnMaUAIEHlf9WwMauSyOwDqAQyRz5MCSLeXn5YlV28W55/f+OM9TKVGW+pB5WnneR92NKTBZ7p/9k=</t>
  </si>
  <si>
    <t>fanfare</t>
  </si>
  <si>
    <t>Fanfare et instruments</t>
  </si>
  <si>
    <t>🎺</t>
  </si>
  <si>
    <t>#27ae60</t>
  </si>
  <si>
    <t>brass band music</t>
  </si>
  <si>
    <t>https://raw.githubusercontent.com/olaf-programmeur/images/main/drapeau_contheysanne.webp</t>
  </si>
  <si>
    <t>corps</t>
  </si>
  <si>
    <t>Mon Corps</t>
  </si>
  <si>
    <t>🫀</t>
  </si>
  <si>
    <t>#e74c3c</t>
  </si>
  <si>
    <t>human body anatomy</t>
  </si>
  <si>
    <t>https://raw.githubusercontent.com/olaf-programmeur/images/main/corps_humain.webp</t>
  </si>
  <si>
    <t>vetements</t>
  </si>
  <si>
    <t>Habits</t>
  </si>
  <si>
    <t>👗</t>
  </si>
  <si>
    <t>#8e44ad</t>
  </si>
  <si>
    <t>clothing fashion outfit</t>
  </si>
  <si>
    <t>https://raw.githubusercontent.com/olaf-programmeur/images/main/habits.webp</t>
  </si>
  <si>
    <t>transport</t>
  </si>
  <si>
    <t>Voiture</t>
  </si>
  <si>
    <t>🚗</t>
  </si>
  <si>
    <t>#2980b9</t>
  </si>
  <si>
    <t>beautiful sport car front</t>
  </si>
  <si>
    <t>https://raw.githubusercontent.com/olaf-programmeur/images/main/dacia_duster.webp</t>
  </si>
  <si>
    <t>animaux_insectes</t>
  </si>
  <si>
    <t>Animaux et Insectes</t>
  </si>
  <si>
    <t>🐾</t>
  </si>
  <si>
    <t>animals wildlife</t>
  </si>
  <si>
    <t>https://raw.githubusercontent.com/olaf-programmeur/images/main/animaux.webp</t>
  </si>
  <si>
    <t>nature</t>
  </si>
  <si>
    <t>Quand je vais marcher</t>
  </si>
  <si>
    <t>🌿</t>
  </si>
  <si>
    <t>nature landscape green</t>
  </si>
  <si>
    <t>travail</t>
  </si>
  <si>
    <t>Travail &amp; Métiers</t>
  </si>
  <si>
    <t>office work business</t>
  </si>
  <si>
    <t>emotions</t>
  </si>
  <si>
    <t>Émotions &amp; Sentiments</t>
  </si>
  <si>
    <t>💭</t>
  </si>
  <si>
    <t>#c0392b</t>
  </si>
  <si>
    <t>emotions feelings expressions</t>
  </si>
  <si>
    <t>https://raw.githubusercontent.com/olaf-programmeur/images/main/emotion.webp</t>
  </si>
  <si>
    <t>ville</t>
  </si>
  <si>
    <t>Ville &amp; Lieux</t>
  </si>
  <si>
    <t>🏙️</t>
  </si>
  <si>
    <t>#7f8c8d</t>
  </si>
  <si>
    <t>city urban street buildings</t>
  </si>
  <si>
    <t>divers</t>
  </si>
  <si>
    <t>Divers</t>
  </si>
  <si>
    <t>categorie</t>
  </si>
  <si>
    <t>boissons_froides</t>
  </si>
  <si>
    <t>Les boissons froides</t>
  </si>
  <si>
    <t>🥤</t>
  </si>
  <si>
    <t>#2196F3</t>
  </si>
  <si>
    <t>soft drinks refreshing</t>
  </si>
  <si>
    <t>https://raw.githubusercontent.com/olaf-programmeur/images/main/boisson_froide.webp</t>
  </si>
  <si>
    <t>boissons_chaudes</t>
  </si>
  <si>
    <t>Les boissons chaudes</t>
  </si>
  <si>
    <t>#6F4E37</t>
  </si>
  <si>
    <t>cup of coffee cream</t>
  </si>
  <si>
    <t>https://raw.githubusercontent.com/olaf-programmeur/images/main/cafe_the.webp</t>
  </si>
  <si>
    <t>boissons_alcool</t>
  </si>
  <si>
    <t>Les boissons alcoolisées</t>
  </si>
  <si>
    <t>🍷</t>
  </si>
  <si>
    <t>#9C27B0</t>
  </si>
  <si>
    <t>wine glass drink</t>
  </si>
  <si>
    <t>https://raw.githubusercontent.com/olaf-programmeur/images/main/boissons_alcool.webp</t>
  </si>
  <si>
    <t>viandes</t>
  </si>
  <si>
    <t>Les viandes &amp; poissons</t>
  </si>
  <si>
    <t>🥩</t>
  </si>
  <si>
    <t>grilled meat dish</t>
  </si>
  <si>
    <t>https://raw.githubusercontent.com/olaf-programmeur/images/main/viandes.webp</t>
  </si>
  <si>
    <t>pâtes</t>
  </si>
  <si>
    <t>Les pâtes</t>
  </si>
  <si>
    <t>🍕</t>
  </si>
  <si>
    <t>pizza noodles spaghetti</t>
  </si>
  <si>
    <t>https://raw.githubusercontent.com/olaf-programmeur/images/main/pates.webp</t>
  </si>
  <si>
    <t>accompagnements</t>
  </si>
  <si>
    <t>Les accompagnements</t>
  </si>
  <si>
    <t>🍚</t>
  </si>
  <si>
    <t>side dish pasta rice</t>
  </si>
  <si>
    <t>negatives</t>
  </si>
  <si>
    <t>Les émotions difficiles</t>
  </si>
  <si>
    <t>😢</t>
  </si>
  <si>
    <t>sadness fear anger emotions</t>
  </si>
  <si>
    <t>positives</t>
  </si>
  <si>
    <t>Les émotions positives</t>
  </si>
  <si>
    <t>😊</t>
  </si>
  <si>
    <t>#f1c40f</t>
  </si>
  <si>
    <t>happiness joy smile positive</t>
  </si>
  <si>
    <t>relationnelles</t>
  </si>
  <si>
    <t>Les relations &amp; liens</t>
  </si>
  <si>
    <t>🤝</t>
  </si>
  <si>
    <t>friendship trust relationship</t>
  </si>
  <si>
    <t>Les instruments en cuivres</t>
  </si>
  <si>
    <t>brass instruments cornet</t>
  </si>
  <si>
    <t>https://raw.githubusercontent.com/olaf-programmeur/images/main/instruments_cuivre.webp</t>
  </si>
  <si>
    <t>percussions</t>
  </si>
  <si>
    <t>Les instruments de percussions</t>
  </si>
  <si>
    <t>🥁</t>
  </si>
  <si>
    <t>percussion drums xylophone</t>
  </si>
  <si>
    <t>https://raw.githubusercontent.com/olaf-programmeur/images/main/instruments_percussion.webp</t>
  </si>
  <si>
    <t>instruments_a_cordes</t>
  </si>
  <si>
    <t>Les instruments à corde</t>
  </si>
  <si>
    <t>🎻</t>
  </si>
  <si>
    <t>violin</t>
  </si>
  <si>
    <t>https://raw.githubusercontent.com/olaf-programmeur/images/main/instruments_a_cordes.webp</t>
  </si>
  <si>
    <t>accessoires_musique</t>
  </si>
  <si>
    <t>Les accessoires en musique</t>
  </si>
  <si>
    <t>🔧</t>
  </si>
  <si>
    <t>mouthpiece instrument accessories</t>
  </si>
  <si>
    <t>https://static.bax-shop.es/image/product/540336/1812374/b5240615/450x450/1562574537HE81.jpg</t>
  </si>
  <si>
    <t>solfège_musique</t>
  </si>
  <si>
    <t>Le solfège</t>
  </si>
  <si>
    <t>full score music</t>
  </si>
  <si>
    <t>https://raw.githubusercontent.com/olaf-programmeur/images/main/solfege.webp</t>
  </si>
  <si>
    <t>divers_musique</t>
  </si>
  <si>
    <t>Divers en musique</t>
  </si>
  <si>
    <t>https://raw.githubusercontent.com/olaf-programmeur/images/main/divers_musique.webp</t>
  </si>
  <si>
    <t>hf_enfants</t>
  </si>
  <si>
    <t>Mes enfants</t>
  </si>
  <si>
    <t>👪</t>
  </si>
  <si>
    <t>parents children family</t>
  </si>
  <si>
    <t>https://raw.githubusercontent.com/olaf-programmeur/images/main/famille_herv%C3%A9.webp</t>
  </si>
  <si>
    <t>hf_parents_grand_pa</t>
  </si>
  <si>
    <t>Mes parents et grands-parents</t>
  </si>
  <si>
    <t>parents and grand parents</t>
  </si>
  <si>
    <t>hf_frere_soeurs</t>
  </si>
  <si>
    <t>Mes frère et sœurs</t>
  </si>
  <si>
    <t>https://raw.githubusercontent.com/olaf-programmeur/images/main/frere_soeurs.webp</t>
  </si>
  <si>
    <t>hf_neveux_nieces</t>
  </si>
  <si>
    <t>Mes neveux et nièces</t>
  </si>
  <si>
    <t>neveux et nièces</t>
  </si>
  <si>
    <t>https://raw.githubusercontent.com/olaf-programmeur/images/main/neveux_nieces.webp</t>
  </si>
  <si>
    <t>family_members</t>
  </si>
  <si>
    <t>Dans une famille</t>
  </si>
  <si>
    <t>👴</t>
  </si>
  <si>
    <t>grandparents family elderly</t>
  </si>
  <si>
    <t>animaux_compagnons</t>
  </si>
  <si>
    <t>Les animaux de compagnie</t>
  </si>
  <si>
    <t>🐕</t>
  </si>
  <si>
    <t>https://raw.githubusercontent.com/olaf-programmeur/images/main/bagheera.webp</t>
  </si>
  <si>
    <t>structure_maison</t>
  </si>
  <si>
    <t>Maison - Divers</t>
  </si>
  <si>
    <t>house exterior door window</t>
  </si>
  <si>
    <t>https://raw.githubusercontent.com/olaf-programmeur/images/main/maison_divers.webp</t>
  </si>
  <si>
    <t>cuisine_maison</t>
  </si>
  <si>
    <t>La cuisine</t>
  </si>
  <si>
    <t>🍳</t>
  </si>
  <si>
    <t>kitchen cooking interior</t>
  </si>
  <si>
    <t>https://raw.githubusercontent.com/olaf-programmeur/images/main/cuisine.webp</t>
  </si>
  <si>
    <t>salon_maison</t>
  </si>
  <si>
    <t>Le salon</t>
  </si>
  <si>
    <t>🛋️</t>
  </si>
  <si>
    <t>living room sofa cozy</t>
  </si>
  <si>
    <t>https://raw.githubusercontent.com/olaf-programmeur/images/main/salon.webp</t>
  </si>
  <si>
    <t>chambre_maison</t>
  </si>
  <si>
    <t>Où je dors</t>
  </si>
  <si>
    <t>🛏️</t>
  </si>
  <si>
    <t>bedroom interior cozy</t>
  </si>
  <si>
    <t>data:image/jpeg;base64,/9j/4AAQSkZJRgABAQAAAQABAAD/2wCEAAkGBxMTEhUSEhMVFRUVFxcXFhUVGBUXFhgVGhcWGBcXFRYYHiggGBolHRUXITEhJSkrLi4uFx8zODMtNygtLisBCgoKDg0OGhAQGi0lHyUvLS0tLS0vLS0tLS0tLS0tLS0tLS0tLS0tLS0tLS0tLS0tLS8tLS0tLS0tLS4tLS0tLf/AABEIAKwBJAMBIgACEQEDEQH/xAAcAAABBQEBAQAAAAAAAAAAAAAFAgMEBgcBAAj/xABLEAABAwEEBQcJBQUGBQUAAAABAgMRAAQSITEFBkFRYRMiMnGBkcEHI1JykqGx0fAUM0JislOCosLhFRZDY3OTJIPS0/E0VGR0s//EABgBAAMBAQAAAAAAAAAAAAAAAAABAgME/8QAKBEAAgICAgEEAgIDAQAAAAAAAAECEQMSITEyEyJRYUHwQvFSYpEz/9oADAMBAAIRAxEAPwD2h9ZW3cEqx9E4K7tvZVgYtQO2qVpHycPiV2RQtCRiE4NvDsJuq24gg8KF2XTVpsyi26lcpzQ4FIcHeJ7++sPU+TfT4NTS7ToXVU0RrK07hehXonA923so+08DkatTJ1JwVXZqMF10OU9iaJF6uzUfla7ylOwofvVy9THKVwu0APlVcvUxytcLlAD5XXOUqOXKU0hSjCRJ4d5+FIZ1145A4nLgNquye8gbaiW1yEKAwCU3RwUoAT1gEGfzGni0pN5TgKIEm8CLqACcZ4ST1ndQp+2rI82m6JnlHRzjKgOa1gRgogFcdHokVLkUohOyqutp3R8cfGvO82F7FXlCCk4QArbgJCTsxHGorLQGJJWr0l4nsGSewClurwndj4EdxNT7mVcULdcVmE4j8wB4jbh9ZgVBVpsJVdeQtqclqALZ2YLSSB+9FSW3MI3YdY2Hu94NeLQc5hF4Kwg7ZwjtmKWrX5Hsn+B8rpJXQ7R8oC2zJDTrzSSTJKG3FJQZ4gCpJcpp2iWqY6VUhRpsrpJXRYClKpBr01yaVjORXrtKFKCaVjoQE04lunUN08G6myiOEV5UDOm7fpBtoSpQFVHSWsDjhuMg4mAYkk7kp+uqpboaQb0rplDQxV8z1CqlbNMuvKCUBQvGABJWo7gBt4DGrZq/5MrTaCHLUTZ0HE3+c+ocEfg/exHo1pegtXbJYR5hsBcQXVc5w9azkPypgcKpRbE5JGY6ueS20vQu0q+zoOMHnPH93JHWrH8tadoTV+yWIQw0AqILiuc4rrWcY4CBwqXaLbQ5+11apdENthNVtr1AFWmvUWFArVG3nlPrbPzq3aRsVmtaLloaQ4Nl4c5PFKhzkniCKzbVxwpc7E/pFXNi10lxwPvkq2n/ACRgyuxPcQ09s9R1In2geuqc5aLdo9YbtLawNgc2+o6JSvvPZW1MW/jU1b7bqC26lK0KzSsBST1g4Uar8Bs/yZRovWxpzAm6rcrA/wBeyjItYOIIqTrF5KrK+CqyrNnX6BlbRPUTeR2GBurLtIWXSFhXyaoIxhQIcQYMGDn2KANL3IOGaObTSTaqzgaxWraU+zXjrFaN6fZqlZLo0b7XSHLcACcTAnASewDM8Kzz+8No3p9kV0aw2jen2arkXBcP70szd85OUXFAz2iiQtlZ4NYbRhzk+yN9e/vC/wCkn2RQkwbRov2mkPaTUiAiLyiCEkEhQBE4gi7hjOWU51XdU7UXS5aLQ4eQs6Qt1IAF9RJS0yniojuBymaHW/WNbjinbxSVbEABKUjJKcMh7886iUn0XFI0fRdqdWtaoS4QgLWXAjk84KEAqvE71HpT2CerR7b8ebWwpWRBC2jdm9O1MScOFZxq3rI22sm0B1YKSkKQq6tF4pKik7ZugQYq3K1j0ctu6X3Ru5Vsz2qZGB4gbNtJMbSFWqzlKiJChvEgH2gDUdtClKuISpSovQkFRjfhXdWlN3ytjSDiRtFwLw/OkkHfEpo9pHTNhUUpXa32nJxLQeZSriUqBSBxFG7/AH+wcV+/0VhUpMEEEc0giCN0g7su+iujjySDaVAc3mspP43ow/dT0ieFO6c0SkKVaXVqRZQEKLiFhxy0Ku3UwoDaAkEnK6IzkULWLWxbzgIltCRdbQmLqU7hxOEnb2Ck5vqgUV3YdSu6AJJjacycyTxJk9tRLZpZDfSC8QSLqVK7MBnVMt2nXRBQ4qZyIBEY7x1UhGn7R6Y9kbxVpNr4JbSZdbHpVLnRSscVJKRtynPL4b6lB6qH/b7/AKQ9kUoaff8ASHsinqw2RfA7SwuqD/b7/pD2RXRp+0ekPZTS1YbI0JKqeQazoawWn0x7KflXTp21nJf8KflU6srZGjO2xCBKiBFVvSetJJuMiSTAOMScgAMVHqprVbVO1W9STaHQ03iZMFRAP4WxgOtRHUa0pDei9DoClKQhZGC3DffXvuJAvY7kAClq2NySKToTydWu1EO2pRYQfTEukflbyR+9B4GtJ0Fq7ZLEPMt8+ILq+c4d/O/D1JAHCsy1k8tThVdsbAAnp2iSpQ4NIULuzEqPUKr6/K7pA/gs3+27/wB2tFBLozc2+zeLRbaGv2us11L1+etLriLUWEJSi8kpBRKrwESpZnAmrQ5ppj9s37afnUyddjirCjtpqI4/UBek2jk4j2hTK9IN+mnHLEVG6NNWT+Vr1Q+Vr1WQD7Mi693fCjjbtV/X1gttvFJINxRBBgjmqyIyOFVLVfTFoUQkvuEblXV+9SSY6iKqUSVI1RD9SG7XVUZ0i6ALwbXO0XmyB1G9J7RTNl1wsylltRW2sYFK0nAzGKkynPjUcl2i9t6SjbWX6yW6+ozsWsd5Pyq3KfNZvpR2VOeur9Rqex9ER5IqOpFOX64a0RDGbleinYrkVaIGrteIpYFdKaoRIs7nmVJEiVSrccgmd8Xl+0d9MXKk6MtJaUFgA5ylQlJBkFKk7QQSCONWRlOjXBKvtFnVtSm682PVJhfeT1movVlVaKoE0tKCat6bJopOKn7S5wQ2hB71k04vT9is5IYsIK0mCq1ErII3tYJBFLceoH0Fq3aXzeZQoBOJdJuITvJcMAdmNHdK6SaYaDYtBtT4UklSUoLAAMlMrSeV9aO3ZQDTustotBhx0qTAIQBdbTIBgIEDDKY2UEdKsCQYVJBIMGDBIO2DhS127HtXRfbNr8ouLcUtUKIBZc57S0RzgpJ5qIxi6R1Z1Wdb3bKt0KsiVIChKm1QUpJ2IIOWeHHZQM1w01CndicuOiHbB0e3wpaBhXrX+Ht8KUgYVZB4ClAV2KUBQM5FKCa9XSYBO4TUjHW00s29Dc/iIzSkSR17E9pFArI89aFFKYSAJIkgRO2MTVxZ1PWLI2+8oraU4pCUCEIBAzUE5gwoST+E4ZVEqXZUbfRCb1ytyubZApoAXbyIKo4uKF1B6seNP6J1Utb6XXlrUQAFPKRznSDhz3lyo5HAbBT2rbaQ0sRMPOhKRgkC+Yitk1QSluxwQAXJUrtEAHs+NSpW9VwimqWz5MD1k0QhhpBSgJJcAJOKjzFnEnHZVcNXvylNXAEbA9h1XHIqhE1pivXkjJ5cBnVk+cV6n8wqwtiQe34VXNVz5xfqfzCrKwMFfWwVz5vI6MPiSrxCTHVSHnOYk+t40plUpI6qYtUJaMbAv51zpcm7fBb2VYV6mbOvmiuV3HGTfKcjzL3+mv8AQqs/1YBBTgcs449VaR5Sk+ad/wBNf6FVSdVb6o5yIwEXTMROBGFaSMYlhjmjx+VZqyVptbl/pXl3uJKo7sZrTHqoemrYF2wgwLguggQTABN4/ixvDqqEWzRXV41nVuVz3PXX+o1f3Fc6s9tWLjnBSz/EaiJciOFUsGo96nGz7q1Mx6ugUgGnE0xCI+u+ukU4E167TEJQKVSkppaWySEgEkmABmScgKYDa5G7IHAznsMZHhXlpwygiAer8J7vDfXkg5gHup5gFRCCk4m6nA4EnLqJOWw4iMZQyMoY9g+ApJRMkCP6ZDiaKaU0WqzFIdhRUOaG7xBuBN4KUQLsEiYxOEHMgctSjmI4AQANw4f+c6Sd9A1Q2tMGMDgDgZGIBiRtEweNJIp0tmLxBiYmMJiYnfFJimBDtacu3wpaBhSrWno9vhSkjCkByK7XYrhoA4TSHFYHqPwrqjTLpwPUfhQAnUpBLrkegM/WFbzaLIDo1DETdSCPW6U9899Yb5Pz/wAQr1Bs/MK2Z7SR5KMTht/pWOR+92awXtRmugm1EuIwHn3R/Ge+tY0aopauzkPrOsz1cmXT/wDIew/fNXqzvm7F89gHukVF+5l/xRSPKukck2qf8UbPyOVmprR/KcZYbxJ88Mz+RzZkKzeujF4mGTsM6q/eq9X+YVaE9FXV4VV9VPvVer/MKs6VZ9XhXNn8zow+AthWfXTduPmV+ov4GvN5dorlt+5X6ivgaxS5Nn0Wmz9EV6uWfoiu12nIHfKMnzS+KFj+BdU7VjRryW0LhNxXOGJmO7hV28oI5h6j+k1V7NpZIQ21cCCE47I3CIzx+NPJNRZnCNolWg44VnmkWFptThUgi9eUCcZTegKBxq+lU1W9YLUoqgIEAKTfKgM4kAZnDHrA2SaiLLaLGt3M7apj6+eoxmoqg9cEVZ7ScDjFVS0L5w2Z44Y4xjWTZtQOXJKjuxPbRbRlm5oJAN7GDkN1MWizylGQSTJOU4H5fCpwWlKOmASMDlB2QIM5U55LVIUIU7YNtE3yIjhh4Yd1PspqG0STJxO+itlbmBW/SMBPJYDj/WvcnR1eiFpRKkmAlUGMOavEj3ih5apKdjcSElFcUipXJ004mrTJojQOFKZdKDeSBOxRElJkYp2BXHGJkQcR1wk4kk4AYknAZATsG6kOpglO0GD6wzHZl30wHLVaVufeKKyIIKsTF0AgHMDI4buAqPdGzu+s6WswZ4J/SK4tMQdipI6gYPccKOg7EBNLSmlyTiSSYAkkkwBAGOwAAdlOtopAQ7U3l20tLJuzs+c/I1LtLOA7aJ2HQ63GyUgxeQJgxJJSJ9qs3Ki0rK6tOdNEUUtrEHKMEnvSD41AUmrTslojKph3I9RqQ5UZ3I9VMRP8nrY5dzL7sZ+uK1EJEReTlsmKyrUZRD7hH7MfrFaALYqNn121y5vNnRiXsBOr4A5b/wCy/wD/AKHjVkS/hEkdUUA1VTeS6ebP2h/P1zVgTZ1Ts7IqZdspdFO8osfZ0QD96nE+qus8mtJ8pDRFmST+1T+lVZrXVh8Tny+Qc1U+9X6niKsST9dgqu6pnzi/U/mFWCBj9bKwzeZti8BaVYdvhXLYfMr9VfwNJQcK5bT5hXqL+BrFdmrfBb7MnmivU5YRzBXq7aOUsHlBQSiBmZHeDWdWGwvWdkuOFqG0FSiFKk3QfyZnLOtQ1uYKylIzJoTpzURx2zqaLt0KKSq6ATAIVEEjaB3UZFbJh0ZN/fG0XIutXvSur7unFWp7RItDbbnKG6sJcF1IBxEwSSd8dlQV6hNB7kC6/N29fDSOTH5Ssq6e27ExjljVo0bYUWdgMIcLly8ReKb4SVEnAZCSYw21EnH+JcE75IdospUlWeAJqlWmecZkAnvxyrUtDJ5RaUpMAqAUYBMbYBwxg591SdPaLaKfNsMqUY5y0IgHLogDYc95G6KwquTd88GYMiUKKgnDAJExI3HMDb30h51sIHKwsxzU87wIir1onVJIWSopuHEAgkd0iQRv+NXSyWWyjFVnYvZGEJI6wCMPjxOdEY27CTpUYEyROAgbBM+/bVk0FZS4tKRmSBWyoTZtlnZ/20fKn2lsjENNjqQkeFdHZz0BVsBxLjK0wWmnSMcyVXvhWbWxsBRFbWu0tzISmSMTAnHMGmCpn9k37KflRQGHkYVGdq765GzJeedcTdSktjmhWEobA5qOKqqL2lNHgSSsA4glL8EZSD1g0KX0xuP2Dl0yaKOWmxjpJdHW1aRTZtNknBCzP5LUPDGn6n0xafaBqySZO4DAAYAQMgJMbcztrwFTVaRsAJCrwIzBTaAR1iK9/aejt6u5/wCVG/8AqxafaI6Kks15OlNHb1+y98qls6V0bvX3PVLm/wDFlKK+UItGSes+FaDqQb7K2UiSS2uZjorGHvpOpaGUWh9BbSU8myQFi9BKnZi9O4d1Xhm0NJxS2hPUkD4dVKPu5Bprgy7XywNtloIjBpAOM44z75qiPRX0O7abOVBBQ2VlN6CkHm3okSN599CdEW2zupWVWdmUuuJEto6IVKdnokDsp9BVmBOmozhr6SLdk/8AbMf7aPlUe2s2Pk1/8Mx0FR5tGd08KrYWpgfk/EvuY/4Y/WK0YHDf2eNZz5NgC+4P8oQJj8QyrRlNRmCO2ufP/wCjNsPgBNXFi69KR/6h/Mf5hou1aUz0e1OFBdXui9gY+0v4/vmi6I+sqUuyo9AHyjLSbIIvfeIzKj6W8kVmk1ovlBSRZcxHKI8aziurD4nLl8g5qofOL9T+YVYFHHsqt6s/eL9TxFWIHHs+FYZvM3xeJ1Bw769bj5hXqr+BphT91JwnOkNuqMB3BG6RiNuw1laTCWRLgv8AYzzBXqrStMtIwWkmcQVJAJTs669W/rfX7/wx4Nh0r96k8TRB20YUK1hcukHjWeJ1ntCl/ekBQvBMIwkAxN3jFa5Z6sWOGyAel9I2pWkjZg4qBaSS3Ji6FhwQBiU3ZVGU7KI2fRT6bUXuScKTfyicW1JGBO8iitkYbLvLlCC6RJcuov5XekROWHVhXNdtMPsWYqbcKTfSmRGRmcqxbcujZJR7J2g7T9nIU8hacQfwTgN16kN6xtOr5JCpVExhkCJmDxrIrXpBxzFxxS5zkn3jKaN6gLm2JH5F9uKaHjdcsFNXSRqP2s0tNrNDlYGN2FI5SpRow2i11JbtFAW3qktW9IVcCklZHRvAEdYjHIyJBq7IaDJtFJ+00ETphCs1JByIF4idwMY0tq2JJABnbgFYDeTEAcTVKSf5JcWUXyj6ZWHnbPCbiw0sqxvSAjIzEcwbN9EtWrYE2FgKBPNWQcDgXFjblgBSdYNWmrQ+t960XUEISlLcFUgRKlKwA6gesVJ+wthtDaFqCG0JQMUAkARJMZk4nia0rgxb5G7RagcZM9QHwoK9aYdAvYER1ROOPE0TdsKB+JZ/eR8qgO6NZvBZvSMpWI7cKKHYydFNm8VJSqSSbyUkyeNR3dAsH8EcQtQ92VFA4gziqOJSNpy5optaEZyv2kf9NAA9jVpjAELPWvPruge6iL9lYs6Fq5NvmDGUpKiOF4TMwM9tJQpBwCl5gzzTkZyIEinrRY23kltS5Sr8KwoR6q0mdk4z21ErspUS/J3ptb63nFhIVdbTCZiAV7yd9X5NrrN9UtELsi3wvFswW3BiFpBOwYhQBxBAyJEgTVtatyeO3NKxkCTmNwrNtRdI1im1bFax2so5N8TCDdUBnCiAOGfxHGher1rITOV9Sld8Dwntoqm2MvNuAAPQBzOcZE4m6MVRAy30PeuJIuC7ATLc4oJSCEkZgdY2EbKltNcFJU+Qz9tNRrbbTya8fwK/SaHm0VGtj/MX6qv0mqAxizHnJO6rfo7WO0NjBwkbl88d5x7jQrVDRaLQtaVzggEEGCDeAkbDntorb9WXW8W/OJ4YLHZkezurWcouWrOeEZJWiRq7rIhPKhxKgS64slIBTKlTlMjsmrTZdJNudBaSd232TBrLLKSFLBwN4yDn21L5SlLEm+Co5GkWrygKP2YZfeJy6lVndFtJWtamrhWopBBAJJAOWE5Z5UIrTHHWNGeSVuwxqz94r1PEUfcJlMcR7s6rurh84r1fEUfUZjtrDMvcbY/AaJJPNgRtOPVwr1qKShRvEuQrgZjDAjL3UlQ6ozx+VR7UYEQMNmPbhjhWSirM5e0tdg020hN1AQpOy8UtlOAlJCuljOIwxG0GvVVrO4iMUmduE92Ijqr1bqZnsbvriqEg/mrJ7CrnD1U/pBq+ae1lYtKYbKkqBmHElJHWOyqhYdEulYi4QEpnnp2JA2kbRVZk3yaYWkHrAr9NDfKcf+EP+qj4mplkSQbpwIme+h3lOEWT/mo8frtrKHZrPozIqyx/pw41Y9QHYtiZ2Nr+Kc6rP19b6NaqOkWgGckqA7SmtpdGUezVrasXp3ie3LwqGtyuPXlEQCYSMgeuuFlfoq7jXNas60uBm2u+bX6ivgazI6TdI5ygetKT8RWkW5pVxcpUOarMEbDtrOE6HtEfdHvR862xavs582yqghohy1Wh5FnZUFLXkAlMJGMlWGAAE92+tj0Xq6llCUqUFKGalQZVtUUxBVx2ZCBMhPJvZyxYOei6tx1ZMxJTgE4jMQB3Vam3ExJiuhQXaOdzfTEmyp9L2QBTZsaNpWe2PgBT6rUjhTarY3wp6i2B9uZSBgD2kn4mgK3IqyP2ps7qCW5lGYihxGpEIu8aSXKjuPJGcU0bUjeKnUrYmhY3/D5U+2tPD3UGVbEbx30y5bk7x31LiPYsNrst9tQaIS4MUxgFEfhWBmk5Y8DsrNNMaTtDTiXG3VgTKQek2tJxSd8TtzGBnGrKLZJwjZt2nIddVDWRSnXStIlBmDhiRAJ4nInrpKNPkbdrgk2nXnSC0lK7SVBQx5rc4H0gkFOWw5VzVrSrhfAUqQZJ4nOZ7++gQsi/RPu+dFdW7GsWhEpOII3mY2AUT11YQ22RoiHpFItLnMV6qvgaXZrG5HQX7KvlXbTY13FcxXRV+FW48K41I7XEoOpLl11R/IMusVf0WoKiceIie3fWc6pKAcVJjmeIq6IVx7cvhV517zLA/YC7Fott0Olaf8d4BYwV0zt29RqHbtXHE4tkODdkr5H6wo3q3aYS4DB887M+uaLPMhWKDdO7Z2UepKLFomjL7aCAUqBBESCCCMdoNQKuuvDZDKScTygAJGIF1UgHdgKpVdeOWys5skdXQT0Aeer1fEUfSrx+BqvaDVCz1eIo2lWHf8Kxyr3GuPxHFIN2Y6uyJ+NMoZkT2THic+6lLtM4RgBGHvOXCmn7fKAkCAkGd5MHH68awp/giTQ8ogbiTicwcd8xO+RhjXqt2jmUhpAtAaKwCMQjoSboE7IivVp6H2RTDmtdqvokHG9OGWOcdvhxqlWS1KDibqinDYSJhO0DOrXaue2BvEEVWDY2g8ULXdOYXK4E/hXdyy2RnjXTONjhKiwsW7lFkxBuCe84/XCoHlMVNl/5qPGqhp+0luQhRCgemlbk4AZAnKce2rfrgQtkBQkFaTd3mCchn1Vg46NGyluZtZbKtfRGHpHL+tG9H2UIPNPO2q7sAMh76msaPcV+EpG6IoxYtCRsNNtyBJImWDSzqRGB4miKNNu7k++mW9GACTeAG3Id9D7Xagkw33nH3VmsRp6gTtlqcdQUmAFAgwTtoQuwqA6Z/h+VIOlHNw7qT/aTh2Duq1ioh5LNHsqxcQCT0E7/AERUpvD8Sj1z40PYfRcRKm5upmVJGMCpKbU36bfto+dFCJRX103ynrdn/mmDam/Sb9pFNrtjfpt+0igB1bnFVc5XiaYFqb9Jv2kUtNpR+0QP3m6Qxq1MhQzPvoBa2in8RqyF9H7VPtNxUZ8oVmtvvT86loaZVi7+Y0gu8fjRW2WFJmFtz1pFBnWyM7veKnUuzynRv9xoNrG3fDYBOBV8BvoqSn8nemhGnnroRdu5qyx3bqcVyEnwDW9HneruHyqdo6y8m4lwFRKTIyGwjYONQE6Rc4d1LTpVwbu6rcWzNSSLknWFxOSJ6yqkv6zOkFJbEEEHnHIiKqY0sv8AL7/nUti2Xs8D8aj0qNPUsECwBo3mkqnIhagZG7BIg8aKWa2AjqzBzB+ttefofaEbRIIyIz+uFW1t2Qnr0T9CIJSsj9q5+o0YbtG/P627O2hGq9oASpCom+pUDOCcwNoo68wD4EbaiXkXF8Ff14cmzoH+aP0rqj1cNckkMpn9oP0rqnV04fE5cvkT9EdM9XiKMpOB7fhQXQ/TPq+NGEKwPbU5OyoeJ25Of1/WvWgQ2Y9FU++u8oBM9n120xaXZEJ3EfGs4rkOEgjanQ8q86oKIASLskBIxAJ2qxxORnDCvUsGzglLr7qbuCA2kgXIBE4Yqkqk7a9Q8du7Mi4t2tPIJcPoyesDH3iqRatIhThF8BQkK4rOKjJzxwHACiNo0hFkDY6V8+yOd3XiO40B0Pq4484lCYWtR6ImOKlqOSRmTXQ5LoqMWENF6IXankoGMGTuGWKuA98gVqbOhGxkkDsHyqr+T7R3JWx1lZm4hxIUBdvXHEJkAzgYrSU2Zv6NJKxt0Cm9HxlHcPlTi2ggSVDDcMeypGkLcwwMQkq2J29u4VT7brHfUcOoDAVVCsc0qt10wMEjITu3xmaasugFEXlrAnYAezHf9cah/wBtTlFKTptQyNNIHYRc0OIAk943bhTbWiG0nnTt3z2AddDzpt0nAgcQBtjhS+XdzLqjv2ZcBTFyTlJYBKUoBO3AYT9ZUO0lZioXWkiZwJwEbRAzOVJL6hMR3CnGnln63eFJpPgOUDhoS0n8TY4c741wavWn9oz/AB0VNqOUHf4yffTgckwcuvqpaR+B7y+QL/d20ftGuwKNIc1dtIzW17KqsfLISIvKncmSaZbthSSBeXOxWyYo0j8BtL5Ko9o20J2NcMDXG9FvnY13Kq1Wq1uA9BA64mmkPvZ3mwKWkQ2kAlavPn9n/F8qZd0A+mPu44lQ8OurGbWr8TnsxTS32jM31HiaekQ2ZSrZq+u8VlSJOwThAA8KSixrG3uqz2p5BwCQKHqFDSBMFfZ1b6XyG+iFykXRSpFWyGlilJTTrjgFNhYpahYWsj4UIPS+NKcZoOlW6iVhevYHMfU1m4UaKVkd+zCZEgjEEZg8Kn6M0qZuOEScAT0V/wDSr47N1ccYNQLTZZGI91JxT7C2j2vccimP2gw2jmrqkVYNP2hZaDazeAUCknpCAoQTtGO3HDur1bY1UaMcjuVk7RJ556vGigOHfQnRh5x6vGiQVgaifZUOh7HGKS4wSkxiYPfBgV1rEHH6kZnYImpikXboBxJGO7EbD11jKVOhTCdseDZCG7K2+kDpKVJScZRiD1/vV6p1isjFxJdCELOJF6Oom8ZmvVvySRdJaFLQBUoKkKBu4hKRGOO0iTVmsWmEsoDTQCUpEACJPFROZ2yaAsrKmrST6I+C8qHIUZzoTqTLfig5ZbWtFqU8mTeCr0qEytV4xAy4VOt+tSkj828qkCqupwiSDQW02lRJxyOymhMNP6TWsyokzTQdnGaDNuq3mnmnlE51QWFL/wBeNONp4/XZUBt0jbS0WhW+mSFGLoImY+vrsokm2JOWPCarSnCaS26fdTCy42WwCb6lYHAbtvealKZSkdMdQiAKpH2pUxP1iK6LWvHE5/XxpiLWq0sjpEq6jA7YzrrWl2sSEgfX9apptCpzrynTjjsHxPyosKLW7p28SQkbANnpe/GKhWrSytmG+N8D67KAh5WU7vCuPuke+kBPVbCcSTO0mnmdIAYGhAcPjTS3TNAw+u0JI6VR1O481QI8ZH9aDlwzFKbUSBjQARvk7RXgqONDkuGM68HDvpDJ6l00tyoYeVvpQcNIdjiqQTApPKGTSFmgBSnK8y6QQQaYIpq8d9FCsudgtSXE8dop5bA3VT7K8oEEGrTZ3SQDwrGUaNYysh6U0Qh1N03hBmUxO3f10Ed1ZQMlL91Wha6iOKpptCaTK2jQ9wyCo9grirMRv91G3ahu1XZNUQbKtTawqLwBm6cju2dvZXrRa3FLCxhBBAiRIIOPaKdcpk0aq7oTLSygPJS4ttJKgNgMcMa9TmjD5lv1R8K9V0Sf/9k=</t>
  </si>
  <si>
    <t>sdb_maison</t>
  </si>
  <si>
    <t>Les toilettes</t>
  </si>
  <si>
    <t>🛁</t>
  </si>
  <si>
    <t>bathroom interior clean</t>
  </si>
  <si>
    <t>https://raw.githubusercontent.com/olaf-programmeur/images/main/salle_bain.webp</t>
  </si>
  <si>
    <t>Où je paie les  factures</t>
  </si>
  <si>
    <t>🖥️</t>
  </si>
  <si>
    <t>home office computer</t>
  </si>
  <si>
    <t>https://encrypted-tbn3.gstatic.com/shopping?q=tbn:ANd9GcSlr8r-Exba5cE_89_D9y31L1f_1-fkAM-xb-CrJrZvUOUimlyH0w3_ZqRl0BGH7B7u33GIHpi_xrCfeABKBSg1yNYLY-IdggjNm3MBu34&amp;usqp=CAc</t>
  </si>
  <si>
    <t>buanderie_maison</t>
  </si>
  <si>
    <t>Où je lave le linge</t>
  </si>
  <si>
    <t>https://encrypted-tbn0.gstatic.com/images?q=tbn:ANd9GcS4KHoXcj5paseOf_DKIHNsvEeHNpjWmQPGVA&amp;s</t>
  </si>
  <si>
    <t>terrasse_maison</t>
  </si>
  <si>
    <t>Devant la maison</t>
  </si>
  <si>
    <t>🌻</t>
  </si>
  <si>
    <t>garden flowers backyard</t>
  </si>
  <si>
    <t>https://encrypted-tbn0.gstatic.com/images?q=tbn:ANd9GcT_MpYXRcuD9EZnDYPIKvMftN5HRLIWLeetTA&amp;s</t>
  </si>
  <si>
    <t>nettoyage_maison</t>
  </si>
  <si>
    <t>Nettoyer la maison et entretenir</t>
  </si>
  <si>
    <t>cleaning the house</t>
  </si>
  <si>
    <t>https://encrypted-tbn1.gstatic.com/shopping?q=tbn:ANd9GcSuG3OMoibO4sS6zwVk9ULIJH53YI8scoAlMefUlj4Hq-6Hs1o99xMmJi3hYWyTErTYYrbVaosT4-RWteuhYPP4yARgKZ96da6WhgfO_G6UoboNJycbWqIMUo4JtPiNRQV8ynwHncs&amp;usqp=CAc</t>
  </si>
  <si>
    <t>denrees_base</t>
  </si>
  <si>
    <t>Les denrées de base</t>
  </si>
  <si>
    <t>🧂</t>
  </si>
  <si>
    <t>consumer goods</t>
  </si>
  <si>
    <t>legumes</t>
  </si>
  <si>
    <t>Les légumes</t>
  </si>
  <si>
    <t>🥦</t>
  </si>
  <si>
    <t>fresh vegetables</t>
  </si>
  <si>
    <t>https://raw.githubusercontent.com/olaf-programmeur/images/main/legumes.webp</t>
  </si>
  <si>
    <t>fruits</t>
  </si>
  <si>
    <t>Les fruits</t>
  </si>
  <si>
    <t>fresh fruits</t>
  </si>
  <si>
    <t>https://raw.githubusercontent.com/olaf-programmeur/images/main/fruits.webp</t>
  </si>
  <si>
    <t>a_emporter</t>
  </si>
  <si>
    <t>A manger basic</t>
  </si>
  <si>
    <t>ham sandwich</t>
  </si>
  <si>
    <t>Les plats cuisinés</t>
  </si>
  <si>
    <t>🍲</t>
  </si>
  <si>
    <t>soup pasta cake dessert</t>
  </si>
  <si>
    <t>https://raw.githubusercontent.com/olaf-programmeur/images/main/plats_cuisines.webp</t>
  </si>
  <si>
    <t>assaisonnement</t>
  </si>
  <si>
    <t>Les assaisonnements</t>
  </si>
  <si>
    <t>bread, cheese and dry meat</t>
  </si>
  <si>
    <t>https://raw.githubusercontent.com/olaf-programmeur/images/main/assaisonnements.webp</t>
  </si>
  <si>
    <t>Les desserts</t>
  </si>
  <si>
    <t>cooking dish</t>
  </si>
  <si>
    <t>https://raw.githubusercontent.com/olaf-programmeur/images/main/dessert.webp</t>
  </si>
  <si>
    <t>souper</t>
  </si>
  <si>
    <t>Pour souper</t>
  </si>
  <si>
    <t>ma_voiture_int</t>
  </si>
  <si>
    <t>Ma voiture — intérieur</t>
  </si>
  <si>
    <t>🎛️</t>
  </si>
  <si>
    <t>#1a5276</t>
  </si>
  <si>
    <t>ma_voiture_ext</t>
  </si>
  <si>
    <t>Ma voiture — extérieur</t>
  </si>
  <si>
    <t>🚙</t>
  </si>
  <si>
    <t>car exterior dacia grey</t>
  </si>
  <si>
    <t>entretien_voiture</t>
  </si>
  <si>
    <t>Pour la voiture</t>
  </si>
  <si>
    <t>⛽</t>
  </si>
  <si>
    <t>#154360</t>
  </si>
  <si>
    <t>car maintenance fuel oil</t>
  </si>
  <si>
    <t>vehicules_terrestres</t>
  </si>
  <si>
    <t>Les véhicules à roues</t>
  </si>
  <si>
    <t>🚌</t>
  </si>
  <si>
    <t>#117a65</t>
  </si>
  <si>
    <t>bus train bicycle road vehicles</t>
  </si>
  <si>
    <t>transport_aérien_maritime</t>
  </si>
  <si>
    <t>Les véhicules dans les airs et sur l'eau</t>
  </si>
  <si>
    <t>✈️</t>
  </si>
  <si>
    <t>#0e6655</t>
  </si>
  <si>
    <t>airplane helicopter boat sea</t>
  </si>
  <si>
    <t>domestiques</t>
  </si>
  <si>
    <t>Les animaux domestiques</t>
  </si>
  <si>
    <t>dog cat pet domestic</t>
  </si>
  <si>
    <t>https://raw.githubusercontent.com/olaf-programmeur/images/main/animaux_domestiques.webp</t>
  </si>
  <si>
    <t>ferme</t>
  </si>
  <si>
    <t>Les animaux de ferme</t>
  </si>
  <si>
    <t>🐄</t>
  </si>
  <si>
    <t>cow sheep farm animal</t>
  </si>
  <si>
    <t>https://raw.githubusercontent.com/olaf-programmeur/images/main/animaux_ferme.webp</t>
  </si>
  <si>
    <t>sauvages</t>
  </si>
  <si>
    <t>Les animaux sauvages</t>
  </si>
  <si>
    <t>🦁</t>
  </si>
  <si>
    <t>wild animals lion tiger</t>
  </si>
  <si>
    <t>https://raw.githubusercontent.com/olaf-programmeur/images/main/animaux_sauvages.webp</t>
  </si>
  <si>
    <t>oiseaux</t>
  </si>
  <si>
    <t>Les oiseaux</t>
  </si>
  <si>
    <t>🦅</t>
  </si>
  <si>
    <t>eagle bird flying sky</t>
  </si>
  <si>
    <t>https://encrypted-tbn0.gstatic.com/images?q=tbn:ANd9GcS4s249_6mBL_je_terCSI_8amJz5JdgHXM-Q&amp;s</t>
  </si>
  <si>
    <t>insectes</t>
  </si>
  <si>
    <t>Les insectes</t>
  </si>
  <si>
    <t>🪰</t>
  </si>
  <si>
    <t>ants</t>
  </si>
  <si>
    <t>https://raw.githubusercontent.com/olaf-programmeur/images/main/insecte.webp</t>
  </si>
  <si>
    <t>haut_vêtements</t>
  </si>
  <si>
    <t>Pour le haut du corps</t>
  </si>
  <si>
    <t>👕</t>
  </si>
  <si>
    <t>shirt clothing top</t>
  </si>
  <si>
    <t>https://encrypted-tbn0.gstatic.com/images?q=tbn:ANd9GcSmwlt5B0B-J812_i2_8PWHzRGwuK9P22tRQg&amp;s</t>
  </si>
  <si>
    <t>bas_vetements</t>
  </si>
  <si>
    <t>Pour le bas du corps</t>
  </si>
  <si>
    <t>👖</t>
  </si>
  <si>
    <t>#7d3c98</t>
  </si>
  <si>
    <t>pants trousers fashion</t>
  </si>
  <si>
    <t>https://encrypted-tbn0.gstatic.com/images?q=tbn:ANd9GcT_SDk-GuIxPNal8SC6cjjC4nI4kt_5X3D8rg&amp;s</t>
  </si>
  <si>
    <t>chaussures</t>
  </si>
  <si>
    <t>Les chaussures</t>
  </si>
  <si>
    <t>👟</t>
  </si>
  <si>
    <t>#6c3483</t>
  </si>
  <si>
    <t>shoes sneakers footwear</t>
  </si>
  <si>
    <t>Les accessoires dans l'habillement</t>
  </si>
  <si>
    <t>🎩</t>
  </si>
  <si>
    <t>#5b2c6f</t>
  </si>
  <si>
    <t>fashion accessories belt cap</t>
  </si>
  <si>
    <t>https://encrypted-tbn0.gstatic.com/shopping?q=tbn:ANd9GcROMk8R4VSNvp--u8688EVkLU2rHuJ9KVaRoK_wQbPVN5h35SfyM6yA51tqjYpSzmaujTNeI2r3HQdugumKmRCPtMFd_clO5bv8cpKcA0r0B-OvX9rQ0Rxz-hejOM9z7UOm9br2DQ&amp;usqp=CAc</t>
  </si>
  <si>
    <t>entretien</t>
  </si>
  <si>
    <t>Le lavage et le repassage</t>
  </si>
  <si>
    <t>👔</t>
  </si>
  <si>
    <t>#4a235a</t>
  </si>
  <si>
    <t>laundry washing machine iron</t>
  </si>
  <si>
    <t>visage</t>
  </si>
  <si>
    <t>Le visage</t>
  </si>
  <si>
    <t>https://encrypted-tbn0.gstatic.com/images?q=tbn:ANd9GcQKyCsgQaeQ_-nOU7cVXYSmy2yZ854uBHcyLA&amp;s</t>
  </si>
  <si>
    <t>Le tronc</t>
  </si>
  <si>
    <t>human torso body</t>
  </si>
  <si>
    <t>membres</t>
  </si>
  <si>
    <t>Les membres</t>
  </si>
  <si>
    <t>💪</t>
  </si>
  <si>
    <t>#922b21</t>
  </si>
  <si>
    <t>human arm leg muscle</t>
  </si>
  <si>
    <t>https://encrypted-tbn0.gstatic.com/images?q=tbn:ANd9GcSAN8TmNDQIOnhgYdb83ZPrXl03dQN-znvLXg&amp;s</t>
  </si>
  <si>
    <t>corps_divers</t>
  </si>
  <si>
    <t>Mon corps - Divers</t>
  </si>
  <si>
    <t>skin and nails</t>
  </si>
  <si>
    <t>destinations</t>
  </si>
  <si>
    <t>Les endroits</t>
  </si>
  <si>
    <t>⛰️</t>
  </si>
  <si>
    <t>lac de Derborence</t>
  </si>
  <si>
    <t>reliefs</t>
  </si>
  <si>
    <t>Les éléments du paysage</t>
  </si>
  <si>
    <t>mountain forest rock landscape</t>
  </si>
  <si>
    <t>elements</t>
  </si>
  <si>
    <t>Les éléments naturels</t>
  </si>
  <si>
    <t>natural elements fire sky sun</t>
  </si>
  <si>
    <t>vegetaux</t>
  </si>
  <si>
    <t>Les végétaux</t>
  </si>
  <si>
    <t>🔥</t>
  </si>
  <si>
    <t>plants flowers trees nature</t>
  </si>
  <si>
    <t>bureau</t>
  </si>
  <si>
    <t>Au bureau</t>
  </si>
  <si>
    <t>🌱</t>
  </si>
  <si>
    <t>#1a252f</t>
  </si>
  <si>
    <t>office desk computer meeting</t>
  </si>
  <si>
    <t>finances</t>
  </si>
  <si>
    <t>Les finances &amp; les revenus</t>
  </si>
  <si>
    <t>💰</t>
  </si>
  <si>
    <t>#0d1117</t>
  </si>
  <si>
    <t>money salary finance work</t>
  </si>
  <si>
    <t>metiers</t>
  </si>
  <si>
    <t>Les métiers</t>
  </si>
  <si>
    <t>👨‍⚕️</t>
  </si>
  <si>
    <t>doctor teacher police professions</t>
  </si>
  <si>
    <t>batiments</t>
  </si>
  <si>
    <t>Les bâtiments publics</t>
  </si>
  <si>
    <t>🏛️</t>
  </si>
  <si>
    <t>public buildings school hospital</t>
  </si>
  <si>
    <t>Les lieux &amp; infrastructures</t>
  </si>
  <si>
    <t>🌉</t>
  </si>
  <si>
    <t>#2d3436</t>
  </si>
  <si>
    <t>city street park bridge</t>
  </si>
  <si>
    <t>Les services &amp; commerces</t>
  </si>
  <si>
    <t>🏪</t>
  </si>
  <si>
    <t>#636e72</t>
  </si>
  <si>
    <t>shop market hotel restaurant</t>
  </si>
  <si>
    <t>assurances_banques</t>
  </si>
  <si>
    <t>Les assurances &amp; les banques</t>
  </si>
  <si>
    <t>insurance papers</t>
  </si>
  <si>
    <t>mes_medecins</t>
  </si>
  <si>
    <t>Mes médecins</t>
  </si>
  <si>
    <t>🧑‍⚕️</t>
  </si>
  <si>
    <t>docteur qui osculte</t>
  </si>
  <si>
    <t>mots_courants</t>
  </si>
  <si>
    <t>Les mots de tous les jours</t>
  </si>
  <si>
    <t>mots_le_temps</t>
  </si>
  <si>
    <t>Le temps et les nombres</t>
  </si>
  <si>
    <t>🕒</t>
  </si>
  <si>
    <t>watches</t>
  </si>
  <si>
    <t>mot_forme</t>
  </si>
  <si>
    <t>les formes et les couleurs</t>
  </si>
  <si>
    <t>🔷</t>
  </si>
  <si>
    <t>formes géomètriques</t>
  </si>
  <si>
    <t>mots_et_contraire</t>
  </si>
  <si>
    <t>Les mots et leur contraire</t>
  </si>
  <si>
    <t>https://raw.githubusercontent.com/olaf-programmeur/images/main/antonymes.webp</t>
  </si>
  <si>
    <t>mot</t>
  </si>
  <si>
    <t>definition</t>
  </si>
  <si>
    <t>astuce</t>
  </si>
  <si>
    <t>image_url</t>
  </si>
  <si>
    <t>image_url_1</t>
  </si>
  <si>
    <t>image_url_2</t>
  </si>
  <si>
    <t>image_url_3</t>
  </si>
  <si>
    <t>image_url_4</t>
  </si>
  <si>
    <t>image_url_5</t>
  </si>
  <si>
    <t>image_recherche</t>
  </si>
  <si>
    <t>image_url_6</t>
  </si>
  <si>
    <t>tri</t>
  </si>
  <si>
    <t>sandwich</t>
  </si>
  <si>
    <t>le sandwich</t>
  </si>
  <si>
    <t>Met composé de pain sur lequel on étale du beurre, de la moutarde et que l'on garnit avec de la salade, des tomates, du jambon ou du salami ou du poulet.</t>
  </si>
  <si>
    <t>https://raw.githubusercontent.com/olaf-programmeur/images/main/sandwich.webp</t>
  </si>
  <si>
    <t>un sandwich</t>
  </si>
  <si>
    <t>chose</t>
  </si>
  <si>
    <t>lettre</t>
  </si>
  <si>
    <t>la lettre</t>
  </si>
  <si>
    <t>Message écrit envoyé à quelqu'un.</t>
  </si>
  <si>
    <t>https://raw.githubusercontent.com/olaf-programmeur/images/main/lettre.webp</t>
  </si>
  <si>
    <t>letter envelope writing paper</t>
  </si>
  <si>
    <t>reunion</t>
  </si>
  <si>
    <t>la réunion</t>
  </si>
  <si>
    <t>Rassemblement de personnes pour discuter.</t>
  </si>
  <si>
    <t>https://raw.githubusercontent.com/olaf-programmeur/images/main/séance_travail.webp</t>
  </si>
  <si>
    <t>meeting business conference</t>
  </si>
  <si>
    <t>m_bureau</t>
  </si>
  <si>
    <t>le bureau (meuble)</t>
  </si>
  <si>
    <t>Le meuble sur lequel on travaille avec un ordinateur, une souri, un stylo.</t>
  </si>
  <si>
    <t>https://raw.githubusercontent.com/olaf-programmeur/images/main/bureau.webp</t>
  </si>
  <si>
    <t>https://raw.githubusercontent.com/olaf-programmeur/images/main/bureau_1.webp</t>
  </si>
  <si>
    <t>https://raw.githubusercontent.com/olaf-programmeur/images/main/bureau_2.webp</t>
  </si>
  <si>
    <t>https://raw.githubusercontent.com/olaf-programmeur/images/main/bureau_3.webp</t>
  </si>
  <si>
    <t>office desk work</t>
  </si>
  <si>
    <t>rapport</t>
  </si>
  <si>
    <t>le rapport</t>
  </si>
  <si>
    <t>Un rapport, c'est le compte-rendu que j'écris à la fin de la journée.</t>
  </si>
  <si>
    <t>https://raw.githubusercontent.com/olaf-programmeur/images/main/rapport.webp</t>
  </si>
  <si>
    <t>entreprise</t>
  </si>
  <si>
    <t>l'entreprise</t>
  </si>
  <si>
    <t>Société qui produit des biens ou services.</t>
  </si>
  <si>
    <t>https://raw.githubusercontent.com/olaf-programmeur/images/main/entreprise.webp</t>
  </si>
  <si>
    <t>https://raw.githubusercontent.com/olaf-programmeur/images/main/entreprise_1.webp</t>
  </si>
  <si>
    <t>https://raw.githubusercontent.com/olaf-programmeur/images/main/entreprise_2.webp</t>
  </si>
  <si>
    <t>https://raw.githubusercontent.com/olaf-programmeur/images/main/entreprise_3.webp</t>
  </si>
  <si>
    <t>company office building business</t>
  </si>
  <si>
    <t>equipe</t>
  </si>
  <si>
    <t>l'équipe</t>
  </si>
  <si>
    <t>Groupe de personnes travaillant ensemble.</t>
  </si>
  <si>
    <t>https://raw.githubusercontent.com/olaf-programmeur/images/main/equipe.webp</t>
  </si>
  <si>
    <t>https://raw.githubusercontent.com/olaf-programmeur/images/main/equipe_1.webp</t>
  </si>
  <si>
    <t>https://raw.githubusercontent.com/olaf-programmeur/images/main/equipe_2.webp</t>
  </si>
  <si>
    <t>https://raw.githubusercontent.com/olaf-programmeur/images/main/equipe_3.webp</t>
  </si>
  <si>
    <t>team work together group</t>
  </si>
  <si>
    <t>la famille</t>
  </si>
  <si>
    <t>Groupe de personnes unies par des liens de parenté.</t>
  </si>
  <si>
    <t>https://raw.githubusercontent.com/olaf-programmeur/images/main/famille_1.webp</t>
  </si>
  <si>
    <t>family happy together</t>
  </si>
  <si>
    <t>personne</t>
  </si>
  <si>
    <t>mari_et_femme</t>
  </si>
  <si>
    <t>le mari et la femme</t>
  </si>
  <si>
    <t>Homme uni à une femme par le mariage.</t>
  </si>
  <si>
    <t>https://raw.githubusercontent.com/olaf-programmeur/images/main/mari_et_femme.webp</t>
  </si>
  <si>
    <t>https://raw.githubusercontent.com/olaf-programmeur/images/main/mari_et_femme_1.webp</t>
  </si>
  <si>
    <t>https://raw.githubusercontent.com/olaf-programmeur/images/main/mari_et_femme_2.webp</t>
  </si>
  <si>
    <t>https://raw.githubusercontent.com/olaf-programmeur/images/main/mari_et_femme_3.webp</t>
  </si>
  <si>
    <t>couple wedding</t>
  </si>
  <si>
    <t>mere</t>
  </si>
  <si>
    <t>la mère - la maman</t>
  </si>
  <si>
    <t>Femme qui a donné naissance à un ou plusieurs enfants. Avec son mari, ils sont les parents.</t>
  </si>
  <si>
    <t>pere</t>
  </si>
  <si>
    <t>le père - le papa</t>
  </si>
  <si>
    <t>Homme qui a eu un ou plusieurs enfants. Avec sa femme, ils sont les parents.</t>
  </si>
  <si>
    <t>enfants</t>
  </si>
  <si>
    <t>les enfants</t>
  </si>
  <si>
    <t>Jeune être humain avant l'adolescence.</t>
  </si>
  <si>
    <t>https://raw.githubusercontent.com/olaf-programmeur/images/main/enfants.webp</t>
  </si>
  <si>
    <t>https://raw.githubusercontent.com/olaf-programmeur/images/main/enfants_1.webp</t>
  </si>
  <si>
    <t>https://raw.githubusercontent.com/olaf-programmeur/images/main/enfants_2.webp</t>
  </si>
  <si>
    <t>https://raw.githubusercontent.com/olaf-programmeur/images/main/enfants_3.webp</t>
  </si>
  <si>
    <t>children laughing</t>
  </si>
  <si>
    <t>bebe</t>
  </si>
  <si>
    <t>le bébé</t>
  </si>
  <si>
    <t>Un tout petit enfant qui ne sait pas encore marcher ni parler, nourrisson.</t>
  </si>
  <si>
    <t>https://raw.githubusercontent.com/olaf-programmeur/images/main/bebe.webp</t>
  </si>
  <si>
    <t>https://raw.githubusercontent.com/olaf-programmeur/images/main/bebe_1.webp</t>
  </si>
  <si>
    <t>https://raw.githubusercontent.com/olaf-programmeur/images/main/bebe_2.webp</t>
  </si>
  <si>
    <t>https://raw.githubusercontent.com/olaf-programmeur/images/main/bebe_3.webp</t>
  </si>
  <si>
    <t>https://raw.githubusercontent.com/olaf-programmeur/images/main/bebe_4.webp</t>
  </si>
  <si>
    <t>baby newborn laughing</t>
  </si>
  <si>
    <t>fille</t>
  </si>
  <si>
    <t>la fille</t>
  </si>
  <si>
    <t>Enfant féminine, ou jeune femme.</t>
  </si>
  <si>
    <t>https://raw.githubusercontent.com/olaf-programmeur/images/main/fille.webp</t>
  </si>
  <si>
    <t>https://raw.githubusercontent.com/olaf-programmeur/images/main/fille_1.webp</t>
  </si>
  <si>
    <t>https://raw.githubusercontent.com/olaf-programmeur/images/main/fille_2.webp</t>
  </si>
  <si>
    <t>https://raw.githubusercontent.com/olaf-programmeur/images/main/fille_3.webp</t>
  </si>
  <si>
    <t>https://raw.githubusercontent.com/olaf-programmeur/images/main/fille_4.webp</t>
  </si>
  <si>
    <t>daughter girl child</t>
  </si>
  <si>
    <t>fils</t>
  </si>
  <si>
    <t>le fils</t>
  </si>
  <si>
    <t>Enfant masculin d'une personne.</t>
  </si>
  <si>
    <t>https://raw.githubusercontent.com/olaf-programmeur/images/main/fils.webp</t>
  </si>
  <si>
    <t>https://raw.githubusercontent.com/olaf-programmeur/images/main/fils_1.webp</t>
  </si>
  <si>
    <t>https://raw.githubusercontent.com/olaf-programmeur/images/main/fils_2.webp</t>
  </si>
  <si>
    <t>son boy child family</t>
  </si>
  <si>
    <t>grand_mere</t>
  </si>
  <si>
    <t>la grand-mère</t>
  </si>
  <si>
    <t>La maman de ton papa ou la maman de ta maman.</t>
  </si>
  <si>
    <t>une grand-mère</t>
  </si>
  <si>
    <t>grand_pere</t>
  </si>
  <si>
    <t>le grand-père</t>
  </si>
  <si>
    <t>Le papa de ton papa ou le papa de ta maman</t>
  </si>
  <si>
    <t>un grand-père</t>
  </si>
  <si>
    <t>soeur</t>
  </si>
  <si>
    <t>la soeur</t>
  </si>
  <si>
    <t>Fille qui a les mêmes parents que toi.</t>
  </si>
  <si>
    <t>https://raw.githubusercontent.com/olaf-programmeur/images/main/claudia.webp</t>
  </si>
  <si>
    <t>https://raw.githubusercontent.com/olaf-programmeur/images/main/barbara.webp</t>
  </si>
  <si>
    <t>https://raw.githubusercontent.com/olaf-programmeur/images/main/sandrine.webp</t>
  </si>
  <si>
    <t>sisters girls siblings</t>
  </si>
  <si>
    <t>frere</t>
  </si>
  <si>
    <t>le frère</t>
  </si>
  <si>
    <t>Garçon ou homme né des mêmes parents.</t>
  </si>
  <si>
    <t>https://raw.githubusercontent.com/olaf-programmeur/images/main/olivier.webp</t>
  </si>
  <si>
    <t>brothers boys siblings</t>
  </si>
  <si>
    <t>tante</t>
  </si>
  <si>
    <t>la tante</t>
  </si>
  <si>
    <t>Sœur du ton papa ou sœur de ta maman.</t>
  </si>
  <si>
    <t>https://raw.githubusercontent.com/olaf-programmeur/images/main/tante.webp</t>
  </si>
  <si>
    <t>une tante</t>
  </si>
  <si>
    <t>oncle</t>
  </si>
  <si>
    <t>l'oncle</t>
  </si>
  <si>
    <t>Frère de ton papa ou frère de ta maman.</t>
  </si>
  <si>
    <t>uncle man family</t>
  </si>
  <si>
    <t>homme</t>
  </si>
  <si>
    <t>l'homme</t>
  </si>
  <si>
    <t>Personne de sexe masculin.</t>
  </si>
  <si>
    <t>https://raw.githubusercontent.com/olaf-programmeur/images/main/homme.webp</t>
  </si>
  <si>
    <t>https://raw.githubusercontent.com/olaf-programmeur/images/main/homme_1.webp</t>
  </si>
  <si>
    <t>https://raw.githubusercontent.com/olaf-programmeur/images/main/homme_2.webp</t>
  </si>
  <si>
    <t>https://raw.githubusercontent.com/olaf-programmeur/images/main/homme_3.webp</t>
  </si>
  <si>
    <t>https://raw.githubusercontent.com/olaf-programmeur/images/main/homme_4.webp</t>
  </si>
  <si>
    <t>policeman in uniform</t>
  </si>
  <si>
    <t>femme</t>
  </si>
  <si>
    <t>la femme</t>
  </si>
  <si>
    <t>Personne de sexe féminin.</t>
  </si>
  <si>
    <t>https://raw.githubusercontent.com/olaf-programmeur/images/main/femme.webp</t>
  </si>
  <si>
    <t>https://raw.githubusercontent.com/olaf-programmeur/images/main/femme_1.webp</t>
  </si>
  <si>
    <t>https://raw.githubusercontent.com/olaf-programmeur/images/main/femme_2.webp</t>
  </si>
  <si>
    <t>https://raw.githubusercontent.com/olaf-programmeur/images/main/femme_3.webp</t>
  </si>
  <si>
    <t>https://raw.githubusercontent.com/olaf-programmeur/images/main/femme_4.webp</t>
  </si>
  <si>
    <t>woman smiling</t>
  </si>
  <si>
    <t>pelouse</t>
  </si>
  <si>
    <t>la pelouse</t>
  </si>
  <si>
    <t>Herbe verte que l'on sème et qui pousse devant une maison. On parle du gazon aussi et on dit une tondeuse à gazon.</t>
  </si>
  <si>
    <t>https://raw.githubusercontent.com/olaf-programmeur/images/main/pelouse.webp</t>
  </si>
  <si>
    <t>table_de_jardin</t>
  </si>
  <si>
    <t>la table de jardin</t>
  </si>
  <si>
    <t>Meuble de jardin avec quatre pieds sur lequel on mange.</t>
  </si>
  <si>
    <t>https://raw.githubusercontent.com/olaf-programmeur/images/main/table_jardin.webp</t>
  </si>
  <si>
    <t>haie_de_thujas</t>
  </si>
  <si>
    <t>la haie de thujas</t>
  </si>
  <si>
    <t>Arbre planté sous forme de haie.</t>
  </si>
  <si>
    <t>https://raw.githubusercontent.com/olaf-programmeur/images/main/thujas.webp</t>
  </si>
  <si>
    <t>arrosage_automatique</t>
  </si>
  <si>
    <t>l'arrosage automatique</t>
  </si>
  <si>
    <t>Jet d'eau pour arroser le gazon.</t>
  </si>
  <si>
    <t>https://raw.githubusercontent.com/olaf-programmeur/images/main/arrosage.webp</t>
  </si>
  <si>
    <t>tondeuse_a_gazon</t>
  </si>
  <si>
    <t>la tondeuse à gazon</t>
  </si>
  <si>
    <t>Machine pour couper l'herbe de la pelouse.</t>
  </si>
  <si>
    <t>une tondeuse à gazon</t>
  </si>
  <si>
    <t>essence_pour_tondeuse</t>
  </si>
  <si>
    <t>l'essence pour tondeuse</t>
  </si>
  <si>
    <t>Mélange d'essence sans plomb 95 et d'huile pour un moteur 2T et qui permet de faire fonctionner la tondeuse à gazon.</t>
  </si>
  <si>
    <t>essence pour tondeuse</t>
  </si>
  <si>
    <t>debroussailleuse</t>
  </si>
  <si>
    <t>la débroussailleuse</t>
  </si>
  <si>
    <t>Une débroussailleuse est un outil motorisé avec une lame ou un fil qui tourne très vite pour couper les herbes hautes, les buissons et les ronces.</t>
  </si>
  <si>
    <t>https://raw.githubusercontent.com/olaf-programmeur/images/main/debroussailleuse.webp</t>
  </si>
  <si>
    <t>fil_debroussailleuse</t>
  </si>
  <si>
    <t>le fil pour la débroussailleuse</t>
  </si>
  <si>
    <t>Il s'agit d'un fil en plastique utilisé par la débroussailleuse pour couper les herbes.</t>
  </si>
  <si>
    <t>https://raw.githubusercontent.com/olaf-programmeur/images/main/fil_debroussailleuse.webp</t>
  </si>
  <si>
    <t>don_honneur</t>
  </si>
  <si>
    <t>le don d'honneur (argent)</t>
  </si>
  <si>
    <t>Le don d'honneur est une petite somme d'argent que les habitants offrent volontairement aux musiciens d'une fanfare pour soutenir leur activité.</t>
  </si>
  <si>
    <t>https://raw.githubusercontent.com/olaf-programmeur/images/main/don_honneur.webp</t>
  </si>
  <si>
    <t>le défilé - le concours de marche</t>
  </si>
  <si>
    <t>Le défilé est un moment festif où les musiciens de la fanfare marchent en jouant de la musique dans les rues du village, souvent lors d'une fête ou d'un concours.</t>
  </si>
  <si>
    <t>asm</t>
  </si>
  <si>
    <t>l'ASM</t>
  </si>
  <si>
    <t>L'ASM est l'Association Suisse des Musiques.</t>
  </si>
  <si>
    <t>https://raw.githubusercontent.com/olaf-programmeur/images/main/asm.webp</t>
  </si>
  <si>
    <t>acmv</t>
  </si>
  <si>
    <t>l'ACMV</t>
  </si>
  <si>
    <t>L'ACMV est l'Association Cantonale des Musiques Valaisainnes qui regroupe toutes les fanfares du Valais.</t>
  </si>
  <si>
    <t>https://raw.githubusercontent.com/olaf-programmeur/images/main/acmv.webp</t>
  </si>
  <si>
    <t>fmvc</t>
  </si>
  <si>
    <t>la FMVC</t>
  </si>
  <si>
    <t>La Fédération des Musiques du Valais Central est  constituée de 13 fanfares du Valais central.</t>
  </si>
  <si>
    <t>https://raw.githubusercontent.com/olaf-programmeur/images/main/logo_fmvc.webp</t>
  </si>
  <si>
    <t>yvan_maistre</t>
  </si>
  <si>
    <t>Yvan Maistre</t>
  </si>
  <si>
    <t>Yvan Maître, président de la FMVC.</t>
  </si>
  <si>
    <t>https://raw.githubusercontent.com/olaf-programmeur/images/main/yvan_maitre.webp</t>
  </si>
  <si>
    <t>baguette</t>
  </si>
  <si>
    <t>la baguette</t>
  </si>
  <si>
    <t>Le petit bâton qui sert à diriger ou à jouer du tambour.</t>
  </si>
  <si>
    <t>https://raw.githubusercontent.com/olaf-programmeur/images/main/baguette.webp</t>
  </si>
  <si>
    <t>chanson</t>
  </si>
  <si>
    <t>la chanson</t>
  </si>
  <si>
    <t>Les paroles que l'on chante sur une musique.</t>
  </si>
  <si>
    <t>https://raw.githubusercontent.com/olaf-programmeur/images/main/chanson.webp</t>
  </si>
  <si>
    <t>chorale</t>
  </si>
  <si>
    <t>la chorale</t>
  </si>
  <si>
    <t>https://raw.githubusercontent.com/olaf-programmeur/images/main/chorale.webp</t>
  </si>
  <si>
    <t>danse</t>
  </si>
  <si>
    <t>la danse</t>
  </si>
  <si>
    <t>L'art de bouger son corps en rythme.</t>
  </si>
  <si>
    <t>https://raw.githubusercontent.com/olaf-programmeur/images/main/danse.webp</t>
  </si>
  <si>
    <t>melodie</t>
  </si>
  <si>
    <t>la mélodie</t>
  </si>
  <si>
    <t>La suite de notes agréable que l'on chante ou joue.</t>
  </si>
  <si>
    <t>https://raw.githubusercontent.com/olaf-programmeur/images/main/melodie.webp</t>
  </si>
  <si>
    <t>partition</t>
  </si>
  <si>
    <t>la partition</t>
  </si>
  <si>
    <t>Le papier où sont écrites les notes de musique.</t>
  </si>
  <si>
    <t>https://raw.githubusercontent.com/olaf-programmeur/images/main/partition.webp</t>
  </si>
  <si>
    <t>repetition</t>
  </si>
  <si>
    <t>la répétition</t>
  </si>
  <si>
    <t>Le moment où l'on s'entraîne avant de jouer en public.</t>
  </si>
  <si>
    <t>https://raw.githubusercontent.com/olaf-programmeur/images/main/repetition.webp</t>
  </si>
  <si>
    <t>scene</t>
  </si>
  <si>
    <t>la scène</t>
  </si>
  <si>
    <t>L'endroit surélevé où jouent les acteurs ou les chanteurs.</t>
  </si>
  <si>
    <t>https://raw.githubusercontent.com/olaf-programmeur/images/main/scene.webp</t>
  </si>
  <si>
    <t>directeur</t>
  </si>
  <si>
    <t>le directeur</t>
  </si>
  <si>
    <t>La personne qui dirige une fanfare ou un orchestre.</t>
  </si>
  <si>
    <t>https://raw.githubusercontent.com/olaf-programmeur/images/main/directeur.webp</t>
  </si>
  <si>
    <t>concert</t>
  </si>
  <si>
    <t>le concert</t>
  </si>
  <si>
    <t>Le spectacle où des musiciens jouent devant le public.</t>
  </si>
  <si>
    <t>https://raw.githubusercontent.com/olaf-programmeur/images/main/concert.webp</t>
  </si>
  <si>
    <t>loisir</t>
  </si>
  <si>
    <t>le loisir</t>
  </si>
  <si>
    <t>L'activité agréable que l'on fait pendant son temps libre.</t>
  </si>
  <si>
    <t>https://raw.githubusercontent.com/olaf-programmeur/images/main/loisir.webp</t>
  </si>
  <si>
    <t>https://raw.githubusercontent.com/olaf-programmeur/images/main/loisir_1.webp</t>
  </si>
  <si>
    <t>https://raw.githubusercontent.com/olaf-programmeur/images/main/loisir_2.webp</t>
  </si>
  <si>
    <t>https://raw.githubusercontent.com/olaf-programmeur/images/main/loisir_3.webp</t>
  </si>
  <si>
    <t>loto</t>
  </si>
  <si>
    <t>le loto</t>
  </si>
  <si>
    <t>Le jeu de hasard où l'on coche des numéros.</t>
  </si>
  <si>
    <t>https://raw.githubusercontent.com/olaf-programmeur/images/main/loto.webp</t>
  </si>
  <si>
    <t>https://raw.githubusercontent.com/olaf-programmeur/images/main/loto_1.webp</t>
  </si>
  <si>
    <t>https://raw.githubusercontent.com/olaf-programmeur/images/main/loto_2.webp</t>
  </si>
  <si>
    <t>https://raw.githubusercontent.com/olaf-programmeur/images/main/loto_3.webp</t>
  </si>
  <si>
    <t>https://raw.githubusercontent.com/olaf-programmeur/images/main/loto_4.webp</t>
  </si>
  <si>
    <t>membre</t>
  </si>
  <si>
    <t>le membre</t>
  </si>
  <si>
    <t>Une personne qui fait partie d'un groupe, ou un bras ou une jambe.</t>
  </si>
  <si>
    <t>https://raw.githubusercontent.com/olaf-programmeur/images/main/membre.webp</t>
  </si>
  <si>
    <t>https://raw.githubusercontent.com/olaf-programmeur/images/main/membre_1.webp</t>
  </si>
  <si>
    <t>public</t>
  </si>
  <si>
    <t>le public</t>
  </si>
  <si>
    <t>L'ensemble des gens qui écoutent un concert ou qui regardent un spectacle.</t>
  </si>
  <si>
    <t>https://raw.githubusercontent.com/olaf-programmeur/images/main/public.webp</t>
  </si>
  <si>
    <t>son</t>
  </si>
  <si>
    <t>le son</t>
  </si>
  <si>
    <t>Ce que l'on entend, le bruit.</t>
  </si>
  <si>
    <t>https://raw.githubusercontent.com/olaf-programmeur/images/main/son.webp</t>
  </si>
  <si>
    <t>souffle</t>
  </si>
  <si>
    <t>le souffle</t>
  </si>
  <si>
    <t>L'air que l'on envoie par la bouche.</t>
  </si>
  <si>
    <t>https://raw.githubusercontent.com/olaf-programmeur/images/main/souffle.webp</t>
  </si>
  <si>
    <t>spectacle</t>
  </si>
  <si>
    <t>le spectacle</t>
  </si>
  <si>
    <t>Ce que l'on présente à des gens pour qu'ils le regardent.</t>
  </si>
  <si>
    <t>https://raw.githubusercontent.com/olaf-programmeur/images/main/spectacle.webp</t>
  </si>
  <si>
    <t>https://raw.githubusercontent.com/olaf-programmeur/images/main/spectacle_1.webp</t>
  </si>
  <si>
    <t>https://raw.githubusercontent.com/olaf-programmeur/images/main/spectacle_2.webp</t>
  </si>
  <si>
    <t>https://raw.githubusercontent.com/olaf-programmeur/images/main/spectacle_3.webp</t>
  </si>
  <si>
    <t>https://raw.githubusercontent.com/olaf-programmeur/images/main/spectacle_4.webp</t>
  </si>
  <si>
    <t>applaudissements</t>
  </si>
  <si>
    <t>les applaudissements</t>
  </si>
  <si>
    <t>Le bruit des mains que l'on tape pour féliciter.</t>
  </si>
  <si>
    <t>https://raw.githubusercontent.com/olaf-programmeur/images/main/applaudissements.webp</t>
  </si>
  <si>
    <t>paroles</t>
  </si>
  <si>
    <t>les paroles</t>
  </si>
  <si>
    <t>Les mots d'une chanson ou ce que l'on dit.</t>
  </si>
  <si>
    <t>https://raw.githubusercontent.com/olaf-programmeur/images/main/parole.webp</t>
  </si>
  <si>
    <t>https://raw.githubusercontent.com/olaf-programmeur/images/main/parole_1.webp</t>
  </si>
  <si>
    <t>harmonie</t>
  </si>
  <si>
    <t>l'harmonie</t>
  </si>
  <si>
    <t>En musique, quand ça joue bien  ++  bien s'entendre avec les autres</t>
  </si>
  <si>
    <t>https://raw.githubusercontent.com/olaf-programmeur/images/main/harmonie.webp</t>
  </si>
  <si>
    <t>https://raw.githubusercontent.com/olaf-programmeur/images/main/harmonie_1.webp</t>
  </si>
  <si>
    <t>https://raw.githubusercontent.com/olaf-programmeur/images/main/harmonie_2.webp</t>
  </si>
  <si>
    <t>https://raw.githubusercontent.com/olaf-programmeur/images/main/harmonie_3.webp</t>
  </si>
  <si>
    <t>cuisine</t>
  </si>
  <si>
    <t>la cuisine</t>
  </si>
  <si>
    <t>Pièce de la maison où on fait à manger, on prépare les repas et où on ranger les courses.</t>
  </si>
  <si>
    <t>frigo</t>
  </si>
  <si>
    <t>le frigo</t>
  </si>
  <si>
    <t>Appareil électronénager qui produit du froid et permet de conserverles aliments.</t>
  </si>
  <si>
    <t>https://raw.githubusercontent.com/olaf-programmeur/images/main/frigo.webp</t>
  </si>
  <si>
    <t>frigo cuisine</t>
  </si>
  <si>
    <t>lave_vaisselle</t>
  </si>
  <si>
    <t>le lave-vaisselle</t>
  </si>
  <si>
    <t>Appareil électroménager qui permet de laver la vaisselle.</t>
  </si>
  <si>
    <t>four</t>
  </si>
  <si>
    <t>le four</t>
  </si>
  <si>
    <t>Appareil électroménager qui permet de cuir une pizza, un gâteau, des frites...</t>
  </si>
  <si>
    <t>https://raw.githubusercontent.com/olaf-programmeur/images/main/le_four.webp</t>
  </si>
  <si>
    <t>micro_onde</t>
  </si>
  <si>
    <t>le micro onde</t>
  </si>
  <si>
    <t>Appareil électroménager qui permet de cuir en 4 minutes un plat.</t>
  </si>
  <si>
    <t>https://raw.githubusercontent.com/olaf-programmeur/images/main/micro_onde.webp</t>
  </si>
  <si>
    <t>https://raw.githubusercontent.com/olaf-programmeur/images/main/micro_onde_1.webp</t>
  </si>
  <si>
    <t>https://raw.githubusercontent.com/olaf-programmeur/images/main/micro_onde_2.webp</t>
  </si>
  <si>
    <t>https://raw.githubusercontent.com/olaf-programmeur/images/main/micro_onde_3.webp</t>
  </si>
  <si>
    <t>cuisiniere_vitroceram</t>
  </si>
  <si>
    <t>la cuisinière vitroceram</t>
  </si>
  <si>
    <t>Appareil életrique avec des plaques pour chauffer le repas.</t>
  </si>
  <si>
    <t>https://raw.githubusercontent.com/olaf-programmeur/images/main/vitroceram.webp</t>
  </si>
  <si>
    <t>machine_a_cafe</t>
  </si>
  <si>
    <t>la machine à café</t>
  </si>
  <si>
    <t>Machine pour faire un café. De l'eau, une capsule et on appuie sur le bouton.</t>
  </si>
  <si>
    <t>https://raw.githubusercontent.com/olaf-programmeur/images/main/machine_a_cafe.webp</t>
  </si>
  <si>
    <t>coffee machine</t>
  </si>
  <si>
    <t>verre</t>
  </si>
  <si>
    <t>le verre</t>
  </si>
  <si>
    <t>Récipient dans lequel on met un liquide pour boire.</t>
  </si>
  <si>
    <t>https://raw.githubusercontent.com/olaf-programmeur/images/main/verres.webp</t>
  </si>
  <si>
    <t>tasse</t>
  </si>
  <si>
    <t>la tasse</t>
  </si>
  <si>
    <t>Récipient dans lequel on boit généralement une boisson chaude comme un thé ou un café.</t>
  </si>
  <si>
    <t>https://raw.githubusercontent.com/olaf-programmeur/images/main/tasse.webp</t>
  </si>
  <si>
    <t>la bouteille</t>
  </si>
  <si>
    <t>la bouteille permet de transporter un liquide comme de l'eau, du vin, du lait.</t>
  </si>
  <si>
    <t>le pot ou la mesure</t>
  </si>
  <si>
    <t>Récipient utilisé pour contenir un liquide comme de l'eau par exemple.</t>
  </si>
  <si>
    <t>un pot ou une mesure</t>
  </si>
  <si>
    <t>assiette</t>
  </si>
  <si>
    <t>l'assiette</t>
  </si>
  <si>
    <t>Récipient dans lequel on met la nourriture préparée pour la manger.</t>
  </si>
  <si>
    <t>https://raw.githubusercontent.com/olaf-programmeur/images/main/assiette.webp</t>
  </si>
  <si>
    <t>fourchette</t>
  </si>
  <si>
    <t>la fourchette</t>
  </si>
  <si>
    <t>Petit instrument qui permet de piquer la nourriture dans l'assiette pour la manger.</t>
  </si>
  <si>
    <t>cuillere</t>
  </si>
  <si>
    <t>la cuillère</t>
  </si>
  <si>
    <t>Instrument qui permet de remuer le café, de manger de la soupe ou un dessert.</t>
  </si>
  <si>
    <t>couteau</t>
  </si>
  <si>
    <t>le couteau</t>
  </si>
  <si>
    <t>Instrument qui permet de couper.</t>
  </si>
  <si>
    <t>https://raw.githubusercontent.com/olaf-programmeur/images/main/couteau.webp</t>
  </si>
  <si>
    <t>casserole</t>
  </si>
  <si>
    <t>la casserole</t>
  </si>
  <si>
    <t>Récipient avec un manche pour cuisiner,  cuire de l'eau ou des aliments.</t>
  </si>
  <si>
    <t>Récipient pour cuisiner, cuire des aliments comme des pâtes, un rôti, de la polente.</t>
  </si>
  <si>
    <t>poele</t>
  </si>
  <si>
    <t>la poêle</t>
  </si>
  <si>
    <t>Récipient de cuisine pour griller la viande, les pâtes, faire des oeufs.</t>
  </si>
  <si>
    <t>evier_ou_plonge</t>
  </si>
  <si>
    <t>l'évier ou la plonge</t>
  </si>
  <si>
    <t>Bac installé dans une cuisine, conçu pour laver la vaisselle et les ustensiles.</t>
  </si>
  <si>
    <t>a new kitchen sink</t>
  </si>
  <si>
    <t>caquelon_rechaud</t>
  </si>
  <si>
    <t>le caquelon et le réchaud</t>
  </si>
  <si>
    <t>Le caquelon est un récipient en céramique et le réchaud est le support sur lequel on pose le caquelon. Une flamme est placée en dessous et ils permettent de garder la fondue chaude à table. On mange la fondue avec des fourchettes.</t>
  </si>
  <si>
    <t>https://raw.githubusercontent.com/olaf-programmeur/images/main/caquelon_rechaud.webp</t>
  </si>
  <si>
    <t>four_a_raclette</t>
  </si>
  <si>
    <t>la grille à raclette</t>
  </si>
  <si>
    <t>Le four à raclette est un appareil électrique spécial qui chauffe le fromage pour le faire fondre et le racler dans l'assiette ensuite.</t>
  </si>
  <si>
    <t>https://raw.githubusercontent.com/olaf-programmeur/images/main/four_a_raclette.webp</t>
  </si>
  <si>
    <t>robinet</t>
  </si>
  <si>
    <t>le robinet</t>
  </si>
  <si>
    <t>Appareil  métallique qui permet de faire couler de l'eau dans l'évier ou d'empêcher l'eau de s'écouler.</t>
  </si>
  <si>
    <t>table</t>
  </si>
  <si>
    <t>la table</t>
  </si>
  <si>
    <t>Meuble plat sur pieds servant à manger, travailler.</t>
  </si>
  <si>
    <t>eating table</t>
  </si>
  <si>
    <t>chaise</t>
  </si>
  <si>
    <t>la chaise</t>
  </si>
  <si>
    <t>Siège à dossier et quatre pieds pour une personne.</t>
  </si>
  <si>
    <t>https://raw.githubusercontent.com/olaf-programmeur/images/main/chaise.webp</t>
  </si>
  <si>
    <t>wooden chair kitchen</t>
  </si>
  <si>
    <t>buffet</t>
  </si>
  <si>
    <t>le buffet</t>
  </si>
  <si>
    <t>Meuble de cuisine dans lequel on range les assiettes, les tasses, les plats.</t>
  </si>
  <si>
    <t>vaisselle</t>
  </si>
  <si>
    <t>la vaisselle</t>
  </si>
  <si>
    <t>L'ensemble des assiettes, verres et plats que l'on lave.</t>
  </si>
  <si>
    <t>https://raw.githubusercontent.com/olaf-programmeur/images/main/vaisselle.webp</t>
  </si>
  <si>
    <t>dossier</t>
  </si>
  <si>
    <t>le dossier</t>
  </si>
  <si>
    <t>La partie du siège contre laquelle on appuie le dos.</t>
  </si>
  <si>
    <t>https://raw.githubusercontent.com/olaf-programmeur/images/main/dossier.webp</t>
  </si>
  <si>
    <t>lave_linge</t>
  </si>
  <si>
    <t>le lave-linge</t>
  </si>
  <si>
    <t>Machine ou appareil électroménager pour laver le linge. On dit aussi machine à laver le linge.</t>
  </si>
  <si>
    <t>https://raw.githubusercontent.com/olaf-programmeur/images/main/lave_linge.webp</t>
  </si>
  <si>
    <t>https://raw.githubusercontent.com/olaf-programmeur/images/main/lave_linge_2.webp</t>
  </si>
  <si>
    <t>un lave-linge</t>
  </si>
  <si>
    <t>seche_linge</t>
  </si>
  <si>
    <t>le sèche-linge</t>
  </si>
  <si>
    <t>Machine ou appareil électroménager pour sécher le linge. Il ressemble à la machine à laver mais il n'y a pas d'eau.</t>
  </si>
  <si>
    <t>un sèche-linge</t>
  </si>
  <si>
    <t>fer_a_repasser</t>
  </si>
  <si>
    <t>le fer à repasser</t>
  </si>
  <si>
    <t>Appareil électroménager utilisé pour repasser les habits, avant de les plier et les ranger dans l'armoire.</t>
  </si>
  <si>
    <t>https://raw.githubusercontent.com/olaf-programmeur/images/main/laura_star.webp</t>
  </si>
  <si>
    <t>un fer à repasser</t>
  </si>
  <si>
    <t>salon</t>
  </si>
  <si>
    <t>le salon</t>
  </si>
  <si>
    <t>Pièce principale d'une maison pour recevoir, regarder la télévision et se détendre.</t>
  </si>
  <si>
    <t>canape</t>
  </si>
  <si>
    <t>le canapé</t>
  </si>
  <si>
    <t>Grand siège confortable pour plusieurs personnes.</t>
  </si>
  <si>
    <t>fauteuil</t>
  </si>
  <si>
    <t>le fauteuil</t>
  </si>
  <si>
    <t>Siège confortable avec accoudoirs pour une personne.</t>
  </si>
  <si>
    <t>https://raw.githubusercontent.com/olaf-programmeur/images/main/fauteuil.webp</t>
  </si>
  <si>
    <t>un fauteuil</t>
  </si>
  <si>
    <t>meuble</t>
  </si>
  <si>
    <t>le meuble</t>
  </si>
  <si>
    <t>Objet sur lequel on peut poser la télévision et ranger des choses.</t>
  </si>
  <si>
    <t>https://raw.githubusercontent.com/olaf-programmeur/images/main/meuble_salon.webp</t>
  </si>
  <si>
    <t>television</t>
  </si>
  <si>
    <t>la télévision</t>
  </si>
  <si>
    <t>Écran qui diffuse des films, des reportages et de la musique.</t>
  </si>
  <si>
    <t>lampe</t>
  </si>
  <si>
    <t>la lampe</t>
  </si>
  <si>
    <t>Appareil d'éclairage pour illuminer une pièce.</t>
  </si>
  <si>
    <t>https://raw.githubusercontent.com/olaf-programmeur/images/main/lampes.webp</t>
  </si>
  <si>
    <t>portee_et_mesures</t>
  </si>
  <si>
    <t>la portée et les mesures</t>
  </si>
  <si>
    <t>La portée est formée de cinq lignes horizontales sur lesquelles on écrit les notes de musique, et les mesures sont des séparations verticales qui la découpent en parties égales.</t>
  </si>
  <si>
    <t>https://raw.githubusercontent.com/olaf-programmeur/images/main/portee_et_mesures.webp</t>
  </si>
  <si>
    <t>cle_de_sol</t>
  </si>
  <si>
    <t>la clé de sol</t>
  </si>
  <si>
    <t>La clé de sol est un joli symbole dessiné au début de chaque ligne de musique pour indiquer le nom et la hauteur des notes sur la portée.</t>
  </si>
  <si>
    <t>https://raw.githubusercontent.com/olaf-programmeur/images/main/cle_de_sol.webp</t>
  </si>
  <si>
    <t>figures_notes</t>
  </si>
  <si>
    <t>les figures de notes</t>
  </si>
  <si>
    <t>Les figures de notes sont les différents dessins utilisés en musique (ronde, blanche, noire, croche) qui indiquent pendant combien de temps on joue chaque note.</t>
  </si>
  <si>
    <t>https://raw.githubusercontent.com/olaf-programmeur/images/main/figure_notes.webp</t>
  </si>
  <si>
    <t>alterations</t>
  </si>
  <si>
    <t>les altérations</t>
  </si>
  <si>
    <t>Les altérations sont des petits signes placés devant les notes de musique, comme le dièse (♯) qui monte le son ou le bémol (♭) qui le descend.</t>
  </si>
  <si>
    <t>https://raw.githubusercontent.com/olaf-programmeur/images/main/alterations.webp</t>
  </si>
  <si>
    <t>silences</t>
  </si>
  <si>
    <t>les silences</t>
  </si>
  <si>
    <t>Les silences en musique sont des pauses pendant lesquelles on ne joue aucune note ; comme les notes, ils ont des durées différentes indiquées par des signes spéciaux.</t>
  </si>
  <si>
    <t>https://raw.githubusercontent.com/olaf-programmeur/images/main/silences.webp</t>
  </si>
  <si>
    <t>les_nuances</t>
  </si>
  <si>
    <t>les nuances</t>
  </si>
  <si>
    <t>Les nuances en musique sont des indications qui précisent comment jouer, fort ou doucement : 'piano' (p) signifie doucement et 'forte' (f) signifie fort.</t>
  </si>
  <si>
    <t>https://raw.githubusercontent.com/olaf-programmeur/images/main/les_nuances.webp</t>
  </si>
  <si>
    <t>crescendo_decrescendo</t>
  </si>
  <si>
    <t>le crescendo et decrescendo</t>
  </si>
  <si>
    <t>Le crescendo et le decrescendo sont deux signes en forme de chevrons qui indiquent au musicien de jouer progressivement plus fort, puis plus doucement.</t>
  </si>
  <si>
    <t>https://raw.githubusercontent.com/olaf-programmeur/images/main/crescendo_decrescendo.webp</t>
  </si>
  <si>
    <t>seconde</t>
  </si>
  <si>
    <t>la seconde</t>
  </si>
  <si>
    <t>Une courte mesure du temps. Il faut compter 60 secondes pour une minute.</t>
  </si>
  <si>
    <t>https://raw.githubusercontent.com/olaf-programmeur/images/main/seconde.webp</t>
  </si>
  <si>
    <t>mot utile</t>
  </si>
  <si>
    <t>minute</t>
  </si>
  <si>
    <t>la minute</t>
  </si>
  <si>
    <t>Une courte mesure du temps. Une heure compte 60 minutes.</t>
  </si>
  <si>
    <t>https://raw.githubusercontent.com/olaf-programmeur/images/main/minute.webp</t>
  </si>
  <si>
    <t>heure</t>
  </si>
  <si>
    <t>l'heure</t>
  </si>
  <si>
    <t>La mesure du temps. Une journée compte 24 heures.</t>
  </si>
  <si>
    <t>https://raw.githubusercontent.com/olaf-programmeur/images/main/heure.webp</t>
  </si>
  <si>
    <t>jour</t>
  </si>
  <si>
    <t>le jour</t>
  </si>
  <si>
    <t>Le temps entre le lever et le coucher du soleil, ou 24 heures. Il faut 30 jours pour faire un mois et 365 pour faire une année.</t>
  </si>
  <si>
    <t>https://raw.githubusercontent.com/olaf-programmeur/images/main/jour.webp</t>
  </si>
  <si>
    <t>matin</t>
  </si>
  <si>
    <t>le matin</t>
  </si>
  <si>
    <t>Le début de la journée, quand le soleil se lève.</t>
  </si>
  <si>
    <t>https://raw.githubusercontent.com/olaf-programmeur/images/main/matin.webp</t>
  </si>
  <si>
    <t>https://raw.githubusercontent.com/olaf-programmeur/images/main/matin_1.webp</t>
  </si>
  <si>
    <t>https://raw.githubusercontent.com/olaf-programmeur/images/main/matin_2.webp</t>
  </si>
  <si>
    <t>https://raw.githubusercontent.com/olaf-programmeur/images/main/matin_3.webp</t>
  </si>
  <si>
    <t>https://raw.githubusercontent.com/olaf-programmeur/images/main/matin_4.webp</t>
  </si>
  <si>
    <t>soir</t>
  </si>
  <si>
    <t>le soir</t>
  </si>
  <si>
    <t>La fin de la journée, quand le soleil se couche.</t>
  </si>
  <si>
    <t>https://raw.githubusercontent.com/olaf-programmeur/images/main/soir.webp</t>
  </si>
  <si>
    <t>https://raw.githubusercontent.com/olaf-programmeur/images/main/soir_1.webp</t>
  </si>
  <si>
    <t>https://raw.githubusercontent.com/olaf-programmeur/images/main/soir_2.webp</t>
  </si>
  <si>
    <t>https://raw.githubusercontent.com/olaf-programmeur/images/main/soir_3.webp</t>
  </si>
  <si>
    <t>https://raw.githubusercontent.com/olaf-programmeur/images/main/soir_4.webp</t>
  </si>
  <si>
    <t>nuit</t>
  </si>
  <si>
    <t>la nuit</t>
  </si>
  <si>
    <t>Le moment sombre, quand le soleil est couché.</t>
  </si>
  <si>
    <t>https://raw.githubusercontent.com/olaf-programmeur/images/main/nuit.webp</t>
  </si>
  <si>
    <t>semaine</t>
  </si>
  <si>
    <t>la semaine</t>
  </si>
  <si>
    <t>La période de sept jours, du lundi au dimanche. Le mois compte 4 semaines environ et l'année en compte 52.</t>
  </si>
  <si>
    <t>https://raw.githubusercontent.com/olaf-programmeur/images/main/semaine.webp</t>
  </si>
  <si>
    <t>mois</t>
  </si>
  <si>
    <t>le mois</t>
  </si>
  <si>
    <t>Une période d'environ trente jours. L'année a douze mois.</t>
  </si>
  <si>
    <t>https://raw.githubusercontent.com/olaf-programmeur/images/main/mois.webp</t>
  </si>
  <si>
    <t>annee</t>
  </si>
  <si>
    <t>l'année</t>
  </si>
  <si>
    <t>La période de douze mois, ou de 365 jours.</t>
  </si>
  <si>
    <t>https://raw.githubusercontent.com/olaf-programmeur/images/main/annee.webp</t>
  </si>
  <si>
    <t>siecle</t>
  </si>
  <si>
    <t>le siècle</t>
  </si>
  <si>
    <t>Une période de cent ans.</t>
  </si>
  <si>
    <t>https://raw.githubusercontent.com/olaf-programmeur/images/main/siecle.webp</t>
  </si>
  <si>
    <t>printemps</t>
  </si>
  <si>
    <t>le printemps</t>
  </si>
  <si>
    <t>La saison où les fleurs poussent, après l'hiver.</t>
  </si>
  <si>
    <t>https://raw.githubusercontent.com/olaf-programmeur/images/main/printemps.webp</t>
  </si>
  <si>
    <t>ete</t>
  </si>
  <si>
    <t>l'été</t>
  </si>
  <si>
    <t>La saison la plus chaude de l'année.</t>
  </si>
  <si>
    <t>https://raw.githubusercontent.com/olaf-programmeur/images/main/ete.webp</t>
  </si>
  <si>
    <t>automne</t>
  </si>
  <si>
    <t>l'automne</t>
  </si>
  <si>
    <t>La saison où les feuilles tombent, avant l'hiver.</t>
  </si>
  <si>
    <t>https://raw.githubusercontent.com/olaf-programmeur/images/main/automne.webp</t>
  </si>
  <si>
    <t>hiver</t>
  </si>
  <si>
    <t>l'hiver</t>
  </si>
  <si>
    <t>La saison la plus froide de l'année.</t>
  </si>
  <si>
    <t>https://raw.githubusercontent.com/olaf-programmeur/images/main/hiver.webp</t>
  </si>
  <si>
    <t>saison</t>
  </si>
  <si>
    <t>la saison</t>
  </si>
  <si>
    <t>Une des quatre parties de l'année.</t>
  </si>
  <si>
    <t>https://raw.githubusercontent.com/olaf-programmeur/images/main/saisons.webp</t>
  </si>
  <si>
    <t>date</t>
  </si>
  <si>
    <t>la date</t>
  </si>
  <si>
    <t>Le jour précis du calendrier.</t>
  </si>
  <si>
    <t>https://raw.githubusercontent.com/olaf-programmeur/images/main/date.webp</t>
  </si>
  <si>
    <t>anniversaire</t>
  </si>
  <si>
    <t>l'anniversaire</t>
  </si>
  <si>
    <t>Le jour qui revient chaque année à la date de la naissance.</t>
  </si>
  <si>
    <t>https://raw.githubusercontent.com/olaf-programmeur/images/main/anniversaire.webp</t>
  </si>
  <si>
    <t>aujourd_hui</t>
  </si>
  <si>
    <t>aujourd'hui</t>
  </si>
  <si>
    <t>Le jour où l'on est.</t>
  </si>
  <si>
    <t>https://raw.githubusercontent.com/olaf-programmeur/images/main/aujourdhui.webp</t>
  </si>
  <si>
    <t>https://raw.githubusercontent.com/olaf-programmeur/images/main/demain.webp</t>
  </si>
  <si>
    <t>hier</t>
  </si>
  <si>
    <t>Le jour qui était avant aujourd'hui.</t>
  </si>
  <si>
    <t>demain</t>
  </si>
  <si>
    <t>Le jour qui vient après aujourd'hui.</t>
  </si>
  <si>
    <t>maintenant</t>
  </si>
  <si>
    <t>En ce moment, tout de suite.</t>
  </si>
  <si>
    <t>https://raw.githubusercontent.com/olaf-programmeur/images/main/maintenant.webp</t>
  </si>
  <si>
    <t>calendrier</t>
  </si>
  <si>
    <t>le calendrier</t>
  </si>
  <si>
    <t>Le tableau qui montre les jours, les semaines et les mois.</t>
  </si>
  <si>
    <t>https://raw.githubusercontent.com/olaf-programmeur/images/main/calendrier.webp</t>
  </si>
  <si>
    <t>agenda</t>
  </si>
  <si>
    <t>l'agenda</t>
  </si>
  <si>
    <t>Le carnet où l'on note ce que l'on doit faire chaque jour.</t>
  </si>
  <si>
    <t>https://raw.githubusercontent.com/olaf-programmeur/images/main/agenda.webp</t>
  </si>
  <si>
    <t>duree</t>
  </si>
  <si>
    <t>la durée</t>
  </si>
  <si>
    <t>Le temps que dure une chose.</t>
  </si>
  <si>
    <t>https://raw.githubusercontent.com/olaf-programmeur/images/main/duree.webp</t>
  </si>
  <si>
    <t>tot</t>
  </si>
  <si>
    <t>tôt</t>
  </si>
  <si>
    <t>Avant le moment habituel.</t>
  </si>
  <si>
    <t>https://raw.githubusercontent.com/olaf-programmeur/images/main/tot.webp</t>
  </si>
  <si>
    <t>tard</t>
  </si>
  <si>
    <t>Après le moment prévu ou habituel.</t>
  </si>
  <si>
    <t>https://raw.githubusercontent.com/olaf-programmeur/images/main/tard.webp</t>
  </si>
  <si>
    <t>toujours</t>
  </si>
  <si>
    <t>Tout le temps, sans s'arrêter.</t>
  </si>
  <si>
    <t>https://raw.githubusercontent.com/olaf-programmeur/images/main/toujours.webp</t>
  </si>
  <si>
    <t>jamais</t>
  </si>
  <si>
    <t>À aucun moment.</t>
  </si>
  <si>
    <t>https://raw.githubusercontent.com/olaf-programmeur/images/main/jamais.webp</t>
  </si>
  <si>
    <t>souvent</t>
  </si>
  <si>
    <t>De nombreuses fois.</t>
  </si>
  <si>
    <t>https://raw.githubusercontent.com/olaf-programmeur/images/main/souvent.webp</t>
  </si>
  <si>
    <t>parfois</t>
  </si>
  <si>
    <t>De temps en temps, pas toujours.</t>
  </si>
  <si>
    <t>https://raw.githubusercontent.com/olaf-programmeur/images/main/parfois.webp</t>
  </si>
  <si>
    <t>paire</t>
  </si>
  <si>
    <t>la paire</t>
  </si>
  <si>
    <t>Un ensemble de deux choses qui vont ensemble.</t>
  </si>
  <si>
    <t>https://raw.githubusercontent.com/olaf-programmeur/images/main/paire.webp</t>
  </si>
  <si>
    <t>douzaine</t>
  </si>
  <si>
    <t>la douzaine</t>
  </si>
  <si>
    <t>Un ensemble de douze choses.</t>
  </si>
  <si>
    <t>https://raw.githubusercontent.com/olaf-programmeur/images/main/douzaine.webp</t>
  </si>
  <si>
    <t>centaine</t>
  </si>
  <si>
    <t>la centaine</t>
  </si>
  <si>
    <t>Un ensemble d'environ cent choses.</t>
  </si>
  <si>
    <t>https://raw.githubusercontent.com/olaf-programmeur/images/main/centaine.webp</t>
  </si>
  <si>
    <t>ventre</t>
  </si>
  <si>
    <t>le ventre</t>
  </si>
  <si>
    <t>Partie avant du tronc entre la poitrine et le bassin.</t>
  </si>
  <si>
    <t>https://raw.githubusercontent.com/olaf-programmeur/images/main/ventre.webp</t>
  </si>
  <si>
    <t>belly abdomen body</t>
  </si>
  <si>
    <t>dos</t>
  </si>
  <si>
    <t>le dos</t>
  </si>
  <si>
    <t>Partie postérieure (arrière) du tronc.</t>
  </si>
  <si>
    <t>https://raw.githubusercontent.com/olaf-programmeur/images/main/dos.webp</t>
  </si>
  <si>
    <t>human back anatomy</t>
  </si>
  <si>
    <t>coeur</t>
  </si>
  <si>
    <t>le coeur</t>
  </si>
  <si>
    <t>L'organe dans ta poitrine qui pompe le sang dans ton corps.</t>
  </si>
  <si>
    <t>heart anatomy love</t>
  </si>
  <si>
    <t>poitrine</t>
  </si>
  <si>
    <t>la poitrine</t>
  </si>
  <si>
    <t>Le devant du haut du corps.</t>
  </si>
  <si>
    <t>https://raw.githubusercontent.com/olaf-programmeur/images/main/poitrine.webp</t>
  </si>
  <si>
    <t>torse</t>
  </si>
  <si>
    <t>le torse</t>
  </si>
  <si>
    <t>Le haut du corps, sans la tête ni les bras.</t>
  </si>
  <si>
    <t>https://raw.githubusercontent.com/olaf-programmeur/images/main/torse.webp</t>
  </si>
  <si>
    <t>epaule</t>
  </si>
  <si>
    <t>l'épaule</t>
  </si>
  <si>
    <t>La partie du corps entre le cou et le bras.</t>
  </si>
  <si>
    <t>https://raw.githubusercontent.com/olaf-programmeur/images/main/epaule.webp</t>
  </si>
  <si>
    <t>tete</t>
  </si>
  <si>
    <t>la tête</t>
  </si>
  <si>
    <t>Partie supérieure du corps humain qui contient le cerveau.</t>
  </si>
  <si>
    <t>cheveux</t>
  </si>
  <si>
    <t>les cheveux</t>
  </si>
  <si>
    <t>Poils qui poussent sur la tête.</t>
  </si>
  <si>
    <t>https://raw.githubusercontent.com/olaf-programmeur/images/main/cheveux.webp</t>
  </si>
  <si>
    <t>long curly hair of woman</t>
  </si>
  <si>
    <t>oeil</t>
  </si>
  <si>
    <t>l'oeil</t>
  </si>
  <si>
    <t>Organe de la vue, au pluriel 'yeux'.</t>
  </si>
  <si>
    <t>https://raw.githubusercontent.com/olaf-programmeur/images/main/oeil.webp</t>
  </si>
  <si>
    <t>human eye close up</t>
  </si>
  <si>
    <t>nez</t>
  </si>
  <si>
    <t>le nez</t>
  </si>
  <si>
    <t>Partie du visage qui te sert à sentir et à respirer.</t>
  </si>
  <si>
    <t>https://raw.githubusercontent.com/olaf-programmeur/images/main/nez.webp</t>
  </si>
  <si>
    <t>https://raw.githubusercontent.com/olaf-programmeur/images/main/nez_1.webp</t>
  </si>
  <si>
    <t>https://raw.githubusercontent.com/olaf-programmeur/images/main/nez_2.webp</t>
  </si>
  <si>
    <t>https://raw.githubusercontent.com/olaf-programmeur/images/main/nez_3.webp</t>
  </si>
  <si>
    <t>https://raw.githubusercontent.com/olaf-programmeur/images/main/nez_4.webp</t>
  </si>
  <si>
    <t>human nose face</t>
  </si>
  <si>
    <t>bouche</t>
  </si>
  <si>
    <t>la bouche</t>
  </si>
  <si>
    <t>Partie du visage qui te sert à manger et à parler.</t>
  </si>
  <si>
    <t>human mouth</t>
  </si>
  <si>
    <t>dent</t>
  </si>
  <si>
    <t>la dent</t>
  </si>
  <si>
    <t>Organe dur dans la bouche servant à mâcher les aliments.</t>
  </si>
  <si>
    <t>https://raw.githubusercontent.com/olaf-programmeur/images/main/dents.webp</t>
  </si>
  <si>
    <t>teeth smile dental</t>
  </si>
  <si>
    <t>oreille</t>
  </si>
  <si>
    <t>l'oreille</t>
  </si>
  <si>
    <t>Organe de l'ouïe situé de chaque côté de la tête. Elles te servent pour entendre</t>
  </si>
  <si>
    <t>https://raw.githubusercontent.com/olaf-programmeur/images/main/oreille.webp</t>
  </si>
  <si>
    <t>ear piercings</t>
  </si>
  <si>
    <t>joue</t>
  </si>
  <si>
    <t>la joue</t>
  </si>
  <si>
    <t>La partie ronde du visage, sous l'oeil.</t>
  </si>
  <si>
    <t>https://raw.githubusercontent.com/olaf-programmeur/images/main/joue.webp</t>
  </si>
  <si>
    <t>langue</t>
  </si>
  <si>
    <t>la langue</t>
  </si>
  <si>
    <t>La partie qui bouge dans la bouche pour parler et goûter.</t>
  </si>
  <si>
    <t>https://raw.githubusercontent.com/olaf-programmeur/images/main/langue.webp</t>
  </si>
  <si>
    <t>levre</t>
  </si>
  <si>
    <t>la lèvre</t>
  </si>
  <si>
    <t>Le bord charnu de la bouche.</t>
  </si>
  <si>
    <t>https://raw.githubusercontent.com/olaf-programmeur/images/main/levre.webp</t>
  </si>
  <si>
    <t>cou</t>
  </si>
  <si>
    <t>le cou</t>
  </si>
  <si>
    <t>La partie du corps entre la tête et les épaules.</t>
  </si>
  <si>
    <t>https://raw.githubusercontent.com/olaf-programmeur/images/main/cou.webp</t>
  </si>
  <si>
    <t>front</t>
  </si>
  <si>
    <t>le front</t>
  </si>
  <si>
    <t>Le haut du visage, au-dessus des yeux.</t>
  </si>
  <si>
    <t>https://raw.githubusercontent.com/olaf-programmeur/images/main/front.webp</t>
  </si>
  <si>
    <t>casquette</t>
  </si>
  <si>
    <t>la casquette</t>
  </si>
  <si>
    <t>Vêtement pour se couvrir la tête.</t>
  </si>
  <si>
    <t>https://raw.githubusercontent.com/olaf-programmeur/images/main/casquette.webp</t>
  </si>
  <si>
    <t>une casquette</t>
  </si>
  <si>
    <t>ceinture</t>
  </si>
  <si>
    <t>la ceinture</t>
  </si>
  <si>
    <t>Bande en cuir ou en tissu pour maintenir le pantalon.</t>
  </si>
  <si>
    <t>une ceinture</t>
  </si>
  <si>
    <t>bonnet</t>
  </si>
  <si>
    <t>le bonnet</t>
  </si>
  <si>
    <t>Le chapeau souple et chaud pour l'hiver.</t>
  </si>
  <si>
    <t>https://raw.githubusercontent.com/olaf-programmeur/images/main/bonnet.webp</t>
  </si>
  <si>
    <t>gant</t>
  </si>
  <si>
    <t>le gant</t>
  </si>
  <si>
    <t>Le vêtement qui couvre la main et les doigts.</t>
  </si>
  <si>
    <t>https://raw.githubusercontent.com/olaf-programmeur/images/main/gant.webp</t>
  </si>
  <si>
    <t>https://raw.githubusercontent.com/olaf-programmeur/images/main/gant_1.webp</t>
  </si>
  <si>
    <t>https://raw.githubusercontent.com/olaf-programmeur/images/main/gant_2.webp</t>
  </si>
  <si>
    <t>https://raw.githubusercontent.com/olaf-programmeur/images/main/gant_3.webp</t>
  </si>
  <si>
    <t>https://raw.githubusercontent.com/olaf-programmeur/images/main/gant_4.webp</t>
  </si>
  <si>
    <t>echarpe</t>
  </si>
  <si>
    <t>l'écharpe</t>
  </si>
  <si>
    <t>La longue bande de tissu que l'on met autour du cou.</t>
  </si>
  <si>
    <t>https://raw.githubusercontent.com/olaf-programmeur/images/main/echarpe.webp</t>
  </si>
  <si>
    <t>https://raw.githubusercontent.com/olaf-programmeur/images/main/echarpe_1.webp</t>
  </si>
  <si>
    <t>https://raw.githubusercontent.com/olaf-programmeur/images/main/echarpe_2.webp</t>
  </si>
  <si>
    <t>https://raw.githubusercontent.com/olaf-programmeur/images/main/echarpe_3.webp</t>
  </si>
  <si>
    <t>https://raw.githubusercontent.com/olaf-programmeur/images/main/echarpe_4.webp</t>
  </si>
  <si>
    <t>sourdine_cup</t>
  </si>
  <si>
    <t>la sourdine Cup</t>
  </si>
  <si>
    <t>Accessoire qui permet de réduire le volume de son.</t>
  </si>
  <si>
    <t>sourdine_straignt_ou_metal</t>
  </si>
  <si>
    <t>la sourdine straignt ou metal</t>
  </si>
  <si>
    <t>https://raw.githubusercontent.com/olaf-programmeur/images/main/sourdine_straight.webp</t>
  </si>
  <si>
    <t>embouchure</t>
  </si>
  <si>
    <t>l'embouchure</t>
  </si>
  <si>
    <t>Pièce métallique que l'on pose sur l'instrument et sur laquelle on pose les lèvres pour jouer.</t>
  </si>
  <si>
    <t>https://raw.githubusercontent.com/olaf-programmeur/images/main/embouchure.webp</t>
  </si>
  <si>
    <t>pistons</t>
  </si>
  <si>
    <t>les pistons</t>
  </si>
  <si>
    <t>Pièces qui permettent de changer de note quand on joue.</t>
  </si>
  <si>
    <t>coulisse</t>
  </si>
  <si>
    <t>la coulisse</t>
  </si>
  <si>
    <t>Pièces métalliques qui permettent de vider l'eau ou d'accorder l'instrument.</t>
  </si>
  <si>
    <t>https://raw.githubusercontent.com/olaf-programmeur/images/main/coulisses.webp</t>
  </si>
  <si>
    <t>coffre_instrument</t>
  </si>
  <si>
    <t>le coffre</t>
  </si>
  <si>
    <t>Etui de protection pour ranger l'instrument (cornet).</t>
  </si>
  <si>
    <t>un coffre</t>
  </si>
  <si>
    <t>huile_instrument</t>
  </si>
  <si>
    <t>l'huile</t>
  </si>
  <si>
    <t>Liquide qui permet de faire mieux fonctionner les pistons.</t>
  </si>
  <si>
    <t>de l'huile</t>
  </si>
  <si>
    <t>graisse_instrument</t>
  </si>
  <si>
    <t>la graisse</t>
  </si>
  <si>
    <t>Matière grasse à mettre sur les coulisses pour pas qu'elles ne se coincent.</t>
  </si>
  <si>
    <t>de la graisse</t>
  </si>
  <si>
    <t>brosses_instrument</t>
  </si>
  <si>
    <t>les brosses</t>
  </si>
  <si>
    <t>Outil ou ustensile pour nettoyer l'embouchure ou les coulisses.</t>
  </si>
  <si>
    <t>https://raw.githubusercontent.com/olaf-programmeur/images/main/brosses_instruments.webp</t>
  </si>
  <si>
    <t>pupitre</t>
  </si>
  <si>
    <t>le pupitre</t>
  </si>
  <si>
    <t>Support sur lequel on pose les partitions.</t>
  </si>
  <si>
    <t>https://raw.githubusercontent.com/olaf-programmeur/images/main/pupitre.webp</t>
  </si>
  <si>
    <t>un pupitre</t>
  </si>
  <si>
    <t>uniforme</t>
  </si>
  <si>
    <t>l'uniforme</t>
  </si>
  <si>
    <t>Costume, habit que l'on porte dans une société comme la fanfare.</t>
  </si>
  <si>
    <t>https://raw.githubusercontent.com/olaf-programmeur/images/main/uniforme_contheysanne.webp</t>
  </si>
  <si>
    <t>un uniforme</t>
  </si>
  <si>
    <t>pates</t>
  </si>
  <si>
    <t>des pâtes</t>
  </si>
  <si>
    <t>Aliments fabriqués à partir d'un mélange pétri de farine de blé, d'eau et éventuellement d'œuf et de sel.</t>
  </si>
  <si>
    <t>pasta types</t>
  </si>
  <si>
    <t>riz</t>
  </si>
  <si>
    <t>le riz</t>
  </si>
  <si>
    <t>Céréale, la graine d'une plante. C'est l'un des aliments les plus consommés au monde.</t>
  </si>
  <si>
    <t>https://raw.githubusercontent.com/olaf-programmeur/images/main/riz.webp</t>
  </si>
  <si>
    <t>rice</t>
  </si>
  <si>
    <t>bagheera</t>
  </si>
  <si>
    <t>Bagheera, le chat d'Emma</t>
  </si>
  <si>
    <t>Le chat noir d'Emma et Loïc, Bagheera.</t>
  </si>
  <si>
    <t>animal</t>
  </si>
  <si>
    <t>naya</t>
  </si>
  <si>
    <t>Naya, la chienne de Sandrine</t>
  </si>
  <si>
    <t>La chienne de Sandrine s'appelle Naya.</t>
  </si>
  <si>
    <t>https://raw.githubusercontent.com/olaf-programmeur/images/main/naya.webp</t>
  </si>
  <si>
    <t>https://raw.githubusercontent.com/olaf-programmeur/images/main/naya_1.webp</t>
  </si>
  <si>
    <t>vache</t>
  </si>
  <si>
    <t>la vache</t>
  </si>
  <si>
    <t>Grand mammifère domestique femelle qui produit du lait.</t>
  </si>
  <si>
    <t>https://raw.githubusercontent.com/olaf-programmeur/images/main/vache.webp</t>
  </si>
  <si>
    <t>cow farm animal</t>
  </si>
  <si>
    <t>cochon</t>
  </si>
  <si>
    <t>le cochon</t>
  </si>
  <si>
    <t>Mammifère domestique élevé pour sa viande.</t>
  </si>
  <si>
    <t>https://raw.githubusercontent.com/olaf-programmeur/images/main/cochon.webp</t>
  </si>
  <si>
    <t>pig farm animal</t>
  </si>
  <si>
    <t>mouton</t>
  </si>
  <si>
    <t>le mouton</t>
  </si>
  <si>
    <t>Mammifère domestique élevé pour sa laine et sa viande.</t>
  </si>
  <si>
    <t>https://raw.githubusercontent.com/olaf-programmeur/images/main/mouton.webp</t>
  </si>
  <si>
    <t>sheep wool farm</t>
  </si>
  <si>
    <t>poule</t>
  </si>
  <si>
    <t>la poule</t>
  </si>
  <si>
    <t>Oiseau domestique qui mangent des graines  ++   élevé pour ses œufs et sa chair (de la famille des gallinacés).</t>
  </si>
  <si>
    <t>https://raw.githubusercontent.com/olaf-programmeur/images/main/poule.webp</t>
  </si>
  <si>
    <t>hen pecking</t>
  </si>
  <si>
    <t>chevre</t>
  </si>
  <si>
    <t>la chèvre</t>
  </si>
  <si>
    <t>Mammifère domestique de la famille des caprinés, connu pour son agilité, son caractère curieux et sa capacité à vivre dans des environnements difficiles.</t>
  </si>
  <si>
    <t>https://raw.githubusercontent.com/olaf-programmeur/images/main/chevre.webp</t>
  </si>
  <si>
    <t>https://raw.githubusercontent.com/olaf-programmeur/images/main/chevre_1.webp</t>
  </si>
  <si>
    <t>https://raw.githubusercontent.com/olaf-programmeur/images/main/chevre_2.webp</t>
  </si>
  <si>
    <t>https://raw.githubusercontent.com/olaf-programmeur/images/main/chevre_3.webp</t>
  </si>
  <si>
    <t>https://raw.githubusercontent.com/olaf-programmeur/images/main/chevre_4.webp</t>
  </si>
  <si>
    <t>goat eating grass</t>
  </si>
  <si>
    <t>cheval</t>
  </si>
  <si>
    <t>le cheval</t>
  </si>
  <si>
    <t>Grand mammifère domestique utilisé par l'homme pour monter ou travailler.</t>
  </si>
  <si>
    <t>https://raw.githubusercontent.com/olaf-programmeur/images/main/cheval.webp</t>
  </si>
  <si>
    <t>horse galloping field</t>
  </si>
  <si>
    <t>bassin</t>
  </si>
  <si>
    <t>le bassin</t>
  </si>
  <si>
    <t>https://raw.githubusercontent.com/olaf-programmeur/images/main/bassin.webp</t>
  </si>
  <si>
    <t>chat</t>
  </si>
  <si>
    <t>le chat</t>
  </si>
  <si>
    <t>Petit félin domestique, indépendant et gracieux.</t>
  </si>
  <si>
    <t>cat domestic feline</t>
  </si>
  <si>
    <t>chien</t>
  </si>
  <si>
    <t>le chien</t>
  </si>
  <si>
    <t>Animal domestique, meilleur ami de l'homme.</t>
  </si>
  <si>
    <t>dog cute pet</t>
  </si>
  <si>
    <t>lapin</t>
  </si>
  <si>
    <t>le lapin</t>
  </si>
  <si>
    <t>Petit mammifère aux longues oreilles.</t>
  </si>
  <si>
    <t>https://raw.githubusercontent.com/olaf-programmeur/images/main/lapin.webp</t>
  </si>
  <si>
    <t>https://raw.githubusercontent.com/olaf-programmeur/images/main/lapin_1.webp</t>
  </si>
  <si>
    <t>https://raw.githubusercontent.com/olaf-programmeur/images/main/lapin_2.webp</t>
  </si>
  <si>
    <t>https://raw.githubusercontent.com/olaf-programmeur/images/main/lapin_3.webp</t>
  </si>
  <si>
    <t>https://raw.githubusercontent.com/olaf-programmeur/images/main/lapin_4.webp</t>
  </si>
  <si>
    <t>rabbit bunny cute</t>
  </si>
  <si>
    <t>souris</t>
  </si>
  <si>
    <t>la souris</t>
  </si>
  <si>
    <t>Petit rongeur gris, très rapide  ++  elle mange du fromage.</t>
  </si>
  <si>
    <t>https://raw.githubusercontent.com/olaf-programmeur/images/main/souris.webp</t>
  </si>
  <si>
    <t>https://raw.githubusercontent.com/olaf-programmeur/images/main/souris_1.webp</t>
  </si>
  <si>
    <t>https://raw.githubusercontent.com/olaf-programmeur/images/main/souris_2.webp</t>
  </si>
  <si>
    <t>https://raw.githubusercontent.com/olaf-programmeur/images/main/souris_3.webp</t>
  </si>
  <si>
    <t>https://raw.githubusercontent.com/olaf-programmeur/images/main/souris_4.webp</t>
  </si>
  <si>
    <t>mouse rodent small</t>
  </si>
  <si>
    <t>ecureuil</t>
  </si>
  <si>
    <t>l'écureuil</t>
  </si>
  <si>
    <t>Petit mammifère vivant dans les arbres à pelage généralement roux ou noir et à longue queue en panache.</t>
  </si>
  <si>
    <t>https://raw.githubusercontent.com/olaf-programmeur/images/main/ecureuil.webp</t>
  </si>
  <si>
    <t>écureuil noir oreilles poilues</t>
  </si>
  <si>
    <t>marmotte</t>
  </si>
  <si>
    <t>la marmotte</t>
  </si>
  <si>
    <t>Rongeur trapu avec un poil noir, brun ou marron. Elle a de petites oreilles rondes, une fourrure épaisse, un large museau et une longue queue touffue. Elle vit en colonnie (à plusieurs) dans les montagnes.</t>
  </si>
  <si>
    <t>https://raw.githubusercontent.com/olaf-programmeur/images/main/marmotte.webp</t>
  </si>
  <si>
    <t>marmottes debout</t>
  </si>
  <si>
    <t>loup</t>
  </si>
  <si>
    <t>le loup</t>
  </si>
  <si>
    <t>Mammifère carnivore sauvage appartenant à la famille des canidés, la même famille que les chiens. Il vit en meute et il y en a beaucoup en Valais.</t>
  </si>
  <si>
    <t>https://raw.githubusercontent.com/olaf-programmeur/images/main/loup.webp</t>
  </si>
  <si>
    <t>chevreuil</t>
  </si>
  <si>
    <t>le chevreuil</t>
  </si>
  <si>
    <t>Petit mammifère herbivore (qui  mange de l'herbe) de la famille des cervidés, reconnaissable à ses bois courts.</t>
  </si>
  <si>
    <t>https://raw.githubusercontent.com/olaf-programmeur/images/main/chevreuil.webp</t>
  </si>
  <si>
    <t>un chevreuille</t>
  </si>
  <si>
    <t>chamois</t>
  </si>
  <si>
    <t>le chamois</t>
  </si>
  <si>
    <t>Un chamois, un animal des montagnes.</t>
  </si>
  <si>
    <t>https://raw.githubusercontent.com/olaf-programmeur/images/main/chamois.webp</t>
  </si>
  <si>
    <t>biche</t>
  </si>
  <si>
    <t>la biche</t>
  </si>
  <si>
    <t>Grand mammifère herbivore (qui  mange de l'herbe) de la famille des cervidés. C'est la femelle du cerf et elle n'a pas de bois.</t>
  </si>
  <si>
    <t>https://raw.githubusercontent.com/olaf-programmeur/images/main/biche.webp</t>
  </si>
  <si>
    <t>cerf</t>
  </si>
  <si>
    <t>le cerf</t>
  </si>
  <si>
    <t>Grand mammifère herbivore (qui  mange de l'herbe) de la famille des cervidés, reconnaissable à ses bois ramifiés.</t>
  </si>
  <si>
    <t>un cerf</t>
  </si>
  <si>
    <t>bouquetin</t>
  </si>
  <si>
    <t>le bouquetin</t>
  </si>
  <si>
    <t>Grand mammifère herbivore (qui  mange de l'herbe), montagnard, de la famille des bovidés, reconnaissable à ses longues cornes recourbées.</t>
  </si>
  <si>
    <t>https://raw.githubusercontent.com/olaf-programmeur/images/main/bouquetin.webp</t>
  </si>
  <si>
    <t>ibex in mountain</t>
  </si>
  <si>
    <t>poisson</t>
  </si>
  <si>
    <t>le poisson</t>
  </si>
  <si>
    <t>Animal aquatique vertébré qui respire avec des branchies.</t>
  </si>
  <si>
    <t>https://raw.githubusercontent.com/olaf-programmeur/images/main/poisson_rouge.webp</t>
  </si>
  <si>
    <t>un poisson</t>
  </si>
  <si>
    <t>serpent</t>
  </si>
  <si>
    <t>le serpent</t>
  </si>
  <si>
    <t>Reptile sans pattes au corps allongé. Son corps est recouvert d'écailles.</t>
  </si>
  <si>
    <t>https://raw.githubusercontent.com/olaf-programmeur/images/main/serpent.webp</t>
  </si>
  <si>
    <t>https://raw.githubusercontent.com/olaf-programmeur/images/main/serpent_1.webp</t>
  </si>
  <si>
    <t>https://raw.githubusercontent.com/olaf-programmeur/images/main/serpent_2.webp</t>
  </si>
  <si>
    <t>https://raw.githubusercontent.com/olaf-programmeur/images/main/serpent_3.webp</t>
  </si>
  <si>
    <t>https://raw.githubusercontent.com/olaf-programmeur/images/main/serpent_4.webp</t>
  </si>
  <si>
    <t>snake python head</t>
  </si>
  <si>
    <t>elephant</t>
  </si>
  <si>
    <t>l'éléphant</t>
  </si>
  <si>
    <t>Plus grand animal terrestre de la famille des mammifère, avec une longue trompe.</t>
  </si>
  <si>
    <t>https://raw.githubusercontent.com/olaf-programmeur/images/main/elephant.webp</t>
  </si>
  <si>
    <t>elephant wildlife africa</t>
  </si>
  <si>
    <t>lion</t>
  </si>
  <si>
    <t>le lion</t>
  </si>
  <si>
    <t>Grand félin d'Afrique, appelé 'roi des animaux'.</t>
  </si>
  <si>
    <t>https://raw.githubusercontent.com/olaf-programmeur/images/main/lion.webp</t>
  </si>
  <si>
    <t>lion wildlife africa</t>
  </si>
  <si>
    <t>tigre</t>
  </si>
  <si>
    <t>le tigre</t>
  </si>
  <si>
    <t>Grand félin rayé d'Asie.</t>
  </si>
  <si>
    <t>https://raw.githubusercontent.com/olaf-programmeur/images/main/tigre.webp</t>
  </si>
  <si>
    <t>tiger stripe wildlife</t>
  </si>
  <si>
    <t>fourrure</t>
  </si>
  <si>
    <t>la fourrure</t>
  </si>
  <si>
    <t>Le poil épais et chaud qui couvre certains animaux.</t>
  </si>
  <si>
    <t>https://raw.githubusercontent.com/olaf-programmeur/images/main/fourrure.webp</t>
  </si>
  <si>
    <t>grenouille</t>
  </si>
  <si>
    <t>la grenouille</t>
  </si>
  <si>
    <t>Le petit animal vert qui saute et vit près de l'eau.</t>
  </si>
  <si>
    <t>https://raw.githubusercontent.com/olaf-programmeur/images/main/grenouille.webp</t>
  </si>
  <si>
    <t>trompe</t>
  </si>
  <si>
    <t>la trompe</t>
  </si>
  <si>
    <t>Le long nez de l'éléphant avec lequel il se mange (il se nourrit).</t>
  </si>
  <si>
    <t>https://raw.githubusercontent.com/olaf-programmeur/images/main/trompe.webp</t>
  </si>
  <si>
    <t>canard</t>
  </si>
  <si>
    <t>le canard</t>
  </si>
  <si>
    <t>L'oiseau qui nage et fait coin-coin.</t>
  </si>
  <si>
    <t>https://raw.githubusercontent.com/olaf-programmeur/images/main/canard.webp</t>
  </si>
  <si>
    <t>fauve</t>
  </si>
  <si>
    <t>le fauve</t>
  </si>
  <si>
    <t>Un grand animal sauvage et dangereux, comme le lion.</t>
  </si>
  <si>
    <t>https://raw.githubusercontent.com/olaf-programmeur/images/main/fauve.webp</t>
  </si>
  <si>
    <t>renard</t>
  </si>
  <si>
    <t>le renard</t>
  </si>
  <si>
    <t>L'animal sauvage roux à la queue touffue, malin.</t>
  </si>
  <si>
    <t>https://raw.githubusercontent.com/olaf-programmeur/images/main/renard.webp</t>
  </si>
  <si>
    <t>singe</t>
  </si>
  <si>
    <t>le singe</t>
  </si>
  <si>
    <t>L'animal qui grimpe aux arbres et ressemble à l'homme.</t>
  </si>
  <si>
    <t>https://raw.githubusercontent.com/olaf-programmeur/images/main/singe.webp</t>
  </si>
  <si>
    <t>ours</t>
  </si>
  <si>
    <t>l'ours</t>
  </si>
  <si>
    <t>Le gros animal sauvage à la fourrure épaisse.</t>
  </si>
  <si>
    <t>https://raw.githubusercontent.com/olaf-programmeur/images/main/ours.webp</t>
  </si>
  <si>
    <t>sucre</t>
  </si>
  <si>
    <t>le sucre</t>
  </si>
  <si>
    <t>Substance cristalline douce utilisée pour sucrer.</t>
  </si>
  <si>
    <t>https://raw.githubusercontent.com/olaf-programmeur/images/main/sucre.webp</t>
  </si>
  <si>
    <t>cristaux de sucre</t>
  </si>
  <si>
    <t>sel</t>
  </si>
  <si>
    <t>le sel</t>
  </si>
  <si>
    <t>Substance blanche cristalline servant à assaisonner (à saler).</t>
  </si>
  <si>
    <t>https://raw.githubusercontent.com/olaf-programmeur/images/main/sel.webp</t>
  </si>
  <si>
    <t>salière et sel</t>
  </si>
  <si>
    <t>poivre</t>
  </si>
  <si>
    <t>le poivre</t>
  </si>
  <si>
    <t>Epice obtenue à partir des baies du poivrier (Piper nigrum), une plante tropicale.</t>
  </si>
  <si>
    <t>https://raw.githubusercontent.com/olaf-programmeur/images/main/poivre.webp</t>
  </si>
  <si>
    <t>pepper and pepper mill</t>
  </si>
  <si>
    <t>arome_maggy</t>
  </si>
  <si>
    <t>l'arôme Maggy</t>
  </si>
  <si>
    <t>Condiment liquide de couleur brun/noir utilisé pour assaisonner les plats.</t>
  </si>
  <si>
    <t>https://raw.githubusercontent.com/olaf-programmeur/images/main/arome_maggy.webp</t>
  </si>
  <si>
    <t>maggy sauce bottle</t>
  </si>
  <si>
    <t>curry</t>
  </si>
  <si>
    <t>le curry</t>
  </si>
  <si>
    <t>Mélange d’épices réduit en poudre qui contient du curcuma (donne la couleur jaune), coriandre, cumin, fenugrec, gingembre, poivre, piment, cardamome, clou de girofle.</t>
  </si>
  <si>
    <t>https://raw.githubusercontent.com/olaf-programmeur/images/main/curry.webp</t>
  </si>
  <si>
    <t>curry sauce and chicken</t>
  </si>
  <si>
    <t>assurance_invalidité</t>
  </si>
  <si>
    <t>Assurance invalidité</t>
  </si>
  <si>
    <t>L'Assurance Invalidité me verse une rente à vie. Jusqu'à 65 ans, je reçois une rente d'invalidité et depuis 65 ans je reçois une rente de retraite.</t>
  </si>
  <si>
    <t>https://raw.githubusercontent.com/olaf-programmeur/images/main/avs.webp</t>
  </si>
  <si>
    <t>caisse_retraite</t>
  </si>
  <si>
    <t>Caisse de pensions ORAE</t>
  </si>
  <si>
    <t>La Caisse de pensions ORAE me verse une rente à vie, toujours le même montant. Jusqu'à 65 ans, je reçois une rente d'invalidité. Depuis 65 ans, je reçois une rente de retraite.</t>
  </si>
  <si>
    <t>https://raw.githubusercontent.com/olaf-programmeur/images/main/cp_orae.webp</t>
  </si>
  <si>
    <t>assurance_maladie</t>
  </si>
  <si>
    <t>KPT assurance maladie</t>
  </si>
  <si>
    <t>KPT assurance maladie paie mes frais médicaux. Je paie une prime mensuelle et ensuite je paie les premières factures jusqu'à CHF 300.--. Ensuite, le 10 % des frais seulement.</t>
  </si>
  <si>
    <t>https://raw.githubusercontent.com/olaf-programmeur/images/main/kpt_ass.webp</t>
  </si>
  <si>
    <t>banque_migros</t>
  </si>
  <si>
    <t>Banque Migros</t>
  </si>
  <si>
    <t>La Banque Migros à Sion traite mes affaires en lien avec la maison.</t>
  </si>
  <si>
    <t>https://raw.githubusercontent.com/olaf-programmeur/images/main/banque_migros.webp</t>
  </si>
  <si>
    <t>banque_raiffeisen</t>
  </si>
  <si>
    <t>Banque Raiffeisen</t>
  </si>
  <si>
    <t>La Banque Raiffeisen à Sion traite mes affaires en lien avec l'appartement.</t>
  </si>
  <si>
    <t>https://raw.githubusercontent.com/olaf-programmeur/images/main/raiffeisen.webp</t>
  </si>
  <si>
    <t>Assurance La Mobilière</t>
  </si>
  <si>
    <t>La Mobilière assurance assure le chalet contre les incendies, les dégâts d'eau, le bris de glaces et le vol. Je paie une prime annuel.</t>
  </si>
  <si>
    <t>https://raw.githubusercontent.com/olaf-programmeur/images/main/mobiliere_ass.webp</t>
  </si>
  <si>
    <t>assurance_Helvetia</t>
  </si>
  <si>
    <t>Assurance Helvetia</t>
  </si>
  <si>
    <t>L'Helvetia assurance assure l'appartement contre les incendies, les dégâts d'eau, le bris de glaces et le vol. Elle assure également ma voiture  Dacia.</t>
  </si>
  <si>
    <t>https://raw.githubusercontent.com/olaf-programmeur/images/main/helvetia_ass.webp</t>
  </si>
  <si>
    <t>la carte</t>
  </si>
  <si>
    <t>Le petit rectangle de plastique délivrer par la Banque pour payer ou s'identifier.</t>
  </si>
  <si>
    <t>https://raw.githubusercontent.com/olaf-programmeur/images/main/carte_debit.webp</t>
  </si>
  <si>
    <t>pret_hypothecaire</t>
  </si>
  <si>
    <t>le prêt hypothécaire</t>
  </si>
  <si>
    <t>L'argent que l'on doit à la banque qui nous a permis d'acheter ou de construire la maison.</t>
  </si>
  <si>
    <t>https://raw.githubusercontent.com/olaf-programmeur/images/main/pret_hypothecaire.webp</t>
  </si>
  <si>
    <t>billet_banque</t>
  </si>
  <si>
    <t>le billet de banque</t>
  </si>
  <si>
    <t>L'argent en papier que l'on utilise pour payer ce qu'on achète.</t>
  </si>
  <si>
    <t>https://raw.githubusercontent.com/olaf-programmeur/images/main/billet_banque.webp</t>
  </si>
  <si>
    <t>piece_monnaie</t>
  </si>
  <si>
    <t>la pièce de monnaie</t>
  </si>
  <si>
    <t>Le petit morceau de métal qui sert d'argent.</t>
  </si>
  <si>
    <t>https://raw.githubusercontent.com/olaf-programmeur/images/main/piece_monnaie.webp</t>
  </si>
  <si>
    <t>code_nip</t>
  </si>
  <si>
    <t>le code</t>
  </si>
  <si>
    <t>Le numéro secret qui protège une carte ou un compte.</t>
  </si>
  <si>
    <t>https://raw.githubusercontent.com/olaf-programmeur/images/main/code_nip.webp</t>
  </si>
  <si>
    <t>compte</t>
  </si>
  <si>
    <t>le compte</t>
  </si>
  <si>
    <t>Le total que l'on calcule, ou l'argent gardé à la banque.</t>
  </si>
  <si>
    <t>https://raw.githubusercontent.com/olaf-programmeur/images/main/compte.webp</t>
  </si>
  <si>
    <t>guichet</t>
  </si>
  <si>
    <t>le guichet</t>
  </si>
  <si>
    <t>L'endroit où l'on est servi à la banque ou à la poste.</t>
  </si>
  <si>
    <t>https://raw.githubusercontent.com/olaf-programmeur/images/main/guichet.webp</t>
  </si>
  <si>
    <t>retrait</t>
  </si>
  <si>
    <t>le retrait</t>
  </si>
  <si>
    <t>Le fait de prendre de l'argent sur son compte.</t>
  </si>
  <si>
    <t>https://raw.githubusercontent.com/olaf-programmeur/images/main/retrait.webp</t>
  </si>
  <si>
    <t>solde</t>
  </si>
  <si>
    <t>le solde</t>
  </si>
  <si>
    <t>Ce qu'il reste d'argent sur un compte.</t>
  </si>
  <si>
    <t>https://raw.githubusercontent.com/olaf-programmeur/images/main/solde.webp</t>
  </si>
  <si>
    <t>virement</t>
  </si>
  <si>
    <t>le virement</t>
  </si>
  <si>
    <t>L'envoi d'argent d'un compte à un autre.</t>
  </si>
  <si>
    <t>https://raw.githubusercontent.com/olaf-programmeur/images/main/virement.webp</t>
  </si>
  <si>
    <t>interet</t>
  </si>
  <si>
    <t>l'intérêt</t>
  </si>
  <si>
    <t>L'argent en plus que l'on paie quand on emprunte.</t>
  </si>
  <si>
    <t>https://raw.githubusercontent.com/olaf-programmeur/images/main/interet.webp</t>
  </si>
  <si>
    <t>admin_conthey</t>
  </si>
  <si>
    <t>l'Administration communale de Conthey</t>
  </si>
  <si>
    <t>Administration communale de Conthey à St-Séverin.</t>
  </si>
  <si>
    <t>https://raw.githubusercontent.com/olaf-programmeur/images/main/admin_conthey.webp</t>
  </si>
  <si>
    <t>lieu</t>
  </si>
  <si>
    <t>ecole_erde</t>
  </si>
  <si>
    <t>l'école primaire de Erde</t>
  </si>
  <si>
    <t>L'école primaire du village d'Erde, un établissement d'enseignement pour les enfants.</t>
  </si>
  <si>
    <t>https://raw.githubusercontent.com/olaf-programmeur/images/main/ecole_erde.webp</t>
  </si>
  <si>
    <t>eglise</t>
  </si>
  <si>
    <t>l'église</t>
  </si>
  <si>
    <t>Bâtiment chrétien servant au culte catholique.</t>
  </si>
  <si>
    <t>https://raw.githubusercontent.com/olaf-programmeur/images/main/eglise.webp</t>
  </si>
  <si>
    <t>church architecture stone</t>
  </si>
  <si>
    <t>migros</t>
  </si>
  <si>
    <t>Migros Partenaire à Erde</t>
  </si>
  <si>
    <t>Le magasin Migros pour faire ses courses.</t>
  </si>
  <si>
    <t>https://raw.githubusercontent.com/olaf-programmeur/images/main/migros_partenaire.webp</t>
  </si>
  <si>
    <t>https://raw.githubusercontent.com/olaf-programmeur/images/main/migros_partenaire_1.webp</t>
  </si>
  <si>
    <t>https://raw.githubusercontent.com/olaf-programmeur/images/main/migros_partenaire_2.webp</t>
  </si>
  <si>
    <t>station_service</t>
  </si>
  <si>
    <t>la station service</t>
  </si>
  <si>
    <t>La station-service pour mettre de l'essence dans la voiture.</t>
  </si>
  <si>
    <t>https://raw.githubusercontent.com/olaf-programmeur/images/main/station_service.webp</t>
  </si>
  <si>
    <t>garage_nord</t>
  </si>
  <si>
    <t>le Garage du Nord de Conthey</t>
  </si>
  <si>
    <t>Le Garage du Nord, où j'amène ma voiture Dacia pour le service.</t>
  </si>
  <si>
    <t>https://raw.githubusercontent.com/olaf-programmeur/images/main/garage_nord.webp</t>
  </si>
  <si>
    <t>halle_poly</t>
  </si>
  <si>
    <t>la Salle polyvalente de Conthey</t>
  </si>
  <si>
    <t>La halle polyvalente, la salle de concert et d'organisation de manifestations de la commune.</t>
  </si>
  <si>
    <t>https://raw.githubusercontent.com/olaf-programmeur/images/main/halle_poly.webp</t>
  </si>
  <si>
    <t>cafe_sapins</t>
  </si>
  <si>
    <t>le café des Sapins</t>
  </si>
  <si>
    <t>Le Café des Sapins à Aven, tenu par Roland et son épouse.</t>
  </si>
  <si>
    <t>https://raw.githubusercontent.com/olaf-programmeur/images/main/café_des_sapins.webp</t>
  </si>
  <si>
    <t>cafe_rangs</t>
  </si>
  <si>
    <t>le restaurant Les Rangs à St-Séverin</t>
  </si>
  <si>
    <t>Le Café des Rangs est un restaurant situé à St-Séverin.</t>
  </si>
  <si>
    <t>https://raw.githubusercontent.com/olaf-programmeur/images/main/cafe_rangs.webp</t>
  </si>
  <si>
    <t>resto_sanetsch</t>
  </si>
  <si>
    <t>l'Hôtel Restaurant du Sanetsch</t>
  </si>
  <si>
    <t>L'Hôtel Restaurant du Sanetsch situé dans la région du Sanetsch.</t>
  </si>
  <si>
    <t>https://raw.githubusercontent.com/olaf-programmeur/images/main/resto_sanetsch.webp</t>
  </si>
  <si>
    <t>hopital_sion</t>
  </si>
  <si>
    <t>l'hôpital de Sion</t>
  </si>
  <si>
    <t>L'hôpital de Sion.</t>
  </si>
  <si>
    <t>https://raw.githubusercontent.com/olaf-programmeur/images/main/hopital_sion.webp</t>
  </si>
  <si>
    <t>hopital_sierre</t>
  </si>
  <si>
    <t>l'hôpital de Sierre</t>
  </si>
  <si>
    <t>L'hôpital de Sierre où je rencontre mon neurologue.</t>
  </si>
  <si>
    <t>https://raw.githubusercontent.com/olaf-programmeur/images/main/hopital_sierre.webp</t>
  </si>
  <si>
    <t>gare_sion</t>
  </si>
  <si>
    <t>la gare CFF de Sion</t>
  </si>
  <si>
    <t>La gare des trains à Sion,</t>
  </si>
  <si>
    <t>https://raw.githubusercontent.com/olaf-programmeur/images/main/gare_sion.webp</t>
  </si>
  <si>
    <t>gare_routiere_sion</t>
  </si>
  <si>
    <t>la gare routière de Sion</t>
  </si>
  <si>
    <t>La gare des bus à Sion,</t>
  </si>
  <si>
    <t>https://raw.githubusercontent.com/olaf-programmeur/images/main/gare_routiere_sion.webp</t>
  </si>
  <si>
    <t>gare</t>
  </si>
  <si>
    <t>la gare</t>
  </si>
  <si>
    <t>Station où s'arrêtent les trains.</t>
  </si>
  <si>
    <t>https://raw.githubusercontent.com/olaf-programmeur/images/main/gare.webp</t>
  </si>
  <si>
    <t>https://raw.githubusercontent.com/olaf-programmeur/images/main/gare_1.webp</t>
  </si>
  <si>
    <t>https://raw.githubusercontent.com/olaf-programmeur/images/main/gare_2.webp</t>
  </si>
  <si>
    <t>https://raw.githubusercontent.com/olaf-programmeur/images/main/gare_3.webp</t>
  </si>
  <si>
    <t>https://raw.githubusercontent.com/olaf-programmeur/images/main/gare_4.webp</t>
  </si>
  <si>
    <t>train station railway</t>
  </si>
  <si>
    <t>aeroport</t>
  </si>
  <si>
    <t>l'aéroport</t>
  </si>
  <si>
    <t>Aérodrome équipé pour les vols commerciaux.</t>
  </si>
  <si>
    <t>https://raw.githubusercontent.com/olaf-programmeur/images/main/aeroport.webp</t>
  </si>
  <si>
    <t>https://raw.githubusercontent.com/olaf-programmeur/images/main/aeroport_1.webp</t>
  </si>
  <si>
    <t>https://raw.githubusercontent.com/olaf-programmeur/images/main/aeroport_2.webp</t>
  </si>
  <si>
    <t>https://raw.githubusercontent.com/olaf-programmeur/images/main/aeroport_3.webp</t>
  </si>
  <si>
    <t>https://raw.githubusercontent.com/olaf-programmeur/images/main/aeroport_4.webp</t>
  </si>
  <si>
    <t>airport terminal airplane</t>
  </si>
  <si>
    <t>musee</t>
  </si>
  <si>
    <t>le musée</t>
  </si>
  <si>
    <t>Établissement qui conserve et expose des œuvres d'art.</t>
  </si>
  <si>
    <t>https://raw.githubusercontent.com/olaf-programmeur/images/main/musee.webp</t>
  </si>
  <si>
    <t>museum art gallery</t>
  </si>
  <si>
    <t>biere_limonade</t>
  </si>
  <si>
    <t>une bière limonade</t>
  </si>
  <si>
    <t>Boisson qui contient de l'alcool, un mélange de bière avec de la limonade.</t>
  </si>
  <si>
    <t>glass of beer heineken</t>
  </si>
  <si>
    <t>verre_de_vin_rouge</t>
  </si>
  <si>
    <t>un verre de vin rouge</t>
  </si>
  <si>
    <t>Boisson faite avec du raison rouge. Il contien de l'alcool.</t>
  </si>
  <si>
    <t>https://raw.githubusercontent.com/olaf-programmeur/images/main/vin_rouge.webp</t>
  </si>
  <si>
    <t>verre_de_vin_blanc</t>
  </si>
  <si>
    <t>un verre de vin blanc</t>
  </si>
  <si>
    <t>Boisson faite avec du raison blanc. Il contient de l'alcool.</t>
  </si>
  <si>
    <t>https://raw.githubusercontent.com/olaf-programmeur/images/main/vin_blanc.webp</t>
  </si>
  <si>
    <t>suze_henniez</t>
  </si>
  <si>
    <t>une suze henniez</t>
  </si>
  <si>
    <t>Alcool de couleur jaune fabriqué avec de la gentiane jaune, à mélanger avec de l'henniez.</t>
  </si>
  <si>
    <t>https://raw.githubusercontent.com/olaf-programmeur/images/main/suze.webp</t>
  </si>
  <si>
    <t>the</t>
  </si>
  <si>
    <t>le thé</t>
  </si>
  <si>
    <t>Boisson aromatique obtenue par infusion des feuilles séchées du théier, un petit arbre que l'on trouve en Asie.</t>
  </si>
  <si>
    <t>https://raw.githubusercontent.com/olaf-programmeur/images/main/the.webp</t>
  </si>
  <si>
    <t>eau_minerale</t>
  </si>
  <si>
    <t>une eau minérale</t>
  </si>
  <si>
    <t>Liquide que l'on peut boire directement du robinet. Elle est mise dans une bouteille.</t>
  </si>
  <si>
    <t>mineral water</t>
  </si>
  <si>
    <t>henniez_cassis</t>
  </si>
  <si>
    <t>un henniez cassis</t>
  </si>
  <si>
    <t>Eau gazeuse mélangée avec du sirop à l'arôme (goût) de cassis.</t>
  </si>
  <si>
    <t>coca_cola</t>
  </si>
  <si>
    <t>un Coca Cola</t>
  </si>
  <si>
    <t>Boisson au cola de type soda fabriqué par la société Coca Cola.</t>
  </si>
  <si>
    <t>https://raw.githubusercontent.com/olaf-programmeur/images/main/coca_cola.webp</t>
  </si>
  <si>
    <t>bottled coca cola</t>
  </si>
  <si>
    <t>grapefruit</t>
  </si>
  <si>
    <t>un grapefruit</t>
  </si>
  <si>
    <t>Soda ou eau gazeuse et sucrée à base de pamplemousse.</t>
  </si>
  <si>
    <t>jus_de_pomme</t>
  </si>
  <si>
    <t>un jus de pomme</t>
  </si>
  <si>
    <t>Boisson sans alcool fabriquée à base de jus de pomme.</t>
  </si>
  <si>
    <t>https://raw.githubusercontent.com/olaf-programmeur/images/main/jus_pomme.webp</t>
  </si>
  <si>
    <t>jus_dorange</t>
  </si>
  <si>
    <t>un jus d'orange</t>
  </si>
  <si>
    <t>Boisson sans alcool fabriquée à base de jus d'orange.</t>
  </si>
  <si>
    <t>sprite</t>
  </si>
  <si>
    <t>un Sprite</t>
  </si>
  <si>
    <t>Limonade, de l'eau gazeuse mélangée avec du sucre et des extraits de citron.</t>
  </si>
  <si>
    <t>sirop</t>
  </si>
  <si>
    <t>le sirop</t>
  </si>
  <si>
    <t>Liquide coloré que l'on ajoute à l'eau pour donner un goût sucré de fruits.</t>
  </si>
  <si>
    <t>https://raw.githubusercontent.com/olaf-programmeur/images/main/sirop.webp</t>
  </si>
  <si>
    <t>du sirop</t>
  </si>
  <si>
    <t>baskets</t>
  </si>
  <si>
    <t>les baskets</t>
  </si>
  <si>
    <t>Chaussures décontractées pour mettre les jours d'été.</t>
  </si>
  <si>
    <t>https://raw.githubusercontent.com/olaf-programmeur/images/main/baskets.webp</t>
  </si>
  <si>
    <t>des baskets</t>
  </si>
  <si>
    <t>souliers</t>
  </si>
  <si>
    <t>les souliers</t>
  </si>
  <si>
    <t>Chaussure basse qui couvre le pied que l'on porte avec un costume.</t>
  </si>
  <si>
    <t>https://raw.githubusercontent.com/olaf-programmeur/images/main/soulier.webp</t>
  </si>
  <si>
    <t>https://raw.githubusercontent.com/olaf-programmeur/images/main/soulier_1.webp</t>
  </si>
  <si>
    <t>https://raw.githubusercontent.com/olaf-programmeur/images/main/soulier_3.webp</t>
  </si>
  <si>
    <t>https://raw.githubusercontent.com/olaf-programmeur/images/main/soulier_4.webp</t>
  </si>
  <si>
    <t>men's shoes oxford</t>
  </si>
  <si>
    <t>bottillons</t>
  </si>
  <si>
    <t>les bottillons</t>
  </si>
  <si>
    <t>Chaussures qui montent jusqu'aus chevilles pour l'hiver.</t>
  </si>
  <si>
    <t>https://raw.githubusercontent.com/olaf-programmeur/images/main/botillons.webp</t>
  </si>
  <si>
    <t>des bottillons</t>
  </si>
  <si>
    <t>viande</t>
  </si>
  <si>
    <t>la viande</t>
  </si>
  <si>
    <t>Chair des animaux utilisée comme aliment.</t>
  </si>
  <si>
    <t>meat raw food</t>
  </si>
  <si>
    <t>lait</t>
  </si>
  <si>
    <t>le lait</t>
  </si>
  <si>
    <t>Liquide blanc produit par les femelles des mammifères comme la vache.</t>
  </si>
  <si>
    <t>https://raw.githubusercontent.com/olaf-programmeur/images/main/lait.webp</t>
  </si>
  <si>
    <t>https://raw.githubusercontent.com/olaf-programmeur/images/main/lait_1.webp</t>
  </si>
  <si>
    <t>https://raw.githubusercontent.com/olaf-programmeur/images/main/lait_2.webp</t>
  </si>
  <si>
    <t>https://raw.githubusercontent.com/olaf-programmeur/images/main/lait_3.webp</t>
  </si>
  <si>
    <t>https://raw.githubusercontent.com/olaf-programmeur/images/main/lait_4.webp</t>
  </si>
  <si>
    <t>milk white glass</t>
  </si>
  <si>
    <t>huile</t>
  </si>
  <si>
    <t>Corps gras liquide d'origine végétale ou animale.</t>
  </si>
  <si>
    <t>https://raw.githubusercontent.com/olaf-programmeur/images/main/huile.webp</t>
  </si>
  <si>
    <t>olive oil bottle food</t>
  </si>
  <si>
    <t>oeuf</t>
  </si>
  <si>
    <t>l'oeuf</t>
  </si>
  <si>
    <t>Corps rond pondu par les oiseaux comme la poule, utilisé en cuisine.</t>
  </si>
  <si>
    <t>https://raw.githubusercontent.com/olaf-programmeur/images/main/oeuf.webp</t>
  </si>
  <si>
    <t>eggs hoon</t>
  </si>
  <si>
    <t>gateau</t>
  </si>
  <si>
    <t>le gâteau</t>
  </si>
  <si>
    <t>Pâtisserie sucrée cuite au four, avec des fruits comme des pommes.</t>
  </si>
  <si>
    <t>https://raw.githubusercontent.com/olaf-programmeur/images/main/tarte_pomme.webp</t>
  </si>
  <si>
    <t>cake dessert sweet</t>
  </si>
  <si>
    <t>foret</t>
  </si>
  <si>
    <t>la forêt</t>
  </si>
  <si>
    <t>Grande étendue de terrain couverte d'arbres.</t>
  </si>
  <si>
    <t>https://raw.githubusercontent.com/olaf-programmeur/images/main/foret.webp</t>
  </si>
  <si>
    <t>https://raw.githubusercontent.com/olaf-programmeur/images/main/foret_1.webp</t>
  </si>
  <si>
    <t>https://raw.githubusercontent.com/olaf-programmeur/images/main/foret_2.webp</t>
  </si>
  <si>
    <t>https://raw.githubusercontent.com/olaf-programmeur/images/main/foret_3.webp</t>
  </si>
  <si>
    <t>https://raw.githubusercontent.com/olaf-programmeur/images/main/foret_4.webp</t>
  </si>
  <si>
    <t>forest trees green sky</t>
  </si>
  <si>
    <t>mer</t>
  </si>
  <si>
    <t>la mer</t>
  </si>
  <si>
    <t>Grande étendue d'eau sur laquelle les bâteaux peuvent circuler.</t>
  </si>
  <si>
    <t>https://raw.githubusercontent.com/olaf-programmeur/images/main/mer.webp</t>
  </si>
  <si>
    <t>sea ocean waves</t>
  </si>
  <si>
    <t>montagne</t>
  </si>
  <si>
    <t>la montagne</t>
  </si>
  <si>
    <t>Relief naturel élevé formé de roches.</t>
  </si>
  <si>
    <t>https://raw.githubusercontent.com/olaf-programmeur/images/main/montagne.webp</t>
  </si>
  <si>
    <t>mountain landscape snow</t>
  </si>
  <si>
    <t>riviere</t>
  </si>
  <si>
    <t>la rivière</t>
  </si>
  <si>
    <t>Cours d'eau qui coule dans la nature et qui se jette dans un fleuve.</t>
  </si>
  <si>
    <t>rocher</t>
  </si>
  <si>
    <t>le rocher</t>
  </si>
  <si>
    <t>Morceau de roche, matière minérale dure.</t>
  </si>
  <si>
    <t>https://raw.githubusercontent.com/olaf-programmeur/images/main/rocher.webp</t>
  </si>
  <si>
    <t>https://raw.githubusercontent.com/olaf-programmeur/images/main/rocher_1.webp</t>
  </si>
  <si>
    <t>https://raw.githubusercontent.com/olaf-programmeur/images/main/rocher_2.webp</t>
  </si>
  <si>
    <t>https://raw.githubusercontent.com/olaf-programmeur/images/main/rocher_3.webp</t>
  </si>
  <si>
    <t>https://raw.githubusercontent.com/olaf-programmeur/images/main/rocher_4.webp</t>
  </si>
  <si>
    <t>stone rock natural</t>
  </si>
  <si>
    <t>p_lune</t>
  </si>
  <si>
    <t>la lune</t>
  </si>
  <si>
    <t>Satellite naturel de la Terre, visible la nuit.</t>
  </si>
  <si>
    <t>https://raw.githubusercontent.com/olaf-programmeur/images/main/p_lune.webp</t>
  </si>
  <si>
    <t>https://raw.githubusercontent.com/olaf-programmeur/images/main/p_lune_1.webp</t>
  </si>
  <si>
    <t>https://raw.githubusercontent.com/olaf-programmeur/images/main/p_lune_2.webp</t>
  </si>
  <si>
    <t>https://raw.githubusercontent.com/olaf-programmeur/images/main/p_lune_3.webp</t>
  </si>
  <si>
    <t>https://raw.githubusercontent.com/olaf-programmeur/images/main/p_lune_4.webp</t>
  </si>
  <si>
    <t>full moon big</t>
  </si>
  <si>
    <t>e_terre</t>
  </si>
  <si>
    <t>la terre</t>
  </si>
  <si>
    <t>Sol sur lequel on marche  ++  l'élément dans lequel on plante les légumes.</t>
  </si>
  <si>
    <t>https://raw.githubusercontent.com/olaf-programmeur/images/main/e_terre.webp</t>
  </si>
  <si>
    <t>https://raw.githubusercontent.com/olaf-programmeur/images/main/e_terre_1.webp</t>
  </si>
  <si>
    <t>https://raw.githubusercontent.com/olaf-programmeur/images/main/e_terre_2.webp</t>
  </si>
  <si>
    <t>https://raw.githubusercontent.com/olaf-programmeur/images/main/e_terre_3.webp</t>
  </si>
  <si>
    <t>https://raw.githubusercontent.com/olaf-programmeur/images/main/e_terre_4.webp</t>
  </si>
  <si>
    <t>p_terre</t>
  </si>
  <si>
    <t>La planète Terre, c'est la planète sur laquelle on vit.</t>
  </si>
  <si>
    <t>https://raw.githubusercontent.com/olaf-programmeur/images/main/p_terre.webp</t>
  </si>
  <si>
    <t>https://raw.githubusercontent.com/olaf-programmeur/images/main/p_terre_1.webp</t>
  </si>
  <si>
    <t>https://raw.githubusercontent.com/olaf-programmeur/images/main/p_terre_2.webp</t>
  </si>
  <si>
    <t>ciel</t>
  </si>
  <si>
    <t>le ciel</t>
  </si>
  <si>
    <t>Espace au-dessus de la Terre, visible depuis le sol.</t>
  </si>
  <si>
    <t>https://raw.githubusercontent.com/olaf-programmeur/images/main/ciel.webp</t>
  </si>
  <si>
    <t>feu</t>
  </si>
  <si>
    <t>le feu</t>
  </si>
  <si>
    <t>Phénomène lumineux et calorifique produit par la combustion.</t>
  </si>
  <si>
    <t>https://raw.githubusercontent.com/olaf-programmeur/images/main/feu.webp</t>
  </si>
  <si>
    <t>soleil</t>
  </si>
  <si>
    <t>le soleil</t>
  </si>
  <si>
    <t>Étoile autour de laquelle tourne la Terre.</t>
  </si>
  <si>
    <t>https://raw.githubusercontent.com/olaf-programmeur/images/main/soleil.webp</t>
  </si>
  <si>
    <t>https://raw.githubusercontent.com/olaf-programmeur/images/main/soleil_1.webp</t>
  </si>
  <si>
    <t>https://raw.githubusercontent.com/olaf-programmeur/images/main/soleil_2.webp</t>
  </si>
  <si>
    <t>https://raw.githubusercontent.com/olaf-programmeur/images/main/soleil_3.webp</t>
  </si>
  <si>
    <t>https://raw.githubusercontent.com/olaf-programmeur/images/main/soleil_4.webp</t>
  </si>
  <si>
    <t>sun sky shining</t>
  </si>
  <si>
    <t>eau</t>
  </si>
  <si>
    <t>l'eau</t>
  </si>
  <si>
    <t>Liquide transparent, inodore, indispensable à la vie.</t>
  </si>
  <si>
    <t>https://raw.githubusercontent.com/olaf-programmeur/images/main/eau.webp</t>
  </si>
  <si>
    <t>https://raw.githubusercontent.com/olaf-programmeur/images/main/eau_1.webp</t>
  </si>
  <si>
    <t>https://raw.githubusercontent.com/olaf-programmeur/images/main/eau_2.webp</t>
  </si>
  <si>
    <t>https://raw.githubusercontent.com/olaf-programmeur/images/main/eau_3.webp</t>
  </si>
  <si>
    <t>https://raw.githubusercontent.com/olaf-programmeur/images/main/eau_4.webp</t>
  </si>
  <si>
    <t>incendie</t>
  </si>
  <si>
    <t>l'incendie</t>
  </si>
  <si>
    <t>Grand feu qui  brûle tout sur son passage.</t>
  </si>
  <si>
    <t>https://raw.githubusercontent.com/olaf-programmeur/images/main/incendie.webp</t>
  </si>
  <si>
    <t>colere</t>
  </si>
  <si>
    <t>la colère</t>
  </si>
  <si>
    <t>Le sentiment fort quand quelque chose nous fâche, qu'on n'est pas content.</t>
  </si>
  <si>
    <t>https://raw.githubusercontent.com/olaf-programmeur/images/main/colere.webp</t>
  </si>
  <si>
    <t>https://raw.githubusercontent.com/olaf-programmeur/images/main/colere_1.webp</t>
  </si>
  <si>
    <t>anger frustrated person</t>
  </si>
  <si>
    <t>sentiment</t>
  </si>
  <si>
    <t>peur</t>
  </si>
  <si>
    <t>la peur</t>
  </si>
  <si>
    <t>Sentiment d'angoisse face à un danger réel ou imaginaire.</t>
  </si>
  <si>
    <t>https://raw.githubusercontent.com/olaf-programmeur/images/main/peur.webp</t>
  </si>
  <si>
    <t>https://raw.githubusercontent.com/olaf-programmeur/images/main/peur_1.webp</t>
  </si>
  <si>
    <t>fear scared dark shadow</t>
  </si>
  <si>
    <t>solitude</t>
  </si>
  <si>
    <t>la solitude</t>
  </si>
  <si>
    <t>État de quelqu'un qui est seul.</t>
  </si>
  <si>
    <t>https://raw.githubusercontent.com/olaf-programmeur/images/main/solitude.webp</t>
  </si>
  <si>
    <t>https://raw.githubusercontent.com/olaf-programmeur/images/main/solitude_1.webp</t>
  </si>
  <si>
    <t>https://raw.githubusercontent.com/olaf-programmeur/images/main/solitude_2.webp</t>
  </si>
  <si>
    <t>https://raw.githubusercontent.com/olaf-programmeur/images/main/solitude_3.webp</t>
  </si>
  <si>
    <t>solitude alone person nature</t>
  </si>
  <si>
    <t>tristesse</t>
  </si>
  <si>
    <t>la tristesse</t>
  </si>
  <si>
    <t>État d'affliction, sentiment de malheur.</t>
  </si>
  <si>
    <t>https://raw.githubusercontent.com/olaf-programmeur/images/main/tristesse.webp</t>
  </si>
  <si>
    <t>https://raw.githubusercontent.com/olaf-programmeur/images/main/tristesse_1.webp</t>
  </si>
  <si>
    <t>https://raw.githubusercontent.com/olaf-programmeur/images/main/tristesse_2.webp</t>
  </si>
  <si>
    <t>sadness crying tears person</t>
  </si>
  <si>
    <t>confiance</t>
  </si>
  <si>
    <t>la confiance</t>
  </si>
  <si>
    <t>Foi en quelqu'un, sentiment de sécurité.</t>
  </si>
  <si>
    <t>https://raw.githubusercontent.com/olaf-programmeur/images/main/confiance.webp</t>
  </si>
  <si>
    <t>trust handshake agreement</t>
  </si>
  <si>
    <t>fierte</t>
  </si>
  <si>
    <t>la fierté</t>
  </si>
  <si>
    <t>Le sentiment agréable d'être content de soi ou des siens.</t>
  </si>
  <si>
    <t>https://raw.githubusercontent.com/olaf-programmeur/images/main/fierte.webp</t>
  </si>
  <si>
    <t>https://raw.githubusercontent.com/olaf-programmeur/images/main/fierte_1.webp</t>
  </si>
  <si>
    <t>pride achievement success</t>
  </si>
  <si>
    <t>gratitude</t>
  </si>
  <si>
    <t>la gratitude</t>
  </si>
  <si>
    <t>Sentiment de reconnaissance envers quelqu'un.</t>
  </si>
  <si>
    <t>https://raw.githubusercontent.com/olaf-programmeur/images/main/gratitude.webp</t>
  </si>
  <si>
    <t>https://raw.githubusercontent.com/olaf-programmeur/images/main/gratitude_1.webp</t>
  </si>
  <si>
    <t>https://raw.githubusercontent.com/olaf-programmeur/images/main/gratitude_2.webp</t>
  </si>
  <si>
    <t>gratitude thankful hands</t>
  </si>
  <si>
    <t>joie</t>
  </si>
  <si>
    <t>la joie</t>
  </si>
  <si>
    <t>Sentiment vif de bonheur et de plaisir.</t>
  </si>
  <si>
    <t>https://raw.githubusercontent.com/olaf-programmeur/images/main/joie.webp</t>
  </si>
  <si>
    <t>https://raw.githubusercontent.com/olaf-programmeur/images/main/joie_1.webp</t>
  </si>
  <si>
    <t>https://raw.githubusercontent.com/olaf-programmeur/images/main/joie_2.webp</t>
  </si>
  <si>
    <t>https://raw.githubusercontent.com/olaf-programmeur/images/main/joie_3.webp</t>
  </si>
  <si>
    <t>joy happiness smile laugh</t>
  </si>
  <si>
    <t>surprise</t>
  </si>
  <si>
    <t>la surprise</t>
  </si>
  <si>
    <t>Émotion causée par quelque chose d'inattendu.</t>
  </si>
  <si>
    <t>https://raw.githubusercontent.com/olaf-programmeur/images/main/surprise.webp</t>
  </si>
  <si>
    <t>https://raw.githubusercontent.com/olaf-programmeur/images/main/surprise_1.webp</t>
  </si>
  <si>
    <t>surprise shocked expression</t>
  </si>
  <si>
    <t>amour</t>
  </si>
  <si>
    <t>l'amour</t>
  </si>
  <si>
    <t>Sentiment profond d'affection et d'attachement.</t>
  </si>
  <si>
    <t>https://raw.githubusercontent.com/olaf-programmeur/images/main/amour.webp</t>
  </si>
  <si>
    <t>https://raw.githubusercontent.com/olaf-programmeur/images/main/amour_1.webp</t>
  </si>
  <si>
    <t>https://raw.githubusercontent.com/olaf-programmeur/images/main/amour_2.webp</t>
  </si>
  <si>
    <t>https://raw.githubusercontent.com/olaf-programmeur/images/main/amour_3.webp</t>
  </si>
  <si>
    <t>love couple romance heart</t>
  </si>
  <si>
    <t>bonheur</t>
  </si>
  <si>
    <t>le bonheur</t>
  </si>
  <si>
    <t>État de satisfaction complète et durable.</t>
  </si>
  <si>
    <t>https://raw.githubusercontent.com/olaf-programmeur/images/main/bonheur.webp</t>
  </si>
  <si>
    <t>https://raw.githubusercontent.com/olaf-programmeur/images/main/bonheur_1.webp</t>
  </si>
  <si>
    <t>happiness joy sunny smiling</t>
  </si>
  <si>
    <t>courage</t>
  </si>
  <si>
    <t>le courage</t>
  </si>
  <si>
    <t>Force morale qui permet d'affronter la difficulté  ++  On a peur mais on y va quand même.</t>
  </si>
  <si>
    <t>https://raw.githubusercontent.com/olaf-programmeur/images/main/courage.webp</t>
  </si>
  <si>
    <t>https://raw.githubusercontent.com/olaf-programmeur/images/main/courage_1.webp</t>
  </si>
  <si>
    <t>https://raw.githubusercontent.com/olaf-programmeur/images/main/courage_2.webp</t>
  </si>
  <si>
    <t>https://raw.githubusercontent.com/olaf-programmeur/images/main/courage_3.webp</t>
  </si>
  <si>
    <t>https://raw.githubusercontent.com/olaf-programmeur/images/main/courage_4.webp</t>
  </si>
  <si>
    <t>courage strength determination</t>
  </si>
  <si>
    <t>reve</t>
  </si>
  <si>
    <t>le rêve</t>
  </si>
  <si>
    <t>Les images que l'on voit en dormant, ou un grand souhait.</t>
  </si>
  <si>
    <t>https://raw.githubusercontent.com/olaf-programmeur/images/main/rever.webp</t>
  </si>
  <si>
    <t>dream clouds sky imagination</t>
  </si>
  <si>
    <t>espoir</t>
  </si>
  <si>
    <t>l'espoir</t>
  </si>
  <si>
    <t>Attente confiante de quelque chose de positif.</t>
  </si>
  <si>
    <t>https://raw.githubusercontent.com/olaf-programmeur/images/main/espoir.webp</t>
  </si>
  <si>
    <t>https://raw.githubusercontent.com/olaf-programmeur/images/main/espoir_1.webp</t>
  </si>
  <si>
    <t>https://raw.githubusercontent.com/olaf-programmeur/images/main/espoir_2.webp</t>
  </si>
  <si>
    <t>hope sunrise light hope</t>
  </si>
  <si>
    <t>auberge_godet</t>
  </si>
  <si>
    <t>l'auberge du Godet</t>
  </si>
  <si>
    <t>L'auberge Godet situé dans la vallée de Derborence, vers le barrage du Godet.</t>
  </si>
  <si>
    <t>https://raw.githubusercontent.com/olaf-programmeur/images/main/auberge_godet.webp</t>
  </si>
  <si>
    <t>refuge_lac_derborence</t>
  </si>
  <si>
    <t>le Refuge du Lac à Derborence</t>
  </si>
  <si>
    <t>Le Refuge du Lac de Derborence situé à Derborence.</t>
  </si>
  <si>
    <t>https://raw.githubusercontent.com/olaf-programmeur/images/main/refuge_lac_derborence.webp</t>
  </si>
  <si>
    <t>lac_derborence</t>
  </si>
  <si>
    <t>le lac de Derborence</t>
  </si>
  <si>
    <t>Le lac de Derborence.</t>
  </si>
  <si>
    <t>https://raw.githubusercontent.com/olaf-programmeur/images/main/lac_derborence.webp</t>
  </si>
  <si>
    <t>buvette_dorbon.webp</t>
  </si>
  <si>
    <t>la buvette de Dorbon</t>
  </si>
  <si>
    <t>La buvette de Dorbon, le petit restaurant situé dans l'alpage de Dorbon.</t>
  </si>
  <si>
    <t>https://raw.githubusercontent.com/olaf-programmeur/images/main/buvette_dorbon.webp</t>
  </si>
  <si>
    <t>alpage_airoz</t>
  </si>
  <si>
    <t>l'alpage d'Airoz ou Aïre</t>
  </si>
  <si>
    <t>L'alpage d'Airoz, un des alpages de la Commune de Conthey situé au-dessus des mayens de My.</t>
  </si>
  <si>
    <t>https://raw.githubusercontent.com/olaf-programmeur/images/main/alpage_airoz.webp</t>
  </si>
  <si>
    <t>aplage_flore</t>
  </si>
  <si>
    <t>l'alpage de Flore</t>
  </si>
  <si>
    <t>L'alpage d'Airoz, un des alpages de la Commune de Conthey situé au-dessus des mayens de Conthey.</t>
  </si>
  <si>
    <t>https://raw.githubusercontent.com/olaf-programmeur/images/main/alpage_flore.webp</t>
  </si>
  <si>
    <t>lac_trente_pas</t>
  </si>
  <si>
    <t>le lac des Trente pas</t>
  </si>
  <si>
    <t>Le lac des Trente Pas, sité au-dessus de l'alpage de Flore.</t>
  </si>
  <si>
    <t>https://raw.githubusercontent.com/olaf-programmeur/images/main/lac_trente_pas.webp</t>
  </si>
  <si>
    <t>croix_de_la_chia</t>
  </si>
  <si>
    <t>la croix de la Chia</t>
  </si>
  <si>
    <t>La croix de La Chia, c'est le col situé au sommet de la Commune de Conthey, au-dessus du lac des Trentes pas. On peut redescendre sur Miez puis sur Derborence.</t>
  </si>
  <si>
    <t>https://raw.githubusercontent.com/olaf-programmeur/images/main/croix_de_la_chia.webp</t>
  </si>
  <si>
    <t>gite_lodze</t>
  </si>
  <si>
    <t>le Gîte de Lodze</t>
  </si>
  <si>
    <t>Le gîte de Lodze, la cabane située sur l'alpage de Lodze</t>
  </si>
  <si>
    <t>https://raw.githubusercontent.com/olaf-programmeur/images/main/gite_lodze.webp</t>
  </si>
  <si>
    <t>grand_zour</t>
  </si>
  <si>
    <t>le restaurant de la Grand-Zour</t>
  </si>
  <si>
    <t>Le Grand Zour, le restaurant situé sur la route du Sanetsch, avant le pont sur la Morge.</t>
  </si>
  <si>
    <t>https://raw.githubusercontent.com/olaf-programmeur/images/main/grand_zour.webp</t>
  </si>
  <si>
    <t>prarochet</t>
  </si>
  <si>
    <t>la cabane de Prarochet</t>
  </si>
  <si>
    <t>La cabane de Prarochet, située dans la région du Sanetsch, non loin du glacier des Diablerets.</t>
  </si>
  <si>
    <t>https://raw.githubusercontent.com/olaf-programmeur/images/main/prarochet.webp</t>
  </si>
  <si>
    <t>barage_grande_dixence</t>
  </si>
  <si>
    <t>le barrage de la Grande Dixence</t>
  </si>
  <si>
    <t>Le grand barrage de la Grande Dixence, le plus haut barrage d'Europe avec 285 mètres de hauteur.</t>
  </si>
  <si>
    <t>https://raw.githubusercontent.com/olaf-programmeur/images/main/barrage_grande_dixence.webp</t>
  </si>
  <si>
    <t>argent</t>
  </si>
  <si>
    <t>l'argent</t>
  </si>
  <si>
    <t>Monnaie, moyen d'échange économique.</t>
  </si>
  <si>
    <t>https://raw.githubusercontent.com/olaf-programmeur/images/main/argent.webp</t>
  </si>
  <si>
    <t>https://raw.githubusercontent.com/olaf-programmeur/images/main/argent_1.webp</t>
  </si>
  <si>
    <t>https://raw.githubusercontent.com/olaf-programmeur/images/main/argent_2.webp</t>
  </si>
  <si>
    <t>https://raw.githubusercontent.com/olaf-programmeur/images/main/argent_3.webp</t>
  </si>
  <si>
    <t>money cash currency</t>
  </si>
  <si>
    <t>salaire</t>
  </si>
  <si>
    <t>le salaire</t>
  </si>
  <si>
    <t>Rémunération versée en échange d'un travail.</t>
  </si>
  <si>
    <t>https://raw.githubusercontent.com/olaf-programmeur/images/main/salaire.webp</t>
  </si>
  <si>
    <t>salary paycheck income</t>
  </si>
  <si>
    <t>fruit</t>
  </si>
  <si>
    <t>le fruit</t>
  </si>
  <si>
    <t>Produit comestible des plantes, souvent sucré.</t>
  </si>
  <si>
    <t>https://raw.githubusercontent.com/olaf-programmeur/images/main/fruits_1.webp</t>
  </si>
  <si>
    <t>https://raw.githubusercontent.com/olaf-programmeur/images/main/fruits_2.webp</t>
  </si>
  <si>
    <t>https://raw.githubusercontent.com/olaf-programmeur/images/main/fruits_3.webp</t>
  </si>
  <si>
    <t>pomme</t>
  </si>
  <si>
    <t>la pomme</t>
  </si>
  <si>
    <t>Fruit rond et croquant qui peut être rouge, verte ou jaune. Elle est sucrée et juteuse, et on peut la manger crue ou cuite. Elle pousse sur un pommier.</t>
  </si>
  <si>
    <t>https://raw.githubusercontent.com/olaf-programmeur/images/main/pomme.webp</t>
  </si>
  <si>
    <t>apple grammy</t>
  </si>
  <si>
    <t>poire</t>
  </si>
  <si>
    <t>la poire</t>
  </si>
  <si>
    <t>Fruit doux et sucré qui a une forme un peu allongée, de couleur vert et rouge. Elle pousse sur un poirier.</t>
  </si>
  <si>
    <t>https://raw.githubusercontent.com/olaf-programmeur/images/main/poire.webp</t>
  </si>
  <si>
    <t>poire william</t>
  </si>
  <si>
    <t>pruneau</t>
  </si>
  <si>
    <t>le pruneau</t>
  </si>
  <si>
    <t>Fruit doux et sucré de couleur violette un peu allongé. Il pousse sur un prunier.</t>
  </si>
  <si>
    <t>https://raw.githubusercontent.com/olaf-programmeur/images/main/pruneau.webp</t>
  </si>
  <si>
    <t>pruneaux frais</t>
  </si>
  <si>
    <t>cerise</t>
  </si>
  <si>
    <t>la cerise</t>
  </si>
  <si>
    <t>Petit fruit rond, rouge et juteux, avec un noyau au milieu, qui pousse sur un cerisier.</t>
  </si>
  <si>
    <t>https://raw.githubusercontent.com/olaf-programmeur/images/main/cerise.webp</t>
  </si>
  <si>
    <t>cerises plateau</t>
  </si>
  <si>
    <t>abricot</t>
  </si>
  <si>
    <t>l'abricot</t>
  </si>
  <si>
    <t>Fruit charnu de forme arrondie, possédant un noyau. Sa chair est sucrée, peu juteuse, de couleur jaune orangé.</t>
  </si>
  <si>
    <t>https://raw.githubusercontent.com/olaf-programmeur/images/main/abricot.webp</t>
  </si>
  <si>
    <t>fraise</t>
  </si>
  <si>
    <t>la fraise</t>
  </si>
  <si>
    <t>Petit fruit rouge, sucré et parfumé, issu des fraisiers. On les plante dans le jardin.</t>
  </si>
  <si>
    <t>https://raw.githubusercontent.com/olaf-programmeur/images/main/fraise.webp</t>
  </si>
  <si>
    <t>framboise</t>
  </si>
  <si>
    <t>la framboise</t>
  </si>
  <si>
    <t>Fruit comestible du framboisier, de forme arrondie et de couleur rouge. Elle est formée de nombreux petits grains (drupéoles).</t>
  </si>
  <si>
    <t>https://raw.githubusercontent.com/olaf-programmeur/images/main/framboise.webp</t>
  </si>
  <si>
    <t>banane</t>
  </si>
  <si>
    <t>la banane</t>
  </si>
  <si>
    <t>Fruit jaune et allongé que l’on épluche avant de le manger. Elle est douce, facile à digérer et donne beaucoup d’énergie. Elle pousse sur un bananier en régime.</t>
  </si>
  <si>
    <t>https://raw.githubusercontent.com/olaf-programmeur/images/main/banane.webp</t>
  </si>
  <si>
    <t>régime bananes</t>
  </si>
  <si>
    <t>orange</t>
  </si>
  <si>
    <t>l'orange</t>
  </si>
  <si>
    <t>Fruit rond et orange rempli de jus. Elle est composée de quartier et elle a un goût sucré et un peu acide. Elle pousse sur un oranger.</t>
  </si>
  <si>
    <t>https://raw.githubusercontent.com/olaf-programmeur/images/main/orange.webp</t>
  </si>
  <si>
    <t>oranges</t>
  </si>
  <si>
    <t>mandarine</t>
  </si>
  <si>
    <t>la mandarine</t>
  </si>
  <si>
    <t>Fruit qui ressemble à une petite orange facile à éplucher. Elle est très sucrée, parfumée et se mange en quartiers.</t>
  </si>
  <si>
    <t>https://raw.githubusercontent.com/olaf-programmeur/images/main/mandarine.webp</t>
  </si>
  <si>
    <t>mandarines</t>
  </si>
  <si>
    <t>avocat</t>
  </si>
  <si>
    <t>l'avocat</t>
  </si>
  <si>
    <t>Les avocats grossissent sur l'arbre appelé avocatier où ils peuvent rester plusieurs mois, mais ne peuvent commencer à mûrir qu'une fois cueillis. Ils sont verts ou noirs et ont un noyau au centre.</t>
  </si>
  <si>
    <t>https://raw.githubusercontent.com/olaf-programmeur/images/main/fruit_avocat.webp</t>
  </si>
  <si>
    <t>noix</t>
  </si>
  <si>
    <t>la noix</t>
  </si>
  <si>
    <t>Le fruit sec à coque dure que l'on casse.</t>
  </si>
  <si>
    <t>https://raw.githubusercontent.com/olaf-programmeur/images/main/noix.webp</t>
  </si>
  <si>
    <t>peche</t>
  </si>
  <si>
    <t>la pêche</t>
  </si>
  <si>
    <t>Le fruit rond et doux à la peau veloutée.</t>
  </si>
  <si>
    <t>https://raw.githubusercontent.com/olaf-programmeur/images/main/peche.webp</t>
  </si>
  <si>
    <t>raisin</t>
  </si>
  <si>
    <t>le raisin</t>
  </si>
  <si>
    <t>Le petit fruit qui pousse en grappes.</t>
  </si>
  <si>
    <t>https://raw.githubusercontent.com/olaf-programmeur/images/main/raisin.webp</t>
  </si>
  <si>
    <t>fourmi</t>
  </si>
  <si>
    <t>la fourmi</t>
  </si>
  <si>
    <t>Le tout petit insecte qui vit en groupe et travaille beaucoup.</t>
  </si>
  <si>
    <t>https://raw.githubusercontent.com/olaf-programmeur/images/main/fourmi.webp</t>
  </si>
  <si>
    <t>mouche</t>
  </si>
  <si>
    <t>la mouche</t>
  </si>
  <si>
    <t>Le petit insecte noir qui vole et qui agace.</t>
  </si>
  <si>
    <t>https://raw.githubusercontent.com/olaf-programmeur/images/main/mouche.webp</t>
  </si>
  <si>
    <t>toile</t>
  </si>
  <si>
    <t>la toile</t>
  </si>
  <si>
    <t>Le fil que tisse l'araignée, ou un grand tissu.</t>
  </si>
  <si>
    <t>https://raw.githubusercontent.com/olaf-programmeur/images/main/toile.webp</t>
  </si>
  <si>
    <t>abeille</t>
  </si>
  <si>
    <t>l'abeille</t>
  </si>
  <si>
    <t>Le petit insecte jaune et noir qui fait le miel.</t>
  </si>
  <si>
    <t>https://raw.githubusercontent.com/olaf-programmeur/images/main/abeille.webp</t>
  </si>
  <si>
    <t>araignee</t>
  </si>
  <si>
    <t>l'araignée</t>
  </si>
  <si>
    <t>Le petit animal à huit pattes qui tisse une toile.</t>
  </si>
  <si>
    <t>https://raw.githubusercontent.com/olaf-programmeur/images/main/araignee.webp</t>
  </si>
  <si>
    <t>papillon</t>
  </si>
  <si>
    <t>le papillon</t>
  </si>
  <si>
    <t>L'insecte aux grandes ailes colorées.</t>
  </si>
  <si>
    <t>https://raw.githubusercontent.com/olaf-programmeur/images/main/papillon.webp</t>
  </si>
  <si>
    <t>insecte</t>
  </si>
  <si>
    <t>l'insecte</t>
  </si>
  <si>
    <t>Le tout petit animal à six pattes, comme la mouche.</t>
  </si>
  <si>
    <t>guitare</t>
  </si>
  <si>
    <t>la guitare</t>
  </si>
  <si>
    <t>L'instrument de musique à cordes que l'on pince.</t>
  </si>
  <si>
    <t>https://raw.githubusercontent.com/olaf-programmeur/images/main/guitare.webp</t>
  </si>
  <si>
    <t>https://raw.githubusercontent.com/olaf-programmeur/images/main/guitare_1.webp</t>
  </si>
  <si>
    <t>https://raw.githubusercontent.com/olaf-programmeur/images/main/guitare_2.webp</t>
  </si>
  <si>
    <t>https://raw.githubusercontent.com/olaf-programmeur/images/main/guitare_3.webp</t>
  </si>
  <si>
    <t>https://raw.githubusercontent.com/olaf-programmeur/images/main/guitare_4.webp</t>
  </si>
  <si>
    <t>piano</t>
  </si>
  <si>
    <t>le piano</t>
  </si>
  <si>
    <t>Le grand instrument de musique avec des touches noires et blanches.</t>
  </si>
  <si>
    <t>https://raw.githubusercontent.com/olaf-programmeur/images/main/piano.webp</t>
  </si>
  <si>
    <t>batterie</t>
  </si>
  <si>
    <t>la batterie</t>
  </si>
  <si>
    <t>Instrument de percussion. On joue de la batterie.</t>
  </si>
  <si>
    <t>https://raw.githubusercontent.com/olaf-programmeur/images/main/batterie.webp</t>
  </si>
  <si>
    <t>grosse_caisse</t>
  </si>
  <si>
    <t>la grosse caisse</t>
  </si>
  <si>
    <t>Instrument de percussion qu'on joue avec un maillet.</t>
  </si>
  <si>
    <t>https://raw.githubusercontent.com/olaf-programmeur/images/main/grosse_caisse.webp</t>
  </si>
  <si>
    <t>cymbales</t>
  </si>
  <si>
    <t>les cymbales</t>
  </si>
  <si>
    <t>Instrument de percussion, deux grandes plaques en métal.</t>
  </si>
  <si>
    <t>timbales</t>
  </si>
  <si>
    <t>les timbales</t>
  </si>
  <si>
    <t>Instrument de percussion. On joue de la timbale.</t>
  </si>
  <si>
    <t>xylophone</t>
  </si>
  <si>
    <t>le xylophone</t>
  </si>
  <si>
    <t>Instrument de percussion, on parle de clavier comme pour un piano.</t>
  </si>
  <si>
    <t>vibraphone</t>
  </si>
  <si>
    <t>le vibraphone</t>
  </si>
  <si>
    <t>Grand xylophone mais il a des touches en métal.</t>
  </si>
  <si>
    <t>marimba</t>
  </si>
  <si>
    <t>le marimba</t>
  </si>
  <si>
    <t>Très grand xylophone avec des touches en bois.</t>
  </si>
  <si>
    <t>tambour</t>
  </si>
  <si>
    <t>le tambour</t>
  </si>
  <si>
    <t>L'instrument sur lequel on tape pour faire du rythme.</t>
  </si>
  <si>
    <t>https://raw.githubusercontent.com/olaf-programmeur/images/main/tambour.webp</t>
  </si>
  <si>
    <t>https://raw.githubusercontent.com/olaf-programmeur/images/main/tambour_1.webp</t>
  </si>
  <si>
    <t>https://raw.githubusercontent.com/olaf-programmeur/images/main/tambour_2.webp</t>
  </si>
  <si>
    <t>https://raw.githubusercontent.com/olaf-programmeur/images/main/tambour_3.webp</t>
  </si>
  <si>
    <t>https://raw.githubusercontent.com/olaf-programmeur/images/main/tambour_4.webp</t>
  </si>
  <si>
    <t>cornet</t>
  </si>
  <si>
    <t>le cornet</t>
  </si>
  <si>
    <t>Cornet sib et cornet mib pour la voie aïgue (en haut).</t>
  </si>
  <si>
    <t>bugle</t>
  </si>
  <si>
    <t>le bugle</t>
  </si>
  <si>
    <t>Instrument de musique de cuivre. Il joue à côté des altos.</t>
  </si>
  <si>
    <t>https://raw.githubusercontent.com/olaf-programmeur/images/main/bugle.webp</t>
  </si>
  <si>
    <t>alto</t>
  </si>
  <si>
    <t>l'alto</t>
  </si>
  <si>
    <t>Instrument de musique de cuivre. Ils sont assis en face du directeur.</t>
  </si>
  <si>
    <t>https://raw.githubusercontent.com/olaf-programmeur/images/main/alto.webp</t>
  </si>
  <si>
    <t>baryton</t>
  </si>
  <si>
    <t>le baryton</t>
  </si>
  <si>
    <t>Instrument de musique de cuivre entre le cornet et l'euphonium en termes de taille.</t>
  </si>
  <si>
    <t>https://raw.githubusercontent.com/olaf-programmeur/images/main/baryton.webp</t>
  </si>
  <si>
    <t>euphonium</t>
  </si>
  <si>
    <t>l'euphonium</t>
  </si>
  <si>
    <t>Instrument de musique de cuivre de taille moyenne.</t>
  </si>
  <si>
    <t>https://raw.githubusercontent.com/olaf-programmeur/images/main/euphonium.webp</t>
  </si>
  <si>
    <t>basse</t>
  </si>
  <si>
    <t>la basse</t>
  </si>
  <si>
    <t>Instrument de musique de cuivre, c'est le plus grand instrument de la fanfare.</t>
  </si>
  <si>
    <t>https://raw.githubusercontent.com/olaf-programmeur/images/main/basse.webp</t>
  </si>
  <si>
    <t>trombone</t>
  </si>
  <si>
    <t>le trombone</t>
  </si>
  <si>
    <t>Un trombone a une coulisse mais pas de piston.</t>
  </si>
  <si>
    <t>https://raw.githubusercontent.com/olaf-programmeur/images/main/trombone.webp</t>
  </si>
  <si>
    <t>legume</t>
  </si>
  <si>
    <t>le légume</t>
  </si>
  <si>
    <t>Plante ou partie de plante consommée comme aliment.</t>
  </si>
  <si>
    <t>vegetables fresh market colorful</t>
  </si>
  <si>
    <t>la pomme de terre</t>
  </si>
  <si>
    <t>Aliments qui pousse dans la terre et que l'on plante.</t>
  </si>
  <si>
    <t>https://raw.githubusercontent.com/olaf-programmeur/images/main/pomme_terre.webp</t>
  </si>
  <si>
    <t>des pommes de terre</t>
  </si>
  <si>
    <t>carotte</t>
  </si>
  <si>
    <t>la carotte</t>
  </si>
  <si>
    <t>Légume racine sucré et croquant, riche en bêta carotène. C’est le légume le plus consommé en Suisse.</t>
  </si>
  <si>
    <t>https://raw.githubusercontent.com/olaf-programmeur/images/main/carottes.webp</t>
  </si>
  <si>
    <t>tomate</t>
  </si>
  <si>
    <t>la tomate</t>
  </si>
  <si>
    <t>Fruit/légume rouge produit par une plante herbacée grimpante.</t>
  </si>
  <si>
    <t>https://raw.githubusercontent.com/olaf-programmeur/images/main/tomate.webp</t>
  </si>
  <si>
    <t>chou_fleur</t>
  </si>
  <si>
    <t>le chou-fleur</t>
  </si>
  <si>
    <t>Légume-fleur blanc, doux, cuisiné en gratins ou en accompagnement.</t>
  </si>
  <si>
    <t>https://raw.githubusercontent.com/olaf-programmeur/images/main/chou_fleur.webp</t>
  </si>
  <si>
    <t>poireau</t>
  </si>
  <si>
    <t>le poireau</t>
  </si>
  <si>
    <t xml:space="preserve">Légume long et vert qui pousse dans la terre et qu’on utilise pour faire des soupes ou des plats chauds. </t>
  </si>
  <si>
    <t>https://raw.githubusercontent.com/olaf-programmeur/images/main/poireau.webp</t>
  </si>
  <si>
    <t>brocoli</t>
  </si>
  <si>
    <t>le brocoli</t>
  </si>
  <si>
    <t>Légume crucifère originaire de Sicile, riche en nutriments et reconnu pour ses nombreux bienfaits pour la santé.</t>
  </si>
  <si>
    <t>https://raw.githubusercontent.com/olaf-programmeur/images/main/brocoli.webp</t>
  </si>
  <si>
    <t>asperge</t>
  </si>
  <si>
    <t>l'asperge</t>
  </si>
  <si>
    <t>Légume long, blanc ou vert, qui pousse dans la terre et qui ressemble à de longue tige de 20 à 30 cm. Très bon avec du jambon ou en potage.</t>
  </si>
  <si>
    <t>https://raw.githubusercontent.com/olaf-programmeur/images/main/asperge.webp</t>
  </si>
  <si>
    <t>courgette</t>
  </si>
  <si>
    <t>la courgette</t>
  </si>
  <si>
    <t>Fruit/légume de couleur verte, allongé qui ressemble à un grand cornichon.</t>
  </si>
  <si>
    <t>https://raw.githubusercontent.com/olaf-programmeur/images/main/courgette.webp</t>
  </si>
  <si>
    <t>salade_laitue</t>
  </si>
  <si>
    <t>la salade (laitue)</t>
  </si>
  <si>
    <t>Légume vert à feuilles, riche en antioxydants et peu calorique, qui se décline en plusieurs variétés et offre de nombreux bienfaits pour la santé.</t>
  </si>
  <si>
    <t>https://raw.githubusercontent.com/olaf-programmeur/images/main/salade.webp</t>
  </si>
  <si>
    <t>https://raw.githubusercontent.com/olaf-programmeur/images/main/salade_1.webp</t>
  </si>
  <si>
    <t>https://raw.githubusercontent.com/olaf-programmeur/images/main/salade_2.webp</t>
  </si>
  <si>
    <t>https://raw.githubusercontent.com/olaf-programmeur/images/main/salade_3.webp</t>
  </si>
  <si>
    <t>betterave</t>
  </si>
  <si>
    <t>la betterave à salade</t>
  </si>
  <si>
    <t>Légume-racine de couleur rouge-violacé. Il regorge de nutriments bénéfiques pour la santé, présentant un large éventail de propriétés qui favorisent le bienêtre de l’organisme.</t>
  </si>
  <si>
    <t>https://raw.githubusercontent.com/olaf-programmeur/images/main/betterave.webp</t>
  </si>
  <si>
    <t>haricot</t>
  </si>
  <si>
    <t>le haricot</t>
  </si>
  <si>
    <t>Le légume vert et long que l'on mange cuit.</t>
  </si>
  <si>
    <t>https://raw.githubusercontent.com/olaf-programmeur/images/main/haricot.webp</t>
  </si>
  <si>
    <t>oignon</t>
  </si>
  <si>
    <t>l'oignon</t>
  </si>
  <si>
    <t>Le légume rond et fort qui fait pleurer quand on le coupe.</t>
  </si>
  <si>
    <t>https://raw.githubusercontent.com/olaf-programmeur/images/main/oignon.webp</t>
  </si>
  <si>
    <t>sion</t>
  </si>
  <si>
    <t>la ville de Sion</t>
  </si>
  <si>
    <t>La ville de Sion, capitale du Valais</t>
  </si>
  <si>
    <t>https://raw.githubusercontent.com/olaf-programmeur/images/main/sion.webp</t>
  </si>
  <si>
    <t>https://raw.githubusercontent.com/olaf-programmeur/images/main/ville_sion.webp</t>
  </si>
  <si>
    <t>vetroz</t>
  </si>
  <si>
    <t>Vétroz</t>
  </si>
  <si>
    <t>Le village de Vétroz. C'est également le nom de la Commune sitée à côté de la Commune de Conthey.</t>
  </si>
  <si>
    <t>https://raw.githubusercontent.com/olaf-programmeur/images/main/vetroz.webp</t>
  </si>
  <si>
    <t>la ville</t>
  </si>
  <si>
    <t>Agglomération urbaine importante.</t>
  </si>
  <si>
    <t>https://raw.githubusercontent.com/olaf-programmeur/images/main/ville.webp</t>
  </si>
  <si>
    <t>city urban skyline</t>
  </si>
  <si>
    <t>rue</t>
  </si>
  <si>
    <t>la rue</t>
  </si>
  <si>
    <t>Voie publique bordée de bâtiments en ville.</t>
  </si>
  <si>
    <t>https://raw.githubusercontent.com/olaf-programmeur/images/main/rue.webp</t>
  </si>
  <si>
    <t>https://raw.githubusercontent.com/olaf-programmeur/images/main/rue_1.webp</t>
  </si>
  <si>
    <t>https://raw.githubusercontent.com/olaf-programmeur/images/main/rue_2.webp</t>
  </si>
  <si>
    <t>https://raw.githubusercontent.com/olaf-programmeur/images/main/rue_3.webp</t>
  </si>
  <si>
    <t>https://raw.githubusercontent.com/olaf-programmeur/images/main/rue_4.webp</t>
  </si>
  <si>
    <t>street city urban</t>
  </si>
  <si>
    <t>pont</t>
  </si>
  <si>
    <t>le pont</t>
  </si>
  <si>
    <t>Construction permettant de franchir un obstacle.</t>
  </si>
  <si>
    <t>https://raw.githubusercontent.com/olaf-programmeur/images/main/pont.webp</t>
  </si>
  <si>
    <t>bridge architecture river</t>
  </si>
  <si>
    <t>tunnel</t>
  </si>
  <si>
    <t>le tunnel</t>
  </si>
  <si>
    <t>Le tunnel, un ouvrage creusé dans la roche ou dans le sol pour franchir un obstacle en toute sécurité.</t>
  </si>
  <si>
    <t>https://raw.githubusercontent.com/olaf-programmeur/images/main/tunnel.webp</t>
  </si>
  <si>
    <t>parc</t>
  </si>
  <si>
    <t>le parc</t>
  </si>
  <si>
    <t>Espace vert public, jardin ouvert à tous.</t>
  </si>
  <si>
    <t>https://raw.githubusercontent.com/olaf-programmeur/images/main/parc.webp</t>
  </si>
  <si>
    <t>https://raw.githubusercontent.com/olaf-programmeur/images/main/parc_1.webp</t>
  </si>
  <si>
    <t>https://raw.githubusercontent.com/olaf-programmeur/images/main/parc_2.webp</t>
  </si>
  <si>
    <t>https://raw.githubusercontent.com/olaf-programmeur/images/main/parc_3.webp</t>
  </si>
  <si>
    <t>https://raw.githubusercontent.com/olaf-programmeur/images/main/parc_4.webp</t>
  </si>
  <si>
    <t>park green trees bench</t>
  </si>
  <si>
    <t>bureau_metier</t>
  </si>
  <si>
    <t>le Bureau des Métiers</t>
  </si>
  <si>
    <t>Le Bureau des Métiers oû j'ai travaillé de nombreuses années comme Responsable du Bureau de la Lutte contre le Travail au noir.</t>
  </si>
  <si>
    <t>https://raw.githubusercontent.com/olaf-programmeur/images/main/bureau_metiers.webp</t>
  </si>
  <si>
    <t>police_ge</t>
  </si>
  <si>
    <t>Hôtel de police à Genève</t>
  </si>
  <si>
    <t>L'Hôtel de Police situé au Boulevard Carl Vogt à Genève. J'ai travaillé comme Inspecteur de la Police de Sûreté pendant plus de 10 ans.</t>
  </si>
  <si>
    <t>https://raw.githubusercontent.com/olaf-programmeur/images/main/police_ge.webp</t>
  </si>
  <si>
    <t>chuv</t>
  </si>
  <si>
    <t>le CHUV - Hôpital Universitaire Vaudois</t>
  </si>
  <si>
    <t>Le CHUV est l'hôpital universitaire vaudois, là où se trouve le centre de la mémoire.</t>
  </si>
  <si>
    <t>https://raw.githubusercontent.com/olaf-programmeur/images/main/chuv.webp</t>
  </si>
  <si>
    <t>doigt</t>
  </si>
  <si>
    <t>le doigt</t>
  </si>
  <si>
    <t>Chacune des cinq extrémités bougent au bout de ta main.</t>
  </si>
  <si>
    <t>fingers pointing</t>
  </si>
  <si>
    <t>main</t>
  </si>
  <si>
    <t>la main</t>
  </si>
  <si>
    <t>Extrémité du bras avec cinq doigts, servant à toucher et saisir.</t>
  </si>
  <si>
    <t>https://raw.githubusercontent.com/olaf-programmeur/images/main/main.webp</t>
  </si>
  <si>
    <t>human forearm</t>
  </si>
  <si>
    <t>bras</t>
  </si>
  <si>
    <t>le bras</t>
  </si>
  <si>
    <t>Membre supérieur du corps humain, entre l'épaule et la main.</t>
  </si>
  <si>
    <t>https://raw.githubusercontent.com/olaf-programmeur/images/main/bras.webp</t>
  </si>
  <si>
    <t>human arm muscle</t>
  </si>
  <si>
    <t>jambe</t>
  </si>
  <si>
    <t>la jambe</t>
  </si>
  <si>
    <t>Membre inférieur du corps humain.</t>
  </si>
  <si>
    <t>https://raw.githubusercontent.com/olaf-programmeur/images/main/jambe.webp</t>
  </si>
  <si>
    <t>legs of a woman</t>
  </si>
  <si>
    <t>cuisse</t>
  </si>
  <si>
    <t>la cuisse</t>
  </si>
  <si>
    <t>Le haut de la jambe.</t>
  </si>
  <si>
    <t>https://raw.githubusercontent.com/olaf-programmeur/images/main/cuisse.webp</t>
  </si>
  <si>
    <t>thigh of a man</t>
  </si>
  <si>
    <t>pied</t>
  </si>
  <si>
    <t>le pied</t>
  </si>
  <si>
    <t>Extrémité de la jambe sur laquelle on se tient debout et qui sert à marcher.</t>
  </si>
  <si>
    <t>https://raw.githubusercontent.com/olaf-programmeur/images/main/pied.webp</t>
  </si>
  <si>
    <t>https://raw.githubusercontent.com/olaf-programmeur/images/main/pied_1.webp</t>
  </si>
  <si>
    <t>https://raw.githubusercontent.com/olaf-programmeur/images/main/pied_2.webp</t>
  </si>
  <si>
    <t>https://raw.githubusercontent.com/olaf-programmeur/images/main/pied_3.webp</t>
  </si>
  <si>
    <t>https://raw.githubusercontent.com/olaf-programmeur/images/main/pied_4.webp</t>
  </si>
  <si>
    <t>human foot</t>
  </si>
  <si>
    <t>coude</t>
  </si>
  <si>
    <t>le coude</t>
  </si>
  <si>
    <t>La partie du milieu du bras qui plie.</t>
  </si>
  <si>
    <t>https://raw.githubusercontent.com/olaf-programmeur/images/main/coude.webp</t>
  </si>
  <si>
    <t>genou</t>
  </si>
  <si>
    <t>le genou</t>
  </si>
  <si>
    <t>La partie du milieu de la jambe qui plie.</t>
  </si>
  <si>
    <t>https://raw.githubusercontent.com/olaf-programmeur/images/main/genou.webp</t>
  </si>
  <si>
    <t>medecin</t>
  </si>
  <si>
    <t>le médecin</t>
  </si>
  <si>
    <t>Professionnel de santé qui soigne les malades.</t>
  </si>
  <si>
    <t>https://raw.githubusercontent.com/olaf-programmeur/images/main/medecin.webp</t>
  </si>
  <si>
    <t>https://raw.githubusercontent.com/olaf-programmeur/images/main/medecin_1.webp</t>
  </si>
  <si>
    <t>https://raw.githubusercontent.com/olaf-programmeur/images/main/medecin_2.webp</t>
  </si>
  <si>
    <t>https://raw.githubusercontent.com/olaf-programmeur/images/main/medecin_3.webp</t>
  </si>
  <si>
    <t>https://raw.githubusercontent.com/olaf-programmeur/images/main/medecin_4.webp</t>
  </si>
  <si>
    <t>doctor medical white coat</t>
  </si>
  <si>
    <t>doctoresse</t>
  </si>
  <si>
    <t>la doctoresse</t>
  </si>
  <si>
    <t>Une doctoresse est une femme médecin qui a étudié de nombreuses années pour pouvoir examiner les patients, poser des diagnostics et les aider à guérir.</t>
  </si>
  <si>
    <t>https://raw.githubusercontent.com/olaf-programmeur/images/main/doctoresse.webp</t>
  </si>
  <si>
    <t>policier</t>
  </si>
  <si>
    <t>le policier</t>
  </si>
  <si>
    <t>Agent de l'ordre public chargé de maintenir la sécurité.</t>
  </si>
  <si>
    <t>https://raw.githubusercontent.com/olaf-programmeur/images/main/policier.webp</t>
  </si>
  <si>
    <t>police officer uniform</t>
  </si>
  <si>
    <t>charpentier</t>
  </si>
  <si>
    <t>le charpentier</t>
  </si>
  <si>
    <t>Un charpentier : il construit les toits en bois.</t>
  </si>
  <si>
    <t>https://raw.githubusercontent.com/olaf-programmeur/images/main/charpentier.webp</t>
  </si>
  <si>
    <t>macon</t>
  </si>
  <si>
    <t>le maçon</t>
  </si>
  <si>
    <t>Un maçon : il construit des murs avec des briques, des plots ou en béton.</t>
  </si>
  <si>
    <t>https://raw.githubusercontent.com/olaf-programmeur/images/main/macon.webp</t>
  </si>
  <si>
    <t>installateur_sanitaire</t>
  </si>
  <si>
    <t>l'installateur sanitaire</t>
  </si>
  <si>
    <t>Un installateur sanitaire : il installe les appareils dans la salle de bain et les WC. Sylvain Roh est installateur-sanitaire.</t>
  </si>
  <si>
    <t>https://raw.githubusercontent.com/olaf-programmeur/images/main/installateur_sanitaire.webp</t>
  </si>
  <si>
    <t>ferblantier</t>
  </si>
  <si>
    <t>le ferblantier</t>
  </si>
  <si>
    <t>Un ferblantier : il pose les gouttières en métal, des chéneaux.</t>
  </si>
  <si>
    <t>https://raw.githubusercontent.com/olaf-programmeur/images/main/ferblantier.webp</t>
  </si>
  <si>
    <t>menuisier</t>
  </si>
  <si>
    <t>le menuisier</t>
  </si>
  <si>
    <t>Un menuisier : il fabrique des meubles en bois.</t>
  </si>
  <si>
    <t>https://raw.githubusercontent.com/olaf-programmeur/images/main/menuisier.webp</t>
  </si>
  <si>
    <t>poseur_cuisine</t>
  </si>
  <si>
    <t>le poseur de cuisine</t>
  </si>
  <si>
    <t>Un poseur de cuisine : il installe les meubles de cuisine ainsi que les appareils électroménager.</t>
  </si>
  <si>
    <t>https://raw.githubusercontent.com/olaf-programmeur/images/main/poseur_cuisine.webp</t>
  </si>
  <si>
    <t>le mécanicien</t>
  </si>
  <si>
    <t>Un mécanicien : il répare les voitures.</t>
  </si>
  <si>
    <t>cuisinier</t>
  </si>
  <si>
    <t>le cuisinier</t>
  </si>
  <si>
    <t>Un cuisinier : il prépare à manger au restaurant.</t>
  </si>
  <si>
    <t>https://raw.githubusercontent.com/olaf-programmeur/images/main/cuisinier.webp</t>
  </si>
  <si>
    <t>boulanger</t>
  </si>
  <si>
    <t>le boulanger</t>
  </si>
  <si>
    <t>Un boulanger : il fabrique le pain.</t>
  </si>
  <si>
    <t>https://raw.githubusercontent.com/olaf-programmeur/images/main/boulanger.webp</t>
  </si>
  <si>
    <t>chauffeur_car</t>
  </si>
  <si>
    <t>le chauffeur</t>
  </si>
  <si>
    <t>Un chauffeur de car : il conduit le car postal.</t>
  </si>
  <si>
    <t>https://raw.githubusercontent.com/olaf-programmeur/images/main/chauffeur_car.webp</t>
  </si>
  <si>
    <t>dessinateur</t>
  </si>
  <si>
    <t>le dessinateur</t>
  </si>
  <si>
    <t>Un dessinateur : il fait des plans et des dessins.</t>
  </si>
  <si>
    <t>https://raw.githubusercontent.com/olaf-programmeur/images/main/dessinateur.webp</t>
  </si>
  <si>
    <t>professeur</t>
  </si>
  <si>
    <t>le professeur</t>
  </si>
  <si>
    <t>Personne qui enseigne dans un établissement scolaire.</t>
  </si>
  <si>
    <t>https://raw.githubusercontent.com/olaf-programmeur/images/main/professeur.webp</t>
  </si>
  <si>
    <t>https://raw.githubusercontent.com/olaf-programmeur/images/main/professeur_1.webp</t>
  </si>
  <si>
    <t>https://raw.githubusercontent.com/olaf-programmeur/images/main/professeur_2.webp</t>
  </si>
  <si>
    <t>https://raw.githubusercontent.com/olaf-programmeur/images/main/professeur_3.webp</t>
  </si>
  <si>
    <t>https://raw.githubusercontent.com/olaf-programmeur/images/main/professeur_4.webp</t>
  </si>
  <si>
    <t>teacher classroom education</t>
  </si>
  <si>
    <t>acteur</t>
  </si>
  <si>
    <t>l'acteur</t>
  </si>
  <si>
    <t>La personne qui joue un rôle dans un film ou au théâtre.</t>
  </si>
  <si>
    <t>https://raw.githubusercontent.com/olaf-programmeur/images/main/acteur.webp</t>
  </si>
  <si>
    <t>https://raw.githubusercontent.com/olaf-programmeur/images/main/acteur_1.webp</t>
  </si>
  <si>
    <t>https://raw.githubusercontent.com/olaf-programmeur/images/main/acteur_2.webp</t>
  </si>
  <si>
    <t>https://raw.githubusercontent.com/olaf-programmeur/images/main/acteur_3.webp</t>
  </si>
  <si>
    <t>https://raw.githubusercontent.com/olaf-programmeur/images/main/acteur_4.webp</t>
  </si>
  <si>
    <t>agriculteur</t>
  </si>
  <si>
    <t>l'agriculteur</t>
  </si>
  <si>
    <t>La personne qui cultive la terre et élève des bêtes.</t>
  </si>
  <si>
    <t>https://raw.githubusercontent.com/olaf-programmeur/images/main/agriculteur.webp</t>
  </si>
  <si>
    <t>https://raw.githubusercontent.com/olaf-programmeur/images/main/agriculteur_1.webp</t>
  </si>
  <si>
    <t>https://raw.githubusercontent.com/olaf-programmeur/images/main/agriculteur_2.webp</t>
  </si>
  <si>
    <t>https://raw.githubusercontent.com/olaf-programmeur/images/main/agriculteur_3.webp</t>
  </si>
  <si>
    <t>https://raw.githubusercontent.com/olaf-programmeur/images/main/agriculteur_4.webp</t>
  </si>
  <si>
    <t>banquier</t>
  </si>
  <si>
    <t>le banquier</t>
  </si>
  <si>
    <t>La personne qui travaille dans une banque.</t>
  </si>
  <si>
    <t>https://raw.githubusercontent.com/olaf-programmeur/images/main/banquier.webp</t>
  </si>
  <si>
    <t>https://raw.githubusercontent.com/olaf-programmeur/images/main/banquier_1.webp</t>
  </si>
  <si>
    <t>https://raw.githubusercontent.com/olaf-programmeur/images/main/banquier_2.webp</t>
  </si>
  <si>
    <t>https://raw.githubusercontent.com/olaf-programmeur/images/main/banquier_3.webp</t>
  </si>
  <si>
    <t>chanteur</t>
  </si>
  <si>
    <t>le chanteur</t>
  </si>
  <si>
    <t>La personne dont le métier est de chanter.</t>
  </si>
  <si>
    <t>https://raw.githubusercontent.com/olaf-programmeur/images/main/chanteur.webp</t>
  </si>
  <si>
    <t>https://raw.githubusercontent.com/olaf-programmeur/images/main/chanteur_1.webp</t>
  </si>
  <si>
    <t>https://raw.githubusercontent.com/olaf-programmeur/images/main/chanteur_2.webp</t>
  </si>
  <si>
    <t>https://raw.githubusercontent.com/olaf-programmeur/images/main/chanteur_3.webp</t>
  </si>
  <si>
    <t>https://raw.githubusercontent.com/olaf-programmeur/images/main/chanteur_4.webp</t>
  </si>
  <si>
    <t>facteur</t>
  </si>
  <si>
    <t>le facteur</t>
  </si>
  <si>
    <t>La personne qui apporte le courrier dans les boîtes aux lettres.</t>
  </si>
  <si>
    <t>https://raw.githubusercontent.com/olaf-programmeur/images/main/facteur.webp</t>
  </si>
  <si>
    <t>https://raw.githubusercontent.com/olaf-programmeur/images/main/facteur_1.webp</t>
  </si>
  <si>
    <t>https://raw.githubusercontent.com/olaf-programmeur/images/main/facteur_2.webp</t>
  </si>
  <si>
    <t>https://raw.githubusercontent.com/olaf-programmeur/images/main/facteur_3.webp</t>
  </si>
  <si>
    <t>https://raw.githubusercontent.com/olaf-programmeur/images/main/facteur_4.webp</t>
  </si>
  <si>
    <t>peintre</t>
  </si>
  <si>
    <t>le peintre</t>
  </si>
  <si>
    <t>La personne qui fait des tableaux ou peint les murs.</t>
  </si>
  <si>
    <t>https://raw.githubusercontent.com/olaf-programmeur/images/main/peintre.webp</t>
  </si>
  <si>
    <t>https://raw.githubusercontent.com/olaf-programmeur/images/main/peintre_1.webp</t>
  </si>
  <si>
    <t>https://raw.githubusercontent.com/olaf-programmeur/images/main/peintre_2.webp</t>
  </si>
  <si>
    <t>https://raw.githubusercontent.com/olaf-programmeur/images/main/peintre_3.webp</t>
  </si>
  <si>
    <t>https://raw.githubusercontent.com/olaf-programmeur/images/main/peintre_4.webp</t>
  </si>
  <si>
    <t>pompier</t>
  </si>
  <si>
    <t>le pompier</t>
  </si>
  <si>
    <t>La personne qui éteint les feux et porte secours.</t>
  </si>
  <si>
    <t>https://raw.githubusercontent.com/olaf-programmeur/images/main/pompier.webp</t>
  </si>
  <si>
    <t>https://raw.githubusercontent.com/olaf-programmeur/images/main/pompier_1.webp</t>
  </si>
  <si>
    <t>https://raw.githubusercontent.com/olaf-programmeur/images/main/pompier_2.webp</t>
  </si>
  <si>
    <t>https://raw.githubusercontent.com/olaf-programmeur/images/main/pompier_3.webp</t>
  </si>
  <si>
    <t>https://raw.githubusercontent.com/olaf-programmeur/images/main/pompier_4.webp</t>
  </si>
  <si>
    <t>vendeur</t>
  </si>
  <si>
    <t>le vendeur</t>
  </si>
  <si>
    <t>La personne qui vend des choses dans un magasin.</t>
  </si>
  <si>
    <t>https://raw.githubusercontent.com/olaf-programmeur/images/main/vendeur.webp</t>
  </si>
  <si>
    <t>ecrivain</t>
  </si>
  <si>
    <t>l'écrivain</t>
  </si>
  <si>
    <t>La personne qui écrit des livres.</t>
  </si>
  <si>
    <t>https://raw.githubusercontent.com/olaf-programmeur/images/main/ecrivain.webp</t>
  </si>
  <si>
    <t>https://raw.githubusercontent.com/olaf-programmeur/images/main/ecrivain_1.webp</t>
  </si>
  <si>
    <t>https://raw.githubusercontent.com/olaf-programmeur/images/main/ecrivain_2.webp</t>
  </si>
  <si>
    <t>https://raw.githubusercontent.com/olaf-programmeur/images/main/ecrivain_3.webp</t>
  </si>
  <si>
    <t>https://raw.githubusercontent.com/olaf-programmeur/images/main/ecrivain_4.webp</t>
  </si>
  <si>
    <t>infirmier</t>
  </si>
  <si>
    <t>l'infirmier</t>
  </si>
  <si>
    <t>La personne qui aide à soigner les malades.</t>
  </si>
  <si>
    <t>https://raw.githubusercontent.com/olaf-programmeur/images/main/infirmier.webp</t>
  </si>
  <si>
    <t>https://raw.githubusercontent.com/olaf-programmeur/images/main/infirmier_1.webp</t>
  </si>
  <si>
    <t>https://raw.githubusercontent.com/olaf-programmeur/images/main/infirmier_2.webp</t>
  </si>
  <si>
    <t>https://raw.githubusercontent.com/olaf-programmeur/images/main/infirmier_3.webp</t>
  </si>
  <si>
    <t>https://raw.githubusercontent.com/olaf-programmeur/images/main/infirmier_4.webp</t>
  </si>
  <si>
    <t>c_blanc</t>
  </si>
  <si>
    <t>blanc</t>
  </si>
  <si>
    <t>La couleur de la neige ou du lait.</t>
  </si>
  <si>
    <t>https://raw.githubusercontent.com/olaf-programmeur/images/main/c_blanc.webp</t>
  </si>
  <si>
    <t>qualité</t>
  </si>
  <si>
    <t>c_bleu</t>
  </si>
  <si>
    <t>bleu</t>
  </si>
  <si>
    <t>La couleur du ciel ou de la mer.</t>
  </si>
  <si>
    <t>https://raw.githubusercontent.com/olaf-programmeur/images/main/c_bleu.webp</t>
  </si>
  <si>
    <t>c_gris</t>
  </si>
  <si>
    <t>gris</t>
  </si>
  <si>
    <t>La couleur entre le blanc et le noir.</t>
  </si>
  <si>
    <t>https://raw.githubusercontent.com/olaf-programmeur/images/main/c_gris.webp</t>
  </si>
  <si>
    <t>c_jaune</t>
  </si>
  <si>
    <t>jaune</t>
  </si>
  <si>
    <t>La couleur du soleil ou du citron.</t>
  </si>
  <si>
    <t>https://raw.githubusercontent.com/olaf-programmeur/images/main/c_jaune.webp</t>
  </si>
  <si>
    <t>cle</t>
  </si>
  <si>
    <t>la clé</t>
  </si>
  <si>
    <t>Petit objet en métal qui ouvre ou ferme une serrure. On ferme la porte à clé.</t>
  </si>
  <si>
    <t>https://raw.githubusercontent.com/olaf-programmeur/images/main/cles.webp</t>
  </si>
  <si>
    <t>couleur</t>
  </si>
  <si>
    <t>la couleur</t>
  </si>
  <si>
    <t>Ce qui fait qu'une chose est rouge, bleue, verte, etc.</t>
  </si>
  <si>
    <t>https://raw.githubusercontent.com/olaf-programmeur/images/main/couleurs.webp</t>
  </si>
  <si>
    <t>chargeur_phone</t>
  </si>
  <si>
    <t>le chargeur</t>
  </si>
  <si>
    <t>L'objet qui sert à recharger un appareil électrique.</t>
  </si>
  <si>
    <t>https://raw.githubusercontent.com/olaf-programmeur/images/main/chargeur_phone.webp</t>
  </si>
  <si>
    <t>porte_monnaie</t>
  </si>
  <si>
    <t>le porte-monnaie</t>
  </si>
  <si>
    <t>Objet dans lequel on met de l'argent, les cartes de la banque, le permis de conduire et que l'on garde toujours sur soi.</t>
  </si>
  <si>
    <t>https://raw.githubusercontent.com/olaf-programmeur/images/main/porte_monnaie.webp</t>
  </si>
  <si>
    <t>smartphone</t>
  </si>
  <si>
    <t>le téléphone ou l'Iphone</t>
  </si>
  <si>
    <t>Appareil de communication à distance.</t>
  </si>
  <si>
    <t>https://raw.githubusercontent.com/olaf-programmeur/images/main/iphone.webp</t>
  </si>
  <si>
    <t>iphone in hand</t>
  </si>
  <si>
    <t>tablette_ipad</t>
  </si>
  <si>
    <t>l'Ipad ou la tablette</t>
  </si>
  <si>
    <t>J’aime
Je n’aime pas
Appareil électronique, tablette tactile (on utilise les doigts) conçue par l'entreprise Apple, combinant portabilité, écran tactile et fonctionnalités multimédias (musique/films/jeux).</t>
  </si>
  <si>
    <t>https://raw.githubusercontent.com/olaf-programmeur/images/main/ipad.webp</t>
  </si>
  <si>
    <t>c_marron</t>
  </si>
  <si>
    <t>marron</t>
  </si>
  <si>
    <t>La couleur de la terre ou du chocolat.</t>
  </si>
  <si>
    <t>https://raw.githubusercontent.com/olaf-programmeur/images/main/c_marron.webp</t>
  </si>
  <si>
    <t>c_noir</t>
  </si>
  <si>
    <t>noir</t>
  </si>
  <si>
    <t>La couleur très sombre, comme la nuit sans lune.</t>
  </si>
  <si>
    <t>https://raw.githubusercontent.com/olaf-programmeur/images/main/c_noir.webp</t>
  </si>
  <si>
    <t>c_orange</t>
  </si>
  <si>
    <t>La couleur du fruit appelé l'orange</t>
  </si>
  <si>
    <t>https://raw.githubusercontent.com/olaf-programmeur/images/main/c_orange.webp</t>
  </si>
  <si>
    <t>c_rose</t>
  </si>
  <si>
    <t>rose</t>
  </si>
  <si>
    <t>La couleur claire entre le rouge et le blanc.</t>
  </si>
  <si>
    <t>https://raw.githubusercontent.com/olaf-programmeur/images/main/c_rose.webp</t>
  </si>
  <si>
    <t>c_rouge</t>
  </si>
  <si>
    <t>rouge</t>
  </si>
  <si>
    <t>La couleur du sang ou de la fraise.</t>
  </si>
  <si>
    <t>https://raw.githubusercontent.com/olaf-programmeur/images/main/c_rouge.webp</t>
  </si>
  <si>
    <t>c_vert</t>
  </si>
  <si>
    <t>vert</t>
  </si>
  <si>
    <t>La couleur de l'herbe et des feuilles.</t>
  </si>
  <si>
    <t>https://raw.githubusercontent.com/olaf-programmeur/images/main/c_vert.webp</t>
  </si>
  <si>
    <t>a_amer_acide</t>
  </si>
  <si>
    <t>amer  ↔  acide</t>
  </si>
  <si>
    <t>Qui a un goût fort et désagréable, comme le café sans sucre (amer) - qui a un goût piquant comme le citron (acide).</t>
  </si>
  <si>
    <t>https://raw.githubusercontent.com/olaf-programmeur/images/main/amer_acide.webp</t>
  </si>
  <si>
    <t>a_beau_laid</t>
  </si>
  <si>
    <t>beau  ↔  laid</t>
  </si>
  <si>
    <t xml:space="preserve">Qui est agréable à regarder (beau) ou </t>
  </si>
  <si>
    <t>🦋 ↔ 🐛</t>
  </si>
  <si>
    <t>https://raw.githubusercontent.com/olaf-programmeur/images/main/beau_villain.webp</t>
  </si>
  <si>
    <t>a_bon_mauvais</t>
  </si>
  <si>
    <t>bon  ↔  mauvais</t>
  </si>
  <si>
    <t>Un gâteau au chocolat est bon, du lait tourné a un mauvais goût.</t>
  </si>
  <si>
    <t>😋 ↔ 🤢</t>
  </si>
  <si>
    <t>https://raw.githubusercontent.com/olaf-programmeur/images/main/bon_mauvais.webp</t>
  </si>
  <si>
    <t>good versus bad</t>
  </si>
  <si>
    <t>a_brillant_terne</t>
  </si>
  <si>
    <t>brillant  ↔  terne</t>
  </si>
  <si>
    <t>Qui jette beaucoup de lumière (brillant) - qui n'a pas d'éclat, sans brillance (terne).</t>
  </si>
  <si>
    <t>https://raw.githubusercontent.com/olaf-programmeur/images/main/brillant_terne.webp</t>
  </si>
  <si>
    <t>a_calme_agite</t>
  </si>
  <si>
    <t>calme  ↔  agité (énervé)</t>
  </si>
  <si>
    <t>La mer sans vague est calme, la mer pendant la tempête est agitée.</t>
  </si>
  <si>
    <t>🧘 ↔ 🌊</t>
  </si>
  <si>
    <t>https://raw.githubusercontent.com/olaf-programmeur/images/main/calme_agite.webp</t>
  </si>
  <si>
    <t>quiet versus noisy</t>
  </si>
  <si>
    <t>a_chaud_froid</t>
  </si>
  <si>
    <t>chaud  ↔  froid</t>
  </si>
  <si>
    <t>Le feu est chaud et la glace est froide.</t>
  </si>
  <si>
    <t>🔥 ↔ ❄️</t>
  </si>
  <si>
    <t>https://raw.githubusercontent.com/olaf-programmeur/images/main/chaud_froid.webp</t>
  </si>
  <si>
    <t>warm versus cold</t>
  </si>
  <si>
    <t>a_cher_bon_marche</t>
  </si>
  <si>
    <t>cher  ↔  bon marché</t>
  </si>
  <si>
    <t>Une voiture est chère et un yogurt est bon marché.</t>
  </si>
  <si>
    <t>https://raw.githubusercontent.com/olaf-programmeur/images/main/cher_bon_marche.webp</t>
  </si>
  <si>
    <t>expensive versus cheap</t>
  </si>
  <si>
    <t>a_clair_sombre</t>
  </si>
  <si>
    <t>clair  ↔  sombre</t>
  </si>
  <si>
    <t>Le jour est clair et la nuit est sombre.</t>
  </si>
  <si>
    <t>☀️ ↔ 🌑</t>
  </si>
  <si>
    <t>https://raw.githubusercontent.com/olaf-programmeur/images/main/clair_sombre.webp</t>
  </si>
  <si>
    <t>light versus dark</t>
  </si>
  <si>
    <t>a_content_triste</t>
  </si>
  <si>
    <t>content  ↔  triste</t>
  </si>
  <si>
    <t>Qui est heureux, qui se sent bien ou au contraire qui n'est pas heureux, qui a du chagrin.</t>
  </si>
  <si>
    <t>😀 ↔ 😢</t>
  </si>
  <si>
    <t>https://raw.githubusercontent.com/olaf-programmeur/images/main/content_triste.webp</t>
  </si>
  <si>
    <t>happy versus unhappy</t>
  </si>
  <si>
    <t>a_courageux_peureux</t>
  </si>
  <si>
    <t>courageux  ↔  peureux</t>
  </si>
  <si>
    <t>Un pompier qui entre dans le feu est courageux, quelqu'un qui tremble devant une souris est peureux.</t>
  </si>
  <si>
    <t>🦸 ↔ 🙈</t>
  </si>
  <si>
    <t>https://raw.githubusercontent.com/olaf-programmeur/images/main/courageux_peureux.webp</t>
  </si>
  <si>
    <t>courageous versus coward</t>
  </si>
  <si>
    <t>a_dessus_dessous</t>
  </si>
  <si>
    <t>dessus  ↔  dessous</t>
  </si>
  <si>
    <t>Sur le haut de quelque chose (dessus) et sur le bas de quelque chose (dessous)</t>
  </si>
  <si>
    <t>https://raw.githubusercontent.com/olaf-programmeur/images/main/dessus_dessous.webp</t>
  </si>
  <si>
    <t>a_devant_derriere</t>
  </si>
  <si>
    <t>devant  ↔  derrière</t>
  </si>
  <si>
    <t>Ce qui est en face de toi (devant) et ce qui est dans ton dos (derrière)</t>
  </si>
  <si>
    <t>https://raw.githubusercontent.com/olaf-programmeur/images/main/devant_derriere.webp</t>
  </si>
  <si>
    <t>a_drole_serieux</t>
  </si>
  <si>
    <t>drôle  ↔  sérieux</t>
  </si>
  <si>
    <t>Un clown qui fait rire est drôle, un juge au tribunal est sérieux.</t>
  </si>
  <si>
    <t>🤡 ↔ ⚖️</t>
  </si>
  <si>
    <t>https://raw.githubusercontent.com/olaf-programmeur/images/main/drole_serieux.webp</t>
  </si>
  <si>
    <t>funny versus serious</t>
  </si>
  <si>
    <t>a_dur_mou</t>
  </si>
  <si>
    <t>dur  ↔  mou</t>
  </si>
  <si>
    <t>Qui est rigide, qui ne se plie pas (dur) - qui se déforme facilement (mou)</t>
  </si>
  <si>
    <t>🪨 ↔ ☁️</t>
  </si>
  <si>
    <t>https://raw.githubusercontent.com/olaf-programmeur/images/main/dur_mou.webp</t>
  </si>
  <si>
    <t>hard versus loose</t>
  </si>
  <si>
    <t>a_epais_fin</t>
  </si>
  <si>
    <t>épais  ↔  fin</t>
  </si>
  <si>
    <t>Un gros livre est épais, une feuille de papier est fine.</t>
  </si>
  <si>
    <t>📕 ↔ 📄</t>
  </si>
  <si>
    <t>https://raw.githubusercontent.com/olaf-programmeur/images/main/epais_fin.webp</t>
  </si>
  <si>
    <t>fatty versus thin</t>
  </si>
  <si>
    <t>a_facile_difficile</t>
  </si>
  <si>
    <t>facile  ↔  difficile</t>
  </si>
  <si>
    <t>Monter la gamme de do c'est facile, jouer le Carnaval de Venise est difficile, compliqué.</t>
  </si>
  <si>
    <t>➕ ↔ 📐</t>
  </si>
  <si>
    <t>https://raw.githubusercontent.com/olaf-programmeur/images/main/facile_difficile.webp</t>
  </si>
  <si>
    <t>easy versus difficult</t>
  </si>
  <si>
    <t>a_ferme_ouvert</t>
  </si>
  <si>
    <t>fermé  ↔  ouvert</t>
  </si>
  <si>
    <t>Une porte qu'on peut traverser est ouverte, une porte bloquée est fermée.</t>
  </si>
  <si>
    <t>🚪 ↔ 🔒</t>
  </si>
  <si>
    <t>https://raw.githubusercontent.com/olaf-programmeur/images/main/ouvert_ferme.webp</t>
  </si>
  <si>
    <t>open versus closed</t>
  </si>
  <si>
    <t>a_fort_faible</t>
  </si>
  <si>
    <t>fort  ↔  faible</t>
  </si>
  <si>
    <t>Un éléphant est fort et un petit chat est faible.</t>
  </si>
  <si>
    <t>🦁 ↔ 🐥</t>
  </si>
  <si>
    <t>https://raw.githubusercontent.com/olaf-programmeur/images/main/fort_faible.webp</t>
  </si>
  <si>
    <t>strong versus fragile</t>
  </si>
  <si>
    <t>a_gentil_mechant</t>
  </si>
  <si>
    <t>gentil  ↔  méchant</t>
  </si>
  <si>
    <t>Quelqu'un de gentil aide les autres, quelqu'un de méchant fait du mal exprès.</t>
  </si>
  <si>
    <t>😇 ↔ 😈</t>
  </si>
  <si>
    <t>https://raw.githubusercontent.com/olaf-programmeur/images/main/gentil_mechant.webp</t>
  </si>
  <si>
    <t>https://raw.githubusercontent.com/olaf-programmeur/images/main/bon_mechant.webp</t>
  </si>
  <si>
    <t>nice versus bad</t>
  </si>
  <si>
    <t>a_grand_petit</t>
  </si>
  <si>
    <t>grand  ↔  petit</t>
  </si>
  <si>
    <t>Un éléphant est grand et une souris est petite.</t>
  </si>
  <si>
    <t>🐘 ↔ 🐭</t>
  </si>
  <si>
    <t>https://raw.githubusercontent.com/olaf-programmeur/images/main/grand_petit.webp</t>
  </si>
  <si>
    <t>tall versus small</t>
  </si>
  <si>
    <t>a_gros_mince</t>
  </si>
  <si>
    <t>gros  ↔  mince</t>
  </si>
  <si>
    <t>Un hippopotame est gros et un flamant rose est mince.</t>
  </si>
  <si>
    <t>🦛 ↔ 🦩</t>
  </si>
  <si>
    <t>https://raw.githubusercontent.com/olaf-programmeur/images/main/gros_mince.webp</t>
  </si>
  <si>
    <t>a_haut_bas</t>
  </si>
  <si>
    <t>haut  ↔  bas</t>
  </si>
  <si>
    <t>Qui est placé très en hauteur (haut) ou qui est placé tout au fond (bas)</t>
  </si>
  <si>
    <t>🏔️ ↔ 🕳️</t>
  </si>
  <si>
    <t>https://raw.githubusercontent.com/olaf-programmeur/images/main/haut_bas.webp</t>
  </si>
  <si>
    <t>high versus low</t>
  </si>
  <si>
    <t>a_intelligent_bete</t>
  </si>
  <si>
    <t>intelligent  ↔  bête</t>
  </si>
  <si>
    <t>Quelqu'un d'intelligent comprend vite et trouve des solutions, quelqu'un qui ne réfléchit pas dit des choses bêtes.</t>
  </si>
  <si>
    <t>🧠 ↔ 🤪</t>
  </si>
  <si>
    <t>https://raw.githubusercontent.com/olaf-programmeur/images/main/intelligent_bete.webp</t>
  </si>
  <si>
    <t>clever versus stupid</t>
  </si>
  <si>
    <t>a_jeune_vieux</t>
  </si>
  <si>
    <t>jeune  ↔  vieux</t>
  </si>
  <si>
    <t>Un bébé est jeune et un grand-père est vieux.</t>
  </si>
  <si>
    <t>👶 ↔ 👴</t>
  </si>
  <si>
    <t>https://raw.githubusercontent.com/olaf-programmeur/images/main/jeune_vieux.webp</t>
  </si>
  <si>
    <t>young versus old</t>
  </si>
  <si>
    <t>a_large_etroit</t>
  </si>
  <si>
    <t>large  ↔  étroit</t>
  </si>
  <si>
    <t>Une autoroute est large et un petit sentier dans la forêt est étroit.</t>
  </si>
  <si>
    <t>🛣️ ↔ 〰️</t>
  </si>
  <si>
    <t>https://raw.githubusercontent.com/olaf-programmeur/images/main/large_etroit.webp</t>
  </si>
  <si>
    <t>large versus narrow</t>
  </si>
  <si>
    <t>a_libre_occupe</t>
  </si>
  <si>
    <t>libre  ↔  occupé</t>
  </si>
  <si>
    <t>Qui peut faire ce qu'il veut, qui n'est pas retenu (libre) - qui est prix, qui n'est pas disponible (occupé).</t>
  </si>
  <si>
    <t>https://raw.githubusercontent.com/olaf-programmeur/images/main/libre_occupe.webp</t>
  </si>
  <si>
    <t>a_long_court</t>
  </si>
  <si>
    <t>long  ↔  court</t>
  </si>
  <si>
    <t>Un train est long et une trottinette est courte.</t>
  </si>
  <si>
    <t>🚂 ↔ 🛴</t>
  </si>
  <si>
    <t>https://raw.githubusercontent.com/olaf-programmeur/images/main/long_court.webp</t>
  </si>
  <si>
    <t>long versus short</t>
  </si>
  <si>
    <t>a_lourd_leger</t>
  </si>
  <si>
    <t>lourd  ↔  léger</t>
  </si>
  <si>
    <t>Qui pèse beaucoup (lourd) ou qui ne pèse rien (léger)</t>
  </si>
  <si>
    <t>🪨 ↔ 🪶</t>
  </si>
  <si>
    <t>https://raw.githubusercontent.com/olaf-programmeur/images/main/lourd_leger.webp</t>
  </si>
  <si>
    <t>heavy versus light</t>
  </si>
  <si>
    <t>a_neuf_use</t>
  </si>
  <si>
    <t>neuf  ↔  usé</t>
  </si>
  <si>
    <t>Des chaussures qu'on vient d'acheter sont neuves, de vieilles chaussures pleines de trous sont usées.</t>
  </si>
  <si>
    <t>👟 ↔ 👞</t>
  </si>
  <si>
    <t>https://raw.githubusercontent.com/olaf-programmeur/images/main/neuf_use.webp</t>
  </si>
  <si>
    <t>new versus old</t>
  </si>
  <si>
    <t>a_nouveau_ancien</t>
  </si>
  <si>
    <t>nouveau  ↔  ancien</t>
  </si>
  <si>
    <t>Un téléphone qu'on vient d'acheter est nouveau, un objet du musée est ancien.</t>
  </si>
  <si>
    <t>📱 ↔ 🏺</t>
  </si>
  <si>
    <t>https://raw.githubusercontent.com/olaf-programmeur/images/main/nouveau_ancien.webp</t>
  </si>
  <si>
    <t>new versus ancient</t>
  </si>
  <si>
    <t>a_premier_dernier</t>
  </si>
  <si>
    <t>premier  ↔  dernier</t>
  </si>
  <si>
    <t>Celui qui finit en tête d'un concours de musique est le premier, celui qui finit tout à la fin est le dernier.</t>
  </si>
  <si>
    <t>🥇 ↔ 🏁</t>
  </si>
  <si>
    <t>https://raw.githubusercontent.com/olaf-programmeur/images/main/premier_dernier.webp</t>
  </si>
  <si>
    <t>first versus last</t>
  </si>
  <si>
    <t>a_proche_eloigne</t>
  </si>
  <si>
    <t>proche  ↔  éloigné</t>
  </si>
  <si>
    <t>La salle de la fanfare est proche, la salle de la Persévérante est éloignée.</t>
  </si>
  <si>
    <t>🏠 ↔ 🌍</t>
  </si>
  <si>
    <t>https://raw.githubusercontent.com/olaf-programmeur/images/main/proche_eloigne.webp</t>
  </si>
  <si>
    <t>near versus far away</t>
  </si>
  <si>
    <t>a_propre_sale</t>
  </si>
  <si>
    <t>propre  ↔  sale</t>
  </si>
  <si>
    <t>Une assiette qu'on met dans le lave-vaisselle est sale, elle est propre quand on la sort.</t>
  </si>
  <si>
    <t>✨ ↔ 🧦</t>
  </si>
  <si>
    <t>https://raw.githubusercontent.com/olaf-programmeur/images/main/propre_sale.webp</t>
  </si>
  <si>
    <t>clean versus dirty</t>
  </si>
  <si>
    <t>a_rapide_lent</t>
  </si>
  <si>
    <t>rapide  ↔  lent</t>
  </si>
  <si>
    <t>Qui va très vite (rapide) ou qui va pas vite du tout (lent)</t>
  </si>
  <si>
    <t>🐆 ↔ 🐢</t>
  </si>
  <si>
    <t>https://raw.githubusercontent.com/olaf-programmeur/images/main/rapide_lent.webp</t>
  </si>
  <si>
    <t>quick versus slow</t>
  </si>
  <si>
    <t>a_riche_pauvre</t>
  </si>
  <si>
    <t>riche  ↔  pauvre</t>
  </si>
  <si>
    <t>Une personne riche a beaucoup d'argent, une personne pauvre en a très peu.</t>
  </si>
  <si>
    <t>💰 ↔ 🪙</t>
  </si>
  <si>
    <t>https://raw.githubusercontent.com/olaf-programmeur/images/main/riche_pauvre.webp</t>
  </si>
  <si>
    <t>rich versus poor</t>
  </si>
  <si>
    <t>a_sain_malade</t>
  </si>
  <si>
    <t>sain  ↔  malade</t>
  </si>
  <si>
    <t>Quand on va très bien, on est sain ; quand on a de la fièvre, on est malade.</t>
  </si>
  <si>
    <t>💪 ↔ 🤒</t>
  </si>
  <si>
    <t>https://raw.githubusercontent.com/olaf-programmeur/images/main/sain_malade.webp</t>
  </si>
  <si>
    <t>healthy versus ill</t>
  </si>
  <si>
    <t>a_sec_mouille</t>
  </si>
  <si>
    <t>sec  ↔  mouillé</t>
  </si>
  <si>
    <t>Un linge qui sort du placard est sèche, un linge après la douche est mouillé.</t>
  </si>
  <si>
    <t>🌵 ↔ 💧</t>
  </si>
  <si>
    <t>https://raw.githubusercontent.com/olaf-programmeur/images/main/sec_mouille.webp</t>
  </si>
  <si>
    <t>dry versus wet</t>
  </si>
  <si>
    <t>a_silencieux_bruyant</t>
  </si>
  <si>
    <t>silencieux  ↔  bruyant</t>
  </si>
  <si>
    <t>🤫 ↔ 📢</t>
  </si>
  <si>
    <t>https://raw.githubusercontent.com/olaf-programmeur/images/main/silencieux_bruyant.webp</t>
  </si>
  <si>
    <t>silent versus noisy</t>
  </si>
  <si>
    <t>a_sucre_sale</t>
  </si>
  <si>
    <t>sucré  ↔  salé</t>
  </si>
  <si>
    <t>Qui a le goût du sucre (sucré) - qui a le goût du sel (salé).</t>
  </si>
  <si>
    <t>https://raw.githubusercontent.com/olaf-programmeur/images/main/sucre_sale.webp</t>
  </si>
  <si>
    <t>a_vide_plein</t>
  </si>
  <si>
    <t>vide  ↔  plein</t>
  </si>
  <si>
    <t>Un verre rempli d'eau est plein, un verre sans rien dedans est vide.</t>
  </si>
  <si>
    <t>🥛 ↔ 🥤</t>
  </si>
  <si>
    <t>https://raw.githubusercontent.com/olaf-programmeur/images/main/plein_vide.webp</t>
  </si>
  <si>
    <t>full versus empty</t>
  </si>
  <si>
    <t>a_vrai_faux</t>
  </si>
  <si>
    <t>vrai  ↔  faux</t>
  </si>
  <si>
    <t>Dire la vérité, c'est vrai ; raconter un mensonge, c'est faux.</t>
  </si>
  <si>
    <t>✅ ↔ ❌</t>
  </si>
  <si>
    <t>https://raw.githubusercontent.com/olaf-programmeur/images/main/vrai_faux.webp</t>
  </si>
  <si>
    <t>true versus false</t>
  </si>
  <si>
    <t>f_carre</t>
  </si>
  <si>
    <t>carré</t>
  </si>
  <si>
    <t>Qui a quatre côtés égaux.</t>
  </si>
  <si>
    <t>https://raw.githubusercontent.com/olaf-programmeur/images/main/carre.webp</t>
  </si>
  <si>
    <t>f_triangle</t>
  </si>
  <si>
    <t>triangle</t>
  </si>
  <si>
    <t>Forme à trois coins et trois côtés droits, qui est l'une des figures les plus simples qu'on puisse dessiner.</t>
  </si>
  <si>
    <t>https://raw.githubusercontent.com/olaf-programmeur/images/main/triangle.webp</t>
  </si>
  <si>
    <t>courbe</t>
  </si>
  <si>
    <t>Qui n'est pas droit, qui fait une ligne arrondie.</t>
  </si>
  <si>
    <t>https://raw.githubusercontent.com/olaf-programmeur/images/main/courbe.webp</t>
  </si>
  <si>
    <t>droit</t>
  </si>
  <si>
    <t>Qui ne tourne pas, qui va tout droit.</t>
  </si>
  <si>
    <t>https://raw.githubusercontent.com/olaf-programmeur/images/main/droit.webp</t>
  </si>
  <si>
    <t>hauteur</t>
  </si>
  <si>
    <t>la hauteur</t>
  </si>
  <si>
    <t>La mesure d'une chose du bas vers le haut.</t>
  </si>
  <si>
    <t>https://raw.githubusercontent.com/olaf-programmeur/images/main/hauteur.webp</t>
  </si>
  <si>
    <t>largeur</t>
  </si>
  <si>
    <t>la largeur</t>
  </si>
  <si>
    <t>La mesure d'une chose d'un côté à l'autre.</t>
  </si>
  <si>
    <t>https://raw.githubusercontent.com/olaf-programmeur/images/main/largeur.webp</t>
  </si>
  <si>
    <t>longueur</t>
  </si>
  <si>
    <t>la longueur</t>
  </si>
  <si>
    <t>La mesure d'une chose du début à la fin.</t>
  </si>
  <si>
    <t>https://raw.githubusercontent.com/olaf-programmeur/images/main/longueur.webp</t>
  </si>
  <si>
    <t>cercle</t>
  </si>
  <si>
    <t>le cercle</t>
  </si>
  <si>
    <t>La forme toute ronde, comme un rond.</t>
  </si>
  <si>
    <t>https://raw.githubusercontent.com/olaf-programmeur/images/main/cercle.webp</t>
  </si>
  <si>
    <t>le rectangle</t>
  </si>
  <si>
    <t>La forme à quatre côtés droits, plus longue que large.</t>
  </si>
  <si>
    <t>https://raw.githubusercontent.com/olaf-programmeur/images/main/rectangle.webp</t>
  </si>
  <si>
    <t>epaisseur</t>
  </si>
  <si>
    <t>l'épaisseur</t>
  </si>
  <si>
    <t>La mesure d'une chose entre ses deux faces.</t>
  </si>
  <si>
    <t>https://raw.githubusercontent.com/olaf-programmeur/images/main/epaisseur.webp</t>
  </si>
  <si>
    <t>pointu</t>
  </si>
  <si>
    <t>Qui se termine par une pointe.</t>
  </si>
  <si>
    <t>https://raw.githubusercontent.com/olaf-programmeur/images/main/pointu.webp</t>
  </si>
  <si>
    <t>rond</t>
  </si>
  <si>
    <t>Qui a la forme d'un cercle, comme une balle.</t>
  </si>
  <si>
    <t>https://raw.githubusercontent.com/olaf-programmeur/images/main/rond.webp</t>
  </si>
  <si>
    <t>aigle</t>
  </si>
  <si>
    <t>l'aigle</t>
  </si>
  <si>
    <t>Grand rapace diurne, symbole de liberté et de puissance.</t>
  </si>
  <si>
    <t>https://raw.githubusercontent.com/olaf-programmeur/images/main/aigle.webp</t>
  </si>
  <si>
    <t>https://raw.githubusercontent.com/olaf-programmeur/images/main/aigle_1.webp</t>
  </si>
  <si>
    <t>https://raw.githubusercontent.com/olaf-programmeur/images/main/aigle_2.webp</t>
  </si>
  <si>
    <t>https://raw.githubusercontent.com/olaf-programmeur/images/main/aigle_3.webp</t>
  </si>
  <si>
    <t>https://raw.githubusercontent.com/olaf-programmeur/images/main/aigle_4.webp</t>
  </si>
  <si>
    <t>eagle bird prey flying</t>
  </si>
  <si>
    <t>gypaete_barbu</t>
  </si>
  <si>
    <t>le gypaète barbu</t>
  </si>
  <si>
    <t>Très grand rapace montagnard, de la famille des vautours, reconnaissable à sa “barbe” de plumes noires et célèbre pour son régime unique composé majoritairement d’os.</t>
  </si>
  <si>
    <t>https://raw.githubusercontent.com/olaf-programmeur/images/main/gypaete.webp</t>
  </si>
  <si>
    <t xml:space="preserve"> bearded vulture close</t>
  </si>
  <si>
    <t>moineau</t>
  </si>
  <si>
    <t>le moineau</t>
  </si>
  <si>
    <t>Animal vertébré à plumes et ailes, capable de voler.</t>
  </si>
  <si>
    <t>https://raw.githubusercontent.com/olaf-programmeur/images/main/moineau.webp</t>
  </si>
  <si>
    <t>sparrow flying</t>
  </si>
  <si>
    <t>pigeon</t>
  </si>
  <si>
    <t>le pigeon</t>
  </si>
  <si>
    <t>Oiseau de la famille des columbidés, assez commun dans les villes, reconnaissable à son roucoulement, à son plumage souvent gris et à sa démarche oscillante.</t>
  </si>
  <si>
    <t>https://raw.githubusercontent.com/olaf-programmeur/images/main/pigeon.webp</t>
  </si>
  <si>
    <t>pizza</t>
  </si>
  <si>
    <t>une pizza</t>
  </si>
  <si>
    <t>Plat d'origine italienne avec une pâte garnie de sauce tomate, fromage, jambon, etc...</t>
  </si>
  <si>
    <t>https://raw.githubusercontent.com/olaf-programmeur/images/main/pizza.webp</t>
  </si>
  <si>
    <t>https://raw.githubusercontent.com/olaf-programmeur/images/main/pizza_1.webp</t>
  </si>
  <si>
    <t>https://raw.githubusercontent.com/olaf-programmeur/images/main/pizza_2.webp</t>
  </si>
  <si>
    <t>https://raw.githubusercontent.com/olaf-programmeur/images/main/pizza_3.webp</t>
  </si>
  <si>
    <t>https://raw.githubusercontent.com/olaf-programmeur/images/main/pizza_4.webp</t>
  </si>
  <si>
    <t>pizza quatro stagioni</t>
  </si>
  <si>
    <t>lasagnes</t>
  </si>
  <si>
    <t>les lasagnes</t>
  </si>
  <si>
    <t>Plat de pâtes d'origine italienne que l'on mange avec une sauce (bolognaise, carbonara, etc…).</t>
  </si>
  <si>
    <t>https://raw.githubusercontent.com/olaf-programmeur/images/main/lasagnes.webp</t>
  </si>
  <si>
    <t>des lasagnes</t>
  </si>
  <si>
    <t>cornette_pate</t>
  </si>
  <si>
    <t>les cornettes</t>
  </si>
  <si>
    <t>Petites pâtes courbes, emblématiques de la cuisine suisse, utilisées dans des plats traditionnels comme les cornettes au fromage.</t>
  </si>
  <si>
    <t>https://raw.githubusercontent.com/olaf-programmeur/images/main/cornettes.webp</t>
  </si>
  <si>
    <t>spaghetti</t>
  </si>
  <si>
    <t>les spaghetti</t>
  </si>
  <si>
    <t>Plat de pâtes d'origine italienne que l'on mange nature ou avec une sauce (bolognaise, carbonara, etc…).</t>
  </si>
  <si>
    <t>https://raw.githubusercontent.com/olaf-programmeur/images/main/spaghetti.webp</t>
  </si>
  <si>
    <t>des spaghetti</t>
  </si>
  <si>
    <t>penne_pate</t>
  </si>
  <si>
    <t>les pennes</t>
  </si>
  <si>
    <t>Pâtes alimentaires creuses, en forme de tube. Elles sont striées et coupées en biseau.</t>
  </si>
  <si>
    <t>https://raw.githubusercontent.com/olaf-programmeur/images/main/pennes.webp</t>
  </si>
  <si>
    <t>oeuf_au_plat</t>
  </si>
  <si>
    <t>un oeuf au plat</t>
  </si>
  <si>
    <t>Plat préparé avec un œuf de poule que l'on cuit à la poêle, que l'on sale et que l'on poivre.</t>
  </si>
  <si>
    <t>https://raw.githubusercontent.com/olaf-programmeur/images/main/oeuf_au_plat.webp</t>
  </si>
  <si>
    <t>egg breakfast food</t>
  </si>
  <si>
    <t>omelette</t>
  </si>
  <si>
    <t>l'omelette</t>
  </si>
  <si>
    <t>Plat à base d'œufs battus, cuits rapidement à la poêle dans un peu de matière grasse (beurre ou huile)</t>
  </si>
  <si>
    <t>https://raw.githubusercontent.com/olaf-programmeur/images/main/omelette.webp</t>
  </si>
  <si>
    <t>polenta</t>
  </si>
  <si>
    <t>la polenta</t>
  </si>
  <si>
    <t>La polenta est un plat traditionnel à base de farine de maïs cuite longuement dans du lait jusqu'à former une bouillie épaisse, très appréciée dans les régions alpines.</t>
  </si>
  <si>
    <t>https://raw.githubusercontent.com/olaf-programmeur/images/main/polenta.webp</t>
  </si>
  <si>
    <t>fondue</t>
  </si>
  <si>
    <t>la fondue</t>
  </si>
  <si>
    <t>La fondue est un plat traditionnel suisse dans lequel on fait fondre du fromage dans un caquelon, puis on y trempe des morceaux de pain piqués sur de longues fourchettes.</t>
  </si>
  <si>
    <t>https://raw.githubusercontent.com/olaf-programmeur/images/main/fondue.webp</t>
  </si>
  <si>
    <t>raclette</t>
  </si>
  <si>
    <t>la raclette</t>
  </si>
  <si>
    <t>La raclette est le plat emblématique du Valais : on fait fondre un demi-fromage et on racle le fromage fondu. On la mange avec des pommes de terre, des cornichons et des oignons.</t>
  </si>
  <si>
    <t>https://raw.githubusercontent.com/olaf-programmeur/images/main/raclette.webp</t>
  </si>
  <si>
    <t>soupe</t>
  </si>
  <si>
    <t>la soupe</t>
  </si>
  <si>
    <t>Plat liquide chaud fait de légumes et/ou de viande.</t>
  </si>
  <si>
    <t>https://raw.githubusercontent.com/olaf-programmeur/images/main/soupe.webp</t>
  </si>
  <si>
    <t>vegetables soup bowl</t>
  </si>
  <si>
    <t>filets_de_perche</t>
  </si>
  <si>
    <t>des filets de perche</t>
  </si>
  <si>
    <t>Poisson que l'on pêche dans nos lacs. C'est très bon.</t>
  </si>
  <si>
    <t>filet_de_truite</t>
  </si>
  <si>
    <t>un filet de truite</t>
  </si>
  <si>
    <t>Poisson que l'on trouve dans nos lacs. Le filet est la meilleure partie du poisson à manger.</t>
  </si>
  <si>
    <t>ami</t>
  </si>
  <si>
    <t>l'ami</t>
  </si>
  <si>
    <t>Personne que tu aimes bien, en qui tu as confiance et avec qui tu passes du temps.</t>
  </si>
  <si>
    <t>https://raw.githubusercontent.com/olaf-programmeur/images/main/ami.webp</t>
  </si>
  <si>
    <t>friends smiling together</t>
  </si>
  <si>
    <t>banque</t>
  </si>
  <si>
    <t>la banque</t>
  </si>
  <si>
    <t>Établissement financier qui gère l'argent.</t>
  </si>
  <si>
    <t>https://raw.githubusercontent.com/olaf-programmeur/images/main/raiffeisen_sion_1.webp</t>
  </si>
  <si>
    <t>https://raw.githubusercontent.com/olaf-programmeur/images/main/raiffeisen_sion_2.webp</t>
  </si>
  <si>
    <t>https://raw.githubusercontent.com/olaf-programmeur/images/main/migros.webp</t>
  </si>
  <si>
    <t>bank building finance</t>
  </si>
  <si>
    <t>magasin</t>
  </si>
  <si>
    <t>le magasin</t>
  </si>
  <si>
    <t>Un endroit où on achète les boissons et la nourriture pour manger, les habits et les souliers.</t>
  </si>
  <si>
    <t>https://raw.githubusercontent.com/olaf-programmeur/images/main/magasin.webp</t>
  </si>
  <si>
    <t>https://raw.githubusercontent.com/olaf-programmeur/images/main/magasin_1.webp</t>
  </si>
  <si>
    <t>https://raw.githubusercontent.com/olaf-programmeur/images/main/magasin_2.webp</t>
  </si>
  <si>
    <t>https://raw.githubusercontent.com/olaf-programmeur/images/main/magasin_3.webp</t>
  </si>
  <si>
    <t>https://raw.githubusercontent.com/olaf-programmeur/images/main/magasin_4.webp</t>
  </si>
  <si>
    <t>store shop retail</t>
  </si>
  <si>
    <t>le marché</t>
  </si>
  <si>
    <t>L'endroit en plein air où l'on vend des fruits et des légumes ou d'autres choses à manger.</t>
  </si>
  <si>
    <t>market outdoor food stalls</t>
  </si>
  <si>
    <t>restaurant</t>
  </si>
  <si>
    <t>le restaurant</t>
  </si>
  <si>
    <t>Établissement commercial où l'on sert des repas.</t>
  </si>
  <si>
    <t>https://raw.githubusercontent.com/olaf-programmeur/images/main/restaurant.webp</t>
  </si>
  <si>
    <t>https://raw.githubusercontent.com/olaf-programmeur/images/main/restaurant_1.webp</t>
  </si>
  <si>
    <t>https://raw.githubusercontent.com/olaf-programmeur/images/main/restaurant_2.webp</t>
  </si>
  <si>
    <t>https://raw.githubusercontent.com/olaf-programmeur/images/main/restaurant_3.webp</t>
  </si>
  <si>
    <t>https://raw.githubusercontent.com/olaf-programmeur/images/main/restaurant_4.webp</t>
  </si>
  <si>
    <t>restaurant dining elegant</t>
  </si>
  <si>
    <t>hotel</t>
  </si>
  <si>
    <t>l'hôtel</t>
  </si>
  <si>
    <t>L'endroit où l'on dort en vacances ou lorsqu'on voyage.</t>
  </si>
  <si>
    <t>https://raw.githubusercontent.com/olaf-programmeur/images/main/hotel.webp</t>
  </si>
  <si>
    <t>https://raw.githubusercontent.com/olaf-programmeur/images/main/hotel_1.webp</t>
  </si>
  <si>
    <t>https://raw.githubusercontent.com/olaf-programmeur/images/main/hotel_2.webp</t>
  </si>
  <si>
    <t>https://raw.githubusercontent.com/olaf-programmeur/images/main/hotel_3.webp</t>
  </si>
  <si>
    <t>https://raw.githubusercontent.com/olaf-programmeur/images/main/hotel_4.webp</t>
  </si>
  <si>
    <t>hotel luxury exterior</t>
  </si>
  <si>
    <t>salle_de_bain</t>
  </si>
  <si>
    <t>la salle de bain</t>
  </si>
  <si>
    <t>Pièce équipée pour se laver et pour faire ses besoins.</t>
  </si>
  <si>
    <t>lavabo</t>
  </si>
  <si>
    <t>le lavabo</t>
  </si>
  <si>
    <t>Bac où on se lave les mains, on met de l'eau pour se raser.</t>
  </si>
  <si>
    <t>savon</t>
  </si>
  <si>
    <t>le savon</t>
  </si>
  <si>
    <t>Produit pour se laver et se désinfecter.</t>
  </si>
  <si>
    <t>https://raw.githubusercontent.com/olaf-programmeur/images/main/savon.webp</t>
  </si>
  <si>
    <t>miroir</t>
  </si>
  <si>
    <t>le miroir</t>
  </si>
  <si>
    <t>Surface réfléchissante pour se voir.</t>
  </si>
  <si>
    <t>wc</t>
  </si>
  <si>
    <t>le WC</t>
  </si>
  <si>
    <t>Toilette où on peut faire ses besoins.</t>
  </si>
  <si>
    <t>https://raw.githubusercontent.com/olaf-programmeur/images/main/wc.webp</t>
  </si>
  <si>
    <t>douche</t>
  </si>
  <si>
    <t>la douche</t>
  </si>
  <si>
    <t>Jet d'eau pour se laver debout.</t>
  </si>
  <si>
    <t>https://raw.githubusercontent.com/olaf-programmeur/images/main/douche.webp</t>
  </si>
  <si>
    <t>baignoire</t>
  </si>
  <si>
    <t>la baignoire</t>
  </si>
  <si>
    <t>Grand bac pour se laver en étant allongé.</t>
  </si>
  <si>
    <t>rasoir</t>
  </si>
  <si>
    <t>le rasoir</t>
  </si>
  <si>
    <t>Outil avec un manche et une lame pour se raser les poils de la barbe.</t>
  </si>
  <si>
    <t>https://raw.githubusercontent.com/olaf-programmeur/images/main/rasoir.webp</t>
  </si>
  <si>
    <t>deodorant</t>
  </si>
  <si>
    <t>le déodorant</t>
  </si>
  <si>
    <t>Produit contre la transpiration qu'on met sous les bras.</t>
  </si>
  <si>
    <t>dentifrice</t>
  </si>
  <si>
    <t>le dentifrice</t>
  </si>
  <si>
    <t>Produit, pâte que l'on met sur la brosse à dents pour se laver les dents.</t>
  </si>
  <si>
    <t>https://raw.githubusercontent.com/olaf-programmeur/images/main/dentifrice.webp</t>
  </si>
  <si>
    <t>brosse_a_dents</t>
  </si>
  <si>
    <t>la brosse à dents</t>
  </si>
  <si>
    <t>Petite brosse pour se laver les dents.</t>
  </si>
  <si>
    <t>branche</t>
  </si>
  <si>
    <t>la branche d'un arbre</t>
  </si>
  <si>
    <t>Une branche est une partie de l'arbre qui pousse sur le côté du tronc et sur laquelle poussent les feuilles, les fleurs et parfois les fruits.</t>
  </si>
  <si>
    <t>https://raw.githubusercontent.com/olaf-programmeur/images/main/branche.webp</t>
  </si>
  <si>
    <t>fleur</t>
  </si>
  <si>
    <t>la fleur</t>
  </si>
  <si>
    <t>Partie colorée et parfumée d'une plante.</t>
  </si>
  <si>
    <t>https://raw.githubusercontent.com/olaf-programmeur/images/main/fleur.webp</t>
  </si>
  <si>
    <t>https://raw.githubusercontent.com/olaf-programmeur/images/main/fleur_1.webp</t>
  </si>
  <si>
    <t>https://raw.githubusercontent.com/olaf-programmeur/images/main/fleur_2.webp</t>
  </si>
  <si>
    <t>flower bloom colorful</t>
  </si>
  <si>
    <t>plante</t>
  </si>
  <si>
    <t>la plante</t>
  </si>
  <si>
    <t>Être vivant végétal qui pousse dans le sol.</t>
  </si>
  <si>
    <t>https://raw.githubusercontent.com/olaf-programmeur/images/main/plante.webp</t>
  </si>
  <si>
    <t>https://raw.githubusercontent.com/olaf-programmeur/images/main/plante_1.webp</t>
  </si>
  <si>
    <t>https://raw.githubusercontent.com/olaf-programmeur/images/main/plante_2.webp</t>
  </si>
  <si>
    <t>https://raw.githubusercontent.com/olaf-programmeur/images/main/plante_3.webp</t>
  </si>
  <si>
    <t>https://raw.githubusercontent.com/olaf-programmeur/images/main/plante_4.webp</t>
  </si>
  <si>
    <t>plant green potted</t>
  </si>
  <si>
    <t>arbre</t>
  </si>
  <si>
    <t>l'arbre</t>
  </si>
  <si>
    <t>Végétal ligneux avec un tronc, des branches et des feuilles.</t>
  </si>
  <si>
    <t>https://raw.githubusercontent.com/olaf-programmeur/images/main/arbre.webp</t>
  </si>
  <si>
    <t>un arbre</t>
  </si>
  <si>
    <t>herbe</t>
  </si>
  <si>
    <t>l'herbe</t>
  </si>
  <si>
    <t>Végétation basse et verte qui couvre le sol.</t>
  </si>
  <si>
    <t>https://raw.githubusercontent.com/olaf-programmeur/images/main/herbe.webp</t>
  </si>
  <si>
    <t>https://raw.githubusercontent.com/olaf-programmeur/images/main/herbe_1.webp</t>
  </si>
  <si>
    <t>https://raw.githubusercontent.com/olaf-programmeur/images/main/herbe_2.webp</t>
  </si>
  <si>
    <t>https://raw.githubusercontent.com/olaf-programmeur/images/main/herbe_3.webp</t>
  </si>
  <si>
    <t>https://raw.githubusercontent.com/olaf-programmeur/images/main/herbe_4.webp</t>
  </si>
  <si>
    <t>grass green meadow</t>
  </si>
  <si>
    <t>velo</t>
  </si>
  <si>
    <t>le vélo</t>
  </si>
  <si>
    <t>Véhicule à deux roues mu par la force des jambes.</t>
  </si>
  <si>
    <t>https://raw.githubusercontent.com/olaf-programmeur/images/main/velo.webp</t>
  </si>
  <si>
    <t>https://raw.githubusercontent.com/olaf-programmeur/images/main/velo_1.webp</t>
  </si>
  <si>
    <t>https://raw.githubusercontent.com/olaf-programmeur/images/main/velo_2.webp</t>
  </si>
  <si>
    <t>https://raw.githubusercontent.com/olaf-programmeur/images/main/velo_3.webp</t>
  </si>
  <si>
    <t>https://raw.githubusercontent.com/olaf-programmeur/images/main/velo_4.webp</t>
  </si>
  <si>
    <t>mountain bike</t>
  </si>
  <si>
    <t>moto</t>
  </si>
  <si>
    <t>la moto</t>
  </si>
  <si>
    <t>Véhicule à deux roues motorisé.</t>
  </si>
  <si>
    <t>voiture</t>
  </si>
  <si>
    <t>la voiture</t>
  </si>
  <si>
    <t>Véhicule automobile à quatre roues. J'ai une Dacia Duster.</t>
  </si>
  <si>
    <t>pickup</t>
  </si>
  <si>
    <t>le pickup</t>
  </si>
  <si>
    <t>Véhicule automobile muni d'une cabine et d'un pont, pour transporter des marchandises.</t>
  </si>
  <si>
    <t>car_postal</t>
  </si>
  <si>
    <t>le  car postal</t>
  </si>
  <si>
    <t>Grand véhicule de transport en commun.</t>
  </si>
  <si>
    <t>car postal</t>
  </si>
  <si>
    <t>camion</t>
  </si>
  <si>
    <t>le camion</t>
  </si>
  <si>
    <t>Grand véhicule automobile pour transporter des marchandises ou des matériaux comme de la terre.</t>
  </si>
  <si>
    <t>tracteur</t>
  </si>
  <si>
    <t>le tracteur</t>
  </si>
  <si>
    <t>Véhicule utilisé par les paysans pour faucher les prés, étendre le foin, faire des bottes de foin ou pour tourner la terre.</t>
  </si>
  <si>
    <t>train</t>
  </si>
  <si>
    <t>le train</t>
  </si>
  <si>
    <t>Véhicule sur rails formé de wagons.</t>
  </si>
  <si>
    <t>https://raw.githubusercontent.com/olaf-programmeur/images/main/train.webp</t>
  </si>
  <si>
    <t>https://raw.githubusercontent.com/olaf-programmeur/images/main/train_1.webp</t>
  </si>
  <si>
    <t>https://raw.githubusercontent.com/olaf-programmeur/images/main/train_2.webp</t>
  </si>
  <si>
    <t>https://raw.githubusercontent.com/olaf-programmeur/images/main/train_3.webp</t>
  </si>
  <si>
    <t>https://raw.githubusercontent.com/olaf-programmeur/images/main/train_4.webp</t>
  </si>
  <si>
    <t>train TGV</t>
  </si>
  <si>
    <t>route</t>
  </si>
  <si>
    <t>la route</t>
  </si>
  <si>
    <t>Voie aménagée pour la circulation des véhicules.</t>
  </si>
  <si>
    <t>https://raw.githubusercontent.com/olaf-programmeur/images/main/route.webp</t>
  </si>
  <si>
    <t>road highway landscape</t>
  </si>
  <si>
    <t>feux_circulation</t>
  </si>
  <si>
    <t>les feux de circulation</t>
  </si>
  <si>
    <t>Lumières vert, rouge ou orange, qui règlent la circulation.</t>
  </si>
  <si>
    <t>https://raw.githubusercontent.com/olaf-programmeur/images/main/feux_circulation.webp</t>
  </si>
  <si>
    <t>https://raw.githubusercontent.com/olaf-programmeur/images/main/feux_circulation_1.webp</t>
  </si>
  <si>
    <t>https://raw.githubusercontent.com/olaf-programmeur/images/main/feux_circulation_2.webp</t>
  </si>
  <si>
    <t>https://raw.githubusercontent.com/olaf-programmeur/images/main/feux_circulation_3.webp</t>
  </si>
  <si>
    <t>traffic lights</t>
  </si>
  <si>
    <t>avion</t>
  </si>
  <si>
    <t>l'avion</t>
  </si>
  <si>
    <t>Appareil volant à moteur pour transporter des personnes. On parle de passagers.</t>
  </si>
  <si>
    <t>https://raw.githubusercontent.com/olaf-programmeur/images/main/avion.webp</t>
  </si>
  <si>
    <t>Airbus A320 landing</t>
  </si>
  <si>
    <t>helicoptere</t>
  </si>
  <si>
    <t>l'helicoptère</t>
  </si>
  <si>
    <t>https://raw.githubusercontent.com/olaf-programmeur/images/main/helicoptere.webp</t>
  </si>
  <si>
    <t>helicopter landing</t>
  </si>
  <si>
    <t>bateau</t>
  </si>
  <si>
    <t>le bateau</t>
  </si>
  <si>
    <t>Véhicule qui flotte sur l'eau.</t>
  </si>
  <si>
    <t>https://raw.githubusercontent.com/olaf-programmeur/images/main/bateau.webp</t>
  </si>
  <si>
    <t>https://raw.githubusercontent.com/olaf-programmeur/images/main/bateau_1.webp</t>
  </si>
  <si>
    <t>https://raw.githubusercontent.com/olaf-programmeur/images/main/bateau_2.webp</t>
  </si>
  <si>
    <t>https://raw.githubusercontent.com/olaf-programmeur/images/main/bateau_3.webp</t>
  </si>
  <si>
    <t>https://raw.githubusercontent.com/olaf-programmeur/images/main/bateau_4.webp</t>
  </si>
  <si>
    <t>roti_de_boeuf</t>
  </si>
  <si>
    <t>du rôti de boeuf</t>
  </si>
  <si>
    <t>boeuf</t>
  </si>
  <si>
    <t>le boeuf</t>
  </si>
  <si>
    <t>Viande de la vache.</t>
  </si>
  <si>
    <t>du boeuf</t>
  </si>
  <si>
    <t>steack_de_boeuf_frites</t>
  </si>
  <si>
    <t>un steack de boeuf frites</t>
  </si>
  <si>
    <t>Plat à base de viande de boeuf que l'on mange avec des frites et des légumes.</t>
  </si>
  <si>
    <t>porc</t>
  </si>
  <si>
    <t>le porc</t>
  </si>
  <si>
    <t>Viande du cochon.</t>
  </si>
  <si>
    <t>du porc</t>
  </si>
  <si>
    <t>filet_mignon_de_porc</t>
  </si>
  <si>
    <t>du filet mignon de porc</t>
  </si>
  <si>
    <t>La meilleure partie du cochon, la meilleure viande issue du cochon.</t>
  </si>
  <si>
    <t>https://raw.githubusercontent.com/olaf-programmeur/images/main/filet_mignon_porc.webp</t>
  </si>
  <si>
    <t>roti_de_porc</t>
  </si>
  <si>
    <t>du rôti de porc</t>
  </si>
  <si>
    <t>cotelette_de_porc</t>
  </si>
  <si>
    <t>une côtelette de porc</t>
  </si>
  <si>
    <t>Viande de porc avec un os (une petite côte, d’où le nom côtelette).</t>
  </si>
  <si>
    <t>https://raw.githubusercontent.com/olaf-programmeur/images/main/cotelette_porc.webp</t>
  </si>
  <si>
    <t>poulet</t>
  </si>
  <si>
    <t>le poulet</t>
  </si>
  <si>
    <t>Viande de la poule.</t>
  </si>
  <si>
    <t>https://raw.githubusercontent.com/olaf-programmeur/images/main/poulet_entier.webp</t>
  </si>
  <si>
    <t>https://raw.githubusercontent.com/olaf-programmeur/images/main/poulet_parties.webp</t>
  </si>
  <si>
    <t>grilled hen</t>
  </si>
  <si>
    <t>blanc_de_poulet</t>
  </si>
  <si>
    <t>un blanc de poulet</t>
  </si>
  <si>
    <t>La chair de la poule (très tendre, il n'y a pas d'os).</t>
  </si>
  <si>
    <t>https://raw.githubusercontent.com/olaf-programmeur/images/main/blanc_poulet.webp</t>
  </si>
  <si>
    <t>cuisse_de_poulet</t>
  </si>
  <si>
    <t>une cuisse de poulet</t>
  </si>
  <si>
    <t>Partie haute de la jambe de la poule (la jambe chez nous).</t>
  </si>
  <si>
    <t>https://raw.githubusercontent.com/olaf-programmeur/images/main/cuisse_poulet.webp</t>
  </si>
  <si>
    <t>poulet_au_curry</t>
  </si>
  <si>
    <t>du poulet au curry</t>
  </si>
  <si>
    <t>Plat à base de viande de poulet accompagné de riz ou de pâtes avec une sauce au curry.</t>
  </si>
  <si>
    <t>dacia_duster</t>
  </si>
  <si>
    <t>Dacia Duster</t>
  </si>
  <si>
    <t>Véhicule automobile à quatre roues qui permet de se déplacer. J'ai une Dacia Duster</t>
  </si>
  <si>
    <t>pare_brise</t>
  </si>
  <si>
    <t>le pare-brise</t>
  </si>
  <si>
    <t>Vitre avant de la voiture qui protège du vente et de la pluie et qui permet de voir la route.</t>
  </si>
  <si>
    <t>https://raw.githubusercontent.com/olaf-programmeur/images/main/pare_brise.webp</t>
  </si>
  <si>
    <t>essuie_glace</t>
  </si>
  <si>
    <t>les essuie glace</t>
  </si>
  <si>
    <t>Dispositif entraîné par un moteur et muni d'une lame en caoutchouc dont le va-et-vient assure l'essuyage du pare-brise.</t>
  </si>
  <si>
    <t>capot</t>
  </si>
  <si>
    <t>le capot</t>
  </si>
  <si>
    <t>Partie avant de la voiture qui recouvre le moteur.</t>
  </si>
  <si>
    <t>pv_aile</t>
  </si>
  <si>
    <t>l'aile</t>
  </si>
  <si>
    <t>Partie qui recouvre les roues.</t>
  </si>
  <si>
    <t>pare_chocs</t>
  </si>
  <si>
    <t>le pare-chocs</t>
  </si>
  <si>
    <t>Partie avant de la voiture qui protège la voiture en cas d'accident.</t>
  </si>
  <si>
    <t>Partie métallique de la roue sur laquelle se monte le pneu.</t>
  </si>
  <si>
    <t>des jantes</t>
  </si>
  <si>
    <t>les pneus</t>
  </si>
  <si>
    <t>Enveloppe en caoutchouc montée sur une jante et remplie d'air.</t>
  </si>
  <si>
    <t>https://raw.githubusercontent.com/olaf-programmeur/images/main/pneu.webp</t>
  </si>
  <si>
    <t>portiere</t>
  </si>
  <si>
    <t>la portière</t>
  </si>
  <si>
    <t>La porte d'une voiture.</t>
  </si>
  <si>
    <t>https://raw.githubusercontent.com/olaf-programmeur/images/main/portiere.webp</t>
  </si>
  <si>
    <t>https://raw.githubusercontent.com/olaf-programmeur/images/main/portiere_1.webp</t>
  </si>
  <si>
    <t>https://raw.githubusercontent.com/olaf-programmeur/images/main/portiere_2.webp</t>
  </si>
  <si>
    <t>https://raw.githubusercontent.com/olaf-programmeur/images/main/portiere_3.webp</t>
  </si>
  <si>
    <t>https://raw.githubusercontent.com/olaf-programmeur/images/main/portiere_4.webp</t>
  </si>
  <si>
    <t>clignotant</t>
  </si>
  <si>
    <t>le clignotant</t>
  </si>
  <si>
    <t>La petite lumière qui clignote pour indiquer où l'on tourne.</t>
  </si>
  <si>
    <t>https://raw.githubusercontent.com/olaf-programmeur/images/main/clignotant.webp</t>
  </si>
  <si>
    <t>klaxon</t>
  </si>
  <si>
    <t>le klaxon</t>
  </si>
  <si>
    <t>L'objet qui fait un bruit fort pour prévenir les autres.</t>
  </si>
  <si>
    <t>https://raw.githubusercontent.com/olaf-programmeur/images/main/klaxon.webp</t>
  </si>
  <si>
    <t>https://raw.githubusercontent.com/olaf-programmeur/images/main/klaxon_1.webp</t>
  </si>
  <si>
    <t>https://raw.githubusercontent.com/olaf-programmeur/images/main/klaxon_2.webp</t>
  </si>
  <si>
    <t>https://raw.githubusercontent.com/olaf-programmeur/images/main/klaxon_3.webp</t>
  </si>
  <si>
    <t>https://raw.githubusercontent.com/olaf-programmeur/images/main/klaxon_4.webp</t>
  </si>
  <si>
    <t>phare</t>
  </si>
  <si>
    <t>le phare</t>
  </si>
  <si>
    <t>La lumière à l'avant de la voiture pour voir la nuit.</t>
  </si>
  <si>
    <t>https://raw.githubusercontent.com/olaf-programmeur/images/main/phare.webp</t>
  </si>
  <si>
    <t>https://raw.githubusercontent.com/olaf-programmeur/images/main/phare_1.webp</t>
  </si>
  <si>
    <t>https://raw.githubusercontent.com/olaf-programmeur/images/main/phare_2.webp</t>
  </si>
  <si>
    <t>https://raw.githubusercontent.com/olaf-programmeur/images/main/phare_3.webp</t>
  </si>
  <si>
    <t>https://raw.githubusercontent.com/olaf-programmeur/images/main/phare_4.webp</t>
  </si>
  <si>
    <t>retroviseur</t>
  </si>
  <si>
    <t>le rétroviseur</t>
  </si>
  <si>
    <t>Le petit miroir pour voir derrière la voiture.</t>
  </si>
  <si>
    <t>https://raw.githubusercontent.com/olaf-programmeur/images/main/retroviseur.webp</t>
  </si>
  <si>
    <t>https://raw.githubusercontent.com/olaf-programmeur/images/main/retroviseur_1.webp</t>
  </si>
  <si>
    <t>https://raw.githubusercontent.com/olaf-programmeur/images/main/retroviseur_2.webp</t>
  </si>
  <si>
    <t>https://raw.githubusercontent.com/olaf-programmeur/images/main/retroviseur_3.webp</t>
  </si>
  <si>
    <t>https://raw.githubusercontent.com/olaf-programmeur/images/main/retroviseur_4.webp</t>
  </si>
  <si>
    <t>siege</t>
  </si>
  <si>
    <t>le siège</t>
  </si>
  <si>
    <t>Meuble sur lequel on s'assied dans la voiture.</t>
  </si>
  <si>
    <t>volant</t>
  </si>
  <si>
    <t>le volant</t>
  </si>
  <si>
    <t>Pièce mécanique qui permet de diriger la voiture.</t>
  </si>
  <si>
    <t>https://raw.githubusercontent.com/olaf-programmeur/images/main/volant.webp</t>
  </si>
  <si>
    <t>https://raw.githubusercontent.com/olaf-programmeur/images/main/volant_1.webp</t>
  </si>
  <si>
    <t>https://raw.githubusercontent.com/olaf-programmeur/images/main/volant_2.webp</t>
  </si>
  <si>
    <t>https://raw.githubusercontent.com/olaf-programmeur/images/main/volant_3.webp</t>
  </si>
  <si>
    <t>https://raw.githubusercontent.com/olaf-programmeur/images/main/volant_4.webp</t>
  </si>
  <si>
    <t>car driving wheel</t>
  </si>
  <si>
    <t>tableau_de_bord</t>
  </si>
  <si>
    <t>le tableau de bord</t>
  </si>
  <si>
    <t>Panneau situé devant le conducteur qui affiche la vitesse, les voyants d'alerte pour surveiller l'état du véhicule.</t>
  </si>
  <si>
    <t>https://raw.githubusercontent.com/olaf-programmeur/images/main/tableau_bord.webp</t>
  </si>
  <si>
    <t>coffre</t>
  </si>
  <si>
    <t>Partie arrière de la voiture, où on dépose du matériel ou des bagages.</t>
  </si>
  <si>
    <t>https://raw.githubusercontent.com/olaf-programmeur/images/main/coffre_dacia.webp</t>
  </si>
  <si>
    <t>vitesse</t>
  </si>
  <si>
    <t>la vitesse</t>
  </si>
  <si>
    <t>La rapidité à laquelle on roule.</t>
  </si>
  <si>
    <t>https://raw.githubusercontent.com/olaf-programmeur/images/main/vitesse.webp</t>
  </si>
  <si>
    <t>https://raw.githubusercontent.com/olaf-programmeur/images/main/vitesse_1.webp</t>
  </si>
  <si>
    <t>https://raw.githubusercontent.com/olaf-programmeur/images/main/vitesse_2.webp</t>
  </si>
  <si>
    <t>https://raw.githubusercontent.com/olaf-programmeur/images/main/vitesse_3.webp</t>
  </si>
  <si>
    <t>https://raw.githubusercontent.com/olaf-programmeur/images/main/vitesse_4.webp</t>
  </si>
  <si>
    <t>mes_enfants</t>
  </si>
  <si>
    <t>mes enfants</t>
  </si>
  <si>
    <t>Mes enfants s'appellent Mathilde, Julien, Emma et Loïc.</t>
  </si>
  <si>
    <t>r_mathilde</t>
  </si>
  <si>
    <t>Mathilde</t>
  </si>
  <si>
    <t>Ma fille Mathilde, vétérinaire. Elle joue du cornet.</t>
  </si>
  <si>
    <t>r_julien</t>
  </si>
  <si>
    <t>Julien</t>
  </si>
  <si>
    <t>Mon fils Julien, dessinateur industriel. Il joue du trombone.</t>
  </si>
  <si>
    <t>https://raw.githubusercontent.com/olaf-programmeur/images/main/julien.webp</t>
  </si>
  <si>
    <t>r_emma</t>
  </si>
  <si>
    <t>Emma</t>
  </si>
  <si>
    <t>Ma fille Emma, enseignante. Elle joue du baryton.</t>
  </si>
  <si>
    <t>https://raw.githubusercontent.com/olaf-programmeur/images/main/emma.webp</t>
  </si>
  <si>
    <t>r_loic</t>
  </si>
  <si>
    <t>Loïc</t>
  </si>
  <si>
    <t>Mon fils Loïc, polymécanicien. Il joue de la percussion, du xylophone.</t>
  </si>
  <si>
    <t>https://raw.githubusercontent.com/olaf-programmeur/images/main/loïc_enfant.webp</t>
  </si>
  <si>
    <t>r_emile</t>
  </si>
  <si>
    <t>Emile, le copain de Mathilde</t>
  </si>
  <si>
    <t>Emile Theytas est le copain de Mathilde. Il est éducateur et il joue du baryton au BB13.</t>
  </si>
  <si>
    <t>https://raw.githubusercontent.com/olaf-programmeur/images/main/Emile.webp</t>
  </si>
  <si>
    <t>r_eva</t>
  </si>
  <si>
    <t>Eva, la copine de Julien</t>
  </si>
  <si>
    <t>Eva est la copine de Julien, elle joue du trombone à Valaisia.</t>
  </si>
  <si>
    <t>https://raw.githubusercontent.com/olaf-programmeur/images/main/julien_eva.webp</t>
  </si>
  <si>
    <t>r_paul</t>
  </si>
  <si>
    <t>Paul, le copain d'Emma</t>
  </si>
  <si>
    <t>Paul est le copain d'Emma. Il est enseignant aussi et il joue de l'alto au Valaisia.</t>
  </si>
  <si>
    <t>https://raw.githubusercontent.com/olaf-programmeur/images/main/paul.webp</t>
  </si>
  <si>
    <t>n_claudia</t>
  </si>
  <si>
    <t>Claudia</t>
  </si>
  <si>
    <t>Ma sœur s'appelle Claudia. Elle est mariée à Patrick Nyga et ils ont 3 enfants. Ils vivent à Romanel près de Lausanne.</t>
  </si>
  <si>
    <t>n_patrick</t>
  </si>
  <si>
    <t>Patrick</t>
  </si>
  <si>
    <t>Mon beau-frère Patrick Nyga, c'est le mari de ma sœur Claudia. Ils vivent à Romanel près de Lausanne.</t>
  </si>
  <si>
    <t>https://raw.githubusercontent.com/olaf-programmeur/images/main/patrick.webp</t>
  </si>
  <si>
    <t>r_olivier</t>
  </si>
  <si>
    <t>Olivier</t>
  </si>
  <si>
    <t>Mon frère Olivier. Il habite à côté, travaille à la banque et joue du cornet.</t>
  </si>
  <si>
    <t>e_barbara</t>
  </si>
  <si>
    <t>Barbara</t>
  </si>
  <si>
    <t>Ma sœur Barbara Eggel. Elle était mariée à Roman et ils ont deux enfants, Jason et Alyson. Elle vit à Vétroz.</t>
  </si>
  <si>
    <t>r_sandrine</t>
  </si>
  <si>
    <t>Sandrine</t>
  </si>
  <si>
    <t>Ma sœur Sandrine. Elle habite à Vétroz et travaille à l'office fédéral de la statistique. Elle a une chienne qui s'appelle Naya.</t>
  </si>
  <si>
    <t>ma_generaliste</t>
  </si>
  <si>
    <t>Docteur Nicole Ducrey Crettenand</t>
  </si>
  <si>
    <t>Nicole est mon médecin généraliste, elle exerce à Ardon. Elle a fait le collège avec moi à Sion, le collège des Creusets.</t>
  </si>
  <si>
    <t>mon_neurologue</t>
  </si>
  <si>
    <t>Professeur Joseph-André Ghika, neurologue</t>
  </si>
  <si>
    <t>Le professeur Joseph-André Ghika est mon neurologue. Il exerce à Sierre.</t>
  </si>
  <si>
    <t>https://raw.githubusercontent.com/olaf-programmeur/images/main/pr_ghika.webp</t>
  </si>
  <si>
    <t>n_louane</t>
  </si>
  <si>
    <t>Louane</t>
  </si>
  <si>
    <t>Ma nièce Louane, la fille de Claudia et de Patrick. Je suis son parrain et elle ma nièce. Elle a étudié la photographie et l'histoire de l'art.</t>
  </si>
  <si>
    <t>https://raw.githubusercontent.com/olaf-programmeur/images/main/louane.webp</t>
  </si>
  <si>
    <t>n_melwyn</t>
  </si>
  <si>
    <t>Melwyn</t>
  </si>
  <si>
    <t>Mon neveu Melwyn, le fils de Claudia et de Patrick. Il est paysagiste.</t>
  </si>
  <si>
    <t>https://raw.githubusercontent.com/olaf-programmeur/images/main/melwyn.webp</t>
  </si>
  <si>
    <t>e_jason</t>
  </si>
  <si>
    <t>Jason</t>
  </si>
  <si>
    <t>Mon neveu Jason, le fils de Barbara et de Roman. Il est dessinateur industriel et fait une école d'ingénieur.</t>
  </si>
  <si>
    <t>https://raw.githubusercontent.com/olaf-programmeur/images/main/jason.webp</t>
  </si>
  <si>
    <t>n_yanis</t>
  </si>
  <si>
    <t>Yanis</t>
  </si>
  <si>
    <t>Mon neveu Yanis, le fils de Claudia et de Patrick. Il étudie la psychologie à l'université.</t>
  </si>
  <si>
    <t>https://raw.githubusercontent.com/olaf-programmeur/images/main/yanis.webp</t>
  </si>
  <si>
    <t>e_alison</t>
  </si>
  <si>
    <t>Alison</t>
  </si>
  <si>
    <t>Ma nièce Alyson, la fille de Barbara et de Roman. Elle étudie la psychologie à l'université.</t>
  </si>
  <si>
    <t>https://raw.githubusercontent.com/olaf-programmeur/images/main/alison.webp</t>
  </si>
  <si>
    <t>r_germaine</t>
  </si>
  <si>
    <t>Germaine</t>
  </si>
  <si>
    <t>Ma maman s'appelle Germaine. Elle aime jardiner et jouer à des jeux sur la tablette.</t>
  </si>
  <si>
    <t>https://raw.githubusercontent.com/olaf-programmeur/images/main/germaine.webp</t>
  </si>
  <si>
    <t>r_noel</t>
  </si>
  <si>
    <t>Noël</t>
  </si>
  <si>
    <t>Mon papa s'appelait Noël. Il est décédé en mai 2012.</t>
  </si>
  <si>
    <t>https://raw.githubusercontent.com/olaf-programmeur/images/main/noel.webp</t>
  </si>
  <si>
    <t>peau</t>
  </si>
  <si>
    <t>la peau</t>
  </si>
  <si>
    <t>https://raw.githubusercontent.com/olaf-programmeur/images/main/peau.webp</t>
  </si>
  <si>
    <t>voix</t>
  </si>
  <si>
    <t>la voix</t>
  </si>
  <si>
    <t>Le son que tu fais quand tu parles ou que tu chantes.</t>
  </si>
  <si>
    <t>https://raw.githubusercontent.com/olaf-programmeur/images/main/voix.webp</t>
  </si>
  <si>
    <t>cerveau</t>
  </si>
  <si>
    <t>le cerveau</t>
  </si>
  <si>
    <t>L'organe dans la tête qui sert à penser.</t>
  </si>
  <si>
    <t>https://raw.githubusercontent.com/olaf-programmeur/images/main/cerveau.webp</t>
  </si>
  <si>
    <t>muscle</t>
  </si>
  <si>
    <t>le muscle</t>
  </si>
  <si>
    <t>La partie du corps qui se contracte pour bouger.</t>
  </si>
  <si>
    <t>https://raw.githubusercontent.com/olaf-programmeur/images/main/muscle.webp</t>
  </si>
  <si>
    <t>sang</t>
  </si>
  <si>
    <t>le sang</t>
  </si>
  <si>
    <t>Le liquide rouge qui circule dans ton corps.</t>
  </si>
  <si>
    <t>https://raw.githubusercontent.com/olaf-programmeur/images/main/sang.webp</t>
  </si>
  <si>
    <t>squelette</t>
  </si>
  <si>
    <t>le squelette</t>
  </si>
  <si>
    <t>L'ensemble des os qui forment le corps.</t>
  </si>
  <si>
    <t>https://raw.githubusercontent.com/olaf-programmeur/images/main/squelette.webp</t>
  </si>
  <si>
    <t>estomac</t>
  </si>
  <si>
    <t>l'estomac</t>
  </si>
  <si>
    <t>L'organe du ventre où va la nourriture.</t>
  </si>
  <si>
    <t>https://raw.githubusercontent.com/olaf-programmeur/images/main/estomac.webp</t>
  </si>
  <si>
    <t>ongle</t>
  </si>
  <si>
    <t>l'ongle</t>
  </si>
  <si>
    <t>La partie dure au bout des doigts.</t>
  </si>
  <si>
    <t>https://raw.githubusercontent.com/olaf-programmeur/images/main/ongle.webp</t>
  </si>
  <si>
    <t>os</t>
  </si>
  <si>
    <t>l'os</t>
  </si>
  <si>
    <t>La partie dure qui forme le squelette du corps.</t>
  </si>
  <si>
    <t>https://raw.githubusercontent.com/olaf-programmeur/images/main/os.webp</t>
  </si>
  <si>
    <t>faire_les_vitres</t>
  </si>
  <si>
    <t>faire les vitres</t>
  </si>
  <si>
    <t>Action de nettoyer les vitres avec un produit et un chiffon.</t>
  </si>
  <si>
    <t>serpillere</t>
  </si>
  <si>
    <t>la serpillière</t>
  </si>
  <si>
    <t>Le grand tissu qui sert à laver le sol.</t>
  </si>
  <si>
    <t>https://raw.githubusercontent.com/olaf-programmeur/images/main/serpilliere.webp</t>
  </si>
  <si>
    <t>aspirateur</t>
  </si>
  <si>
    <t>l'aspirateur</t>
  </si>
  <si>
    <t>Appareil électroménager qui permet d'aspirer la poussière et la saleté.</t>
  </si>
  <si>
    <t>https://raw.githubusercontent.com/olaf-programmeur/images/main/aspirateur.webp</t>
  </si>
  <si>
    <t>https://raw.githubusercontent.com/olaf-programmeur/images/main/aspirateur_1.webp</t>
  </si>
  <si>
    <t>https://raw.githubusercontent.com/olaf-programmeur/images/main/aspirateur_2.webp</t>
  </si>
  <si>
    <t>https://raw.githubusercontent.com/olaf-programmeur/images/main/aspirateur_3.webp</t>
  </si>
  <si>
    <t>https://raw.githubusercontent.com/olaf-programmeur/images/main/aspirateur_4.webp</t>
  </si>
  <si>
    <t>chiffon</t>
  </si>
  <si>
    <t>le chiffon</t>
  </si>
  <si>
    <t>Le morceau de tissu qui sert à essuyer ou à nettoyer.</t>
  </si>
  <si>
    <t>https://raw.githubusercontent.com/olaf-programmeur/images/main/chiffon.webp</t>
  </si>
  <si>
    <t>materiel_recurrer</t>
  </si>
  <si>
    <t>le matériel pour récurrer</t>
  </si>
  <si>
    <t>Equipement composé d'un sot, d'une brosse et d'un chiffon pour nettoyer les sols (carrelage, parquet).</t>
  </si>
  <si>
    <t>https://raw.githubusercontent.com/olaf-programmeur/images/main/materiel_recurrer.webp</t>
  </si>
  <si>
    <t>matériel pour récurer</t>
  </si>
  <si>
    <t>meister_proper</t>
  </si>
  <si>
    <t>le meister proper</t>
  </si>
  <si>
    <t>Produit détergent qu'on mélange avec de l'eau pour récurer. On dit aussi panosser.</t>
  </si>
  <si>
    <t>meister proper</t>
  </si>
  <si>
    <t>eponge</t>
  </si>
  <si>
    <t>l'éponge</t>
  </si>
  <si>
    <t>L'objet mou qui boit l'eau et sert à nettoyer.</t>
  </si>
  <si>
    <t>https://raw.githubusercontent.com/olaf-programmeur/images/main/eponge.webp</t>
  </si>
  <si>
    <t>chambre</t>
  </si>
  <si>
    <t>la chambre</t>
  </si>
  <si>
    <t>Pièce réservée au sommeil.</t>
  </si>
  <si>
    <t>https://raw.githubusercontent.com/olaf-programmeur/images/main/chambre.webp</t>
  </si>
  <si>
    <t>lit</t>
  </si>
  <si>
    <t>le lit</t>
  </si>
  <si>
    <t>Meuble sur lequel on dort.</t>
  </si>
  <si>
    <t>matelas</t>
  </si>
  <si>
    <t>le matelas</t>
  </si>
  <si>
    <t>Couche épaisse posée sur le lit et sur laquelle on dort.</t>
  </si>
  <si>
    <t>https://raw.githubusercontent.com/olaf-programmeur/images/main/matelas.webp</t>
  </si>
  <si>
    <t>le matela</t>
  </si>
  <si>
    <t>oreiller</t>
  </si>
  <si>
    <t>l'oreiller</t>
  </si>
  <si>
    <t>Coussin sur lequel on pose la tête pour dormir.</t>
  </si>
  <si>
    <t>https://raw.githubusercontent.com/olaf-programmeur/images/main/oreillers.webp</t>
  </si>
  <si>
    <t>duvet</t>
  </si>
  <si>
    <t>le duvet</t>
  </si>
  <si>
    <t>Tissu chaud rempli de plumes pour se couvrir la nuit.</t>
  </si>
  <si>
    <t>reveil</t>
  </si>
  <si>
    <t>le réveil</t>
  </si>
  <si>
    <t>Horloge, montre ou téléphone qui sonne à une heure fixée.</t>
  </si>
  <si>
    <t>https://raw.githubusercontent.com/olaf-programmeur/images/main/reveil.webp</t>
  </si>
  <si>
    <t>alarm clock bedroom</t>
  </si>
  <si>
    <t>armoire</t>
  </si>
  <si>
    <t>l'armoire</t>
  </si>
  <si>
    <t>Meuble dans lequel on range les habits, les chemises, les pantalons.</t>
  </si>
  <si>
    <t>corbeille_a_linge</t>
  </si>
  <si>
    <t>la corbeille à linge</t>
  </si>
  <si>
    <t>Objet dans lequel on met le linge à laver, le linge qu'on vient de laver et de repasser.</t>
  </si>
  <si>
    <t>panier_a_linge</t>
  </si>
  <si>
    <t>le panier à linge</t>
  </si>
  <si>
    <t>Bac où on dépose le linge sale qui doit être lavé.</t>
  </si>
  <si>
    <t>un panier à linge</t>
  </si>
  <si>
    <t>lessive</t>
  </si>
  <si>
    <t>la lessive</t>
  </si>
  <si>
    <t>Le produit qui sert à laver le linge.</t>
  </si>
  <si>
    <t>https://raw.githubusercontent.com/olaf-programmeur/images/main/lessive.webp</t>
  </si>
  <si>
    <t>linge</t>
  </si>
  <si>
    <t>le linge</t>
  </si>
  <si>
    <t>L'ensemble des vêtements et tissus que l'on lave.</t>
  </si>
  <si>
    <t>https://raw.githubusercontent.com/olaf-programmeur/images/main/linge.webp</t>
  </si>
  <si>
    <t>bureau_piece</t>
  </si>
  <si>
    <t>le bureau</t>
  </si>
  <si>
    <t>Pièce équipée d'une table, une chaise et un ordinateur. Il peut y avoir une bibliothèque et des classeurs.</t>
  </si>
  <si>
    <t>classeur</t>
  </si>
  <si>
    <t>le classeur</t>
  </si>
  <si>
    <t>Objet pour ranger des  documents.</t>
  </si>
  <si>
    <t>calculatrice</t>
  </si>
  <si>
    <t>la calculatrice</t>
  </si>
  <si>
    <t>L'appareil qui fait les calculs à notre place.</t>
  </si>
  <si>
    <t>https://raw.githubusercontent.com/olaf-programmeur/images/main/calculatrice.webp</t>
  </si>
  <si>
    <t>ordinateur</t>
  </si>
  <si>
    <t>l'ordinateur</t>
  </si>
  <si>
    <t>Appareil électronique qui permet d'effectuer des tâches administratives, de lire et d'envoyer les mails.</t>
  </si>
  <si>
    <t>https://raw.githubusercontent.com/olaf-programmeur/images/main/ordinateur.webp</t>
  </si>
  <si>
    <t>l'ordinateur'</t>
  </si>
  <si>
    <t>essence</t>
  </si>
  <si>
    <t>l'essence</t>
  </si>
  <si>
    <t>Essence sans plomb 95 à mettre dans le réservoire de la voiture.</t>
  </si>
  <si>
    <t>https://raw.githubusercontent.com/olaf-programmeur/images/main/essence_sans_plomb.webp</t>
  </si>
  <si>
    <t>jauge_huile</t>
  </si>
  <si>
    <t>la jauge d'huile</t>
  </si>
  <si>
    <t>Tige métallique qui permet de contrôler le niveau d'huile dans le moteur .</t>
  </si>
  <si>
    <t>huile_moteur</t>
  </si>
  <si>
    <t>l'huile moteur</t>
  </si>
  <si>
    <t>Liquide de lubrification du moteur, très important pour le fonctionnement de la voiture</t>
  </si>
  <si>
    <t>de l'huile moteur</t>
  </si>
  <si>
    <t>liquide_lave_glace</t>
  </si>
  <si>
    <t>le liquide lave-glace</t>
  </si>
  <si>
    <t>Liquide pour nettoyer le pare-brise de la voiture.</t>
  </si>
  <si>
    <t>https://raw.githubusercontent.com/olaf-programmeur/images/main/lave_glace.webp</t>
  </si>
  <si>
    <t>du liquide lave-glace</t>
  </si>
  <si>
    <t>entonnoir</t>
  </si>
  <si>
    <t>l'entonnoir</t>
  </si>
  <si>
    <t>L'objet en forme de cône pour verser sans renverser.</t>
  </si>
  <si>
    <t>https://raw.githubusercontent.com/olaf-programmeur/images/main/entonnoir.webp</t>
  </si>
  <si>
    <t>paire_de_slip</t>
  </si>
  <si>
    <t>la paire de slip</t>
  </si>
  <si>
    <t>Sous-vêtement.</t>
  </si>
  <si>
    <t>une paire de slip</t>
  </si>
  <si>
    <t>bas</t>
  </si>
  <si>
    <t>les bas</t>
  </si>
  <si>
    <t>Vêtement pour couvrir les pieds et qui montent jusqu'à la cheville. On dit aussi des chaussettes.</t>
  </si>
  <si>
    <t>https://raw.githubusercontent.com/olaf-programmeur/images/main/bas.webp</t>
  </si>
  <si>
    <t>des bas</t>
  </si>
  <si>
    <t>pantalon</t>
  </si>
  <si>
    <t>le pantalon</t>
  </si>
  <si>
    <t>Vêtement pour le bas du corps qui couvre la taille jusqu'aux chevilles.</t>
  </si>
  <si>
    <t>https://raw.githubusercontent.com/olaf-programmeur/images/main/pantalon.webp</t>
  </si>
  <si>
    <t>un pantalon</t>
  </si>
  <si>
    <t>pantalon_jeans</t>
  </si>
  <si>
    <t>le jeans (pantalon)</t>
  </si>
  <si>
    <t>un pantalon jeans</t>
  </si>
  <si>
    <t>cuissettes</t>
  </si>
  <si>
    <t>les cuissettes</t>
  </si>
  <si>
    <t>Vêtement pour le bas du corps qui couvre la taille jusqu'aux genoux. C'est un pantalon court.</t>
  </si>
  <si>
    <t>https://raw.githubusercontent.com/olaf-programmeur/images/main/cuissette.webp</t>
  </si>
  <si>
    <t>des cuissettes</t>
  </si>
  <si>
    <t>jupe</t>
  </si>
  <si>
    <t>la jupe</t>
  </si>
  <si>
    <t>Le vêtement qui couvre le bas du corps, surtout des filles.</t>
  </si>
  <si>
    <t>https://raw.githubusercontent.com/olaf-programmeur/images/main/jupe.webp</t>
  </si>
  <si>
    <t>juste_au_corps</t>
  </si>
  <si>
    <t>le juste-au-corps</t>
  </si>
  <si>
    <t>Vêtement ajusté qui épouse le buste (le haut du corps).</t>
  </si>
  <si>
    <t>un juste-au-corps</t>
  </si>
  <si>
    <t>t_shirt</t>
  </si>
  <si>
    <t>le t-shirt</t>
  </si>
  <si>
    <t>Vêtement pour le haut du corps avec des manches courtes.</t>
  </si>
  <si>
    <t>un t-shirt</t>
  </si>
  <si>
    <t>chemise</t>
  </si>
  <si>
    <t>la chemise</t>
  </si>
  <si>
    <t>Vêtement pour le haut du corps que l'on porte avec un costume.</t>
  </si>
  <si>
    <t>https://raw.githubusercontent.com/olaf-programmeur/images/main/chemise.webp</t>
  </si>
  <si>
    <t>https://raw.githubusercontent.com/olaf-programmeur/images/main/chemise_1.webp</t>
  </si>
  <si>
    <t>https://raw.githubusercontent.com/olaf-programmeur/images/main/chemise_2.webp</t>
  </si>
  <si>
    <t>https://raw.githubusercontent.com/olaf-programmeur/images/main/chemise_3.webp</t>
  </si>
  <si>
    <t>https://raw.githubusercontent.com/olaf-programmeur/images/main/chemise_4.webp</t>
  </si>
  <si>
    <t>man's shirt</t>
  </si>
  <si>
    <t>polo</t>
  </si>
  <si>
    <t>le polo</t>
  </si>
  <si>
    <t>Vêtement pour le haut du corps avec des manches courtes et un col autour du cou.</t>
  </si>
  <si>
    <t>un polo</t>
  </si>
  <si>
    <t>le pull ou pullover</t>
  </si>
  <si>
    <t>Vêtement chaud pour le haut du corps que l'on porte sur un t-shirt ou sur une chemise.</t>
  </si>
  <si>
    <t>https://raw.githubusercontent.com/olaf-programmeur/images/main/pull.webp</t>
  </si>
  <si>
    <t>un pull ou pullover</t>
  </si>
  <si>
    <t>veste</t>
  </si>
  <si>
    <t>la veste</t>
  </si>
  <si>
    <t>Vêtement pour le haut du corp pour avoir chaud à l'extérieur.</t>
  </si>
  <si>
    <t>une veste</t>
  </si>
  <si>
    <t>pain</t>
  </si>
  <si>
    <t>le pain</t>
  </si>
  <si>
    <t>Aliment de base fait de farine, d'eau et de sel cuit au four.</t>
  </si>
  <si>
    <t>bread bakery fresh</t>
  </si>
  <si>
    <t>gendarme_charc</t>
  </si>
  <si>
    <t>le gendarme</t>
  </si>
  <si>
    <t>Préparation de charcuterie faite de viande hachée et assaisonnée (sel, poivre, épices).</t>
  </si>
  <si>
    <t>https://raw.githubusercontent.com/olaf-programmeur/images/main/gendarme_charc.webp</t>
  </si>
  <si>
    <t>gendarme charcuterie</t>
  </si>
  <si>
    <t>saucisse</t>
  </si>
  <si>
    <t>la saucisse</t>
  </si>
  <si>
    <t>Préparation de charcuterie faite de viande hachée, de lard et assaisonnée (sel, poivre, épices).</t>
  </si>
  <si>
    <t>https://raw.githubusercontent.com/olaf-programmeur/images/main/saucisse.webp</t>
  </si>
  <si>
    <t>cafe</t>
  </si>
  <si>
    <t>le café</t>
  </si>
  <si>
    <t>Boisson chaude préparée à partir de grains de café.</t>
  </si>
  <si>
    <t>https://raw.githubusercontent.com/olaf-programmeur/images/main/cafe.webp</t>
  </si>
  <si>
    <t>https://raw.githubusercontent.com/olaf-programmeur/images/main/cafe_1.webp</t>
  </si>
  <si>
    <t>coffee cup espresso</t>
  </si>
  <si>
    <t>fromage</t>
  </si>
  <si>
    <t>le fromage</t>
  </si>
  <si>
    <t>Aliment de base fait avec du lait de vache.</t>
  </si>
  <si>
    <t>cheese and board</t>
  </si>
  <si>
    <t>la maison</t>
  </si>
  <si>
    <t>Bâtiment d'habitation individuel.</t>
  </si>
  <si>
    <t>https://raw.githubusercontent.com/olaf-programmeur/images/main/maison.webp</t>
  </si>
  <si>
    <t>https://raw.githubusercontent.com/olaf-programmeur/images/main/maison_1.webp</t>
  </si>
  <si>
    <t>https://raw.githubusercontent.com/olaf-programmeur/images/main/maison_2.webp</t>
  </si>
  <si>
    <t>https://raw.githubusercontent.com/olaf-programmeur/images/main/maison_3.webp</t>
  </si>
  <si>
    <t>https://raw.githubusercontent.com/olaf-programmeur/images/main/maison_4.webp</t>
  </si>
  <si>
    <t>house home exterior</t>
  </si>
  <si>
    <t>chalet</t>
  </si>
  <si>
    <t>le chalet</t>
  </si>
  <si>
    <t>Bâtiment d'habitation individuel construit avec du bois.</t>
  </si>
  <si>
    <t>garage</t>
  </si>
  <si>
    <t>le garage</t>
  </si>
  <si>
    <t>Partie de la maison où on parque la voiture à l'intérieur.</t>
  </si>
  <si>
    <t>porte</t>
  </si>
  <si>
    <t>la porte</t>
  </si>
  <si>
    <t>Panneau mobile permettant de fermer une pièce ou une maison.</t>
  </si>
  <si>
    <t>https://raw.githubusercontent.com/olaf-programmeur/images/main/porte.webp</t>
  </si>
  <si>
    <t>fenetre</t>
  </si>
  <si>
    <t>la fenêtre</t>
  </si>
  <si>
    <t>Ouverture vitrée dans un mur pour laisser passer la lumière.</t>
  </si>
  <si>
    <t>https://raw.githubusercontent.com/olaf-programmeur/images/main/fenetre.webp</t>
  </si>
  <si>
    <t>https://raw.githubusercontent.com/olaf-programmeur/images/main/fenetre_1.webp</t>
  </si>
  <si>
    <t>Un store est un objet constitué de lamelles latérales qui permet d'empêcher la lumière d'entrer dans une pièce.</t>
  </si>
  <si>
    <t>volets</t>
  </si>
  <si>
    <t>les volets</t>
  </si>
  <si>
    <t>Les volets sont des panneaux en bois ou en métal que l'on ferme devant les fenêtres pour protéger la maison du soleil, du vent, du froid et des regards.</t>
  </si>
  <si>
    <t>https://raw.githubusercontent.com/olaf-programmeur/images/main/volets.webp</t>
  </si>
  <si>
    <t>escalier</t>
  </si>
  <si>
    <t>l'escalier</t>
  </si>
  <si>
    <t>Suite de marches permettant de passer d'un étage à l'autre.</t>
  </si>
  <si>
    <t>https://raw.githubusercontent.com/olaf-programmeur/images/main/escalier.webp</t>
  </si>
  <si>
    <t>ampoule</t>
  </si>
  <si>
    <t>l'ampoule</t>
  </si>
  <si>
    <t>Dispositif d'éclairage que l'on visse dans la lampe, pour faire de la lumière et éclairer.</t>
  </si>
  <si>
    <t>fusibles_pour_lelectricite</t>
  </si>
  <si>
    <t>les fusibles pour l'électricité</t>
  </si>
  <si>
    <t>Tableau des fusibles si la lumière ne s'allume plus.</t>
  </si>
  <si>
    <t>mur</t>
  </si>
  <si>
    <t>le mur</t>
  </si>
  <si>
    <t>Construction verticale en pierres ou briques. Empilement vertical de plots ou de briques.</t>
  </si>
  <si>
    <t>https://raw.githubusercontent.com/olaf-programmeur/images/main/mur.webp</t>
  </si>
  <si>
    <t>toit</t>
  </si>
  <si>
    <t>le toit</t>
  </si>
  <si>
    <t>Couverture supérieure d'un bâtiment qui abrite le bâtiment de la pluie et l'isole du froid.</t>
  </si>
  <si>
    <t>https://raw.githubusercontent.com/olaf-programmeur/images/main/toiture.webp</t>
  </si>
  <si>
    <t>roof house tiles</t>
  </si>
  <si>
    <t>cheneau</t>
  </si>
  <si>
    <t>le chéneau</t>
  </si>
  <si>
    <t>Tuyau qui permet d'évacuer l'eau du toit.</t>
  </si>
  <si>
    <t>barriere</t>
  </si>
  <si>
    <t>la barrière</t>
  </si>
  <si>
    <t>Ce qui ferme un passage ou entoure un lieu.</t>
  </si>
  <si>
    <t>https://raw.githubusercontent.com/olaf-programmeur/images/main/barriere.webp</t>
  </si>
  <si>
    <t>https://raw.githubusercontent.com/olaf-programmeur/images/main/barriere_1.webp</t>
  </si>
  <si>
    <t>https://raw.githubusercontent.com/olaf-programmeur/images/main/barriere_2.webp</t>
  </si>
  <si>
    <t>https://raw.githubusercontent.com/olaf-programmeur/images/main/barriere_3.webp</t>
  </si>
  <si>
    <t>https://raw.githubusercontent.com/olaf-programmeur/images/main/barriere_4.webp</t>
  </si>
  <si>
    <t>prise</t>
  </si>
  <si>
    <t>la prise</t>
  </si>
  <si>
    <t>L'endroit du mur où l'on branche les appareils.</t>
  </si>
  <si>
    <t>https://raw.githubusercontent.com/olaf-programmeur/images/main/prise.webp</t>
  </si>
  <si>
    <t>serrure</t>
  </si>
  <si>
    <t>la serrure</t>
  </si>
  <si>
    <t>La pièce dans laquelle on met la clé pour ouvrir ou fermer.</t>
  </si>
  <si>
    <t>https://raw.githubusercontent.com/olaf-programmeur/images/main/serrure.webp</t>
  </si>
  <si>
    <t>fourneau_bois</t>
  </si>
  <si>
    <t>le fourneau à bois</t>
  </si>
  <si>
    <t>Un fourneau à bois est un appareil en fonte ou en céramique dans lequel on brûle du bois pour chauffer une maison.</t>
  </si>
  <si>
    <t>https://raw.githubusercontent.com/olaf-programmeur/images/main/fourneau_bois.webp</t>
  </si>
  <si>
    <t>fourneau_pellets</t>
  </si>
  <si>
    <t>le fourneau à pellets</t>
  </si>
  <si>
    <t>Un fourneau à pellets est un poêle moderne qui brûle automatiquement de petits bâtonnets de bois compressé appelés pellets pour chauffer une maison.</t>
  </si>
  <si>
    <t>https://raw.githubusercontent.com/olaf-programmeur/images/main/fourneau_pellets.webp</t>
  </si>
  <si>
    <t>v_accepter</t>
  </si>
  <si>
    <t>accepter</t>
  </si>
  <si>
    <t>Dire que l'on veut bien.</t>
  </si>
  <si>
    <t>https://raw.githubusercontent.com/olaf-programmeur/images/main/v_accepter.webp</t>
  </si>
  <si>
    <t>https://raw.githubusercontent.com/olaf-programmeur/images/main/v_accepter_1.webp</t>
  </si>
  <si>
    <t>https://raw.githubusercontent.com/olaf-programmeur/images/main/v_accepter_2.webp</t>
  </si>
  <si>
    <t>https://raw.githubusercontent.com/olaf-programmeur/images/main/v_accepter_3.webp</t>
  </si>
  <si>
    <t>https://raw.githubusercontent.com/olaf-programmeur/images/main/v_accepter_4.webp</t>
  </si>
  <si>
    <t>action</t>
  </si>
  <si>
    <t>v_acheter</t>
  </si>
  <si>
    <t>acheter</t>
  </si>
  <si>
    <t>Obtenir une chose en payant avec de l'argent.</t>
  </si>
  <si>
    <t>https://raw.githubusercontent.com/olaf-programmeur/images/main/v_acheter.webp</t>
  </si>
  <si>
    <t>https://raw.githubusercontent.com/olaf-programmeur/images/main/v_acheter_1.webp</t>
  </si>
  <si>
    <t>https://raw.githubusercontent.com/olaf-programmeur/images/main/v_acheter_2.webp</t>
  </si>
  <si>
    <t>https://raw.githubusercontent.com/olaf-programmeur/images/main/v_acheter_3.webp</t>
  </si>
  <si>
    <t>https://raw.githubusercontent.com/olaf-programmeur/images/main/v_acheter_4.webp</t>
  </si>
  <si>
    <t>adulte</t>
  </si>
  <si>
    <t>Qui a fini de grandir, qui n'est plus un enfant.</t>
  </si>
  <si>
    <t>https://raw.githubusercontent.com/olaf-programmeur/images/main/adulte.webp</t>
  </si>
  <si>
    <t>https://raw.githubusercontent.com/olaf-programmeur/images/main/adulte_1.webp</t>
  </si>
  <si>
    <t>https://raw.githubusercontent.com/olaf-programmeur/images/main/adulte_2.webp</t>
  </si>
  <si>
    <t>https://raw.githubusercontent.com/olaf-programmeur/images/main/adulte_3.webp</t>
  </si>
  <si>
    <t>https://raw.githubusercontent.com/olaf-programmeur/images/main/adulte_4.webp</t>
  </si>
  <si>
    <t>a_desagreable</t>
  </si>
  <si>
    <t>désagréable</t>
  </si>
  <si>
    <t>Qui sent mauvais  ++  Qui ne fait pas plaisir, qui dérange.</t>
  </si>
  <si>
    <t>https://raw.githubusercontent.com/olaf-programmeur/images/main/desagreable.webp</t>
  </si>
  <si>
    <t>https://raw.githubusercontent.com/olaf-programmeur/images/main/desagreable_1.webp</t>
  </si>
  <si>
    <t>v_aider</t>
  </si>
  <si>
    <t>aider</t>
  </si>
  <si>
    <t>Faire quelque chose pour rendre service à quelqu'un.</t>
  </si>
  <si>
    <t>https://raw.githubusercontent.com/olaf-programmeur/images/main/v_aider.webp</t>
  </si>
  <si>
    <t>https://raw.githubusercontent.com/olaf-programmeur/images/main/v_aider_1.webp</t>
  </si>
  <si>
    <t>https://raw.githubusercontent.com/olaf-programmeur/images/main/v_aider_2.webp</t>
  </si>
  <si>
    <t>https://raw.githubusercontent.com/olaf-programmeur/images/main/v_aider_3.webp</t>
  </si>
  <si>
    <t>https://raw.githubusercontent.com/olaf-programmeur/images/main/v_aider_4.webp</t>
  </si>
  <si>
    <t>ailleurs</t>
  </si>
  <si>
    <t>Dans un autre endroit.</t>
  </si>
  <si>
    <t>https://raw.githubusercontent.com/olaf-programmeur/images/main/ailleurs.webp</t>
  </si>
  <si>
    <t>https://raw.githubusercontent.com/olaf-programmeur/images/main/ailleurs_1.webp</t>
  </si>
  <si>
    <t>https://raw.githubusercontent.com/olaf-programmeur/images/main/ailleurs_2.webp</t>
  </si>
  <si>
    <t>aimable</t>
  </si>
  <si>
    <t>Qui est gentil et agréable avec les autres.</t>
  </si>
  <si>
    <t>https://raw.githubusercontent.com/olaf-programmeur/images/main/aimable.webp</t>
  </si>
  <si>
    <t>v_aimer</t>
  </si>
  <si>
    <t>aimer</t>
  </si>
  <si>
    <t>Ressentir de l'affection pour une personne ou une chose.</t>
  </si>
  <si>
    <t>https://raw.githubusercontent.com/olaf-programmeur/images/main/v_aimer.webp</t>
  </si>
  <si>
    <t>https://raw.githubusercontent.com/olaf-programmeur/images/main/v_aimer_1.webp</t>
  </si>
  <si>
    <t>https://raw.githubusercontent.com/olaf-programmeur/images/main/v_aimer_2.webp</t>
  </si>
  <si>
    <t>https://raw.githubusercontent.com/olaf-programmeur/images/main/v_aimer_3.webp</t>
  </si>
  <si>
    <t>https://raw.githubusercontent.com/olaf-programmeur/images/main/v_aimer_4.webp</t>
  </si>
  <si>
    <t>v_aller</t>
  </si>
  <si>
    <t>aller</t>
  </si>
  <si>
    <t>Se déplacer vers un endroit.</t>
  </si>
  <si>
    <t>https://raw.githubusercontent.com/olaf-programmeur/images/main/v_aller.webp</t>
  </si>
  <si>
    <t>https://raw.githubusercontent.com/olaf-programmeur/images/main/v_aller_1.webp</t>
  </si>
  <si>
    <t>https://raw.githubusercontent.com/olaf-programmeur/images/main/v_aller_2.webp</t>
  </si>
  <si>
    <t>https://raw.githubusercontent.com/olaf-programmeur/images/main/v_aller_3.webp</t>
  </si>
  <si>
    <t>https://raw.githubusercontent.com/olaf-programmeur/images/main/v_aller_4.webp</t>
  </si>
  <si>
    <t>v_annoncer</t>
  </si>
  <si>
    <t>annoncer</t>
  </si>
  <si>
    <t>Faire savoir une nouvelle.</t>
  </si>
  <si>
    <t>https://raw.githubusercontent.com/olaf-programmeur/images/main/v_annoncer.webp</t>
  </si>
  <si>
    <t>https://raw.githubusercontent.com/olaf-programmeur/images/main/v_annoncer_1.webp</t>
  </si>
  <si>
    <t>https://raw.githubusercontent.com/olaf-programmeur/images/main/v_annoncer_2.webp</t>
  </si>
  <si>
    <t>https://raw.githubusercontent.com/olaf-programmeur/images/main/v_annoncer_3.webp</t>
  </si>
  <si>
    <t>v_appeler</t>
  </si>
  <si>
    <t>appeler</t>
  </si>
  <si>
    <t>Dire le nom de quelqu'un pour qu'il vienne, ou téléphoner.</t>
  </si>
  <si>
    <t>https://raw.githubusercontent.com/olaf-programmeur/images/main/v_appeler.webp</t>
  </si>
  <si>
    <t>https://raw.githubusercontent.com/olaf-programmeur/images/main/v_appeler_1.webp</t>
  </si>
  <si>
    <t>https://raw.githubusercontent.com/olaf-programmeur/images/main/v_appeler_2.webp</t>
  </si>
  <si>
    <t>https://raw.githubusercontent.com/olaf-programmeur/images/main/v_appeler_3.webp</t>
  </si>
  <si>
    <t>https://raw.githubusercontent.com/olaf-programmeur/images/main/v_appeler_4.webp</t>
  </si>
  <si>
    <t>v_apprendre</t>
  </si>
  <si>
    <t>apprendre</t>
  </si>
  <si>
    <t>Acquérir un savoir nouveau.</t>
  </si>
  <si>
    <t>https://raw.githubusercontent.com/olaf-programmeur/images/main/v_apprendre.webp</t>
  </si>
  <si>
    <t>a_arme</t>
  </si>
  <si>
    <t>armé</t>
  </si>
  <si>
    <t>Qui porte une arme.</t>
  </si>
  <si>
    <t>https://raw.githubusercontent.com/olaf-programmeur/images/main/a_arme.webp</t>
  </si>
  <si>
    <t>https://raw.githubusercontent.com/olaf-programmeur/images/main/a_arme_1.webp</t>
  </si>
  <si>
    <t>https://raw.githubusercontent.com/olaf-programmeur/images/main/a_arme_2.webp</t>
  </si>
  <si>
    <t>https://raw.githubusercontent.com/olaf-programmeur/images/main/a_arme_3.webp</t>
  </si>
  <si>
    <t>https://raw.githubusercontent.com/olaf-programmeur/images/main/a_arme_4.webp</t>
  </si>
  <si>
    <t>arrondi</t>
  </si>
  <si>
    <t>Qui a une forme un peu ronde.</t>
  </si>
  <si>
    <t>https://raw.githubusercontent.com/olaf-programmeur/images/main/arrondi.webp</t>
  </si>
  <si>
    <t>https://raw.githubusercontent.com/olaf-programmeur/images/main/arrondi_1.webp</t>
  </si>
  <si>
    <t>https://raw.githubusercontent.com/olaf-programmeur/images/main/arrondi_2.webp</t>
  </si>
  <si>
    <t>https://raw.githubusercontent.com/olaf-programmeur/images/main/arrondi_3.webp</t>
  </si>
  <si>
    <t>https://raw.githubusercontent.com/olaf-programmeur/images/main/arrondi_4.webp</t>
  </si>
  <si>
    <t>assez</t>
  </si>
  <si>
    <t>En quantité suffisante.</t>
  </si>
  <si>
    <t>https://raw.githubusercontent.com/olaf-programmeur/images/main/assez.webp</t>
  </si>
  <si>
    <t>https://raw.githubusercontent.com/olaf-programmeur/images/main/assez_1.webp</t>
  </si>
  <si>
    <t>v_attendre</t>
  </si>
  <si>
    <t>attendre</t>
  </si>
  <si>
    <t>Rester quelque part jusqu'à ce qu'une personne arrive ou que quelque chose se passe.</t>
  </si>
  <si>
    <t>https://raw.githubusercontent.com/olaf-programmeur/images/main/v_attendre.webp</t>
  </si>
  <si>
    <t>https://raw.githubusercontent.com/olaf-programmeur/images/main/v_attendre_1.webp</t>
  </si>
  <si>
    <t>https://raw.githubusercontent.com/olaf-programmeur/images/main/v_attendre_2.webp</t>
  </si>
  <si>
    <t>https://raw.githubusercontent.com/olaf-programmeur/images/main/v_attendre_3.webp</t>
  </si>
  <si>
    <t>aussi</t>
  </si>
  <si>
    <t>De la même façon  ++  la même chose</t>
  </si>
  <si>
    <t>https://raw.githubusercontent.com/olaf-programmeur/images/main/aussi.webp</t>
  </si>
  <si>
    <t>https://raw.githubusercontent.com/olaf-programmeur/images/main/aussi_1.webp</t>
  </si>
  <si>
    <t>autant</t>
  </si>
  <si>
    <t>La même quantité</t>
  </si>
  <si>
    <t>https://raw.githubusercontent.com/olaf-programmeur/images/main/autant.webp</t>
  </si>
  <si>
    <t>https://raw.githubusercontent.com/olaf-programmeur/images/main/autant_1.webp</t>
  </si>
  <si>
    <t>autour</t>
  </si>
  <si>
    <t>De tous les côtés d'une chose… Autour de la table, autour du monde.</t>
  </si>
  <si>
    <t>https://raw.githubusercontent.com/olaf-programmeur/images/main/autour.webp</t>
  </si>
  <si>
    <t>https://raw.githubusercontent.com/olaf-programmeur/images/main/autour_1.webp</t>
  </si>
  <si>
    <t>https://raw.githubusercontent.com/olaf-programmeur/images/main/autour_2.webp</t>
  </si>
  <si>
    <t>v_avoir</t>
  </si>
  <si>
    <t>avoir</t>
  </si>
  <si>
    <t>Posséder quelque chose. Par exemple : j'ai un chien.</t>
  </si>
  <si>
    <t>https://raw.githubusercontent.com/olaf-programmeur/images/main/v_avoir.webp</t>
  </si>
  <si>
    <t>v_avouer</t>
  </si>
  <si>
    <t>avouer</t>
  </si>
  <si>
    <t>Dire une chose que l'on cachait.</t>
  </si>
  <si>
    <t>https://raw.githubusercontent.com/olaf-programmeur/images/main/v_avouer.webp</t>
  </si>
  <si>
    <t>beaucoup</t>
  </si>
  <si>
    <t>En grande quantité.</t>
  </si>
  <si>
    <t>https://raw.githubusercontent.com/olaf-programmeur/images/main/un_peu_beaucoup.webp</t>
  </si>
  <si>
    <t>https://raw.githubusercontent.com/olaf-programmeur/images/main/un_peu_beaucoup_1.webp</t>
  </si>
  <si>
    <t>bien</t>
  </si>
  <si>
    <t>D'une manière correcte ou agréable.</t>
  </si>
  <si>
    <t>https://raw.githubusercontent.com/olaf-programmeur/images/main/bien.webp</t>
  </si>
  <si>
    <t>https://raw.githubusercontent.com/olaf-programmeur/images/main/bien_1.webp</t>
  </si>
  <si>
    <t>https://raw.githubusercontent.com/olaf-programmeur/images/main/bien_2.webp</t>
  </si>
  <si>
    <t>https://raw.githubusercontent.com/olaf-programmeur/images/main/bien_3.webp</t>
  </si>
  <si>
    <t>https://raw.githubusercontent.com/olaf-programmeur/images/main/bien_4.webp</t>
  </si>
  <si>
    <t>bientot</t>
  </si>
  <si>
    <t>bientôt</t>
  </si>
  <si>
    <t>Dans peu de temps.</t>
  </si>
  <si>
    <t>https://raw.githubusercontent.com/olaf-programmeur/images/main/bientot.webp</t>
  </si>
  <si>
    <t>https://raw.githubusercontent.com/olaf-programmeur/images/main/bientot_1.webp</t>
  </si>
  <si>
    <t>v_boire</t>
  </si>
  <si>
    <t>boire</t>
  </si>
  <si>
    <t>Avaler un liquide.</t>
  </si>
  <si>
    <t>https://raw.githubusercontent.com/olaf-programmeur/images/main/v_boire.webp</t>
  </si>
  <si>
    <t>https://raw.githubusercontent.com/olaf-programmeur/images/main/v_boire_1.webp</t>
  </si>
  <si>
    <t>https://raw.githubusercontent.com/olaf-programmeur/images/main/v_boire_2.webp</t>
  </si>
  <si>
    <t>https://raw.githubusercontent.com/olaf-programmeur/images/main/v_boire_3.webp</t>
  </si>
  <si>
    <t>https://raw.githubusercontent.com/olaf-programmeur/images/main/v_boire_4.webp</t>
  </si>
  <si>
    <t>brun</t>
  </si>
  <si>
    <t>Qui est d'une couleur entre le marron et le noir.</t>
  </si>
  <si>
    <t>https://raw.githubusercontent.com/olaf-programmeur/images/main/brun.webp</t>
  </si>
  <si>
    <t>brusquement</t>
  </si>
  <si>
    <t>Qui se passe d'un coup  ++  sans prévenir.</t>
  </si>
  <si>
    <t>v_cacher</t>
  </si>
  <si>
    <t>cacher</t>
  </si>
  <si>
    <t>Mettre une chose là où on ne peut pas la voir.</t>
  </si>
  <si>
    <t>https://raw.githubusercontent.com/olaf-programmeur/images/main/v_cacher.webp</t>
  </si>
  <si>
    <t>https://raw.githubusercontent.com/olaf-programmeur/images/main/v_cacher_1.webp</t>
  </si>
  <si>
    <t>https://raw.githubusercontent.com/olaf-programmeur/images/main/v_cacher_2.webp</t>
  </si>
  <si>
    <t>https://raw.githubusercontent.com/olaf-programmeur/images/main/v_cacher_3.webp</t>
  </si>
  <si>
    <t>https://raw.githubusercontent.com/olaf-programmeur/images/main/v_cacher_4.webp</t>
  </si>
  <si>
    <t>cassé</t>
  </si>
  <si>
    <t>Qui est en morceaux, qui ne marche plus.</t>
  </si>
  <si>
    <t>v_casser</t>
  </si>
  <si>
    <t>casser</t>
  </si>
  <si>
    <t>Mettre une chose en morceaux.</t>
  </si>
  <si>
    <t>https://raw.githubusercontent.com/olaf-programmeur/images/main/v_casser.webp</t>
  </si>
  <si>
    <t>https://raw.githubusercontent.com/olaf-programmeur/images/main/v_casser_1.webp</t>
  </si>
  <si>
    <t>https://raw.githubusercontent.com/olaf-programmeur/images/main/v_casser_2.webp</t>
  </si>
  <si>
    <t>https://raw.githubusercontent.com/olaf-programmeur/images/main/v_casser_3.webp</t>
  </si>
  <si>
    <t>https://raw.githubusercontent.com/olaf-programmeur/images/main/v_casser_4.webp</t>
  </si>
  <si>
    <t>certain</t>
  </si>
  <si>
    <t>Qui est sûr, ou bien qui désigne quelques-uns.</t>
  </si>
  <si>
    <t>https://raw.githubusercontent.com/olaf-programmeur/images/main/certain.webp</t>
  </si>
  <si>
    <t>v_changer</t>
  </si>
  <si>
    <t>changer</t>
  </si>
  <si>
    <t>Remplacer une chose par une autre ou rendre différent. Je change une ampoule à la lampe.</t>
  </si>
  <si>
    <t>https://raw.githubusercontent.com/olaf-programmeur/images/main/v_changer.webp</t>
  </si>
  <si>
    <t>https://raw.githubusercontent.com/olaf-programmeur/images/main/v_changer_1.webp</t>
  </si>
  <si>
    <t>https://raw.githubusercontent.com/olaf-programmeur/images/main/v_changer_2.webp</t>
  </si>
  <si>
    <t>v_chanter</t>
  </si>
  <si>
    <t>chanter</t>
  </si>
  <si>
    <t>Faire de la musique avec sa voix.</t>
  </si>
  <si>
    <t>https://raw.githubusercontent.com/olaf-programmeur/images/main/v_chanter.webp</t>
  </si>
  <si>
    <t>https://raw.githubusercontent.com/olaf-programmeur/images/main/v_chanter_1.webp</t>
  </si>
  <si>
    <t>https://raw.githubusercontent.com/olaf-programmeur/images/main/v_chanter_2.webp</t>
  </si>
  <si>
    <t>https://raw.githubusercontent.com/olaf-programmeur/images/main/v_chanter_3.webp</t>
  </si>
  <si>
    <t>https://raw.githubusercontent.com/olaf-programmeur/images/main/v_chanter_4.webp</t>
  </si>
  <si>
    <t>v_chercher</t>
  </si>
  <si>
    <t>chercher</t>
  </si>
  <si>
    <t>Essayer de trouver quelque chose ou quelqu'un.</t>
  </si>
  <si>
    <t>https://raw.githubusercontent.com/olaf-programmeur/images/main/v_chercher.webp</t>
  </si>
  <si>
    <t>https://raw.githubusercontent.com/olaf-programmeur/images/main/v_chercher_1.webp</t>
  </si>
  <si>
    <t>https://raw.githubusercontent.com/olaf-programmeur/images/main/v_chercher_2.webp</t>
  </si>
  <si>
    <t>https://raw.githubusercontent.com/olaf-programmeur/images/main/v_chercher_3.webp</t>
  </si>
  <si>
    <t>v_choisir</t>
  </si>
  <si>
    <t>choisir</t>
  </si>
  <si>
    <t>Prendre une chose plutôt qu'une autre.</t>
  </si>
  <si>
    <t>https://raw.githubusercontent.com/olaf-programmeur/images/main/v_choisir.webp</t>
  </si>
  <si>
    <t>https://raw.githubusercontent.com/olaf-programmeur/images/main/v_choisir_1.webp</t>
  </si>
  <si>
    <t>https://raw.githubusercontent.com/olaf-programmeur/images/main/v_choisir_2.webp</t>
  </si>
  <si>
    <t>https://raw.githubusercontent.com/olaf-programmeur/images/main/v_choisir_3.webp</t>
  </si>
  <si>
    <t>christophe_g</t>
  </si>
  <si>
    <t>Christophe Germanier</t>
  </si>
  <si>
    <t>Christophe Germanier est président de la Commune de Conthey.</t>
  </si>
  <si>
    <t>https://raw.githubusercontent.com/olaf-programmeur/images/main/ch_germanier.webp</t>
  </si>
  <si>
    <t>v_chuchoter</t>
  </si>
  <si>
    <t>chuchoter</t>
  </si>
  <si>
    <t>Parler tout doucement, à voix basse.</t>
  </si>
  <si>
    <t>https://raw.githubusercontent.com/olaf-programmeur/images/main/v_chuchoter.webp</t>
  </si>
  <si>
    <t>https://raw.githubusercontent.com/olaf-programmeur/images/main/v_chuchoter_1.webp</t>
  </si>
  <si>
    <t>https://raw.githubusercontent.com/olaf-programmeur/images/main/v_chuchoter_2.webp</t>
  </si>
  <si>
    <t>https://raw.githubusercontent.com/olaf-programmeur/images/main/v_chuchoter_3.webp</t>
  </si>
  <si>
    <t>claudine_f</t>
  </si>
  <si>
    <t>Claudine Fumeaux</t>
  </si>
  <si>
    <t>Claudine Fumeaux, conseillère communale de Conthey.</t>
  </si>
  <si>
    <t>https://raw.githubusercontent.com/olaf-programmeur/images/main/claudine_fumeaux.webp</t>
  </si>
  <si>
    <t>collant</t>
  </si>
  <si>
    <t>Qui colle, qui s'attache à ce qu'il touche.</t>
  </si>
  <si>
    <t>https://raw.githubusercontent.com/olaf-programmeur/images/main/collant.webp</t>
  </si>
  <si>
    <t>https://raw.githubusercontent.com/olaf-programmeur/images/main/collant_1.webp</t>
  </si>
  <si>
    <t>https://raw.githubusercontent.com/olaf-programmeur/images/main/collant_2.webp</t>
  </si>
  <si>
    <t>https://raw.githubusercontent.com/olaf-programmeur/images/main/collant_3.webp</t>
  </si>
  <si>
    <t>https://raw.githubusercontent.com/olaf-programmeur/images/main/collant_4.webp</t>
  </si>
  <si>
    <t>colorée</t>
  </si>
  <si>
    <t>Qui a beaucoup de couleurs.</t>
  </si>
  <si>
    <t>v_commencer</t>
  </si>
  <si>
    <t>commencer</t>
  </si>
  <si>
    <t>Faire le début de quelque chose.</t>
  </si>
  <si>
    <t>On commence à jouer et on arrête de jouer.</t>
  </si>
  <si>
    <t>https://raw.githubusercontent.com/olaf-programmeur/images/main/v_commencer.webp</t>
  </si>
  <si>
    <t>https://raw.githubusercontent.com/olaf-programmeur/images/main/v_commencer_1.webp</t>
  </si>
  <si>
    <t>https://raw.githubusercontent.com/olaf-programmeur/images/main/v_commencer_2.webp</t>
  </si>
  <si>
    <t>v_comparer</t>
  </si>
  <si>
    <t>comparer</t>
  </si>
  <si>
    <t>Regarder deux choses pour voir ce qui les différencie.</t>
  </si>
  <si>
    <t>C'est égal, c'est différent, c'est plus cher, c'est moins cher, c'est plus haut, c'est plus bas.</t>
  </si>
  <si>
    <t>https://raw.githubusercontent.com/olaf-programmeur/images/main/v_comparer.webp</t>
  </si>
  <si>
    <t>https://raw.githubusercontent.com/olaf-programmeur/images/main/v_comparer_1.webp</t>
  </si>
  <si>
    <t>https://raw.githubusercontent.com/olaf-programmeur/images/main/v_comparer_2.webp</t>
  </si>
  <si>
    <t>complet</t>
  </si>
  <si>
    <t>Qui est entier, où rien ne manque.</t>
  </si>
  <si>
    <t>https://raw.githubusercontent.com/olaf-programmeur/images/main/complet.webp</t>
  </si>
  <si>
    <t>https://raw.githubusercontent.com/olaf-programmeur/images/main/complet_1.webp</t>
  </si>
  <si>
    <t>v_comprendre</t>
  </si>
  <si>
    <t>comprendre</t>
  </si>
  <si>
    <t>Saisir le sens de quelque chose.</t>
  </si>
  <si>
    <t>https://raw.githubusercontent.com/olaf-programmeur/images/main/v_comprendre.webp</t>
  </si>
  <si>
    <t>https://raw.githubusercontent.com/olaf-programmeur/images/main/v_comprendre_1.webp</t>
  </si>
  <si>
    <t>https://raw.githubusercontent.com/olaf-programmeur/images/main/v_comprendre_2.webp</t>
  </si>
  <si>
    <t>v_compter</t>
  </si>
  <si>
    <t>compter</t>
  </si>
  <si>
    <t>Dire les nombres dans l'ordre, ou faire un calcul.</t>
  </si>
  <si>
    <t>https://raw.githubusercontent.com/olaf-programmeur/images/main/v_compter.webp</t>
  </si>
  <si>
    <t>https://raw.githubusercontent.com/olaf-programmeur/images/main/v_compter_1.webp</t>
  </si>
  <si>
    <t>https://raw.githubusercontent.com/olaf-programmeur/images/main/v_compter_2.webp</t>
  </si>
  <si>
    <t>https://raw.githubusercontent.com/olaf-programmeur/images/main/v_compter_3.webp</t>
  </si>
  <si>
    <t>https://raw.githubusercontent.com/olaf-programmeur/images/main/v_compter_4.webp</t>
  </si>
  <si>
    <t>confortable</t>
  </si>
  <si>
    <t>Qui est agréable et où l'on se sent bien.</t>
  </si>
  <si>
    <t>https://raw.githubusercontent.com/olaf-programmeur/images/main/confortable.webp</t>
  </si>
  <si>
    <t>https://raw.githubusercontent.com/olaf-programmeur/images/main/confortable_1.webp</t>
  </si>
  <si>
    <t>https://raw.githubusercontent.com/olaf-programmeur/images/main/confortable_2.webp</t>
  </si>
  <si>
    <t>https://raw.githubusercontent.com/olaf-programmeur/images/main/confortable_3.webp</t>
  </si>
  <si>
    <t>v_connaitre</t>
  </si>
  <si>
    <t>connaître</t>
  </si>
  <si>
    <t>Savoir qui est une personne ou ce qu'est une chose.</t>
  </si>
  <si>
    <t>https://raw.githubusercontent.com/olaf-programmeur/images/main/v_connaitre.webp</t>
  </si>
  <si>
    <t>v_conseiller</t>
  </si>
  <si>
    <t>conseiller</t>
  </si>
  <si>
    <t>Dire à quelqu'un ce qu'il vaut mieux faire.</t>
  </si>
  <si>
    <t>https://raw.githubusercontent.com/olaf-programmeur/images/main/v_conseiller.webp</t>
  </si>
  <si>
    <t>contre</t>
  </si>
  <si>
    <t>Tout près en touchant, ou en s'opposant.</t>
  </si>
  <si>
    <t>https://raw.githubusercontent.com/olaf-programmeur/images/main/contre.webp</t>
  </si>
  <si>
    <t>https://raw.githubusercontent.com/olaf-programmeur/images/main/contre_1.webp</t>
  </si>
  <si>
    <t>https://raw.githubusercontent.com/olaf-programmeur/images/main/contre_2.webp</t>
  </si>
  <si>
    <t>https://raw.githubusercontent.com/olaf-programmeur/images/main/contre_3.webp</t>
  </si>
  <si>
    <t>https://raw.githubusercontent.com/olaf-programmeur/images/main/contre_4.webp</t>
  </si>
  <si>
    <t>correct</t>
  </si>
  <si>
    <t>Qui est juste, sans faute.</t>
  </si>
  <si>
    <t>https://raw.githubusercontent.com/olaf-programmeur/images/main/correct.webp</t>
  </si>
  <si>
    <t>https://raw.githubusercontent.com/olaf-programmeur/images/main/correct_1.webp</t>
  </si>
  <si>
    <t>https://raw.githubusercontent.com/olaf-programmeur/images/main/correct_2.webp</t>
  </si>
  <si>
    <t>coupant</t>
  </si>
  <si>
    <t>Se dit d'un objet qui coupe, qui a un bord tranchant.</t>
  </si>
  <si>
    <t>https://raw.githubusercontent.com/olaf-programmeur/images/main/ciseaux.webp</t>
  </si>
  <si>
    <t>https://raw.githubusercontent.com/olaf-programmeur/images/main/tronconneuse.webp</t>
  </si>
  <si>
    <t>https://raw.githubusercontent.com/olaf-programmeur/images/main/secateur.webp</t>
  </si>
  <si>
    <t>v_couper</t>
  </si>
  <si>
    <t>couper</t>
  </si>
  <si>
    <t>Séparer en morceaux avec un objet tranchant.</t>
  </si>
  <si>
    <t>https://raw.githubusercontent.com/olaf-programmeur/images/main/v_couper.webp</t>
  </si>
  <si>
    <t>https://raw.githubusercontent.com/olaf-programmeur/images/main/v_couper_1.webp</t>
  </si>
  <si>
    <t>https://raw.githubusercontent.com/olaf-programmeur/images/main/v_couper_2.webp</t>
  </si>
  <si>
    <t>https://raw.githubusercontent.com/olaf-programmeur/images/main/v_couper_3.webp</t>
  </si>
  <si>
    <t>https://raw.githubusercontent.com/olaf-programmeur/images/main/v_couper_4.webp</t>
  </si>
  <si>
    <t>v_courir</t>
  </si>
  <si>
    <t>courir</t>
  </si>
  <si>
    <t>Se déplacer très vite avec ses jambes.</t>
  </si>
  <si>
    <t>https://raw.githubusercontent.com/olaf-programmeur/images/main/v_courir.webp</t>
  </si>
  <si>
    <t>https://raw.githubusercontent.com/olaf-programmeur/images/main/v_courir_1.webp</t>
  </si>
  <si>
    <t>https://raw.githubusercontent.com/olaf-programmeur/images/main/v_courir_2.webp</t>
  </si>
  <si>
    <t>https://raw.githubusercontent.com/olaf-programmeur/images/main/v_courir_3.webp</t>
  </si>
  <si>
    <t>https://raw.githubusercontent.com/olaf-programmeur/images/main/v_courir_4.webp</t>
  </si>
  <si>
    <t>creux</t>
  </si>
  <si>
    <t>Qui est vide à l'intérieur.</t>
  </si>
  <si>
    <t>https://raw.githubusercontent.com/olaf-programmeur/images/main/creux.webp</t>
  </si>
  <si>
    <t>https://raw.githubusercontent.com/olaf-programmeur/images/main/creux_1.webp</t>
  </si>
  <si>
    <t>https://raw.githubusercontent.com/olaf-programmeur/images/main/creux_2.webp</t>
  </si>
  <si>
    <t>https://raw.githubusercontent.com/olaf-programmeur/images/main/creux_3.webp</t>
  </si>
  <si>
    <t>https://raw.githubusercontent.com/olaf-programmeur/images/main/creux_4.webp</t>
  </si>
  <si>
    <t>v_crier</t>
  </si>
  <si>
    <t>crier</t>
  </si>
  <si>
    <t>Parler très fort.</t>
  </si>
  <si>
    <t>https://raw.githubusercontent.com/olaf-programmeur/images/main/v_crier.webp</t>
  </si>
  <si>
    <t>https://raw.githubusercontent.com/olaf-programmeur/images/main/v_crier_1.webp</t>
  </si>
  <si>
    <t>https://raw.githubusercontent.com/olaf-programmeur/images/main/v_crier_2.webp</t>
  </si>
  <si>
    <t>https://raw.githubusercontent.com/olaf-programmeur/images/main/v_crier_3.webp</t>
  </si>
  <si>
    <t>https://raw.githubusercontent.com/olaf-programmeur/images/main/v_crier_4.webp</t>
  </si>
  <si>
    <t>v_croire</t>
  </si>
  <si>
    <t>croire</t>
  </si>
  <si>
    <t>Penser qu'une chose est vraie.</t>
  </si>
  <si>
    <t>https://raw.githubusercontent.com/olaf-programmeur/images/main/v_croire.webp</t>
  </si>
  <si>
    <t>https://raw.githubusercontent.com/olaf-programmeur/images/main/v_croire_1.webp</t>
  </si>
  <si>
    <t>https://raw.githubusercontent.com/olaf-programmeur/images/main/v_croire_2.webp</t>
  </si>
  <si>
    <t>v_cuire</t>
  </si>
  <si>
    <t>cuire</t>
  </si>
  <si>
    <t>Faire chauffer un aliment pour le rendre mangeable.</t>
  </si>
  <si>
    <t>https://raw.githubusercontent.com/olaf-programmeur/images/main/v_cuire.webp</t>
  </si>
  <si>
    <t>https://raw.githubusercontent.com/olaf-programmeur/images/main/v_cuire_1.webp</t>
  </si>
  <si>
    <t>https://raw.githubusercontent.com/olaf-programmeur/images/main/v_cuire_2.webp</t>
  </si>
  <si>
    <t>https://raw.githubusercontent.com/olaf-programmeur/images/main/v_cuire_3.webp</t>
  </si>
  <si>
    <t>https://raw.githubusercontent.com/olaf-programmeur/images/main/v_cuire_4.webp</t>
  </si>
  <si>
    <t>d_abord</t>
  </si>
  <si>
    <t>d'abord</t>
  </si>
  <si>
    <t>En premier, avant tout le reste.</t>
  </si>
  <si>
    <t>https://raw.githubusercontent.com/olaf-programmeur/images/main/d_abord.webp</t>
  </si>
  <si>
    <t>https://raw.githubusercontent.com/olaf-programmeur/images/main/connecteurs_temps.webp</t>
  </si>
  <si>
    <t>https://raw.githubusercontent.com/olaf-programmeur/images/main/connecteurs_temps_1.webp</t>
  </si>
  <si>
    <t>https://raw.githubusercontent.com/olaf-programmeur/images/main/connecteurs_temps_2.webp</t>
  </si>
  <si>
    <t>damien_lagger</t>
  </si>
  <si>
    <t>Damien Lagger</t>
  </si>
  <si>
    <t>Damien Lagger est une personnalité bien connue de la région valaisanne, certainement liée au monde musical ou à la vie associative locale.</t>
  </si>
  <si>
    <t>https://raw.githubusercontent.com/olaf-programmeur/images/main/damien_lagger.webp</t>
  </si>
  <si>
    <t>dangereux</t>
  </si>
  <si>
    <t>Qui peut causer du mal.</t>
  </si>
  <si>
    <t>https://raw.githubusercontent.com/olaf-programmeur/images/main/dangereux.webp</t>
  </si>
  <si>
    <t>https://raw.githubusercontent.com/olaf-programmeur/images/main/dangereux_1.webp</t>
  </si>
  <si>
    <t>https://raw.githubusercontent.com/olaf-programmeur/images/main/dangereux_2.webp</t>
  </si>
  <si>
    <t>https://raw.githubusercontent.com/olaf-programmeur/images/main/leopard.webp</t>
  </si>
  <si>
    <t>v_danser</t>
  </si>
  <si>
    <t>danser</t>
  </si>
  <si>
    <t>Bouger son corps en rythme avec la musique.</t>
  </si>
  <si>
    <t>https://raw.githubusercontent.com/olaf-programmeur/images/main/v_danser.webp</t>
  </si>
  <si>
    <t>https://raw.githubusercontent.com/olaf-programmeur/images/main/v_danser_1.webp</t>
  </si>
  <si>
    <t>https://raw.githubusercontent.com/olaf-programmeur/images/main/v_danser_2.webp</t>
  </si>
  <si>
    <t>https://raw.githubusercontent.com/olaf-programmeur/images/main/v_danser_3.webp</t>
  </si>
  <si>
    <t>https://raw.githubusercontent.com/olaf-programmeur/images/main/v_danser_4.webp</t>
  </si>
  <si>
    <t>v_decider</t>
  </si>
  <si>
    <t>décider</t>
  </si>
  <si>
    <t>Choisir ce que l'on va faire.</t>
  </si>
  <si>
    <t>https://raw.githubusercontent.com/olaf-programmeur/images/main/v_decider.webp</t>
  </si>
  <si>
    <t>https://raw.githubusercontent.com/olaf-programmeur/images/main/v_decider_1.webp</t>
  </si>
  <si>
    <t>https://raw.githubusercontent.com/olaf-programmeur/images/main/v_decider_2.webp</t>
  </si>
  <si>
    <t>https://raw.githubusercontent.com/olaf-programmeur/images/main/v_decider_3.webp</t>
  </si>
  <si>
    <t>https://raw.githubusercontent.com/olaf-programmeur/images/main/v_decider_4.webp</t>
  </si>
  <si>
    <t>dedans</t>
  </si>
  <si>
    <t>À l'intérieur.</t>
  </si>
  <si>
    <t>https://raw.githubusercontent.com/olaf-programmeur/images/main/dedans.webp</t>
  </si>
  <si>
    <t>https://raw.githubusercontent.com/olaf-programmeur/images/main/dedans_1.webp</t>
  </si>
  <si>
    <t>https://raw.githubusercontent.com/olaf-programmeur/images/main/dedans_2.webp</t>
  </si>
  <si>
    <t>dehors</t>
  </si>
  <si>
    <t>À l'extérieur.</t>
  </si>
  <si>
    <t>https://raw.githubusercontent.com/olaf-programmeur/images/main/dehors.webp</t>
  </si>
  <si>
    <t>https://raw.githubusercontent.com/olaf-programmeur/images/main/dehors_1.webp</t>
  </si>
  <si>
    <t>deja</t>
  </si>
  <si>
    <t>déjà</t>
  </si>
  <si>
    <t>Avant le moment dont on parle.</t>
  </si>
  <si>
    <t>https://raw.githubusercontent.com/olaf-programmeur/images/main/deja.webp</t>
  </si>
  <si>
    <t>https://raw.githubusercontent.com/olaf-programmeur/images/main/deja_1.webp</t>
  </si>
  <si>
    <t>v_demander</t>
  </si>
  <si>
    <t>demander</t>
  </si>
  <si>
    <t>Dire que l'on veut quelque chose ou poser une question.</t>
  </si>
  <si>
    <t>https://raw.githubusercontent.com/olaf-programmeur/images/main/v_demander.webp</t>
  </si>
  <si>
    <t>https://raw.githubusercontent.com/olaf-programmeur/images/main/v_demander_1.webp</t>
  </si>
  <si>
    <t>https://raw.githubusercontent.com/olaf-programmeur/images/main/v_demander_2.webp</t>
  </si>
  <si>
    <t>https://raw.githubusercontent.com/olaf-programmeur/images/main/v_demander_3.webp</t>
  </si>
  <si>
    <t>v_descendre</t>
  </si>
  <si>
    <t>descendre</t>
  </si>
  <si>
    <t>Aller vers le bas.</t>
  </si>
  <si>
    <t>https://raw.githubusercontent.com/olaf-programmeur/images/main/v_descendre.webp</t>
  </si>
  <si>
    <t>https://raw.githubusercontent.com/olaf-programmeur/images/main/v_descendre_1.webp</t>
  </si>
  <si>
    <t>https://raw.githubusercontent.com/olaf-programmeur/images/main/v_descendre_2.webp</t>
  </si>
  <si>
    <t>https://raw.githubusercontent.com/olaf-programmeur/images/main/v_descendre_3.webp</t>
  </si>
  <si>
    <t>https://raw.githubusercontent.com/olaf-programmeur/images/main/v_descendre_4.webp</t>
  </si>
  <si>
    <t>v_deviner</t>
  </si>
  <si>
    <t>deviner</t>
  </si>
  <si>
    <t>Trouver une réponse sans être sûr.</t>
  </si>
  <si>
    <t>https://raw.githubusercontent.com/olaf-programmeur/images/main/v_deviner.webp</t>
  </si>
  <si>
    <t>https://raw.githubusercontent.com/olaf-programmeur/images/main/v_deviner_1.webp</t>
  </si>
  <si>
    <t>différent</t>
  </si>
  <si>
    <t>Qui n'est pas pareil.</t>
  </si>
  <si>
    <t>https://raw.githubusercontent.com/olaf-programmeur/images/main/pareil_different.webp</t>
  </si>
  <si>
    <t>https://raw.githubusercontent.com/olaf-programmeur/images/main/pareil_different_1.webp</t>
  </si>
  <si>
    <t>v_dire</t>
  </si>
  <si>
    <t>dire</t>
  </si>
  <si>
    <t>Exprimer quelque chose avec des mots.</t>
  </si>
  <si>
    <t>https://raw.githubusercontent.com/olaf-programmeur/images/main/v_dire.webp</t>
  </si>
  <si>
    <t>https://raw.githubusercontent.com/olaf-programmeur/images/main/v_dire_1.webp</t>
  </si>
  <si>
    <t>disponible</t>
  </si>
  <si>
    <t>Qui est libre, que l'on peut utiliser. Personne qui est libre et qui a du temps pour aider les autres.</t>
  </si>
  <si>
    <t>https://raw.githubusercontent.com/olaf-programmeur/images/main/disponible.webp</t>
  </si>
  <si>
    <t>https://raw.githubusercontent.com/olaf-programmeur/images/main/disponible_1.webp</t>
  </si>
  <si>
    <t>domestique</t>
  </si>
  <si>
    <t>Qui vit près des humains, comme le chien ou le chat.</t>
  </si>
  <si>
    <t>https://raw.githubusercontent.com/olaf-programmeur/images/main/domestique_sauvage.webp</t>
  </si>
  <si>
    <t>v_donner</t>
  </si>
  <si>
    <t>donner</t>
  </si>
  <si>
    <t>Offrir quelque chose à quelqu'un.</t>
  </si>
  <si>
    <t>https://raw.githubusercontent.com/olaf-programmeur/images/main/v_donner.webp</t>
  </si>
  <si>
    <t>https://raw.githubusercontent.com/olaf-programmeur/images/main/v_donner_1.webp</t>
  </si>
  <si>
    <t>https://raw.githubusercontent.com/olaf-programmeur/images/main/v_donner_2.webp</t>
  </si>
  <si>
    <t>v_dormir</t>
  </si>
  <si>
    <t>dormir</t>
  </si>
  <si>
    <t>Fermer les yeux et se reposer pendant la nuit ou pendant la journée (le jour).</t>
  </si>
  <si>
    <t>https://raw.githubusercontent.com/olaf-programmeur/images/main/v_dormir.webp</t>
  </si>
  <si>
    <t>https://raw.githubusercontent.com/olaf-programmeur/images/main/v_dormir_1.webp</t>
  </si>
  <si>
    <t>https://raw.githubusercontent.com/olaf-programmeur/images/main/v_dormir_2.webp</t>
  </si>
  <si>
    <t>https://raw.githubusercontent.com/olaf-programmeur/images/main/v_dormir_3.webp</t>
  </si>
  <si>
    <t>https://raw.githubusercontent.com/olaf-programmeur/images/main/v_dormir_4.webp</t>
  </si>
  <si>
    <t>douce</t>
  </si>
  <si>
    <t>doux - douce</t>
  </si>
  <si>
    <t>Qui est agréable au toucher ou au goût. Se dit pour un geste que l'on fait envers une autre personne.</t>
  </si>
  <si>
    <t>https://raw.githubusercontent.com/olaf-programmeur/images/main/doux.webp</t>
  </si>
  <si>
    <t>https://raw.githubusercontent.com/olaf-programmeur/images/main/doux_1.webp</t>
  </si>
  <si>
    <t>https://raw.githubusercontent.com/olaf-programmeur/images/main/doux_2.webp</t>
  </si>
  <si>
    <t>https://raw.githubusercontent.com/olaf-programmeur/images/main/doux_3.webp</t>
  </si>
  <si>
    <t>doucement</t>
  </si>
  <si>
    <t>Sans force et sans bruit, calmement et avec délicatesse.</t>
  </si>
  <si>
    <t>https://raw.githubusercontent.com/olaf-programmeur/images/main/doucement.webp</t>
  </si>
  <si>
    <t>https://raw.githubusercontent.com/olaf-programmeur/images/main/doucement_1.webp</t>
  </si>
  <si>
    <t>https://raw.githubusercontent.com/olaf-programmeur/images/main/doucement_2.webp</t>
  </si>
  <si>
    <t>https://raw.githubusercontent.com/olaf-programmeur/images/main/doucement_3.webp</t>
  </si>
  <si>
    <t>v_douter</t>
  </si>
  <si>
    <t>douter</t>
  </si>
  <si>
    <t>Ne pas être sûr de quelque chose.</t>
  </si>
  <si>
    <t>https://raw.githubusercontent.com/olaf-programmeur/images/main/v_douter.webp</t>
  </si>
  <si>
    <t>https://raw.githubusercontent.com/olaf-programmeur/images/main/v_douter_1.webp</t>
  </si>
  <si>
    <t>v_ecouter</t>
  </si>
  <si>
    <t>écouter</t>
  </si>
  <si>
    <t>Faire attention aux sons que l'on entend.</t>
  </si>
  <si>
    <t>https://raw.githubusercontent.com/olaf-programmeur/images/main/v_ecouter.webp</t>
  </si>
  <si>
    <t>https://raw.githubusercontent.com/olaf-programmeur/images/main/v_ecouter_1.webp</t>
  </si>
  <si>
    <t>https://raw.githubusercontent.com/olaf-programmeur/images/main/v_ecouter_2.webp</t>
  </si>
  <si>
    <t>https://raw.githubusercontent.com/olaf-programmeur/images/main/v_ecouter_3.webp</t>
  </si>
  <si>
    <t>https://raw.githubusercontent.com/olaf-programmeur/images/main/v_ecouter_4.webp</t>
  </si>
  <si>
    <t>v_ecrire</t>
  </si>
  <si>
    <t>écrire</t>
  </si>
  <si>
    <t>Tracer des mots avec un crayon ou un stylo.</t>
  </si>
  <si>
    <t>https://raw.githubusercontent.com/olaf-programmeur/images/main/v_ecrire.webp</t>
  </si>
  <si>
    <t>https://raw.githubusercontent.com/olaf-programmeur/images/main/v_ecrire_1.webp</t>
  </si>
  <si>
    <t>https://raw.githubusercontent.com/olaf-programmeur/images/main/v_ecrire_2.webp</t>
  </si>
  <si>
    <t>https://raw.githubusercontent.com/olaf-programmeur/images/main/v_ecrire_3.webp</t>
  </si>
  <si>
    <t>https://raw.githubusercontent.com/olaf-programmeur/images/main/v_ecrire_4.webp</t>
  </si>
  <si>
    <t>a_electrique</t>
  </si>
  <si>
    <t>électrique</t>
  </si>
  <si>
    <t>Qui marche grâce à l'électricité.</t>
  </si>
  <si>
    <t>https://raw.githubusercontent.com/olaf-programmeur/images/main/a_electrique.webp</t>
  </si>
  <si>
    <t>https://raw.githubusercontent.com/olaf-programmeur/images/main/a_electrique_1.webp</t>
  </si>
  <si>
    <t>https://raw.githubusercontent.com/olaf-programmeur/images/main/a_electrique_2.webp</t>
  </si>
  <si>
    <t>https://raw.githubusercontent.com/olaf-programmeur/images/main/a_electrique_3.webp</t>
  </si>
  <si>
    <t>https://raw.githubusercontent.com/olaf-programmeur/images/main/a_electrique_4.webp</t>
  </si>
  <si>
    <t>a_eleve</t>
  </si>
  <si>
    <t>élevé</t>
  </si>
  <si>
    <t>Qui est placé en hauteur  ++  Qui est haut ou grand</t>
  </si>
  <si>
    <t>https://raw.githubusercontent.com/olaf-programmeur/images/main/a_eleve.webp</t>
  </si>
  <si>
    <t>https://raw.githubusercontent.com/olaf-programmeur/images/main/a_eleve_1.webp</t>
  </si>
  <si>
    <t>encore</t>
  </si>
  <si>
    <t>De nouveau, une fois de plus.</t>
  </si>
  <si>
    <t>https://raw.githubusercontent.com/olaf-programmeur/images/main/encore.webp</t>
  </si>
  <si>
    <t>enfin</t>
  </si>
  <si>
    <t>En dernier, après avoir attendu.</t>
  </si>
  <si>
    <t>a_enflamme</t>
  </si>
  <si>
    <t>enflammé</t>
  </si>
  <si>
    <t>Qui est rouge et chaud à cause d'un mal.</t>
  </si>
  <si>
    <t>https://raw.githubusercontent.com/olaf-programmeur/images/main/a_enflamme.webp</t>
  </si>
  <si>
    <t>https://raw.githubusercontent.com/olaf-programmeur/images/main/a_enflamme_1.webp</t>
  </si>
  <si>
    <t>https://raw.githubusercontent.com/olaf-programmeur/images/main/a_enflamme_2.webp</t>
  </si>
  <si>
    <t>ensemble</t>
  </si>
  <si>
    <t>Un avec l'autre  ++  en groupe  ++  à plusieurs</t>
  </si>
  <si>
    <t>https://raw.githubusercontent.com/olaf-programmeur/images/main/ensemble.webp</t>
  </si>
  <si>
    <t>https://raw.githubusercontent.com/olaf-programmeur/images/main/ensemble_1.webp</t>
  </si>
  <si>
    <t>ensuite</t>
  </si>
  <si>
    <t>Après, à la suite.</t>
  </si>
  <si>
    <t>v_entendre</t>
  </si>
  <si>
    <t>entendre</t>
  </si>
  <si>
    <t>Percevoir un son avec ses oreilles.</t>
  </si>
  <si>
    <t>https://raw.githubusercontent.com/olaf-programmeur/images/main/v_entendre.webp</t>
  </si>
  <si>
    <t>https://raw.githubusercontent.com/olaf-programmeur/images/main/v_entendre_1.webp</t>
  </si>
  <si>
    <t>entier</t>
  </si>
  <si>
    <t>Qui est complet, dont rien ne manque.</t>
  </si>
  <si>
    <t>https://raw.githubusercontent.com/olaf-programmeur/images/main/entier.webp</t>
  </si>
  <si>
    <t>v_entrer</t>
  </si>
  <si>
    <t>entrer</t>
  </si>
  <si>
    <t>Aller à l'intérieur d'un endroit.</t>
  </si>
  <si>
    <t>https://raw.githubusercontent.com/olaf-programmeur/images/main/v_entrer.webp</t>
  </si>
  <si>
    <t>https://raw.githubusercontent.com/olaf-programmeur/images/main/v_entrer_1.webp</t>
  </si>
  <si>
    <t>https://raw.githubusercontent.com/olaf-programmeur/images/main/v_entrer_2.webp</t>
  </si>
  <si>
    <t>https://raw.githubusercontent.com/olaf-programmeur/images/main/v_entrer_3.webp</t>
  </si>
  <si>
    <t>environ</t>
  </si>
  <si>
    <t>À peu près, pas exactement.</t>
  </si>
  <si>
    <t>a_equitable</t>
  </si>
  <si>
    <t>équitable</t>
  </si>
  <si>
    <t>Qui est juste pour tout le monde.</t>
  </si>
  <si>
    <t>https://raw.githubusercontent.com/olaf-programmeur/images/main/a_equitable.webp</t>
  </si>
  <si>
    <t>v_essayer</t>
  </si>
  <si>
    <t>essayer</t>
  </si>
  <si>
    <t>Mettre un vêtement pour voir s'il me va. Mettre une paire de chaussure pour vérifier que c'est la bonne grandeur: Faire un effort pour réussir quelque chose.</t>
  </si>
  <si>
    <t>https://raw.githubusercontent.com/olaf-programmeur/images/main/v_essayer.webp</t>
  </si>
  <si>
    <t>https://raw.githubusercontent.com/olaf-programmeur/images/main/v_essayer_1.webp</t>
  </si>
  <si>
    <t>https://raw.githubusercontent.com/olaf-programmeur/images/main/v_essayer_2.webp</t>
  </si>
  <si>
    <t>exact</t>
  </si>
  <si>
    <t>Qui est juste, sans aucune erreur.</t>
  </si>
  <si>
    <t>v_expliquer</t>
  </si>
  <si>
    <t>expliquer</t>
  </si>
  <si>
    <t>Faire comprendre quelque chose avec des mots.</t>
  </si>
  <si>
    <t>https://raw.githubusercontent.com/olaf-programmeur/images/main/v_expliquer.webp</t>
  </si>
  <si>
    <t>expres</t>
  </si>
  <si>
    <t>exprès</t>
  </si>
  <si>
    <t>Volontairement, en le faisant exprès.</t>
  </si>
  <si>
    <t>exterieur</t>
  </si>
  <si>
    <t>extérieur</t>
  </si>
  <si>
    <t>https://raw.githubusercontent.com/olaf-programmeur/images/main/interieur.webp</t>
  </si>
  <si>
    <t>v_faire</t>
  </si>
  <si>
    <t>faire</t>
  </si>
  <si>
    <t>Agir, fabriquer ou réaliser quelque chose.</t>
  </si>
  <si>
    <t>https://raw.githubusercontent.com/olaf-programmeur/images/main/v_faire.webp</t>
  </si>
  <si>
    <t>a_fatigue</t>
  </si>
  <si>
    <t>fatigué</t>
  </si>
  <si>
    <t>Qui a besoin de se reposer.</t>
  </si>
  <si>
    <t>https://raw.githubusercontent.com/olaf-programmeur/images/main/a_fatigue.webp</t>
  </si>
  <si>
    <t>https://raw.githubusercontent.com/olaf-programmeur/images/main/a_fatigue_1.webp</t>
  </si>
  <si>
    <t>https://raw.githubusercontent.com/olaf-programmeur/images/main/a_fatigue_2.webp</t>
  </si>
  <si>
    <t>https://raw.githubusercontent.com/olaf-programmeur/images/main/a_fatigue_3.webp</t>
  </si>
  <si>
    <t>https://raw.githubusercontent.com/olaf-programmeur/images/main/a_fatigue_4.webp</t>
  </si>
  <si>
    <t>v_feliciter</t>
  </si>
  <si>
    <t>féliciter</t>
  </si>
  <si>
    <t>Dire "Bravo" à quelqu'un, reconnaître que son travail ou sa prestation est bien.</t>
  </si>
  <si>
    <t>https://raw.githubusercontent.com/olaf-programmeur/images/main/v_feliciter.webp</t>
  </si>
  <si>
    <t>https://raw.githubusercontent.com/olaf-programmeur/images/main/v_feliciter_1.webp</t>
  </si>
  <si>
    <t>https://raw.githubusercontent.com/olaf-programmeur/images/main/v_feliciter_2.webp</t>
  </si>
  <si>
    <t>https://raw.githubusercontent.com/olaf-programmeur/images/main/v_feliciter_3.webp</t>
  </si>
  <si>
    <t>https://raw.githubusercontent.com/olaf-programmeur/images/main/v_feliciter_4.webp</t>
  </si>
  <si>
    <t>feminin</t>
  </si>
  <si>
    <t>féminin</t>
  </si>
  <si>
    <t>Qui est du côté des filles et des femmes.</t>
  </si>
  <si>
    <t>https://raw.githubusercontent.com/olaf-programmeur/images/main/feminin.webp</t>
  </si>
  <si>
    <t>v_fermer</t>
  </si>
  <si>
    <t>fermer</t>
  </si>
  <si>
    <t>Pousser la porte, la fenêtre jusqu'à ce qu'il n'y a plus d'ouverture.</t>
  </si>
  <si>
    <t>https://raw.githubusercontent.com/olaf-programmeur/images/main/v_fermer.webp</t>
  </si>
  <si>
    <t>https://raw.githubusercontent.com/olaf-programmeur/images/main/v_fermer_1.webp</t>
  </si>
  <si>
    <t>https://raw.githubusercontent.com/olaf-programmeur/images/main/v_fermer_2.webp</t>
  </si>
  <si>
    <t>https://raw.githubusercontent.com/olaf-programmeur/images/main/v_fermer_3.webp</t>
  </si>
  <si>
    <t>v_finir</t>
  </si>
  <si>
    <t>finir</t>
  </si>
  <si>
    <t>Arriver à la fin de quelque chose.</t>
  </si>
  <si>
    <t>https://raw.githubusercontent.com/olaf-programmeur/images/main/v_finir.webp</t>
  </si>
  <si>
    <t>a_frais</t>
  </si>
  <si>
    <t>frais - fraîche</t>
  </si>
  <si>
    <t>Légèrement froid et agréable.</t>
  </si>
  <si>
    <t>https://raw.githubusercontent.com/olaf-programmeur/images/main/a_frais.webp</t>
  </si>
  <si>
    <t>https://raw.githubusercontent.com/olaf-programmeur/images/main/a_frais_1.webp</t>
  </si>
  <si>
    <t>v_frapper</t>
  </si>
  <si>
    <t>frapper</t>
  </si>
  <si>
    <t>Donner un coup.</t>
  </si>
  <si>
    <t>https://raw.githubusercontent.com/olaf-programmeur/images/main/v_frapper.webp</t>
  </si>
  <si>
    <t>https://raw.githubusercontent.com/olaf-programmeur/images/main/v_frapper_1.webp</t>
  </si>
  <si>
    <t>https://raw.githubusercontent.com/olaf-programmeur/images/main/v_frapper_2.webp</t>
  </si>
  <si>
    <t>https://raw.githubusercontent.com/olaf-programmeur/images/main/v_frapper_3.webp</t>
  </si>
  <si>
    <t>https://raw.githubusercontent.com/olaf-programmeur/images/main/v_frapper_4.webp</t>
  </si>
  <si>
    <t>v_gagner</t>
  </si>
  <si>
    <t>gagner</t>
  </si>
  <si>
    <t>Obtenir de l'argent, ou être le premier dans un concours, une compétition.</t>
  </si>
  <si>
    <t>https://raw.githubusercontent.com/olaf-programmeur/images/main/v_gagner.webp</t>
  </si>
  <si>
    <t>https://raw.githubusercontent.com/olaf-programmeur/images/main/v_gagner_1.webp</t>
  </si>
  <si>
    <t>https://raw.githubusercontent.com/olaf-programmeur/images/main/v_gagner_2.webp</t>
  </si>
  <si>
    <t>https://raw.githubusercontent.com/olaf-programmeur/images/main/v_gagner_3.webp</t>
  </si>
  <si>
    <t>https://raw.githubusercontent.com/olaf-programmeur/images/main/v_gagner_4.webp</t>
  </si>
  <si>
    <t>gautier_m</t>
  </si>
  <si>
    <t>Gauthier Moulin</t>
  </si>
  <si>
    <t>Gauthier Moulin, conseiller communal de Conthey.</t>
  </si>
  <si>
    <t>https://raw.githubusercontent.com/olaf-programmeur/images/main/gauthier_m.webp</t>
  </si>
  <si>
    <t>gentiment</t>
  </si>
  <si>
    <t>D'une façon aimable.</t>
  </si>
  <si>
    <t>v_gouter</t>
  </si>
  <si>
    <t>goûter</t>
  </si>
  <si>
    <t>Manger un peu de tout pour sentir le goût et voir si c'est bon. On dit goûter le plat. On dit aussi goûter du vin.</t>
  </si>
  <si>
    <t>https://raw.githubusercontent.com/olaf-programmeur/images/main/v_gouter.webp</t>
  </si>
  <si>
    <t>https://raw.githubusercontent.com/olaf-programmeur/images/main/v_gouter_1.webp</t>
  </si>
  <si>
    <t>https://raw.githubusercontent.com/olaf-programmeur/images/main/v_gouter_2.webp</t>
  </si>
  <si>
    <t>https://raw.githubusercontent.com/olaf-programmeur/images/main/v_gouter_3.webp</t>
  </si>
  <si>
    <t>https://raw.githubusercontent.com/olaf-programmeur/images/main/v_gouter_4.webp</t>
  </si>
  <si>
    <t>grand_maman_leontine</t>
  </si>
  <si>
    <t>grand-maman Léontine</t>
  </si>
  <si>
    <t>C'est la maman de maman, Germaine et de l'oncle Bernard, l'oncle Marcel, l'oncle Albert et de tante Madeleine ++ son mari s'appelait Maurcice.</t>
  </si>
  <si>
    <t>https://raw.githubusercontent.com/olaf-programmeur/images/main/grand_maman_leontine.webp</t>
  </si>
  <si>
    <t>gras</t>
  </si>
  <si>
    <t>gras - grasse</t>
  </si>
  <si>
    <t>Qui contient de la graisse.</t>
  </si>
  <si>
    <t>https://raw.githubusercontent.com/olaf-programmeur/images/main/graisse.webp</t>
  </si>
  <si>
    <t>https://raw.githubusercontent.com/olaf-programmeur/images/main/graisse_1.webp</t>
  </si>
  <si>
    <t>gratuit</t>
  </si>
  <si>
    <t>Qui ne coûte pas d'argent.</t>
  </si>
  <si>
    <t>https://raw.githubusercontent.com/olaf-programmeur/images/main/gratuit.webp</t>
  </si>
  <si>
    <t>a_habituel</t>
  </si>
  <si>
    <t>habituel</t>
  </si>
  <si>
    <t>Qui se passe d'habitude, comme tous les jours.</t>
  </si>
  <si>
    <t>heureux</t>
  </si>
  <si>
    <t>Qui ressent de la joie, qui est content.</t>
  </si>
  <si>
    <t>a_humain</t>
  </si>
  <si>
    <t>humain</t>
  </si>
  <si>
    <t>Qui concerne les hommes et les femmes.</t>
  </si>
  <si>
    <t>https://raw.githubusercontent.com/olaf-programmeur/images/main/humain.webp</t>
  </si>
  <si>
    <t>ici</t>
  </si>
  <si>
    <t>À l'endroit où l'on se trouve.</t>
  </si>
  <si>
    <t>https://raw.githubusercontent.com/olaf-programmeur/images/main/ici.webp</t>
  </si>
  <si>
    <t>https://raw.githubusercontent.com/olaf-programmeur/images/main/ici_1.webp</t>
  </si>
  <si>
    <t>https://raw.githubusercontent.com/olaf-programmeur/images/main/ici_2.webp</t>
  </si>
  <si>
    <t>https://raw.githubusercontent.com/olaf-programmeur/images/main/ici_3.webp</t>
  </si>
  <si>
    <t>v_imaginer</t>
  </si>
  <si>
    <t>imaginer</t>
  </si>
  <si>
    <t>Voir une chose dans sa tête, l'inventer  ++  rêver en étant éveillé</t>
  </si>
  <si>
    <t>https://raw.githubusercontent.com/olaf-programmeur/images/main/v_imaginer.webp</t>
  </si>
  <si>
    <t>https://raw.githubusercontent.com/olaf-programmeur/images/main/v_imaginer_1.webp</t>
  </si>
  <si>
    <t>a_important</t>
  </si>
  <si>
    <t>important</t>
  </si>
  <si>
    <t>Qui compte beaucoup.</t>
  </si>
  <si>
    <t>https://raw.githubusercontent.com/olaf-programmeur/images/main/a_important.webp</t>
  </si>
  <si>
    <t>https://raw.githubusercontent.com/olaf-programmeur/images/main/a_important_1.webp</t>
  </si>
  <si>
    <t>interieur</t>
  </si>
  <si>
    <t>intérieur</t>
  </si>
  <si>
    <t>Qui est en dedans, à l'intérieur.</t>
  </si>
  <si>
    <t>invisible</t>
  </si>
  <si>
    <t>Qui ne peut pas être vu.</t>
  </si>
  <si>
    <t>https://raw.githubusercontent.com/olaf-programmeur/images/main/invisible.webp</t>
  </si>
  <si>
    <t>irrite</t>
  </si>
  <si>
    <t>irrité</t>
  </si>
  <si>
    <t>Qui est un peu enflammé et fait mal, comme une gorge.</t>
  </si>
  <si>
    <t>https://raw.githubusercontent.com/olaf-programmeur/images/main/irrite.webp</t>
  </si>
  <si>
    <t>v_jeter</t>
  </si>
  <si>
    <t>jeter</t>
  </si>
  <si>
    <t>Envoyer une chose au loin. Mettre quelque chose à la poubelle.</t>
  </si>
  <si>
    <t>https://raw.githubusercontent.com/olaf-programmeur/images/main/v_jeter.webp</t>
  </si>
  <si>
    <t>https://raw.githubusercontent.com/olaf-programmeur/images/main/v_jeter_1.webp</t>
  </si>
  <si>
    <t>https://raw.githubusercontent.com/olaf-programmeur/images/main/v_jeter_2.webp</t>
  </si>
  <si>
    <t>v_jouer</t>
  </si>
  <si>
    <t>jouer</t>
  </si>
  <si>
    <t>S'amuser, seul ou avec d'autres.</t>
  </si>
  <si>
    <t>https://raw.githubusercontent.com/olaf-programmeur/images/main/v_jouer.webp</t>
  </si>
  <si>
    <t>https://raw.githubusercontent.com/olaf-programmeur/images/main/v_jouer_1.webp</t>
  </si>
  <si>
    <t>https://raw.githubusercontent.com/olaf-programmeur/images/main/v_jouer_2.webp</t>
  </si>
  <si>
    <t>https://raw.githubusercontent.com/olaf-programmeur/images/main/v_jouer_3.webp</t>
  </si>
  <si>
    <t>https://raw.githubusercontent.com/olaf-programmeur/images/main/v_jouer_4.webp</t>
  </si>
  <si>
    <t>joyeux</t>
  </si>
  <si>
    <t>Qui est plein de gaieté.</t>
  </si>
  <si>
    <t>juste</t>
  </si>
  <si>
    <t>Qui est correct, ou qui respecte ce qui est équitable.</t>
  </si>
  <si>
    <t>juste = correct = exact</t>
  </si>
  <si>
    <t>la</t>
  </si>
  <si>
    <t>là</t>
  </si>
  <si>
    <t>À cet endroit, pas loin.</t>
  </si>
  <si>
    <t>https://raw.githubusercontent.com/olaf-programmeur/images/main/la.webp</t>
  </si>
  <si>
    <t>bagarre</t>
  </si>
  <si>
    <t>la bagarre</t>
  </si>
  <si>
    <t>La bataille où l'on se donne des coups.</t>
  </si>
  <si>
    <t>https://raw.githubusercontent.com/olaf-programmeur/images/main/bagarre.webp</t>
  </si>
  <si>
    <t>https://raw.githubusercontent.com/olaf-programmeur/images/main/bagarre_1.webp</t>
  </si>
  <si>
    <t>https://raw.githubusercontent.com/olaf-programmeur/images/main/bagarre_2.webp</t>
  </si>
  <si>
    <t>https://raw.githubusercontent.com/olaf-programmeur/images/main/bagarre_3.webp</t>
  </si>
  <si>
    <t>https://raw.githubusercontent.com/olaf-programmeur/images/main/bagarre_4.webp</t>
  </si>
  <si>
    <t>balance</t>
  </si>
  <si>
    <t>la balance</t>
  </si>
  <si>
    <t>L'objet qui sert à peser les choses.</t>
  </si>
  <si>
    <t>https://raw.githubusercontent.com/olaf-programmeur/images/main/balance.webp</t>
  </si>
  <si>
    <t>https://raw.githubusercontent.com/olaf-programmeur/images/main/balance_1.webp</t>
  </si>
  <si>
    <t>https://raw.githubusercontent.com/olaf-programmeur/images/main/balance_2.webp</t>
  </si>
  <si>
    <t>https://raw.githubusercontent.com/olaf-programmeur/images/main/balance_3.webp</t>
  </si>
  <si>
    <t>https://raw.githubusercontent.com/olaf-programmeur/images/main/balance_4.webp</t>
  </si>
  <si>
    <t>balle</t>
  </si>
  <si>
    <t>la balle</t>
  </si>
  <si>
    <t>La petite boule avec laquelle on joue.</t>
  </si>
  <si>
    <t>https://raw.githubusercontent.com/olaf-programmeur/images/main/balle.webp</t>
  </si>
  <si>
    <t>https://raw.githubusercontent.com/olaf-programmeur/images/main/balle_1.webp</t>
  </si>
  <si>
    <t>https://raw.githubusercontent.com/olaf-programmeur/images/main/balle_2.webp</t>
  </si>
  <si>
    <t>https://raw.githubusercontent.com/olaf-programmeur/images/main/balle_3.webp</t>
  </si>
  <si>
    <t>https://raw.githubusercontent.com/olaf-programmeur/images/main/balle_4.webp</t>
  </si>
  <si>
    <t>bande</t>
  </si>
  <si>
    <t>la bande</t>
  </si>
  <si>
    <t>Un long morceau étroit, ou un groupe de personnes.</t>
  </si>
  <si>
    <t>https://raw.githubusercontent.com/olaf-programmeur/images/main/bande.webp</t>
  </si>
  <si>
    <t>https://raw.githubusercontent.com/olaf-programmeur/images/main/bande_1.webp</t>
  </si>
  <si>
    <t>https://raw.githubusercontent.com/olaf-programmeur/images/main/bande_2.webp</t>
  </si>
  <si>
    <t>https://raw.githubusercontent.com/olaf-programmeur/images/main/bande_3.webp</t>
  </si>
  <si>
    <t>https://raw.githubusercontent.com/olaf-programmeur/images/main/bande_4.webp</t>
  </si>
  <si>
    <t>bataille</t>
  </si>
  <si>
    <t>la bataille</t>
  </si>
  <si>
    <t>Le combat entre deux groupes.</t>
  </si>
  <si>
    <t>https://raw.githubusercontent.com/olaf-programmeur/images/main/bataille.webp</t>
  </si>
  <si>
    <t>https://raw.githubusercontent.com/olaf-programmeur/images/main/bataille_1.webp</t>
  </si>
  <si>
    <t>https://raw.githubusercontent.com/olaf-programmeur/images/main/bataille_2.webp</t>
  </si>
  <si>
    <t>https://raw.githubusercontent.com/olaf-programmeur/images/main/bataille_3.webp</t>
  </si>
  <si>
    <t>bibliotheque</t>
  </si>
  <si>
    <t>la bibliothèque</t>
  </si>
  <si>
    <t>L'endroit où l'on emprunte et où on peut lire des livres. Meuble où on range les livres</t>
  </si>
  <si>
    <t>https://raw.githubusercontent.com/olaf-programmeur/images/main/bibliotheque.webp</t>
  </si>
  <si>
    <t>https://raw.githubusercontent.com/olaf-programmeur/images/main/bibliotheque_1.webp</t>
  </si>
  <si>
    <t>https://raw.githubusercontent.com/olaf-programmeur/images/main/bibliotheque_2.webp</t>
  </si>
  <si>
    <t>https://raw.githubusercontent.com/olaf-programmeur/images/main/bibliotheque_3.webp</t>
  </si>
  <si>
    <t>https://raw.githubusercontent.com/olaf-programmeur/images/main/bibliotheque_4.webp</t>
  </si>
  <si>
    <t>blessure</t>
  </si>
  <si>
    <t>la blessure</t>
  </si>
  <si>
    <t>L'endroit du corps qui a été abîmé.</t>
  </si>
  <si>
    <t>https://raw.githubusercontent.com/olaf-programmeur/images/main/blessure.webp</t>
  </si>
  <si>
    <t>https://raw.githubusercontent.com/olaf-programmeur/images/main/blessure_1.webp</t>
  </si>
  <si>
    <t>https://raw.githubusercontent.com/olaf-programmeur/images/main/blessure_2.webp</t>
  </si>
  <si>
    <t>https://raw.githubusercontent.com/olaf-programmeur/images/main/blessure_3.webp</t>
  </si>
  <si>
    <t>https://raw.githubusercontent.com/olaf-programmeur/images/main/blessure_4.webp</t>
  </si>
  <si>
    <t>boite</t>
  </si>
  <si>
    <t>la boîte</t>
  </si>
  <si>
    <t>Le récipient avec un couvercle qui contient quelque chose, qu'on utlise pour ranger des affaires.</t>
  </si>
  <si>
    <t>https://raw.githubusercontent.com/olaf-programmeur/images/main/boite.webp</t>
  </si>
  <si>
    <t>https://raw.githubusercontent.com/olaf-programmeur/images/main/boite_1.webp</t>
  </si>
  <si>
    <t>https://raw.githubusercontent.com/olaf-programmeur/images/main/boite_2.webp</t>
  </si>
  <si>
    <t>https://raw.githubusercontent.com/olaf-programmeur/images/main/boite_3.webp</t>
  </si>
  <si>
    <t>https://raw.githubusercontent.com/olaf-programmeur/images/main/boite_4.webp</t>
  </si>
  <si>
    <t>bougie</t>
  </si>
  <si>
    <t>la bougie</t>
  </si>
  <si>
    <t>Le bâton de cire avec une mèche qui donne de la lumière.</t>
  </si>
  <si>
    <t>https://raw.githubusercontent.com/olaf-programmeur/images/main/bougie.webp</t>
  </si>
  <si>
    <t>https://raw.githubusercontent.com/olaf-programmeur/images/main/bougie_1.webp</t>
  </si>
  <si>
    <t>https://raw.githubusercontent.com/olaf-programmeur/images/main/bougie_2.webp</t>
  </si>
  <si>
    <t>https://raw.githubusercontent.com/olaf-programmeur/images/main/bougie_3.webp</t>
  </si>
  <si>
    <t>https://raw.githubusercontent.com/olaf-programmeur/images/main/bougie_4.webp</t>
  </si>
  <si>
    <t>boule</t>
  </si>
  <si>
    <t>la boule</t>
  </si>
  <si>
    <t>La chose toute ronde.</t>
  </si>
  <si>
    <t>https://raw.githubusercontent.com/olaf-programmeur/images/main/boule.webp</t>
  </si>
  <si>
    <t>https://raw.githubusercontent.com/olaf-programmeur/images/main/boule_1.webp</t>
  </si>
  <si>
    <t>https://raw.githubusercontent.com/olaf-programmeur/images/main/boule_2.webp</t>
  </si>
  <si>
    <t>https://raw.githubusercontent.com/olaf-programmeur/images/main/boule_3.webp</t>
  </si>
  <si>
    <t>https://raw.githubusercontent.com/olaf-programmeur/images/main/boule_4.webp</t>
  </si>
  <si>
    <t>boutique</t>
  </si>
  <si>
    <t>la boutique</t>
  </si>
  <si>
    <t>Une boutique est un petit magasin.</t>
  </si>
  <si>
    <t>https://raw.githubusercontent.com/olaf-programmeur/images/main/boutique.webp</t>
  </si>
  <si>
    <t>https://raw.githubusercontent.com/olaf-programmeur/images/main/boutique_1.webp</t>
  </si>
  <si>
    <t>https://raw.githubusercontent.com/olaf-programmeur/images/main/boutique_2.webp</t>
  </si>
  <si>
    <t>https://raw.githubusercontent.com/olaf-programmeur/images/main/boutique_3.webp</t>
  </si>
  <si>
    <t>brise</t>
  </si>
  <si>
    <t>la brise</t>
  </si>
  <si>
    <t>Le vent léger et agréable.</t>
  </si>
  <si>
    <t>https://raw.githubusercontent.com/olaf-programmeur/images/main/brise.webp</t>
  </si>
  <si>
    <t>caisse_paiement</t>
  </si>
  <si>
    <t>la caisse</t>
  </si>
  <si>
    <t>L'endroit du magasin où l'on paie.</t>
  </si>
  <si>
    <t>https://raw.githubusercontent.com/olaf-programmeur/images/main/caisse_paiement.webp</t>
  </si>
  <si>
    <t>https://raw.githubusercontent.com/olaf-programmeur/images/main/caisse_paiement_1.webp</t>
  </si>
  <si>
    <t>https://raw.githubusercontent.com/olaf-programmeur/images/main/caisse_paiement_2.webp</t>
  </si>
  <si>
    <t>https://raw.githubusercontent.com/olaf-programmeur/images/main/caisse_paiement_3.webp</t>
  </si>
  <si>
    <t>https://raw.githubusercontent.com/olaf-programmeur/images/main/caisse_paiement_4.webp</t>
  </si>
  <si>
    <t>campagne</t>
  </si>
  <si>
    <t>la campagne</t>
  </si>
  <si>
    <t>L'espace en dehors des villes, avec les champs et les fermes.</t>
  </si>
  <si>
    <t>https://raw.githubusercontent.com/olaf-programmeur/images/main/campagne.webp</t>
  </si>
  <si>
    <t>cascade</t>
  </si>
  <si>
    <t>la cascade</t>
  </si>
  <si>
    <t>L'eau qui tombe depuis un rocher. On dit aussi une chute d'eau.</t>
  </si>
  <si>
    <t>https://raw.githubusercontent.com/olaf-programmeur/images/main/cascade.webp</t>
  </si>
  <si>
    <t>https://raw.githubusercontent.com/olaf-programmeur/images/main/cascade_1.webp</t>
  </si>
  <si>
    <t>https://raw.githubusercontent.com/olaf-programmeur/images/main/cascade_2.webp</t>
  </si>
  <si>
    <t>https://raw.githubusercontent.com/olaf-programmeur/images/main/cascade_3.webp</t>
  </si>
  <si>
    <t>https://raw.githubusercontent.com/olaf-programmeur/images/main/cascade_4.webp</t>
  </si>
  <si>
    <t>la catégorie</t>
  </si>
  <si>
    <t>Un groupe de choses qui se ressemblent.</t>
  </si>
  <si>
    <t>https://raw.githubusercontent.com/olaf-programmeur/images/main/categorie.webp</t>
  </si>
  <si>
    <t>https://raw.githubusercontent.com/olaf-programmeur/images/main/categorie_1.webp</t>
  </si>
  <si>
    <t>https://raw.githubusercontent.com/olaf-programmeur/images/main/categorie_2.webp</t>
  </si>
  <si>
    <t>https://raw.githubusercontent.com/olaf-programmeur/images/main/categorie_3.webp</t>
  </si>
  <si>
    <t>https://raw.githubusercontent.com/olaf-programmeur/images/main/rosee.webp</t>
  </si>
  <si>
    <t>https://raw.githubusercontent.com/olaf-programmeur/images/main/rosee_1.webp</t>
  </si>
  <si>
    <t>https://raw.githubusercontent.com/olaf-programmeur/images/main/rosee_2.webp</t>
  </si>
  <si>
    <t>cave</t>
  </si>
  <si>
    <t>la cave</t>
  </si>
  <si>
    <t>La pièce sous la maison, souvent fraîche et sombre.</t>
  </si>
  <si>
    <t>https://raw.githubusercontent.com/olaf-programmeur/images/main/cave.webp</t>
  </si>
  <si>
    <t>chair</t>
  </si>
  <si>
    <t>la chair</t>
  </si>
  <si>
    <t>La partie molle, sous la peau.</t>
  </si>
  <si>
    <t>https://raw.githubusercontent.com/olaf-programmeur/images/main/chair.webp</t>
  </si>
  <si>
    <t>https://raw.githubusercontent.com/olaf-programmeur/images/main/chair_1.webp</t>
  </si>
  <si>
    <t>https://raw.githubusercontent.com/olaf-programmeur/images/main/chair_2.webp</t>
  </si>
  <si>
    <t>chaleur</t>
  </si>
  <si>
    <t>la chaleur</t>
  </si>
  <si>
    <t>L'état de l'air quand il fait très chaud.</t>
  </si>
  <si>
    <t>https://raw.githubusercontent.com/olaf-programmeur/images/main/chaleur.webp</t>
  </si>
  <si>
    <t>https://raw.githubusercontent.com/olaf-programmeur/images/main/chaleur_1.webp</t>
  </si>
  <si>
    <t>la chose</t>
  </si>
  <si>
    <t>Mot utilisé pour désigné n'importe quel objet comme un livre, une table, une chaise, une tasse, un jeu, etc.</t>
  </si>
  <si>
    <t>https://raw.githubusercontent.com/olaf-programmeur/images/main/chose.webp</t>
  </si>
  <si>
    <t>https://raw.githubusercontent.com/olaf-programmeur/images/main/chose_1.webp</t>
  </si>
  <si>
    <t>https://raw.githubusercontent.com/olaf-programmeur/images/main/chose_2.webp</t>
  </si>
  <si>
    <t>circulation</t>
  </si>
  <si>
    <t>la circulation</t>
  </si>
  <si>
    <t>L'ensemble des voitures qui roulent sur les routes.</t>
  </si>
  <si>
    <t>https://raw.githubusercontent.com/olaf-programmeur/images/main/circulation.webp</t>
  </si>
  <si>
    <t>https://raw.githubusercontent.com/olaf-programmeur/images/main/circulation_1.webp</t>
  </si>
  <si>
    <t>https://raw.githubusercontent.com/olaf-programmeur/images/main/circulation_2.webp</t>
  </si>
  <si>
    <t>https://raw.githubusercontent.com/olaf-programmeur/images/main/circulation_3.webp</t>
  </si>
  <si>
    <t>https://raw.githubusercontent.com/olaf-programmeur/images/main/circulation_4.webp</t>
  </si>
  <si>
    <t>clairière</t>
  </si>
  <si>
    <t>la clairière</t>
  </si>
  <si>
    <t>L'espace ouvert et sans arbres au milieu d'une forêt.</t>
  </si>
  <si>
    <t>https://raw.githubusercontent.com/olaf-programmeur/images/main/clairiere.webp</t>
  </si>
  <si>
    <t>https://raw.githubusercontent.com/olaf-programmeur/images/main/clairiere_1.webp</t>
  </si>
  <si>
    <t>https://raw.githubusercontent.com/olaf-programmeur/images/main/clairiere_2.webp</t>
  </si>
  <si>
    <t>https://raw.githubusercontent.com/olaf-programmeur/images/main/clairiere_3.webp</t>
  </si>
  <si>
    <t>https://raw.githubusercontent.com/olaf-programmeur/images/main/clairiere_4.webp</t>
  </si>
  <si>
    <t>classe</t>
  </si>
  <si>
    <t>la classe</t>
  </si>
  <si>
    <t>La salle où les élèves apprennent, ou le groupe d'élèves.</t>
  </si>
  <si>
    <t>https://raw.githubusercontent.com/olaf-programmeur/images/main/classe.webp</t>
  </si>
  <si>
    <t>https://raw.githubusercontent.com/olaf-programmeur/images/main/classe_1.webp</t>
  </si>
  <si>
    <t>https://raw.githubusercontent.com/olaf-programmeur/images/main/classe_2.webp</t>
  </si>
  <si>
    <t>https://raw.githubusercontent.com/olaf-programmeur/images/main/classe_3.webp</t>
  </si>
  <si>
    <t>https://raw.githubusercontent.com/olaf-programmeur/images/main/classe_4.webp</t>
  </si>
  <si>
    <t>cloture</t>
  </si>
  <si>
    <t>la clôture</t>
  </si>
  <si>
    <t>La barrière qui entoure un terrain.</t>
  </si>
  <si>
    <t>https://raw.githubusercontent.com/olaf-programmeur/images/main/cloture.webp</t>
  </si>
  <si>
    <t>https://raw.githubusercontent.com/olaf-programmeur/images/main/cloture_1.webp</t>
  </si>
  <si>
    <t>https://raw.githubusercontent.com/olaf-programmeur/images/main/cloture_2.webp</t>
  </si>
  <si>
    <t>https://raw.githubusercontent.com/olaf-programmeur/images/main/cloture_3.webp</t>
  </si>
  <si>
    <t>https://raw.githubusercontent.com/olaf-programmeur/images/main/cloture_4.webp</t>
  </si>
  <si>
    <t>colle</t>
  </si>
  <si>
    <t>la colle</t>
  </si>
  <si>
    <t>Le produit qui sert à faire tenir deux choses ensemble.</t>
  </si>
  <si>
    <t>https://raw.githubusercontent.com/olaf-programmeur/images/main/colle.webp</t>
  </si>
  <si>
    <t>https://raw.githubusercontent.com/olaf-programmeur/images/main/colle_1.webp</t>
  </si>
  <si>
    <t>collection</t>
  </si>
  <si>
    <t>la collection</t>
  </si>
  <si>
    <t>L'ensemble d'objets pareils que l'on garde et range.</t>
  </si>
  <si>
    <t>https://raw.githubusercontent.com/olaf-programmeur/images/main/collection.webp</t>
  </si>
  <si>
    <t>https://raw.githubusercontent.com/olaf-programmeur/images/main/collection_1.webp</t>
  </si>
  <si>
    <t>https://raw.githubusercontent.com/olaf-programmeur/images/main/collection_2.webp</t>
  </si>
  <si>
    <t>https://raw.githubusercontent.com/olaf-programmeur/images/main/collection_3.webp</t>
  </si>
  <si>
    <t>https://raw.githubusercontent.com/olaf-programmeur/images/main/collection_4.webp</t>
  </si>
  <si>
    <t>colline</t>
  </si>
  <si>
    <t>la colline</t>
  </si>
  <si>
    <t>Une petite montagne, une hauteur arrondie.</t>
  </si>
  <si>
    <t>https://raw.githubusercontent.com/olaf-programmeur/images/main/colline.webp</t>
  </si>
  <si>
    <t>https://raw.githubusercontent.com/olaf-programmeur/images/main/colline_1.webp</t>
  </si>
  <si>
    <t>https://raw.githubusercontent.com/olaf-programmeur/images/main/colline_2.webp</t>
  </si>
  <si>
    <t>https://raw.githubusercontent.com/olaf-programmeur/images/main/colline_3.webp</t>
  </si>
  <si>
    <t>https://raw.githubusercontent.com/olaf-programmeur/images/main/colline_4.webp</t>
  </si>
  <si>
    <t>compagnie</t>
  </si>
  <si>
    <t>la compagnie</t>
  </si>
  <si>
    <t>Le fait d'être avec d'autres personnes.</t>
  </si>
  <si>
    <t>https://raw.githubusercontent.com/olaf-programmeur/images/main/compagnie.webp</t>
  </si>
  <si>
    <t>confiture</t>
  </si>
  <si>
    <t>la confiture</t>
  </si>
  <si>
    <t>La pâte sucrée faite avec des fruits cuits.</t>
  </si>
  <si>
    <t>https://raw.githubusercontent.com/olaf-programmeur/images/main/confiture.webp</t>
  </si>
  <si>
    <t>https://raw.githubusercontent.com/olaf-programmeur/images/main/confiture_1.webp</t>
  </si>
  <si>
    <t>https://raw.githubusercontent.com/olaf-programmeur/images/main/confiture_2.webp</t>
  </si>
  <si>
    <t>https://raw.githubusercontent.com/olaf-programmeur/images/main/confiture_3.webp</t>
  </si>
  <si>
    <t>https://raw.githubusercontent.com/olaf-programmeur/images/main/confiture_4.webp</t>
  </si>
  <si>
    <t>consigne</t>
  </si>
  <si>
    <t>la consigne</t>
  </si>
  <si>
    <t>L'ordre ou la règle que l'on doit suivre.</t>
  </si>
  <si>
    <t>https://raw.githubusercontent.com/olaf-programmeur/images/main/consigne.webp</t>
  </si>
  <si>
    <t>construction</t>
  </si>
  <si>
    <t>la construction</t>
  </si>
  <si>
    <t>Tout ce que l'on bâtit, comme une maison ou un pont.</t>
  </si>
  <si>
    <t>https://raw.githubusercontent.com/olaf-programmeur/images/main/construction.webp</t>
  </si>
  <si>
    <t>https://raw.githubusercontent.com/olaf-programmeur/images/main/construction_1.webp</t>
  </si>
  <si>
    <t>https://raw.githubusercontent.com/olaf-programmeur/images/main/construction_2.webp</t>
  </si>
  <si>
    <t>https://raw.githubusercontent.com/olaf-programmeur/images/main/construction_3.webp</t>
  </si>
  <si>
    <t>https://raw.githubusercontent.com/olaf-programmeur/images/main/construction_4.webp</t>
  </si>
  <si>
    <t>conversation</t>
  </si>
  <si>
    <t>la conversation</t>
  </si>
  <si>
    <t>Le moment où des personnes parlent ensemble.</t>
  </si>
  <si>
    <t>https://raw.githubusercontent.com/olaf-programmeur/images/main/conversation.webp</t>
  </si>
  <si>
    <t>corde</t>
  </si>
  <si>
    <t>la corde</t>
  </si>
  <si>
    <t>fils tressés utilisé en montagne pour s'attacher ensemble.</t>
  </si>
  <si>
    <t>https://raw.githubusercontent.com/olaf-programmeur/images/main/corde.webp</t>
  </si>
  <si>
    <t>https://raw.githubusercontent.com/olaf-programmeur/images/main/corde_1.webp</t>
  </si>
  <si>
    <t>https://raw.githubusercontent.com/olaf-programmeur/images/main/corde_2.webp</t>
  </si>
  <si>
    <t>https://raw.githubusercontent.com/olaf-programmeur/images/main/corde_3.webp</t>
  </si>
  <si>
    <t>https://raw.githubusercontent.com/olaf-programmeur/images/main/corde_4.webp</t>
  </si>
  <si>
    <t>course</t>
  </si>
  <si>
    <t>la course</t>
  </si>
  <si>
    <t>L'épreuve où l'on doit aller le plus vite possible.</t>
  </si>
  <si>
    <t>https://raw.githubusercontent.com/olaf-programmeur/images/main/course.webp</t>
  </si>
  <si>
    <t>https://raw.githubusercontent.com/olaf-programmeur/images/main/course_1.webp</t>
  </si>
  <si>
    <t>https://raw.githubusercontent.com/olaf-programmeur/images/main/course_2.webp</t>
  </si>
  <si>
    <t>https://raw.githubusercontent.com/olaf-programmeur/images/main/course_3.webp</t>
  </si>
  <si>
    <t>https://raw.githubusercontent.com/olaf-programmeur/images/main/course_4.webp</t>
  </si>
  <si>
    <t>couverture</t>
  </si>
  <si>
    <t>la couverture</t>
  </si>
  <si>
    <t>Le grand tissu chaud que l'on met sur le lit.</t>
  </si>
  <si>
    <t>https://raw.githubusercontent.com/olaf-programmeur/images/main/couverture.webp</t>
  </si>
  <si>
    <t>https://raw.githubusercontent.com/olaf-programmeur/images/main/couverture_1.webp</t>
  </si>
  <si>
    <t>https://raw.githubusercontent.com/olaf-programmeur/images/main/couverture_2.webp</t>
  </si>
  <si>
    <t>https://raw.githubusercontent.com/olaf-programmeur/images/main/couverture_3.webp</t>
  </si>
  <si>
    <t>https://raw.githubusercontent.com/olaf-programmeur/images/main/couverture_4.webp</t>
  </si>
  <si>
    <t>creme</t>
  </si>
  <si>
    <t>la crème</t>
  </si>
  <si>
    <t>La partie grasse du lait, douce et épaisse.</t>
  </si>
  <si>
    <t>https://raw.githubusercontent.com/olaf-programmeur/images/main/creme.webp</t>
  </si>
  <si>
    <t>https://raw.githubusercontent.com/olaf-programmeur/images/main/creme_1.webp</t>
  </si>
  <si>
    <t>https://raw.githubusercontent.com/olaf-programmeur/images/main/creme_2.webp</t>
  </si>
  <si>
    <t>https://raw.githubusercontent.com/olaf-programmeur/images/main/creme_3.webp</t>
  </si>
  <si>
    <t>https://raw.githubusercontent.com/olaf-programmeur/images/main/creme_4.webp</t>
  </si>
  <si>
    <t>curiosite</t>
  </si>
  <si>
    <t>la curiosité</t>
  </si>
  <si>
    <t>L'envie de savoir et de découvrir.</t>
  </si>
  <si>
    <t>https://raw.githubusercontent.com/olaf-programmeur/images/main/curiosite.webp</t>
  </si>
  <si>
    <t>cuves</t>
  </si>
  <si>
    <t>la cuve pour le vin</t>
  </si>
  <si>
    <t>Des cuves pour stocker le vin.</t>
  </si>
  <si>
    <t>https://raw.githubusercontent.com/olaf-programmeur/images/main/cuve.webp</t>
  </si>
  <si>
    <t>v_depenser</t>
  </si>
  <si>
    <t>dépenser</t>
  </si>
  <si>
    <t>Utiliser l'argent gagné pour acheter à manger  ++ boire un verre  ++  partir en vacances</t>
  </si>
  <si>
    <t>https://raw.githubusercontent.com/olaf-programmeur/images/main/v_depenser.webp</t>
  </si>
  <si>
    <t>https://raw.githubusercontent.com/olaf-programmeur/images/main/vacances.webp</t>
  </si>
  <si>
    <t>v_se_detendre</t>
  </si>
  <si>
    <t>se détendre</t>
  </si>
  <si>
    <t>Se reposer  ++   ne rien faire  ++  s'amuser</t>
  </si>
  <si>
    <t>https://raw.githubusercontent.com/olaf-programmeur/images/main/v_se_detendre.webp</t>
  </si>
  <si>
    <t>https://raw.githubusercontent.com/olaf-programmeur/images/main/v_se_detendre_1.webp</t>
  </si>
  <si>
    <t>difference</t>
  </si>
  <si>
    <t>la différence</t>
  </si>
  <si>
    <t>Ce qui n'est pas pareil entre deux choses.</t>
  </si>
  <si>
    <t>https://raw.githubusercontent.com/olaf-programmeur/images/main/difference.webp</t>
  </si>
  <si>
    <t>https://raw.githubusercontent.com/olaf-programmeur/images/main/difference_1.webp</t>
  </si>
  <si>
    <t>dispute</t>
  </si>
  <si>
    <t>la dispute</t>
  </si>
  <si>
    <t>Le moment où deux personnes ne sont pas d'accord et se fâchent.</t>
  </si>
  <si>
    <t>https://raw.githubusercontent.com/olaf-programmeur/images/main/dispute.webp</t>
  </si>
  <si>
    <t>https://raw.githubusercontent.com/olaf-programmeur/images/main/dispute_1.webp</t>
  </si>
  <si>
    <t>https://raw.githubusercontent.com/olaf-programmeur/images/main/dispute_2.webp</t>
  </si>
  <si>
    <t>https://raw.githubusercontent.com/olaf-programmeur/images/main/dispute_3.webp</t>
  </si>
  <si>
    <t>https://raw.githubusercontent.com/olaf-programmeur/images/main/dispute_4.webp</t>
  </si>
  <si>
    <t>distance</t>
  </si>
  <si>
    <t>la distance</t>
  </si>
  <si>
    <t>L'espace qui sépare deux endroits.</t>
  </si>
  <si>
    <t>https://raw.githubusercontent.com/olaf-programmeur/images/main/distance.webp</t>
  </si>
  <si>
    <t>douleur</t>
  </si>
  <si>
    <t>la douleur</t>
  </si>
  <si>
    <t>La sensation désagréable quand on a mal.</t>
  </si>
  <si>
    <t>https://raw.githubusercontent.com/olaf-programmeur/images/main/douleur.webp</t>
  </si>
  <si>
    <t>face</t>
  </si>
  <si>
    <t>la face</t>
  </si>
  <si>
    <t>Un des côtés plats d'un objet.</t>
  </si>
  <si>
    <t>https://raw.githubusercontent.com/olaf-programmeur/images/main/face.webp</t>
  </si>
  <si>
    <t>https://raw.githubusercontent.com/olaf-programmeur/images/main/face_1.webp</t>
  </si>
  <si>
    <t>https://raw.githubusercontent.com/olaf-programmeur/images/main/face_2.webp</t>
  </si>
  <si>
    <t>facture</t>
  </si>
  <si>
    <t>la facture</t>
  </si>
  <si>
    <t>Le papier qui dit combien il faut payer.</t>
  </si>
  <si>
    <t>https://raw.githubusercontent.com/olaf-programmeur/images/main/facture.webp</t>
  </si>
  <si>
    <t>falaise</t>
  </si>
  <si>
    <t>la falaise</t>
  </si>
  <si>
    <t>Le grand mur de roche au bord de la mer.</t>
  </si>
  <si>
    <t>https://raw.githubusercontent.com/olaf-programmeur/images/main/falaise.webp</t>
  </si>
  <si>
    <t>farine</t>
  </si>
  <si>
    <t>la farine</t>
  </si>
  <si>
    <t>La poudre faite avec du blé, qui sert à faire le pain.</t>
  </si>
  <si>
    <t>https://raw.githubusercontent.com/olaf-programmeur/images/main/farine.webp</t>
  </si>
  <si>
    <t>https://raw.githubusercontent.com/olaf-programmeur/images/main/farine_1.webp</t>
  </si>
  <si>
    <t>https://raw.githubusercontent.com/olaf-programmeur/images/main/farine_2.webp</t>
  </si>
  <si>
    <t>https://raw.githubusercontent.com/olaf-programmeur/images/main/farine_3.webp</t>
  </si>
  <si>
    <t>https://raw.githubusercontent.com/olaf-programmeur/images/main/pain_1.webp</t>
  </si>
  <si>
    <t>faute</t>
  </si>
  <si>
    <t>la faute</t>
  </si>
  <si>
    <t>L'erreur, ce qui n'est pas correct.</t>
  </si>
  <si>
    <t>https://raw.githubusercontent.com/olaf-programmeur/images/main/faute.webp</t>
  </si>
  <si>
    <t>https://raw.githubusercontent.com/olaf-programmeur/images/main/faute_1.webp</t>
  </si>
  <si>
    <t>la ferme</t>
  </si>
  <si>
    <t>L'endroit à la campagne où l'on élève des animaux et cultive.</t>
  </si>
  <si>
    <t>https://raw.githubusercontent.com/olaf-programmeur/images/main/ferme.webp</t>
  </si>
  <si>
    <t>https://raw.githubusercontent.com/olaf-programmeur/images/main/ferme_1.webp</t>
  </si>
  <si>
    <t>https://raw.githubusercontent.com/olaf-programmeur/images/main/ferme_2.webp</t>
  </si>
  <si>
    <t>https://raw.githubusercontent.com/olaf-programmeur/images/main/ferme_3.webp</t>
  </si>
  <si>
    <t>https://raw.githubusercontent.com/olaf-programmeur/images/main/ferme_4.webp</t>
  </si>
  <si>
    <t>fete</t>
  </si>
  <si>
    <t>la fête</t>
  </si>
  <si>
    <t>Le moment joyeux où l'on se réunit pour s'amuser.</t>
  </si>
  <si>
    <t>https://raw.githubusercontent.com/olaf-programmeur/images/main/fete.webp</t>
  </si>
  <si>
    <t>https://raw.githubusercontent.com/olaf-programmeur/images/main/fete_1.webp</t>
  </si>
  <si>
    <t>https://raw.githubusercontent.com/olaf-programmeur/images/main/fete_2.webp</t>
  </si>
  <si>
    <t>https://raw.githubusercontent.com/olaf-programmeur/images/main/fete_3.webp</t>
  </si>
  <si>
    <t>https://raw.githubusercontent.com/olaf-programmeur/images/main/fete_4.webp</t>
  </si>
  <si>
    <t>La partie plate et verte d'un arbre ou d'une plante.</t>
  </si>
  <si>
    <t>fievre</t>
  </si>
  <si>
    <t>la fièvre</t>
  </si>
  <si>
    <t>Quand le corps est plus chaud que d'habitude à cause d'une maladie.</t>
  </si>
  <si>
    <t>https://raw.githubusercontent.com/olaf-programmeur/images/main/fievre.webp</t>
  </si>
  <si>
    <t>fin</t>
  </si>
  <si>
    <t>la fin</t>
  </si>
  <si>
    <t>Le moment où une chose se termine  ++  l'endroit où une chose se termine</t>
  </si>
  <si>
    <t>https://raw.githubusercontent.com/olaf-programmeur/images/main/fin.webp</t>
  </si>
  <si>
    <t>flamme</t>
  </si>
  <si>
    <t>la flamme</t>
  </si>
  <si>
    <t>La partie qui brûle et qui éclaire dans un feu.</t>
  </si>
  <si>
    <t>https://raw.githubusercontent.com/olaf-programmeur/images/main/flamme.webp</t>
  </si>
  <si>
    <t>fois</t>
  </si>
  <si>
    <t>la fois</t>
  </si>
  <si>
    <t>Le mot qu'on utilise pour la multiplication ( 4 x 4 )</t>
  </si>
  <si>
    <t>https://raw.githubusercontent.com/olaf-programmeur/images/main/fois.webp</t>
  </si>
  <si>
    <t>https://raw.githubusercontent.com/olaf-programmeur/images/main/fois_1.webp</t>
  </si>
  <si>
    <t>fontaine</t>
  </si>
  <si>
    <t>la fontaine</t>
  </si>
  <si>
    <t>La construction qui fait couler ou jaillir de l'eau.</t>
  </si>
  <si>
    <t>https://raw.githubusercontent.com/olaf-programmeur/images/main/fontaine.webp</t>
  </si>
  <si>
    <t>https://raw.githubusercontent.com/olaf-programmeur/images/main/fontaine_1.webp</t>
  </si>
  <si>
    <t>https://raw.githubusercontent.com/olaf-programmeur/images/main/fontaine_2.webp</t>
  </si>
  <si>
    <t>https://raw.githubusercontent.com/olaf-programmeur/images/main/fontaine_3.webp</t>
  </si>
  <si>
    <t>https://raw.githubusercontent.com/olaf-programmeur/images/main/fontaine_4.webp</t>
  </si>
  <si>
    <t>force</t>
  </si>
  <si>
    <t>la force</t>
  </si>
  <si>
    <t>L'énergie qui permet de soulever ou de pousser.</t>
  </si>
  <si>
    <t>https://raw.githubusercontent.com/olaf-programmeur/images/main/force.webp</t>
  </si>
  <si>
    <t>forme</t>
  </si>
  <si>
    <t>la forme</t>
  </si>
  <si>
    <t>L'aspect d'une chose : ronde, carrée, longue, etc.</t>
  </si>
  <si>
    <t>https://raw.githubusercontent.com/olaf-programmeur/images/main/forme.webp</t>
  </si>
  <si>
    <t>https://raw.githubusercontent.com/olaf-programmeur/images/main/forme_4.webp</t>
  </si>
  <si>
    <t>foule</t>
  </si>
  <si>
    <t>la foule</t>
  </si>
  <si>
    <t>Un très grand nombre de personnes réunies.</t>
  </si>
  <si>
    <t>https://raw.githubusercontent.com/olaf-programmeur/images/main/foule.webp</t>
  </si>
  <si>
    <t>friandise</t>
  </si>
  <si>
    <t>la friandise</t>
  </si>
  <si>
    <t>Mot qui désigne des gourmandises sucrées  ++  un bonbon  ++ du chocolat</t>
  </si>
  <si>
    <t>https://raw.githubusercontent.com/olaf-programmeur/images/main/friandise.webp</t>
  </si>
  <si>
    <t>https://raw.githubusercontent.com/olaf-programmeur/images/main/friandise_1.webp</t>
  </si>
  <si>
    <t>https://raw.githubusercontent.com/olaf-programmeur/images/main/friandise_2.webp</t>
  </si>
  <si>
    <t>https://raw.githubusercontent.com/olaf-programmeur/images/main/friandise_3.webp</t>
  </si>
  <si>
    <t>https://raw.githubusercontent.com/olaf-programmeur/images/main/friandise_4.webp</t>
  </si>
  <si>
    <t>gaiete</t>
  </si>
  <si>
    <t>la gaieté</t>
  </si>
  <si>
    <t>L'humeur joyeuse, le fait d'être content et de rire.</t>
  </si>
  <si>
    <t>garantie</t>
  </si>
  <si>
    <t>la garantie</t>
  </si>
  <si>
    <t>La promesse de réparer ou de remplacer si un problème arrive.</t>
  </si>
  <si>
    <t>https://raw.githubusercontent.com/olaf-programmeur/images/main/garantie.webp</t>
  </si>
  <si>
    <t>https://raw.githubusercontent.com/olaf-programmeur/images/main/garantie_1.webp</t>
  </si>
  <si>
    <t>https://raw.githubusercontent.com/olaf-programmeur/images/main/garantie_2.webp</t>
  </si>
  <si>
    <t>https://raw.githubusercontent.com/olaf-programmeur/images/main/garantie_3.webp</t>
  </si>
  <si>
    <t>gentillesse</t>
  </si>
  <si>
    <t>la gentillesse</t>
  </si>
  <si>
    <t>La qualité d'une personne aimable avec les autres.</t>
  </si>
  <si>
    <t>https://raw.githubusercontent.com/olaf-programmeur/images/main/gentillesse.webp</t>
  </si>
  <si>
    <t>glace</t>
  </si>
  <si>
    <t>la glace</t>
  </si>
  <si>
    <t>L'eau devenue dure et froide par le gel.</t>
  </si>
  <si>
    <t>https://raw.githubusercontent.com/olaf-programmeur/images/main/glace.webp</t>
  </si>
  <si>
    <t>https://raw.githubusercontent.com/olaf-programmeur/images/main/glace_1.webp</t>
  </si>
  <si>
    <t>https://raw.githubusercontent.com/olaf-programmeur/images/main/glace_2.webp</t>
  </si>
  <si>
    <t>https://raw.githubusercontent.com/olaf-programmeur/images/main/glace_3.webp</t>
  </si>
  <si>
    <t>https://raw.githubusercontent.com/olaf-programmeur/images/main/glace_4.webp</t>
  </si>
  <si>
    <t>gorge</t>
  </si>
  <si>
    <t>la gorge</t>
  </si>
  <si>
    <t>La partie au fond de la bouche par où passe la nourriture.</t>
  </si>
  <si>
    <t>https://raw.githubusercontent.com/olaf-programmeur/images/main/gorge.webp</t>
  </si>
  <si>
    <t>https://raw.githubusercontent.com/olaf-programmeur/images/main/gorge_1.webp</t>
  </si>
  <si>
    <t>https://raw.githubusercontent.com/olaf-programmeur/images/main/gorge_2.webp</t>
  </si>
  <si>
    <t>https://raw.githubusercontent.com/olaf-programmeur/images/main/gorge_3.webp</t>
  </si>
  <si>
    <t>https://raw.githubusercontent.com/olaf-programmeur/images/main/gorge_4.webp</t>
  </si>
  <si>
    <t>https://raw.githubusercontent.com/olaf-programmeur/images/main/gorge_5.webp</t>
  </si>
  <si>
    <t>goutte</t>
  </si>
  <si>
    <t>la goutte</t>
  </si>
  <si>
    <t>Une toute petite quantité ronde de liquide.</t>
  </si>
  <si>
    <t>https://raw.githubusercontent.com/olaf-programmeur/images/main/goutte.webp</t>
  </si>
  <si>
    <t>graine</t>
  </si>
  <si>
    <t>la graine</t>
  </si>
  <si>
    <t>Le petit grain d'où naît une plante.</t>
  </si>
  <si>
    <t>https://raw.githubusercontent.com/olaf-programmeur/images/main/graine.webp</t>
  </si>
  <si>
    <t>https://raw.githubusercontent.com/olaf-programmeur/images/main/graine_1.webp</t>
  </si>
  <si>
    <t>https://raw.githubusercontent.com/olaf-programmeur/images/main/graine_2.webp</t>
  </si>
  <si>
    <t>https://raw.githubusercontent.com/olaf-programmeur/images/main/graine_3.webp</t>
  </si>
  <si>
    <t>https://raw.githubusercontent.com/olaf-programmeur/images/main/graine_4.webp</t>
  </si>
  <si>
    <t>graisse</t>
  </si>
  <si>
    <t>La matière grasse, molle et jaune  ++  dans ce qu'on mange  ++  dans notre corps</t>
  </si>
  <si>
    <t>grille</t>
  </si>
  <si>
    <t>la grille</t>
  </si>
  <si>
    <t>Ensemble de barreaux qui forment une barrière  ++  Objet qui laisse passer l'eau dans la route.</t>
  </si>
  <si>
    <t>https://raw.githubusercontent.com/olaf-programmeur/images/main/grille.webp</t>
  </si>
  <si>
    <t>https://raw.githubusercontent.com/olaf-programmeur/images/main/grille_1.webp</t>
  </si>
  <si>
    <t>https://raw.githubusercontent.com/olaf-programmeur/images/main/grille_2.webp</t>
  </si>
  <si>
    <t>https://raw.githubusercontent.com/olaf-programmeur/images/main/grille_3.webp</t>
  </si>
  <si>
    <t>https://raw.githubusercontent.com/olaf-programmeur/images/main/grille_4.webp</t>
  </si>
  <si>
    <t>grotte</t>
  </si>
  <si>
    <t>la grotte</t>
  </si>
  <si>
    <t>Le grand trou creusé dans la roche, sombre et profond.</t>
  </si>
  <si>
    <t>https://raw.githubusercontent.com/olaf-programmeur/images/main/grotte.webp</t>
  </si>
  <si>
    <t>https://raw.githubusercontent.com/olaf-programmeur/images/main/grotte_1.webp</t>
  </si>
  <si>
    <t>https://raw.githubusercontent.com/olaf-programmeur/images/main/grotte_2.webp</t>
  </si>
  <si>
    <t>https://raw.githubusercontent.com/olaf-programmeur/images/main/grotte_3.webp</t>
  </si>
  <si>
    <t>https://raw.githubusercontent.com/olaf-programmeur/images/main/grotte_4.webp</t>
  </si>
  <si>
    <t>guepe</t>
  </si>
  <si>
    <t>la guèpe</t>
  </si>
  <si>
    <t>Insecte rayé jaune et noir, un peu comme une abeille, mais en plus agressif et capable de piquer plusieurs fois si elle se sent en danger.</t>
  </si>
  <si>
    <t>https://raw.githubusercontent.com/olaf-programmeur/images/main/guepe.webp</t>
  </si>
  <si>
    <t>guerison</t>
  </si>
  <si>
    <t>la guérison</t>
  </si>
  <si>
    <t>Le moment où l'on n'est plus malade.</t>
  </si>
  <si>
    <t>https://raw.githubusercontent.com/olaf-programmeur/images/main/guerison.webp</t>
  </si>
  <si>
    <t>guerre</t>
  </si>
  <si>
    <t>la guerre</t>
  </si>
  <si>
    <t>Le combat entre des pays ou des groupes armés.</t>
  </si>
  <si>
    <t>https://raw.githubusercontent.com/olaf-programmeur/images/main/guerre.webp</t>
  </si>
  <si>
    <t>honte</t>
  </si>
  <si>
    <t>la honte</t>
  </si>
  <si>
    <t>Le sentiment gênant quand on a fait quelque chose de mal.</t>
  </si>
  <si>
    <t>https://raw.githubusercontent.com/olaf-programmeur/images/main/honte.webp</t>
  </si>
  <si>
    <t>https://raw.githubusercontent.com/olaf-programmeur/images/main/honte_1.webp</t>
  </si>
  <si>
    <t>https://raw.githubusercontent.com/olaf-programmeur/images/main/honte_2.webp</t>
  </si>
  <si>
    <t>https://raw.githubusercontent.com/olaf-programmeur/images/main/honte_3.webp</t>
  </si>
  <si>
    <t>https://raw.githubusercontent.com/olaf-programmeur/images/main/honte_4.webp</t>
  </si>
  <si>
    <t>jalousie</t>
  </si>
  <si>
    <t>la jalousie</t>
  </si>
  <si>
    <t>Le sentiment désagréable quand un autre a ce qu'on voudrait.</t>
  </si>
  <si>
    <t>https://raw.githubusercontent.com/olaf-programmeur/images/main/jalousie.webp</t>
  </si>
  <si>
    <t>journee</t>
  </si>
  <si>
    <t>la journée</t>
  </si>
  <si>
    <t>Le temps entre le matin et le soir.</t>
  </si>
  <si>
    <t>https://raw.githubusercontent.com/olaf-programmeur/images/main/journee.webp</t>
  </si>
  <si>
    <t>lame</t>
  </si>
  <si>
    <t>la lame</t>
  </si>
  <si>
    <t>La partie plate et coupante d'un couteau.</t>
  </si>
  <si>
    <t>https://raw.githubusercontent.com/olaf-programmeur/images/main/lame.webp</t>
  </si>
  <si>
    <t>https://raw.githubusercontent.com/olaf-programmeur/images/main/lame_1.webp</t>
  </si>
  <si>
    <t>https://raw.githubusercontent.com/olaf-programmeur/images/main/lame_2.webp</t>
  </si>
  <si>
    <t>https://raw.githubusercontent.com/olaf-programmeur/images/main/lame_3.webp</t>
  </si>
  <si>
    <t>https://raw.githubusercontent.com/olaf-programmeur/images/main/lame_4.webp</t>
  </si>
  <si>
    <t>larme</t>
  </si>
  <si>
    <t>la larme</t>
  </si>
  <si>
    <t>La goutte d'eau qui coule des yeux quand on pleure.</t>
  </si>
  <si>
    <t>https://raw.githubusercontent.com/olaf-programmeur/images/main/larme.webp</t>
  </si>
  <si>
    <t>https://raw.githubusercontent.com/olaf-programmeur/images/main/larme_1.webp</t>
  </si>
  <si>
    <t>https://raw.githubusercontent.com/olaf-programmeur/images/main/larme_2.webp</t>
  </si>
  <si>
    <t>https://raw.githubusercontent.com/olaf-programmeur/images/main/larme_3.webp</t>
  </si>
  <si>
    <t>https://raw.githubusercontent.com/olaf-programmeur/images/main/larme_4.webp</t>
  </si>
  <si>
    <t>lecture</t>
  </si>
  <si>
    <t>la lecture</t>
  </si>
  <si>
    <t>L'activité de lire des livres.</t>
  </si>
  <si>
    <t>https://raw.githubusercontent.com/olaf-programmeur/images/main/v_lire.webp</t>
  </si>
  <si>
    <t>https://raw.githubusercontent.com/olaf-programmeur/images/main/v_lire_1.webp</t>
  </si>
  <si>
    <t>https://raw.githubusercontent.com/olaf-programmeur/images/main/v_lire_2.webp</t>
  </si>
  <si>
    <t>https://raw.githubusercontent.com/olaf-programmeur/images/main/v_lire_3.webp</t>
  </si>
  <si>
    <t>https://raw.githubusercontent.com/olaf-programmeur/images/main/v_lire_4.webp</t>
  </si>
  <si>
    <t>ligne</t>
  </si>
  <si>
    <t>la ligne</t>
  </si>
  <si>
    <t>Le trait long et fin, droit ou courbe.</t>
  </si>
  <si>
    <t>https://raw.githubusercontent.com/olaf-programmeur/images/main/ligne.webp</t>
  </si>
  <si>
    <t>https://raw.githubusercontent.com/olaf-programmeur/images/main/ligne_1.webp</t>
  </si>
  <si>
    <t>https://raw.githubusercontent.com/olaf-programmeur/images/main/ligne_2.webp</t>
  </si>
  <si>
    <t>https://raw.githubusercontent.com/olaf-programmeur/images/main/ligne_3.webp</t>
  </si>
  <si>
    <t>https://raw.githubusercontent.com/olaf-programmeur/images/main/ligne_4.webp</t>
  </si>
  <si>
    <t>limite</t>
  </si>
  <si>
    <t>la limite</t>
  </si>
  <si>
    <t>L'endroit où une chose s'arrête.</t>
  </si>
  <si>
    <t>https://raw.githubusercontent.com/olaf-programmeur/images/main/limite.webp</t>
  </si>
  <si>
    <t>liste</t>
  </si>
  <si>
    <t>la liste</t>
  </si>
  <si>
    <t>Les choses écrites les unes sous les autres.</t>
  </si>
  <si>
    <t>https://raw.githubusercontent.com/olaf-programmeur/images/main/liste.webp</t>
  </si>
  <si>
    <t>https://raw.githubusercontent.com/olaf-programmeur/images/main/liste_1.webp</t>
  </si>
  <si>
    <t>loi</t>
  </si>
  <si>
    <t>la loi</t>
  </si>
  <si>
    <t>La règle que tout le monde doit respecter dans un pays.</t>
  </si>
  <si>
    <t>https://raw.githubusercontent.com/olaf-programmeur/images/main/loi.webp</t>
  </si>
  <si>
    <t>loupe</t>
  </si>
  <si>
    <t>la loupe</t>
  </si>
  <si>
    <t>Le verre rond qui grossit ce que l'on regarde.</t>
  </si>
  <si>
    <t>https://raw.githubusercontent.com/olaf-programmeur/images/main/loupe.webp</t>
  </si>
  <si>
    <t>lumiere</t>
  </si>
  <si>
    <t>la lumière</t>
  </si>
  <si>
    <t>Ce qui éclaire et permet de voir.</t>
  </si>
  <si>
    <t>https://raw.githubusercontent.com/olaf-programmeur/images/main/lumiere.webp</t>
  </si>
  <si>
    <t>https://raw.githubusercontent.com/olaf-programmeur/images/main/lumiere_1.webp</t>
  </si>
  <si>
    <t>https://raw.githubusercontent.com/olaf-programmeur/images/main/lumiere_2.webp</t>
  </si>
  <si>
    <t>https://raw.githubusercontent.com/olaf-programmeur/images/main/lumiere_3.webp</t>
  </si>
  <si>
    <t>https://raw.githubusercontent.com/olaf-programmeur/images/main/lumiere_4.webp</t>
  </si>
  <si>
    <t>lutte</t>
  </si>
  <si>
    <t>la lutte</t>
  </si>
  <si>
    <t>Le combat où l'on s'oppose à quelqu'un.</t>
  </si>
  <si>
    <t>https://raw.githubusercontent.com/olaf-programmeur/images/main/lutte.webp</t>
  </si>
  <si>
    <t>https://raw.githubusercontent.com/olaf-programmeur/images/main/lutte_1.webp</t>
  </si>
  <si>
    <t>https://raw.githubusercontent.com/olaf-programmeur/images/main/lutte_2.webp</t>
  </si>
  <si>
    <t>https://raw.githubusercontent.com/olaf-programmeur/images/main/lutte_3.webp</t>
  </si>
  <si>
    <t>https://raw.githubusercontent.com/olaf-programmeur/images/main/lutte_4.webp</t>
  </si>
  <si>
    <t>machine</t>
  </si>
  <si>
    <t>la machine</t>
  </si>
  <si>
    <t>L'engin qui fait un travail à la place de l'homme.</t>
  </si>
  <si>
    <t>https://raw.githubusercontent.com/olaf-programmeur/images/main/machine.webp</t>
  </si>
  <si>
    <t>https://raw.githubusercontent.com/olaf-programmeur/images/main/machine_1.webp</t>
  </si>
  <si>
    <t>https://raw.githubusercontent.com/olaf-programmeur/images/main/machine_2.webp</t>
  </si>
  <si>
    <t>maladie</t>
  </si>
  <si>
    <t>la maladie</t>
  </si>
  <si>
    <t>Ce qui rend le corps malade.</t>
  </si>
  <si>
    <t>https://raw.githubusercontent.com/olaf-programmeur/images/main/maladie.webp</t>
  </si>
  <si>
    <t>manche</t>
  </si>
  <si>
    <t>la manche</t>
  </si>
  <si>
    <t>La partie d'un vêtement qui couvre le bras.</t>
  </si>
  <si>
    <t>https://raw.githubusercontent.com/olaf-programmeur/images/main/manche.webp</t>
  </si>
  <si>
    <t>maniere</t>
  </si>
  <si>
    <t>la manière</t>
  </si>
  <si>
    <t>La façon dont on fait quelque chose.</t>
  </si>
  <si>
    <t>https://raw.githubusercontent.com/olaf-programmeur/images/main/maniere.webp</t>
  </si>
  <si>
    <t>https://raw.githubusercontent.com/olaf-programmeur/images/main/maniere_1.webp</t>
  </si>
  <si>
    <t>https://raw.githubusercontent.com/olaf-programmeur/images/main/sorte.webp</t>
  </si>
  <si>
    <t>https://raw.githubusercontent.com/olaf-programmeur/images/main/sorte_1.webp</t>
  </si>
  <si>
    <t>maree</t>
  </si>
  <si>
    <t>la marée</t>
  </si>
  <si>
    <t>Le mouvement de la mer qui monte et descend.</t>
  </si>
  <si>
    <t>https://raw.githubusercontent.com/olaf-programmeur/images/main/maree.webp</t>
  </si>
  <si>
    <t>masse</t>
  </si>
  <si>
    <t>la masse</t>
  </si>
  <si>
    <t>Un gros tas de matière, une grande quantité.</t>
  </si>
  <si>
    <t>https://raw.githubusercontent.com/olaf-programmeur/images/main/masse.webp</t>
  </si>
  <si>
    <t>matiere</t>
  </si>
  <si>
    <t>la matière</t>
  </si>
  <si>
    <t>Ce dont une chose est faite : bois, métal, tissu, etc.</t>
  </si>
  <si>
    <t>https://raw.githubusercontent.com/olaf-programmeur/images/main/matiere.webp</t>
  </si>
  <si>
    <t>mefiance</t>
  </si>
  <si>
    <t>la méfiance</t>
  </si>
  <si>
    <t>Le fait de ne pas faire confiance.</t>
  </si>
  <si>
    <t>https://raw.githubusercontent.com/olaf-programmeur/images/main/mefiance.webp</t>
  </si>
  <si>
    <t>memoire</t>
  </si>
  <si>
    <t>la mémoire</t>
  </si>
  <si>
    <t>Ce qui permet de se souvenir des choses.</t>
  </si>
  <si>
    <t>https://raw.githubusercontent.com/olaf-programmeur/images/main/memoire.webp</t>
  </si>
  <si>
    <t>meteo</t>
  </si>
  <si>
    <t>la météo</t>
  </si>
  <si>
    <t>Le temps qu'il fait : pluie, soleil, vent.</t>
  </si>
  <si>
    <t>https://raw.githubusercontent.com/olaf-programmeur/images/main/meteo.webp</t>
  </si>
  <si>
    <t>https://raw.githubusercontent.com/olaf-programmeur/images/main/meteo_1.webp</t>
  </si>
  <si>
    <t>https://raw.githubusercontent.com/olaf-programmeur/images/main/meteo_2.webp</t>
  </si>
  <si>
    <t>https://raw.githubusercontent.com/olaf-programmeur/images/main/meteo_3.webp</t>
  </si>
  <si>
    <t>moitie</t>
  </si>
  <si>
    <t>la moitié</t>
  </si>
  <si>
    <t>Une des deux parts égales d'un tout.</t>
  </si>
  <si>
    <t>https://raw.githubusercontent.com/olaf-programmeur/images/main/moitie.webp</t>
  </si>
  <si>
    <t>https://raw.githubusercontent.com/olaf-programmeur/images/main/moitie_1.webp</t>
  </si>
  <si>
    <t>https://raw.githubusercontent.com/olaf-programmeur/images/main/moitie_2.webp</t>
  </si>
  <si>
    <t>montre</t>
  </si>
  <si>
    <t>la montre</t>
  </si>
  <si>
    <t>Le petit objet porté au poignet qui donne l'heure.</t>
  </si>
  <si>
    <t>https://raw.githubusercontent.com/olaf-programmeur/images/main/montre.webp</t>
  </si>
  <si>
    <t>https://raw.githubusercontent.com/olaf-programmeur/images/main/montre_1.webp</t>
  </si>
  <si>
    <t>https://raw.githubusercontent.com/olaf-programmeur/images/main/montre_2.webp</t>
  </si>
  <si>
    <t>https://raw.githubusercontent.com/olaf-programmeur/images/main/montre_3.webp</t>
  </si>
  <si>
    <t>https://raw.githubusercontent.com/olaf-programmeur/images/main/montre_4.webp</t>
  </si>
  <si>
    <t>mousse</t>
  </si>
  <si>
    <t>la mousse</t>
  </si>
  <si>
    <t>La petite plante verte et douce qui pousse sur les pierres  ++  Partie blanche sur la bière</t>
  </si>
  <si>
    <t>https://raw.githubusercontent.com/olaf-programmeur/images/main/mousse.webp</t>
  </si>
  <si>
    <t>https://raw.githubusercontent.com/olaf-programmeur/images/main/mousse_1.webp</t>
  </si>
  <si>
    <t>https://raw.githubusercontent.com/olaf-programmeur/images/main/mousse_2.webp</t>
  </si>
  <si>
    <t>https://raw.githubusercontent.com/olaf-programmeur/images/main/mousse_3.webp</t>
  </si>
  <si>
    <t>https://raw.githubusercontent.com/olaf-programmeur/images/main/mousse_4.webp</t>
  </si>
  <si>
    <t>naissance</t>
  </si>
  <si>
    <t>la naissance</t>
  </si>
  <si>
    <t>Le moment où un bébé vient au monde.</t>
  </si>
  <si>
    <t>https://raw.githubusercontent.com/olaf-programmeur/images/main/naissance.webp</t>
  </si>
  <si>
    <t>la nature</t>
  </si>
  <si>
    <t>Tout ce qui n'est pas fait par l'homme : plantes, animaux, eau.</t>
  </si>
  <si>
    <t>https://raw.githubusercontent.com/olaf-programmeur/images/main/nature.webp</t>
  </si>
  <si>
    <t>neige</t>
  </si>
  <si>
    <t>la neige</t>
  </si>
  <si>
    <t>Les flocons blancs et froids qui tombent du ciel en hiver.</t>
  </si>
  <si>
    <t>https://raw.githubusercontent.com/olaf-programmeur/images/main/neige.webp</t>
  </si>
  <si>
    <t>nouvelle</t>
  </si>
  <si>
    <t>la nouvelle</t>
  </si>
  <si>
    <t>L'information sur ce qui vient d'arriver.</t>
  </si>
  <si>
    <t>https://raw.githubusercontent.com/olaf-programmeur/images/main/nouvelle.webp</t>
  </si>
  <si>
    <t>https://raw.githubusercontent.com/olaf-programmeur/images/main/nouvelle_1.webp</t>
  </si>
  <si>
    <t>https://raw.githubusercontent.com/olaf-programmeur/images/main/nouvelle_2.webp</t>
  </si>
  <si>
    <t>https://raw.githubusercontent.com/olaf-programmeur/images/main/nouvelle_3.webp</t>
  </si>
  <si>
    <t>https://raw.githubusercontent.com/olaf-programmeur/images/main/nouvelle_4.webp</t>
  </si>
  <si>
    <t>nuance</t>
  </si>
  <si>
    <t>la nuance</t>
  </si>
  <si>
    <t>La petite différence entre deux couleurs  ++  entre le volume sonore</t>
  </si>
  <si>
    <t>https://raw.githubusercontent.com/olaf-programmeur/images/main/nuance.webp</t>
  </si>
  <si>
    <t>https://raw.githubusercontent.com/olaf-programmeur/images/main/nuance_1.webp</t>
  </si>
  <si>
    <t>https://raw.githubusercontent.com/olaf-programmeur/images/main/nuance_2.webp</t>
  </si>
  <si>
    <t>page</t>
  </si>
  <si>
    <t>la page</t>
  </si>
  <si>
    <t>Une des feuilles d'un livre ou d'un cahier.</t>
  </si>
  <si>
    <t>https://raw.githubusercontent.com/olaf-programmeur/images/main/page.webp</t>
  </si>
  <si>
    <t>paix</t>
  </si>
  <si>
    <t>la paix</t>
  </si>
  <si>
    <t>L'état où il n'y a ni guerre ni dispute.</t>
  </si>
  <si>
    <t>https://raw.githubusercontent.com/olaf-programmeur/images/main/paix.webp</t>
  </si>
  <si>
    <t>panne</t>
  </si>
  <si>
    <t>la panne</t>
  </si>
  <si>
    <t>Le moment où un appareil ou une voiture ne marche plus.</t>
  </si>
  <si>
    <t>https://raw.githubusercontent.com/olaf-programmeur/images/main/panne.webp</t>
  </si>
  <si>
    <t>https://raw.githubusercontent.com/olaf-programmeur/images/main/panne_1.webp</t>
  </si>
  <si>
    <t>https://raw.githubusercontent.com/olaf-programmeur/images/main/panne_2.webp</t>
  </si>
  <si>
    <t>https://raw.githubusercontent.com/olaf-programmeur/images/main/panne_3.webp</t>
  </si>
  <si>
    <t>https://raw.githubusercontent.com/olaf-programmeur/images/main/panne_4.webp</t>
  </si>
  <si>
    <t>paroi</t>
  </si>
  <si>
    <t>la paroi</t>
  </si>
  <si>
    <t>Le mur ++ la chose qui sépare deux pièces de la maison.</t>
  </si>
  <si>
    <t>https://raw.githubusercontent.com/olaf-programmeur/images/main/paroi.webp</t>
  </si>
  <si>
    <t>https://raw.githubusercontent.com/olaf-programmeur/images/main/paroi_1.webp</t>
  </si>
  <si>
    <t>https://raw.githubusercontent.com/olaf-programmeur/images/main/paroi_2.webp</t>
  </si>
  <si>
    <t>part</t>
  </si>
  <si>
    <t>la part</t>
  </si>
  <si>
    <t>Un morceau d'un tout que l'on partage.</t>
  </si>
  <si>
    <t>https://raw.githubusercontent.com/olaf-programmeur/images/main/part.webp</t>
  </si>
  <si>
    <t>https://raw.githubusercontent.com/olaf-programmeur/images/main/part_1.webp</t>
  </si>
  <si>
    <t>partie</t>
  </si>
  <si>
    <t>la partie</t>
  </si>
  <si>
    <t>https://raw.githubusercontent.com/olaf-programmeur/images/main/partie.webp</t>
  </si>
  <si>
    <t>patience</t>
  </si>
  <si>
    <t>la patience</t>
  </si>
  <si>
    <t>La qualité de celui qui sait attendre sans se fâcher.</t>
  </si>
  <si>
    <t>https://raw.githubusercontent.com/olaf-programmeur/images/main/patience.webp</t>
  </si>
  <si>
    <t>patte</t>
  </si>
  <si>
    <t>la patte</t>
  </si>
  <si>
    <t>La jambe d'un animal.</t>
  </si>
  <si>
    <t>https://raw.githubusercontent.com/olaf-programmeur/images/main/patte.webp</t>
  </si>
  <si>
    <t>https://raw.githubusercontent.com/olaf-programmeur/images/main/patte_1.webp</t>
  </si>
  <si>
    <t>https://raw.githubusercontent.com/olaf-programmeur/images/main/patte_2.webp</t>
  </si>
  <si>
    <t>peine</t>
  </si>
  <si>
    <t>la peine</t>
  </si>
  <si>
    <t>La tristesse, le chagrin que l'on ressent.</t>
  </si>
  <si>
    <t>https://raw.githubusercontent.com/olaf-programmeur/images/main/peine.webp</t>
  </si>
  <si>
    <t>https://raw.githubusercontent.com/olaf-programmeur/images/main/peine_1.webp</t>
  </si>
  <si>
    <t>https://raw.githubusercontent.com/olaf-programmeur/images/main/peine_2.webp</t>
  </si>
  <si>
    <t>peinture</t>
  </si>
  <si>
    <t>la peinture</t>
  </si>
  <si>
    <t>Le produit coloré que l'on étale sur un mur ou un objet.</t>
  </si>
  <si>
    <t>https://raw.githubusercontent.com/olaf-programmeur/images/main/peinture.webp</t>
  </si>
  <si>
    <t>https://raw.githubusercontent.com/olaf-programmeur/images/main/peinture_1.webp</t>
  </si>
  <si>
    <t>https://raw.githubusercontent.com/olaf-programmeur/images/main/peinture_2.webp</t>
  </si>
  <si>
    <t>https://raw.githubusercontent.com/olaf-programmeur/images/main/peinture_3.webp</t>
  </si>
  <si>
    <t>https://raw.githubusercontent.com/olaf-programmeur/images/main/peinture_4.webp</t>
  </si>
  <si>
    <t>pensee</t>
  </si>
  <si>
    <t>la pensée</t>
  </si>
  <si>
    <t>Ce qui se passe dans la tête quand on réfléchit.</t>
  </si>
  <si>
    <t>https://raw.githubusercontent.com/olaf-programmeur/images/main/pensee.webp</t>
  </si>
  <si>
    <t>https://raw.githubusercontent.com/olaf-programmeur/images/main/pensee_1.webp</t>
  </si>
  <si>
    <t>periode</t>
  </si>
  <si>
    <t>la période</t>
  </si>
  <si>
    <t>Un certain temps qui passe entre un début et une fin.</t>
  </si>
  <si>
    <t>https://raw.githubusercontent.com/olaf-programmeur/images/main/periode.webp</t>
  </si>
  <si>
    <t>la personne</t>
  </si>
  <si>
    <t>Un être humain, n'importe qui.</t>
  </si>
  <si>
    <t>https://raw.githubusercontent.com/olaf-programmeur/images/main/personne.webp</t>
  </si>
  <si>
    <t>perte</t>
  </si>
  <si>
    <t>la perte</t>
  </si>
  <si>
    <t>Le fait d'avoir perdu une chose.</t>
  </si>
  <si>
    <t>https://raw.githubusercontent.com/olaf-programmeur/images/main/v_perdre.webp</t>
  </si>
  <si>
    <t>https://raw.githubusercontent.com/olaf-programmeur/images/main/v_perdre_1.webp</t>
  </si>
  <si>
    <t>https://raw.githubusercontent.com/olaf-programmeur/images/main/v_perdre_2.webp</t>
  </si>
  <si>
    <t>https://raw.githubusercontent.com/olaf-programmeur/images/main/v_perdre_3.webp</t>
  </si>
  <si>
    <t>pharmacie</t>
  </si>
  <si>
    <t>la pharmacie</t>
  </si>
  <si>
    <t>Le magasin où l'on achète les médicaments.</t>
  </si>
  <si>
    <t>https://raw.githubusercontent.com/olaf-programmeur/images/main/pharmacie.webp</t>
  </si>
  <si>
    <t>https://raw.githubusercontent.com/olaf-programmeur/images/main/pharmacie_1.webp</t>
  </si>
  <si>
    <t>https://raw.githubusercontent.com/olaf-programmeur/images/main/pharmacie_2.webp</t>
  </si>
  <si>
    <t>https://raw.githubusercontent.com/olaf-programmeur/images/main/pharmacie_3.webp</t>
  </si>
  <si>
    <t>https://raw.githubusercontent.com/olaf-programmeur/images/main/pharmacie_4.webp</t>
  </si>
  <si>
    <t>photo</t>
  </si>
  <si>
    <t>la photo</t>
  </si>
  <si>
    <t>L'image prise avec un appareil photo.</t>
  </si>
  <si>
    <t>https://raw.githubusercontent.com/olaf-programmeur/images/main/photo.webp</t>
  </si>
  <si>
    <t>https://raw.githubusercontent.com/olaf-programmeur/images/main/photo_1.webp</t>
  </si>
  <si>
    <t>https://raw.githubusercontent.com/olaf-programmeur/images/main/photo_2.webp</t>
  </si>
  <si>
    <t>https://raw.githubusercontent.com/olaf-programmeur/images/main/photo_3.webp</t>
  </si>
  <si>
    <t>https://raw.githubusercontent.com/olaf-programmeur/images/main/photo_4.webp</t>
  </si>
  <si>
    <t>pierre</t>
  </si>
  <si>
    <t>la pierre</t>
  </si>
  <si>
    <t>Le morceau dur de roche.</t>
  </si>
  <si>
    <t>https://raw.githubusercontent.com/olaf-programmeur/images/main/pierre.webp</t>
  </si>
  <si>
    <t>https://raw.githubusercontent.com/olaf-programmeur/images/main/pierre_1.webp</t>
  </si>
  <si>
    <t>https://raw.githubusercontent.com/olaf-programmeur/images/main/pierre_2.webp</t>
  </si>
  <si>
    <t>https://raw.githubusercontent.com/olaf-programmeur/images/main/pierre_3.webp</t>
  </si>
  <si>
    <t>https://raw.githubusercontent.com/olaf-programmeur/images/main/pierre_4.webp</t>
  </si>
  <si>
    <t>pince</t>
  </si>
  <si>
    <t>la pince</t>
  </si>
  <si>
    <t>L'outil à deux branches qui serre ou tient les objets.</t>
  </si>
  <si>
    <t>https://raw.githubusercontent.com/olaf-programmeur/images/main/pince.webp</t>
  </si>
  <si>
    <t>https://raw.githubusercontent.com/olaf-programmeur/images/main/pince_1.webp</t>
  </si>
  <si>
    <t>https://raw.githubusercontent.com/olaf-programmeur/images/main/pince_2.webp</t>
  </si>
  <si>
    <t>https://raw.githubusercontent.com/olaf-programmeur/images/main/pince_3.webp</t>
  </si>
  <si>
    <t>https://raw.githubusercontent.com/olaf-programmeur/images/main/pince_4.webp</t>
  </si>
  <si>
    <t>piqure</t>
  </si>
  <si>
    <t>la piqûre</t>
  </si>
  <si>
    <t>Le petit trou fait dans la peau par une seringue ++  petit trou fait par un insecte comme la guèpe</t>
  </si>
  <si>
    <t>https://raw.githubusercontent.com/olaf-programmeur/images/main/piqure.webp</t>
  </si>
  <si>
    <t>https://raw.githubusercontent.com/olaf-programmeur/images/main/piqure_1.webp</t>
  </si>
  <si>
    <t>https://raw.githubusercontent.com/olaf-programmeur/images/main/piqure_2.webp</t>
  </si>
  <si>
    <t>https://raw.githubusercontent.com/olaf-programmeur/images/main/piqure_3.webp</t>
  </si>
  <si>
    <t>https://raw.githubusercontent.com/olaf-programmeur/images/main/piqure_4.webp</t>
  </si>
  <si>
    <t>piscine</t>
  </si>
  <si>
    <t>la piscine</t>
  </si>
  <si>
    <t>Le grand bassin rempli d'eau où l'on nage.</t>
  </si>
  <si>
    <t>https://raw.githubusercontent.com/olaf-programmeur/images/main/piscine.webp</t>
  </si>
  <si>
    <t>https://raw.githubusercontent.com/olaf-programmeur/images/main/piscine_1.webp</t>
  </si>
  <si>
    <t>https://raw.githubusercontent.com/olaf-programmeur/images/main/piscine_2.webp</t>
  </si>
  <si>
    <t>https://raw.githubusercontent.com/olaf-programmeur/images/main/piscine_3.webp</t>
  </si>
  <si>
    <t>https://raw.githubusercontent.com/olaf-programmeur/images/main/piscine_4.webp</t>
  </si>
  <si>
    <t>pitie</t>
  </si>
  <si>
    <t>la pitié</t>
  </si>
  <si>
    <t>Avoir de la peine ++ Etre triste  pour quelqu'un qui souffre.</t>
  </si>
  <si>
    <t>https://raw.githubusercontent.com/olaf-programmeur/images/main/pitie.webp</t>
  </si>
  <si>
    <t>https://raw.githubusercontent.com/olaf-programmeur/images/main/pitie_1.webp</t>
  </si>
  <si>
    <t>place</t>
  </si>
  <si>
    <t>la place</t>
  </si>
  <si>
    <t>L'espace ouvert dans une ville, entouré de bâtiments.</t>
  </si>
  <si>
    <t>https://raw.githubusercontent.com/olaf-programmeur/images/main/place.webp</t>
  </si>
  <si>
    <t>plage</t>
  </si>
  <si>
    <t>la plage</t>
  </si>
  <si>
    <t>Le bord de mer couvert de sable où l'on se baigne.</t>
  </si>
  <si>
    <t>https://raw.githubusercontent.com/olaf-programmeur/images/main/plage.webp</t>
  </si>
  <si>
    <t>https://raw.githubusercontent.com/olaf-programmeur/images/main/plage_1.webp</t>
  </si>
  <si>
    <t>https://raw.githubusercontent.com/olaf-programmeur/images/main/plage_2.webp</t>
  </si>
  <si>
    <t>https://raw.githubusercontent.com/olaf-programmeur/images/main/plage_3.webp</t>
  </si>
  <si>
    <t>https://raw.githubusercontent.com/olaf-programmeur/images/main/plage_4.webp</t>
  </si>
  <si>
    <t>planete</t>
  </si>
  <si>
    <t>la planète</t>
  </si>
  <si>
    <t>Le grand astre rond qui tourne autour du soleil.</t>
  </si>
  <si>
    <t>https://raw.githubusercontent.com/olaf-programmeur/images/main/planete.webp</t>
  </si>
  <si>
    <t>https://raw.githubusercontent.com/olaf-programmeur/images/main/planete_1.webp</t>
  </si>
  <si>
    <t>https://raw.githubusercontent.com/olaf-programmeur/images/main/planete_2.webp</t>
  </si>
  <si>
    <t>https://raw.githubusercontent.com/olaf-programmeur/images/main/planete_3.webp</t>
  </si>
  <si>
    <t>https://raw.githubusercontent.com/olaf-programmeur/images/main/planete_4.webp</t>
  </si>
  <si>
    <t>pluie</t>
  </si>
  <si>
    <t>la pluie</t>
  </si>
  <si>
    <t>L'eau qui tombe du ciel quand il y a des nuages.</t>
  </si>
  <si>
    <t>https://raw.githubusercontent.com/olaf-programmeur/images/main/pluie.webp</t>
  </si>
  <si>
    <t>https://raw.githubusercontent.com/olaf-programmeur/images/main/pluie_1.webp</t>
  </si>
  <si>
    <t>https://raw.githubusercontent.com/olaf-programmeur/images/main/pluie_2.webp</t>
  </si>
  <si>
    <t>https://raw.githubusercontent.com/olaf-programmeur/images/main/pluie_3.webp</t>
  </si>
  <si>
    <t>https://raw.githubusercontent.com/olaf-programmeur/images/main/pluie_4.webp</t>
  </si>
  <si>
    <t>plume</t>
  </si>
  <si>
    <t>la plume</t>
  </si>
  <si>
    <t>Ce qui couvre le corps des oiseaux et les aide à voler.</t>
  </si>
  <si>
    <t>https://raw.githubusercontent.com/olaf-programmeur/images/main/plume.webp</t>
  </si>
  <si>
    <t>https://raw.githubusercontent.com/olaf-programmeur/images/main/plume_1.webp</t>
  </si>
  <si>
    <t>https://raw.githubusercontent.com/olaf-programmeur/images/main/plume_2.webp</t>
  </si>
  <si>
    <t>https://raw.githubusercontent.com/olaf-programmeur/images/main/plume_3.webp</t>
  </si>
  <si>
    <t>https://raw.githubusercontent.com/olaf-programmeur/images/main/plume_4.webp</t>
  </si>
  <si>
    <t>poche</t>
  </si>
  <si>
    <t>la poche</t>
  </si>
  <si>
    <t>La petite partie d'un vêtement où l'on range des objets.</t>
  </si>
  <si>
    <t>https://raw.githubusercontent.com/olaf-programmeur/images/main/poche.webp</t>
  </si>
  <si>
    <t>politesse</t>
  </si>
  <si>
    <t>la politesse</t>
  </si>
  <si>
    <t>Les bonnes manières envers les autres.</t>
  </si>
  <si>
    <t>pommade</t>
  </si>
  <si>
    <t>la pommade</t>
  </si>
  <si>
    <t>La crème que l'on étale sur la peau pour soigner.</t>
  </si>
  <si>
    <t>https://raw.githubusercontent.com/olaf-programmeur/images/main/pommade.webp</t>
  </si>
  <si>
    <t>https://raw.githubusercontent.com/olaf-programmeur/images/main/pommade_1.webp</t>
  </si>
  <si>
    <t>https://raw.githubusercontent.com/olaf-programmeur/images/main/pommade_2.webp</t>
  </si>
  <si>
    <t>https://raw.githubusercontent.com/olaf-programmeur/images/main/pommade_3.webp</t>
  </si>
  <si>
    <t>https://raw.githubusercontent.com/olaf-programmeur/images/main/pommade_4.webp</t>
  </si>
  <si>
    <t>possibilite</t>
  </si>
  <si>
    <t>la possibilité</t>
  </si>
  <si>
    <t>Avoir plusieurs choix  ++  la chance que quelque chose arrive</t>
  </si>
  <si>
    <t>https://raw.githubusercontent.com/olaf-programmeur/images/main/possibilite.webp</t>
  </si>
  <si>
    <t>https://raw.githubusercontent.com/olaf-programmeur/images/main/possibilite_1.webp</t>
  </si>
  <si>
    <t>https://raw.githubusercontent.com/olaf-programmeur/images/main/possibilite_2.webp</t>
  </si>
  <si>
    <t>poste</t>
  </si>
  <si>
    <t>la poste</t>
  </si>
  <si>
    <t>https://raw.githubusercontent.com/olaf-programmeur/images/main/poste.webp</t>
  </si>
  <si>
    <t>https://raw.githubusercontent.com/olaf-programmeur/images/main/poste_1.webp</t>
  </si>
  <si>
    <t>https://raw.githubusercontent.com/olaf-programmeur/images/main/poste_2.webp</t>
  </si>
  <si>
    <t>https://raw.githubusercontent.com/olaf-programmeur/images/main/poste_3.webp</t>
  </si>
  <si>
    <t>https://raw.githubusercontent.com/olaf-programmeur/images/main/poste_4.webp</t>
  </si>
  <si>
    <t>poubelle</t>
  </si>
  <si>
    <t>la poubelle</t>
  </si>
  <si>
    <t>Le récipient où l'on jette les déchets.</t>
  </si>
  <si>
    <t>https://raw.githubusercontent.com/olaf-programmeur/images/main/poubelle.webp</t>
  </si>
  <si>
    <t>https://raw.githubusercontent.com/olaf-programmeur/images/main/poubelle_1.webp</t>
  </si>
  <si>
    <t>https://raw.githubusercontent.com/olaf-programmeur/images/main/poubelle_2.webp</t>
  </si>
  <si>
    <t>https://raw.githubusercontent.com/olaf-programmeur/images/main/poubelle_3.webp</t>
  </si>
  <si>
    <t>https://raw.githubusercontent.com/olaf-programmeur/images/main/poubelle_4.webp</t>
  </si>
  <si>
    <t>poudre</t>
  </si>
  <si>
    <t>la poudre</t>
  </si>
  <si>
    <t>La matière en tout petits grains, comme la farine ou le sucre.</t>
  </si>
  <si>
    <t>https://raw.githubusercontent.com/olaf-programmeur/images/main/poudre.webp</t>
  </si>
  <si>
    <t>poussiere</t>
  </si>
  <si>
    <t>la poussière</t>
  </si>
  <si>
    <t>La fine saleté grise qui se pose partout dans la maison.</t>
  </si>
  <si>
    <t>https://raw.githubusercontent.com/olaf-programmeur/images/main/poussiere.webp</t>
  </si>
  <si>
    <t>https://raw.githubusercontent.com/olaf-programmeur/images/main/poussiere_1.webp</t>
  </si>
  <si>
    <t>https://raw.githubusercontent.com/olaf-programmeur/images/main/poussiere_2.webp</t>
  </si>
  <si>
    <t>https://raw.githubusercontent.com/olaf-programmeur/images/main/poussiere_3.webp</t>
  </si>
  <si>
    <t>https://raw.githubusercontent.com/olaf-programmeur/images/main/poussiere_4.webp</t>
  </si>
  <si>
    <t>prairie</t>
  </si>
  <si>
    <t>la prairie</t>
  </si>
  <si>
    <t>Le grand terrain couvert d'herbe.</t>
  </si>
  <si>
    <t>https://raw.githubusercontent.com/olaf-programmeur/images/main/prairie.webp</t>
  </si>
  <si>
    <t>https://raw.githubusercontent.com/olaf-programmeur/images/main/prairie_1.webp</t>
  </si>
  <si>
    <t>https://raw.githubusercontent.com/olaf-programmeur/images/main/prairie_2.webp</t>
  </si>
  <si>
    <t>https://raw.githubusercontent.com/olaf-programmeur/images/main/prairie_3.webp</t>
  </si>
  <si>
    <t>https://raw.githubusercontent.com/olaf-programmeur/images/main/prairie_4.webp</t>
  </si>
  <si>
    <t>preuve</t>
  </si>
  <si>
    <t>la preuve</t>
  </si>
  <si>
    <t>Ce qui montre qu'une chose est vraie.</t>
  </si>
  <si>
    <t>https://raw.githubusercontent.com/olaf-programmeur/images/main/preuve.webp</t>
  </si>
  <si>
    <t>https://raw.githubusercontent.com/olaf-programmeur/images/main/preuve_1.webp</t>
  </si>
  <si>
    <t>https://raw.githubusercontent.com/olaf-programmeur/images/main/preuve_2.webp</t>
  </si>
  <si>
    <t>https://raw.githubusercontent.com/olaf-programmeur/images/main/preuve_3.webp</t>
  </si>
  <si>
    <t>promenade</t>
  </si>
  <si>
    <t>la promenade</t>
  </si>
  <si>
    <t>Le fait de marcher dehors pour le plaisir.</t>
  </si>
  <si>
    <t>https://raw.githubusercontent.com/olaf-programmeur/images/main/promenade.webp</t>
  </si>
  <si>
    <t>https://raw.githubusercontent.com/olaf-programmeur/images/main/promenade_1.webp</t>
  </si>
  <si>
    <t>https://raw.githubusercontent.com/olaf-programmeur/images/main/promenade_2.webp</t>
  </si>
  <si>
    <t>https://raw.githubusercontent.com/olaf-programmeur/images/main/promenade_3.webp</t>
  </si>
  <si>
    <t>https://raw.githubusercontent.com/olaf-programmeur/images/main/promenade_4.webp</t>
  </si>
  <si>
    <t>promesse</t>
  </si>
  <si>
    <t>la promesse</t>
  </si>
  <si>
    <t>Ce que l'on s'engage à faire à coup sûr.</t>
  </si>
  <si>
    <t>https://raw.githubusercontent.com/olaf-programmeur/images/main/promesse.webp</t>
  </si>
  <si>
    <t>protection</t>
  </si>
  <si>
    <t>la protection</t>
  </si>
  <si>
    <t>Ce qui met à l'abri du danger.</t>
  </si>
  <si>
    <t>https://raw.githubusercontent.com/olaf-programmeur/images/main/protection.webp</t>
  </si>
  <si>
    <t>qualite</t>
  </si>
  <si>
    <t>la qualité</t>
  </si>
  <si>
    <t>Ce qui fait qu'une chose ou une personne est bonne.</t>
  </si>
  <si>
    <t>https://raw.githubusercontent.com/olaf-programmeur/images/main/qualite.webp</t>
  </si>
  <si>
    <t>quantite</t>
  </si>
  <si>
    <t>la quantité</t>
  </si>
  <si>
    <t>Le nombre ou la mesure d'une chose : beaucoup ou peu.</t>
  </si>
  <si>
    <t>https://raw.githubusercontent.com/olaf-programmeur/images/main/quantite.webp</t>
  </si>
  <si>
    <t>question</t>
  </si>
  <si>
    <t>la question</t>
  </si>
  <si>
    <t>Ce que l'on dit pour demander quelque chose.</t>
  </si>
  <si>
    <t>https://raw.githubusercontent.com/olaf-programmeur/images/main/question.webp</t>
  </si>
  <si>
    <t>queue</t>
  </si>
  <si>
    <t>la queue</t>
  </si>
  <si>
    <t>La partie longue à l'arrière du corps de certains animaux.</t>
  </si>
  <si>
    <t>https://raw.githubusercontent.com/olaf-programmeur/images/main/queue.webp</t>
  </si>
  <si>
    <t>https://raw.githubusercontent.com/olaf-programmeur/images/main/queue_1.webp</t>
  </si>
  <si>
    <t>https://raw.githubusercontent.com/olaf-programmeur/images/main/queue_2.webp</t>
  </si>
  <si>
    <t>https://raw.githubusercontent.com/olaf-programmeur/images/main/queue_3.webp</t>
  </si>
  <si>
    <t>https://raw.githubusercontent.com/olaf-programmeur/images/main/queue_4.webp</t>
  </si>
  <si>
    <t>racine</t>
  </si>
  <si>
    <t>la racine</t>
  </si>
  <si>
    <t>La partie de la plante qui est sous la terre.</t>
  </si>
  <si>
    <t>https://raw.githubusercontent.com/olaf-programmeur/images/main/racine.webp</t>
  </si>
  <si>
    <t>https://raw.githubusercontent.com/olaf-programmeur/images/main/racine_1.webp</t>
  </si>
  <si>
    <t>https://raw.githubusercontent.com/olaf-programmeur/images/main/racine_2.webp</t>
  </si>
  <si>
    <t>https://raw.githubusercontent.com/olaf-programmeur/images/main/racine_3.webp</t>
  </si>
  <si>
    <t>https://raw.githubusercontent.com/olaf-programmeur/images/main/racine_4.webp</t>
  </si>
  <si>
    <t>randonnee</t>
  </si>
  <si>
    <t>la randonnée</t>
  </si>
  <si>
    <t>La longue promenade dans la nature.</t>
  </si>
  <si>
    <t>https://raw.githubusercontent.com/olaf-programmeur/images/main/randonnee.webp</t>
  </si>
  <si>
    <t>https://raw.githubusercontent.com/olaf-programmeur/images/main/randonnee_1.webp</t>
  </si>
  <si>
    <t>https://raw.githubusercontent.com/olaf-programmeur/images/main/randonnee_2.webp</t>
  </si>
  <si>
    <t>https://raw.githubusercontent.com/olaf-programmeur/images/main/randonnee_3.webp</t>
  </si>
  <si>
    <t>https://raw.githubusercontent.com/olaf-programmeur/images/main/randonnee_4.webp</t>
  </si>
  <si>
    <t>rapidite</t>
  </si>
  <si>
    <t>la rapidité</t>
  </si>
  <si>
    <t>Le fait d'aller vite.</t>
  </si>
  <si>
    <t>https://raw.githubusercontent.com/olaf-programmeur/images/main/rapidite.webp</t>
  </si>
  <si>
    <t>https://raw.githubusercontent.com/olaf-programmeur/images/main/rapidite_1.webp</t>
  </si>
  <si>
    <t>https://raw.githubusercontent.com/olaf-programmeur/images/main/rapidite_2.webp</t>
  </si>
  <si>
    <t>https://raw.githubusercontent.com/olaf-programmeur/images/main/rapidite_3.webp</t>
  </si>
  <si>
    <t>reaction</t>
  </si>
  <si>
    <t>la réaction</t>
  </si>
  <si>
    <t>La façon dont on répond à ce qui arrive.</t>
  </si>
  <si>
    <t>https://raw.githubusercontent.com/olaf-programmeur/images/main/reaction.webp</t>
  </si>
  <si>
    <t>https://raw.githubusercontent.com/olaf-programmeur/images/main/reaction_1.webp</t>
  </si>
  <si>
    <t>recolte</t>
  </si>
  <si>
    <t>la récolte</t>
  </si>
  <si>
    <t>Ce que l'on ramasse quand les plantes sont mûres.</t>
  </si>
  <si>
    <t>https://raw.githubusercontent.com/olaf-programmeur/images/main/recolte.webp</t>
  </si>
  <si>
    <t>https://raw.githubusercontent.com/olaf-programmeur/images/main/recolte_1.webp</t>
  </si>
  <si>
    <t>https://raw.githubusercontent.com/olaf-programmeur/images/main/recolte_2.webp</t>
  </si>
  <si>
    <t>https://raw.githubusercontent.com/olaf-programmeur/images/main/recolte_3.webp</t>
  </si>
  <si>
    <t>https://raw.githubusercontent.com/olaf-programmeur/images/main/recolte_4.webp</t>
  </si>
  <si>
    <t>reconciliation</t>
  </si>
  <si>
    <t>la réconciliation</t>
  </si>
  <si>
    <t>Le fait de redevenir amis après une dispute.</t>
  </si>
  <si>
    <t>https://raw.githubusercontent.com/olaf-programmeur/images/main/reconciliation.webp</t>
  </si>
  <si>
    <t>rencontre</t>
  </si>
  <si>
    <t>la rencontre</t>
  </si>
  <si>
    <t>Le moment où l'on retrouve ou découvre quelqu'un.</t>
  </si>
  <si>
    <t>https://raw.githubusercontent.com/olaf-programmeur/images/main/rencontre.webp</t>
  </si>
  <si>
    <t>reparation</t>
  </si>
  <si>
    <t>la réparation</t>
  </si>
  <si>
    <t>Le fait de remettre en bon état une chose abîmée.</t>
  </si>
  <si>
    <t>https://raw.githubusercontent.com/olaf-programmeur/images/main/reparation.webp</t>
  </si>
  <si>
    <t>reponse</t>
  </si>
  <si>
    <t>la réponse</t>
  </si>
  <si>
    <t>Ce que l'on dit après une question.</t>
  </si>
  <si>
    <t>https://raw.githubusercontent.com/olaf-programmeur/images/main/reponse.webp</t>
  </si>
  <si>
    <t>robe</t>
  </si>
  <si>
    <t>la robe</t>
  </si>
  <si>
    <t>Le vêtement d'une seule pièce, porté surtout par les filles.</t>
  </si>
  <si>
    <t>https://raw.githubusercontent.com/olaf-programmeur/images/main/robe.webp</t>
  </si>
  <si>
    <t>roche</t>
  </si>
  <si>
    <t>la roche</t>
  </si>
  <si>
    <t>La matière dure dont sont faites les pierres et les montagnes.</t>
  </si>
  <si>
    <t>https://raw.githubusercontent.com/olaf-programmeur/images/main/roche.webp</t>
  </si>
  <si>
    <t>https://raw.githubusercontent.com/olaf-programmeur/images/main/roche_1.webp</t>
  </si>
  <si>
    <t>https://raw.githubusercontent.com/olaf-programmeur/images/main/roche_2.webp</t>
  </si>
  <si>
    <t>https://raw.githubusercontent.com/olaf-programmeur/images/main/roche_3.webp</t>
  </si>
  <si>
    <t>https://raw.githubusercontent.com/olaf-programmeur/images/main/roche_4.webp</t>
  </si>
  <si>
    <t>rosee</t>
  </si>
  <si>
    <t>la rosée</t>
  </si>
  <si>
    <t>Les petites gouttes d'eau qui se posent le matin sur l'herbe.</t>
  </si>
  <si>
    <t>https://raw.githubusercontent.com/olaf-programmeur/images/main/rosee_3.webp</t>
  </si>
  <si>
    <t>https://raw.githubusercontent.com/olaf-programmeur/images/main/rosee_4.webp</t>
  </si>
  <si>
    <t>roue</t>
  </si>
  <si>
    <t>la roue</t>
  </si>
  <si>
    <t>La pièce ronde qui tourne et fait avancer un véhicule.</t>
  </si>
  <si>
    <t>https://raw.githubusercontent.com/olaf-programmeur/images/main/roue.webp</t>
  </si>
  <si>
    <t>https://raw.githubusercontent.com/olaf-programmeur/images/main/roue_1.webp</t>
  </si>
  <si>
    <t>https://raw.githubusercontent.com/olaf-programmeur/images/main/roue_2.webp</t>
  </si>
  <si>
    <t>https://raw.githubusercontent.com/olaf-programmeur/images/main/roue_3.webp</t>
  </si>
  <si>
    <t>https://raw.githubusercontent.com/olaf-programmeur/images/main/roue_4.webp</t>
  </si>
  <si>
    <t>salete</t>
  </si>
  <si>
    <t>la saleté</t>
  </si>
  <si>
    <t>Ce qui rend une chose sale.</t>
  </si>
  <si>
    <t>https://raw.githubusercontent.com/olaf-programmeur/images/main/salete.webp</t>
  </si>
  <si>
    <t>https://raw.githubusercontent.com/olaf-programmeur/images/main/salete_1.webp</t>
  </si>
  <si>
    <t>https://raw.githubusercontent.com/olaf-programmeur/images/main/salete_2.webp</t>
  </si>
  <si>
    <t>https://raw.githubusercontent.com/olaf-programmeur/images/main/salete_3.webp</t>
  </si>
  <si>
    <t>https://raw.githubusercontent.com/olaf-programmeur/images/main/salete_4.webp</t>
  </si>
  <si>
    <t>sante</t>
  </si>
  <si>
    <t>la santé</t>
  </si>
  <si>
    <t>L'état du corps quand il va bien.</t>
  </si>
  <si>
    <t>https://raw.githubusercontent.com/olaf-programmeur/images/main/sante.webp</t>
  </si>
  <si>
    <t>sauce</t>
  </si>
  <si>
    <t>la sauce</t>
  </si>
  <si>
    <t>Le liquide épais que l'on met sur un plat pour le goût.</t>
  </si>
  <si>
    <t>https://raw.githubusercontent.com/olaf-programmeur/images/main/sauce.webp</t>
  </si>
  <si>
    <t>sensation</t>
  </si>
  <si>
    <t>la sensation</t>
  </si>
  <si>
    <t>Ce que le corps ressent : le chaud, le froid, la douleur.</t>
  </si>
  <si>
    <t>https://raw.githubusercontent.com/olaf-programmeur/images/main/sensation.webp</t>
  </si>
  <si>
    <t>https://raw.githubusercontent.com/olaf-programmeur/images/main/sensation_1.webp</t>
  </si>
  <si>
    <t>https://raw.githubusercontent.com/olaf-programmeur/images/main/sensation_2.webp</t>
  </si>
  <si>
    <t>serviette</t>
  </si>
  <si>
    <t>la serviette</t>
  </si>
  <si>
    <t>Le tissu pour s'essuyer après s'être lavé. On dit également un linge.</t>
  </si>
  <si>
    <t>https://raw.githubusercontent.com/olaf-programmeur/images/main/serviette.webp</t>
  </si>
  <si>
    <t>signature</t>
  </si>
  <si>
    <t>la signature</t>
  </si>
  <si>
    <t>Le nom que l'on écrit pour s'engager  ++  au fond d'une lettre</t>
  </si>
  <si>
    <t>https://raw.githubusercontent.com/olaf-programmeur/images/main/signature.webp</t>
  </si>
  <si>
    <t>situation</t>
  </si>
  <si>
    <t>la situation</t>
  </si>
  <si>
    <t>L'état dans lequel se trouve une personne ou une chose.</t>
  </si>
  <si>
    <t>https://raw.githubusercontent.com/olaf-programmeur/images/main/situation.webp</t>
  </si>
  <si>
    <t>societe</t>
  </si>
  <si>
    <t>la société</t>
  </si>
  <si>
    <t>L'ensemble des gens qui vivent ensemble dans un pays.</t>
  </si>
  <si>
    <t>https://raw.githubusercontent.com/olaf-programmeur/images/main/societe.webp</t>
  </si>
  <si>
    <t>somme</t>
  </si>
  <si>
    <t>la somme</t>
  </si>
  <si>
    <t>Le résultat d'une addition.</t>
  </si>
  <si>
    <t>https://raw.githubusercontent.com/olaf-programmeur/images/main/somme.webp</t>
  </si>
  <si>
    <t>sorte</t>
  </si>
  <si>
    <t>la sorte</t>
  </si>
  <si>
    <t>Une catégorie  ++  un groupe  ++  un type de choses.</t>
  </si>
  <si>
    <t>sortie</t>
  </si>
  <si>
    <t>la sortie</t>
  </si>
  <si>
    <t>L'endroit où on sort d'un immeuble  ++ d'un magasin ++ d'un parking</t>
  </si>
  <si>
    <t>https://raw.githubusercontent.com/olaf-programmeur/images/main/sortie.webp</t>
  </si>
  <si>
    <t>https://raw.githubusercontent.com/olaf-programmeur/images/main/sortie_1.webp</t>
  </si>
  <si>
    <t>https://raw.githubusercontent.com/olaf-programmeur/images/main/sortie_2.webp</t>
  </si>
  <si>
    <t>https://raw.githubusercontent.com/olaf-programmeur/images/main/sortie_3.webp</t>
  </si>
  <si>
    <t>source</t>
  </si>
  <si>
    <t>la source</t>
  </si>
  <si>
    <t>L'endroit où l'eau sort de la terre.</t>
  </si>
  <si>
    <t>https://raw.githubusercontent.com/olaf-programmeur/images/main/source.webp</t>
  </si>
  <si>
    <t>sucrerie</t>
  </si>
  <si>
    <t>la sucrerie</t>
  </si>
  <si>
    <t>La friandise sucrée, comme un bonbon ou du chocolat.</t>
  </si>
  <si>
    <t>surface</t>
  </si>
  <si>
    <t>la surface</t>
  </si>
  <si>
    <t>Le dessus plat d'une chose, sa partie extérieure.</t>
  </si>
  <si>
    <t>https://raw.githubusercontent.com/olaf-programmeur/images/main/surface.webp</t>
  </si>
  <si>
    <t>tache</t>
  </si>
  <si>
    <t>la tâche</t>
  </si>
  <si>
    <t>Le travail précis que l'on doit faire.</t>
  </si>
  <si>
    <t>https://raw.githubusercontent.com/olaf-programmeur/images/main/tache.webp</t>
  </si>
  <si>
    <t>tempete</t>
  </si>
  <si>
    <t>la tempête</t>
  </si>
  <si>
    <t>Le très mauvais temps avec beaucoup de vent.</t>
  </si>
  <si>
    <t>https://raw.githubusercontent.com/olaf-programmeur/images/main/tempete.webp</t>
  </si>
  <si>
    <t>https://raw.githubusercontent.com/olaf-programmeur/images/main/tempete_1.webp</t>
  </si>
  <si>
    <t>https://raw.githubusercontent.com/olaf-programmeur/images/main/tempete_2.webp</t>
  </si>
  <si>
    <t>https://raw.githubusercontent.com/olaf-programmeur/images/main/tempete_3.webp</t>
  </si>
  <si>
    <t>https://raw.githubusercontent.com/olaf-programmeur/images/main/tempete_4.webp</t>
  </si>
  <si>
    <t>tendresse</t>
  </si>
  <si>
    <t>la tendresse</t>
  </si>
  <si>
    <t>L'affection douce que l'on a pour quelqu'un.</t>
  </si>
  <si>
    <t>https://raw.githubusercontent.com/olaf-programmeur/images/main/tendresse.webp</t>
  </si>
  <si>
    <t>https://raw.githubusercontent.com/olaf-programmeur/images/main/tendresse_1.webp</t>
  </si>
  <si>
    <t>https://raw.githubusercontent.com/olaf-programmeur/images/main/tendresse_2.webp</t>
  </si>
  <si>
    <t>https://raw.githubusercontent.com/olaf-programmeur/images/main/tendresse_3.webp</t>
  </si>
  <si>
    <t>https://raw.githubusercontent.com/olaf-programmeur/images/main/tendresse_4.webp</t>
  </si>
  <si>
    <t>tente</t>
  </si>
  <si>
    <t>la tente</t>
  </si>
  <si>
    <t>L'abri en tissu que l'on monte pour dormir dehors.</t>
  </si>
  <si>
    <t>https://raw.githubusercontent.com/olaf-programmeur/images/main/tente.webp</t>
  </si>
  <si>
    <t>https://raw.githubusercontent.com/olaf-programmeur/images/main/tente_1.webp</t>
  </si>
  <si>
    <t>https://raw.githubusercontent.com/olaf-programmeur/images/main/tente_2.webp</t>
  </si>
  <si>
    <t>https://raw.githubusercontent.com/olaf-programmeur/images/main/tente_3.webp</t>
  </si>
  <si>
    <t>https://raw.githubusercontent.com/olaf-programmeur/images/main/tente_4.webp</t>
  </si>
  <si>
    <t>timidite</t>
  </si>
  <si>
    <t>la timidité</t>
  </si>
  <si>
    <t>La gêne que l'on ressent devant les autres.</t>
  </si>
  <si>
    <t>https://raw.githubusercontent.com/olaf-programmeur/images/main/timidite.webp</t>
  </si>
  <si>
    <t>https://raw.githubusercontent.com/olaf-programmeur/images/main/timidite_1.webp</t>
  </si>
  <si>
    <t>https://raw.githubusercontent.com/olaf-programmeur/images/main/timidite_2.webp</t>
  </si>
  <si>
    <t>https://raw.githubusercontent.com/olaf-programmeur/images/main/timidite_3.webp</t>
  </si>
  <si>
    <t>toux</t>
  </si>
  <si>
    <t>la toux</t>
  </si>
  <si>
    <t>Le bruit fort que l'on fait quand la gorge est irritée.</t>
  </si>
  <si>
    <t>https://raw.githubusercontent.com/olaf-programmeur/images/main/toux.webp</t>
  </si>
  <si>
    <t>https://raw.githubusercontent.com/olaf-programmeur/images/main/toux_1.webp</t>
  </si>
  <si>
    <t>https://raw.githubusercontent.com/olaf-programmeur/images/main/toux_2.webp</t>
  </si>
  <si>
    <t>vague</t>
  </si>
  <si>
    <t>la vague</t>
  </si>
  <si>
    <t>Le mouvement de l'eau qui monte et descend sur la mer.</t>
  </si>
  <si>
    <t>https://raw.githubusercontent.com/olaf-programmeur/images/main/vague.webp</t>
  </si>
  <si>
    <t>https://raw.githubusercontent.com/olaf-programmeur/images/main/vague_1.webp</t>
  </si>
  <si>
    <t>https://raw.githubusercontent.com/olaf-programmeur/images/main/vague_2.webp</t>
  </si>
  <si>
    <t>https://raw.githubusercontent.com/olaf-programmeur/images/main/vague_3.webp</t>
  </si>
  <si>
    <t>https://raw.githubusercontent.com/olaf-programmeur/images/main/vague_4.webp</t>
  </si>
  <si>
    <t>valise</t>
  </si>
  <si>
    <t>la valise</t>
  </si>
  <si>
    <t>Le grand sac rigide où l'on range ses affaires pour les vacances.</t>
  </si>
  <si>
    <t>https://raw.githubusercontent.com/olaf-programmeur/images/main/valise.webp</t>
  </si>
  <si>
    <t>https://raw.githubusercontent.com/olaf-programmeur/images/main/valise_1.webp</t>
  </si>
  <si>
    <t>https://raw.githubusercontent.com/olaf-programmeur/images/main/valise_2.webp</t>
  </si>
  <si>
    <t>https://raw.githubusercontent.com/olaf-programmeur/images/main/valise_3.webp</t>
  </si>
  <si>
    <t>https://raw.githubusercontent.com/olaf-programmeur/images/main/valise_4.webp</t>
  </si>
  <si>
    <t>vallee</t>
  </si>
  <si>
    <t>la vallée</t>
  </si>
  <si>
    <t>L'espace bas entre deux montagnes.</t>
  </si>
  <si>
    <t>https://raw.githubusercontent.com/olaf-programmeur/images/main/vallee.webp</t>
  </si>
  <si>
    <t>vente</t>
  </si>
  <si>
    <t>la vente</t>
  </si>
  <si>
    <t>Le fait de vendre quelque chose.</t>
  </si>
  <si>
    <t>https://raw.githubusercontent.com/olaf-programmeur/images/main/vente.webp</t>
  </si>
  <si>
    <t>verite</t>
  </si>
  <si>
    <t>la vérité</t>
  </si>
  <si>
    <t>Ce qui est vrai, ce qui s'est vraiment passé.</t>
  </si>
  <si>
    <t>https://raw.githubusercontent.com/olaf-programmeur/images/main/verite.webp</t>
  </si>
  <si>
    <t>https://raw.githubusercontent.com/olaf-programmeur/images/main/verite_1.webp</t>
  </si>
  <si>
    <t>victime</t>
  </si>
  <si>
    <t>la victime</t>
  </si>
  <si>
    <t>La personne qui a subi un mal ou un accident.</t>
  </si>
  <si>
    <t>https://raw.githubusercontent.com/olaf-programmeur/images/main/victime.webp</t>
  </si>
  <si>
    <t>vie</t>
  </si>
  <si>
    <t>la vie</t>
  </si>
  <si>
    <t>Ce qui fait qu'un être respire, bouge et grandit.</t>
  </si>
  <si>
    <t>https://raw.githubusercontent.com/olaf-programmeur/images/main/vie.webp</t>
  </si>
  <si>
    <t>vigne</t>
  </si>
  <si>
    <t>la vigne</t>
  </si>
  <si>
    <t>Plante grimpante dont les fruits sont les raisins, qu'on cultive dans des champs appelés vignobles pour faire du jus de raisin ou du vin.</t>
  </si>
  <si>
    <t>https://raw.githubusercontent.com/olaf-programmeur/images/main/vigne.webp</t>
  </si>
  <si>
    <t>vis</t>
  </si>
  <si>
    <t>la vis</t>
  </si>
  <si>
    <t>La petite tige de métal que l'on tourne pour fixer.</t>
  </si>
  <si>
    <t>https://raw.githubusercontent.com/olaf-programmeur/images/main/vis.webp</t>
  </si>
  <si>
    <t>https://raw.githubusercontent.com/olaf-programmeur/images/main/vis_1.webp</t>
  </si>
  <si>
    <t>https://raw.githubusercontent.com/olaf-programmeur/images/main/vis_2.webp</t>
  </si>
  <si>
    <t>https://raw.githubusercontent.com/olaf-programmeur/images/main/vis_3.webp</t>
  </si>
  <si>
    <t>visite</t>
  </si>
  <si>
    <t>la visite</t>
  </si>
  <si>
    <t>https://raw.githubusercontent.com/olaf-programmeur/images/main/visite.webp</t>
  </si>
  <si>
    <t>zone</t>
  </si>
  <si>
    <t>la zone</t>
  </si>
  <si>
    <t>Une partie d'un espace, un secteur.</t>
  </si>
  <si>
    <t>https://raw.githubusercontent.com/olaf-programmeur/images/main/zone.webp</t>
  </si>
  <si>
    <t>accident</t>
  </si>
  <si>
    <t>l'accident</t>
  </si>
  <si>
    <t>L'événement soudain qui cause un mal ou un dégât.</t>
  </si>
  <si>
    <t>https://raw.githubusercontent.com/olaf-programmeur/images/main/accident.webp</t>
  </si>
  <si>
    <t>https://raw.githubusercontent.com/olaf-programmeur/images/main/accident_1.webp</t>
  </si>
  <si>
    <t>https://raw.githubusercontent.com/olaf-programmeur/images/main/accident_2.webp</t>
  </si>
  <si>
    <t>https://raw.githubusercontent.com/olaf-programmeur/images/main/accident_3.webp</t>
  </si>
  <si>
    <t>https://raw.githubusercontent.com/olaf-programmeur/images/main/accident_4.webp</t>
  </si>
  <si>
    <t>accord</t>
  </si>
  <si>
    <t>l'accord</t>
  </si>
  <si>
    <t>Être du même avis  ++  s'entendre sur un échange</t>
  </si>
  <si>
    <t>https://raw.githubusercontent.com/olaf-programmeur/images/main/accord.webp</t>
  </si>
  <si>
    <t>https://raw.githubusercontent.com/olaf-programmeur/images/main/accord_1.webp</t>
  </si>
  <si>
    <t>https://raw.githubusercontent.com/olaf-programmeur/images/main/accord_2.webp</t>
  </si>
  <si>
    <t>https://raw.githubusercontent.com/olaf-programmeur/images/main/accord_3.webp</t>
  </si>
  <si>
    <t>https://raw.githubusercontent.com/olaf-programmeur/images/main/accord_4.webp</t>
  </si>
  <si>
    <t>achat</t>
  </si>
  <si>
    <t>l'achat</t>
  </si>
  <si>
    <t>L'action d'acheter quelque chose</t>
  </si>
  <si>
    <t>affaires</t>
  </si>
  <si>
    <t>les affaires</t>
  </si>
  <si>
    <t>Les objets personnels que l'on possède et que l'on emporte.</t>
  </si>
  <si>
    <t>https://raw.githubusercontent.com/olaf-programmeur/images/main/affaires_1.webp</t>
  </si>
  <si>
    <t>https://raw.githubusercontent.com/olaf-programmeur/images/main/affaires_2.webp</t>
  </si>
  <si>
    <t>age</t>
  </si>
  <si>
    <t>l'âge</t>
  </si>
  <si>
    <t>Le nombre d'années que l'on a depuis sa naissance.</t>
  </si>
  <si>
    <t>https://raw.githubusercontent.com/olaf-programmeur/images/main/age.webp</t>
  </si>
  <si>
    <t>https://raw.githubusercontent.com/olaf-programmeur/images/main/age_1.webp</t>
  </si>
  <si>
    <t>https://raw.githubusercontent.com/olaf-programmeur/images/main/age_2.webp</t>
  </si>
  <si>
    <t>https://raw.githubusercontent.com/olaf-programmeur/images/main/age_3.webp</t>
  </si>
  <si>
    <t>https://raw.githubusercontent.com/olaf-programmeur/images/main/age_4.webp</t>
  </si>
  <si>
    <t>agitation</t>
  </si>
  <si>
    <t>l'agitation</t>
  </si>
  <si>
    <t>Le fait de beaucoup bouger et de faire du bruit.</t>
  </si>
  <si>
    <t>https://raw.githubusercontent.com/olaf-programmeur/images/main/agitation.webp</t>
  </si>
  <si>
    <t>aide</t>
  </si>
  <si>
    <t>l'aide</t>
  </si>
  <si>
    <t>Ce que l'on fait pour rendre service à quelqu'un.</t>
  </si>
  <si>
    <t>https://raw.githubusercontent.com/olaf-programmeur/images/main/aide.webp</t>
  </si>
  <si>
    <t>https://raw.githubusercontent.com/olaf-programmeur/images/main/aide_1.webp</t>
  </si>
  <si>
    <t>https://raw.githubusercontent.com/olaf-programmeur/images/main/aide_2.webp</t>
  </si>
  <si>
    <t>https://raw.githubusercontent.com/olaf-programmeur/images/main/aide_3.webp</t>
  </si>
  <si>
    <t>aiguille</t>
  </si>
  <si>
    <t>l'aiguille</t>
  </si>
  <si>
    <t>La fine tige pointue pour coudre ou indiquer l'heure.</t>
  </si>
  <si>
    <t>https://raw.githubusercontent.com/olaf-programmeur/images/main/aiguille.webp</t>
  </si>
  <si>
    <t>https://raw.githubusercontent.com/olaf-programmeur/images/main/aiguille_1.webp</t>
  </si>
  <si>
    <t>https://raw.githubusercontent.com/olaf-programmeur/images/main/aiguille_2.webp</t>
  </si>
  <si>
    <t>https://raw.githubusercontent.com/olaf-programmeur/images/main/aiguille_3.webp</t>
  </si>
  <si>
    <t>https://raw.githubusercontent.com/olaf-programmeur/images/main/aiguille_4.webp</t>
  </si>
  <si>
    <t>air</t>
  </si>
  <si>
    <t>l'air</t>
  </si>
  <si>
    <t>Le gaz invisible que l'on respire.</t>
  </si>
  <si>
    <t>https://raw.githubusercontent.com/olaf-programmeur/images/main/air.webp</t>
  </si>
  <si>
    <t>allergie</t>
  </si>
  <si>
    <t>l'allergie</t>
  </si>
  <si>
    <t>La réaction du corps qui n'accepte pas une chose.</t>
  </si>
  <si>
    <t>https://raw.githubusercontent.com/olaf-programmeur/images/main/allergie.webp</t>
  </si>
  <si>
    <t>allumette</t>
  </si>
  <si>
    <t>l'allumette</t>
  </si>
  <si>
    <t>Le petit bâton qui s'enflamme quand on le frotte.</t>
  </si>
  <si>
    <t>https://raw.githubusercontent.com/olaf-programmeur/images/main/allumette.webp</t>
  </si>
  <si>
    <t>l'amitié</t>
  </si>
  <si>
    <t>Le lien d'affection entre des amis.</t>
  </si>
  <si>
    <t>https://raw.githubusercontent.com/olaf-programmeur/images/main/amitie.webp</t>
  </si>
  <si>
    <t>v_lancer</t>
  </si>
  <si>
    <t>lancer</t>
  </si>
  <si>
    <t>Envoyer quelque chose loin avec son bras.</t>
  </si>
  <si>
    <t>https://raw.githubusercontent.com/olaf-programmeur/images/main/v_lancer.webp</t>
  </si>
  <si>
    <t>https://raw.githubusercontent.com/olaf-programmeur/images/main/v_lancer_1.webp</t>
  </si>
  <si>
    <t>https://raw.githubusercontent.com/olaf-programmeur/images/main/v_lancer_2.webp</t>
  </si>
  <si>
    <t>https://raw.githubusercontent.com/olaf-programmeur/images/main/v_lancer_3.webp</t>
  </si>
  <si>
    <t>https://raw.githubusercontent.com/olaf-programmeur/images/main/v_lancer_4.webp</t>
  </si>
  <si>
    <t>anse</t>
  </si>
  <si>
    <t>l'anse</t>
  </si>
  <si>
    <t>La partie courbe d'un objet par laquelle on le tient.</t>
  </si>
  <si>
    <t>https://raw.githubusercontent.com/olaf-programmeur/images/main/anse.webp</t>
  </si>
  <si>
    <t>https://raw.githubusercontent.com/olaf-programmeur/images/main/anse_1.webp</t>
  </si>
  <si>
    <t>https://raw.githubusercontent.com/olaf-programmeur/images/main/anse_2.webp</t>
  </si>
  <si>
    <t>appareil</t>
  </si>
  <si>
    <t>l'appareil</t>
  </si>
  <si>
    <t>Une machine qui sert à faire un travail précis  ++  un aspirateur par exemple</t>
  </si>
  <si>
    <t>https://raw.githubusercontent.com/olaf-programmeur/images/main/four.webp</t>
  </si>
  <si>
    <t>appartement</t>
  </si>
  <si>
    <t>l'appartement</t>
  </si>
  <si>
    <t>Le logement dans un immeuble.</t>
  </si>
  <si>
    <t>https://raw.githubusercontent.com/olaf-programmeur/images/main/appartement.webp</t>
  </si>
  <si>
    <t>https://raw.githubusercontent.com/olaf-programmeur/images/main/appartement_1.webp</t>
  </si>
  <si>
    <t>https://raw.githubusercontent.com/olaf-programmeur/images/main/appartement_2.webp</t>
  </si>
  <si>
    <t>https://raw.githubusercontent.com/olaf-programmeur/images/main/appartement_3.webp</t>
  </si>
  <si>
    <t>https://raw.githubusercontent.com/olaf-programmeur/images/main/appartement_4.webp</t>
  </si>
  <si>
    <t>arc_en_ciel</t>
  </si>
  <si>
    <t>l'arc-en-ciel</t>
  </si>
  <si>
    <t>L'arc de couleurs dans le ciel après la pluie.</t>
  </si>
  <si>
    <t>https://raw.githubusercontent.com/olaf-programmeur/images/main/arc_en_ciel.webp</t>
  </si>
  <si>
    <t>attention</t>
  </si>
  <si>
    <t>l'attention</t>
  </si>
  <si>
    <t>Le fait de bien regarder ou écouter pour ne rien rater.</t>
  </si>
  <si>
    <t>https://raw.githubusercontent.com/olaf-programmeur/images/main/attention.webp</t>
  </si>
  <si>
    <t>autoroute</t>
  </si>
  <si>
    <t>l'autoroute</t>
  </si>
  <si>
    <t>La grande route rapide pour aller loin.</t>
  </si>
  <si>
    <t>https://raw.githubusercontent.com/olaf-programmeur/images/main/autoroute.webp</t>
  </si>
  <si>
    <t>https://raw.githubusercontent.com/olaf-programmeur/images/main/autoroute_1.webp</t>
  </si>
  <si>
    <t>https://raw.githubusercontent.com/olaf-programmeur/images/main/autoroute_2.webp</t>
  </si>
  <si>
    <t>https://raw.githubusercontent.com/olaf-programmeur/images/main/autoroute_3.webp</t>
  </si>
  <si>
    <t>https://raw.githubusercontent.com/olaf-programmeur/images/main/autoroute_4.webp</t>
  </si>
  <si>
    <t>aventure</t>
  </si>
  <si>
    <t>l'aventure</t>
  </si>
  <si>
    <t>Vivre quelque chose de surprenant  ++ d'extraordinaire</t>
  </si>
  <si>
    <t>https://raw.githubusercontent.com/olaf-programmeur/images/main/aventure.webp</t>
  </si>
  <si>
    <t>https://raw.githubusercontent.com/olaf-programmeur/images/main/aventure_1.webp</t>
  </si>
  <si>
    <t>https://raw.githubusercontent.com/olaf-programmeur/images/main/aventure_2.webp</t>
  </si>
  <si>
    <t>https://raw.githubusercontent.com/olaf-programmeur/images/main/aventure_3.webp</t>
  </si>
  <si>
    <t>https://raw.githubusercontent.com/olaf-programmeur/images/main/aventure_4.webp</t>
  </si>
  <si>
    <t>https://raw.githubusercontent.com/olaf-programmeur/images/main/complice_2.webp</t>
  </si>
  <si>
    <t>https://raw.githubusercontent.com/olaf-programmeur/images/main/complice_3.webp</t>
  </si>
  <si>
    <t>v_laver</t>
  </si>
  <si>
    <t>laver</t>
  </si>
  <si>
    <t>Nettoyer avec de l'eau.</t>
  </si>
  <si>
    <t>https://raw.githubusercontent.com/olaf-programmeur/images/main/v_laver.webp</t>
  </si>
  <si>
    <t>https://raw.githubusercontent.com/olaf-programmeur/images/main/v_laver_1.webp</t>
  </si>
  <si>
    <t>https://raw.githubusercontent.com/olaf-programmeur/images/main/v_laver_2.webp</t>
  </si>
  <si>
    <t>https://raw.githubusercontent.com/olaf-programmeur/images/main/v_laver_3.webp</t>
  </si>
  <si>
    <t>https://raw.githubusercontent.com/olaf-programmeur/images/main/v_laver_4.webp</t>
  </si>
  <si>
    <t>https://raw.githubusercontent.com/olaf-programmeur/images/main/v_lever.webp</t>
  </si>
  <si>
    <t>https://raw.githubusercontent.com/olaf-programmeur/images/main/v_lever_1.webp</t>
  </si>
  <si>
    <t>https://raw.githubusercontent.com/olaf-programmeur/images/main/v_lever_2.webp</t>
  </si>
  <si>
    <t>https://raw.githubusercontent.com/olaf-programmeur/images/main/v_lever_3.webp</t>
  </si>
  <si>
    <t>avis</t>
  </si>
  <si>
    <t>l'avis</t>
  </si>
  <si>
    <t>Dire ce que l'on pense.</t>
  </si>
  <si>
    <t>https://raw.githubusercontent.com/olaf-programmeur/images/main/avis.webp</t>
  </si>
  <si>
    <t>https://raw.githubusercontent.com/olaf-programmeur/images/main/avis_1.webp</t>
  </si>
  <si>
    <t>https://raw.githubusercontent.com/olaf-programmeur/images/main/avis_2.webp</t>
  </si>
  <si>
    <t>bagage</t>
  </si>
  <si>
    <t>le bagage</t>
  </si>
  <si>
    <t>Les sacs et valises que l'on emporte en voyage.</t>
  </si>
  <si>
    <t>https://raw.githubusercontent.com/olaf-programmeur/images/main/bagage.webp</t>
  </si>
  <si>
    <t>bain</t>
  </si>
  <si>
    <t>le bain</t>
  </si>
  <si>
    <t>L'eau dans laquelle on se plonge pour se laver.</t>
  </si>
  <si>
    <t>https://raw.githubusercontent.com/olaf-programmeur/images/main/bain.webp</t>
  </si>
  <si>
    <t>https://raw.githubusercontent.com/olaf-programmeur/images/main/bain_1.webp</t>
  </si>
  <si>
    <t>https://raw.githubusercontent.com/olaf-programmeur/images/main/bain_2.webp</t>
  </si>
  <si>
    <t>https://raw.githubusercontent.com/olaf-programmeur/images/main/bain_3.webp</t>
  </si>
  <si>
    <t>https://raw.githubusercontent.com/olaf-programmeur/images/main/bain_4.webp</t>
  </si>
  <si>
    <t>balai</t>
  </si>
  <si>
    <t>le balai</t>
  </si>
  <si>
    <t>L'objet à long manche qui sert à nettoyer le sol.</t>
  </si>
  <si>
    <t>https://raw.githubusercontent.com/olaf-programmeur/images/main/balai.webp</t>
  </si>
  <si>
    <t>https://raw.githubusercontent.com/olaf-programmeur/images/main/balai_1.webp</t>
  </si>
  <si>
    <t>https://raw.githubusercontent.com/olaf-programmeur/images/main/balai_2.webp</t>
  </si>
  <si>
    <t>https://raw.githubusercontent.com/olaf-programmeur/images/main/balai_3.webp</t>
  </si>
  <si>
    <t>https://raw.githubusercontent.com/olaf-programmeur/images/main/balai_4.webp</t>
  </si>
  <si>
    <t>balcon</t>
  </si>
  <si>
    <t>le balcon</t>
  </si>
  <si>
    <t>La petite plateforme dehors devant une fenêtre.</t>
  </si>
  <si>
    <t>https://raw.githubusercontent.com/olaf-programmeur/images/main/balcon.webp</t>
  </si>
  <si>
    <t>https://raw.githubusercontent.com/olaf-programmeur/images/main/balcon_1.webp</t>
  </si>
  <si>
    <t>https://raw.githubusercontent.com/olaf-programmeur/images/main/balcon_2.webp</t>
  </si>
  <si>
    <t>https://raw.githubusercontent.com/olaf-programmeur/images/main/balcon_3.webp</t>
  </si>
  <si>
    <t>https://raw.githubusercontent.com/olaf-programmeur/images/main/balcon_4.webp</t>
  </si>
  <si>
    <t>ballon</t>
  </si>
  <si>
    <t>le ballon</t>
  </si>
  <si>
    <t>L'objet rond et gonflé avec lequel on joue.</t>
  </si>
  <si>
    <t>https://raw.githubusercontent.com/olaf-programmeur/images/main/ballon.webp</t>
  </si>
  <si>
    <t>https://raw.githubusercontent.com/olaf-programmeur/images/main/ballon_1.webp</t>
  </si>
  <si>
    <t>https://raw.githubusercontent.com/olaf-programmeur/images/main/ballon_2.webp</t>
  </si>
  <si>
    <t>https://raw.githubusercontent.com/olaf-programmeur/images/main/ballon_3.webp</t>
  </si>
  <si>
    <t>https://raw.githubusercontent.com/olaf-programmeur/images/main/ballon_4.webp</t>
  </si>
  <si>
    <t>bandage</t>
  </si>
  <si>
    <t>le bandage</t>
  </si>
  <si>
    <t>La bande de tissu que l'on enroule autour d'une blessure.</t>
  </si>
  <si>
    <t>https://raw.githubusercontent.com/olaf-programmeur/images/main/bandage.webp</t>
  </si>
  <si>
    <t>https://raw.githubusercontent.com/olaf-programmeur/images/main/bandage_1.webp</t>
  </si>
  <si>
    <t>https://raw.githubusercontent.com/olaf-programmeur/images/main/bandage_2.webp</t>
  </si>
  <si>
    <t>https://raw.githubusercontent.com/olaf-programmeur/images/main/bandage_3.webp</t>
  </si>
  <si>
    <t>https://raw.githubusercontent.com/olaf-programmeur/images/main/bandage_4.webp</t>
  </si>
  <si>
    <t>batiment</t>
  </si>
  <si>
    <t>le bâtiment</t>
  </si>
  <si>
    <t>Une construction avec des murs et un toit, comme une maison.</t>
  </si>
  <si>
    <t>https://raw.githubusercontent.com/olaf-programmeur/images/main/batiment.webp</t>
  </si>
  <si>
    <t>https://raw.githubusercontent.com/olaf-programmeur/images/main/batiment_1.webp</t>
  </si>
  <si>
    <t>https://raw.githubusercontent.com/olaf-programmeur/images/main/batiment_2.webp</t>
  </si>
  <si>
    <t>https://raw.githubusercontent.com/olaf-programmeur/images/main/batiment_3.webp</t>
  </si>
  <si>
    <t>https://raw.githubusercontent.com/olaf-programmeur/images/main/batiment_4.webp</t>
  </si>
  <si>
    <t>besoin</t>
  </si>
  <si>
    <t>le besoin</t>
  </si>
  <si>
    <t>Ce qui manque  ++   Ce qu'il faut absolument faire ou avoir.</t>
  </si>
  <si>
    <t>https://raw.githubusercontent.com/olaf-programmeur/images/main/besoin.webp</t>
  </si>
  <si>
    <t>https://raw.githubusercontent.com/olaf-programmeur/images/main/besoin_1.webp</t>
  </si>
  <si>
    <t>beurre</t>
  </si>
  <si>
    <t>le beurre</t>
  </si>
  <si>
    <t>L'aliment gras et jaune fait avec la crème du lait.</t>
  </si>
  <si>
    <t>https://raw.githubusercontent.com/olaf-programmeur/images/main/beurre.webp</t>
  </si>
  <si>
    <t>https://raw.githubusercontent.com/olaf-programmeur/images/main/beurre_1.webp</t>
  </si>
  <si>
    <t>https://raw.githubusercontent.com/olaf-programmeur/images/main/beurre_2.webp</t>
  </si>
  <si>
    <t>billet</t>
  </si>
  <si>
    <t>le billet</t>
  </si>
  <si>
    <t>Le papier que l'on achète pour voyager ou entrer.</t>
  </si>
  <si>
    <t>https://raw.githubusercontent.com/olaf-programmeur/images/main/billet.webp</t>
  </si>
  <si>
    <t>https://raw.githubusercontent.com/olaf-programmeur/images/main/billet_1.webp</t>
  </si>
  <si>
    <t>https://raw.githubusercontent.com/olaf-programmeur/images/main/billet_2.webp</t>
  </si>
  <si>
    <t>ble</t>
  </si>
  <si>
    <t>le blé</t>
  </si>
  <si>
    <t>La plante des champs dont on tire la farine pour le pain.</t>
  </si>
  <si>
    <t>https://raw.githubusercontent.com/olaf-programmeur/images/main/ble.webp</t>
  </si>
  <si>
    <t>https://raw.githubusercontent.com/olaf-programmeur/images/main/ble_1.webp</t>
  </si>
  <si>
    <t>https://raw.githubusercontent.com/olaf-programmeur/images/main/ble_2.webp</t>
  </si>
  <si>
    <t>https://raw.githubusercontent.com/olaf-programmeur/images/main/ble_3.webp</t>
  </si>
  <si>
    <t>https://raw.githubusercontent.com/olaf-programmeur/images/main/ble_4.webp</t>
  </si>
  <si>
    <t>bocal</t>
  </si>
  <si>
    <t>le bocal</t>
  </si>
  <si>
    <t>Le pot en verre avec un couvercle pour conserver.</t>
  </si>
  <si>
    <t>https://raw.githubusercontent.com/olaf-programmeur/images/main/bocal.webp</t>
  </si>
  <si>
    <t>https://raw.githubusercontent.com/olaf-programmeur/images/main/bocal_1.webp</t>
  </si>
  <si>
    <t>https://raw.githubusercontent.com/olaf-programmeur/images/main/bocal_2.webp</t>
  </si>
  <si>
    <t>https://raw.githubusercontent.com/olaf-programmeur/images/main/bocal_3.webp</t>
  </si>
  <si>
    <t>https://raw.githubusercontent.com/olaf-programmeur/images/main/bocal_4.webp</t>
  </si>
  <si>
    <t>bois</t>
  </si>
  <si>
    <t>le bois</t>
  </si>
  <si>
    <t>La matière dure qui vient des arbres.</t>
  </si>
  <si>
    <t>https://raw.githubusercontent.com/olaf-programmeur/images/main/bois.webp</t>
  </si>
  <si>
    <t>https://raw.githubusercontent.com/olaf-programmeur/images/main/bois_1.webp</t>
  </si>
  <si>
    <t>https://raw.githubusercontent.com/olaf-programmeur/images/main/bois_2.webp</t>
  </si>
  <si>
    <t>https://raw.githubusercontent.com/olaf-programmeur/images/main/bois_3.webp</t>
  </si>
  <si>
    <t>https://raw.githubusercontent.com/olaf-programmeur/images/main/bois_4.webp</t>
  </si>
  <si>
    <t>bonbon</t>
  </si>
  <si>
    <t>le bonbon</t>
  </si>
  <si>
    <t>La petite sucrerie que les enfants aiment.</t>
  </si>
  <si>
    <t>https://raw.githubusercontent.com/olaf-programmeur/images/main/bonbon.webp</t>
  </si>
  <si>
    <t>https://raw.githubusercontent.com/olaf-programmeur/images/main/bonbon_1.webp</t>
  </si>
  <si>
    <t>https://raw.githubusercontent.com/olaf-programmeur/images/main/bonbon_2.webp</t>
  </si>
  <si>
    <t>https://raw.githubusercontent.com/olaf-programmeur/images/main/bonbon_3.webp</t>
  </si>
  <si>
    <t>https://raw.githubusercontent.com/olaf-programmeur/images/main/bonbon_4.webp</t>
  </si>
  <si>
    <t>bord</t>
  </si>
  <si>
    <t>le bord</t>
  </si>
  <si>
    <t>Là où finit un endroit, une chose  ++  là où en commence une autre.</t>
  </si>
  <si>
    <t>https://raw.githubusercontent.com/olaf-programmeur/images/main/bord.webp</t>
  </si>
  <si>
    <t>https://raw.githubusercontent.com/olaf-programmeur/images/main/bord_1.webp</t>
  </si>
  <si>
    <t>bourgeon</t>
  </si>
  <si>
    <t>le bourgeon</t>
  </si>
  <si>
    <t>La petite pousse d'où sortira une feuille ou une fleur.</t>
  </si>
  <si>
    <t>https://raw.githubusercontent.com/olaf-programmeur/images/main/bourgeon.webp</t>
  </si>
  <si>
    <t>https://raw.githubusercontent.com/olaf-programmeur/images/main/bourgeon_1.webp</t>
  </si>
  <si>
    <t>https://raw.githubusercontent.com/olaf-programmeur/images/main/bourgeon_2.webp</t>
  </si>
  <si>
    <t>https://raw.githubusercontent.com/olaf-programmeur/images/main/bourgeon_3.webp</t>
  </si>
  <si>
    <t>https://raw.githubusercontent.com/olaf-programmeur/images/main/bourgeon_4.webp</t>
  </si>
  <si>
    <t>bout</t>
  </si>
  <si>
    <t>le bout</t>
  </si>
  <si>
    <t>L'extrémité d'une chose, là où elle se termine.</t>
  </si>
  <si>
    <t>https://raw.githubusercontent.com/olaf-programmeur/images/main/bout.webp</t>
  </si>
  <si>
    <t>bouton</t>
  </si>
  <si>
    <t>le bouton</t>
  </si>
  <si>
    <t>La petite pièce ronde qui ferme un vêtement.</t>
  </si>
  <si>
    <t>https://raw.githubusercontent.com/olaf-programmeur/images/main/bouton.webp</t>
  </si>
  <si>
    <t>bricolage</t>
  </si>
  <si>
    <t>le bricolage</t>
  </si>
  <si>
    <t>L'activité de réparer ou de fabriquer des objets soi-même.</t>
  </si>
  <si>
    <t>https://raw.githubusercontent.com/olaf-programmeur/images/main/bricolage.webp</t>
  </si>
  <si>
    <t>https://raw.githubusercontent.com/olaf-programmeur/images/main/bricolage_1.webp</t>
  </si>
  <si>
    <t>https://raw.githubusercontent.com/olaf-programmeur/images/main/bricolage_2.webp</t>
  </si>
  <si>
    <t>https://raw.githubusercontent.com/olaf-programmeur/images/main/bricolage_3.webp</t>
  </si>
  <si>
    <t>https://raw.githubusercontent.com/olaf-programmeur/images/main/bricolage_4.webp</t>
  </si>
  <si>
    <t>brin</t>
  </si>
  <si>
    <t>le brin</t>
  </si>
  <si>
    <t>Un tout petit morceau long et fin.</t>
  </si>
  <si>
    <t>https://raw.githubusercontent.com/olaf-programmeur/images/main/brin.webp</t>
  </si>
  <si>
    <t>https://raw.githubusercontent.com/olaf-programmeur/images/main/brin_1.webp</t>
  </si>
  <si>
    <t>https://raw.githubusercontent.com/olaf-programmeur/images/main/brin_2.webp</t>
  </si>
  <si>
    <t>https://raw.githubusercontent.com/olaf-programmeur/images/main/brin_3.webp</t>
  </si>
  <si>
    <t>https://raw.githubusercontent.com/olaf-programmeur/images/main/brin_4.webp</t>
  </si>
  <si>
    <t>brouillard</t>
  </si>
  <si>
    <t>le brouillard</t>
  </si>
  <si>
    <t>Le nuage bas qui empêche de bien voir au loin.</t>
  </si>
  <si>
    <t>https://raw.githubusercontent.com/olaf-programmeur/images/main/brouillard.webp</t>
  </si>
  <si>
    <t>https://raw.githubusercontent.com/olaf-programmeur/images/main/brouillard_1.webp</t>
  </si>
  <si>
    <t>https://raw.githubusercontent.com/olaf-programmeur/images/main/brouillard_2.webp</t>
  </si>
  <si>
    <t>https://raw.githubusercontent.com/olaf-programmeur/images/main/brouillard_3.webp</t>
  </si>
  <si>
    <t>https://raw.githubusercontent.com/olaf-programmeur/images/main/brouillard_4.webp</t>
  </si>
  <si>
    <t>bruit</t>
  </si>
  <si>
    <t>le bruit</t>
  </si>
  <si>
    <t>Le son, souvent fort ou désagréable.</t>
  </si>
  <si>
    <t>https://raw.githubusercontent.com/olaf-programmeur/images/main/bruit.webp</t>
  </si>
  <si>
    <t>https://raw.githubusercontent.com/olaf-programmeur/images/main/bruit_1.webp</t>
  </si>
  <si>
    <t>https://raw.githubusercontent.com/olaf-programmeur/images/main/bruit_2.webp</t>
  </si>
  <si>
    <t>buisson</t>
  </si>
  <si>
    <t>le buisson</t>
  </si>
  <si>
    <t>La petite plante touffue avec des branches basses.</t>
  </si>
  <si>
    <t>https://raw.githubusercontent.com/olaf-programmeur/images/main/buisson.webp</t>
  </si>
  <si>
    <t>https://raw.githubusercontent.com/olaf-programmeur/images/main/buisson_1.webp</t>
  </si>
  <si>
    <t>https://raw.githubusercontent.com/olaf-programmeur/images/main/buisson_2.webp</t>
  </si>
  <si>
    <t>https://raw.githubusercontent.com/olaf-programmeur/images/main/buisson_3.webp</t>
  </si>
  <si>
    <t>https://raw.githubusercontent.com/olaf-programmeur/images/main/buisson_4.webp</t>
  </si>
  <si>
    <t>but_foot</t>
  </si>
  <si>
    <t>le but</t>
  </si>
  <si>
    <t>L'endroit où il faut mettre le ballon pour marquer un point.</t>
  </si>
  <si>
    <t>https://raw.githubusercontent.com/olaf-programmeur/images/main/but_foot.webp</t>
  </si>
  <si>
    <t>https://raw.githubusercontent.com/olaf-programmeur/images/main/but_foot_1.webp</t>
  </si>
  <si>
    <t>https://raw.githubusercontent.com/olaf-programmeur/images/main/but_foot_2.webp</t>
  </si>
  <si>
    <t>https://raw.githubusercontent.com/olaf-programmeur/images/main/but_foot_3.webp</t>
  </si>
  <si>
    <t>https://raw.githubusercontent.com/olaf-programmeur/images/main/but_foot_4.webp</t>
  </si>
  <si>
    <t>cadeau</t>
  </si>
  <si>
    <t>le cadeau</t>
  </si>
  <si>
    <t>L'objet que l'on offre à quelqu'un pour lui faire plaisir.</t>
  </si>
  <si>
    <t>https://raw.githubusercontent.com/olaf-programmeur/images/main/cadeau.webp</t>
  </si>
  <si>
    <t>https://raw.githubusercontent.com/olaf-programmeur/images/main/cadeau_1.webp</t>
  </si>
  <si>
    <t>https://raw.githubusercontent.com/olaf-programmeur/images/main/cadeau_2.webp</t>
  </si>
  <si>
    <t>https://raw.githubusercontent.com/olaf-programmeur/images/main/cadeau_3.webp</t>
  </si>
  <si>
    <t>https://raw.githubusercontent.com/olaf-programmeur/images/main/cadeau_4.webp</t>
  </si>
  <si>
    <t>cahier</t>
  </si>
  <si>
    <t>le cahier</t>
  </si>
  <si>
    <t>Les feuilles reliées où l'on écrit ses leçons.</t>
  </si>
  <si>
    <t>https://raw.githubusercontent.com/olaf-programmeur/images/main/cahier.webp</t>
  </si>
  <si>
    <t>https://raw.githubusercontent.com/olaf-programmeur/images/main/cahier_1.webp</t>
  </si>
  <si>
    <t>https://raw.githubusercontent.com/olaf-programmeur/images/main/cahier_2.webp</t>
  </si>
  <si>
    <t>https://raw.githubusercontent.com/olaf-programmeur/images/main/cahier_3.webp</t>
  </si>
  <si>
    <t>https://raw.githubusercontent.com/olaf-programmeur/images/main/cahier_4.webp</t>
  </si>
  <si>
    <t>calcul</t>
  </si>
  <si>
    <t>le calcul</t>
  </si>
  <si>
    <t>L'opération que l'on fait avec des nombres.</t>
  </si>
  <si>
    <t>https://raw.githubusercontent.com/olaf-programmeur/images/main/calcul.webp</t>
  </si>
  <si>
    <t>calme</t>
  </si>
  <si>
    <t>le calme</t>
  </si>
  <si>
    <t>L'état tranquille, sans bruit ni agitation.</t>
  </si>
  <si>
    <t>https://raw.githubusercontent.com/olaf-programmeur/images/main/calme.webp</t>
  </si>
  <si>
    <t>camping</t>
  </si>
  <si>
    <t>le camping</t>
  </si>
  <si>
    <t>Le lieu ou l'activité où l'on dort sous la tente.</t>
  </si>
  <si>
    <t>https://raw.githubusercontent.com/olaf-programmeur/images/main/camping.webp</t>
  </si>
  <si>
    <t>https://raw.githubusercontent.com/olaf-programmeur/images/main/camping_1.webp</t>
  </si>
  <si>
    <t>https://raw.githubusercontent.com/olaf-programmeur/images/main/camping_2.webp</t>
  </si>
  <si>
    <t>https://raw.githubusercontent.com/olaf-programmeur/images/main/camping_3.webp</t>
  </si>
  <si>
    <t>https://raw.githubusercontent.com/olaf-programmeur/images/main/camping_4.webp</t>
  </si>
  <si>
    <t>caoutchouc</t>
  </si>
  <si>
    <t>le caoutchouc</t>
  </si>
  <si>
    <t>La matière souple pour faire des bottes ++ des pneus de voiture</t>
  </si>
  <si>
    <t>https://raw.githubusercontent.com/olaf-programmeur/images/main/caoutchouc.webp</t>
  </si>
  <si>
    <t>https://raw.githubusercontent.com/olaf-programmeur/images/main/caoutchouc_1.webp</t>
  </si>
  <si>
    <t>carnet</t>
  </si>
  <si>
    <t>le carnet</t>
  </si>
  <si>
    <t>Le petit cahier où l'on écrit des notes.</t>
  </si>
  <si>
    <t>https://raw.githubusercontent.com/olaf-programmeur/images/main/carnet.webp</t>
  </si>
  <si>
    <t>https://raw.githubusercontent.com/olaf-programmeur/images/main/carnet_1.webp</t>
  </si>
  <si>
    <t>https://raw.githubusercontent.com/olaf-programmeur/images/main/carnet_2.webp</t>
  </si>
  <si>
    <t>https://raw.githubusercontent.com/olaf-programmeur/images/main/carnet_3.webp</t>
  </si>
  <si>
    <t>https://raw.githubusercontent.com/olaf-programmeur/images/main/carnet_4.webp</t>
  </si>
  <si>
    <t>cas</t>
  </si>
  <si>
    <t>le cas</t>
  </si>
  <si>
    <t>Une situation précise qui peut arriver.</t>
  </si>
  <si>
    <t>https://raw.githubusercontent.com/olaf-programmeur/images/main/cas.webp</t>
  </si>
  <si>
    <t>https://raw.githubusercontent.com/olaf-programmeur/images/main/cas_1.webp</t>
  </si>
  <si>
    <t>centre</t>
  </si>
  <si>
    <t>le centre</t>
  </si>
  <si>
    <t>Le point qui est au milieu de quelque chose.</t>
  </si>
  <si>
    <t>https://raw.githubusercontent.com/olaf-programmeur/images/main/centre.webp</t>
  </si>
  <si>
    <t>chagrin</t>
  </si>
  <si>
    <t>le chagrin</t>
  </si>
  <si>
    <t>La peine que l'on ressent quand on est triste.</t>
  </si>
  <si>
    <t>https://raw.githubusercontent.com/olaf-programmeur/images/main/chagrin.webp</t>
  </si>
  <si>
    <t>https://raw.githubusercontent.com/olaf-programmeur/images/main/chagrin_1.webp</t>
  </si>
  <si>
    <t>https://raw.githubusercontent.com/olaf-programmeur/images/main/chagrin_2.webp</t>
  </si>
  <si>
    <t>https://raw.githubusercontent.com/olaf-programmeur/images/main/chagrin_3.webp</t>
  </si>
  <si>
    <t>https://raw.githubusercontent.com/olaf-programmeur/images/main/stade_2.webp</t>
  </si>
  <si>
    <t>https://raw.githubusercontent.com/olaf-programmeur/images/main/stade_3.webp</t>
  </si>
  <si>
    <t>champ</t>
  </si>
  <si>
    <t>le champ</t>
  </si>
  <si>
    <t>Le terrain plat où l'on cultive les plantes.</t>
  </si>
  <si>
    <t>https://raw.githubusercontent.com/olaf-programmeur/images/main/champ.webp</t>
  </si>
  <si>
    <t>https://raw.githubusercontent.com/olaf-programmeur/images/main/champ_1.webp</t>
  </si>
  <si>
    <t>https://raw.githubusercontent.com/olaf-programmeur/images/main/champ_2.webp</t>
  </si>
  <si>
    <t>https://raw.githubusercontent.com/olaf-programmeur/images/main/champ_3.webp</t>
  </si>
  <si>
    <t>https://raw.githubusercontent.com/olaf-programmeur/images/main/champ_4.webp</t>
  </si>
  <si>
    <t>champignon</t>
  </si>
  <si>
    <t>le champignon</t>
  </si>
  <si>
    <t>La plante sans fleur qui pousse dans les bois.</t>
  </si>
  <si>
    <t>https://raw.githubusercontent.com/olaf-programmeur/images/main/champignon.webp</t>
  </si>
  <si>
    <t>https://raw.githubusercontent.com/olaf-programmeur/images/main/champignon_1.webp</t>
  </si>
  <si>
    <t>https://raw.githubusercontent.com/olaf-programmeur/images/main/champignon_2.webp</t>
  </si>
  <si>
    <t>https://raw.githubusercontent.com/olaf-programmeur/images/main/champignon_3.webp</t>
  </si>
  <si>
    <t>https://raw.githubusercontent.com/olaf-programmeur/images/main/champignon_4.webp</t>
  </si>
  <si>
    <t>champion</t>
  </si>
  <si>
    <t>le champion</t>
  </si>
  <si>
    <t>Le meilleur dans un sport ou un concours de musique.</t>
  </si>
  <si>
    <t>https://raw.githubusercontent.com/olaf-programmeur/images/main/champion.webp</t>
  </si>
  <si>
    <t>https://raw.githubusercontent.com/olaf-programmeur/images/main/champion_1.webp</t>
  </si>
  <si>
    <t>https://raw.githubusercontent.com/olaf-programmeur/images/main/champion_2.webp</t>
  </si>
  <si>
    <t>https://raw.githubusercontent.com/olaf-programmeur/images/main/champion_3.webp</t>
  </si>
  <si>
    <t>https://raw.githubusercontent.com/olaf-programmeur/images/main/champion_4.webp</t>
  </si>
  <si>
    <t>chapeau</t>
  </si>
  <si>
    <t>le chapeau</t>
  </si>
  <si>
    <t>Ce que l'on porte sur la tête pour se protéger.</t>
  </si>
  <si>
    <t>https://raw.githubusercontent.com/olaf-programmeur/images/main/chapeau.webp</t>
  </si>
  <si>
    <t>chemin</t>
  </si>
  <si>
    <t>le chemin</t>
  </si>
  <si>
    <t>La voie que l'on suit pour aller quelque part.</t>
  </si>
  <si>
    <t>https://raw.githubusercontent.com/olaf-programmeur/images/main/chemin.webp</t>
  </si>
  <si>
    <t>https://raw.githubusercontent.com/olaf-programmeur/images/main/chemin_1.webp</t>
  </si>
  <si>
    <t>choc</t>
  </si>
  <si>
    <t>le choc</t>
  </si>
  <si>
    <t>Quand deux choses se heurtent  ++  Deux voitures qui ont un accident</t>
  </si>
  <si>
    <t>https://raw.githubusercontent.com/olaf-programmeur/images/main/choc.webp</t>
  </si>
  <si>
    <t>https://raw.githubusercontent.com/olaf-programmeur/images/main/choc_1.webp</t>
  </si>
  <si>
    <t>https://raw.githubusercontent.com/olaf-programmeur/images/main/choc_2.webp</t>
  </si>
  <si>
    <t>https://raw.githubusercontent.com/olaf-programmeur/images/main/choc_3.webp</t>
  </si>
  <si>
    <t>chocolat</t>
  </si>
  <si>
    <t>le chocolat</t>
  </si>
  <si>
    <t>L'aliment sucré et brun fait avec du cacao.</t>
  </si>
  <si>
    <t>https://raw.githubusercontent.com/olaf-programmeur/images/main/chocolat.webp</t>
  </si>
  <si>
    <t>https://raw.githubusercontent.com/olaf-programmeur/images/main/chocolat_1.webp</t>
  </si>
  <si>
    <t>https://raw.githubusercontent.com/olaf-programmeur/images/main/chocolat_2.webp</t>
  </si>
  <si>
    <t>https://raw.githubusercontent.com/olaf-programmeur/images/main/chocolat_3.webp</t>
  </si>
  <si>
    <t>https://raw.githubusercontent.com/olaf-programmeur/images/main/chocolat_4.webp</t>
  </si>
  <si>
    <t>cintre</t>
  </si>
  <si>
    <t>le cintre</t>
  </si>
  <si>
    <t>L'objet sur lequel on pend les vêtements.</t>
  </si>
  <si>
    <t>https://raw.githubusercontent.com/olaf-programmeur/images/main/cintre.webp</t>
  </si>
  <si>
    <t>https://raw.githubusercontent.com/olaf-programmeur/images/main/cintre_1.webp</t>
  </si>
  <si>
    <t>https://raw.githubusercontent.com/olaf-programmeur/images/main/cintre_2.webp</t>
  </si>
  <si>
    <t>https://raw.githubusercontent.com/olaf-programmeur/images/main/cintre_3.webp</t>
  </si>
  <si>
    <t>https://raw.githubusercontent.com/olaf-programmeur/images/main/cintre_4.webp</t>
  </si>
  <si>
    <t>citron</t>
  </si>
  <si>
    <t>le citron</t>
  </si>
  <si>
    <t>Le fruit jaune au goût très acide.</t>
  </si>
  <si>
    <t>https://raw.githubusercontent.com/olaf-programmeur/images/main/citron.webp</t>
  </si>
  <si>
    <t>https://raw.githubusercontent.com/olaf-programmeur/images/main/citron_1.webp</t>
  </si>
  <si>
    <t>https://raw.githubusercontent.com/olaf-programmeur/images/main/citron_2.webp</t>
  </si>
  <si>
    <t>https://raw.githubusercontent.com/olaf-programmeur/images/main/citron_3.webp</t>
  </si>
  <si>
    <t>https://raw.githubusercontent.com/olaf-programmeur/images/main/citron_4.webp</t>
  </si>
  <si>
    <t>clou</t>
  </si>
  <si>
    <t>le clou</t>
  </si>
  <si>
    <t>La petite tige de métal pointue que l'on enfonce.</t>
  </si>
  <si>
    <t>https://raw.githubusercontent.com/olaf-programmeur/images/main/clou.webp</t>
  </si>
  <si>
    <t>combat</t>
  </si>
  <si>
    <t>le combat</t>
  </si>
  <si>
    <t>La lutte entre deux personnes ou deux groupes.</t>
  </si>
  <si>
    <t>commerce</t>
  </si>
  <si>
    <t>le commerce</t>
  </si>
  <si>
    <t>L'activité d'acheter et de vendre.</t>
  </si>
  <si>
    <t>https://raw.githubusercontent.com/olaf-programmeur/images/main/commerce.webp</t>
  </si>
  <si>
    <t>complice</t>
  </si>
  <si>
    <t>le complice</t>
  </si>
  <si>
    <t>La personne avec qui on partage un secret ++ La personne avec qui on joue</t>
  </si>
  <si>
    <t>https://raw.githubusercontent.com/olaf-programmeur/images/main/complice.webp</t>
  </si>
  <si>
    <t>https://raw.githubusercontent.com/olaf-programmeur/images/main/complice_1.webp</t>
  </si>
  <si>
    <t>comprime</t>
  </si>
  <si>
    <t>le comprimé</t>
  </si>
  <si>
    <t>Le petit médicament dur que l'on avale.</t>
  </si>
  <si>
    <t>https://raw.githubusercontent.com/olaf-programmeur/images/main/comprime.webp</t>
  </si>
  <si>
    <t>https://raw.githubusercontent.com/olaf-programmeur/images/main/comprime_1.webp</t>
  </si>
  <si>
    <t>https://raw.githubusercontent.com/olaf-programmeur/images/main/comprime_2.webp</t>
  </si>
  <si>
    <t>https://raw.githubusercontent.com/olaf-programmeur/images/main/comprime_3.webp</t>
  </si>
  <si>
    <t>https://raw.githubusercontent.com/olaf-programmeur/images/main/comprime_4.webp</t>
  </si>
  <si>
    <t>concours</t>
  </si>
  <si>
    <t>le concours</t>
  </si>
  <si>
    <t>Le jeu ou l'épreuve où l'on cherche à être le meilleur.</t>
  </si>
  <si>
    <t>https://raw.githubusercontent.com/olaf-programmeur/images/main/concours.webp</t>
  </si>
  <si>
    <t>cone</t>
  </si>
  <si>
    <t>le cône</t>
  </si>
  <si>
    <t>La forme pointue en haut et large en bas, comme une glace.</t>
  </si>
  <si>
    <t>https://raw.githubusercontent.com/olaf-programmeur/images/main/cone.webp</t>
  </si>
  <si>
    <t>https://raw.githubusercontent.com/olaf-programmeur/images/main/cone_1.webp</t>
  </si>
  <si>
    <t>https://raw.githubusercontent.com/olaf-programmeur/images/main/cone_2.webp</t>
  </si>
  <si>
    <t>https://raw.githubusercontent.com/olaf-programmeur/images/main/cone_3.webp</t>
  </si>
  <si>
    <t>https://raw.githubusercontent.com/olaf-programmeur/images/main/cone_4.webp</t>
  </si>
  <si>
    <t>copain</t>
  </si>
  <si>
    <t>le copain</t>
  </si>
  <si>
    <t>L'ami avec qui on aime passer du temps.</t>
  </si>
  <si>
    <t>https://raw.githubusercontent.com/olaf-programmeur/images/main/copain.webp</t>
  </si>
  <si>
    <t>cote</t>
  </si>
  <si>
    <t>le côté</t>
  </si>
  <si>
    <t>La partie qui est à gauche ou à droite d'une chose.</t>
  </si>
  <si>
    <t>https://raw.githubusercontent.com/olaf-programmeur/images/main/cote.webp</t>
  </si>
  <si>
    <t>https://raw.githubusercontent.com/olaf-programmeur/images/main/cote_1.webp</t>
  </si>
  <si>
    <t>https://raw.githubusercontent.com/olaf-programmeur/images/main/cote_2.webp</t>
  </si>
  <si>
    <t>coup</t>
  </si>
  <si>
    <t>le coup</t>
  </si>
  <si>
    <t>Le choc donné quand on frappe.</t>
  </si>
  <si>
    <t>https://raw.githubusercontent.com/olaf-programmeur/images/main/coup.webp</t>
  </si>
  <si>
    <t>https://raw.githubusercontent.com/olaf-programmeur/images/main/coup_1.webp</t>
  </si>
  <si>
    <t>https://raw.githubusercontent.com/olaf-programmeur/images/main/coup_2.webp</t>
  </si>
  <si>
    <t>https://raw.githubusercontent.com/olaf-programmeur/images/main/coup_3.webp</t>
  </si>
  <si>
    <t>https://raw.githubusercontent.com/olaf-programmeur/images/main/coup_4.webp</t>
  </si>
  <si>
    <t>courrier</t>
  </si>
  <si>
    <t>le courrier</t>
  </si>
  <si>
    <t>Les lettres que l'on envoie ou que l'on reçoit.</t>
  </si>
  <si>
    <t>https://raw.githubusercontent.com/olaf-programmeur/images/main/courrier.webp</t>
  </si>
  <si>
    <t>https://raw.githubusercontent.com/olaf-programmeur/images/main/courrier_1.webp</t>
  </si>
  <si>
    <t>cousin</t>
  </si>
  <si>
    <t>le cousin</t>
  </si>
  <si>
    <t>Le fils de ton oncle ou de ta tante.</t>
  </si>
  <si>
    <t>coussin</t>
  </si>
  <si>
    <t>le coussin</t>
  </si>
  <si>
    <t>Ce sur quoi on pose la tête quand on dort le lit  ++  sur le canapet</t>
  </si>
  <si>
    <t>https://raw.githubusercontent.com/olaf-programmeur/images/main/oreiller.webp</t>
  </si>
  <si>
    <t>https://raw.githubusercontent.com/olaf-programmeur/images/main/oreiller_1.webp</t>
  </si>
  <si>
    <t>couvercle</t>
  </si>
  <si>
    <t>le couvercle</t>
  </si>
  <si>
    <t>Ce qui ferme le dessus d'une boîte ou d'une casserole.</t>
  </si>
  <si>
    <t>https://raw.githubusercontent.com/olaf-programmeur/images/main/couvercle.webp</t>
  </si>
  <si>
    <t>https://raw.githubusercontent.com/olaf-programmeur/images/main/couvercle_1.webp</t>
  </si>
  <si>
    <t>https://raw.githubusercontent.com/olaf-programmeur/images/main/couvercle_2.webp</t>
  </si>
  <si>
    <t>https://raw.githubusercontent.com/olaf-programmeur/images/main/couvercle_3.webp</t>
  </si>
  <si>
    <t>https://raw.githubusercontent.com/olaf-programmeur/images/main/couvercle_4.webp</t>
  </si>
  <si>
    <t>crayon</t>
  </si>
  <si>
    <t>le crayon</t>
  </si>
  <si>
    <t>L'objet en bois avec une mine pour écrire ou dessiner.</t>
  </si>
  <si>
    <t>https://raw.githubusercontent.com/olaf-programmeur/images/main/crayon.webp</t>
  </si>
  <si>
    <t>https://raw.githubusercontent.com/olaf-programmeur/images/main/crayon_1.webp</t>
  </si>
  <si>
    <t>https://raw.githubusercontent.com/olaf-programmeur/images/main/crayon_2.webp</t>
  </si>
  <si>
    <t>cube</t>
  </si>
  <si>
    <t>le cube</t>
  </si>
  <si>
    <t>La forme à six faces carrées, comme un dé.</t>
  </si>
  <si>
    <t>https://raw.githubusercontent.com/olaf-programmeur/images/main/cube.webp</t>
  </si>
  <si>
    <t>https://raw.githubusercontent.com/olaf-programmeur/images/main/cube_1.webp</t>
  </si>
  <si>
    <t>https://raw.githubusercontent.com/olaf-programmeur/images/main/cube_2.webp</t>
  </si>
  <si>
    <t>https://raw.githubusercontent.com/olaf-programmeur/images/main/cube_3.webp</t>
  </si>
  <si>
    <t>danger</t>
  </si>
  <si>
    <t>le danger</t>
  </si>
  <si>
    <t>Ce qui peut faire du mal ou causer un accident.</t>
  </si>
  <si>
    <t>de</t>
  </si>
  <si>
    <t>le dé</t>
  </si>
  <si>
    <t>Le petit cube avec des points que l'on lance dans un jeu.</t>
  </si>
  <si>
    <t>https://raw.githubusercontent.com/olaf-programmeur/images/main/de.webp</t>
  </si>
  <si>
    <t>https://raw.githubusercontent.com/olaf-programmeur/images/main/de_1.webp</t>
  </si>
  <si>
    <t>https://raw.githubusercontent.com/olaf-programmeur/images/main/de_2.webp</t>
  </si>
  <si>
    <t>https://raw.githubusercontent.com/olaf-programmeur/images/main/de_3.webp</t>
  </si>
  <si>
    <t>https://raw.githubusercontent.com/olaf-programmeur/images/main/de_4.webp</t>
  </si>
  <si>
    <t>dechet</t>
  </si>
  <si>
    <t>le déchet</t>
  </si>
  <si>
    <t>Ce que l'on jette parce qu'on n'en a plus besoin.</t>
  </si>
  <si>
    <t>https://raw.githubusercontent.com/olaf-programmeur/images/main/dechet.webp</t>
  </si>
  <si>
    <t>https://raw.githubusercontent.com/olaf-programmeur/images/main/dechet_1.webp</t>
  </si>
  <si>
    <t>https://raw.githubusercontent.com/olaf-programmeur/images/main/dechet_2.webp</t>
  </si>
  <si>
    <t>https://raw.githubusercontent.com/olaf-programmeur/images/main/dechet_3.webp</t>
  </si>
  <si>
    <t>https://raw.githubusercontent.com/olaf-programmeur/images/main/dechet_4.webp</t>
  </si>
  <si>
    <t>degat</t>
  </si>
  <si>
    <t>le dégât</t>
  </si>
  <si>
    <t>Le dommage, ce qui est abîmé après un problème.</t>
  </si>
  <si>
    <t>https://raw.githubusercontent.com/olaf-programmeur/images/main/degat.webp</t>
  </si>
  <si>
    <t>https://raw.githubusercontent.com/olaf-programmeur/images/main/degat_1.webp</t>
  </si>
  <si>
    <t>https://raw.githubusercontent.com/olaf-programmeur/images/main/degat_2.webp</t>
  </si>
  <si>
    <t>https://raw.githubusercontent.com/olaf-programmeur/images/main/degat_3.webp</t>
  </si>
  <si>
    <t>https://raw.githubusercontent.com/olaf-programmeur/images/main/degat_4.webp</t>
  </si>
  <si>
    <t>degre</t>
  </si>
  <si>
    <t>le degré</t>
  </si>
  <si>
    <t>Une unité qui mesure la chaleur ou un niveau.</t>
  </si>
  <si>
    <t>https://raw.githubusercontent.com/olaf-programmeur/images/main/degre.webp</t>
  </si>
  <si>
    <t>https://raw.githubusercontent.com/olaf-programmeur/images/main/degre_1.webp</t>
  </si>
  <si>
    <t>https://raw.githubusercontent.com/olaf-programmeur/images/main/degre_2.webp</t>
  </si>
  <si>
    <t>https://raw.githubusercontent.com/olaf-programmeur/images/main/degre_3.webp</t>
  </si>
  <si>
    <t>https://raw.githubusercontent.com/olaf-programmeur/images/main/degre_4.webp</t>
  </si>
  <si>
    <t>dejeuner</t>
  </si>
  <si>
    <t>le déjeuner</t>
  </si>
  <si>
    <t>Le premier repas qu'on prend en se levant le matin.</t>
  </si>
  <si>
    <t>https://raw.githubusercontent.com/olaf-programmeur/images/main/dejeuner.webp</t>
  </si>
  <si>
    <t>https://raw.githubusercontent.com/olaf-programmeur/images/main/dejeuner_1.webp</t>
  </si>
  <si>
    <t>https://raw.githubusercontent.com/olaf-programmeur/images/main/dejeuner_2.webp</t>
  </si>
  <si>
    <t>https://raw.githubusercontent.com/olaf-programmeur/images/main/dejeuner_3.webp</t>
  </si>
  <si>
    <t>desir</t>
  </si>
  <si>
    <t>le désir</t>
  </si>
  <si>
    <t>L'envie forte d'avoir ou de faire quelque chose.</t>
  </si>
  <si>
    <t>https://raw.githubusercontent.com/olaf-programmeur/images/main/desir.webp</t>
  </si>
  <si>
    <t>dessert</t>
  </si>
  <si>
    <t>le dessert</t>
  </si>
  <si>
    <t>Le plat sucré qu'on mange à la fin du repas.</t>
  </si>
  <si>
    <t>https://raw.githubusercontent.com/olaf-programmeur/images/main/dessert_1.webp</t>
  </si>
  <si>
    <t>https://raw.githubusercontent.com/olaf-programmeur/images/main/dessert_2.webp</t>
  </si>
  <si>
    <t>https://raw.githubusercontent.com/olaf-programmeur/images/main/dessert_3.webp</t>
  </si>
  <si>
    <t>https://raw.githubusercontent.com/olaf-programmeur/images/main/dessert_4.webp</t>
  </si>
  <si>
    <t>devoir</t>
  </si>
  <si>
    <t>le devoir</t>
  </si>
  <si>
    <t>Le travail que l'on doit faire pour l'école, souvent à la maison.</t>
  </si>
  <si>
    <t>https://raw.githubusercontent.com/olaf-programmeur/images/main/devoir.webp</t>
  </si>
  <si>
    <t>diner</t>
  </si>
  <si>
    <t>le dîner</t>
  </si>
  <si>
    <t>Le repas de midi.</t>
  </si>
  <si>
    <t>https://raw.githubusercontent.com/olaf-programmeur/images/main/diner.webp</t>
  </si>
  <si>
    <t>disque</t>
  </si>
  <si>
    <t>le disque</t>
  </si>
  <si>
    <t>L'objet plat et tout rond.</t>
  </si>
  <si>
    <t>https://raw.githubusercontent.com/olaf-programmeur/images/main/disque.webp</t>
  </si>
  <si>
    <t>document</t>
  </si>
  <si>
    <t>le document</t>
  </si>
  <si>
    <t>Le papier important qui sert de preuve ou d'information.</t>
  </si>
  <si>
    <t>https://raw.githubusercontent.com/olaf-programmeur/images/main/document.webp</t>
  </si>
  <si>
    <t>dommage</t>
  </si>
  <si>
    <t>le dommage</t>
  </si>
  <si>
    <t>Le mal ou le dégât causé à une chose.</t>
  </si>
  <si>
    <t>https://raw.githubusercontent.com/olaf-programmeur/images/main/dommage.webp</t>
  </si>
  <si>
    <t>fer</t>
  </si>
  <si>
    <t>le fer</t>
  </si>
  <si>
    <t>Le métal dur et gris dont on fait beaucoup d'objets.</t>
  </si>
  <si>
    <t>https://raw.githubusercontent.com/olaf-programmeur/images/main/fer.webp</t>
  </si>
  <si>
    <t>https://raw.githubusercontent.com/olaf-programmeur/images/main/fer_1.webp</t>
  </si>
  <si>
    <t>https://raw.githubusercontent.com/olaf-programmeur/images/main/fer_2.webp</t>
  </si>
  <si>
    <t>https://raw.githubusercontent.com/olaf-programmeur/images/main/fer_3.webp</t>
  </si>
  <si>
    <t>https://raw.githubusercontent.com/olaf-programmeur/images/main/fer_4.webp</t>
  </si>
  <si>
    <t>fil</t>
  </si>
  <si>
    <t>le fil</t>
  </si>
  <si>
    <t>Le brin long et fin, comme celui pour coudre.</t>
  </si>
  <si>
    <t>https://raw.githubusercontent.com/olaf-programmeur/images/main/fil.webp</t>
  </si>
  <si>
    <t>film</t>
  </si>
  <si>
    <t>le film</t>
  </si>
  <si>
    <t>L'histoire en images animées que l'on regarde.</t>
  </si>
  <si>
    <t>https://raw.githubusercontent.com/olaf-programmeur/images/main/film.webp</t>
  </si>
  <si>
    <t>fond</t>
  </si>
  <si>
    <t>le fond</t>
  </si>
  <si>
    <t>La partie la plus basse d'une chose.</t>
  </si>
  <si>
    <t>https://raw.githubusercontent.com/olaf-programmeur/images/main/fond.webp</t>
  </si>
  <si>
    <t>frein</t>
  </si>
  <si>
    <t>le frein</t>
  </si>
  <si>
    <t>Ce qui sert à ralentir et à arrêter la voiture.</t>
  </si>
  <si>
    <t>https://raw.githubusercontent.com/olaf-programmeur/images/main/frein.webp</t>
  </si>
  <si>
    <t>https://raw.githubusercontent.com/olaf-programmeur/images/main/frein_1.webp</t>
  </si>
  <si>
    <t>https://raw.githubusercontent.com/olaf-programmeur/images/main/frein_2.webp</t>
  </si>
  <si>
    <t>https://raw.githubusercontent.com/olaf-programmeur/images/main/frein_3.webp</t>
  </si>
  <si>
    <t>https://raw.githubusercontent.com/olaf-programmeur/images/main/frein_4.webp</t>
  </si>
  <si>
    <t>https://raw.githubusercontent.com/olaf-programmeur/images/main/jardinage_2.webp</t>
  </si>
  <si>
    <t>https://raw.githubusercontent.com/olaf-programmeur/images/main/jardinage_3.webp</t>
  </si>
  <si>
    <t>garcon</t>
  </si>
  <si>
    <t>le garçon</t>
  </si>
  <si>
    <t>Un enfant ou un jeune de sexe masculin.</t>
  </si>
  <si>
    <t>https://raw.githubusercontent.com/olaf-programmeur/images/main/garcon.webp</t>
  </si>
  <si>
    <t>gel</t>
  </si>
  <si>
    <t>le gel</t>
  </si>
  <si>
    <t>Le froid qui transforme l'eau en glace.</t>
  </si>
  <si>
    <t>https://raw.githubusercontent.com/olaf-programmeur/images/main/gel.webp</t>
  </si>
  <si>
    <t>geste</t>
  </si>
  <si>
    <t>le geste</t>
  </si>
  <si>
    <t>Le mouvement que l'on fait avec une partie du corps.</t>
  </si>
  <si>
    <t>https://raw.githubusercontent.com/olaf-programmeur/images/main/geste.webp</t>
  </si>
  <si>
    <t>https://raw.githubusercontent.com/olaf-programmeur/images/main/geste_1.webp</t>
  </si>
  <si>
    <t>https://raw.githubusercontent.com/olaf-programmeur/images/main/geste_2.webp</t>
  </si>
  <si>
    <t>gout</t>
  </si>
  <si>
    <t>le goût</t>
  </si>
  <si>
    <t>Ce que l'on sent dans la bouche quand on mange ou boit.</t>
  </si>
  <si>
    <t>https://raw.githubusercontent.com/olaf-programmeur/images/main/gout.webp</t>
  </si>
  <si>
    <t>grain</t>
  </si>
  <si>
    <t>le grain</t>
  </si>
  <si>
    <t>Un tout petit morceau rond, comme un grain de sable ou de blé.</t>
  </si>
  <si>
    <t>https://raw.githubusercontent.com/olaf-programmeur/images/main/grain.webp</t>
  </si>
  <si>
    <t>https://raw.githubusercontent.com/olaf-programmeur/images/main/grain_1.webp</t>
  </si>
  <si>
    <t>https://raw.githubusercontent.com/olaf-programmeur/images/main/grain_2.webp</t>
  </si>
  <si>
    <t>https://raw.githubusercontent.com/olaf-programmeur/images/main/grain_3.webp</t>
  </si>
  <si>
    <t>https://raw.githubusercontent.com/olaf-programmeur/images/main/grain_4.webp</t>
  </si>
  <si>
    <t>groupe</t>
  </si>
  <si>
    <t>le groupe</t>
  </si>
  <si>
    <t>Plusieurs personnes ou choses réunies.</t>
  </si>
  <si>
    <t>https://raw.githubusercontent.com/olaf-programmeur/images/main/groupe.webp</t>
  </si>
  <si>
    <t>hasard</t>
  </si>
  <si>
    <t>le hasard</t>
  </si>
  <si>
    <t>Ce qui arrive sans qu'on l'ait prévu ni voulu.</t>
  </si>
  <si>
    <t>https://raw.githubusercontent.com/olaf-programmeur/images/main/hasard.webp</t>
  </si>
  <si>
    <t>hobby</t>
  </si>
  <si>
    <t>le hobby</t>
  </si>
  <si>
    <t>L'activité préférée que l'on fait pour le plaisir.</t>
  </si>
  <si>
    <t>jardin</t>
  </si>
  <si>
    <t>le jardin</t>
  </si>
  <si>
    <t>Le terrain près d'une maison où poussent les légumes.</t>
  </si>
  <si>
    <t>https://raw.githubusercontent.com/olaf-programmeur/images/main/jardin.webp</t>
  </si>
  <si>
    <t>jardinage</t>
  </si>
  <si>
    <t>le jardinage</t>
  </si>
  <si>
    <t>L'activité de s'occuper des plantes du jardin.</t>
  </si>
  <si>
    <t>https://raw.githubusercontent.com/olaf-programmeur/images/main/jardinage.webp</t>
  </si>
  <si>
    <t>https://raw.githubusercontent.com/olaf-programmeur/images/main/jardinage_1.webp</t>
  </si>
  <si>
    <t>https://raw.githubusercontent.com/olaf-programmeur/images/main/jardinage_4.webp</t>
  </si>
  <si>
    <t>jeu</t>
  </si>
  <si>
    <t>le jeu</t>
  </si>
  <si>
    <t>L'activité que l'on fait pour s'amuser.</t>
  </si>
  <si>
    <t>https://raw.githubusercontent.com/olaf-programmeur/images/main/jeu.webp</t>
  </si>
  <si>
    <t>https://raw.githubusercontent.com/olaf-programmeur/images/main/jeu_1.webp</t>
  </si>
  <si>
    <t>jouet</t>
  </si>
  <si>
    <t>le jouet</t>
  </si>
  <si>
    <t>L'objet avec lequel les enfants jouent.</t>
  </si>
  <si>
    <t>https://raw.githubusercontent.com/olaf-programmeur/images/main/jouet.webp</t>
  </si>
  <si>
    <t>jus</t>
  </si>
  <si>
    <t>le jus</t>
  </si>
  <si>
    <t>Le liquide que l'on tire d'un fruit.</t>
  </si>
  <si>
    <t>https://raw.githubusercontent.com/olaf-programmeur/images/main/jus.webp</t>
  </si>
  <si>
    <t>https://raw.githubusercontent.com/olaf-programmeur/images/main/jus_1.webp</t>
  </si>
  <si>
    <t>https://raw.githubusercontent.com/olaf-programmeur/images/main/jus_2.webp</t>
  </si>
  <si>
    <t>https://raw.githubusercontent.com/olaf-programmeur/images/main/jus_3.webp</t>
  </si>
  <si>
    <t>https://raw.githubusercontent.com/olaf-programmeur/images/main/jus_4.webp</t>
  </si>
  <si>
    <t>lac</t>
  </si>
  <si>
    <t>le lac</t>
  </si>
  <si>
    <t>La grande étendue d'eau entourée de terre.</t>
  </si>
  <si>
    <t>https://raw.githubusercontent.com/olaf-programmeur/images/main/lac.webp</t>
  </si>
  <si>
    <t>produits_laitiers</t>
  </si>
  <si>
    <t>les produits laitiers</t>
  </si>
  <si>
    <t>L'aliment fait avec du lait, comme le yaourt.</t>
  </si>
  <si>
    <t>https://raw.githubusercontent.com/olaf-programmeur/images/main/produits_laitiers.webp</t>
  </si>
  <si>
    <t>https://raw.githubusercontent.com/olaf-programmeur/images/main/produits_laitiers_1.webp</t>
  </si>
  <si>
    <t>lien</t>
  </si>
  <si>
    <t>le lien</t>
  </si>
  <si>
    <t>https://raw.githubusercontent.com/olaf-programmeur/images/main/lien.webp</t>
  </si>
  <si>
    <t>liquide</t>
  </si>
  <si>
    <t>le liquide</t>
  </si>
  <si>
    <t>Ce qui coule, comme l'eau, et qui n'est ni dur ni en poudre.</t>
  </si>
  <si>
    <t>https://raw.githubusercontent.com/olaf-programmeur/images/main/liquide.webp</t>
  </si>
  <si>
    <t>https://raw.githubusercontent.com/olaf-programmeur/images/main/liquide_1.webp</t>
  </si>
  <si>
    <t>https://raw.githubusercontent.com/olaf-programmeur/images/main/liquide_2.webp</t>
  </si>
  <si>
    <t>https://raw.githubusercontent.com/olaf-programmeur/images/main/liquide_3.webp</t>
  </si>
  <si>
    <t>livre</t>
  </si>
  <si>
    <t>le livre</t>
  </si>
  <si>
    <t>L'objet fait de pages qu'on lit.</t>
  </si>
  <si>
    <t>https://raw.githubusercontent.com/olaf-programmeur/images/main/livre.webp</t>
  </si>
  <si>
    <t>https://raw.githubusercontent.com/olaf-programmeur/images/main/livre_1.webp</t>
  </si>
  <si>
    <t>https://raw.githubusercontent.com/olaf-programmeur/images/main/livre_2.webp</t>
  </si>
  <si>
    <t>https://raw.githubusercontent.com/olaf-programmeur/images/main/livre_3.webp</t>
  </si>
  <si>
    <t>https://raw.githubusercontent.com/olaf-programmeur/images/main/livre_4.webp</t>
  </si>
  <si>
    <t>logement</t>
  </si>
  <si>
    <t>le logement</t>
  </si>
  <si>
    <t>L'endroit où l'on habite  ++  On dit aussi appartement ++ ou maison</t>
  </si>
  <si>
    <t>maitre</t>
  </si>
  <si>
    <t>le maître</t>
  </si>
  <si>
    <t>L'adulte qui apprend des choses aux élèves à l'école.</t>
  </si>
  <si>
    <t>https://raw.githubusercontent.com/olaf-programmeur/images/main/maitre.webp</t>
  </si>
  <si>
    <t>https://raw.githubusercontent.com/olaf-programmeur/images/main/maitre_1.webp</t>
  </si>
  <si>
    <t>https://raw.githubusercontent.com/olaf-programmeur/images/main/maitre_2.webp</t>
  </si>
  <si>
    <t>https://raw.githubusercontent.com/olaf-programmeur/images/main/maitre_3.webp</t>
  </si>
  <si>
    <t>https://raw.githubusercontent.com/olaf-programmeur/images/main/maitre_4.webp</t>
  </si>
  <si>
    <t>manteau</t>
  </si>
  <si>
    <t>le manteau</t>
  </si>
  <si>
    <t>Le vêtement chaud que l'on met par-dessus quand il fait froid.</t>
  </si>
  <si>
    <t>https://raw.githubusercontent.com/olaf-programmeur/images/main/manteau.webp</t>
  </si>
  <si>
    <t>marteau</t>
  </si>
  <si>
    <t>le marteau</t>
  </si>
  <si>
    <t>L'outil qui sert à planter les clous.</t>
  </si>
  <si>
    <t>https://raw.githubusercontent.com/olaf-programmeur/images/main/marteau.webp</t>
  </si>
  <si>
    <t>https://raw.githubusercontent.com/olaf-programmeur/images/main/marteau_1.webp</t>
  </si>
  <si>
    <t>https://raw.githubusercontent.com/olaf-programmeur/images/main/marteau_2.webp</t>
  </si>
  <si>
    <t>https://raw.githubusercontent.com/olaf-programmeur/images/main/marteau_3.webp</t>
  </si>
  <si>
    <t>https://raw.githubusercontent.com/olaf-programmeur/images/main/marteau_4.webp</t>
  </si>
  <si>
    <t>match</t>
  </si>
  <si>
    <t>le match</t>
  </si>
  <si>
    <t>La partie où deux équipes s'affrontent.</t>
  </si>
  <si>
    <t>https://raw.githubusercontent.com/olaf-programmeur/images/main/match.webp</t>
  </si>
  <si>
    <t>https://raw.githubusercontent.com/olaf-programmeur/images/main/match_1.webp</t>
  </si>
  <si>
    <t>https://raw.githubusercontent.com/olaf-programmeur/images/main/match_2.webp</t>
  </si>
  <si>
    <t>https://raw.githubusercontent.com/olaf-programmeur/images/main/match_3.webp</t>
  </si>
  <si>
    <t>https://raw.githubusercontent.com/olaf-programmeur/images/main/match_4.webp</t>
  </si>
  <si>
    <t>medicament</t>
  </si>
  <si>
    <t>le médicament</t>
  </si>
  <si>
    <t>Le produit acheté à la pharmacie  ++  on prend pour guérir.</t>
  </si>
  <si>
    <t>https://raw.githubusercontent.com/olaf-programmeur/images/main/medicament.webp</t>
  </si>
  <si>
    <t>https://raw.githubusercontent.com/olaf-programmeur/images/main/medicament_1.webp</t>
  </si>
  <si>
    <t>https://raw.githubusercontent.com/olaf-programmeur/images/main/medicament_2.webp</t>
  </si>
  <si>
    <t>https://raw.githubusercontent.com/olaf-programmeur/images/main/medicament_3.webp</t>
  </si>
  <si>
    <t>https://raw.githubusercontent.com/olaf-programmeur/images/main/medicament_4.webp</t>
  </si>
  <si>
    <t>melange</t>
  </si>
  <si>
    <t>le mélange</t>
  </si>
  <si>
    <t>Ce que l'on obtient en mettant plusieurs choses ensemble.</t>
  </si>
  <si>
    <t>https://raw.githubusercontent.com/olaf-programmeur/images/main/melange.webp</t>
  </si>
  <si>
    <t>mensonge</t>
  </si>
  <si>
    <t>le mensonge</t>
  </si>
  <si>
    <t>quelque chose qui n'est pas vrai  ++ Quelque chose qui n'est pas la vérité</t>
  </si>
  <si>
    <t>https://raw.githubusercontent.com/olaf-programmeur/images/main/v_mentir.webp</t>
  </si>
  <si>
    <t>https://raw.githubusercontent.com/olaf-programmeur/images/main/v_mentir_1.webp</t>
  </si>
  <si>
    <t>https://raw.githubusercontent.com/olaf-programmeur/images/main/effort.webp</t>
  </si>
  <si>
    <t>https://raw.githubusercontent.com/olaf-programmeur/images/main/effort_1.webp</t>
  </si>
  <si>
    <t>metal</t>
  </si>
  <si>
    <t>le métal</t>
  </si>
  <si>
    <t>La matière dure et brillante, comme le fer ou l'or.</t>
  </si>
  <si>
    <t>https://raw.githubusercontent.com/olaf-programmeur/images/main/metal.webp</t>
  </si>
  <si>
    <t>miel</t>
  </si>
  <si>
    <t>le miel</t>
  </si>
  <si>
    <t>L'aliment sucré que font les abeilles.</t>
  </si>
  <si>
    <t>https://raw.githubusercontent.com/olaf-programmeur/images/main/miel.webp</t>
  </si>
  <si>
    <t>milieu</t>
  </si>
  <si>
    <t>le milieu</t>
  </si>
  <si>
    <t>La partie qui est au centre, entre les deux bords.</t>
  </si>
  <si>
    <t>https://raw.githubusercontent.com/olaf-programmeur/images/main/milieu.webp</t>
  </si>
  <si>
    <t>https://raw.githubusercontent.com/olaf-programmeur/images/main/milieu_1.webp</t>
  </si>
  <si>
    <t>moment</t>
  </si>
  <si>
    <t>le moment</t>
  </si>
  <si>
    <t>Un instant, une courte période de temps.</t>
  </si>
  <si>
    <t>https://raw.githubusercontent.com/olaf-programmeur/images/main/moment.webp</t>
  </si>
  <si>
    <t>monde</t>
  </si>
  <si>
    <t>le monde</t>
  </si>
  <si>
    <t>https://raw.githubusercontent.com/olaf-programmeur/images/main/monde.webp</t>
  </si>
  <si>
    <t>morceau</t>
  </si>
  <si>
    <t>le morceau</t>
  </si>
  <si>
    <t>Un bout d'une chose, une part.</t>
  </si>
  <si>
    <t>https://raw.githubusercontent.com/olaf-programmeur/images/main/morceau.webp</t>
  </si>
  <si>
    <t>https://raw.githubusercontent.com/olaf-programmeur/images/main/morceau_1.webp</t>
  </si>
  <si>
    <t>https://raw.githubusercontent.com/olaf-programmeur/images/main/morceau_2.webp</t>
  </si>
  <si>
    <t>moteur</t>
  </si>
  <si>
    <t>le moteur</t>
  </si>
  <si>
    <t>La partie d'un véhicule qui le fait avancer.</t>
  </si>
  <si>
    <t>https://raw.githubusercontent.com/olaf-programmeur/images/main/moteur.webp</t>
  </si>
  <si>
    <t>https://raw.githubusercontent.com/olaf-programmeur/images/main/moteur_1.webp</t>
  </si>
  <si>
    <t>https://raw.githubusercontent.com/olaf-programmeur/images/main/moteur_2.webp</t>
  </si>
  <si>
    <t>https://raw.githubusercontent.com/olaf-programmeur/images/main/moteur_3.webp</t>
  </si>
  <si>
    <t>https://raw.githubusercontent.com/olaf-programmeur/images/main/moteur_4.webp</t>
  </si>
  <si>
    <t>mouvement</t>
  </si>
  <si>
    <t>le mouvement</t>
  </si>
  <si>
    <t>Le fait de bouger ou de se déplacer.</t>
  </si>
  <si>
    <t>https://raw.githubusercontent.com/olaf-programmeur/images/main/mouvement.webp</t>
  </si>
  <si>
    <t>musicien</t>
  </si>
  <si>
    <t>le musicien</t>
  </si>
  <si>
    <t>La personne qui joue d'un instrument de musique.</t>
  </si>
  <si>
    <t>https://raw.githubusercontent.com/olaf-programmeur/images/main/musicien.webp</t>
  </si>
  <si>
    <t>https://raw.githubusercontent.com/olaf-programmeur/images/main/musicien_1.webp</t>
  </si>
  <si>
    <t>https://raw.githubusercontent.com/olaf-programmeur/images/main/musicien_2.webp</t>
  </si>
  <si>
    <t>https://raw.githubusercontent.com/olaf-programmeur/images/main/musicien_3.webp</t>
  </si>
  <si>
    <t>https://raw.githubusercontent.com/olaf-programmeur/images/main/musicien_4.webp</t>
  </si>
  <si>
    <t>niveau</t>
  </si>
  <si>
    <t>le niveau</t>
  </si>
  <si>
    <t>La hauteur ou le degré où se trouve une chose.  ++  l'appareil pour mesurer si c'est de niveau</t>
  </si>
  <si>
    <t>https://raw.githubusercontent.com/olaf-programmeur/images/main/niveau.webp</t>
  </si>
  <si>
    <t>https://raw.githubusercontent.com/olaf-programmeur/images/main/niveau_1.webp</t>
  </si>
  <si>
    <t>https://raw.githubusercontent.com/olaf-programmeur/images/main/niveau_2.webp</t>
  </si>
  <si>
    <t>https://raw.githubusercontent.com/olaf-programmeur/images/main/niveau_3.webp</t>
  </si>
  <si>
    <t>nombre</t>
  </si>
  <si>
    <t>le nombre</t>
  </si>
  <si>
    <t>Ce qui sert à compter, comme un, deux, trois.</t>
  </si>
  <si>
    <t>https://raw.githubusercontent.com/olaf-programmeur/images/main/nombre.webp</t>
  </si>
  <si>
    <t>noyau</t>
  </si>
  <si>
    <t>le noyau</t>
  </si>
  <si>
    <t>La partie dure au centre d'un fruit, comme la cerise.</t>
  </si>
  <si>
    <t>https://raw.githubusercontent.com/olaf-programmeur/images/main/noyau.webp</t>
  </si>
  <si>
    <t>https://raw.githubusercontent.com/olaf-programmeur/images/main/noyau_1.webp</t>
  </si>
  <si>
    <t>https://raw.githubusercontent.com/olaf-programmeur/images/main/noyau_2.webp</t>
  </si>
  <si>
    <t>https://raw.githubusercontent.com/olaf-programmeur/images/main/noyau_3.webp</t>
  </si>
  <si>
    <t>https://raw.githubusercontent.com/olaf-programmeur/images/main/noyau_4.webp</t>
  </si>
  <si>
    <t>nuage</t>
  </si>
  <si>
    <t>le nuage</t>
  </si>
  <si>
    <t>La masse blanche ou grise que l'on voit dans le ciel.</t>
  </si>
  <si>
    <t>https://raw.githubusercontent.com/olaf-programmeur/images/main/nuage.webp</t>
  </si>
  <si>
    <t>https://raw.githubusercontent.com/olaf-programmeur/images/main/nuage_1.webp</t>
  </si>
  <si>
    <t>https://raw.githubusercontent.com/olaf-programmeur/images/main/nuage_2.webp</t>
  </si>
  <si>
    <t>https://raw.githubusercontent.com/olaf-programmeur/images/main/nuage_3.webp</t>
  </si>
  <si>
    <t>https://raw.githubusercontent.com/olaf-programmeur/images/main/nuage_4.webp</t>
  </si>
  <si>
    <t>numero</t>
  </si>
  <si>
    <t>le numéro</t>
  </si>
  <si>
    <t>Le chiffre qu'on compose pour téléphoner  ++  Le chiffre après le nom de la rue</t>
  </si>
  <si>
    <t>https://raw.githubusercontent.com/olaf-programmeur/images/main/numero.webp</t>
  </si>
  <si>
    <t>panier</t>
  </si>
  <si>
    <t>le panier</t>
  </si>
  <si>
    <t>Le sac qui permet de porter les courses  ++  l'objet en osier pour porter des fruits</t>
  </si>
  <si>
    <t>https://raw.githubusercontent.com/olaf-programmeur/images/main/panier.webp</t>
  </si>
  <si>
    <t>https://raw.githubusercontent.com/olaf-programmeur/images/main/panier_1.webp</t>
  </si>
  <si>
    <t>https://raw.githubusercontent.com/olaf-programmeur/images/main/panier_2.webp</t>
  </si>
  <si>
    <t>https://raw.githubusercontent.com/olaf-programmeur/images/main/panier_3.webp</t>
  </si>
  <si>
    <t>https://raw.githubusercontent.com/olaf-programmeur/images/main/panier_4.webp</t>
  </si>
  <si>
    <t>panneau</t>
  </si>
  <si>
    <t>le panneau</t>
  </si>
  <si>
    <t>La plaque qui donne une information dans la rue.</t>
  </si>
  <si>
    <t>https://raw.githubusercontent.com/olaf-programmeur/images/main/panneau.webp</t>
  </si>
  <si>
    <t>pansement</t>
  </si>
  <si>
    <t>le pansement</t>
  </si>
  <si>
    <t>Le morceau collant que l'on met sur une petite blessure.</t>
  </si>
  <si>
    <t>https://raw.githubusercontent.com/olaf-programmeur/images/main/pansement.webp</t>
  </si>
  <si>
    <t>https://raw.githubusercontent.com/olaf-programmeur/images/main/pansement_1.webp</t>
  </si>
  <si>
    <t>https://raw.githubusercontent.com/olaf-programmeur/images/main/pansement_2.webp</t>
  </si>
  <si>
    <t>https://raw.githubusercontent.com/olaf-programmeur/images/main/pansement_3.webp</t>
  </si>
  <si>
    <t>https://raw.githubusercontent.com/olaf-programmeur/images/main/pansement_4.webp</t>
  </si>
  <si>
    <t>papier</t>
  </si>
  <si>
    <t>le papier</t>
  </si>
  <si>
    <t>La feuille mince sur laquelle on écrit ou on dessine.</t>
  </si>
  <si>
    <t>https://raw.githubusercontent.com/olaf-programmeur/images/main/papier.webp</t>
  </si>
  <si>
    <t>https://raw.githubusercontent.com/olaf-programmeur/images/main/papier_1.webp</t>
  </si>
  <si>
    <t>https://raw.githubusercontent.com/olaf-programmeur/images/main/papier_2.webp</t>
  </si>
  <si>
    <t>https://raw.githubusercontent.com/olaf-programmeur/images/main/papier_3.webp</t>
  </si>
  <si>
    <t>https://raw.githubusercontent.com/olaf-programmeur/images/main/papier_4.webp</t>
  </si>
  <si>
    <t>parapluie</t>
  </si>
  <si>
    <t>le parapluie</t>
  </si>
  <si>
    <t>L'objet que l'on ouvre pour se protéger de la pluie.</t>
  </si>
  <si>
    <t>https://raw.githubusercontent.com/olaf-programmeur/images/main/parapluie.webp</t>
  </si>
  <si>
    <t>https://raw.githubusercontent.com/olaf-programmeur/images/main/parapluie_1.webp</t>
  </si>
  <si>
    <t>https://raw.githubusercontent.com/olaf-programmeur/images/main/parapluie_2.webp</t>
  </si>
  <si>
    <t>https://raw.githubusercontent.com/olaf-programmeur/images/main/parapluie_3.webp</t>
  </si>
  <si>
    <t>https://raw.githubusercontent.com/olaf-programmeur/images/main/parapluie_4.webp</t>
  </si>
  <si>
    <t>parking</t>
  </si>
  <si>
    <t>le parking</t>
  </si>
  <si>
    <t>L'endroit où l'on gare les voitures.</t>
  </si>
  <si>
    <t>https://raw.githubusercontent.com/olaf-programmeur/images/main/parking.webp</t>
  </si>
  <si>
    <t>https://raw.githubusercontent.com/olaf-programmeur/images/main/parking_1.webp</t>
  </si>
  <si>
    <t>https://raw.githubusercontent.com/olaf-programmeur/images/main/parking_2.webp</t>
  </si>
  <si>
    <t>https://raw.githubusercontent.com/olaf-programmeur/images/main/parking_3.webp</t>
  </si>
  <si>
    <t>https://raw.githubusercontent.com/olaf-programmeur/images/main/parking_4.webp</t>
  </si>
  <si>
    <t>v_partager</t>
  </si>
  <si>
    <t>partager</t>
  </si>
  <si>
    <t>https://raw.githubusercontent.com/olaf-programmeur/images/main/v_partager.webp</t>
  </si>
  <si>
    <t>https://raw.githubusercontent.com/olaf-programmeur/images/main/v_partager_1.webp</t>
  </si>
  <si>
    <t>https://raw.githubusercontent.com/olaf-programmeur/images/main/v_partager_2.webp</t>
  </si>
  <si>
    <t>passage</t>
  </si>
  <si>
    <t>le passage</t>
  </si>
  <si>
    <t>L'endroit par où l'on peut passer.</t>
  </si>
  <si>
    <t>https://raw.githubusercontent.com/olaf-programmeur/images/main/passage.webp</t>
  </si>
  <si>
    <t>https://raw.githubusercontent.com/olaf-programmeur/images/main/passage_1.webp</t>
  </si>
  <si>
    <t>https://raw.githubusercontent.com/olaf-programmeur/images/main/passage_2.webp</t>
  </si>
  <si>
    <t>https://raw.githubusercontent.com/olaf-programmeur/images/main/passage_3.webp</t>
  </si>
  <si>
    <t>https://raw.githubusercontent.com/olaf-programmeur/images/main/passage_4.webp</t>
  </si>
  <si>
    <t>pays</t>
  </si>
  <si>
    <t>le pays</t>
  </si>
  <si>
    <t>Le grand territoire avec ses habitants et ses lois.</t>
  </si>
  <si>
    <t>https://raw.githubusercontent.com/olaf-programmeur/images/main/pays.webp</t>
  </si>
  <si>
    <t>https://raw.githubusercontent.com/olaf-programmeur/images/main/pays_1.webp</t>
  </si>
  <si>
    <t>https://raw.githubusercontent.com/olaf-programmeur/images/main/pays_2.webp</t>
  </si>
  <si>
    <t>https://raw.githubusercontent.com/olaf-programmeur/images/main/pays_3.webp</t>
  </si>
  <si>
    <t>https://raw.githubusercontent.com/olaf-programmeur/images/main/pays_4.webp</t>
  </si>
  <si>
    <t>paysage</t>
  </si>
  <si>
    <t>le paysage</t>
  </si>
  <si>
    <t>Tout ce que l'on voit autour de soi dans la nature.</t>
  </si>
  <si>
    <t>https://raw.githubusercontent.com/olaf-programmeur/images/main/paysage.webp</t>
  </si>
  <si>
    <t>permis</t>
  </si>
  <si>
    <t>le permis</t>
  </si>
  <si>
    <t>Le papier qui donne le droit de conduire.</t>
  </si>
  <si>
    <t>https://raw.githubusercontent.com/olaf-programmeur/images/main/permis.webp</t>
  </si>
  <si>
    <t>https://raw.githubusercontent.com/olaf-programmeur/images/main/permis_1.webp</t>
  </si>
  <si>
    <t>https://raw.githubusercontent.com/olaf-programmeur/images/main/permis_2.webp</t>
  </si>
  <si>
    <t>https://raw.githubusercontent.com/olaf-programmeur/images/main/permis_3.webp</t>
  </si>
  <si>
    <t>pharmacien</t>
  </si>
  <si>
    <t>le pharmacien</t>
  </si>
  <si>
    <t>La personne qui prépare et vend les médicaments.</t>
  </si>
  <si>
    <t>https://raw.githubusercontent.com/olaf-programmeur/images/main/pharmacien.webp</t>
  </si>
  <si>
    <t>piment</t>
  </si>
  <si>
    <t>le piment</t>
  </si>
  <si>
    <t>Le petit légume rouge ou vert qui pique fort dans la bouche.</t>
  </si>
  <si>
    <t>https://raw.githubusercontent.com/olaf-programmeur/images/main/piment.webp</t>
  </si>
  <si>
    <t>https://raw.githubusercontent.com/olaf-programmeur/images/main/piment_1.webp</t>
  </si>
  <si>
    <t>https://raw.githubusercontent.com/olaf-programmeur/images/main/piment_2.webp</t>
  </si>
  <si>
    <t>https://raw.githubusercontent.com/olaf-programmeur/images/main/piment_3.webp</t>
  </si>
  <si>
    <t>pinceau</t>
  </si>
  <si>
    <t>le pinceau</t>
  </si>
  <si>
    <t>L'objet à poils qui sert à peindre.</t>
  </si>
  <si>
    <t>https://raw.githubusercontent.com/olaf-programmeur/images/main/pinceau.webp</t>
  </si>
  <si>
    <t>https://raw.githubusercontent.com/olaf-programmeur/images/main/pinceau_1.webp</t>
  </si>
  <si>
    <t>https://raw.githubusercontent.com/olaf-programmeur/images/main/pinceau_2.webp</t>
  </si>
  <si>
    <t>https://raw.githubusercontent.com/olaf-programmeur/images/main/pinceau_3.webp</t>
  </si>
  <si>
    <t>https://raw.githubusercontent.com/olaf-programmeur/images/main/pinceau_4.webp</t>
  </si>
  <si>
    <t>pique_nique</t>
  </si>
  <si>
    <t>le pique-nique</t>
  </si>
  <si>
    <t>Le repas que l'on prend dehors, dans la nature.</t>
  </si>
  <si>
    <t>https://raw.githubusercontent.com/olaf-programmeur/images/main/pique_nique.webp</t>
  </si>
  <si>
    <t>https://raw.githubusercontent.com/olaf-programmeur/images/main/pique_nique_1.webp</t>
  </si>
  <si>
    <t>https://raw.githubusercontent.com/olaf-programmeur/images/main/pique_nique_2.webp</t>
  </si>
  <si>
    <t>https://raw.githubusercontent.com/olaf-programmeur/images/main/pique_nique_3.webp</t>
  </si>
  <si>
    <t>https://raw.githubusercontent.com/olaf-programmeur/images/main/pique_nique_4.webp</t>
  </si>
  <si>
    <t>plafond</t>
  </si>
  <si>
    <t>le plafond</t>
  </si>
  <si>
    <t>La partie haute d'une pièce, au-dessus de la tête.</t>
  </si>
  <si>
    <t>https://raw.githubusercontent.com/olaf-programmeur/images/main/plafond.webp</t>
  </si>
  <si>
    <t>https://raw.githubusercontent.com/olaf-programmeur/images/main/plafond_1.webp</t>
  </si>
  <si>
    <t>https://raw.githubusercontent.com/olaf-programmeur/images/main/plafond_2.webp</t>
  </si>
  <si>
    <t>plaisir</t>
  </si>
  <si>
    <t>le plaisir</t>
  </si>
  <si>
    <t>Le sentiment agréable que l'on ressent.</t>
  </si>
  <si>
    <t>https://raw.githubusercontent.com/olaf-programmeur/images/main/plaisir.webp</t>
  </si>
  <si>
    <t>plancher</t>
  </si>
  <si>
    <t>le plancher</t>
  </si>
  <si>
    <t>Le sol en bois d'une pièce.</t>
  </si>
  <si>
    <t>https://raw.githubusercontent.com/olaf-programmeur/images/main/plancher.webp</t>
  </si>
  <si>
    <t>https://raw.githubusercontent.com/olaf-programmeur/images/main/plancher_1.webp</t>
  </si>
  <si>
    <t>https://raw.githubusercontent.com/olaf-programmeur/images/main/plancher_2.webp</t>
  </si>
  <si>
    <t>https://raw.githubusercontent.com/olaf-programmeur/images/main/plancher_3.webp</t>
  </si>
  <si>
    <t>https://raw.githubusercontent.com/olaf-programmeur/images/main/plancher_4.webp</t>
  </si>
  <si>
    <t>plastique</t>
  </si>
  <si>
    <t>le plastique</t>
  </si>
  <si>
    <t>La matière légère dont on fait beaucoup d'objets.</t>
  </si>
  <si>
    <t>https://raw.githubusercontent.com/olaf-programmeur/images/main/plastique.webp</t>
  </si>
  <si>
    <t>plat</t>
  </si>
  <si>
    <t>le plat</t>
  </si>
  <si>
    <t>https://raw.githubusercontent.com/olaf-programmeur/images/main/plat.webp</t>
  </si>
  <si>
    <t>poil</t>
  </si>
  <si>
    <t>le poil</t>
  </si>
  <si>
    <t>Le petit fil qui pousse sur la peau des humains et des animaux.</t>
  </si>
  <si>
    <t>https://raw.githubusercontent.com/olaf-programmeur/images/main/poil.webp</t>
  </si>
  <si>
    <t>https://raw.githubusercontent.com/olaf-programmeur/images/main/poil_1.webp</t>
  </si>
  <si>
    <t>https://raw.githubusercontent.com/olaf-programmeur/images/main/poil_2.webp</t>
  </si>
  <si>
    <t>https://raw.githubusercontent.com/olaf-programmeur/images/main/poil_3.webp</t>
  </si>
  <si>
    <t>point</t>
  </si>
  <si>
    <t>le point</t>
  </si>
  <si>
    <t>Dans un concours (un jeu), la notation de la manière dont on a joué  ++  dans un jeu de carte, la valeur des cartes</t>
  </si>
  <si>
    <t>https://raw.githubusercontent.com/olaf-programmeur/images/main/point.webp</t>
  </si>
  <si>
    <t>portefeuille</t>
  </si>
  <si>
    <t>le portefeuille</t>
  </si>
  <si>
    <t>Le petit étui où l'on range billets et cartes.</t>
  </si>
  <si>
    <t>https://raw.githubusercontent.com/olaf-programmeur/images/main/portefeuille.webp</t>
  </si>
  <si>
    <t>porte_manteau</t>
  </si>
  <si>
    <t>le porte-manteau</t>
  </si>
  <si>
    <t>L'objet où l'on accroche les manteaux, les vestes.</t>
  </si>
  <si>
    <t>https://raw.githubusercontent.com/olaf-programmeur/images/main/porte_manteau.webp</t>
  </si>
  <si>
    <t>https://raw.githubusercontent.com/olaf-programmeur/images/main/porte_manteau_1.webp</t>
  </si>
  <si>
    <t>https://raw.githubusercontent.com/olaf-programmeur/images/main/porte_manteau_2.webp</t>
  </si>
  <si>
    <t>https://raw.githubusercontent.com/olaf-programmeur/images/main/porte_manteau_3.webp</t>
  </si>
  <si>
    <t>https://raw.githubusercontent.com/olaf-programmeur/images/main/porte_manteau_4.webp</t>
  </si>
  <si>
    <t>prix</t>
  </si>
  <si>
    <t>le prix</t>
  </si>
  <si>
    <t>Ce qu'on paie quand on achète quelque chose</t>
  </si>
  <si>
    <t>https://raw.githubusercontent.com/olaf-programmeur/images/main/prix.webp</t>
  </si>
  <si>
    <t>probleme</t>
  </si>
  <si>
    <t>le problème</t>
  </si>
  <si>
    <t>La difficulté qu'il faut résoudre.</t>
  </si>
  <si>
    <t>https://raw.githubusercontent.com/olaf-programmeur/images/main/probleme.webp</t>
  </si>
  <si>
    <t>puzzle</t>
  </si>
  <si>
    <t>le puzzle</t>
  </si>
  <si>
    <t>Le jeu où l'on assemble des morceaux pour faire une image.</t>
  </si>
  <si>
    <t>https://raw.githubusercontent.com/olaf-programmeur/images/main/puzzle.webp</t>
  </si>
  <si>
    <t>quartier</t>
  </si>
  <si>
    <t>le quartier</t>
  </si>
  <si>
    <t>Une partie d'une ville.</t>
  </si>
  <si>
    <t>https://raw.githubusercontent.com/olaf-programmeur/images/main/quartier.webp</t>
  </si>
  <si>
    <t>https://raw.githubusercontent.com/olaf-programmeur/images/main/quartier_1.webp</t>
  </si>
  <si>
    <t>https://raw.githubusercontent.com/olaf-programmeur/images/main/quartier_2.webp</t>
  </si>
  <si>
    <t>recipient</t>
  </si>
  <si>
    <t>le récipient</t>
  </si>
  <si>
    <t>L'objet qui sert à contenir un liquide ou des choses comme un verre ou un pot.</t>
  </si>
  <si>
    <t>https://raw.githubusercontent.com/olaf-programmeur/images/main/recipient.webp</t>
  </si>
  <si>
    <t>https://raw.githubusercontent.com/olaf-programmeur/images/main/recipient_1.webp</t>
  </si>
  <si>
    <t>https://raw.githubusercontent.com/olaf-programmeur/images/main/recipient_2.webp</t>
  </si>
  <si>
    <t>recit</t>
  </si>
  <si>
    <t>le récit</t>
  </si>
  <si>
    <t>L'histoire que l'on raconte.</t>
  </si>
  <si>
    <t>https://raw.githubusercontent.com/olaf-programmeur/images/main/recit.webp</t>
  </si>
  <si>
    <t>https://raw.githubusercontent.com/olaf-programmeur/images/main/histoire.webp</t>
  </si>
  <si>
    <t>https://raw.githubusercontent.com/olaf-programmeur/images/main/histoire_1.webp</t>
  </si>
  <si>
    <t>https://raw.githubusercontent.com/olaf-programmeur/images/main/histoire_2.webp</t>
  </si>
  <si>
    <t>recu</t>
  </si>
  <si>
    <t>le reçu</t>
  </si>
  <si>
    <t>Le papier qui prouve que l'on a payé.</t>
  </si>
  <si>
    <t>https://raw.githubusercontent.com/olaf-programmeur/images/main/recu.webp</t>
  </si>
  <si>
    <t>reflet</t>
  </si>
  <si>
    <t>le reflet</t>
  </si>
  <si>
    <t>L'image que l'on voit dans un miroir ou dans l'eau.</t>
  </si>
  <si>
    <t>https://raw.githubusercontent.com/olaf-programmeur/images/main/reflet.webp</t>
  </si>
  <si>
    <t>https://raw.githubusercontent.com/olaf-programmeur/images/main/reflet_1.webp</t>
  </si>
  <si>
    <t>https://raw.githubusercontent.com/olaf-programmeur/images/main/reflet_2.webp</t>
  </si>
  <si>
    <t>https://raw.githubusercontent.com/olaf-programmeur/images/main/reflet_3.webp</t>
  </si>
  <si>
    <t>https://raw.githubusercontent.com/olaf-programmeur/images/main/reflet_4.webp</t>
  </si>
  <si>
    <t>regret</t>
  </si>
  <si>
    <t>le regret</t>
  </si>
  <si>
    <t>La peine de ne pas avoir fait ou d'avoir fait une chose.</t>
  </si>
  <si>
    <t>https://raw.githubusercontent.com/olaf-programmeur/images/main/regret.webp</t>
  </si>
  <si>
    <t>relief</t>
  </si>
  <si>
    <t>le relief</t>
  </si>
  <si>
    <t>Les bosses et les creux sur une surface.</t>
  </si>
  <si>
    <t>https://raw.githubusercontent.com/olaf-programmeur/images/main/relief.webp</t>
  </si>
  <si>
    <t>remede</t>
  </si>
  <si>
    <t>le remède</t>
  </si>
  <si>
    <t>Ce qui sert à soigner une maladie.</t>
  </si>
  <si>
    <t>repas</t>
  </si>
  <si>
    <t>le repas</t>
  </si>
  <si>
    <t>La nourriture qu'on mange à une heure précise de la journée.</t>
  </si>
  <si>
    <t>https://raw.githubusercontent.com/olaf-programmeur/images/main/repas.webp</t>
  </si>
  <si>
    <t>repos</t>
  </si>
  <si>
    <t>le repos</t>
  </si>
  <si>
    <t>Le moment où l'on arrête de travailler pour se détendre.</t>
  </si>
  <si>
    <t>https://raw.githubusercontent.com/olaf-programmeur/images/main/repos.webp</t>
  </si>
  <si>
    <t>respect</t>
  </si>
  <si>
    <t>le respect</t>
  </si>
  <si>
    <t>Le fait de traiter les autres avec attention et politesse.</t>
  </si>
  <si>
    <t>https://raw.githubusercontent.com/olaf-programmeur/images/main/respect.webp</t>
  </si>
  <si>
    <t>https://raw.githubusercontent.com/olaf-programmeur/images/main/respect_1.webp</t>
  </si>
  <si>
    <t>resultat</t>
  </si>
  <si>
    <t>le résultat</t>
  </si>
  <si>
    <t>Ce que l'on obtient à la fin d'un calcul ou d'un effort.</t>
  </si>
  <si>
    <t>https://raw.githubusercontent.com/olaf-programmeur/images/main/resultat.webp</t>
  </si>
  <si>
    <t>retour</t>
  </si>
  <si>
    <t>le retour</t>
  </si>
  <si>
    <t>Le fait de revenir à l'endroit d'où l'on était parti.</t>
  </si>
  <si>
    <t>https://raw.githubusercontent.com/olaf-programmeur/images/main/retour.webp</t>
  </si>
  <si>
    <t>rhume</t>
  </si>
  <si>
    <t>le rhume</t>
  </si>
  <si>
    <t>La petite maladie qui bouche le nez et fait éternuer.</t>
  </si>
  <si>
    <t>https://raw.githubusercontent.com/olaf-programmeur/images/main/rhume.webp</t>
  </si>
  <si>
    <t>rideau</t>
  </si>
  <si>
    <t>le rideau</t>
  </si>
  <si>
    <t>Le tissu qu'on tire devant une fenêtre.</t>
  </si>
  <si>
    <t>https://raw.githubusercontent.com/olaf-programmeur/images/main/rideau.webp</t>
  </si>
  <si>
    <t>risque</t>
  </si>
  <si>
    <t>le risque</t>
  </si>
  <si>
    <t>Le danger qu'une chose mauvaise arrive.</t>
  </si>
  <si>
    <t>https://raw.githubusercontent.com/olaf-programmeur/images/main/risque.webp</t>
  </si>
  <si>
    <t>ruban</t>
  </si>
  <si>
    <t>le ruban</t>
  </si>
  <si>
    <t>La longue bande fine de tissu pour décorer ou attacher.</t>
  </si>
  <si>
    <t>https://raw.githubusercontent.com/olaf-programmeur/images/main/ruban.webp</t>
  </si>
  <si>
    <t>rythme</t>
  </si>
  <si>
    <t>le rythme</t>
  </si>
  <si>
    <t>Le tempo en musique  ++  On joue à 120 à la noire.</t>
  </si>
  <si>
    <t>https://raw.githubusercontent.com/olaf-programmeur/images/main/rythme.webp</t>
  </si>
  <si>
    <t>https://raw.githubusercontent.com/olaf-programmeur/images/main/rythme_1.webp</t>
  </si>
  <si>
    <t>https://raw.githubusercontent.com/olaf-programmeur/images/main/trottoir.webp</t>
  </si>
  <si>
    <t>https://raw.githubusercontent.com/olaf-programmeur/images/main/trottoir_1.webp</t>
  </si>
  <si>
    <t>sable</t>
  </si>
  <si>
    <t>le sable</t>
  </si>
  <si>
    <t>Les tout petits grains que l'on trouve sur la plage.</t>
  </si>
  <si>
    <t>https://raw.githubusercontent.com/olaf-programmeur/images/main/sable.webp</t>
  </si>
  <si>
    <t>https://raw.githubusercontent.com/olaf-programmeur/images/main/sable_1.webp</t>
  </si>
  <si>
    <t>https://raw.githubusercontent.com/olaf-programmeur/images/main/sable_2.webp</t>
  </si>
  <si>
    <t>https://raw.githubusercontent.com/olaf-programmeur/images/main/sable_3.webp</t>
  </si>
  <si>
    <t>https://raw.githubusercontent.com/olaf-programmeur/images/main/sable_4.webp</t>
  </si>
  <si>
    <t>https://raw.githubusercontent.com/olaf-programmeur/images/main/trottoir_2.webp</t>
  </si>
  <si>
    <t>https://raw.githubusercontent.com/olaf-programmeur/images/main/trottoir_3.webp</t>
  </si>
  <si>
    <t>sac</t>
  </si>
  <si>
    <t>le sac</t>
  </si>
  <si>
    <t>L'objet souple où l'on met ses affaires pour les porter.</t>
  </si>
  <si>
    <t>https://raw.githubusercontent.com/olaf-programmeur/images/main/sac.webp</t>
  </si>
  <si>
    <t>https://raw.githubusercontent.com/olaf-programmeur/images/main/sac_1.webp</t>
  </si>
  <si>
    <t>https://raw.githubusercontent.com/olaf-programmeur/images/main/sac_2.webp</t>
  </si>
  <si>
    <t>https://raw.githubusercontent.com/olaf-programmeur/images/main/sac_3.webp</t>
  </si>
  <si>
    <t>https://raw.githubusercontent.com/olaf-programmeur/images/main/sac_4.webp</t>
  </si>
  <si>
    <t>sac_a_dos</t>
  </si>
  <si>
    <t>le sac à dos</t>
  </si>
  <si>
    <t>Le sac que l'on porte sur le dos.</t>
  </si>
  <si>
    <t>https://raw.githubusercontent.com/olaf-programmeur/images/main/sac_a_dos.webp</t>
  </si>
  <si>
    <t>https://raw.githubusercontent.com/olaf-programmeur/images/main/sac_a_dos_1.webp</t>
  </si>
  <si>
    <t>https://raw.githubusercontent.com/olaf-programmeur/images/main/sac_a_dos_2.webp</t>
  </si>
  <si>
    <t>https://raw.githubusercontent.com/olaf-programmeur/images/main/sac_a_dos_3.webp</t>
  </si>
  <si>
    <t>https://raw.githubusercontent.com/olaf-programmeur/images/main/sac_a_dos_4.webp</t>
  </si>
  <si>
    <t>seau</t>
  </si>
  <si>
    <t>le seau</t>
  </si>
  <si>
    <t>Le récipient avec une anse pour porter de l'eau.</t>
  </si>
  <si>
    <t>https://raw.githubusercontent.com/olaf-programmeur/images/main/seau.webp</t>
  </si>
  <si>
    <t>https://raw.githubusercontent.com/olaf-programmeur/images/main/seau_1.webp</t>
  </si>
  <si>
    <t>https://raw.githubusercontent.com/olaf-programmeur/images/main/seau_2.webp</t>
  </si>
  <si>
    <t>https://raw.githubusercontent.com/olaf-programmeur/images/main/seau_3.webp</t>
  </si>
  <si>
    <t>https://raw.githubusercontent.com/olaf-programmeur/images/main/seau_4.webp</t>
  </si>
  <si>
    <t>secours</t>
  </si>
  <si>
    <t>le secours</t>
  </si>
  <si>
    <t>L'aide que l'on apporte à quelqu'un en danger.</t>
  </si>
  <si>
    <t>https://raw.githubusercontent.com/olaf-programmeur/images/main/secours.webp</t>
  </si>
  <si>
    <t>secret</t>
  </si>
  <si>
    <t>le secret</t>
  </si>
  <si>
    <t>Une chose que l'on ne dit pas aux autres.</t>
  </si>
  <si>
    <t>https://raw.githubusercontent.com/olaf-programmeur/images/main/secret.webp</t>
  </si>
  <si>
    <t>secteur</t>
  </si>
  <si>
    <t>le secteur</t>
  </si>
  <si>
    <t>Mot qui désigne un groupe d'activités ++  un endroit</t>
  </si>
  <si>
    <t>https://raw.githubusercontent.com/olaf-programmeur/images/main/secteur.webp</t>
  </si>
  <si>
    <t>https://raw.githubusercontent.com/olaf-programmeur/images/main/secteur_1.webp</t>
  </si>
  <si>
    <t>sentier</t>
  </si>
  <si>
    <t>le sentier</t>
  </si>
  <si>
    <t>Le petit chemin étroit dans la nature.</t>
  </si>
  <si>
    <t>https://raw.githubusercontent.com/olaf-programmeur/images/main/sentier.webp</t>
  </si>
  <si>
    <t>https://raw.githubusercontent.com/olaf-programmeur/images/main/sentier_1.webp</t>
  </si>
  <si>
    <t>https://raw.githubusercontent.com/olaf-programmeur/images/main/sentier_2.webp</t>
  </si>
  <si>
    <t>https://raw.githubusercontent.com/olaf-programmeur/images/main/sentier_3.webp</t>
  </si>
  <si>
    <t>https://raw.githubusercontent.com/olaf-programmeur/images/main/sentier_4.webp</t>
  </si>
  <si>
    <t>service</t>
  </si>
  <si>
    <t>le service</t>
  </si>
  <si>
    <t>Le fait de faire quelque chose d'utile pour quelqu'un.</t>
  </si>
  <si>
    <t>https://raw.githubusercontent.com/olaf-programmeur/images/main/service.webp</t>
  </si>
  <si>
    <t>https://raw.githubusercontent.com/olaf-programmeur/images/main/service_1.webp</t>
  </si>
  <si>
    <t>signe</t>
  </si>
  <si>
    <t>le signe</t>
  </si>
  <si>
    <t>Une marque ou un geste qui veut dire quelque chose.</t>
  </si>
  <si>
    <t>https://raw.githubusercontent.com/olaf-programmeur/images/main/signe.webp</t>
  </si>
  <si>
    <t>https://raw.githubusercontent.com/olaf-programmeur/images/main/signe_1.webp</t>
  </si>
  <si>
    <t>https://raw.githubusercontent.com/olaf-programmeur/images/main/signe_2.webp</t>
  </si>
  <si>
    <t>https://raw.githubusercontent.com/olaf-programmeur/images/main/signe_3.webp</t>
  </si>
  <si>
    <t>https://raw.githubusercontent.com/olaf-programmeur/images/main/signe_4.webp</t>
  </si>
  <si>
    <t>silence</t>
  </si>
  <si>
    <t>le silence</t>
  </si>
  <si>
    <t>L'absence totale de bruit.</t>
  </si>
  <si>
    <t>https://raw.githubusercontent.com/olaf-programmeur/images/main/silence.webp</t>
  </si>
  <si>
    <t>v_soigner</t>
  </si>
  <si>
    <t>soigner</t>
  </si>
  <si>
    <t>Donner un traitement médical à quelqu'un pour qu'il guérisse.</t>
  </si>
  <si>
    <t>https://raw.githubusercontent.com/olaf-programmeur/images/main/v_soigner.webp</t>
  </si>
  <si>
    <t>https://raw.githubusercontent.com/olaf-programmeur/images/main/v_soigner_1.webp</t>
  </si>
  <si>
    <t>sol</t>
  </si>
  <si>
    <t>le sol</t>
  </si>
  <si>
    <t>La surface sur laquelle on marche.</t>
  </si>
  <si>
    <t>https://raw.githubusercontent.com/olaf-programmeur/images/main/sol.webp</t>
  </si>
  <si>
    <t>sommeil</t>
  </si>
  <si>
    <t>le sommeil</t>
  </si>
  <si>
    <t>L'envie ou le fait de dormir.</t>
  </si>
  <si>
    <t>souhait</t>
  </si>
  <si>
    <t>le souhait</t>
  </si>
  <si>
    <t>Ce que l'on désire qu'il arrive.</t>
  </si>
  <si>
    <t>https://raw.githubusercontent.com/olaf-programmeur/images/main/souhait.webp</t>
  </si>
  <si>
    <t>https://raw.githubusercontent.com/olaf-programmeur/images/main/souhait_1.webp</t>
  </si>
  <si>
    <t>souvenir</t>
  </si>
  <si>
    <t>le souvenir</t>
  </si>
  <si>
    <t>Ce que l'on garde en mémoire d'un moment passé.</t>
  </si>
  <si>
    <t>https://raw.githubusercontent.com/olaf-programmeur/images/main/souvenir.webp</t>
  </si>
  <si>
    <t>sport</t>
  </si>
  <si>
    <t>le sport</t>
  </si>
  <si>
    <t>L'activité physique que l'on fait pour s'amuser ou rester en forme.</t>
  </si>
  <si>
    <t>https://raw.githubusercontent.com/olaf-programmeur/images/main/sport.webp</t>
  </si>
  <si>
    <t>https://raw.githubusercontent.com/olaf-programmeur/images/main/sport_1.webp</t>
  </si>
  <si>
    <t>https://raw.githubusercontent.com/olaf-programmeur/images/main/sport_2.webp</t>
  </si>
  <si>
    <t>https://raw.githubusercontent.com/olaf-programmeur/images/main/sport_3.webp</t>
  </si>
  <si>
    <t>https://raw.githubusercontent.com/olaf-programmeur/images/main/sport_4.webp</t>
  </si>
  <si>
    <t>https://raw.githubusercontent.com/olaf-programmeur/images/main/sport_5.webp</t>
  </si>
  <si>
    <t>stade</t>
  </si>
  <si>
    <t>le stade</t>
  </si>
  <si>
    <t>Le grand terrain de sport avec des gradins pour le public.</t>
  </si>
  <si>
    <t>https://raw.githubusercontent.com/olaf-programmeur/images/main/stade.webp</t>
  </si>
  <si>
    <t>https://raw.githubusercontent.com/olaf-programmeur/images/main/stade_1.webp</t>
  </si>
  <si>
    <t>https://raw.githubusercontent.com/olaf-programmeur/images/main/stade_4.webp</t>
  </si>
  <si>
    <t>stylo</t>
  </si>
  <si>
    <t>le stylo</t>
  </si>
  <si>
    <t>L'objet avec de l'encre pour écrire.</t>
  </si>
  <si>
    <t>https://raw.githubusercontent.com/olaf-programmeur/images/main/stylo.webp</t>
  </si>
  <si>
    <t>https://raw.githubusercontent.com/olaf-programmeur/images/main/stylo_1.webp</t>
  </si>
  <si>
    <t>https://raw.githubusercontent.com/olaf-programmeur/images/main/stylo_2.webp</t>
  </si>
  <si>
    <t>https://raw.githubusercontent.com/olaf-programmeur/images/main/stylo_3.webp</t>
  </si>
  <si>
    <t>https://raw.githubusercontent.com/olaf-programmeur/images/main/stylo_4.webp</t>
  </si>
  <si>
    <t>tableau</t>
  </si>
  <si>
    <t>le tableau</t>
  </si>
  <si>
    <t>La peinture faite par un artiste, ou le panneau en classe.</t>
  </si>
  <si>
    <t>https://raw.githubusercontent.com/olaf-programmeur/images/main/tableau.webp</t>
  </si>
  <si>
    <t>tablier</t>
  </si>
  <si>
    <t>le tablier</t>
  </si>
  <si>
    <t>Le vêtement que l'on met devant soi pour ne pas se salir.</t>
  </si>
  <si>
    <t>https://raw.githubusercontent.com/olaf-programmeur/images/main/tablier.webp</t>
  </si>
  <si>
    <t>https://raw.githubusercontent.com/olaf-programmeur/images/main/tablier_1.webp</t>
  </si>
  <si>
    <t>https://raw.githubusercontent.com/olaf-programmeur/images/main/tablier_2.webp</t>
  </si>
  <si>
    <t>https://raw.githubusercontent.com/olaf-programmeur/images/main/tablier_3.webp</t>
  </si>
  <si>
    <t>https://raw.githubusercontent.com/olaf-programmeur/images/main/tablier_4.webp</t>
  </si>
  <si>
    <t>tas</t>
  </si>
  <si>
    <t>le tas</t>
  </si>
  <si>
    <t>Un ensemble de choses mises les unes sur les autres.</t>
  </si>
  <si>
    <t>https://raw.githubusercontent.com/olaf-programmeur/images/main/tas.webp</t>
  </si>
  <si>
    <t>https://raw.githubusercontent.com/olaf-programmeur/images/main/tas_1.webp</t>
  </si>
  <si>
    <t>https://raw.githubusercontent.com/olaf-programmeur/images/main/tas_2.webp</t>
  </si>
  <si>
    <t>https://raw.githubusercontent.com/olaf-programmeur/images/main/tas_3.webp</t>
  </si>
  <si>
    <t>https://raw.githubusercontent.com/olaf-programmeur/images/main/tas_4.webp</t>
  </si>
  <si>
    <t>terrain</t>
  </si>
  <si>
    <t>le terrain</t>
  </si>
  <si>
    <t>L'espace plat où l'on pratique un sport.</t>
  </si>
  <si>
    <t>https://raw.githubusercontent.com/olaf-programmeur/images/main/terrain.webp</t>
  </si>
  <si>
    <t>https://raw.githubusercontent.com/olaf-programmeur/images/main/terrain_1.webp</t>
  </si>
  <si>
    <t>https://raw.githubusercontent.com/olaf-programmeur/images/main/terrain_2.webp</t>
  </si>
  <si>
    <t>https://raw.githubusercontent.com/olaf-programmeur/images/main/terrain_3.webp</t>
  </si>
  <si>
    <t>https://raw.githubusercontent.com/olaf-programmeur/images/main/terrain_4.webp</t>
  </si>
  <si>
    <t>territoire</t>
  </si>
  <si>
    <t>le territoire</t>
  </si>
  <si>
    <t>L'étendue de terre qui appartient à un pays ou à un groupe.</t>
  </si>
  <si>
    <t>https://raw.githubusercontent.com/olaf-programmeur/images/main/territoire.webp</t>
  </si>
  <si>
    <t>texte</t>
  </si>
  <si>
    <t>le texte</t>
  </si>
  <si>
    <t>L'ensemble des mots écrits que l'on lit.</t>
  </si>
  <si>
    <t>https://raw.githubusercontent.com/olaf-programmeur/images/main/texte.webp</t>
  </si>
  <si>
    <t>https://raw.githubusercontent.com/olaf-programmeur/images/main/texte_1.webp</t>
  </si>
  <si>
    <t>https://raw.githubusercontent.com/olaf-programmeur/images/main/texte_2.webp</t>
  </si>
  <si>
    <t>https://raw.githubusercontent.com/olaf-programmeur/images/main/texte_3.webp</t>
  </si>
  <si>
    <t>thermometre</t>
  </si>
  <si>
    <t>le thermomètre</t>
  </si>
  <si>
    <t>L'objet pour mesurer la température  ++ dehors  ++ du corps</t>
  </si>
  <si>
    <t>https://raw.githubusercontent.com/olaf-programmeur/images/main/thermometre.webp</t>
  </si>
  <si>
    <t>https://raw.githubusercontent.com/olaf-programmeur/images/main/thermometre_1.webp</t>
  </si>
  <si>
    <t>https://raw.githubusercontent.com/olaf-programmeur/images/main/thermometre_2.webp</t>
  </si>
  <si>
    <t>https://raw.githubusercontent.com/olaf-programmeur/images/main/thermometre_3.webp</t>
  </si>
  <si>
    <t>https://raw.githubusercontent.com/olaf-programmeur/images/main/thermometre_4.webp</t>
  </si>
  <si>
    <t>timbre</t>
  </si>
  <si>
    <t>le timbre</t>
  </si>
  <si>
    <t>Le petit papier collé sur une lettre pour l'envoyer.</t>
  </si>
  <si>
    <t>https://raw.githubusercontent.com/olaf-programmeur/images/main/timbre.webp</t>
  </si>
  <si>
    <t>https://raw.githubusercontent.com/olaf-programmeur/images/main/timbre_1.webp</t>
  </si>
  <si>
    <t>https://raw.githubusercontent.com/olaf-programmeur/images/main/timbre_2.webp</t>
  </si>
  <si>
    <t>https://raw.githubusercontent.com/olaf-programmeur/images/main/timbre_3.webp</t>
  </si>
  <si>
    <t>https://raw.githubusercontent.com/olaf-programmeur/images/main/timbre_4.webp</t>
  </si>
  <si>
    <t>tiroir</t>
  </si>
  <si>
    <t>le tiroir</t>
  </si>
  <si>
    <t>La partie d'un meuble qui se tire pour ranger des choses.</t>
  </si>
  <si>
    <t>https://raw.githubusercontent.com/olaf-programmeur/images/main/tiroir.webp</t>
  </si>
  <si>
    <t>https://raw.githubusercontent.com/olaf-programmeur/images/main/tiroir_1.webp</t>
  </si>
  <si>
    <t>https://raw.githubusercontent.com/olaf-programmeur/images/main/tiroir_2.webp</t>
  </si>
  <si>
    <t>https://raw.githubusercontent.com/olaf-programmeur/images/main/tiroir_3.webp</t>
  </si>
  <si>
    <t>https://raw.githubusercontent.com/olaf-programmeur/images/main/tiroir_4.webp</t>
  </si>
  <si>
    <t>tissu</t>
  </si>
  <si>
    <t>le tissu</t>
  </si>
  <si>
    <t>La matière souple faite de fils, qui sert aux vêtements.</t>
  </si>
  <si>
    <t>https://raw.githubusercontent.com/olaf-programmeur/images/main/tissu.webp</t>
  </si>
  <si>
    <t>tonneaux</t>
  </si>
  <si>
    <t>le tonneau</t>
  </si>
  <si>
    <t>Le tonneau est fait en bois. Il contient du vin ou de la bière et permet de les laisser vieillir.</t>
  </si>
  <si>
    <t>https://raw.githubusercontent.com/olaf-programmeur/images/main/tonneaux.webp</t>
  </si>
  <si>
    <t>tonnerre</t>
  </si>
  <si>
    <t>le tonnerre</t>
  </si>
  <si>
    <t>Le grand bruit qui suit l'éclair pendant l'orage.</t>
  </si>
  <si>
    <t>https://raw.githubusercontent.com/olaf-programmeur/images/main/tonnerre.webp</t>
  </si>
  <si>
    <t>total</t>
  </si>
  <si>
    <t>le total</t>
  </si>
  <si>
    <t>Le résultat quand on additionne toutes les parties.</t>
  </si>
  <si>
    <t>https://raw.githubusercontent.com/olaf-programmeur/images/main/total.webp</t>
  </si>
  <si>
    <t>tournevis</t>
  </si>
  <si>
    <t>le tournevis</t>
  </si>
  <si>
    <t>L'outil qui sert à tourner les vis.</t>
  </si>
  <si>
    <t>https://raw.githubusercontent.com/olaf-programmeur/images/main/tournevis.webp</t>
  </si>
  <si>
    <t>https://raw.githubusercontent.com/olaf-programmeur/images/main/tournevis_1.webp</t>
  </si>
  <si>
    <t>https://raw.githubusercontent.com/olaf-programmeur/images/main/tournevis_2.webp</t>
  </si>
  <si>
    <t>https://raw.githubusercontent.com/olaf-programmeur/images/main/tournevis_3.webp</t>
  </si>
  <si>
    <t>trait</t>
  </si>
  <si>
    <t>le trait</t>
  </si>
  <si>
    <t>La ligne que l'on trace avec un crayon.</t>
  </si>
  <si>
    <t>https://raw.githubusercontent.com/olaf-programmeur/images/main/trait.webp</t>
  </si>
  <si>
    <t>le travail</t>
  </si>
  <si>
    <t>L'effort que l'on fait pour réaliser une tâche.</t>
  </si>
  <si>
    <t>https://raw.githubusercontent.com/olaf-programmeur/images/main/travail.webp</t>
  </si>
  <si>
    <t>le tronc</t>
  </si>
  <si>
    <t>La grosse tige de l'arbre qui porte les branches.</t>
  </si>
  <si>
    <t>trottoir</t>
  </si>
  <si>
    <t>le trottoir</t>
  </si>
  <si>
    <t>Le bord de la rue où marchent les gens.</t>
  </si>
  <si>
    <t>https://raw.githubusercontent.com/olaf-programmeur/images/main/trottoir_4.webp</t>
  </si>
  <si>
    <t>trou</t>
  </si>
  <si>
    <t>le trou</t>
  </si>
  <si>
    <t>Le creux ou l'ouverture dans une chose.</t>
  </si>
  <si>
    <t>https://raw.githubusercontent.com/olaf-programmeur/images/main/trou.webp</t>
  </si>
  <si>
    <t>https://raw.githubusercontent.com/olaf-programmeur/images/main/trou_1.webp</t>
  </si>
  <si>
    <t>https://raw.githubusercontent.com/olaf-programmeur/images/main/trou_2.webp</t>
  </si>
  <si>
    <t>https://raw.githubusercontent.com/olaf-programmeur/images/main/trou_3.webp</t>
  </si>
  <si>
    <t>https://raw.githubusercontent.com/olaf-programmeur/images/main/trou_4.webp</t>
  </si>
  <si>
    <t>trousseau</t>
  </si>
  <si>
    <t>le trousseau</t>
  </si>
  <si>
    <t>L'ensemble des clés que l'on garde ensemble.</t>
  </si>
  <si>
    <t>https://raw.githubusercontent.com/olaf-programmeur/images/main/trousseau.webp</t>
  </si>
  <si>
    <t>https://raw.githubusercontent.com/olaf-programmeur/images/main/trousseau_1.webp</t>
  </si>
  <si>
    <t>https://raw.githubusercontent.com/olaf-programmeur/images/main/trousseau_2.webp</t>
  </si>
  <si>
    <t>https://raw.githubusercontent.com/olaf-programmeur/images/main/trousseau_3.webp</t>
  </si>
  <si>
    <t>https://raw.githubusercontent.com/olaf-programmeur/images/main/trousseau_4.webp</t>
  </si>
  <si>
    <t>tube</t>
  </si>
  <si>
    <t>le tube</t>
  </si>
  <si>
    <t>L'objet long et creux par où passe un liquide ou un gaz  ++  ce dans quoi on met le dentifrice + la colle</t>
  </si>
  <si>
    <t>https://raw.githubusercontent.com/olaf-programmeur/images/main/tube.webp</t>
  </si>
  <si>
    <t>https://raw.githubusercontent.com/olaf-programmeur/images/main/tube_1.webp</t>
  </si>
  <si>
    <t>https://raw.githubusercontent.com/olaf-programmeur/images/main/tube_2.webp</t>
  </si>
  <si>
    <t>https://raw.githubusercontent.com/olaf-programmeur/images/main/tube_3.webp</t>
  </si>
  <si>
    <t>https://raw.githubusercontent.com/olaf-programmeur/images/main/tube_4.webp</t>
  </si>
  <si>
    <t>tuyau</t>
  </si>
  <si>
    <t>le tuyau</t>
  </si>
  <si>
    <t>Le long tube creux où passe l'eau ou l'air.</t>
  </si>
  <si>
    <t>https://raw.githubusercontent.com/olaf-programmeur/images/main/tuyau.webp</t>
  </si>
  <si>
    <t>https://raw.githubusercontent.com/olaf-programmeur/images/main/tuyau_1.webp</t>
  </si>
  <si>
    <t>https://raw.githubusercontent.com/olaf-programmeur/images/main/tuyau_2.webp</t>
  </si>
  <si>
    <t>https://raw.githubusercontent.com/olaf-programmeur/images/main/tuyau_3.webp</t>
  </si>
  <si>
    <t>https://raw.githubusercontent.com/olaf-programmeur/images/main/tuyau_4.webp</t>
  </si>
  <si>
    <t>type</t>
  </si>
  <si>
    <t>le type</t>
  </si>
  <si>
    <t>Une sorte, une catégorie de chose.</t>
  </si>
  <si>
    <t>https://raw.githubusercontent.com/olaf-programmeur/images/main/type.webp</t>
  </si>
  <si>
    <t>https://raw.githubusercontent.com/olaf-programmeur/images/main/type_1.webp</t>
  </si>
  <si>
    <t>vaccin</t>
  </si>
  <si>
    <t>le vaccin</t>
  </si>
  <si>
    <t>Le produit qui protège le corps contre une maladie.</t>
  </si>
  <si>
    <t>https://raw.githubusercontent.com/olaf-programmeur/images/main/vaccin.webp</t>
  </si>
  <si>
    <t>vainqueur</t>
  </si>
  <si>
    <t>le vainqueur</t>
  </si>
  <si>
    <t>Celui qui a gagné.</t>
  </si>
  <si>
    <t>velours</t>
  </si>
  <si>
    <t>le velours</t>
  </si>
  <si>
    <t>Le tissu très doux au toucher.</t>
  </si>
  <si>
    <t>https://raw.githubusercontent.com/olaf-programmeur/images/main/velours.webp</t>
  </si>
  <si>
    <t>https://raw.githubusercontent.com/olaf-programmeur/images/main/velours_1.webp</t>
  </si>
  <si>
    <t>vent</t>
  </si>
  <si>
    <t>le vent</t>
  </si>
  <si>
    <t>L'air qui se déplace et que l'on sent souffler.</t>
  </si>
  <si>
    <t>https://raw.githubusercontent.com/olaf-programmeur/images/main/vent.webp</t>
  </si>
  <si>
    <t>https://raw.githubusercontent.com/olaf-programmeur/images/main/vent_1.webp</t>
  </si>
  <si>
    <t>https://raw.githubusercontent.com/olaf-programmeur/images/main/vent_2.webp</t>
  </si>
  <si>
    <t>https://raw.githubusercontent.com/olaf-programmeur/images/main/vent_3.webp</t>
  </si>
  <si>
    <t>https://raw.githubusercontent.com/olaf-programmeur/images/main/vent_4.webp</t>
  </si>
  <si>
    <t>verbe</t>
  </si>
  <si>
    <t>le verbe</t>
  </si>
  <si>
    <t>Mot qui permet de décrire une action, le fait de faire quelque chose.</t>
  </si>
  <si>
    <t>https://raw.githubusercontent.com/olaf-programmeur/images/main/verbe.webp</t>
  </si>
  <si>
    <t>vetement</t>
  </si>
  <si>
    <t>le vêtement</t>
  </si>
  <si>
    <t>Tout ce qu'on porte sur soi pour se couvrir, se protéger du froid ou de la chaleur, et aussi pour s'habiller selon ses goûts, comme un t-shirt, un pantalon ou une veste.</t>
  </si>
  <si>
    <t>https://raw.githubusercontent.com/olaf-programmeur/images/main/vetement.webp</t>
  </si>
  <si>
    <t>village</t>
  </si>
  <si>
    <t>le village</t>
  </si>
  <si>
    <t>Le petit groupe de maisons à la campagne.</t>
  </si>
  <si>
    <t>https://raw.githubusercontent.com/olaf-programmeur/images/main/village.webp</t>
  </si>
  <si>
    <t>https://raw.githubusercontent.com/olaf-programmeur/images/main/village_1.webp</t>
  </si>
  <si>
    <t>https://raw.githubusercontent.com/olaf-programmeur/images/main/village_2.webp</t>
  </si>
  <si>
    <t>https://raw.githubusercontent.com/olaf-programmeur/images/main/village_3.webp</t>
  </si>
  <si>
    <t>https://raw.githubusercontent.com/olaf-programmeur/images/main/village_4.webp</t>
  </si>
  <si>
    <t>le visage</t>
  </si>
  <si>
    <t>Partie avant de la tête où se trouvent les yeux, le nez, la bouche et les oreilles, et qui permet d'exprimer ses émotions comme la joie, la tristesse ou la surprise.</t>
  </si>
  <si>
    <t>https://raw.githubusercontent.com/olaf-programmeur/images/main/visage.webp</t>
  </si>
  <si>
    <t>https://raw.githubusercontent.com/olaf-programmeur/images/main/visage_1.webp</t>
  </si>
  <si>
    <t>https://raw.githubusercontent.com/olaf-programmeur/images/main/visage_2.webp</t>
  </si>
  <si>
    <t>https://raw.githubusercontent.com/olaf-programmeur/images/main/visage_3.webp</t>
  </si>
  <si>
    <t>https://raw.githubusercontent.com/olaf-programmeur/images/main/visage_4.webp</t>
  </si>
  <si>
    <t>voisin</t>
  </si>
  <si>
    <t>le voisin</t>
  </si>
  <si>
    <t>Une personne qui habite tout près de chez toi.</t>
  </si>
  <si>
    <t>https://raw.githubusercontent.com/olaf-programmeur/images/main/voisin.webp</t>
  </si>
  <si>
    <t>vol</t>
  </si>
  <si>
    <t>le vol</t>
  </si>
  <si>
    <t>Le fait de prendre une chose qui n'est pas à soi.</t>
  </si>
  <si>
    <t>https://raw.githubusercontent.com/olaf-programmeur/images/main/vol.webp</t>
  </si>
  <si>
    <t>volume</t>
  </si>
  <si>
    <t>le volume</t>
  </si>
  <si>
    <t>https://raw.githubusercontent.com/olaf-programmeur/images/main/volume.webp</t>
  </si>
  <si>
    <t>voyage</t>
  </si>
  <si>
    <t>le voyage</t>
  </si>
  <si>
    <t>Le fait d'aller loin, dans un autre lieu.</t>
  </si>
  <si>
    <t>https://raw.githubusercontent.com/olaf-programmeur/images/main/voyage.webp</t>
  </si>
  <si>
    <t>echelle</t>
  </si>
  <si>
    <t>l'échelle</t>
  </si>
  <si>
    <t>L'objet à barreaux pour monter en hauteur.</t>
  </si>
  <si>
    <t>https://raw.githubusercontent.com/olaf-programmeur/images/main/echelle.webp</t>
  </si>
  <si>
    <t>https://raw.githubusercontent.com/olaf-programmeur/images/main/echelle_1.webp</t>
  </si>
  <si>
    <t>https://raw.githubusercontent.com/olaf-programmeur/images/main/echelle_2.webp</t>
  </si>
  <si>
    <t>https://raw.githubusercontent.com/olaf-programmeur/images/main/echelle_3.webp</t>
  </si>
  <si>
    <t>https://raw.githubusercontent.com/olaf-programmeur/images/main/echelle_4.webp</t>
  </si>
  <si>
    <t>eclair</t>
  </si>
  <si>
    <t>l'éclair</t>
  </si>
  <si>
    <t>La lumière vive qui zèbre le ciel pendant l'orage.</t>
  </si>
  <si>
    <t>https://raw.githubusercontent.com/olaf-programmeur/images/main/eclair.webp</t>
  </si>
  <si>
    <t>https://raw.githubusercontent.com/olaf-programmeur/images/main/eclair_1.webp</t>
  </si>
  <si>
    <t>https://raw.githubusercontent.com/olaf-programmeur/images/main/eclair_2.webp</t>
  </si>
  <si>
    <t>https://raw.githubusercontent.com/olaf-programmeur/images/main/eclair_3.webp</t>
  </si>
  <si>
    <t>https://raw.githubusercontent.com/olaf-programmeur/images/main/eclair_4.webp</t>
  </si>
  <si>
    <t>ecole</t>
  </si>
  <si>
    <t>l'école</t>
  </si>
  <si>
    <t>L'endroit où les enfants vont pour apprendre.</t>
  </si>
  <si>
    <t>https://raw.githubusercontent.com/olaf-programmeur/images/main/ecole.webp</t>
  </si>
  <si>
    <t>https://raw.githubusercontent.com/olaf-programmeur/images/main/ecole_1.webp</t>
  </si>
  <si>
    <t>https://raw.githubusercontent.com/olaf-programmeur/images/main/ecole_2.webp</t>
  </si>
  <si>
    <t>https://raw.githubusercontent.com/olaf-programmeur/images/main/ecole_3.webp</t>
  </si>
  <si>
    <t>https://raw.githubusercontent.com/olaf-programmeur/images/main/ecole_4.webp</t>
  </si>
  <si>
    <t>economie</t>
  </si>
  <si>
    <t>l'économie</t>
  </si>
  <si>
    <t>L'argent que l'on met de côté pour plus tard.</t>
  </si>
  <si>
    <t>https://raw.githubusercontent.com/olaf-programmeur/images/main/economie.webp</t>
  </si>
  <si>
    <t>ecorce</t>
  </si>
  <si>
    <t>l'écorce</t>
  </si>
  <si>
    <t>La peau dure qui recouvre le tronc de l'arbre.</t>
  </si>
  <si>
    <t>https://raw.githubusercontent.com/olaf-programmeur/images/main/ecorce.webp</t>
  </si>
  <si>
    <t>https://raw.githubusercontent.com/olaf-programmeur/images/main/ecorce_1.webp</t>
  </si>
  <si>
    <t>https://raw.githubusercontent.com/olaf-programmeur/images/main/ecorce_2.webp</t>
  </si>
  <si>
    <t>https://raw.githubusercontent.com/olaf-programmeur/images/main/ecorce_3.webp</t>
  </si>
  <si>
    <t>https://raw.githubusercontent.com/olaf-programmeur/images/main/ecorce_4.webp</t>
  </si>
  <si>
    <t>ecran</t>
  </si>
  <si>
    <t>l'écran</t>
  </si>
  <si>
    <t>La surface plate où s'affichent les images.</t>
  </si>
  <si>
    <t>https://raw.githubusercontent.com/olaf-programmeur/images/main/ecran.webp</t>
  </si>
  <si>
    <t>https://raw.githubusercontent.com/olaf-programmeur/images/main/ecran_1.webp</t>
  </si>
  <si>
    <t>https://raw.githubusercontent.com/olaf-programmeur/images/main/ecran_2.webp</t>
  </si>
  <si>
    <t>https://raw.githubusercontent.com/olaf-programmeur/images/main/ecran_3.webp</t>
  </si>
  <si>
    <t>https://raw.githubusercontent.com/olaf-programmeur/images/main/ecran_4.webp</t>
  </si>
  <si>
    <t>effort</t>
  </si>
  <si>
    <t>l'effort</t>
  </si>
  <si>
    <t>La force que l'on met pour faire quelque chose de difficile.</t>
  </si>
  <si>
    <t>https://raw.githubusercontent.com/olaf-programmeur/images/main/effort_2.webp</t>
  </si>
  <si>
    <t>https://raw.githubusercontent.com/olaf-programmeur/images/main/effort_3.webp</t>
  </si>
  <si>
    <t>https://raw.githubusercontent.com/olaf-programmeur/images/main/effort_4.webp</t>
  </si>
  <si>
    <t>eleve</t>
  </si>
  <si>
    <t>l'élève</t>
  </si>
  <si>
    <t>L'enfant ou le jeune qui va à l'école pour apprendre.</t>
  </si>
  <si>
    <t>https://raw.githubusercontent.com/olaf-programmeur/images/main/eleve.webp</t>
  </si>
  <si>
    <t>https://raw.githubusercontent.com/olaf-programmeur/images/main/eleve_1.webp</t>
  </si>
  <si>
    <t>https://raw.githubusercontent.com/olaf-programmeur/images/main/eleve_2.webp</t>
  </si>
  <si>
    <t>https://raw.githubusercontent.com/olaf-programmeur/images/main/eleve_3.webp</t>
  </si>
  <si>
    <t>https://raw.githubusercontent.com/olaf-programmeur/images/main/eleve_4.webp</t>
  </si>
  <si>
    <t>endroit</t>
  </si>
  <si>
    <t>l'endroit</t>
  </si>
  <si>
    <t>Le lieu précis où se trouve une chose ou une personne.</t>
  </si>
  <si>
    <t>https://raw.githubusercontent.com/olaf-programmeur/images/main/endroit.webp</t>
  </si>
  <si>
    <t>engin</t>
  </si>
  <si>
    <t>l'engin</t>
  </si>
  <si>
    <t>Une machine ou un appareil qui sert à faire un travail.</t>
  </si>
  <si>
    <t>https://raw.githubusercontent.com/olaf-programmeur/images/main/engin.webp</t>
  </si>
  <si>
    <t>https://raw.githubusercontent.com/olaf-programmeur/images/main/engin_1.webp</t>
  </si>
  <si>
    <t>https://raw.githubusercontent.com/olaf-programmeur/images/main/engin_2.webp</t>
  </si>
  <si>
    <t>ennui</t>
  </si>
  <si>
    <t>l'ennui</t>
  </si>
  <si>
    <t>Le sentiment désagréable quand on n'a rien d'amusant à faire.</t>
  </si>
  <si>
    <t>https://raw.githubusercontent.com/olaf-programmeur/images/main/ennui.webp</t>
  </si>
  <si>
    <t>entraide</t>
  </si>
  <si>
    <t>l'entraide</t>
  </si>
  <si>
    <t>Le fait de s'aider les uns les autres.</t>
  </si>
  <si>
    <t>l'entretien</t>
  </si>
  <si>
    <t>Le fait de garder une chose en bon état.</t>
  </si>
  <si>
    <t>https://raw.githubusercontent.com/olaf-programmeur/images/main/entretien.webp</t>
  </si>
  <si>
    <t>enveloppe</t>
  </si>
  <si>
    <t>l'enveloppe</t>
  </si>
  <si>
    <t>Le papier plié où l'on glisse une lettre.</t>
  </si>
  <si>
    <t>https://raw.githubusercontent.com/olaf-programmeur/images/main/enveloppe.webp</t>
  </si>
  <si>
    <t>https://raw.githubusercontent.com/olaf-programmeur/images/main/enveloppe_1.webp</t>
  </si>
  <si>
    <t>https://raw.githubusercontent.com/olaf-programmeur/images/main/enveloppe_2.webp</t>
  </si>
  <si>
    <t>https://raw.githubusercontent.com/olaf-programmeur/images/main/enveloppe_3.webp</t>
  </si>
  <si>
    <t>https://raw.githubusercontent.com/olaf-programmeur/images/main/enveloppe_4.webp</t>
  </si>
  <si>
    <t>envie</t>
  </si>
  <si>
    <t>l'envie</t>
  </si>
  <si>
    <t>Le désir d'avoir ou de faire quelque chose.</t>
  </si>
  <si>
    <t>https://raw.githubusercontent.com/olaf-programmeur/images/main/envie.webp</t>
  </si>
  <si>
    <t>https://raw.githubusercontent.com/olaf-programmeur/images/main/envie_1.webp</t>
  </si>
  <si>
    <t>environnement</t>
  </si>
  <si>
    <t>l'environnement</t>
  </si>
  <si>
    <t>Tout ce qui entoure et où vivent les êtres vivants.</t>
  </si>
  <si>
    <t>https://raw.githubusercontent.com/olaf-programmeur/images/main/environnement.webp</t>
  </si>
  <si>
    <t>https://raw.githubusercontent.com/olaf-programmeur/images/main/environnement_1.webp</t>
  </si>
  <si>
    <t>https://raw.githubusercontent.com/olaf-programmeur/images/main/environnement_2.webp</t>
  </si>
  <si>
    <t>https://raw.githubusercontent.com/olaf-programmeur/images/main/environnement_3.webp</t>
  </si>
  <si>
    <t>https://raw.githubusercontent.com/olaf-programmeur/images/main/environnement_4.webp</t>
  </si>
  <si>
    <t>https://raw.githubusercontent.com/olaf-programmeur/images/main/environnement_5.webp</t>
  </si>
  <si>
    <t>epice</t>
  </si>
  <si>
    <t>l'épice</t>
  </si>
  <si>
    <t>Le produit qui donne du goût aux plats.</t>
  </si>
  <si>
    <t>erreur</t>
  </si>
  <si>
    <t>l'erreur</t>
  </si>
  <si>
    <t>Quelque chose de faux, qui n'est pas correct.</t>
  </si>
  <si>
    <t>ciseaux</t>
  </si>
  <si>
    <t>les ciseaux</t>
  </si>
  <si>
    <t>L'outil à deux lames qui sert à couper le papier ou le tissu.</t>
  </si>
  <si>
    <t>gens</t>
  </si>
  <si>
    <t>les gens</t>
  </si>
  <si>
    <t>Plusieurs personnes prises ensemble.</t>
  </si>
  <si>
    <t>https://raw.githubusercontent.com/olaf-programmeur/images/main/gens.webp</t>
  </si>
  <si>
    <t>o_jumelles</t>
  </si>
  <si>
    <t>les jumelles</t>
  </si>
  <si>
    <t>L'objet à deux verres pour voir de loin.</t>
  </si>
  <si>
    <t>https://raw.githubusercontent.com/olaf-programmeur/images/main/jumelles.webp</t>
  </si>
  <si>
    <t>https://raw.githubusercontent.com/olaf-programmeur/images/main/jumelles_1.webp</t>
  </si>
  <si>
    <t>https://raw.githubusercontent.com/olaf-programmeur/images/main/jumelles_2.webp</t>
  </si>
  <si>
    <t>https://raw.githubusercontent.com/olaf-programmeur/images/main/jumelles_3.webp</t>
  </si>
  <si>
    <t>https://raw.githubusercontent.com/olaf-programmeur/images/main/jumelles_4.webp</t>
  </si>
  <si>
    <t>lunettes</t>
  </si>
  <si>
    <t>les lunettes</t>
  </si>
  <si>
    <t>Les verres que l'on porte devant les yeux pour mieux voir.</t>
  </si>
  <si>
    <t>https://raw.githubusercontent.com/olaf-programmeur/images/main/lunettes.webp</t>
  </si>
  <si>
    <t>vacances</t>
  </si>
  <si>
    <t>les vacances</t>
  </si>
  <si>
    <t>Le temps de repos où l'on ne va ni à l'école ni au travail.</t>
  </si>
  <si>
    <t>https://raw.githubusercontent.com/olaf-programmeur/images/main/vacances_1.webp</t>
  </si>
  <si>
    <t>https://raw.githubusercontent.com/olaf-programmeur/images/main/vacances_2.webp</t>
  </si>
  <si>
    <t>https://raw.githubusercontent.com/olaf-programmeur/images/main/vacances_3.webp</t>
  </si>
  <si>
    <t>https://raw.githubusercontent.com/olaf-programmeur/images/main/vacances_4.webp</t>
  </si>
  <si>
    <t>espace</t>
  </si>
  <si>
    <t>l'espace</t>
  </si>
  <si>
    <t>L'endroit vide où l'on peut mettre ou faire des choses.</t>
  </si>
  <si>
    <t>https://raw.githubusercontent.com/olaf-programmeur/images/main/espace.webp</t>
  </si>
  <si>
    <t>etagere</t>
  </si>
  <si>
    <t>l'étagère</t>
  </si>
  <si>
    <t>La planche fixée au mur où l'on pose des objets.</t>
  </si>
  <si>
    <t>https://raw.githubusercontent.com/olaf-programmeur/images/main/etagere.webp</t>
  </si>
  <si>
    <t>https://raw.githubusercontent.com/olaf-programmeur/images/main/etagere_1.webp</t>
  </si>
  <si>
    <t>https://raw.githubusercontent.com/olaf-programmeur/images/main/etagere_2.webp</t>
  </si>
  <si>
    <t>https://raw.githubusercontent.com/olaf-programmeur/images/main/etagere_3.webp</t>
  </si>
  <si>
    <t>https://raw.githubusercontent.com/olaf-programmeur/images/main/etagere_4.webp</t>
  </si>
  <si>
    <t>etoile</t>
  </si>
  <si>
    <t>l'étoile</t>
  </si>
  <si>
    <t>Le petit point brillant que l'on voit dans le ciel la nuit.</t>
  </si>
  <si>
    <t>https://raw.githubusercontent.com/olaf-programmeur/images/main/etoile.webp</t>
  </si>
  <si>
    <t>https://raw.githubusercontent.com/olaf-programmeur/images/main/etoile_1.webp</t>
  </si>
  <si>
    <t>https://raw.githubusercontent.com/olaf-programmeur/images/main/etoile_2.webp</t>
  </si>
  <si>
    <t>https://raw.githubusercontent.com/olaf-programmeur/images/main/etoile_3.webp</t>
  </si>
  <si>
    <t>https://raw.githubusercontent.com/olaf-programmeur/images/main/etoile_4.webp</t>
  </si>
  <si>
    <t>v_lever</t>
  </si>
  <si>
    <t>lever</t>
  </si>
  <si>
    <t>Prendre quelque chose et le placer plus haut qu'avant. Bouger son  bras vers le haut par exemple.</t>
  </si>
  <si>
    <t>excursion</t>
  </si>
  <si>
    <t>l'excursion</t>
  </si>
  <si>
    <t>La sortie d'une journée pour visiter un lieu.</t>
  </si>
  <si>
    <t>https://raw.githubusercontent.com/olaf-programmeur/images/main/excursion.webp</t>
  </si>
  <si>
    <t>https://raw.githubusercontent.com/olaf-programmeur/images/main/excursion_1.webp</t>
  </si>
  <si>
    <t>https://raw.githubusercontent.com/olaf-programmeur/images/main/excursion_2.webp</t>
  </si>
  <si>
    <t>exemple</t>
  </si>
  <si>
    <t>l'exemple</t>
  </si>
  <si>
    <t>Décrire une situation comparable pour aider à comprendre</t>
  </si>
  <si>
    <t>https://raw.githubusercontent.com/olaf-programmeur/images/main/exemple.webp</t>
  </si>
  <si>
    <t>https://raw.githubusercontent.com/olaf-programmeur/images/main/exemple_1.webp</t>
  </si>
  <si>
    <t>histoire</t>
  </si>
  <si>
    <t>l'histoire</t>
  </si>
  <si>
    <t>Un récit, ce qui s'est passé ou une aventure inventée.</t>
  </si>
  <si>
    <t>https://raw.githubusercontent.com/olaf-programmeur/images/main/histoire_3.webp</t>
  </si>
  <si>
    <t>https://raw.githubusercontent.com/olaf-programmeur/images/main/histoire_4.webp</t>
  </si>
  <si>
    <t>horizon</t>
  </si>
  <si>
    <t>l'horizon</t>
  </si>
  <si>
    <t>La ligne au loin où le ciel semble toucher la terre.</t>
  </si>
  <si>
    <t>https://raw.githubusercontent.com/olaf-programmeur/images/main/horizon.webp</t>
  </si>
  <si>
    <t>idee</t>
  </si>
  <si>
    <t>l'idée</t>
  </si>
  <si>
    <t>Une pensée qui vient dans la tête.</t>
  </si>
  <si>
    <t>https://raw.githubusercontent.com/olaf-programmeur/images/main/idee.webp</t>
  </si>
  <si>
    <t>ile</t>
  </si>
  <si>
    <t>l'île</t>
  </si>
  <si>
    <t>La terre entourée d'eau de tous les côtés.</t>
  </si>
  <si>
    <t>https://raw.githubusercontent.com/olaf-programmeur/images/main/ile.webp</t>
  </si>
  <si>
    <t>image</t>
  </si>
  <si>
    <t>l'image</t>
  </si>
  <si>
    <t>La représentation de quelque chose que l'on voit.</t>
  </si>
  <si>
    <t>immeuble</t>
  </si>
  <si>
    <t>l'immeuble</t>
  </si>
  <si>
    <t>Le grand bâtiment avec beaucoup d'appartements.</t>
  </si>
  <si>
    <t>https://raw.githubusercontent.com/olaf-programmeur/images/main/immeuble.webp</t>
  </si>
  <si>
    <t>https://raw.githubusercontent.com/olaf-programmeur/images/main/immeuble_1.webp</t>
  </si>
  <si>
    <t>https://raw.githubusercontent.com/olaf-programmeur/images/main/immeuble_2.webp</t>
  </si>
  <si>
    <t>https://raw.githubusercontent.com/olaf-programmeur/images/main/immeuble_3.webp</t>
  </si>
  <si>
    <t>https://raw.githubusercontent.com/olaf-programmeur/images/main/immeuble_4.webp</t>
  </si>
  <si>
    <t>information</t>
  </si>
  <si>
    <t>l'information</t>
  </si>
  <si>
    <t>Ce qui fait connaître une nouvelle ou un fait.</t>
  </si>
  <si>
    <t>https://raw.githubusercontent.com/olaf-programmeur/images/main/information.webp</t>
  </si>
  <si>
    <t>inquietude</t>
  </si>
  <si>
    <t>l'inquiétude</t>
  </si>
  <si>
    <t>Le sentiment quand on a peur qu'un mal arrive.</t>
  </si>
  <si>
    <t>https://raw.githubusercontent.com/olaf-programmeur/images/main/inquietude.webp</t>
  </si>
  <si>
    <t>https://raw.githubusercontent.com/olaf-programmeur/images/main/inquietude_1.webp</t>
  </si>
  <si>
    <t>https://raw.githubusercontent.com/olaf-programmeur/images/main/inquietude_2.webp</t>
  </si>
  <si>
    <t>https://raw.githubusercontent.com/olaf-programmeur/images/main/inquietude_3.webp</t>
  </si>
  <si>
    <t>instant</t>
  </si>
  <si>
    <t>l'instant</t>
  </si>
  <si>
    <t>Mot pour dire un petit moment  ++  Quelques minutes au maximum</t>
  </si>
  <si>
    <t>https://raw.githubusercontent.com/olaf-programmeur/images/main/instant.webp</t>
  </si>
  <si>
    <t>https://raw.githubusercontent.com/olaf-programmeur/images/main/instant_1.webp</t>
  </si>
  <si>
    <t>invitation</t>
  </si>
  <si>
    <t>l'invitation</t>
  </si>
  <si>
    <t>Le fait de demander à quelqu'un de venir.</t>
  </si>
  <si>
    <t>https://raw.githubusercontent.com/olaf-programmeur/images/main/invitation.webp</t>
  </si>
  <si>
    <t>invite</t>
  </si>
  <si>
    <t>l'invité</t>
  </si>
  <si>
    <t>La personne a qui on offre un repas ou un verre à boire.</t>
  </si>
  <si>
    <t>https://raw.githubusercontent.com/olaf-programmeur/images/main/invite.webp</t>
  </si>
  <si>
    <t>v_lire</t>
  </si>
  <si>
    <t>lire</t>
  </si>
  <si>
    <t>Comprendre les mots écrits dans un livre, dans un journal.</t>
  </si>
  <si>
    <t>https://raw.githubusercontent.com/olaf-programmeur/images/main/v_monter.webp</t>
  </si>
  <si>
    <t>https://raw.githubusercontent.com/olaf-programmeur/images/main/v_monter_1.webp</t>
  </si>
  <si>
    <t>https://raw.githubusercontent.com/olaf-programmeur/images/main/v_monter_2.webp</t>
  </si>
  <si>
    <t>https://raw.githubusercontent.com/olaf-programmeur/images/main/v_monter_3.webp</t>
  </si>
  <si>
    <t>objet</t>
  </si>
  <si>
    <t>l'objet</t>
  </si>
  <si>
    <t>Mot qui désigne toute chose que l'on peut prendre ou utiliser.</t>
  </si>
  <si>
    <t>https://raw.githubusercontent.com/olaf-programmeur/images/main/objet.webp</t>
  </si>
  <si>
    <t>https://raw.githubusercontent.com/olaf-programmeur/images/main/objet_1.webp</t>
  </si>
  <si>
    <t>https://raw.githubusercontent.com/olaf-programmeur/images/main/objet_2.webp</t>
  </si>
  <si>
    <t>https://raw.githubusercontent.com/olaf-programmeur/images/main/objet_3.webp</t>
  </si>
  <si>
    <t>https://raw.githubusercontent.com/olaf-programmeur/images/main/objet_4.webp</t>
  </si>
  <si>
    <t>odeur</t>
  </si>
  <si>
    <t>l'odeur</t>
  </si>
  <si>
    <t>Ce que l'on sent avec le nez, bon ou mauvais.</t>
  </si>
  <si>
    <t>https://raw.githubusercontent.com/olaf-programmeur/images/main/odeur.webp</t>
  </si>
  <si>
    <t>https://raw.githubusercontent.com/olaf-programmeur/images/main/odeur_1.webp</t>
  </si>
  <si>
    <t>https://raw.githubusercontent.com/olaf-programmeur/images/main/odeur_2.webp</t>
  </si>
  <si>
    <t>https://raw.githubusercontent.com/olaf-programmeur/images/main/odeur_3.webp</t>
  </si>
  <si>
    <t>oeuvre</t>
  </si>
  <si>
    <t>l'oeuvre</t>
  </si>
  <si>
    <t>Ce qu'un artiste a créé, comme un tableau ou un livre.</t>
  </si>
  <si>
    <t>https://raw.githubusercontent.com/olaf-programmeur/images/main/oeuvre.webp</t>
  </si>
  <si>
    <t>https://raw.githubusercontent.com/olaf-programmeur/images/main/oeuvre_1.webp</t>
  </si>
  <si>
    <t>https://raw.githubusercontent.com/olaf-programmeur/images/main/oeuvre_2.webp</t>
  </si>
  <si>
    <t>https://raw.githubusercontent.com/olaf-programmeur/images/main/oeuvre_3.webp</t>
  </si>
  <si>
    <t>https://raw.githubusercontent.com/olaf-programmeur/images/main/oeuvre_4.webp</t>
  </si>
  <si>
    <t>https://raw.githubusercontent.com/olaf-programmeur/images/main/oeuvre_5.webp</t>
  </si>
  <si>
    <t>loin</t>
  </si>
  <si>
    <t>À une grande distance  ++ Qui est éloigné</t>
  </si>
  <si>
    <t>oiseau</t>
  </si>
  <si>
    <t>l'oiseau</t>
  </si>
  <si>
    <t>Animal à deux pattes, recouvert de plumes, qui possède des ailes et un bec, et qui est généralement capable de voler, comme le moineau, l'aigle ou le perroquet.</t>
  </si>
  <si>
    <t>https://raw.githubusercontent.com/olaf-programmeur/images/main/oiseau.webp</t>
  </si>
  <si>
    <t>https://raw.githubusercontent.com/olaf-programmeur/images/main/oiseau_1.webp</t>
  </si>
  <si>
    <t>https://raw.githubusercontent.com/olaf-programmeur/images/main/oiseau_2.webp</t>
  </si>
  <si>
    <t>https://raw.githubusercontent.com/olaf-programmeur/images/main/oiseau_3.webp</t>
  </si>
  <si>
    <t>https://raw.githubusercontent.com/olaf-programmeur/images/main/oiseau_4.webp</t>
  </si>
  <si>
    <t>ombre</t>
  </si>
  <si>
    <t>l'ombre</t>
  </si>
  <si>
    <t>La zone sombre à l'abri du soleil  ++  la zone sombre qu'on projette par terre quand il y a du soleil.</t>
  </si>
  <si>
    <t>https://raw.githubusercontent.com/olaf-programmeur/images/main/ombre.webp</t>
  </si>
  <si>
    <t>https://raw.githubusercontent.com/olaf-programmeur/images/main/ombre_1.webp</t>
  </si>
  <si>
    <t>https://raw.githubusercontent.com/olaf-programmeur/images/main/ombre_2.webp</t>
  </si>
  <si>
    <t>https://raw.githubusercontent.com/olaf-programmeur/images/main/ombre_3.webp</t>
  </si>
  <si>
    <t>longtemps</t>
  </si>
  <si>
    <t>Pendant une longue durée.</t>
  </si>
  <si>
    <t>https://raw.githubusercontent.com/olaf-programmeur/images/main/longtemps.webp</t>
  </si>
  <si>
    <t>https://raw.githubusercontent.com/olaf-programmeur/images/main/longtemps_1.webp</t>
  </si>
  <si>
    <t>orage</t>
  </si>
  <si>
    <t>l'orage</t>
  </si>
  <si>
    <t>Le mauvais temps avec des éclairs et du tonnerre.</t>
  </si>
  <si>
    <t>https://raw.githubusercontent.com/olaf-programmeur/images/main/orage.webp</t>
  </si>
  <si>
    <t>ordonnance</t>
  </si>
  <si>
    <t>l'ordonnance</t>
  </si>
  <si>
    <t>Le papier du médecin qui dit quels médicaments prendre.</t>
  </si>
  <si>
    <t>https://raw.githubusercontent.com/olaf-programmeur/images/main/ordonnance.webp</t>
  </si>
  <si>
    <t>outil</t>
  </si>
  <si>
    <t>l'outil</t>
  </si>
  <si>
    <t>L'objet qui sert à faire un travail, comme le marteau.</t>
  </si>
  <si>
    <t>https://raw.githubusercontent.com/olaf-programmeur/images/main/outil.webp</t>
  </si>
  <si>
    <t>https://raw.githubusercontent.com/olaf-programmeur/images/main/outil_2.webp</t>
  </si>
  <si>
    <t>unite</t>
  </si>
  <si>
    <t>l'unité</t>
  </si>
  <si>
    <t>Ce qui sert à mesurer, comme le mètre ou le kilo.</t>
  </si>
  <si>
    <t>https://raw.githubusercontent.com/olaf-programmeur/images/main/unite.webp</t>
  </si>
  <si>
    <t>https://raw.githubusercontent.com/olaf-programmeur/images/main/unite_1.webp</t>
  </si>
  <si>
    <t>usage</t>
  </si>
  <si>
    <t>l'usage</t>
  </si>
  <si>
    <t>La façon dont on se sert d'une chose.</t>
  </si>
  <si>
    <t>https://raw.githubusercontent.com/olaf-programmeur/images/main/usage.webp</t>
  </si>
  <si>
    <t>usine</t>
  </si>
  <si>
    <t>l'usine</t>
  </si>
  <si>
    <t>Le grand bâtiment où l'on fabrique des objets.</t>
  </si>
  <si>
    <t>https://raw.githubusercontent.com/olaf-programmeur/images/main/usine.webp</t>
  </si>
  <si>
    <t>https://raw.githubusercontent.com/olaf-programmeur/images/main/usine_1.webp</t>
  </si>
  <si>
    <t>https://raw.githubusercontent.com/olaf-programmeur/images/main/usine_2.webp</t>
  </si>
  <si>
    <t>https://raw.githubusercontent.com/olaf-programmeur/images/main/usine_3.webp</t>
  </si>
  <si>
    <t>https://raw.githubusercontent.com/olaf-programmeur/images/main/usine_4.webp</t>
  </si>
  <si>
    <t>mal</t>
  </si>
  <si>
    <t>D'une manière qui n'est pas bonne.</t>
  </si>
  <si>
    <t>https://raw.githubusercontent.com/olaf-programmeur/images/main/mal.webp</t>
  </si>
  <si>
    <t>a_malin</t>
  </si>
  <si>
    <t>malin</t>
  </si>
  <si>
    <t>Qui est rusé, qui trouve des idées.</t>
  </si>
  <si>
    <t>https://raw.githubusercontent.com/olaf-programmeur/images/main/a_malin.webp</t>
  </si>
  <si>
    <t>https://raw.githubusercontent.com/olaf-programmeur/images/main/a_malin_1.webp</t>
  </si>
  <si>
    <t>v_manger</t>
  </si>
  <si>
    <t>manger</t>
  </si>
  <si>
    <t>Mettre de la nourriture dans sa bouche pour se nourrir.</t>
  </si>
  <si>
    <t>https://raw.githubusercontent.com/olaf-programmeur/images/main/v_manger.webp</t>
  </si>
  <si>
    <t>https://raw.githubusercontent.com/olaf-programmeur/images/main/v_manger_1.webp</t>
  </si>
  <si>
    <t>https://raw.githubusercontent.com/olaf-programmeur/images/main/v_manger_2.webp</t>
  </si>
  <si>
    <t>https://raw.githubusercontent.com/olaf-programmeur/images/main/v_manger_3.webp</t>
  </si>
  <si>
    <t>https://raw.githubusercontent.com/olaf-programmeur/images/main/v_manger_4.webp</t>
  </si>
  <si>
    <t>v_marcher</t>
  </si>
  <si>
    <t>marcher</t>
  </si>
  <si>
    <t>Avancer en mettant un pied devant l'autre.</t>
  </si>
  <si>
    <t>https://raw.githubusercontent.com/olaf-programmeur/images/main/v_marcher.webp</t>
  </si>
  <si>
    <t>https://raw.githubusercontent.com/olaf-programmeur/images/main/v_marcher_1.webp</t>
  </si>
  <si>
    <t>https://raw.githubusercontent.com/olaf-programmeur/images/main/v_marcher_2.webp</t>
  </si>
  <si>
    <t>https://raw.githubusercontent.com/olaf-programmeur/images/main/v_marcher_3.webp</t>
  </si>
  <si>
    <t>https://raw.githubusercontent.com/olaf-programmeur/images/main/v_marcher_4.webp</t>
  </si>
  <si>
    <t>masculin</t>
  </si>
  <si>
    <t>Qui est du côté des garçons et des hommes.</t>
  </si>
  <si>
    <t>https://raw.githubusercontent.com/olaf-programmeur/images/main/masculin.webp</t>
  </si>
  <si>
    <t>v_mentir</t>
  </si>
  <si>
    <t>mentir</t>
  </si>
  <si>
    <t>Dire une chose fausse exprès.</t>
  </si>
  <si>
    <t>merveilleux</t>
  </si>
  <si>
    <t>Qui est très beau, qui émerveille.</t>
  </si>
  <si>
    <t>https://raw.githubusercontent.com/olaf-programmeur/images/main/merveilleux.webp</t>
  </si>
  <si>
    <t>v_monter</t>
  </si>
  <si>
    <t>monter</t>
  </si>
  <si>
    <t>Aller vers le haut ou aller de bas en haut.</t>
  </si>
  <si>
    <t>https://raw.githubusercontent.com/olaf-programmeur/images/main/v_monter_4.webp</t>
  </si>
  <si>
    <t>v_montrer</t>
  </si>
  <si>
    <t>montrer</t>
  </si>
  <si>
    <t>Faire voir quelque chose à quelqu'un.</t>
  </si>
  <si>
    <t>https://raw.githubusercontent.com/olaf-programmeur/images/main/v_montrer.webp</t>
  </si>
  <si>
    <t>https://raw.githubusercontent.com/olaf-programmeur/images/main/v_montrer_1.webp</t>
  </si>
  <si>
    <t>https://raw.githubusercontent.com/olaf-programmeur/images/main/v_montrer_2.webp</t>
  </si>
  <si>
    <t>https://raw.githubusercontent.com/olaf-programmeur/images/main/v_montrer_3.webp</t>
  </si>
  <si>
    <t>v_nager</t>
  </si>
  <si>
    <t>nager</t>
  </si>
  <si>
    <t>Se déplacer dans l'eau en bougeant les bras et les jambes.</t>
  </si>
  <si>
    <t>https://raw.githubusercontent.com/olaf-programmeur/images/main/v_nager.webp</t>
  </si>
  <si>
    <t>https://raw.githubusercontent.com/olaf-programmeur/images/main/v_nager_1.webp</t>
  </si>
  <si>
    <t>https://raw.githubusercontent.com/olaf-programmeur/images/main/v_nager_2.webp</t>
  </si>
  <si>
    <t>https://raw.githubusercontent.com/olaf-programmeur/images/main/v_nager_3.webp</t>
  </si>
  <si>
    <t>https://raw.githubusercontent.com/olaf-programmeur/images/main/v_nager_4.webp</t>
  </si>
  <si>
    <t>v_nettoyer</t>
  </si>
  <si>
    <t>nettoyer</t>
  </si>
  <si>
    <t>Enlever la saleté pour rendre propre.</t>
  </si>
  <si>
    <t>https://raw.githubusercontent.com/olaf-programmeur/images/main/v_nettoyer.webp</t>
  </si>
  <si>
    <t>https://raw.githubusercontent.com/olaf-programmeur/images/main/v_nettoyer_1.webp</t>
  </si>
  <si>
    <t>https://raw.githubusercontent.com/olaf-programmeur/images/main/v_nettoyer_2.webp</t>
  </si>
  <si>
    <t>https://raw.githubusercontent.com/olaf-programmeur/images/main/v_nettoyer_3.webp</t>
  </si>
  <si>
    <t>https://raw.githubusercontent.com/olaf-programmeur/images/main/v_nettoyer_4.webp</t>
  </si>
  <si>
    <t>a_nombreux</t>
  </si>
  <si>
    <t>nombreux</t>
  </si>
  <si>
    <t>Qui est en grand nombre.</t>
  </si>
  <si>
    <t>https://raw.githubusercontent.com/olaf-programmeur/images/main/nombreux.webp</t>
  </si>
  <si>
    <t>nu</t>
  </si>
  <si>
    <t>Qui n'a pas de vêtements.</t>
  </si>
  <si>
    <t>https://raw.githubusercontent.com/olaf-programmeur/images/main/nu.webp</t>
  </si>
  <si>
    <t>https://raw.githubusercontent.com/olaf-programmeur/images/main/nu_1.webp</t>
  </si>
  <si>
    <t>https://raw.githubusercontent.com/olaf-programmeur/images/main/nu_2.webp</t>
  </si>
  <si>
    <t>https://raw.githubusercontent.com/olaf-programmeur/images/main/nu_3.webp</t>
  </si>
  <si>
    <t>https://raw.githubusercontent.com/olaf-programmeur/images/main/nu_4.webp</t>
  </si>
  <si>
    <t>v_ordonner</t>
  </si>
  <si>
    <t>ordonner</t>
  </si>
  <si>
    <t>Dire avec autorité ce qu'il faut faire, donner un ordre à quelqu'un.</t>
  </si>
  <si>
    <t>https://raw.githubusercontent.com/olaf-programmeur/images/main/v_ordonner.webp</t>
  </si>
  <si>
    <t>v_oublier</t>
  </si>
  <si>
    <t>oublier</t>
  </si>
  <si>
    <t>Ne plus se souvenir de quelque chose.</t>
  </si>
  <si>
    <t>https://raw.githubusercontent.com/olaf-programmeur/images/main/v_oublier.webp</t>
  </si>
  <si>
    <t>v_ouvrir</t>
  </si>
  <si>
    <t>ouvrir</t>
  </si>
  <si>
    <t>Tirer une porte ou une fenêtre, lever le coffre pour créer une ouverture.</t>
  </si>
  <si>
    <t>https://raw.githubusercontent.com/olaf-programmeur/images/main/v_ouvrir.webp</t>
  </si>
  <si>
    <t>https://raw.githubusercontent.com/olaf-programmeur/images/main/v_ouvrir_1.webp</t>
  </si>
  <si>
    <t>https://raw.githubusercontent.com/olaf-programmeur/images/main/v_ouvrir_2.webp</t>
  </si>
  <si>
    <t>https://raw.githubusercontent.com/olaf-programmeur/images/main/v_ouvrir_3.webp</t>
  </si>
  <si>
    <t>pareil</t>
  </si>
  <si>
    <t>Qui est exactement comme un autre.</t>
  </si>
  <si>
    <t>v_parler</t>
  </si>
  <si>
    <t>parler</t>
  </si>
  <si>
    <t>Dire des mots à voix haute.</t>
  </si>
  <si>
    <t>https://raw.githubusercontent.com/olaf-programmeur/images/main/v_parler.webp</t>
  </si>
  <si>
    <t>https://raw.githubusercontent.com/olaf-programmeur/images/main/v_parler_1.webp</t>
  </si>
  <si>
    <t>https://raw.githubusercontent.com/olaf-programmeur/images/main/v_parler_2.webp</t>
  </si>
  <si>
    <t>https://raw.githubusercontent.com/olaf-programmeur/images/main/v_parler_3.webp</t>
  </si>
  <si>
    <t>https://raw.githubusercontent.com/olaf-programmeur/images/main/v_parler_4.webp</t>
  </si>
  <si>
    <t>https://raw.githubusercontent.com/olaf-programmeur/images/main/v_parler_5.webp</t>
  </si>
  <si>
    <t>v_partir</t>
  </si>
  <si>
    <t>partir</t>
  </si>
  <si>
    <t>Quitter un endroit pour aller ailleurs.</t>
  </si>
  <si>
    <t>https://raw.githubusercontent.com/olaf-programmeur/images/main/v_partir.webp</t>
  </si>
  <si>
    <t>https://raw.githubusercontent.com/olaf-programmeur/images/main/v_partir_1.webp</t>
  </si>
  <si>
    <t>https://raw.githubusercontent.com/olaf-programmeur/images/main/v_partir_2.webp</t>
  </si>
  <si>
    <t>https://raw.githubusercontent.com/olaf-programmeur/images/main/v_partir_3.webp</t>
  </si>
  <si>
    <t>https://raw.githubusercontent.com/olaf-programmeur/images/main/v_partir_4.webp</t>
  </si>
  <si>
    <t>adv_partout</t>
  </si>
  <si>
    <t>partout</t>
  </si>
  <si>
    <t>À tous les endroits.</t>
  </si>
  <si>
    <t>v_payer</t>
  </si>
  <si>
    <t>payer</t>
  </si>
  <si>
    <t>Donner de l'argent pour obtenir une chose.</t>
  </si>
  <si>
    <t>https://raw.githubusercontent.com/olaf-programmeur/images/main/v_payer.webp</t>
  </si>
  <si>
    <t>https://raw.githubusercontent.com/olaf-programmeur/images/main/v_payer_1.webp</t>
  </si>
  <si>
    <t>https://raw.githubusercontent.com/olaf-programmeur/images/main/v_payer_2.webp</t>
  </si>
  <si>
    <t>https://raw.githubusercontent.com/olaf-programmeur/images/main/v_payer_3.webp</t>
  </si>
  <si>
    <t>https://raw.githubusercontent.com/olaf-programmeur/images/main/v_payer_4.webp</t>
  </si>
  <si>
    <t>https://raw.githubusercontent.com/olaf-programmeur/images/main/v_voler.webp</t>
  </si>
  <si>
    <t>https://raw.githubusercontent.com/olaf-programmeur/images/main/v_voler_1.webp</t>
  </si>
  <si>
    <t>https://raw.githubusercontent.com/olaf-programmeur/images/main/v_voler_2.webp</t>
  </si>
  <si>
    <t>https://raw.githubusercontent.com/olaf-programmeur/images/main/v_voler_3.webp</t>
  </si>
  <si>
    <t>v_penser</t>
  </si>
  <si>
    <t>penser</t>
  </si>
  <si>
    <t>Réfléchir dans sa tête.</t>
  </si>
  <si>
    <t>https://raw.githubusercontent.com/olaf-programmeur/images/main/v_penser.webp</t>
  </si>
  <si>
    <t>v_perdre</t>
  </si>
  <si>
    <t>perdre</t>
  </si>
  <si>
    <t>Ne plus avoir une chose qu'on avait ++ Ne plus savoir  où se trouve une chose ou un objet (téléphone par exemple)</t>
  </si>
  <si>
    <t>peu</t>
  </si>
  <si>
    <t>En petite quantité.</t>
  </si>
  <si>
    <t>https://raw.githubusercontent.com/olaf-programmeur/images/main/un_peu_beaucoup_2.webp</t>
  </si>
  <si>
    <t>philippe_g</t>
  </si>
  <si>
    <t>Philippe Germanier</t>
  </si>
  <si>
    <t>Philippe Germanier, conseiller communal de Conthey</t>
  </si>
  <si>
    <t>https://raw.githubusercontent.com/olaf-programmeur/images/main/philippe_g.webp</t>
  </si>
  <si>
    <t>piquant</t>
  </si>
  <si>
    <t>Qui pique, qui a un goût fort comme le piment.</t>
  </si>
  <si>
    <t>https://raw.githubusercontent.com/olaf-programmeur/images/main/piquant.webp</t>
  </si>
  <si>
    <t>v_plaindre</t>
  </si>
  <si>
    <t>plaindre</t>
  </si>
  <si>
    <t>Dire que l'on a de la peine pour quelqu'un.</t>
  </si>
  <si>
    <t>https://raw.githubusercontent.com/olaf-programmeur/images/main/v_plaindre.webp</t>
  </si>
  <si>
    <t>v_pleurer</t>
  </si>
  <si>
    <t>pleurer</t>
  </si>
  <si>
    <t>Verser des larmes quand on est triste ou qu'on a mal.</t>
  </si>
  <si>
    <t>https://raw.githubusercontent.com/olaf-programmeur/images/main/v_pleurer.webp</t>
  </si>
  <si>
    <t>https://raw.githubusercontent.com/olaf-programmeur/images/main/v_pleurer_1.webp</t>
  </si>
  <si>
    <t>https://raw.githubusercontent.com/olaf-programmeur/images/main/v_pleurer_2.webp</t>
  </si>
  <si>
    <t>https://raw.githubusercontent.com/olaf-programmeur/images/main/v_pleurer_3.webp</t>
  </si>
  <si>
    <t>https://raw.githubusercontent.com/olaf-programmeur/images/main/v_pleurer_4.webp</t>
  </si>
  <si>
    <t>plutôt</t>
  </si>
  <si>
    <t>De préférence, plus volontiers.</t>
  </si>
  <si>
    <t>v_porter</t>
  </si>
  <si>
    <t>porter</t>
  </si>
  <si>
    <t>Tenir et transporter quelque chose.</t>
  </si>
  <si>
    <t>https://raw.githubusercontent.com/olaf-programmeur/images/main/v_porter.webp</t>
  </si>
  <si>
    <t>https://raw.githubusercontent.com/olaf-programmeur/images/main/v_porter_1.webp</t>
  </si>
  <si>
    <t>https://raw.githubusercontent.com/olaf-programmeur/images/main/v_porter_2.webp</t>
  </si>
  <si>
    <t>https://raw.githubusercontent.com/olaf-programmeur/images/main/v_porter_3.webp</t>
  </si>
  <si>
    <t>https://raw.githubusercontent.com/olaf-programmeur/images/main/v_porter_4.webp</t>
  </si>
  <si>
    <t>v_poser</t>
  </si>
  <si>
    <t>poser</t>
  </si>
  <si>
    <t>Mettre quelque chose sur une surface.</t>
  </si>
  <si>
    <t>https://raw.githubusercontent.com/olaf-programmeur/images/main/v_poser.webp</t>
  </si>
  <si>
    <t>https://raw.githubusercontent.com/olaf-programmeur/images/main/v_poser_1.webp</t>
  </si>
  <si>
    <t>https://raw.githubusercontent.com/olaf-programmeur/images/main/v_poser_2.webp</t>
  </si>
  <si>
    <t>https://raw.githubusercontent.com/olaf-programmeur/images/main/v_poser_3.webp</t>
  </si>
  <si>
    <t>https://raw.githubusercontent.com/olaf-programmeur/images/main/v_poser_4.webp</t>
  </si>
  <si>
    <t>possible</t>
  </si>
  <si>
    <t>Qui peut arriver ou être fait.</t>
  </si>
  <si>
    <t>https://raw.githubusercontent.com/olaf-programmeur/images/main/possible.webp</t>
  </si>
  <si>
    <t>pourtant</t>
  </si>
  <si>
    <t>Malgré cela.</t>
  </si>
  <si>
    <t>v_pousser</t>
  </si>
  <si>
    <t>pousser</t>
  </si>
  <si>
    <t>Appuyer sur quelque chose pour le faire avancer.</t>
  </si>
  <si>
    <t>https://raw.githubusercontent.com/olaf-programmeur/images/main/v_pousser.webp</t>
  </si>
  <si>
    <t>https://raw.githubusercontent.com/olaf-programmeur/images/main/v_pousser_1.webp</t>
  </si>
  <si>
    <t>https://raw.githubusercontent.com/olaf-programmeur/images/main/v_pousser_2.webp</t>
  </si>
  <si>
    <t>https://raw.githubusercontent.com/olaf-programmeur/images/main/v_pousser_3.webp</t>
  </si>
  <si>
    <t>https://raw.githubusercontent.com/olaf-programmeur/images/main/v_pousser_4.webp</t>
  </si>
  <si>
    <t>v_pouvoir</t>
  </si>
  <si>
    <t>pouvoir</t>
  </si>
  <si>
    <t>Avoir la possibilité ++  le droit ++  de faire quelque chose.</t>
  </si>
  <si>
    <t>https://raw.githubusercontent.com/olaf-programmeur/images/main/v_pouvoir.webp</t>
  </si>
  <si>
    <t>https://raw.githubusercontent.com/olaf-programmeur/images/main/v_pouvoir_1.webp</t>
  </si>
  <si>
    <t>a_pratique</t>
  </si>
  <si>
    <t>pratique</t>
  </si>
  <si>
    <t>Qui est facile à utiliser et bien utile.</t>
  </si>
  <si>
    <t>a_precis</t>
  </si>
  <si>
    <t>précis</t>
  </si>
  <si>
    <t>Qui est exact, sans erreur.</t>
  </si>
  <si>
    <t>a_prefere</t>
  </si>
  <si>
    <t>préféré</t>
  </si>
  <si>
    <t>Que l'on aime plus que les autres.</t>
  </si>
  <si>
    <t>https://raw.githubusercontent.com/olaf-programmeur/images/main/a_prefere.webp</t>
  </si>
  <si>
    <t>v_prendre</t>
  </si>
  <si>
    <t>prendre</t>
  </si>
  <si>
    <t>Saisir quelque chose avec sa main ++  Utiliser quelque chose ++ Commander une boisson au café.</t>
  </si>
  <si>
    <t>https://raw.githubusercontent.com/olaf-programmeur/images/main/v_prendre.webp</t>
  </si>
  <si>
    <t>https://raw.githubusercontent.com/olaf-programmeur/images/main/v_prendre_1.webp</t>
  </si>
  <si>
    <t>https://raw.githubusercontent.com/olaf-programmeur/images/main/v_prendre_2.webp</t>
  </si>
  <si>
    <t>https://raw.githubusercontent.com/olaf-programmeur/images/main/v_prendre_3.webp</t>
  </si>
  <si>
    <t>v_preparer</t>
  </si>
  <si>
    <t>préparer</t>
  </si>
  <si>
    <t>Faire le repas ++ Etre prêt pour faire quelque chose ++ Faire qu'une chose est prête à l'emploi.</t>
  </si>
  <si>
    <t>https://raw.githubusercontent.com/olaf-programmeur/images/main/v_preparer.webp</t>
  </si>
  <si>
    <t>https://raw.githubusercontent.com/olaf-programmeur/images/main/v_preparer_1.webp</t>
  </si>
  <si>
    <t>https://raw.githubusercontent.com/olaf-programmeur/images/main/v_preparer_2.webp</t>
  </si>
  <si>
    <t>https://raw.githubusercontent.com/olaf-programmeur/images/main/v_preparer_3.webp</t>
  </si>
  <si>
    <t>pres</t>
  </si>
  <si>
    <t>près (proche)</t>
  </si>
  <si>
    <t>À une petite distance.</t>
  </si>
  <si>
    <t>presque</t>
  </si>
  <si>
    <t>Pas tout à fait, à peu près.</t>
  </si>
  <si>
    <t>pret</t>
  </si>
  <si>
    <t>prêt</t>
  </si>
  <si>
    <t>Qui est en état de commencer ou de partir.</t>
  </si>
  <si>
    <t>https://raw.githubusercontent.com/olaf-programmeur/images/main/pret.webp</t>
  </si>
  <si>
    <t>v_prevenir</t>
  </si>
  <si>
    <t>prévenir</t>
  </si>
  <si>
    <t>Informer quelqu'un qu'une chose va arriver.</t>
  </si>
  <si>
    <t>https://raw.githubusercontent.com/olaf-programmeur/images/main/v_prevenir.webp</t>
  </si>
  <si>
    <t>a_profond</t>
  </si>
  <si>
    <t>profond</t>
  </si>
  <si>
    <t>Qui va loin vers le bas ou vers l'intérieur  ++  On mesure la profondeur en mètres</t>
  </si>
  <si>
    <t>https://raw.githubusercontent.com/olaf-programmeur/images/main/a_profond.webp</t>
  </si>
  <si>
    <t>v_promettre</t>
  </si>
  <si>
    <t>promettre</t>
  </si>
  <si>
    <t>Dire que l'on fera sûrement une chose.</t>
  </si>
  <si>
    <t>https://raw.githubusercontent.com/olaf-programmeur/images/main/v_promettre.webp</t>
  </si>
  <si>
    <t>v_raconter</t>
  </si>
  <si>
    <t>raconter</t>
  </si>
  <si>
    <t>Dire une histoire ou ce qui s'est passé.</t>
  </si>
  <si>
    <t>https://raw.githubusercontent.com/olaf-programmeur/images/main/v_raconter.webp</t>
  </si>
  <si>
    <t>v_ramasser</t>
  </si>
  <si>
    <t>ramasser</t>
  </si>
  <si>
    <t>Prendre par terre une chose qui est tombée.</t>
  </si>
  <si>
    <t>https://raw.githubusercontent.com/olaf-programmeur/images/main/v_ramasser.webp</t>
  </si>
  <si>
    <t>https://raw.githubusercontent.com/olaf-programmeur/images/main/v_ramasser_1.webp</t>
  </si>
  <si>
    <t>https://raw.githubusercontent.com/olaf-programmeur/images/main/v_ramasser_2.webp</t>
  </si>
  <si>
    <t>https://raw.githubusercontent.com/olaf-programmeur/images/main/v_ramasser_3.webp</t>
  </si>
  <si>
    <t>v_ranger</t>
  </si>
  <si>
    <t>ranger</t>
  </si>
  <si>
    <t>Placer une chose à l'endroit qui lui est réserver  ++ Mettre en ordre</t>
  </si>
  <si>
    <t>https://raw.githubusercontent.com/olaf-programmeur/images/main/v_ranger.webp</t>
  </si>
  <si>
    <t>https://raw.githubusercontent.com/olaf-programmeur/images/main/v_ranger_1.webp</t>
  </si>
  <si>
    <t>https://raw.githubusercontent.com/olaf-programmeur/images/main/v_ranger_2.webp</t>
  </si>
  <si>
    <t>https://raw.githubusercontent.com/olaf-programmeur/images/main/v_ranger_3.webp</t>
  </si>
  <si>
    <t>v_rappeler</t>
  </si>
  <si>
    <t>rappeler</t>
  </si>
  <si>
    <t>Téléphoner à quelqu'un qui a appelé ++  Faire appel à ses souvenirs</t>
  </si>
  <si>
    <t>https://raw.githubusercontent.com/olaf-programmeur/images/main/v_rappeler.webp</t>
  </si>
  <si>
    <t>adv_rarement</t>
  </si>
  <si>
    <t>rarement</t>
  </si>
  <si>
    <t>Très peu de fois.</t>
  </si>
  <si>
    <t>v_reflechir</t>
  </si>
  <si>
    <t>réfléchir</t>
  </si>
  <si>
    <t>Penser longuement avant d'agir.</t>
  </si>
  <si>
    <t>https://raw.githubusercontent.com/olaf-programmeur/images/main/v_reflechir.webp</t>
  </si>
  <si>
    <t>v_refuser</t>
  </si>
  <si>
    <t>refuser</t>
  </si>
  <si>
    <t>Dire NON  ++  Dire que l'on ne veut pas.</t>
  </si>
  <si>
    <t>https://raw.githubusercontent.com/olaf-programmeur/images/main/v_refuser.webp</t>
  </si>
  <si>
    <t>https://raw.githubusercontent.com/olaf-programmeur/images/main/v_refuser_1.webp</t>
  </si>
  <si>
    <t>https://raw.githubusercontent.com/olaf-programmeur/images/main/v_refuser_2.webp</t>
  </si>
  <si>
    <t>v_regarder</t>
  </si>
  <si>
    <t>regarder</t>
  </si>
  <si>
    <t>Diriger ses yeux vers quelque chose pour le voir.</t>
  </si>
  <si>
    <t>https://raw.githubusercontent.com/olaf-programmeur/images/main/v_regarder.webp</t>
  </si>
  <si>
    <t>https://raw.githubusercontent.com/olaf-programmeur/images/main/v_regarder_1.webp</t>
  </si>
  <si>
    <t>https://raw.githubusercontent.com/olaf-programmeur/images/main/v_regarder_2.webp</t>
  </si>
  <si>
    <t>https://raw.githubusercontent.com/olaf-programmeur/images/main/v_regarder_3.webp</t>
  </si>
  <si>
    <t>https://raw.githubusercontent.com/olaf-programmeur/images/main/v_regarder_4.webp</t>
  </si>
  <si>
    <t>régis_e</t>
  </si>
  <si>
    <t>Régis Evéquoz</t>
  </si>
  <si>
    <t>Régis Evéquoz, conseiller communal de Conthey.</t>
  </si>
  <si>
    <t>https://raw.githubusercontent.com/olaf-programmeur/images/main/regis_e.webp</t>
  </si>
  <si>
    <t>a_regulier</t>
  </si>
  <si>
    <t>régulier</t>
  </si>
  <si>
    <t>Qui revient toujours pareil, à intervalle égal.</t>
  </si>
  <si>
    <t>v_remarquer</t>
  </si>
  <si>
    <t>remarquer</t>
  </si>
  <si>
    <t>Voir une chose à laquelle on fait attention.</t>
  </si>
  <si>
    <t>https://raw.githubusercontent.com/olaf-programmeur/images/main/v_remarquer.webp</t>
  </si>
  <si>
    <t>https://raw.githubusercontent.com/olaf-programmeur/images/main/v_remarquer_1.webp</t>
  </si>
  <si>
    <t>v_remercier</t>
  </si>
  <si>
    <t>remercier</t>
  </si>
  <si>
    <t>Dire merci à quelqu'un pour son aide par exemple.</t>
  </si>
  <si>
    <t>https://raw.githubusercontent.com/olaf-programmeur/images/main/v_remercier.webp</t>
  </si>
  <si>
    <t>https://raw.githubusercontent.com/olaf-programmeur/images/main/v_remercier_1.webp</t>
  </si>
  <si>
    <t>https://raw.githubusercontent.com/olaf-programmeur/images/main/v_remercier_2.webp</t>
  </si>
  <si>
    <t>https://raw.githubusercontent.com/olaf-programmeur/images/main/v_remercier_3.webp</t>
  </si>
  <si>
    <t>https://raw.githubusercontent.com/olaf-programmeur/images/main/v_remercier_4.webp</t>
  </si>
  <si>
    <t>v_reparer</t>
  </si>
  <si>
    <t>réparer</t>
  </si>
  <si>
    <t>Remettre une chose en état de marche. Réparer un vélo, réparer une montre, réparer la voiture.</t>
  </si>
  <si>
    <t>https://raw.githubusercontent.com/olaf-programmeur/images/main/v_reparer.webp</t>
  </si>
  <si>
    <t>https://raw.githubusercontent.com/olaf-programmeur/images/main/v_reparer_1.webp</t>
  </si>
  <si>
    <t>https://raw.githubusercontent.com/olaf-programmeur/images/main/v_reparer_2.webp</t>
  </si>
  <si>
    <t>https://raw.githubusercontent.com/olaf-programmeur/images/main/v_reparer_3.webp</t>
  </si>
  <si>
    <t>https://raw.githubusercontent.com/olaf-programmeur/images/main/v_reparer_4.webp</t>
  </si>
  <si>
    <t>v_repeter</t>
  </si>
  <si>
    <t>répéter</t>
  </si>
  <si>
    <t>Dire de nouveau la même chose  ++  faire de nouveau la même chose.</t>
  </si>
  <si>
    <t>https://raw.githubusercontent.com/olaf-programmeur/images/main/v_repeter.webp</t>
  </si>
  <si>
    <t>https://raw.githubusercontent.com/olaf-programmeur/images/main/v_repeter_1.webp</t>
  </si>
  <si>
    <t>https://raw.githubusercontent.com/olaf-programmeur/images/main/v_repeter_2.webp</t>
  </si>
  <si>
    <t>v_repondre</t>
  </si>
  <si>
    <t>répondre</t>
  </si>
  <si>
    <t>Décrocher son téléphone  ++  Dire quelque chose après une question.</t>
  </si>
  <si>
    <t>https://raw.githubusercontent.com/olaf-programmeur/images/main/v_repondre.webp</t>
  </si>
  <si>
    <t>https://raw.githubusercontent.com/olaf-programmeur/images/main/v_repondre_1.webp</t>
  </si>
  <si>
    <t>https://raw.githubusercontent.com/olaf-programmeur/images/main/v_repondre_2.webp</t>
  </si>
  <si>
    <t>a_resistant</t>
  </si>
  <si>
    <t>résistant</t>
  </si>
  <si>
    <t>Qui ne se casse pas et tient bon.</t>
  </si>
  <si>
    <t>v_rester</t>
  </si>
  <si>
    <t>rester</t>
  </si>
  <si>
    <t>Demeurer au même endroit.</t>
  </si>
  <si>
    <t>https://raw.githubusercontent.com/olaf-programmeur/images/main/v_rester.webp</t>
  </si>
  <si>
    <t>https://raw.githubusercontent.com/olaf-programmeur/images/main/v_rester_1.webp</t>
  </si>
  <si>
    <t>https://raw.githubusercontent.com/olaf-programmeur/images/main/v_rester_2.webp</t>
  </si>
  <si>
    <t>v_reussir</t>
  </si>
  <si>
    <t>réussir</t>
  </si>
  <si>
    <t>Arriver à faire ce que l'on voulait.</t>
  </si>
  <si>
    <t>https://raw.githubusercontent.com/olaf-programmeur/images/main/v_reussir.webp</t>
  </si>
  <si>
    <t>v_rire</t>
  </si>
  <si>
    <t>rire</t>
  </si>
  <si>
    <t>Montrer sa joie en faisant un bruit avec sa bouche.</t>
  </si>
  <si>
    <t>https://raw.githubusercontent.com/olaf-programmeur/images/main/v_rire.webp</t>
  </si>
  <si>
    <t>https://raw.githubusercontent.com/olaf-programmeur/images/main/v_rire_1.webp</t>
  </si>
  <si>
    <t>https://raw.githubusercontent.com/olaf-programmeur/images/main/v_rire_2.webp</t>
  </si>
  <si>
    <t>https://raw.githubusercontent.com/olaf-programmeur/images/main/v_rire_3.webp</t>
  </si>
  <si>
    <t>https://raw.githubusercontent.com/olaf-programmeur/images/main/v_rire_4.webp</t>
  </si>
  <si>
    <t>c_roux</t>
  </si>
  <si>
    <t>roux</t>
  </si>
  <si>
    <t>C'est une couleur  ++  entre le brun et l'orange.</t>
  </si>
  <si>
    <t>https://raw.githubusercontent.com/olaf-programmeur/images/main/c_roux.webp</t>
  </si>
  <si>
    <t>https://raw.githubusercontent.com/olaf-programmeur/images/main/c_roux_1.webp</t>
  </si>
  <si>
    <t>https://raw.githubusercontent.com/olaf-programmeur/images/main/c_roux_2.webp</t>
  </si>
  <si>
    <t>https://raw.githubusercontent.com/olaf-programmeur/images/main/c_roux_3.webp</t>
  </si>
  <si>
    <t>a_rude</t>
  </si>
  <si>
    <t>rude</t>
  </si>
  <si>
    <t>a_ruse</t>
  </si>
  <si>
    <t>rusé</t>
  </si>
  <si>
    <t>Qui est malin et trouve des idées pour arriver à ses fins.</t>
  </si>
  <si>
    <t>https://raw.githubusercontent.com/olaf-programmeur/images/main/a_ruse.webp</t>
  </si>
  <si>
    <t>https://raw.githubusercontent.com/olaf-programmeur/images/main/a_ruse_1.webp</t>
  </si>
  <si>
    <t>v_saluer</t>
  </si>
  <si>
    <t>saluer</t>
  </si>
  <si>
    <t>Dire bonjour ou au revoir à quelqu'un. Montrer salut de la main ++ serrer la main de quelqu'un.</t>
  </si>
  <si>
    <t>https://raw.githubusercontent.com/olaf-programmeur/images/main/v_saluer.webp</t>
  </si>
  <si>
    <t>https://raw.githubusercontent.com/olaf-programmeur/images/main/v_saluer_1.webp</t>
  </si>
  <si>
    <t>https://raw.githubusercontent.com/olaf-programmeur/images/main/v_saluer_2.webp</t>
  </si>
  <si>
    <t>https://raw.githubusercontent.com/olaf-programmeur/images/main/v_saluer_3.webp</t>
  </si>
  <si>
    <t>https://raw.githubusercontent.com/olaf-programmeur/images/main/v_saluer_4.webp</t>
  </si>
  <si>
    <t>v_s_asseoir</t>
  </si>
  <si>
    <t>s'asseoir</t>
  </si>
  <si>
    <t>Poser ses fesses (son derrière) sur le sol ou sur une chaise pour se reposer.</t>
  </si>
  <si>
    <t>https://raw.githubusercontent.com/olaf-programmeur/images/main/v_s_asseoir.webp</t>
  </si>
  <si>
    <t>https://raw.githubusercontent.com/olaf-programmeur/images/main/v_s_asseoir_1.webp</t>
  </si>
  <si>
    <t>https://raw.githubusercontent.com/olaf-programmeur/images/main/v_s_asseoir_2.webp</t>
  </si>
  <si>
    <t>https://raw.githubusercontent.com/olaf-programmeur/images/main/v_s_asseoir_3.webp</t>
  </si>
  <si>
    <t>v_sauter</t>
  </si>
  <si>
    <t>sauter</t>
  </si>
  <si>
    <t>S'élever du sol en poussant avec ses jambes.</t>
  </si>
  <si>
    <t>https://raw.githubusercontent.com/olaf-programmeur/images/main/v_sauter.webp</t>
  </si>
  <si>
    <t>https://raw.githubusercontent.com/olaf-programmeur/images/main/v_sauter_1.webp</t>
  </si>
  <si>
    <t>https://raw.githubusercontent.com/olaf-programmeur/images/main/v_sauter_2.webp</t>
  </si>
  <si>
    <t>https://raw.githubusercontent.com/olaf-programmeur/images/main/v_sauter_3.webp</t>
  </si>
  <si>
    <t>https://raw.githubusercontent.com/olaf-programmeur/images/main/v_sauter_4.webp</t>
  </si>
  <si>
    <t>sauvage</t>
  </si>
  <si>
    <t>Qui vit dans la nature, loin des humains.</t>
  </si>
  <si>
    <t>v_savoir</t>
  </si>
  <si>
    <t>savoir</t>
  </si>
  <si>
    <t>Connaître quelque chose ou être capable de le faire.</t>
  </si>
  <si>
    <t>https://raw.githubusercontent.com/olaf-programmeur/images/main/v_savoir.webp</t>
  </si>
  <si>
    <t>v_se_souvenir</t>
  </si>
  <si>
    <t>se souvenir</t>
  </si>
  <si>
    <t>Garder une chose en mémoire.</t>
  </si>
  <si>
    <t>https://raw.githubusercontent.com/olaf-programmeur/images/main/v_se_souvenir.webp</t>
  </si>
  <si>
    <t>v_sentir</t>
  </si>
  <si>
    <t>sentir</t>
  </si>
  <si>
    <t>Percevoir une odeur, ou ressentir quelque chose.</t>
  </si>
  <si>
    <t>https://raw.githubusercontent.com/olaf-programmeur/images/main/v_sentir.webp</t>
  </si>
  <si>
    <t>https://raw.githubusercontent.com/olaf-programmeur/images/main/v_sentir_1.webp</t>
  </si>
  <si>
    <t>https://raw.githubusercontent.com/olaf-programmeur/images/main/v_sentir_2.webp</t>
  </si>
  <si>
    <t>https://raw.githubusercontent.com/olaf-programmeur/images/main/v_sentir_3.webp</t>
  </si>
  <si>
    <t>https://raw.githubusercontent.com/olaf-programmeur/images/main/v_sentir_4.webp</t>
  </si>
  <si>
    <t>v_serrer</t>
  </si>
  <si>
    <t>serrer</t>
  </si>
  <si>
    <t>Fermer ses mains, ses bras pour tenir quelque chose avec force.</t>
  </si>
  <si>
    <t>https://raw.githubusercontent.com/olaf-programmeur/images/main/v_serrer.webp</t>
  </si>
  <si>
    <t>https://raw.githubusercontent.com/olaf-programmeur/images/main/v_serrer_1.webp</t>
  </si>
  <si>
    <t>https://raw.githubusercontent.com/olaf-programmeur/images/main/v_serrer_2.webp</t>
  </si>
  <si>
    <t>https://raw.githubusercontent.com/olaf-programmeur/images/main/v_serrer_3.webp</t>
  </si>
  <si>
    <t>https://raw.githubusercontent.com/olaf-programmeur/images/main/v_serrer_4.webp</t>
  </si>
  <si>
    <t>seul</t>
  </si>
  <si>
    <t>Qui est sans personne d'autre.</t>
  </si>
  <si>
    <t>adv_seulement</t>
  </si>
  <si>
    <t>seulement</t>
  </si>
  <si>
    <t>Rien de plus, uniquement.</t>
  </si>
  <si>
    <t>v_sortir</t>
  </si>
  <si>
    <t>sortir</t>
  </si>
  <si>
    <t>Aller à l'extérieur d'un endroit.</t>
  </si>
  <si>
    <t>https://raw.githubusercontent.com/olaf-programmeur/images/main/v_sortir.webp</t>
  </si>
  <si>
    <t>https://raw.githubusercontent.com/olaf-programmeur/images/main/v_sortir_1.webp</t>
  </si>
  <si>
    <t>https://raw.githubusercontent.com/olaf-programmeur/images/main/v_sortir_2.webp</t>
  </si>
  <si>
    <t>https://raw.githubusercontent.com/olaf-programmeur/images/main/v_sortir_3.webp</t>
  </si>
  <si>
    <t>soudain</t>
  </si>
  <si>
    <t>Qui arrive d'un coup, sans prévenir.</t>
  </si>
  <si>
    <t>souple</t>
  </si>
  <si>
    <t>Qui se plie facilement sans casser.</t>
  </si>
  <si>
    <t>https://raw.githubusercontent.com/olaf-programmeur/images/main/souple.webp</t>
  </si>
  <si>
    <t>https://raw.githubusercontent.com/olaf-programmeur/images/main/souple_1.webp</t>
  </si>
  <si>
    <t>https://raw.githubusercontent.com/olaf-programmeur/images/main/souple_2.webp</t>
  </si>
  <si>
    <t>https://raw.githubusercontent.com/olaf-programmeur/images/main/souple_3.webp</t>
  </si>
  <si>
    <t>https://raw.githubusercontent.com/olaf-programmeur/images/main/souple_4.webp</t>
  </si>
  <si>
    <t>stéphanie_g</t>
  </si>
  <si>
    <t>Stéphanie Germanier</t>
  </si>
  <si>
    <t>Stéphanie Germanier, conseillère communale de Conthey.</t>
  </si>
  <si>
    <t>https://raw.githubusercontent.com/olaf-programmeur/images/main/stephanie_g.webp</t>
  </si>
  <si>
    <t>v_supplier</t>
  </si>
  <si>
    <t>supplier</t>
  </si>
  <si>
    <t>Demander quelque chose avec beaucoup d'insistance.</t>
  </si>
  <si>
    <t>https://raw.githubusercontent.com/olaf-programmeur/images/main/v_supplier.webp</t>
  </si>
  <si>
    <t>surtout</t>
  </si>
  <si>
    <t>Plus que tout le reste.</t>
  </si>
  <si>
    <t>v_tenir</t>
  </si>
  <si>
    <t>tenir</t>
  </si>
  <si>
    <t>Garder quelque chose dans sa main.</t>
  </si>
  <si>
    <t>https://raw.githubusercontent.com/olaf-programmeur/images/main/v_tenir.webp</t>
  </si>
  <si>
    <t>https://raw.githubusercontent.com/olaf-programmeur/images/main/v_tenir_1.webp</t>
  </si>
  <si>
    <t>https://raw.githubusercontent.com/olaf-programmeur/images/main/v_tenir_2.webp</t>
  </si>
  <si>
    <t>tiede</t>
  </si>
  <si>
    <t>tiède</t>
  </si>
  <si>
    <t>Ni chaud ni froid, entre les deux.</t>
  </si>
  <si>
    <t>https://raw.githubusercontent.com/olaf-programmeur/images/main/tiede.webp</t>
  </si>
  <si>
    <t>v_tirer</t>
  </si>
  <si>
    <t>tirer</t>
  </si>
  <si>
    <t>Amener quelque chose vers soi  ++  Amener quelque chose dans la même direction que soi  ++ Utiliser une arme pour tuer un animal</t>
  </si>
  <si>
    <t>https://raw.githubusercontent.com/olaf-programmeur/images/main/v_tirer.webp</t>
  </si>
  <si>
    <t>https://raw.githubusercontent.com/olaf-programmeur/images/main/v_tirer_1.webp</t>
  </si>
  <si>
    <t>https://raw.githubusercontent.com/olaf-programmeur/images/main/v_tirer_2.webp</t>
  </si>
  <si>
    <t>https://raw.githubusercontent.com/olaf-programmeur/images/main/v_tirer_3.webp</t>
  </si>
  <si>
    <t>https://raw.githubusercontent.com/olaf-programmeur/images/main/v_tirer_4.webp</t>
  </si>
  <si>
    <t>v_tomber</t>
  </si>
  <si>
    <t>tomber</t>
  </si>
  <si>
    <t>https://raw.githubusercontent.com/olaf-programmeur/images/main/v_tomber.webp</t>
  </si>
  <si>
    <t>https://raw.githubusercontent.com/olaf-programmeur/images/main/v_tomber_1.webp</t>
  </si>
  <si>
    <t>https://raw.githubusercontent.com/olaf-programmeur/images/main/v_tomber_2.webp</t>
  </si>
  <si>
    <t>https://raw.githubusercontent.com/olaf-programmeur/images/main/v_tomber_3.webp</t>
  </si>
  <si>
    <t>https://raw.githubusercontent.com/olaf-programmeur/images/main/v_tomber_4.webp</t>
  </si>
  <si>
    <t>v_toucher</t>
  </si>
  <si>
    <t>toucher</t>
  </si>
  <si>
    <t>Mettre sa main sur quelque chose. Utiliser ses doigts pour sentir quelque chose.</t>
  </si>
  <si>
    <t>https://raw.githubusercontent.com/olaf-programmeur/images/main/v_toucher.webp</t>
  </si>
  <si>
    <t>https://raw.githubusercontent.com/olaf-programmeur/images/main/v_toucher_1.webp</t>
  </si>
  <si>
    <t>https://raw.githubusercontent.com/olaf-programmeur/images/main/v_toucher_2.webp</t>
  </si>
  <si>
    <t>https://raw.githubusercontent.com/olaf-programmeur/images/main/v_toucher_3.webp</t>
  </si>
  <si>
    <t>https://raw.githubusercontent.com/olaf-programmeur/images/main/v_toucher_4.webp</t>
  </si>
  <si>
    <t>a_touffu</t>
  </si>
  <si>
    <t>touffu</t>
  </si>
  <si>
    <t>tranquille</t>
  </si>
  <si>
    <t>Qui est calme, sans agitation.</t>
  </si>
  <si>
    <t>https://raw.githubusercontent.com/olaf-programmeur/images/main/tranquille.webp</t>
  </si>
  <si>
    <t>transparent</t>
  </si>
  <si>
    <t>Qui laisse passer la lumière et voir à travers.</t>
  </si>
  <si>
    <t>https://raw.githubusercontent.com/olaf-programmeur/images/main/transparent.webp</t>
  </si>
  <si>
    <t>v_travailler</t>
  </si>
  <si>
    <t>travailler</t>
  </si>
  <si>
    <t>Faire un effort pour réaliser une tâche ou un métier.</t>
  </si>
  <si>
    <t>https://raw.githubusercontent.com/olaf-programmeur/images/main/v_travailler.webp</t>
  </si>
  <si>
    <t>tres</t>
  </si>
  <si>
    <t>très</t>
  </si>
  <si>
    <t>À un fort degré. Par exemple : très grand.</t>
  </si>
  <si>
    <t>trop</t>
  </si>
  <si>
    <t>Plus qu'il ne faut.</t>
  </si>
  <si>
    <t>https://raw.githubusercontent.com/olaf-programmeur/images/main/trop.webp</t>
  </si>
  <si>
    <t>https://raw.githubusercontent.com/olaf-programmeur/images/main/trop_1.webp</t>
  </si>
  <si>
    <t>v_trouver</t>
  </si>
  <si>
    <t>trouver</t>
  </si>
  <si>
    <t>Découvrir ce que l'on cherchait.</t>
  </si>
  <si>
    <t>https://raw.githubusercontent.com/olaf-programmeur/images/main/v_trouver.webp</t>
  </si>
  <si>
    <t>https://raw.githubusercontent.com/olaf-programmeur/images/main/v_trouver_1.webp</t>
  </si>
  <si>
    <t>a_urgent</t>
  </si>
  <si>
    <t>urgent</t>
  </si>
  <si>
    <t>Qui doit être fait tout de suite, sans attendre.</t>
  </si>
  <si>
    <t>a_utile</t>
  </si>
  <si>
    <t>utile</t>
  </si>
  <si>
    <t>Qui sert à quelque chose.</t>
  </si>
  <si>
    <t>veloute</t>
  </si>
  <si>
    <t>velouté</t>
  </si>
  <si>
    <t>Qui est doux à toucher, comme du velours.</t>
  </si>
  <si>
    <t>https://raw.githubusercontent.com/olaf-programmeur/images/main/veloute.webp</t>
  </si>
  <si>
    <t>v_vendre</t>
  </si>
  <si>
    <t>vendre</t>
  </si>
  <si>
    <t>Donner une chose contre de l'argent.</t>
  </si>
  <si>
    <t>https://raw.githubusercontent.com/olaf-programmeur/images/main/v_vendre.webp</t>
  </si>
  <si>
    <t>https://raw.githubusercontent.com/olaf-programmeur/images/main/v_vendre_1.webp</t>
  </si>
  <si>
    <t>v_venir</t>
  </si>
  <si>
    <t>venir</t>
  </si>
  <si>
    <t>Se rapprocher de moi ++  Quelqu'un ou quelque chose qui vient dans ma direction.</t>
  </si>
  <si>
    <t>https://raw.githubusercontent.com/olaf-programmeur/images/main/v_venir.webp</t>
  </si>
  <si>
    <t>https://raw.githubusercontent.com/olaf-programmeur/images/main/v_venir_1.webp</t>
  </si>
  <si>
    <t>https://raw.githubusercontent.com/olaf-programmeur/images/main/v_venir_2.webp</t>
  </si>
  <si>
    <t>https://raw.githubusercontent.com/olaf-programmeur/images/main/v_venir_3.webp</t>
  </si>
  <si>
    <t>https://raw.githubusercontent.com/olaf-programmeur/images/main/v_venir_4.webp</t>
  </si>
  <si>
    <t>a_vif</t>
  </si>
  <si>
    <t>vif - vive</t>
  </si>
  <si>
    <t>Qui est plein d'énergie, rapide.</t>
  </si>
  <si>
    <t>vite</t>
  </si>
  <si>
    <t>Rapidement, sans perdre de temps.</t>
  </si>
  <si>
    <t>a_vitre</t>
  </si>
  <si>
    <t>vitré</t>
  </si>
  <si>
    <t>Qui a un panneau en verre transparent  ++  qui a une vitre.</t>
  </si>
  <si>
    <t>https://raw.githubusercontent.com/olaf-programmeur/images/main/a_vitre.webp</t>
  </si>
  <si>
    <t>vivant</t>
  </si>
  <si>
    <t>Qui vit, qui n'est pas mort.</t>
  </si>
  <si>
    <t>https://raw.githubusercontent.com/olaf-programmeur/images/main/vivant.webp</t>
  </si>
  <si>
    <t>v_voir</t>
  </si>
  <si>
    <t>voir</t>
  </si>
  <si>
    <t>Percevoir avec les yeux.</t>
  </si>
  <si>
    <t>https://raw.githubusercontent.com/olaf-programmeur/images/main/v_voir.webp</t>
  </si>
  <si>
    <t>https://raw.githubusercontent.com/olaf-programmeur/images/main/v_voir_1.webp</t>
  </si>
  <si>
    <t>https://raw.githubusercontent.com/olaf-programmeur/images/main/v_voir_2.webp</t>
  </si>
  <si>
    <t>https://raw.githubusercontent.com/olaf-programmeur/images/main/v_voir_3.webp</t>
  </si>
  <si>
    <t>v_voler</t>
  </si>
  <si>
    <t>voler</t>
  </si>
  <si>
    <t>Se déplacer dans l'air, comme un oiseau ou un avion.</t>
  </si>
  <si>
    <t>https://raw.githubusercontent.com/olaf-programmeur/images/main/v_voler_4.webp</t>
  </si>
  <si>
    <t>v_vouloir</t>
  </si>
  <si>
    <t>vouloir</t>
  </si>
  <si>
    <t>Avoir envie  de quelque chose.</t>
  </si>
  <si>
    <t>https://raw.githubusercontent.com/olaf-programmeur/images/main/v_vouloir.webp</t>
  </si>
  <si>
    <t>https://raw.githubusercontent.com/olaf-programmeur/images/main/v_vouloir_1.webp</t>
  </si>
  <si>
    <t>https://raw.githubusercontent.com/olaf-programmeur/images/main/v_vouloir_2.webp</t>
  </si>
  <si>
    <t>adv_vraiment</t>
  </si>
  <si>
    <t>vraiment</t>
  </si>
  <si>
    <t>D'une manière sûre, pour de vrai.</t>
  </si>
  <si>
    <t>zero</t>
  </si>
  <si>
    <t>zéro</t>
  </si>
  <si>
    <t>Le nombre qui veut dire aucun, rien.</t>
  </si>
  <si>
    <t>https://raw.githubusercontent.com/olaf-programmeur/images/main/zero.webp</t>
  </si>
  <si>
    <t>yogurt</t>
  </si>
  <si>
    <t>le yogurt</t>
  </si>
  <si>
    <t>Aliment fait à partir de lait transformé par de petites bactéries, ce qui le rend épais. Il est très bon pour la santé car il contient du calcium pour solidifier les os et des protéines pour les muscles.</t>
  </si>
  <si>
    <t>https://raw.githubusercontent.com/olaf-programmeur/images/main/yogurt.webp</t>
  </si>
  <si>
    <t>vinaigre</t>
  </si>
  <si>
    <t>le vinaigre</t>
  </si>
  <si>
    <t>Liquide acide au goût très fort, fabriqué à partir de jus de raisins, qu'on utilise surtout pour assaisonner les salades ou conserver les aliments.</t>
  </si>
  <si>
    <t>https://raw.githubusercontent.com/olaf-programmeur/images/main/vinaigre.webp</t>
  </si>
  <si>
    <t>les accompagnements</t>
  </si>
  <si>
    <t>Aliments que l'on mange à côté de la viande comme des frites, de la purée, des pâtes ou du riz.</t>
  </si>
  <si>
    <t>Qu'est-ce que vous prenez comme accompoagnement ? Je  prendrai des frites avec la viande.</t>
  </si>
  <si>
    <t>https://raw.githubusercontent.com/olaf-programmeur/images/main/accompagnements.webp</t>
  </si>
  <si>
    <t>tiramisu</t>
  </si>
  <si>
    <t>le tiramisu</t>
  </si>
  <si>
    <t>Dessert italien délicieux, fait de couches de biscuits trempés dans du café et d'une crème légère au mascarpone (un fromage frais italien) saupoudrée de cacao.</t>
  </si>
  <si>
    <t>https://raw.githubusercontent.com/olaf-programmeur/images/main/tiramisu.webp</t>
  </si>
  <si>
    <t>coupe_fraises</t>
  </si>
  <si>
    <t>une coupe aux fraises</t>
  </si>
  <si>
    <t>Dessert fait avec des fruits frais et de la crème. L'image montre une coupe aux fraises avec du mascarpone (un fromage frais italien).</t>
  </si>
  <si>
    <t>https://raw.githubusercontent.com/olaf-programmeur/images/main/coupe_fraises.webp</t>
  </si>
  <si>
    <t>big_mac</t>
  </si>
  <si>
    <t>le big mac chez Mc Donald</t>
  </si>
  <si>
    <t>Hamburger (type de sandwich) de McDonald's, composé de deux steaks de bœuf, de salade, de fromage, d'oignons, de cornichons et d'une sauce spéciale, le tout entre trois tranches de pain.</t>
  </si>
  <si>
    <t>https://raw.githubusercontent.com/olaf-programmeur/images/main/big_mac.webp</t>
  </si>
  <si>
    <t>carrelage</t>
  </si>
  <si>
    <t>le carrelage</t>
  </si>
  <si>
    <t>Petites plaques dures en céramique ou en pierre qu'on colle sur les sols et les murs pour les protéger et les décorer, comme dans les salles de bain ou les cuisines.</t>
  </si>
  <si>
    <t>https://raw.githubusercontent.com/olaf-programmeur/images/main/carrelage.webp</t>
  </si>
  <si>
    <t>poignee</t>
  </si>
  <si>
    <t>la poignée de la porte</t>
  </si>
  <si>
    <t>Partie de la porte que l'on attrape avec la main et sur laquelle on appuie pour ouvrir et fermer une porte.</t>
  </si>
  <si>
    <t>https://raw.githubusercontent.com/olaf-programmeur/images/main/poignee_porte.webp</t>
  </si>
  <si>
    <t>https://raw.githubusercontent.com/olaf-programmeur/images/main/poignee_porte_1.webp</t>
  </si>
  <si>
    <t>https://raw.githubusercontent.com/olaf-programmeur/images/main/poignee_porte_2.webp</t>
  </si>
  <si>
    <t>https://raw.githubusercontent.com/olaf-programmeur/images/main/poignee_porte_3.webp</t>
  </si>
  <si>
    <t>https://raw.githubusercontent.com/olaf-programmeur/images/main/poignee_porte_4.webp</t>
  </si>
  <si>
    <t>m_note</t>
  </si>
  <si>
    <t>la note</t>
  </si>
  <si>
    <t>Symbole musical qu'on utilise pour écrire un son grave, medium ou aïgu et d'une certaine durée. La noir par exemple qui vaut 1 temps.</t>
  </si>
  <si>
    <t>https://raw.githubusercontent.com/olaf-programmeur/images/main/m_note.webp</t>
  </si>
  <si>
    <t>gamme</t>
  </si>
  <si>
    <t>la gamme</t>
  </si>
  <si>
    <t>Suite de notes qui se suivent dans un ordre précis (comme des marches d'escalier). La gamme porte le nom de la première note qui  la compose.</t>
  </si>
  <si>
    <t>https://raw.githubusercontent.com/olaf-programmeur/images/main/gamme.webp</t>
  </si>
  <si>
    <t>metronome</t>
  </si>
  <si>
    <t>le métronome</t>
  </si>
  <si>
    <t>Appareil qui fait un "tic" régulier comme une horloge pour aider les musiciens à jouer à la bonne vitesse et rester bien en rythme.</t>
  </si>
  <si>
    <t>https://raw.githubusercontent.com/olaf-programmeur/images/main/metronome.webp</t>
  </si>
  <si>
    <t>levier_vitesse</t>
  </si>
  <si>
    <t>le levier de vitesse</t>
  </si>
  <si>
    <t>Manette dans une voiture que le conducteur déplace à la main pour changer de vitesse, c'est-à-dire pour adapter la puissance du moteur en fonction de la route.</t>
  </si>
  <si>
    <t>https://raw.githubusercontent.com/olaf-programmeur/images/main/levier_vitesse.webp</t>
  </si>
  <si>
    <t>v_recurrer</t>
  </si>
  <si>
    <t>récurrer</t>
  </si>
  <si>
    <t>Nettoyer le sol, le carrelage au moyen d'une brosse et d'une serpillière.</t>
  </si>
  <si>
    <t>https://raw.githubusercontent.com/olaf-programmeur/images/main/v_recurrer.webp</t>
  </si>
  <si>
    <t>appareil_photo</t>
  </si>
  <si>
    <t>l'appareil photo</t>
  </si>
  <si>
    <t>Appareil pour faire des photos.</t>
  </si>
  <si>
    <t>https://raw.githubusercontent.com/olaf-programmeur/images/main/appareil_photo.webp</t>
  </si>
  <si>
    <t>leopard</t>
  </si>
  <si>
    <t>le léopard</t>
  </si>
  <si>
    <t>Grand félin sauvage au pelage doré couvert de taches noires, très puissant et discret, qui vit surtout en Afrique et en Asie, grimpe très bien aux arbres et chasse seul, souvent la nuit.</t>
  </si>
  <si>
    <t>https://raw.githubusercontent.com/olaf-programmeur/images/main/leopard_2.webp</t>
  </si>
  <si>
    <t>https://raw.githubusercontent.com/olaf-programmeur/images/main/leopard_3.webp</t>
  </si>
  <si>
    <t>https://raw.githubusercontent.com/olaf-programmeur/images/main/leopard_4.webp</t>
  </si>
  <si>
    <t>moustique</t>
  </si>
  <si>
    <t>le moustique</t>
  </si>
  <si>
    <t>Petit insecte volant qui se nourrit du sang des humains et des animaux en les piquant, ce qui provoque des démangeaisons.</t>
  </si>
  <si>
    <t>https://raw.githubusercontent.com/olaf-programmeur/images/main/moustique.webp</t>
  </si>
  <si>
    <t>p_mais</t>
  </si>
  <si>
    <t>le maïs</t>
  </si>
  <si>
    <t>C'est le fruit d'une plante  ++  une céréale qu'on peut manger.</t>
  </si>
  <si>
    <t>https://raw.githubusercontent.com/olaf-programmeur/images/main/p_mais.webp</t>
  </si>
  <si>
    <t>https://raw.githubusercontent.com/olaf-programmeur/images/main/p_mais_1.webp</t>
  </si>
  <si>
    <t>https://raw.githubusercontent.com/olaf-programmeur/images/main/p_mais_2.webp</t>
  </si>
  <si>
    <t>https://raw.githubusercontent.com/olaf-programmeur/images/main/p_mais_3.webp</t>
  </si>
  <si>
    <t>https://raw.githubusercontent.com/olaf-programmeur/images/main/p_mais_4.webp</t>
  </si>
  <si>
    <t>v_tousser</t>
  </si>
  <si>
    <t>tousser</t>
  </si>
  <si>
    <t>Quand on est malade en hiver  ++ quand on a la toux.</t>
  </si>
  <si>
    <t>jambon</t>
  </si>
  <si>
    <t>la viande qui provient de la cuisse du cochon</t>
  </si>
  <si>
    <t>https://raw.githubusercontent.com/olaf-programmeur/images/main/jambon.webp</t>
  </si>
  <si>
    <t>https://raw.githubusercontent.com/olaf-programmeur/images/main/jambon_1.webp</t>
  </si>
  <si>
    <t>https://raw.githubusercontent.com/olaf-programmeur/images/main/porc_viande.webp</t>
  </si>
  <si>
    <t>grand_maman_emma</t>
  </si>
  <si>
    <t>grand-maman Emma</t>
  </si>
  <si>
    <t>C'est la maman de papa Noël et de tante Michelle  ++  son mari s'appelait Jules</t>
  </si>
  <si>
    <t>https://raw.githubusercontent.com/olaf-programmeur/images/main/grand_maman_emma.webp</t>
  </si>
  <si>
    <t>https://raw.githubusercontent.com/olaf-programmeur/images/main/grand_maman_emma_1.webp</t>
  </si>
  <si>
    <t>grand_papa_maurice</t>
  </si>
  <si>
    <t>grand-papa Maurice</t>
  </si>
  <si>
    <t>C'est le papa de maman Germaine et de tante Madeleine, l'oncle Bernard, l'oncle Marcel et l'oncle Albert  ++  sa femme s'appelait Léontine.</t>
  </si>
  <si>
    <t>https://raw.githubusercontent.com/olaf-programmeur/images/main/grand_papa_maurice.webp</t>
  </si>
  <si>
    <t>oncle_bernard</t>
  </si>
  <si>
    <t>l'oncle Bernard</t>
  </si>
  <si>
    <t>C'est le frère de maman, Germaine.</t>
  </si>
  <si>
    <t>https://raw.githubusercontent.com/olaf-programmeur/images/main/oncle_bernard.webp</t>
  </si>
  <si>
    <t>oncle_marcel</t>
  </si>
  <si>
    <t>l'oncle Marcel</t>
  </si>
  <si>
    <t>C'est le frère de maman, Germaine  ++  Le papa de Stéphane, Martine et Ariane.</t>
  </si>
  <si>
    <t>https://raw.githubusercontent.com/olaf-programmeur/images/main/oncle_marcel.webp</t>
  </si>
  <si>
    <t>tante_lucienne</t>
  </si>
  <si>
    <t>tante Lucienne</t>
  </si>
  <si>
    <t>C'est l'épouse de l'oncle Albert  ++  La maman de Marie-Danièle, Charles-Albert et Joël.</t>
  </si>
  <si>
    <t>https://raw.githubusercontent.com/olaf-programmeur/images/main/tante_lucienne.webp</t>
  </si>
  <si>
    <t>tante_edith</t>
  </si>
  <si>
    <t>tante Edith</t>
  </si>
  <si>
    <t>C'est l'épouse de l'oncel Marcel  ++  La maman de Stéphane, Martine et Ariane.</t>
  </si>
  <si>
    <t>https://raw.githubusercontent.com/olaf-programmeur/images/main/tante_edith.webp</t>
  </si>
  <si>
    <t>prix_coupe</t>
  </si>
  <si>
    <t>la coupe</t>
  </si>
  <si>
    <t>Prix que reçoit celui qui gagne une compétition.</t>
  </si>
  <si>
    <t>https://raw.githubusercontent.com/olaf-programmeur/images/main/coupe.webp</t>
  </si>
  <si>
    <t>v_quitter</t>
  </si>
  <si>
    <t>quitter</t>
  </si>
  <si>
    <t>Partir d'un endroit pour aller dans un autre.</t>
  </si>
  <si>
    <t>https://raw.githubusercontent.com/olaf-programmeur/images/main/v_quitter.webp</t>
  </si>
  <si>
    <t>https://raw.githubusercontent.com/olaf-programmeur/images/main/v_quitter_1.webp</t>
  </si>
  <si>
    <t>v_interdire</t>
  </si>
  <si>
    <t>interdire</t>
  </si>
  <si>
    <t>Ne pas autoriser quelqu'un à faire quelque chose.</t>
  </si>
  <si>
    <t>https://raw.githubusercontent.com/olaf-programmeur/images/main/v_interdire.webp</t>
  </si>
  <si>
    <t>v_arriver</t>
  </si>
  <si>
    <t>arriver</t>
  </si>
  <si>
    <t>Arriver à faire quelque chose  ++  Atteindre un but  ++  Parvenir à un endroit voulu.</t>
  </si>
  <si>
    <t>capsule_nespresso</t>
  </si>
  <si>
    <t>la capsule Nespresso</t>
  </si>
  <si>
    <t>Ce que l'on met dans la machine à café pour faire un café</t>
  </si>
  <si>
    <t>https://raw.githubusercontent.com/olaf-programmeur/images/main/capsule_nespresso.webp</t>
  </si>
  <si>
    <t>https://raw.githubusercontent.com/olaf-programmeur/images/main/capsule_nespresso_1.webp</t>
  </si>
  <si>
    <t>https://raw.githubusercontent.com/olaf-programmeur/images/main/capsule_nespresso_2.webp</t>
  </si>
  <si>
    <t>https://raw.githubusercontent.com/olaf-programmeur/images/main/capsule_nespresso_3.webp</t>
  </si>
  <si>
    <t>https://raw.githubusercontent.com/olaf-programmeur/images/main/capsule_nespresso_4.webp</t>
  </si>
  <si>
    <t>emotion</t>
  </si>
  <si>
    <t>l'émotion</t>
  </si>
  <si>
    <t>Ce qu'on ressent  ++  Comment on se sent.</t>
  </si>
  <si>
    <t>https://raw.githubusercontent.com/olaf-programmeur/images/main/emotion_1.webp</t>
  </si>
  <si>
    <t>https://raw.githubusercontent.com/olaf-programmeur/images/main/emotion_2.webp</t>
  </si>
  <si>
    <t>https://raw.githubusercontent.com/olaf-programmeur/images/main/emotion_3.webp</t>
  </si>
  <si>
    <t>https://raw.githubusercontent.com/olaf-programmeur/images/main/emotion_4.webp</t>
  </si>
  <si>
    <t>https://raw.githubusercontent.com/olaf-programmeur/images/main/emotion_5.webp</t>
  </si>
  <si>
    <t>la nourriture</t>
  </si>
  <si>
    <t>Les aliments que les hommes, les animaux, les insectes mangent pour vivre.</t>
  </si>
  <si>
    <t>corps_humain</t>
  </si>
  <si>
    <t>le corps (humain)</t>
  </si>
  <si>
    <t>La structure physique d'une être humain (homme + femme) qui comprend la tête, le tronc, les bras, les jambes, etc...</t>
  </si>
  <si>
    <t>v_habiter</t>
  </si>
  <si>
    <t>habiter</t>
  </si>
  <si>
    <t>Avoir son domicile, sa maison dans un endroit comme un village ou une ville.</t>
  </si>
  <si>
    <t>v_eclairer</t>
  </si>
  <si>
    <t>éclairer</t>
  </si>
  <si>
    <t>Mettre ou donner de la lumière dans une pièce (cuisine / salon / chambre / bureau)</t>
  </si>
  <si>
    <t>le souper</t>
  </si>
  <si>
    <t>Le repas du soir.</t>
  </si>
  <si>
    <t>pommier</t>
  </si>
  <si>
    <t>le pommier</t>
  </si>
  <si>
    <t>L'arbre sur lequel pousse les pommes</t>
  </si>
  <si>
    <t>v_griller</t>
  </si>
  <si>
    <t>griller</t>
  </si>
  <si>
    <t>Cuire un aliment sur un gril, dans une poêle avec de l'huile.</t>
  </si>
  <si>
    <t>Mot qui désigne tous les êtres vivants  ++ qui bougent mais ne parlent pas.</t>
  </si>
  <si>
    <t>L'assaisonnement</t>
  </si>
  <si>
    <t>Ingrédient (sel, poivre par exemple) ajouter aux aliments (ce qu'on mange) pour en relever le goût.</t>
  </si>
  <si>
    <t>v_conduire</t>
  </si>
  <si>
    <t>conduire</t>
  </si>
  <si>
    <t>Se déplacer au moyen d'un véhicule (voiture)  ++  Diriger et contrôler un véhicule.</t>
  </si>
  <si>
    <t>habit</t>
  </si>
  <si>
    <t>un habit</t>
  </si>
  <si>
    <t>Mot qui désigne l'ensemble des vêtements qu'on porte.</t>
  </si>
  <si>
    <t>v_traverser</t>
  </si>
  <si>
    <t>traverser</t>
  </si>
  <si>
    <t>Passer d'un côté à l'autre d'une rue, d'un pont, d'une rivière.</t>
  </si>
  <si>
    <t>v_avaler</t>
  </si>
  <si>
    <t>avaler</t>
  </si>
  <si>
    <t>e_verre</t>
  </si>
  <si>
    <t>La matière avec laquelle on fait les vitres, les verres des lunettes, les verres pour boire.</t>
  </si>
  <si>
    <t>https://raw.githubusercontent.com/olaf-programmeur/images/main/e_verre.webp</t>
  </si>
  <si>
    <t>https://raw.githubusercontent.com/olaf-programmeur/images/main/e_verre_1.webp</t>
  </si>
  <si>
    <t>https://raw.githubusercontent.com/olaf-programmeur/images/main/e_verre_2.webp</t>
  </si>
  <si>
    <t>https://raw.githubusercontent.com/olaf-programmeur/images/main/e_verre_3.webp</t>
  </si>
  <si>
    <t>yvan_lagger</t>
  </si>
  <si>
    <t>Yvan Lagger</t>
  </si>
  <si>
    <t>Yvan a dirigé la Contheysanne pendant 26 ans. Il était marié à Emilie.</t>
  </si>
  <si>
    <t>https://raw.githubusercontent.com/olaf-programmeur/images/main/yvan_lagger.webp</t>
  </si>
  <si>
    <t>v_chauffer</t>
  </si>
  <si>
    <t>chauffer</t>
  </si>
  <si>
    <t>v_transporter</t>
  </si>
  <si>
    <t>transporter</t>
  </si>
  <si>
    <t>parquet</t>
  </si>
  <si>
    <t>le parquet</t>
  </si>
  <si>
    <t>v_ramper</t>
  </si>
  <si>
    <t>ramper</t>
  </si>
  <si>
    <t>produit_de_douche</t>
  </si>
  <si>
    <t>le produit ou gel de douche</t>
  </si>
  <si>
    <t>Le savon en bouteille qu'on utilise pour se laver sous la douche.</t>
  </si>
  <si>
    <t>https://raw.githubusercontent.com/olaf-programmeur/images/main/produit_de_douche.webp</t>
  </si>
  <si>
    <t>https://raw.githubusercontent.com/olaf-programmeur/images/main/produit_de_douche_1.webp</t>
  </si>
  <si>
    <t>https://raw.githubusercontent.com/olaf-programmeur/images/main/produit_de_douche_2.webp</t>
  </si>
  <si>
    <t>aile_animal</t>
  </si>
  <si>
    <t>Le membre qui permet aux oiseaux ++ aux insectes de voler.</t>
  </si>
  <si>
    <t>https://raw.githubusercontent.com/olaf-programmeur/images/main/aile_animal.webp</t>
  </si>
  <si>
    <t>https://raw.githubusercontent.com/olaf-programmeur/images/main/aile_animal_1.webp</t>
  </si>
  <si>
    <t>https://raw.githubusercontent.com/olaf-programmeur/images/main/aile_animal_2.webp</t>
  </si>
  <si>
    <t>https://raw.githubusercontent.com/olaf-programmeur/images/main/aile_animal_3.webp</t>
  </si>
  <si>
    <t>https://raw.githubusercontent.com/olaf-programmeur/images/main/aile_animal_4.webp</t>
  </si>
  <si>
    <t>https://raw.githubusercontent.com/olaf-programmeur/images/main/aile_animal_5.webp</t>
  </si>
  <si>
    <t>aile_avion</t>
  </si>
  <si>
    <t>La partie de l'avion qui lui permet de voler.</t>
  </si>
  <si>
    <t>https://raw.githubusercontent.com/olaf-programmeur/images/main/aile_avion.webp</t>
  </si>
  <si>
    <t>https://raw.githubusercontent.com/olaf-programmeur/images/main/aile_avion_1.webp</t>
  </si>
  <si>
    <t>https://raw.githubusercontent.com/olaf-programmeur/images/main/aile_avion_2.webp</t>
  </si>
  <si>
    <t>https://raw.githubusercontent.com/olaf-programmeur/images/main/aile_avion_3.webp</t>
  </si>
  <si>
    <t>https://raw.githubusercontent.com/olaf-programmeur/images/main/aile_avion_4.webp</t>
  </si>
  <si>
    <t>https://raw.githubusercontent.com/olaf-programmeur/images/main/aile_avion_5.webp</t>
  </si>
  <si>
    <t>virage</t>
  </si>
  <si>
    <t>le virage</t>
  </si>
  <si>
    <t>La courbe, le contour que fait la route  ++  quand c'est plus tout droit.</t>
  </si>
  <si>
    <t>https://raw.githubusercontent.com/olaf-programmeur/images/main/virage.webp</t>
  </si>
  <si>
    <t>https://raw.githubusercontent.com/olaf-programmeur/images/main/virage_1.webp</t>
  </si>
  <si>
    <t>https://raw.githubusercontent.com/olaf-programmeur/images/main/virage_2.webp</t>
  </si>
  <si>
    <t>https://raw.githubusercontent.com/olaf-programmeur/images/main/virage_3.webp</t>
  </si>
  <si>
    <t>https://raw.githubusercontent.com/olaf-programmeur/images/main/virage_4.webp</t>
  </si>
  <si>
    <t>mot_1</t>
  </si>
  <si>
    <t>mot_2</t>
  </si>
  <si>
    <t>mot_3</t>
  </si>
  <si>
    <t>mot_4</t>
  </si>
  <si>
    <t>mot_5</t>
  </si>
  <si>
    <t>mot_6</t>
  </si>
  <si>
    <t>mot_7</t>
  </si>
  <si>
    <t>mot_8</t>
  </si>
  <si>
    <t>mot_9</t>
  </si>
  <si>
    <t>mot_10</t>
  </si>
  <si>
    <t>Les viandes &amp; poulet</t>
  </si>
  <si>
    <t>Les poissons</t>
  </si>
  <si>
    <t>Les mots pour les formes</t>
  </si>
  <si>
    <t>📋 Validation des liens</t>
  </si>
  <si>
    <t>Total erreurs (✗) :</t>
  </si>
  <si>
    <t>Légende : ✓ = identifiant trouvé dans la colonne id de la feuille Mots,  ✗ = introuvable.  La feuille Liens utilise les identifiants, pas les mots.</t>
  </si>
  <si>
    <t>Liens ligne</t>
  </si>
  <si>
    <t>id_mot</t>
  </si>
  <si>
    <t>mot (contrôle)</t>
  </si>
  <si>
    <t>classement_1</t>
  </si>
  <si>
    <t>classement_2</t>
  </si>
  <si>
    <t>classement_3</t>
  </si>
  <si>
    <t>tag</t>
  </si>
  <si>
    <t>libellé</t>
  </si>
  <si>
    <t>ancre</t>
  </si>
  <si>
    <t>ancre (contrôle)</t>
  </si>
  <si>
    <t>à la cuisine</t>
  </si>
  <si>
    <t>à la salle de bain</t>
  </si>
  <si>
    <t>dans la chambre</t>
  </si>
  <si>
    <t>au salon</t>
  </si>
  <si>
    <t>dans la maison</t>
  </si>
  <si>
    <t>dehors, dans la nature</t>
  </si>
  <si>
    <t>en ville, au village</t>
  </si>
  <si>
    <t>en voiture, sur la route</t>
  </si>
  <si>
    <t>au travail, au bureau</t>
  </si>
  <si>
    <t>chez le médecin</t>
  </si>
  <si>
    <t>musique</t>
  </si>
  <si>
    <t>à la fanfare</t>
  </si>
  <si>
    <t>manger_boire</t>
  </si>
  <si>
    <t>pour manger et boire</t>
  </si>
  <si>
    <t>cuisiner</t>
  </si>
  <si>
    <t>pour cuisiner</t>
  </si>
  <si>
    <t>pour nettoyer</t>
  </si>
  <si>
    <t>s_habiller</t>
  </si>
  <si>
    <t>pour s'habiller</t>
  </si>
  <si>
    <t>se_soigner</t>
  </si>
  <si>
    <t>pour se soigner</t>
  </si>
  <si>
    <t>se_deplacer</t>
  </si>
  <si>
    <t>pour se déplacer</t>
  </si>
  <si>
    <t>pour travailler et payer</t>
  </si>
  <si>
    <t>jouer_musique</t>
  </si>
  <si>
    <t>pour la musique</t>
  </si>
  <si>
    <t>se_promener</t>
  </si>
  <si>
    <t>pour se promener</t>
  </si>
  <si>
    <t>se_reposer</t>
  </si>
  <si>
    <t>pour se reposer</t>
  </si>
  <si>
    <t>bricoler</t>
  </si>
  <si>
    <t>pour bricoler et réparer</t>
  </si>
  <si>
    <t>instrument</t>
  </si>
  <si>
    <t>un instrument de musique</t>
  </si>
  <si>
    <t>vehicule</t>
  </si>
  <si>
    <t>un véhicule</t>
  </si>
  <si>
    <t>un meuble</t>
  </si>
  <si>
    <t>un outil</t>
  </si>
  <si>
    <t>un appareil</t>
  </si>
  <si>
    <t>un récipient</t>
  </si>
  <si>
    <t>un vêtement</t>
  </si>
  <si>
    <t>aliment</t>
  </si>
  <si>
    <t>un aliment</t>
  </si>
  <si>
    <t>boisson</t>
  </si>
  <si>
    <t>une boisson</t>
  </si>
  <si>
    <t>un bâtiment</t>
  </si>
  <si>
    <t>un animal</t>
  </si>
  <si>
    <t>une plante</t>
  </si>
  <si>
    <t>un document</t>
  </si>
  <si>
    <t>une matière</t>
  </si>
  <si>
    <t>partie_corps</t>
  </si>
  <si>
    <t>une partie du corps</t>
  </si>
  <si>
    <t>un objet</t>
  </si>
  <si>
    <t>communiquer</t>
  </si>
  <si>
    <t>pour parler et écouter</t>
  </si>
  <si>
    <t>pour penser et se souvenir</t>
  </si>
  <si>
    <t>aimer_ressentir</t>
  </si>
  <si>
    <t>pour ressentir</t>
  </si>
  <si>
    <t>donner_recevoir</t>
  </si>
  <si>
    <t>pour donner et recevoir</t>
  </si>
  <si>
    <t>pour aider</t>
  </si>
  <si>
    <t>une couleur</t>
  </si>
  <si>
    <t>taille</t>
  </si>
  <si>
    <t>une taille</t>
  </si>
  <si>
    <t>une forme</t>
  </si>
  <si>
    <t>temperature</t>
  </si>
  <si>
    <t>chaud ou froid</t>
  </si>
  <si>
    <t>au toucher</t>
  </si>
  <si>
    <t>un goût</t>
  </si>
  <si>
    <t>caractere</t>
  </si>
  <si>
    <t>un caractère</t>
  </si>
  <si>
    <t>etat</t>
  </si>
  <si>
    <t>un état</t>
  </si>
  <si>
    <t>apparence</t>
  </si>
  <si>
    <t>l'apparence</t>
  </si>
  <si>
    <t>difficulte</t>
  </si>
  <si>
    <t>facile ou difficile</t>
  </si>
  <si>
    <t>position</t>
  </si>
  <si>
    <t>la position</t>
  </si>
  <si>
    <t>vite ou lentement</t>
  </si>
  <si>
    <t>humeur</t>
  </si>
  <si>
    <t>l'humeur</t>
  </si>
  <si>
    <t>dans la famille</t>
  </si>
  <si>
    <t>metier</t>
  </si>
  <si>
    <t>un métier</t>
  </si>
  <si>
    <t>pour la santé</t>
  </si>
  <si>
    <t>connaissance</t>
  </si>
  <si>
    <t>une connaissance</t>
  </si>
  <si>
    <t>ressenti</t>
  </si>
  <si>
    <t>agreable</t>
  </si>
  <si>
    <t>agréable</t>
  </si>
  <si>
    <t>desagreable</t>
  </si>
  <si>
    <t>partie_de</t>
  </si>
  <si>
    <t>une partie de la voiture</t>
  </si>
  <si>
    <t>une partie de la maison</t>
  </si>
  <si>
    <t>une partie d'une plante</t>
  </si>
  <si>
    <t>une partie d'un vêtement</t>
  </si>
  <si>
    <t>une partie d'un instrument</t>
  </si>
  <si>
    <t>une partie d'un animal</t>
  </si>
  <si>
    <t>mesure</t>
  </si>
  <si>
    <t>temps</t>
  </si>
  <si>
    <t>le temps</t>
  </si>
  <si>
    <t>la température</t>
  </si>
  <si>
    <t>poids</t>
  </si>
  <si>
    <t>le poids</t>
  </si>
  <si>
    <t>les nombres</t>
  </si>
  <si>
    <t>liaison</t>
  </si>
  <si>
    <t>un petit mot de liaison</t>
  </si>
  <si>
    <t>sorte_1</t>
  </si>
  <si>
    <t>sorte_2</t>
  </si>
  <si>
    <t>partie_de_1</t>
  </si>
  <si>
    <t>partie_de_2</t>
  </si>
  <si>
    <t>mesure_1</t>
  </si>
  <si>
    <t>mesure_2</t>
  </si>
  <si>
    <t>lieu_1</t>
  </si>
  <si>
    <t>lieu_2</t>
  </si>
  <si>
    <t>lieu_3</t>
  </si>
  <si>
    <t>lieu_4</t>
  </si>
  <si>
    <t>lieu_5</t>
  </si>
  <si>
    <t>action_1</t>
  </si>
  <si>
    <t>action_2</t>
  </si>
  <si>
    <t>action_3</t>
  </si>
  <si>
    <t>action_4</t>
  </si>
  <si>
    <t>action_5</t>
  </si>
  <si>
    <t>qualite_1</t>
  </si>
  <si>
    <t>qualite_2</t>
  </si>
  <si>
    <t>qualite_3</t>
  </si>
  <si>
    <t>qualite_4</t>
  </si>
  <si>
    <t>personne_1</t>
  </si>
  <si>
    <t>personne_2</t>
  </si>
  <si>
    <t>personne_3</t>
  </si>
  <si>
    <t>ressenti_1</t>
  </si>
  <si>
    <t>ressenti_2</t>
  </si>
  <si>
    <t>ressenti_3</t>
  </si>
  <si>
    <t>synonyme_1</t>
  </si>
  <si>
    <t>synonyme_2</t>
  </si>
  <si>
    <t>synonyme_3</t>
  </si>
  <si>
    <t>le gazon</t>
  </si>
  <si>
    <t>le réfrigérateur</t>
  </si>
  <si>
    <t>le divan</t>
  </si>
  <si>
    <t>le sofa</t>
  </si>
  <si>
    <t>le compte-rendu</t>
  </si>
  <si>
    <t>la paie</t>
  </si>
  <si>
    <t>le tarif</t>
  </si>
  <si>
    <t>le coût</t>
  </si>
  <si>
    <t>l'auto</t>
  </si>
  <si>
    <t>l'automobile</t>
  </si>
  <si>
    <t>la bicyclette</t>
  </si>
  <si>
    <t>le docteur</t>
  </si>
  <si>
    <t>l'emploi</t>
  </si>
  <si>
    <t>la saveur</t>
  </si>
  <si>
    <t>le présent</t>
  </si>
  <si>
    <t>le portable</t>
  </si>
  <si>
    <t>la difficulté</t>
  </si>
  <si>
    <t>l'auditoire</t>
  </si>
  <si>
    <t>le mobilier</t>
  </si>
  <si>
    <t>la tenue</t>
  </si>
  <si>
    <t>le récital</t>
  </si>
  <si>
    <t>le sparadrap</t>
  </si>
  <si>
    <t>la corbeille</t>
  </si>
  <si>
    <t>le PC</t>
  </si>
  <si>
    <t>l'emprunt</t>
  </si>
  <si>
    <t>patienter</t>
  </si>
  <si>
    <t>posséder</t>
  </si>
  <si>
    <t>briser</t>
  </si>
  <si>
    <t>débuter</t>
  </si>
  <si>
    <t>hurler</t>
  </si>
  <si>
    <t>tenter</t>
  </si>
  <si>
    <t>terminer</t>
  </si>
  <si>
    <t>achever</t>
  </si>
  <si>
    <t>discuter</t>
  </si>
  <si>
    <t>régler</t>
  </si>
  <si>
    <t>égarer</t>
  </si>
  <si>
    <t>demeurer</t>
  </si>
  <si>
    <t>chuter</t>
  </si>
  <si>
    <t>désirer</t>
  </si>
  <si>
    <t>souhaiter</t>
  </si>
  <si>
    <t>loger</t>
  </si>
  <si>
    <t>indiquer</t>
  </si>
  <si>
    <t>dépanner</t>
  </si>
  <si>
    <t>se rappeler</t>
  </si>
  <si>
    <t>défendre</t>
  </si>
  <si>
    <t>rôtir</t>
  </si>
  <si>
    <t>gai</t>
  </si>
  <si>
    <t>magnifique</t>
  </si>
  <si>
    <t>identique</t>
  </si>
  <si>
    <t>semblable</t>
  </si>
  <si>
    <t>pressé</t>
  </si>
  <si>
    <t>accueillant</t>
  </si>
  <si>
    <t>essentiel</t>
  </si>
  <si>
    <t>ordinaire</t>
  </si>
  <si>
    <t>astucieux</t>
  </si>
  <si>
    <t>flexible</t>
  </si>
  <si>
    <t>paisible</t>
  </si>
  <si>
    <t>réellement</t>
  </si>
  <si>
    <t>la crainte</t>
  </si>
  <si>
    <t>la reconnaissance</t>
  </si>
  <si>
    <t>l'étonnement</t>
  </si>
  <si>
    <t>le souci</t>
  </si>
  <si>
    <t>la défiance</t>
  </si>
  <si>
    <t>la querelle</t>
  </si>
  <si>
    <t>actuellement</t>
  </si>
  <si>
    <t>quelquefois</t>
  </si>
  <si>
    <t>fréquemment</t>
  </si>
  <si>
    <t>quasiment</t>
  </si>
  <si>
    <t>à peu près</t>
  </si>
  <si>
    <t>volontairement</t>
  </si>
  <si>
    <t>uniquement</t>
  </si>
  <si>
    <t>suffisamment</t>
  </si>
  <si>
    <t>puis</t>
  </si>
  <si>
    <t>finalement</t>
  </si>
  <si>
    <t>soudainement</t>
  </si>
  <si>
    <t>exemple_2</t>
  </si>
  <si>
    <t>exemple_3</t>
  </si>
  <si>
    <t>exemple_4</t>
  </si>
  <si>
    <t>exemple_5</t>
  </si>
  <si>
    <t>exemple_6</t>
  </si>
  <si>
    <t>expression_1</t>
  </si>
  <si>
    <t>expression_2</t>
  </si>
  <si>
    <t>expression_3</t>
  </si>
  <si>
    <t>expression_4</t>
  </si>
  <si>
    <t>Un sandwich au jamon, un sandwich poulet curry, un sandwich au salami</t>
  </si>
  <si>
    <t>La réunion commence à 9 heures.</t>
  </si>
  <si>
    <t>Son bureau est très bien rangé.</t>
  </si>
  <si>
    <t>Il dirige une entreprise de 50 personnes.</t>
  </si>
  <si>
    <t>Notre équipe a gagné le match.</t>
  </si>
  <si>
    <t>Nous passons Noël en famille.</t>
  </si>
  <si>
    <t>Son mari est médecin.</t>
  </si>
  <si>
    <t>ma maman s'appelle Germaine.</t>
  </si>
  <si>
    <t>Mon papa s'appelait Noël.</t>
  </si>
  <si>
    <t>J'ai 4 enfants. Ils s'appellent Mathilde, Julien, Emma et Loïc</t>
  </si>
  <si>
    <t>Le bébé dort dans son berceau.</t>
  </si>
  <si>
    <t>J'ai deux filles, Mathilde et Emma.</t>
  </si>
  <si>
    <t>J'ai deux fils, Juien et Loïc.</t>
  </si>
  <si>
    <t>Grand-maman Léontine était la maman de Germaine et grand-maman Emma la maman de Noël</t>
  </si>
  <si>
    <t>Grand-papa Maurice était le papa de Germaine et grand-papa Jules le papa de Noël</t>
  </si>
  <si>
    <t>Mes soeurs s'appellent Claudia, Barbara et Sandrine. Emma est la soeur de Mathilde.</t>
  </si>
  <si>
    <t>Mon frère s'appelle Olivier. Loïc est le frère de Julien</t>
  </si>
  <si>
    <t>Tante Madeleine est la soeur de ma maman Germaine.</t>
  </si>
  <si>
    <t>L'oncle Bernard m'a aidé à peindre la maison.</t>
  </si>
  <si>
    <t>Mon médecin est une femme, elle s'appelle Nicole Ducrey Crettenand.</t>
  </si>
  <si>
    <t>la table de jardin et les chaises pour manger à l'extérieur.</t>
  </si>
  <si>
    <t>Tailler les thujas avec le coupe-haie.</t>
  </si>
  <si>
    <t>Enclencher l'arrosage automatique pour la pelouse.</t>
  </si>
  <si>
    <t>Il tond la pelouse avec la tondeuse.</t>
  </si>
  <si>
    <t>La chorale de la Sainte-Famille à Erde</t>
  </si>
  <si>
    <t>Le Choeur d'hommes "Le Temps de vivre"</t>
  </si>
  <si>
    <t>Le directeur de la fanfare s'appelle Damien Lagger.</t>
  </si>
  <si>
    <t>Je suis dans la cuisine et je prépare le repas.</t>
  </si>
  <si>
    <t>Mettre les assiettes et les verres dans le lave-vaisselle.</t>
  </si>
  <si>
    <t>Mettre des lasagnes dans le four.</t>
  </si>
  <si>
    <t>réchauffer un plat au micro onde.</t>
  </si>
  <si>
    <t>boire un verre de sirop.</t>
  </si>
  <si>
    <t>prende une tasse de café au petit déjeûner.</t>
  </si>
  <si>
    <t>Germaine met un pot d'eau sur la table pour préparer un sirop.</t>
  </si>
  <si>
    <t>Une assiette de pâtes fraîches.</t>
  </si>
  <si>
    <t>Une fourchette pour la fondue chinoise ou pour la fondue au fromage.</t>
  </si>
  <si>
    <t>Remuer le café avec la cuillère à café</t>
  </si>
  <si>
    <t>Faire cuire des carottes dans la casserole.</t>
  </si>
  <si>
    <t>Il y a un robinet sur l'évier qui permet de mettre de l'eau.</t>
  </si>
  <si>
    <t>Ouvrir le robinet.</t>
  </si>
  <si>
    <t>Le repas est servi sur la table.</t>
  </si>
  <si>
    <t>Le buffet de la cuisine.</t>
  </si>
  <si>
    <t>On ne peut pas mettre tous les habits au sèche-linge.</t>
  </si>
  <si>
    <t>On repasse les chemises, les pantalons mais pas les bas ou les slips.</t>
  </si>
  <si>
    <t>La famille regarde la télé dans le salon.</t>
  </si>
  <si>
    <t>Grand-père lit dans son fauteuil.</t>
  </si>
  <si>
    <t>un meuble de télévision.</t>
  </si>
  <si>
    <t>Il regarde les informations à la télévision.</t>
  </si>
  <si>
    <t>Il est 10 heure du matin.</t>
  </si>
  <si>
    <t>Les jours de la semaine sont lundi, mardi, mercredi, jeudi, vendredi, samedi et dimanche.</t>
  </si>
  <si>
    <t>Les mois de l'année sont janvier, février, mars, avril, mai, juin, juillet, août, septembre, octobre, novembre et décembre.</t>
  </si>
  <si>
    <t>On compte son âge en années.</t>
  </si>
  <si>
    <t>J'ai faim, mon ventre gargouille.</t>
  </si>
  <si>
    <t>Son cœur bat très fort.</t>
  </si>
  <si>
    <t>Elle a mal à la tête.</t>
  </si>
  <si>
    <t>Elle a les cheveux longs et noirs.</t>
  </si>
  <si>
    <t>Elle a les yeux bleus.</t>
  </si>
  <si>
    <t>Son nez est rouge à cause du froid.</t>
  </si>
  <si>
    <t>Ouvre la bouche chez le dentiste.</t>
  </si>
  <si>
    <t>Il faut se brosser les dents deux fois par jour.</t>
  </si>
  <si>
    <t>Il porte une boucle d'oreille.</t>
  </si>
  <si>
    <t>une casquette ou un chapeau.</t>
  </si>
  <si>
    <t>une ceinture en cuir.</t>
  </si>
  <si>
    <t>Il y a 3 pistons sur un cornet. Les euphoniums ou les basses en ont 4.</t>
  </si>
  <si>
    <t>La coulisse d'accord permet de régler la justesse des notes.</t>
  </si>
  <si>
    <t>Mettre de l'huile sur les pistons.</t>
  </si>
  <si>
    <t>L'uniforme avec la casquette.</t>
  </si>
  <si>
    <t>On ne peut pas laver le costume de la fanfare à la machine à laver.</t>
  </si>
  <si>
    <t>La vache broute dans le pré.</t>
  </si>
  <si>
    <t>Le cochon se roule dans la boue.</t>
  </si>
  <si>
    <t>La poule est la femelle du coq.</t>
  </si>
  <si>
    <t>La chèvre de Monsieur Seguin regarde la montagne.</t>
  </si>
  <si>
    <t>Elle fait du cheval chaque dimanche.</t>
  </si>
  <si>
    <t>Le lapin mange des carottes.</t>
  </si>
  <si>
    <t>Le chat chasse la souris.</t>
  </si>
  <si>
    <t>J'ai aperçu un loup en me promenant.</t>
  </si>
  <si>
    <t>J'ai vu un chevreuil en me promenant vers Zamintaz</t>
  </si>
  <si>
    <t>En dessous du village, il y a souvent des biches qui traversent la route.</t>
  </si>
  <si>
    <t>Un cert a heurté ma voiture et occasionné de gros dégâts.</t>
  </si>
  <si>
    <t>En me promenant dans la région de Lodze, j'ai aperçu un magnifique bouquetin.</t>
  </si>
  <si>
    <t>Il y a beaucoup de poissons dans cette rivière.</t>
  </si>
  <si>
    <t>Le serpent glisse sur le sol.</t>
  </si>
  <si>
    <t>L'éléphant a une très bonne mémoire.</t>
  </si>
  <si>
    <t>Le lion rugit dans la savane.</t>
  </si>
  <si>
    <t>Passe-moi le sel, s'il te plaît.</t>
  </si>
  <si>
    <t>On met du poivre dans la fondue.</t>
  </si>
  <si>
    <t>Germaine met de l'arôme Maggy dans la sauce à salade.</t>
  </si>
  <si>
    <t>Je fais du poulet au curry.</t>
  </si>
  <si>
    <t>Ma carte de débit ne marche plus.</t>
  </si>
  <si>
    <t>L'avion arrive à l'aéroport à 18h.</t>
  </si>
  <si>
    <t>Le Louvre est le musée le plus visité au monde.</t>
  </si>
  <si>
    <t>Une bière Heineken ou une bière valaisanne qu'on peut mélanger avec de la limonade ou pas.</t>
  </si>
  <si>
    <t>Le gamay, le pinot, le cornalin et le merlot sont des cépages de vins rouge.</t>
  </si>
  <si>
    <t>Le fendant, le païen, la petite arvine, le johannisberg sont des cépages de vins blancs</t>
  </si>
  <si>
    <t>Une suze henniez à boire en fin de journée au Festival.</t>
  </si>
  <si>
    <t>J'aimerais boire de l'eau minérale.</t>
  </si>
  <si>
    <t>Je prends un henniez cassis s'il te plaît.</t>
  </si>
  <si>
    <t>La marque Pepita propose un grapefruit que l'on trouve à la Migros.</t>
  </si>
  <si>
    <t>On dit aussi des sneakers.</t>
  </si>
  <si>
    <t>Je porte des botillons l'hiver pour avoir chaud aux pieds.</t>
  </si>
  <si>
    <t>Elle ne mange pas de viande.</t>
  </si>
  <si>
    <t>Elle prépare un gâteau pour son anniversaire.</t>
  </si>
  <si>
    <t>Ils passent leurs vacances à la mer.</t>
  </si>
  <si>
    <t>Les enfants pêchent dans la rivière.</t>
  </si>
  <si>
    <t>De gros rochers sont tombés sur la route de Derborence cette année.</t>
  </si>
  <si>
    <t>Le ciel est bleu aujourd'hui.</t>
  </si>
  <si>
    <t>Il fait froid, allume le feu.</t>
  </si>
  <si>
    <t>Le soleil se lève à l'est et se couche à l'ouest.</t>
  </si>
  <si>
    <t>Bois de l'eau, tu as soif. Une chute d'eau</t>
  </si>
  <si>
    <t>Un incendie a ravagé la forêt.</t>
  </si>
  <si>
    <t>Elle est en colère contre son frère.</t>
  </si>
  <si>
    <t>Il a peur du noir.</t>
  </si>
  <si>
    <t>Il supporte mal la solitude.</t>
  </si>
  <si>
    <t>Sa tristesse est visible sur son visage.</t>
  </si>
  <si>
    <t>Elle a confiance en ses enfants.</t>
  </si>
  <si>
    <t>Elle est fière de ses enfants.</t>
  </si>
  <si>
    <t>Elle exprime sa gratitude à ses amis.</t>
  </si>
  <si>
    <t>Elle pleure de joie à la naissance de son bébé.</t>
  </si>
  <si>
    <t>Quelle surprise de vous voir ici !</t>
  </si>
  <si>
    <t>L'amour rend la vie plus belle.</t>
  </si>
  <si>
    <t>Le bonheur est dans les petites choses.</t>
  </si>
  <si>
    <t>Il faut du courage pour changer de vie.</t>
  </si>
  <si>
    <t>Je rêve de faire un solo sur la lune</t>
  </si>
  <si>
    <t>Je rêve de faire le tour du monde.</t>
  </si>
  <si>
    <t>Il garde espoir malgré les difficultés.</t>
  </si>
  <si>
    <t>Il gagne bien sa vie.</t>
  </si>
  <si>
    <t>Son salaire a augmenté cette année.</t>
  </si>
  <si>
    <t>Mange un fruit après le repas.</t>
  </si>
  <si>
    <t>La batterie donne le rythme à la musique.</t>
  </si>
  <si>
    <t>Mathéo joue de la grosse caisse à la fanfare.</t>
  </si>
  <si>
    <t>Le cymbaliste joue des cymbales.</t>
  </si>
  <si>
    <t>Il y a 4 timbales que l'on joue avec des baguettes.</t>
  </si>
  <si>
    <t>Le xylphone a un clavier avec des touches en bois.</t>
  </si>
  <si>
    <t>Le marimba produit des sons graves, le xylphone des sons aigus.</t>
  </si>
  <si>
    <t>Mathilde joue du cornet. Elle est notre cornet principale.</t>
  </si>
  <si>
    <t>Emilie joue du bugle, elle est notre bugle.</t>
  </si>
  <si>
    <t>David joue de l'alto. C'est notre alto principal.</t>
  </si>
  <si>
    <t>Emma joue du baryton. C'est notre 1er baryton</t>
  </si>
  <si>
    <t>Patrick Roh joue de l'euphonium. C'est notre euphonium principal</t>
  </si>
  <si>
    <t>Jacques-Henri joue de la basse Sib et Simon Dessimoz de la basse Mib</t>
  </si>
  <si>
    <t>Julien, mon fils, joue du trombone. C'est notre trombone principal</t>
  </si>
  <si>
    <t>Il faut manger des légumes tous les jours.</t>
  </si>
  <si>
    <t>Les lapins adorent les carottes.</t>
  </si>
  <si>
    <t>On utilise des tomates pour faire du ketchup.</t>
  </si>
  <si>
    <t>Je mange des choux-fleur gratiné.</t>
  </si>
  <si>
    <t>Germaine fait des poireaux en sauce blanche.</t>
  </si>
  <si>
    <t>Les courgettes poussent dans le jardin.</t>
  </si>
  <si>
    <t>Paris est la plus grande ville de France.</t>
  </si>
  <si>
    <t>Il montre la lune du doigt.</t>
  </si>
  <si>
    <t>Donne-moi la main.</t>
  </si>
  <si>
    <t>Il porte sa fille dans ses bras.</t>
  </si>
  <si>
    <t>Elle court très vite avec ses longues jambes.</t>
  </si>
  <si>
    <t>Il se tient la cuisse avec la main.</t>
  </si>
  <si>
    <t>J'ai mal au pied gauche.</t>
  </si>
  <si>
    <t>Le médecin prescrit un traitement.</t>
  </si>
  <si>
    <t>Le policier dirige la circulation.</t>
  </si>
  <si>
    <t>Mon professeur de français est très sympa.</t>
  </si>
  <si>
    <t>Appeler quelqu'un au téléphone</t>
  </si>
  <si>
    <t>On est content quand on rit, on est triste quand on pleure.</t>
  </si>
  <si>
    <t>Une pierre est dure et une éponge est molle.</t>
  </si>
  <si>
    <t>Facile = simple | difficile = compliqué</t>
  </si>
  <si>
    <t>Le sommet du Haut-de-Cry est haut et le lit de la Lizerne est bas.</t>
  </si>
  <si>
    <t>L'aigle vole très haut dans le ciel.</t>
  </si>
  <si>
    <t>A Derborence, on peut observer un magnifique gypaete barbu.</t>
  </si>
  <si>
    <t>Il y a beaucoup de pigeons en ville de Sion.</t>
  </si>
  <si>
    <t>Une pizza quatre saisons, une pizza au jambon</t>
  </si>
  <si>
    <t>lasagnes à la bolognaise</t>
  </si>
  <si>
    <t>spaghetti bolognaise, spaghetti carbonara</t>
  </si>
  <si>
    <t>Elle se cuisine un œuf au plat.</t>
  </si>
  <si>
    <t>Je prépare une omelette avec des pommes de terre.</t>
  </si>
  <si>
    <t>Il mange une soupe chaude en hiver.</t>
  </si>
  <si>
    <t>Des filets de perche avec des frites et une salade.</t>
  </si>
  <si>
    <t>Un filet de truite avec des pommes de terre.</t>
  </si>
  <si>
    <t>Il est mon meilleur ami depuis l'enfance.</t>
  </si>
  <si>
    <t>Elle achète ses légumes au marché.</t>
  </si>
  <si>
    <t>Ils dînent au restaurant chaque vendredi.</t>
  </si>
  <si>
    <t>Ils ont réservé une chambre à l'hôtel.</t>
  </si>
  <si>
    <t>Elle prend une douche dans la salle de bain.</t>
  </si>
  <si>
    <t>Le lavabo à un robinet pour mettre de l'eau et un bouchon pour ne pas laisser l'eau s'écouler.</t>
  </si>
  <si>
    <t>Elle se lave les mains avec du savon.</t>
  </si>
  <si>
    <t>Elle se regarde dans le miroir.</t>
  </si>
  <si>
    <t>On tire la chasse d'eau pour nettoyer le WC et on baisse le couvercle (la lunette).</t>
  </si>
  <si>
    <t>Elle prend une douche chaque matin ou chaque soir.</t>
  </si>
  <si>
    <t>Il prend un bain dans la baignoire.</t>
  </si>
  <si>
    <t>Se raser le visage chaque matin.</t>
  </si>
  <si>
    <t>Du dentifrice Elmex ou Colgate.</t>
  </si>
  <si>
    <t>Mettre du dentifrice et se laver les dents 3 fois par jour.</t>
  </si>
  <si>
    <t>Il offre des fleurs à sa mère.</t>
  </si>
  <si>
    <t>Elle arrose ses plantes chaque matin.</t>
  </si>
  <si>
    <t>Elle va à l'école à vélo.</t>
  </si>
  <si>
    <t>Il porte un casque sur sa moto.</t>
  </si>
  <si>
    <t>Il prend le bus pour aller au travail.</t>
  </si>
  <si>
    <t>Le camion transporte de la terre à la décharge.</t>
  </si>
  <si>
    <t>La route est glissante en hiver.</t>
  </si>
  <si>
    <t>Le feu de circulation est passé au rouge.</t>
  </si>
  <si>
    <t>Il prend l'avion pour New York.</t>
  </si>
  <si>
    <t>L'hélicoptère sulfate les vignes au-dessus de Sensine.</t>
  </si>
  <si>
    <t>Ils font une promenade en bateau.</t>
  </si>
  <si>
    <t>Un rôti de boeuf avec un gratin de pomme de terre</t>
  </si>
  <si>
    <t>Un steack de boeuf, une entrecôte de boeuf, du filet de boeuf, du rôti de boeuf, du ragoût de boeuf.</t>
  </si>
  <si>
    <t>J'aimerais un steak frites s'il vous plaît</t>
  </si>
  <si>
    <t>Une côtelette de porc, un filet de porc ou une tranche de porc</t>
  </si>
  <si>
    <t>Un filet de porc avec des champignons et un gratin de pomme de terre</t>
  </si>
  <si>
    <t>Un rôti de porc avec des pommes de terre.</t>
  </si>
  <si>
    <t>Une côtelette de porc avec des frites et des légumes</t>
  </si>
  <si>
    <t>Un blanc de poulet, une cuisse de poulet ou des chicken.</t>
  </si>
  <si>
    <t>on dit aussi escalope de poulet ou suprême de poulet.</t>
  </si>
  <si>
    <t>On fait griller les cuisses de poulet dans une poële.</t>
  </si>
  <si>
    <t>Du poulet au curry.</t>
  </si>
  <si>
    <t>Mon numéro de plaque VS180867. Je prends l'autoroute avec ma voiture</t>
  </si>
  <si>
    <t>La pluie tombe sur le pare-brise. J'active les essuie-glace pour bien voir la route.</t>
  </si>
  <si>
    <t>On parle de balais d'essuie glace.</t>
  </si>
  <si>
    <t>Lever le capot pour mettre de l'huile.</t>
  </si>
  <si>
    <t>L'aile avant droite ou l'aile arrière gauche.</t>
  </si>
  <si>
    <t>Le pare-chocs avant a amorti le choc.</t>
  </si>
  <si>
    <t>la roue d'une voiture est formée d'une jante et d'un pneu.</t>
  </si>
  <si>
    <t>Des pneus quatre saisons pour ma Dacia Duster.</t>
  </si>
  <si>
    <t>Un siège en tissu ou un siège en cuir.</t>
  </si>
  <si>
    <t>Tourner le volant à droite ou à gauche</t>
  </si>
  <si>
    <t>Le témoin d'huile s'allume sur le tableau de bord</t>
  </si>
  <si>
    <t>Je mets le cornet dans le coffre.</t>
  </si>
  <si>
    <t>Mathilde joue du cornet, Julien du Trombone, Emma du baryton et Loïc de xylophone.</t>
  </si>
  <si>
    <t>Mathilde travaille à Riddes dans un cabinet vétérinaire.</t>
  </si>
  <si>
    <t>Julien travaille à Martigny chez Hydro Exploitation.</t>
  </si>
  <si>
    <t>Emma enseigne dans les écoles de Conthey.</t>
  </si>
  <si>
    <t>Loïc travaille à Martigny chez Hydro Exploitation.</t>
  </si>
  <si>
    <t>on nettoie également les vitres de la voiture.</t>
  </si>
  <si>
    <t>passer l'aspirateur.</t>
  </si>
  <si>
    <t>je trempe la panosse dans le bidon et je lave le carrelage.</t>
  </si>
  <si>
    <t>je panosse la cuisine et le salon.</t>
  </si>
  <si>
    <t>Sa chambre est peinte en bleu.</t>
  </si>
  <si>
    <t>Je vais au lit à 22h.</t>
  </si>
  <si>
    <t>un matelas bico-flex pour un sommeil sein et profond.</t>
  </si>
  <si>
    <t>Elle a quatre oreillers sur son lit.</t>
  </si>
  <si>
    <t>Il fait froid, prends le duvet !</t>
  </si>
  <si>
    <t>Son réveil sonne à 7h.</t>
  </si>
  <si>
    <t>mettre la chemise sur un ceintre et la pendre dans la penderie de l'armoire.</t>
  </si>
  <si>
    <t>Repasser les habits et les mettre dans la corbeille à linge avant de les ranger.</t>
  </si>
  <si>
    <t>un panier à linge pour les sous-vêtements et un panier à linge pour les pulls.</t>
  </si>
  <si>
    <t>je m'installe au bureau pour payer les factures.</t>
  </si>
  <si>
    <t>je range les factures dans le classeur.</t>
  </si>
  <si>
    <t>l'ordinateur a un écran et un clavier</t>
  </si>
  <si>
    <t>Faire le plein d'essence.</t>
  </si>
  <si>
    <t>Pour contrôler le niveau d'huile, il faut retirer la jauge, l'essuyer et la remettre en place avant de la retirer pour contrôler</t>
  </si>
  <si>
    <t>Contôler le niveau d'huile régulièrement et ajouter de l'huile si le témoin lumineux s'allume sur le tableau de bord.</t>
  </si>
  <si>
    <t>Du liquide lave-glace pour l'été ou pour l'hiver.</t>
  </si>
  <si>
    <t>un slip en coton.</t>
  </si>
  <si>
    <t>des bas de sport ou des chaussettes de ville.</t>
  </si>
  <si>
    <t>Le pantalon d'un costume, d'un uniforme ou un pantalon décontracté.</t>
  </si>
  <si>
    <t>on est moins bien habillé avec un jeans qu'avec un pantalon.</t>
  </si>
  <si>
    <t>On porte un short en été.</t>
  </si>
  <si>
    <t>un autre mot pour le juste-au-corps est le marcel.</t>
  </si>
  <si>
    <t>un t-shirt en coton.</t>
  </si>
  <si>
    <t>La chemise de la fanfare.</t>
  </si>
  <si>
    <t>On est mieux habillé avec un polo qu'avec un t-shirt.</t>
  </si>
  <si>
    <t>un pull en laine pour avoir bien chaud. On dit aussi pullover</t>
  </si>
  <si>
    <t>Une veste pour la randonnée ou une veste de ski.</t>
  </si>
  <si>
    <t>Il achète du pain à la boulangerie.</t>
  </si>
  <si>
    <t>Pour souper, je mange du gendarme, du fromage et du pain.</t>
  </si>
  <si>
    <t>je mange un bout de saucisse avec du pain.</t>
  </si>
  <si>
    <t>Il boit un café le matin.</t>
  </si>
  <si>
    <t>Jérémie Daven, le fils de Charly-Marcel, fait du fromage.</t>
  </si>
  <si>
    <t>Leur maison a un grand jardin.</t>
  </si>
  <si>
    <t>Mon chalet est en bois de mélèze.</t>
  </si>
  <si>
    <t>Mettre la voiture dans le garage et baisser la porte.</t>
  </si>
  <si>
    <t>Ferme la porte, il fait froid.</t>
  </si>
  <si>
    <t>Elle regarde par la fenêtre.</t>
  </si>
  <si>
    <t>Montez l'escalier jusqu'au deuxième étage.</t>
  </si>
  <si>
    <t>changer l'ampoule de la lampe.</t>
  </si>
  <si>
    <t>J'appuie sur l'interupteur pour allumer la lampe. Il y a suffisamment de lumière et la pièce est éclairée.</t>
  </si>
  <si>
    <t>Le fusible s'est déclenché. Le remonter pour mettre la lumière.</t>
  </si>
  <si>
    <t>Il y a une fissure dans le mur.</t>
  </si>
  <si>
    <t>Le toit est couvert de tuiles rouges.</t>
  </si>
  <si>
    <t>un chéneau en cuivre.</t>
  </si>
  <si>
    <t>J'attends le car postal. J'attends que la banqe Migros ouvre.</t>
  </si>
  <si>
    <t>aussi = également</t>
  </si>
  <si>
    <t>Changer les draps de lit, changer les pneus.</t>
  </si>
  <si>
    <t>Je choisis d'acheter une Dacia Duster. Je choisis de boire un Coca Cola. Je choisis la pizza que je mange le dimanche.</t>
  </si>
  <si>
    <t>Chuchoter à l'oreille de son ami.</t>
  </si>
  <si>
    <t>Le directeur Damien Lagger donne le départ pour que les musiciens commencent à jouer ensemble.</t>
  </si>
  <si>
    <t>Comparer les prix des instruments pour savoir lequel est le plus élevé. Comparer des pommes et des poires.</t>
  </si>
  <si>
    <t>Le couteau, le ciseau, la tronçonneuse ou le sécateur (pour couper les raisins) sont coupants.</t>
  </si>
  <si>
    <t>Température élevée = il fait chaud</t>
  </si>
  <si>
    <t>Un chemin très élevé = un chemin pentu</t>
  </si>
  <si>
    <t>On ferme la porte, on ferme la fenêtre, on ferme le coffre de la voiture. On ferme une boîte et on ferme le robinet d'eau.</t>
  </si>
  <si>
    <t>Une chose c'est la  même chose qu'un objet.</t>
  </si>
  <si>
    <t>Une collection de montres, une collection de voitures</t>
  </si>
  <si>
    <t>Une pièce de monnaie a 2 faces</t>
  </si>
  <si>
    <t>Un dé a 6 faces</t>
  </si>
  <si>
    <t>La fin de la route</t>
  </si>
  <si>
    <t>La fin du concert.</t>
  </si>
  <si>
    <t>Mets la lumière pour qu'on voit clair. Allume la lampe pour avoir de la lumière.</t>
  </si>
  <si>
    <t>C'est le contraire de la confiance.</t>
  </si>
  <si>
    <t>On dit aussi</t>
  </si>
  <si>
    <t>une paroi rocheuse</t>
  </si>
  <si>
    <t>Friandise = Sucrerie</t>
  </si>
  <si>
    <t>C'est le contraire du mensonge.</t>
  </si>
  <si>
    <t>Quand on était petit, on allait à la vigne pour vendanger les raisins.</t>
  </si>
  <si>
    <t>La poignée</t>
  </si>
  <si>
    <t>Un robot ménager est un appareil électroménager.</t>
  </si>
  <si>
    <t>Je suis d'avis de faire répétition.</t>
  </si>
  <si>
    <t>Le couvercle de la casserole</t>
  </si>
  <si>
    <t>Le couvercle du bocal de cornichons</t>
  </si>
  <si>
    <t>Prendre un dessert</t>
  </si>
  <si>
    <t>Manger un fruit en dessert</t>
  </si>
  <si>
    <t>Un disque vinyl pour écouter de la musique.</t>
  </si>
  <si>
    <t>Mon logement est un chalet</t>
  </si>
  <si>
    <t>J'ai aussi un appartement</t>
  </si>
  <si>
    <t>C'est le contraire de la vérité.</t>
  </si>
  <si>
    <t>Le numéro de téléphone</t>
  </si>
  <si>
    <t>La Route de Derborence 18a</t>
  </si>
  <si>
    <t>Je partage mon sandwich avec toi.</t>
  </si>
  <si>
    <t>Un passage piéton pour traverser la route</t>
  </si>
  <si>
    <t>Un passage sous voie pour sortir du train.</t>
  </si>
  <si>
    <t>Le secteur d'activité de Bativa c'est la construction.</t>
  </si>
  <si>
    <t>Un tube néon pour éclairer</t>
  </si>
  <si>
    <t>un tube de dentifrice</t>
  </si>
  <si>
    <t>Donner un exemple</t>
  </si>
  <si>
    <t>Image = photo</t>
  </si>
  <si>
    <t>Je lis le journal sur l'Ipad (tablette). Je lis un livre.</t>
  </si>
  <si>
    <t>Un vélo</t>
  </si>
  <si>
    <t>une table</t>
  </si>
  <si>
    <t>un téléphone</t>
  </si>
  <si>
    <t>un ordinateur</t>
  </si>
  <si>
    <t>des clés</t>
  </si>
  <si>
    <t>une tondeuse</t>
  </si>
  <si>
    <t>Etre à l'ombre d'un arbre</t>
  </si>
  <si>
    <t>On voit mon ombre sur le trottoir.</t>
  </si>
  <si>
    <t>Monter un escalier. Monter le chemin qui conduit à Lodze. Monter sur la montagne.</t>
  </si>
  <si>
    <t>Poser un verre sur la table</t>
  </si>
  <si>
    <t>poser le téléphone sur le meuble</t>
  </si>
  <si>
    <t>poser la parquet</t>
  </si>
  <si>
    <t>poser du carrelage</t>
  </si>
  <si>
    <t>Je prends les clés de la voiture</t>
  </si>
  <si>
    <t>Je prends la voiture</t>
  </si>
  <si>
    <t>Je prends un Coca Cola.</t>
  </si>
  <si>
    <t>Ranger les habits dans l'armoire</t>
  </si>
  <si>
    <t>ranger les chaussures</t>
  </si>
  <si>
    <t>J'amène ma Dacia au Garage du Nord pour la réparer.</t>
  </si>
  <si>
    <t>On sert la main d'une personne. Un enfant sert son doudou dans ses bras. On peut également serrer un boulon avec une clé.</t>
  </si>
  <si>
    <t>Une fenêtre a des vitres</t>
  </si>
  <si>
    <t>Elle est vitrée</t>
  </si>
  <si>
    <t>Un Yogurt mocha pour déjeûner.</t>
  </si>
  <si>
    <t>Bonjour, j'aimerai un big mac avec des frites (medium) et un coca cola (medium).</t>
  </si>
  <si>
    <t>La gamme de do majeur ou la gamme de si bémol majeur. La gamme de ré mineur.</t>
  </si>
  <si>
    <t>Le directeur utilise un métronome pour vérifer que la fanfare joue le morceau dans le rythme correct.</t>
  </si>
  <si>
    <t>Etienne fait une photo de la fanfare avec son appareil photo.</t>
  </si>
  <si>
    <t>J'ai été piqué par un moustique et j'ai un gros bouton.</t>
  </si>
  <si>
    <t>Quitter la ville de Sion pour la ville de Martigny</t>
  </si>
  <si>
    <t>Je t'interdis de prendre la voiture.</t>
  </si>
  <si>
    <t>Je parviens à joindre Olivier au téléphone.</t>
  </si>
  <si>
    <t>Le médecin écoute ma poitrine.</t>
  </si>
  <si>
    <t>avoir mal à la poitrine</t>
  </si>
  <si>
    <t>Il se met torse nu pour se laver.</t>
  </si>
  <si>
    <t>se mettre torse nu</t>
  </si>
  <si>
    <t>Je porte le sac sur mon épaule.</t>
  </si>
  <si>
    <t>hausser les épaules</t>
  </si>
  <si>
    <t>Grand-maman me fait la bise sur la joue.</t>
  </si>
  <si>
    <t>faire la bise sur la joue</t>
  </si>
  <si>
    <t>Je me suis mordu la langue.</t>
  </si>
  <si>
    <t>se mordre la langue</t>
  </si>
  <si>
    <t>En hiver, j'ai les lèvres sèches.</t>
  </si>
  <si>
    <t>Je mets l'écharpe autour du cou.</t>
  </si>
  <si>
    <t>autour du cou</t>
  </si>
  <si>
    <t>Il a de la fièvre, son front est chaud.</t>
  </si>
  <si>
    <t>Je pose le coude sur la table.</t>
  </si>
  <si>
    <t>les coudes sur la table</t>
  </si>
  <si>
    <t>L'enfant est tombé sur le genou.</t>
  </si>
  <si>
    <t>se mettre à genoux</t>
  </si>
  <si>
    <t>Le soleil brûle la peau.</t>
  </si>
  <si>
    <t>avoir la peau douce</t>
  </si>
  <si>
    <t>Il parle d'une voix douce.</t>
  </si>
  <si>
    <t>parler à voix basse</t>
  </si>
  <si>
    <t>Le cerveau commande tout le corps.</t>
  </si>
  <si>
    <t>Après le sport, j'ai mal aux muscles.</t>
  </si>
  <si>
    <t>Je me suis coupé, il y a du sang.</t>
  </si>
  <si>
    <t>une prise de sang</t>
  </si>
  <si>
    <t>Le squelette tient le corps debout.</t>
  </si>
  <si>
    <t>J'ai mal à l'estomac.</t>
  </si>
  <si>
    <t>avoir mal à l'estomac</t>
  </si>
  <si>
    <t>Je me coupe les ongles.</t>
  </si>
  <si>
    <t>se couper les ongles</t>
  </si>
  <si>
    <t>Le chien ronge un os.</t>
  </si>
  <si>
    <t>Je mets un bonnet quand il neige.</t>
  </si>
  <si>
    <t>mettre un bonnet</t>
  </si>
  <si>
    <t>L'hiver, je mets des gants.</t>
  </si>
  <si>
    <t>mettre des gants</t>
  </si>
  <si>
    <t>L'écharpe tient le cou au chaud.</t>
  </si>
  <si>
    <t>mettre une écharpe</t>
  </si>
  <si>
    <t>Elle porte une jupe bleue.</t>
  </si>
  <si>
    <t>porter une jupe</t>
  </si>
  <si>
    <t>J'ouvre une bouteille d'eau.</t>
  </si>
  <si>
    <t>ouvrir une bouteille</t>
  </si>
  <si>
    <t>Après le repas, on fait la vaisselle.</t>
  </si>
  <si>
    <t>faire la vaisselle</t>
  </si>
  <si>
    <t>Je bois un thé chaud le matin.</t>
  </si>
  <si>
    <t>boire un thé</t>
  </si>
  <si>
    <t>Je mange une pomme à midi.</t>
  </si>
  <si>
    <t>croquer une pomme</t>
  </si>
  <si>
    <t>La poire est mûre, elle est très sucrée.</t>
  </si>
  <si>
    <t>On fait une tarte aux pruneaux.</t>
  </si>
  <si>
    <t>une tarte aux pruneaux</t>
  </si>
  <si>
    <t>Les cerises sont rouges en juin.</t>
  </si>
  <si>
    <t>Les abricots du Valais sont sucrés.</t>
  </si>
  <si>
    <t>On cueille les fraises au jardin.</t>
  </si>
  <si>
    <t>cueillir des fraises</t>
  </si>
  <si>
    <t>Je mets des framboises sur le gâteau.</t>
  </si>
  <si>
    <t>J'épluche la banane avant de la manger.</t>
  </si>
  <si>
    <t>éplucher une banane</t>
  </si>
  <si>
    <t>Je presse une orange pour faire du jus.</t>
  </si>
  <si>
    <t>presser une orange</t>
  </si>
  <si>
    <t>La mandarine s'épluche facilement.</t>
  </si>
  <si>
    <t>On coupe l'avocat en deux.</t>
  </si>
  <si>
    <t>On casse les noix avant de les manger.</t>
  </si>
  <si>
    <t>casser une noix</t>
  </si>
  <si>
    <t>La pêche a la peau douce.</t>
  </si>
  <si>
    <t>Le raisin pousse dans la vigne.</t>
  </si>
  <si>
    <t>Je fais cuire le brocoli à l'eau.</t>
  </si>
  <si>
    <t>Les asperges se mangent au printemps.</t>
  </si>
  <si>
    <t>Je lave la salade avant de la servir.</t>
  </si>
  <si>
    <t>laver la salade</t>
  </si>
  <si>
    <t>La betterave tache les doigts.</t>
  </si>
  <si>
    <t>Les haricots cuisent dix minutes.</t>
  </si>
  <si>
    <t>L'oignon fait pleurer quand on le coupe.</t>
  </si>
  <si>
    <t>éplucher un oignon</t>
  </si>
  <si>
    <t>Les cornettes cuisent en huit minutes.</t>
  </si>
  <si>
    <t>Je fais des pennes à la sauce tomate.</t>
  </si>
  <si>
    <t>La polenta se mange bien chaude.</t>
  </si>
  <si>
    <t>On fait une fondue quand il fait froid.</t>
  </si>
  <si>
    <t>faire une fondue</t>
  </si>
  <si>
    <t>On invite les amis pour une raclette.</t>
  </si>
  <si>
    <t>faire une raclette</t>
  </si>
  <si>
    <t>Le caquelon chauffe sur le réchaud.</t>
  </si>
  <si>
    <t>Je passe la serpillière sur le sol.</t>
  </si>
  <si>
    <t>passer la serpillière</t>
  </si>
  <si>
    <t>J'essuie la table avec un chiffon.</t>
  </si>
  <si>
    <t>un coup de chiffon</t>
  </si>
  <si>
    <t>L'éponge sert à laver la vaisselle.</t>
  </si>
  <si>
    <t>un coup d'éponge</t>
  </si>
  <si>
    <t>Je mets de la lessive dans la machine.</t>
  </si>
  <si>
    <t>faire la lessive</t>
  </si>
  <si>
    <t>J'étends le linge dehors quand il fait beau.</t>
  </si>
  <si>
    <t>étendre le linge</t>
  </si>
  <si>
    <t>L'entonnoir évite de renverser.</t>
  </si>
  <si>
    <t>Je ferme la porte à clé.</t>
  </si>
  <si>
    <t>fermer à clé</t>
  </si>
  <si>
    <t>Mon porte-monnaie est dans ma poche.</t>
  </si>
  <si>
    <t>J'ouvre la portière pour monter.</t>
  </si>
  <si>
    <t>ouvrir la portière</t>
  </si>
  <si>
    <t>Je mets le clignotant avant de tourner.</t>
  </si>
  <si>
    <t>mettre le clignotant</t>
  </si>
  <si>
    <t>Il donne un coup de klaxon.</t>
  </si>
  <si>
    <t>un coup de klaxon</t>
  </si>
  <si>
    <t>La nuit, j'allume les phares.</t>
  </si>
  <si>
    <t>allumer les phares</t>
  </si>
  <si>
    <t>Je regarde dans le rétroviseur.</t>
  </si>
  <si>
    <t>Il roule à grande vitesse.</t>
  </si>
  <si>
    <t>à toute vitesse</t>
  </si>
  <si>
    <t>Je paie avec une pièce de deux francs.</t>
  </si>
  <si>
    <t>Je tape mon code au bancomat.</t>
  </si>
  <si>
    <t>taper son code</t>
  </si>
  <si>
    <t>J'ai de l'argent sur mon compte.</t>
  </si>
  <si>
    <t>Je vais au guichet de la poste.</t>
  </si>
  <si>
    <t>aller au guichet</t>
  </si>
  <si>
    <t>Je fais un retrait de cent francs.</t>
  </si>
  <si>
    <t>faire un retrait</t>
  </si>
  <si>
    <t>Je regarde le solde de mon compte.</t>
  </si>
  <si>
    <t>Je fais un virement pour payer la facture.</t>
  </si>
  <si>
    <t>faire un virement</t>
  </si>
  <si>
    <t>Nous remboursons le prêt chaque mois.</t>
  </si>
  <si>
    <t>Nous allons voir un spectacle ce soir.</t>
  </si>
  <si>
    <t>aller au spectacle</t>
  </si>
  <si>
    <t>Il accepte de venir avec nous.</t>
  </si>
  <si>
    <t>accepter une invitation</t>
  </si>
  <si>
    <t>J'achète le pain à la boulangerie.</t>
  </si>
  <si>
    <t>acheter du pain</t>
  </si>
  <si>
    <t>Je l'aide à porter les sacs.</t>
  </si>
  <si>
    <t>aider à porter</t>
  </si>
  <si>
    <t>J'aime beaucoup ma famille.</t>
  </si>
  <si>
    <t>aimer sa famille</t>
  </si>
  <si>
    <t>Demain, je vais au village.</t>
  </si>
  <si>
    <t>aller au travail</t>
  </si>
  <si>
    <t>Il annonce une bonne nouvelle.</t>
  </si>
  <si>
    <t>annoncer une nouvelle</t>
  </si>
  <si>
    <t>J'appelle ma fille au téléphone.</t>
  </si>
  <si>
    <t>appeler au téléphone</t>
  </si>
  <si>
    <t>L'enfant apprend à lire.</t>
  </si>
  <si>
    <t>apprendre à lire</t>
  </si>
  <si>
    <t>J'ai faim, il est midi.</t>
  </si>
  <si>
    <t>avoir faim</t>
  </si>
  <si>
    <t>Il avoue qu'il s'est trompé.</t>
  </si>
  <si>
    <t>avouer la vérité</t>
  </si>
  <si>
    <t>Je bois un café le matin.</t>
  </si>
  <si>
    <t>boire un café</t>
  </si>
  <si>
    <t>On cache le cadeau sous le lit.</t>
  </si>
  <si>
    <t>cacher un cadeau</t>
  </si>
  <si>
    <t>Attention, tu vas casser le verre.</t>
  </si>
  <si>
    <t>casser un verre</t>
  </si>
  <si>
    <t>Elle chante à la chorale.</t>
  </si>
  <si>
    <t>chanter une chanson</t>
  </si>
  <si>
    <t>Je cherche mes clés partout.</t>
  </si>
  <si>
    <t>chercher ses clés</t>
  </si>
  <si>
    <t>Je n'ai pas compris la question.</t>
  </si>
  <si>
    <t>comprendre la question</t>
  </si>
  <si>
    <t>L'enfant compte jusqu'à dix.</t>
  </si>
  <si>
    <t>compter jusqu'à dix</t>
  </si>
  <si>
    <t>Je connais bien ce chemin.</t>
  </si>
  <si>
    <t>connaître le chemin</t>
  </si>
  <si>
    <t>Le médecin me conseille du repos.</t>
  </si>
  <si>
    <t>conseiller du repos</t>
  </si>
  <si>
    <t>Je coupe le pain en tranches.</t>
  </si>
  <si>
    <t>couper le pain</t>
  </si>
  <si>
    <t>Le chien court dans le pré.</t>
  </si>
  <si>
    <t>courir vite</t>
  </si>
  <si>
    <t>Ne crie pas si fort !</t>
  </si>
  <si>
    <t>crier fort</t>
  </si>
  <si>
    <t>Je crois qu'il va pleuvoir.</t>
  </si>
  <si>
    <t>Les pâtes cuisent dix minutes.</t>
  </si>
  <si>
    <t>cuire les pâtes</t>
  </si>
  <si>
    <t>Ils dansent toute la soirée.</t>
  </si>
  <si>
    <t>danser une valse</t>
  </si>
  <si>
    <t>Nous décidons de partir demain.</t>
  </si>
  <si>
    <t>décider de partir</t>
  </si>
  <si>
    <t>Je demande l'heure à un passant.</t>
  </si>
  <si>
    <t>demander l'heure</t>
  </si>
  <si>
    <t>Je descends l'escalier doucement.</t>
  </si>
  <si>
    <t>descendre l'escalier</t>
  </si>
  <si>
    <t>Devine ce que j'ai apporté !</t>
  </si>
  <si>
    <t>deviner la réponse</t>
  </si>
  <si>
    <t>Il dit bonjour à tout le monde.</t>
  </si>
  <si>
    <t>dire bonjour</t>
  </si>
  <si>
    <t>Donne-moi la main pour traverser.</t>
  </si>
  <si>
    <t>donner la main</t>
  </si>
  <si>
    <t>J'ai bien dormi toute la nuit.</t>
  </si>
  <si>
    <t>dormir toute la nuit</t>
  </si>
  <si>
    <t>Je doute qu'il vienne aujourd'hui.</t>
  </si>
  <si>
    <t>J'écoute la radio en cuisinant.</t>
  </si>
  <si>
    <t>écouter la radio</t>
  </si>
  <si>
    <t>J'écris une lettre à ma sœur.</t>
  </si>
  <si>
    <t>écrire une lettre</t>
  </si>
  <si>
    <t>J'entends du bruit dehors.</t>
  </si>
  <si>
    <t>entendre du bruit</t>
  </si>
  <si>
    <t>Entre, la porte est ouverte.</t>
  </si>
  <si>
    <t>entrer dans la maison</t>
  </si>
  <si>
    <t>J'essaie le pantalon avant de l'acheter.</t>
  </si>
  <si>
    <t>essayer un pantalon</t>
  </si>
  <si>
    <t>Il m'explique le chemin.</t>
  </si>
  <si>
    <t>expliquer le chemin</t>
  </si>
  <si>
    <t>Je fais la cuisine ce soir.</t>
  </si>
  <si>
    <t>faire la cuisine</t>
  </si>
  <si>
    <t>On félicite le gagnant.</t>
  </si>
  <si>
    <t>féliciter le gagnant</t>
  </si>
  <si>
    <t>Finis ton assiette, s'il te plaît.</t>
  </si>
  <si>
    <t>finir son assiette</t>
  </si>
  <si>
    <t>Quelqu'un frappe à la porte.</t>
  </si>
  <si>
    <t>frapper à la porte</t>
  </si>
  <si>
    <t>Notre équipe a gagné la partie.</t>
  </si>
  <si>
    <t>gagner la partie</t>
  </si>
  <si>
    <t>Goûte la sauce, elle est bonne.</t>
  </si>
  <si>
    <t>goûter la sauce</t>
  </si>
  <si>
    <t>J'imagine déjà les vacances.</t>
  </si>
  <si>
    <t>Je jette le papier à la poubelle.</t>
  </si>
  <si>
    <t>jeter à la poubelle</t>
  </si>
  <si>
    <t>Les enfants jouent aux cartes.</t>
  </si>
  <si>
    <t>jouer aux cartes</t>
  </si>
  <si>
    <t>Il dépense son argent en habits.</t>
  </si>
  <si>
    <t>dépenser de l'argent</t>
  </si>
  <si>
    <t>Je me détends au soleil.</t>
  </si>
  <si>
    <t>se détendre un moment</t>
  </si>
  <si>
    <t>Il lance la balle au chien.</t>
  </si>
  <si>
    <t>lancer la balle</t>
  </si>
  <si>
    <t>Je me lave les mains avant de manger.</t>
  </si>
  <si>
    <t>se laver les mains</t>
  </si>
  <si>
    <t>Le médecin soigne les malades.</t>
  </si>
  <si>
    <t>soigner un malade</t>
  </si>
  <si>
    <t>Lève la main si tu veux parler.</t>
  </si>
  <si>
    <t>lever la main</t>
  </si>
  <si>
    <t>Nous mangeons à midi.</t>
  </si>
  <si>
    <t>manger une pomme</t>
  </si>
  <si>
    <t>Nous marchons dans la forêt.</t>
  </si>
  <si>
    <t>marcher dans la forêt</t>
  </si>
  <si>
    <t>Il ment pour ne pas être puni.</t>
  </si>
  <si>
    <t>Il montre la montagne du doigt.</t>
  </si>
  <si>
    <t>montrer du doigt</t>
  </si>
  <si>
    <t>En été, je nage dans le lac.</t>
  </si>
  <si>
    <t>nager dans le lac</t>
  </si>
  <si>
    <t>Je nettoie la cuisine après le repas.</t>
  </si>
  <si>
    <t>nettoyer la cuisine</t>
  </si>
  <si>
    <t>Le chef ordonne de commencer.</t>
  </si>
  <si>
    <t>J'ai oublié mes clés à la maison.</t>
  </si>
  <si>
    <t>oublier ses clés</t>
  </si>
  <si>
    <t>J'ouvre la fenêtre pour aérer.</t>
  </si>
  <si>
    <t>ouvrir la porte</t>
  </si>
  <si>
    <t>Nous parlons au téléphone tous les jours.</t>
  </si>
  <si>
    <t>parler fort</t>
  </si>
  <si>
    <t>Nous partons en vacances lundi.</t>
  </si>
  <si>
    <t>partir en vacances</t>
  </si>
  <si>
    <t>Je paie la facture à la poste.</t>
  </si>
  <si>
    <t>payer la facture</t>
  </si>
  <si>
    <t>Je pense souvent à mes enfants.</t>
  </si>
  <si>
    <t>penser à quelqu'un</t>
  </si>
  <si>
    <t>J'ai perdu mon porte-monnaie.</t>
  </si>
  <si>
    <t>perdre ses clés</t>
  </si>
  <si>
    <t>Je le plains, il a beaucoup de soucis.</t>
  </si>
  <si>
    <t>Le bébé pleure parce qu'il a faim.</t>
  </si>
  <si>
    <t>Je porte le sac jusqu'à la voiture.</t>
  </si>
  <si>
    <t>porter un sac</t>
  </si>
  <si>
    <t>Pousse la porte, elle est lourde.</t>
  </si>
  <si>
    <t>pousser la porte</t>
  </si>
  <si>
    <t>Je prépare le repas du soir.</t>
  </si>
  <si>
    <t>préparer le repas</t>
  </si>
  <si>
    <t>Préviens-moi si tu arrives en retard.</t>
  </si>
  <si>
    <t>prévenir les voisins</t>
  </si>
  <si>
    <t>Il promet de venir dimanche.</t>
  </si>
  <si>
    <t>promettre de venir</t>
  </si>
  <si>
    <t>Grand-papa raconte une histoire.</t>
  </si>
  <si>
    <t>raconter une histoire</t>
  </si>
  <si>
    <t>Je ramasse les feuilles au jardin.</t>
  </si>
  <si>
    <t>ramasser les feuilles</t>
  </si>
  <si>
    <t>Je te rappelle ce soir.</t>
  </si>
  <si>
    <t>rappeler plus tard</t>
  </si>
  <si>
    <t>Réfléchis avant de répondre.</t>
  </si>
  <si>
    <t>réfléchir avant de parler</t>
  </si>
  <si>
    <t>Il refuse de venir avec nous.</t>
  </si>
  <si>
    <t>refuser une invitation</t>
  </si>
  <si>
    <t>Nous regardons la télévision le soir.</t>
  </si>
  <si>
    <t>regarder la télévision</t>
  </si>
  <si>
    <t>J'ai remarqué qu'il était fatigué.</t>
  </si>
  <si>
    <t>Je te remercie pour ton aide.</t>
  </si>
  <si>
    <t>remercier pour le cadeau</t>
  </si>
  <si>
    <t>Peux-tu répéter la phrase ?</t>
  </si>
  <si>
    <t>répéter la phrase</t>
  </si>
  <si>
    <t>Je réponds au téléphone.</t>
  </si>
  <si>
    <t>répondre au téléphone</t>
  </si>
  <si>
    <t>Je reste à la maison aujourd'hui.</t>
  </si>
  <si>
    <t>rester à la maison</t>
  </si>
  <si>
    <t>Il a réussi son examen.</t>
  </si>
  <si>
    <t>réussir un examen</t>
  </si>
  <si>
    <t>Nous rions ensemble à table.</t>
  </si>
  <si>
    <t>Il salue de la main en partant.</t>
  </si>
  <si>
    <t>saluer de la main</t>
  </si>
  <si>
    <t>Assieds-toi à table, c'est prêt.</t>
  </si>
  <si>
    <t>s'asseoir à table</t>
  </si>
  <si>
    <t>L'enfant saute par-dessus la flaque.</t>
  </si>
  <si>
    <t>Je sais nager depuis tout petit.</t>
  </si>
  <si>
    <t>savoir nager</t>
  </si>
  <si>
    <t>Je me souviens très bien de ce jour.</t>
  </si>
  <si>
    <t>se souvenir d'un nom</t>
  </si>
  <si>
    <t>Ça sent bon dans la cuisine.</t>
  </si>
  <si>
    <t>sentir bon</t>
  </si>
  <si>
    <t>Je sors le chien tous les matins.</t>
  </si>
  <si>
    <t>sortir le chien</t>
  </si>
  <si>
    <t>Il me supplie de rester.</t>
  </si>
  <si>
    <t>Tiens-moi la main dans la rue.</t>
  </si>
  <si>
    <t>tenir la main</t>
  </si>
  <si>
    <t>Il tire la porte vers lui.</t>
  </si>
  <si>
    <t>tirer la porte</t>
  </si>
  <si>
    <t>Attention, tu vas tomber !</t>
  </si>
  <si>
    <t>tomber par terre</t>
  </si>
  <si>
    <t>Ne touche pas, c'est chaud.</t>
  </si>
  <si>
    <t>Je travaille au jardin le samedi.</t>
  </si>
  <si>
    <t>travailler au jardin</t>
  </si>
  <si>
    <t>J'ai trouvé la solution.</t>
  </si>
  <si>
    <t>trouver la solution</t>
  </si>
  <si>
    <t>Il vend sa voiture.</t>
  </si>
  <si>
    <t>vendre sa voiture</t>
  </si>
  <si>
    <t>Viens manger, c'est prêt.</t>
  </si>
  <si>
    <t>venir à la maison</t>
  </si>
  <si>
    <t>On voit la montagne depuis la fenêtre.</t>
  </si>
  <si>
    <t>voir de loin</t>
  </si>
  <si>
    <t>L'oiseau vole au-dessus du lac.</t>
  </si>
  <si>
    <t>voler dans le ciel</t>
  </si>
  <si>
    <t>Je veux bien un café, merci.</t>
  </si>
  <si>
    <t>vouloir bien</t>
  </si>
  <si>
    <t>Je récurre le sol de la cuisine.</t>
  </si>
  <si>
    <t>récurrer le sol</t>
  </si>
  <si>
    <t>Il tousse depuis trois jours.</t>
  </si>
  <si>
    <t>tousser toute la nuit</t>
  </si>
  <si>
    <t>Nous habitons au village depuis vingt ans.</t>
  </si>
  <si>
    <t>habiter au village</t>
  </si>
  <si>
    <t>La lampe éclaire toute la pièce.</t>
  </si>
  <si>
    <t>éclairer la pièce</t>
  </si>
  <si>
    <t>Je fais griller une saucisse.</t>
  </si>
  <si>
    <t>griller une saucisse</t>
  </si>
  <si>
    <t>Je conduis la voiture jusqu'à Sion.</t>
  </si>
  <si>
    <t>conduire la voiture</t>
  </si>
  <si>
    <t>On traverse la route au passage piéton.</t>
  </si>
  <si>
    <t>traverser la route</t>
  </si>
  <si>
    <t>J'avale le comprimé avec de l'eau.</t>
  </si>
  <si>
    <t>avaler de travers</t>
  </si>
  <si>
    <t>Je fais chauffer l'eau pour le thé.</t>
  </si>
  <si>
    <t>chauffer l'eau</t>
  </si>
  <si>
    <t>Le camion transporte les cartons.</t>
  </si>
  <si>
    <t>transporter des cartons</t>
  </si>
  <si>
    <t>Le bébé rampe sur le tapis.</t>
  </si>
  <si>
    <t>ramper par terre</t>
  </si>
  <si>
    <t>L'écureuil grimpe dans les arbres.</t>
  </si>
  <si>
    <t>La marmotte siffle quand elle a peur.</t>
  </si>
  <si>
    <t>Le chamois vit dans la montagne.</t>
  </si>
  <si>
    <t>La neige est toute blanche.</t>
  </si>
  <si>
    <t>blanc comme neige</t>
  </si>
  <si>
    <t>bleu ciel</t>
  </si>
  <si>
    <t>Le ciel est gris avant la pluie.</t>
  </si>
  <si>
    <t>un temps gris</t>
  </si>
  <si>
    <t>Le citron est jaune.</t>
  </si>
  <si>
    <t>Quelle est ta couleur préférée ?</t>
  </si>
  <si>
    <t>de toutes les couleurs</t>
  </si>
  <si>
    <t>Le chocolat est marron.</t>
  </si>
  <si>
    <t>La nuit, tout est noir.</t>
  </si>
  <si>
    <t>noir comme la nuit</t>
  </si>
  <si>
    <t>Le feu passe à l'orange.</t>
  </si>
  <si>
    <t>Les fleurs du jardin sont roses.</t>
  </si>
  <si>
    <t>La fraise est bien rouge.</t>
  </si>
  <si>
    <t>rouge comme une tomate</t>
  </si>
  <si>
    <t>L'herbe est verte au printemps.</t>
  </si>
  <si>
    <t>le feu vert</t>
  </si>
  <si>
    <t>L'écureuil a le poil roux.</t>
  </si>
  <si>
    <t>Il a les cheveux bruns.</t>
  </si>
  <si>
    <t>La nappe est carrée.</t>
  </si>
  <si>
    <t>Le toit forme un triangle.</t>
  </si>
  <si>
    <t>La route est courbe après le village.</t>
  </si>
  <si>
    <t>Le chemin est tout droit.</t>
  </si>
  <si>
    <t>aller tout droit</t>
  </si>
  <si>
    <t>On mesure la hauteur de l'armoire.</t>
  </si>
  <si>
    <t>prendre de la hauteur</t>
  </si>
  <si>
    <t>La largeur de la table est d'un mètre.</t>
  </si>
  <si>
    <t>On mesure la longueur du tissu.</t>
  </si>
  <si>
    <t>Les enfants font un cercle.</t>
  </si>
  <si>
    <t>en cercle</t>
  </si>
  <si>
    <t>La porte a la forme d'un rectangle.</t>
  </si>
  <si>
    <t>L'épaisseur du mur est de vingt centimètres.</t>
  </si>
  <si>
    <t>Le crayon est bien pointu.</t>
  </si>
  <si>
    <t>L'assiette est ronde.</t>
  </si>
  <si>
    <t>Le bord de la table est arrondi.</t>
  </si>
  <si>
    <t>avoir froid</t>
  </si>
  <si>
    <t>devenir grand</t>
  </si>
  <si>
    <t>les mains propres</t>
  </si>
  <si>
    <t>être fort</t>
  </si>
  <si>
    <t>un vieux monsieur</t>
  </si>
  <si>
    <t>un verre plein</t>
  </si>
  <si>
    <t>la porte est ouverte</t>
  </si>
  <si>
    <t>être trempé</t>
  </si>
  <si>
    <t>c'est trop lourd</t>
  </si>
  <si>
    <t>coûter cher</t>
  </si>
  <si>
    <t>tomber malade</t>
  </si>
  <si>
    <t>trop salé</t>
  </si>
  <si>
    <t>il fait sombre</t>
  </si>
  <si>
    <t>un long moment</t>
  </si>
  <si>
    <t>être gentil</t>
  </si>
  <si>
    <t>c'est vrai</t>
  </si>
  <si>
    <t>c'est bon</t>
  </si>
  <si>
    <t>rester calme</t>
  </si>
  <si>
    <t>la place est libre</t>
  </si>
  <si>
    <t>le premier jour</t>
  </si>
  <si>
    <t>tout proche</t>
  </si>
  <si>
    <t>tout neuf</t>
  </si>
  <si>
    <t>quoi de neuf ?</t>
  </si>
  <si>
    <t>c'est drôle</t>
  </si>
  <si>
    <t>avoir du courage</t>
  </si>
  <si>
    <t>par-dessus</t>
  </si>
  <si>
    <t>juste devant</t>
  </si>
  <si>
    <t>Mes enfants sont adultes maintenant.</t>
  </si>
  <si>
    <t>Cette odeur est désagréable.</t>
  </si>
  <si>
    <t>La vendeuse est très aimable.</t>
  </si>
  <si>
    <t>Le béton armé est très solide.</t>
  </si>
  <si>
    <t>le béton armé</t>
  </si>
  <si>
    <t>Il s'est arrêté brusquement.</t>
  </si>
  <si>
    <t>Le verre est cassé.</t>
  </si>
  <si>
    <t>c'est cassé</t>
  </si>
  <si>
    <t>Je suis certain de l'avoir vu.</t>
  </si>
  <si>
    <t>être certain</t>
  </si>
  <si>
    <t>Le miel est collant.</t>
  </si>
  <si>
    <t>La chambre est très colorée.</t>
  </si>
  <si>
    <t>Le train est complet.</t>
  </si>
  <si>
    <t>c'est complet</t>
  </si>
  <si>
    <t>Ce fauteuil est très confortable.</t>
  </si>
  <si>
    <t>Ta réponse est correcte.</t>
  </si>
  <si>
    <t>c'est correct</t>
  </si>
  <si>
    <t>Le tuyau est creux à l'intérieur.</t>
  </si>
  <si>
    <t>Cette route est dangereuse la nuit.</t>
  </si>
  <si>
    <t>c'est dangereux</t>
  </si>
  <si>
    <t>Chaque jour est différent.</t>
  </si>
  <si>
    <t>Le médecin est disponible ce matin.</t>
  </si>
  <si>
    <t>être disponible</t>
  </si>
  <si>
    <t>La laine est douce au toucher.</t>
  </si>
  <si>
    <t>tout doux</t>
  </si>
  <si>
    <t>La tondeuse est électrique.</t>
  </si>
  <si>
    <t>J'ai la gorge enflammée.</t>
  </si>
  <si>
    <t>la gorge enflammée</t>
  </si>
  <si>
    <t>J'ai mangé le gâteau entier.</t>
  </si>
  <si>
    <t>Le partage est équitable.</t>
  </si>
  <si>
    <t>Quelle est l'heure exacte ?</t>
  </si>
  <si>
    <t>l'heure exacte</t>
  </si>
  <si>
    <t>Le mur extérieur est mouillé.</t>
  </si>
  <si>
    <t>Je suis fatigué ce soir.</t>
  </si>
  <si>
    <t>être fatigué</t>
  </si>
  <si>
    <t>« La table » est un mot féminin.</t>
  </si>
  <si>
    <t>L'eau du robinet est fraîche.</t>
  </si>
  <si>
    <t>au frais</t>
  </si>
  <si>
    <t>La sauce est trop grasse.</t>
  </si>
  <si>
    <t>L'entrée est gratuite pour les enfants.</t>
  </si>
  <si>
    <t>c'est gratuit</t>
  </si>
  <si>
    <t>Il fait sa promenade habituelle.</t>
  </si>
  <si>
    <t>comme d'habitude</t>
  </si>
  <si>
    <t>Je suis heureux de te voir.</t>
  </si>
  <si>
    <t>être heureux</t>
  </si>
  <si>
    <t>Le corps humain a deux cent six os.</t>
  </si>
  <si>
    <t>le corps humain</t>
  </si>
  <si>
    <t>C'est un rendez-vous important.</t>
  </si>
  <si>
    <t>c'est important</t>
  </si>
  <si>
    <t>La poche intérieure est plus sûre.</t>
  </si>
  <si>
    <t>Le vent est invisible.</t>
  </si>
  <si>
    <t>J'ai les yeux irrités.</t>
  </si>
  <si>
    <t>Les enfants sont joyeux.</t>
  </si>
  <si>
    <t>joyeux anniversaire</t>
  </si>
  <si>
    <t>Ta réponse est juste.</t>
  </si>
  <si>
    <t>c'est juste</t>
  </si>
  <si>
    <t>Le renard est malin.</t>
  </si>
  <si>
    <t>« Le chien » est un mot masculin.</t>
  </si>
  <si>
    <t>Nous avons passé une soirée merveilleuse.</t>
  </si>
  <si>
    <t>Les invités sont nombreux.</t>
  </si>
  <si>
    <t>Il marche pieds nus dans l'herbe.</t>
  </si>
  <si>
    <t>pieds nus</t>
  </si>
  <si>
    <t>Nos deux vestes sont pareilles.</t>
  </si>
  <si>
    <t>c'est pareil</t>
  </si>
  <si>
    <t>J'ai cherché mes lunettes partout.</t>
  </si>
  <si>
    <t>chercher partout</t>
  </si>
  <si>
    <t>La sauce est trop piquante.</t>
  </si>
  <si>
    <t>Ce n'est pas possible !</t>
  </si>
  <si>
    <t>si possible</t>
  </si>
  <si>
    <t>Ce sac est très pratique.</t>
  </si>
  <si>
    <t>c'est pratique</t>
  </si>
  <si>
    <t>Donne-moi l'heure précise.</t>
  </si>
  <si>
    <t>C'est mon plat préféré.</t>
  </si>
  <si>
    <t>mon plat préféré</t>
  </si>
  <si>
    <t>Le repas est prêt.</t>
  </si>
  <si>
    <t>être prêt</t>
  </si>
  <si>
    <t>Le lac est très profond ici.</t>
  </si>
  <si>
    <t>Il vient rarement au village.</t>
  </si>
  <si>
    <t>Il fait une promenade régulière.</t>
  </si>
  <si>
    <t>Ce tissu est très résistant.</t>
  </si>
  <si>
    <t>L'hiver a été rude cette année.</t>
  </si>
  <si>
    <t>Le chat est rusé pour attraper les souris.</t>
  </si>
  <si>
    <t>Le chamois est un animal sauvage.</t>
  </si>
  <si>
    <t>un animal sauvage</t>
  </si>
  <si>
    <t>Il habite seul depuis un an.</t>
  </si>
  <si>
    <t>tout seul</t>
  </si>
  <si>
    <t>Il reste seulement deux places.</t>
  </si>
  <si>
    <t>Un bruit soudain nous a réveillés.</t>
  </si>
  <si>
    <t>tout à coup</t>
  </si>
  <si>
    <t>Le tuyau est souple, il se plie bien.</t>
  </si>
  <si>
    <t>La haie est très touffue.</t>
  </si>
  <si>
    <t>Le village est tranquille le dimanche.</t>
  </si>
  <si>
    <t>rester tranquille</t>
  </si>
  <si>
    <t>La vitre est transparente.</t>
  </si>
  <si>
    <t>Le tambour se joue avec deux baguettes.</t>
  </si>
  <si>
    <t>Nous chantons une chanson connue.</t>
  </si>
  <si>
    <t>La danse commence après le repas.</t>
  </si>
  <si>
    <t>Cette mélodie est très douce.</t>
  </si>
  <si>
    <t>Je pose la partition sur le pupitre.</t>
  </si>
  <si>
    <t>lire une partition</t>
  </si>
  <si>
    <t>La répétition a lieu le mardi soir.</t>
  </si>
  <si>
    <t>aller à la répétition</t>
  </si>
  <si>
    <t>Les musiciens montent sur la scène.</t>
  </si>
  <si>
    <t>monter sur scène</t>
  </si>
  <si>
    <t>Le concert commence à vingt heures.</t>
  </si>
  <si>
    <t>donner un concert</t>
  </si>
  <si>
    <t>Le public applaudit très fort.</t>
  </si>
  <si>
    <t>Le son du cornet porte loin.</t>
  </si>
  <si>
    <t>Il reprend son souffle après la montée.</t>
  </si>
  <si>
    <t>reprendre son souffle</t>
  </si>
  <si>
    <t>Les applaudissements durent longtemps.</t>
  </si>
  <si>
    <t>Je connais les paroles par cœur.</t>
  </si>
  <si>
    <t>connaître les paroles</t>
  </si>
  <si>
    <t>L'harmonie joue juste ce soir.</t>
  </si>
  <si>
    <t>Les notes s'écrivent sur la portée.</t>
  </si>
  <si>
    <t>La clé de sol se met au début de la portée.</t>
  </si>
  <si>
    <t>Chaque figure de note a sa durée.</t>
  </si>
  <si>
    <t>Les altérations changent la hauteur de la note.</t>
  </si>
  <si>
    <t>Un silence dure autant qu'une note.</t>
  </si>
  <si>
    <t>Les nuances disent s'il faut jouer fort ou doux.</t>
  </si>
  <si>
    <t>Le crescendo demande de jouer de plus en plus fort.</t>
  </si>
  <si>
    <t>Le défilé traverse tout le village.</t>
  </si>
  <si>
    <t>défiler dans la rue</t>
  </si>
  <si>
    <t>Il joue de la guitare le soir.</t>
  </si>
  <si>
    <t>jouer de la guitare</t>
  </si>
  <si>
    <t>Elle apprend le piano depuis deux ans.</t>
  </si>
  <si>
    <t>jouer du piano</t>
  </si>
  <si>
    <t>Le tambour donne le rythme.</t>
  </si>
  <si>
    <t>battre le tambour</t>
  </si>
  <si>
    <t>Le village offre un don d'honneur à la fanfare.</t>
  </si>
  <si>
    <t>Le loto de la fanfare a lieu en novembre.</t>
  </si>
  <si>
    <t>faire un loto</t>
  </si>
  <si>
    <t>La musique est mon loisir préféré.</t>
  </si>
  <si>
    <t>Je m'appuie contre le dossier de la chaise.</t>
  </si>
  <si>
    <t>On pose le four à raclette au milieu de la table.</t>
  </si>
  <si>
    <t>Le chargeur est resté dans la voiture.</t>
  </si>
  <si>
    <t>Je prends la calculatrice pour faire les comptes.</t>
  </si>
  <si>
    <t>On ferme les volets le soir.</t>
  </si>
  <si>
    <t>fermer les volets</t>
  </si>
  <si>
    <t>La barrière empêche les vaches de sortir.</t>
  </si>
  <si>
    <t>Je branche la lampe à la prise.</t>
  </si>
  <si>
    <t>brancher à la prise</t>
  </si>
  <si>
    <t>La clé tourne mal dans la serrure.</t>
  </si>
  <si>
    <t>Le fourneau à bois chauffe tout le salon.</t>
  </si>
  <si>
    <t>Le fourneau à pellets se remplit une fois par semaine.</t>
  </si>
  <si>
    <t>Je range les vis dans une boîte.</t>
  </si>
  <si>
    <t>une boîte à outils</t>
  </si>
  <si>
    <t>On allume une bougie pour l'anniversaire.</t>
  </si>
  <si>
    <t>allumer une bougie</t>
  </si>
  <si>
    <t>Je répare le vase avec de la colle.</t>
  </si>
  <si>
    <t>un tube de colle</t>
  </si>
  <si>
    <t>Je mets une couverture sur le lit.</t>
  </si>
  <si>
    <t>sous la couverture</t>
  </si>
  <si>
    <t>En montagne, on s'attache avec une corde.</t>
  </si>
  <si>
    <t>La grille du jardin est fermée.</t>
  </si>
  <si>
    <t>La clôture entoure tout le pré.</t>
  </si>
  <si>
    <t>La lame du couteau est bien aiguisée.</t>
  </si>
  <si>
    <t>Je lis les petits caractères avec une loupe.</t>
  </si>
  <si>
    <t>La machine fait le travail toute seule.</t>
  </si>
  <si>
    <t>Je remonte les manches de ma chemise.</t>
  </si>
  <si>
    <t>retrousser ses manches</t>
  </si>
  <si>
    <t>Je pèse la farine sur la balance.</t>
  </si>
  <si>
    <t>Le chien court après la balle.</t>
  </si>
  <si>
    <t>jouer à la balle</t>
  </si>
  <si>
    <t>Le vin se garde à la cave.</t>
  </si>
  <si>
    <t>descendre à la cave</t>
  </si>
  <si>
    <t>Le vin repose dans les cuves.</t>
  </si>
  <si>
    <t>L'enfant fait une boule de neige.</t>
  </si>
  <si>
    <t>une boule de neige</t>
  </si>
  <si>
    <t>L'oiseau se pose sur une branche.</t>
  </si>
  <si>
    <t>Les feuilles tombent en automne.</t>
  </si>
  <si>
    <t>La feuille est toute verte au printemps.</t>
  </si>
  <si>
    <t>Une brise légère rafraîchit la terrasse.</t>
  </si>
  <si>
    <t>Nous habitons à la campagne.</t>
  </si>
  <si>
    <t>à la campagne</t>
  </si>
  <si>
    <t>La cascade fait beaucoup de bruit.</t>
  </si>
  <si>
    <t>La maison est en haut de la colline.</t>
  </si>
  <si>
    <t>La falaise tombe droit dans la mer.</t>
  </si>
  <si>
    <t>L'eau coule de la fontaine du village.</t>
  </si>
  <si>
    <t>L'eau du bassin s'est changée en glace.</t>
  </si>
  <si>
    <t>Une goutte de pluie est tombée.</t>
  </si>
  <si>
    <t>une goutte d'eau</t>
  </si>
  <si>
    <t>On met les graines dans la terre.</t>
  </si>
  <si>
    <t>semer des graines</t>
  </si>
  <si>
    <t>La grotte reste fraîche même en été.</t>
  </si>
  <si>
    <t>La marée monte deux fois par jour.</t>
  </si>
  <si>
    <t>Je regarde la météo avant de partir.</t>
  </si>
  <si>
    <t>regarder la météo</t>
  </si>
  <si>
    <t>La Terre tourne autour du Soleil.</t>
  </si>
  <si>
    <t>La chaleur est difficile à supporter en été.</t>
  </si>
  <si>
    <t>supporter la chaleur</t>
  </si>
  <si>
    <t>La chair de la pêche est juteuse.</t>
  </si>
  <si>
    <t>La douleur est passée avec le médicament.</t>
  </si>
  <si>
    <t>avoir une douleur</t>
  </si>
  <si>
    <t>Il a de la fièvre depuis hier.</t>
  </si>
  <si>
    <t>avoir de la fièvre</t>
  </si>
  <si>
    <t>J'ai mal à la gorge ce matin.</t>
  </si>
  <si>
    <t>avoir mal à la gorge</t>
  </si>
  <si>
    <t>Une larme coule sur sa joue.</t>
  </si>
  <si>
    <t>avoir les larmes aux yeux</t>
  </si>
  <si>
    <t>La maladie l'a beaucoup fatigué.</t>
  </si>
  <si>
    <t>J'ai une bonne mémoire des visages.</t>
  </si>
  <si>
    <t>avoir de la mémoire</t>
  </si>
  <si>
    <t>Il enlève la graisse de la viande.</t>
  </si>
  <si>
    <t>Je mets de la confiture sur le pain.</t>
  </si>
  <si>
    <t>un pot de confiture</t>
  </si>
  <si>
    <t>On met de la crème dans le café.</t>
  </si>
  <si>
    <t>Il faut de la farine pour faire le gâteau.</t>
  </si>
  <si>
    <t>Les enfants aiment les friandises.</t>
  </si>
  <si>
    <t>J'écris le rapport à la fin de la journée.</t>
  </si>
  <si>
    <t>écrire un rapport</t>
  </si>
  <si>
    <t>La bagarre s'est arrêtée très vite.</t>
  </si>
  <si>
    <t>La bataille a duré toute la journée.</t>
  </si>
  <si>
    <t>Une bande de copains se retrouve au café.</t>
  </si>
  <si>
    <t>une bande de copains</t>
  </si>
  <si>
    <t>On range les mots par catégorie.</t>
  </si>
  <si>
    <t>La circulation est dense le matin.</t>
  </si>
  <si>
    <t>J'aime la compagnie de mes petits-enfants.</t>
  </si>
  <si>
    <t>tenir compagnie</t>
  </si>
  <si>
    <t>Il faut suivre la consigne.</t>
  </si>
  <si>
    <t>suivre la consigne</t>
  </si>
  <si>
    <t>La construction de la maison a duré un an.</t>
  </si>
  <si>
    <t>Il a gagné la course de montagne.</t>
  </si>
  <si>
    <t>faire une course</t>
  </si>
  <si>
    <t>La curiosité pousse à apprendre.</t>
  </si>
  <si>
    <t>Je ne vois pas la différence.</t>
  </si>
  <si>
    <t>faire la différence</t>
  </si>
  <si>
    <t>La facture arrive à la fin du mois.</t>
  </si>
  <si>
    <t>payer une facture</t>
  </si>
  <si>
    <t>Ce n'est pas ma faute.</t>
  </si>
  <si>
    <t>faire une faute</t>
  </si>
  <si>
    <t>La flamme de la bougie tremble.</t>
  </si>
  <si>
    <t>Je te le dis pour la dernière fois.</t>
  </si>
  <si>
    <t>encore une fois</t>
  </si>
  <si>
    <t>Il n'a plus la force de porter les sacs.</t>
  </si>
  <si>
    <t>avoir de la force</t>
  </si>
  <si>
    <t>La table a une forme ronde.</t>
  </si>
  <si>
    <t>être en forme</t>
  </si>
  <si>
    <t>Sa gaieté fait plaisir à voir.</t>
  </si>
  <si>
    <t>L'appareil a deux ans de garantie.</t>
  </si>
  <si>
    <t>sous garantie</t>
  </si>
  <si>
    <t>Merci pour ta gentillesse.</t>
  </si>
  <si>
    <t>La guerre a duré quatre ans.</t>
  </si>
  <si>
    <t>La journée a passé très vite.</t>
  </si>
  <si>
    <t>toute la journée</t>
  </si>
  <si>
    <t>La lecture le détend le soir.</t>
  </si>
  <si>
    <t>Je trace une ligne droite.</t>
  </si>
  <si>
    <t>une ligne droite</t>
  </si>
  <si>
    <t>Je fais la liste des courses.</t>
  </si>
  <si>
    <t>faire une liste</t>
  </si>
  <si>
    <t>La loi est la même pour tout le monde.</t>
  </si>
  <si>
    <t>La lutte suisse est un sport de tradition.</t>
  </si>
  <si>
    <t>Il a une drôle de manière de parler.</t>
  </si>
  <si>
    <t>de cette manière</t>
  </si>
  <si>
    <t>Une masse de neige est tombée du toit.</t>
  </si>
  <si>
    <t>Le bois est une matière solide.</t>
  </si>
  <si>
    <t>Je prends la moitié du gâteau.</t>
  </si>
  <si>
    <t>la moitié du temps</t>
  </si>
  <si>
    <t>La banque prend des intérêts sur le prêt.</t>
  </si>
  <si>
    <t>La récolte du raisin commence en septembre.</t>
  </si>
  <si>
    <t>faire la récolte</t>
  </si>
  <si>
    <t>Après la dispute, la réconciliation a été rapide.</t>
  </si>
  <si>
    <t>La réparation de la voiture coûte cher.</t>
  </si>
  <si>
    <t>J'attends ta réponse avant de partir.</t>
  </si>
  <si>
    <t>donner une réponse</t>
  </si>
  <si>
    <t>Elle met une robe pour la fête.</t>
  </si>
  <si>
    <t>mettre une robe</t>
  </si>
  <si>
    <t>Le chemin passe entre les roches.</t>
  </si>
  <si>
    <t>L'herbe est mouillée par la rosée du matin.</t>
  </si>
  <si>
    <t>La roue avant est crevée.</t>
  </si>
  <si>
    <t>changer une roue</t>
  </si>
  <si>
    <t>Il y a de la saleté sous le meuble.</t>
  </si>
  <si>
    <t>Il est en bonne santé.</t>
  </si>
  <si>
    <t>être en bonne santé</t>
  </si>
  <si>
    <t>La sauce accompagne la viande.</t>
  </si>
  <si>
    <t>faire une sauce</t>
  </si>
  <si>
    <t>Je m'essuie les mains avec la serviette.</t>
  </si>
  <si>
    <t>Il manque votre signature au bas du papier.</t>
  </si>
  <si>
    <t>mettre sa signature</t>
  </si>
  <si>
    <t>La situation est plus simple qu'avant.</t>
  </si>
  <si>
    <t>La société change avec le temps.</t>
  </si>
  <si>
    <t>La somme de deux et trois fait cinq.</t>
  </si>
  <si>
    <t>faire la somme</t>
  </si>
  <si>
    <t>Il y a plusieurs sortes de fromages.</t>
  </si>
  <si>
    <t>une sorte de</t>
  </si>
  <si>
    <t>La surface de la table est lisse.</t>
  </si>
  <si>
    <t>Chacun a sa tâche à la maison.</t>
  </si>
  <si>
    <t>La tempête a cassé des branches.</t>
  </si>
  <si>
    <t>Il regarde ses petits-enfants avec tendresse.</t>
  </si>
  <si>
    <t>avec tendresse</t>
  </si>
  <si>
    <t>On monte la tente avant la nuit.</t>
  </si>
  <si>
    <t>monter la tente</t>
  </si>
  <si>
    <t>Cette toux dure depuis une semaine.</t>
  </si>
  <si>
    <t>Les vagues arrivent sur la plage.</t>
  </si>
  <si>
    <t>Je fais ma valise la veille du départ.</t>
  </si>
  <si>
    <t>faire sa valise</t>
  </si>
  <si>
    <t>La vallée est encore dans l'ombre.</t>
  </si>
  <si>
    <t>La vente de la maison est terminée.</t>
  </si>
  <si>
    <t>Il a passé toute sa vie au village.</t>
  </si>
  <si>
    <t>toute la vie</t>
  </si>
  <si>
    <t>Je serre la vis avec le tournevis.</t>
  </si>
  <si>
    <t>serrer une vis</t>
  </si>
  <si>
    <t>Nous avons de la visite dimanche.</t>
  </si>
  <si>
    <t>rendre visite</t>
  </si>
  <si>
    <t>C'est une zone tranquille du village.</t>
  </si>
  <si>
    <t>Il y a eu un accident au carrefour.</t>
  </si>
  <si>
    <t>avoir un accident</t>
  </si>
  <si>
    <t>Nous sommes tombés d'accord.</t>
  </si>
  <si>
    <t>être d'accord</t>
  </si>
  <si>
    <t>Je note mes achats dans un carnet.</t>
  </si>
  <si>
    <t>faire un achat</t>
  </si>
  <si>
    <t>Je prends mes affaires et je pars.</t>
  </si>
  <si>
    <t>ranger ses affaires</t>
  </si>
  <si>
    <t>Il y a beaucoup d'agitation avant le concert.</t>
  </si>
  <si>
    <t>Merci pour ton aide.</t>
  </si>
  <si>
    <t>demander de l'aide</t>
  </si>
  <si>
    <t>La petite aiguille montre les heures.</t>
  </si>
  <si>
    <t>J'ouvre la fenêtre pour changer l'air.</t>
  </si>
  <si>
    <t>prendre l'air</t>
  </si>
  <si>
    <t>Il a une allergie au pollen.</t>
  </si>
  <si>
    <t>avoir une allergie</t>
  </si>
  <si>
    <t>J'allume le feu avec une allumette.</t>
  </si>
  <si>
    <t>craquer une allumette</t>
  </si>
  <si>
    <t>Leur amitié dure depuis l'école.</t>
  </si>
  <si>
    <t>L'appartement est au deuxième étage.</t>
  </si>
  <si>
    <t>Un arc-en-ciel est apparu après l'averse.</t>
  </si>
  <si>
    <t>Fais attention en traversant.</t>
  </si>
  <si>
    <t>faire attention</t>
  </si>
  <si>
    <t>On prend l'autoroute jusqu'à Sion.</t>
  </si>
  <si>
    <t>prendre l'autoroute</t>
  </si>
  <si>
    <t>Ce voyage a été une vraie aventure.</t>
  </si>
  <si>
    <t>Je pose les bagages dans le coffre.</t>
  </si>
  <si>
    <t>Le soir, je prends un bain.</t>
  </si>
  <si>
    <t>prendre un bain</t>
  </si>
  <si>
    <t>Je passe le balai dans la cuisine.</t>
  </si>
  <si>
    <t>passer le balai</t>
  </si>
  <si>
    <t>Les fleurs sont sur le balcon.</t>
  </si>
  <si>
    <t>Les enfants jouent au ballon.</t>
  </si>
  <si>
    <t>jouer au ballon</t>
  </si>
  <si>
    <t>L'infirmière met un bandage autour du bras.</t>
  </si>
  <si>
    <t>Le bâtiment de la poste est ancien.</t>
  </si>
  <si>
    <t>J'ai besoin d'un coup de main.</t>
  </si>
  <si>
    <t>avoir besoin de</t>
  </si>
  <si>
    <t>Je mets du beurre sur le pain.</t>
  </si>
  <si>
    <t>une tartine de beurre</t>
  </si>
  <si>
    <t>J'achète un billet de train.</t>
  </si>
  <si>
    <t>prendre un billet</t>
  </si>
  <si>
    <t>Le blé est mûr au mois de juillet.</t>
  </si>
  <si>
    <t>un champ de blé</t>
  </si>
  <si>
    <t>La confiture est dans un bocal.</t>
  </si>
  <si>
    <t>La table est en bois massif.</t>
  </si>
  <si>
    <t>en bois</t>
  </si>
  <si>
    <t>L'enfant demande un bonbon.</t>
  </si>
  <si>
    <t>Les bourgeons sortent au printemps.</t>
  </si>
  <si>
    <t>Il habite au bout de la rue.</t>
  </si>
  <si>
    <t>au bout de</t>
  </si>
  <si>
    <t>Un bouton est tombé de ma chemise.</t>
  </si>
  <si>
    <t>recoudre un bouton</t>
  </si>
  <si>
    <t>Le samedi, je fais du bricolage.</t>
  </si>
  <si>
    <t>faire du bricolage</t>
  </si>
  <si>
    <t>Il tient un brin d'herbe à la main.</t>
  </si>
  <si>
    <t>un brin d'herbe</t>
  </si>
  <si>
    <t>Le brouillard cache toute la vallée.</t>
  </si>
  <si>
    <t>Il y a trop de bruit dans la rue.</t>
  </si>
  <si>
    <t>faire du bruit</t>
  </si>
  <si>
    <t>L'oiseau se cache dans le buisson.</t>
  </si>
  <si>
    <t>J'ai reçu un beau cadeau.</t>
  </si>
  <si>
    <t>offrir un cadeau</t>
  </si>
  <si>
    <t>J'écris la liste dans un cahier.</t>
  </si>
  <si>
    <t>Le calme revient après le repas.</t>
  </si>
  <si>
    <t>au calme</t>
  </si>
  <si>
    <t>Les bottes sont en caoutchouc.</t>
  </si>
  <si>
    <t>Je note les rendez-vous dans mon carnet.</t>
  </si>
  <si>
    <t>Dans ce cas, il vaut mieux attendre.</t>
  </si>
  <si>
    <t>en tout cas</t>
  </si>
  <si>
    <t>Le champ est plein de blé.</t>
  </si>
  <si>
    <t>On cherche des champignons dans le bois.</t>
  </si>
  <si>
    <t>aller aux champignons</t>
  </si>
  <si>
    <t>Il est champion de lutte.</t>
  </si>
  <si>
    <t>Je mets un chapeau contre le soleil.</t>
  </si>
  <si>
    <t>mettre un chapeau</t>
  </si>
  <si>
    <t>Le chemin monte jusqu'au chalet.</t>
  </si>
  <si>
    <t>prendre le chemin</t>
  </si>
  <si>
    <t>Le choc a cassé le pare-brise.</t>
  </si>
  <si>
    <t>Je prends un carré de chocolat.</t>
  </si>
  <si>
    <t>du chocolat au lait</t>
  </si>
  <si>
    <t>Je pends la veste sur un cintre.</t>
  </si>
  <si>
    <t>Je presse un citron sur le poisson.</t>
  </si>
  <si>
    <t>un jus de citron</t>
  </si>
  <si>
    <t>J'enfonce le clou avec le marteau.</t>
  </si>
  <si>
    <t>planter un clou</t>
  </si>
  <si>
    <t>Le combat s'est terminé sans blessé.</t>
  </si>
  <si>
    <t>Le petit commerce du village a fermé.</t>
  </si>
  <si>
    <t>Ils échangent un regard complice.</t>
  </si>
  <si>
    <t>Je prends un comprimé contre le mal de tête.</t>
  </si>
  <si>
    <t>prendre un comprimé</t>
  </si>
  <si>
    <t>La fanfare participe au concours.</t>
  </si>
  <si>
    <t>participer à un concours</t>
  </si>
  <si>
    <t>Les enfants inventent un nouveau jeu.</t>
  </si>
  <si>
    <t>Le jouet préféré du petit est un camion.</t>
  </si>
  <si>
    <t>Je bois un jus d'orange le matin.</t>
  </si>
  <si>
    <t>un jus de fruit</t>
  </si>
  <si>
    <t>On se promène au bord du lac.</t>
  </si>
  <si>
    <t>au bord du lac</t>
  </si>
  <si>
    <t>Le yaourt fait partie des produits laitiers.</t>
  </si>
  <si>
    <t>Il y a un lien entre ces deux mots.</t>
  </si>
  <si>
    <t>faire le lien</t>
  </si>
  <si>
    <t>L'eau est un liquide.</t>
  </si>
  <si>
    <t>Je lis un livre chaque soir.</t>
  </si>
  <si>
    <t>lire un livre</t>
  </si>
  <si>
    <t>Le maître explique la leçon.</t>
  </si>
  <si>
    <t>Je mets mon manteau, il fait froid.</t>
  </si>
  <si>
    <t>mettre son manteau</t>
  </si>
  <si>
    <t>Je plante le clou avec le marteau.</t>
  </si>
  <si>
    <t>un coup de marteau</t>
  </si>
  <si>
    <t>Le match commence à quinze heures.</t>
  </si>
  <si>
    <t>regarder un match</t>
  </si>
  <si>
    <t>Je prends mes médicaments après le repas.</t>
  </si>
  <si>
    <t>prendre un médicament</t>
  </si>
  <si>
    <t>Le mélange doit être bien lisse.</t>
  </si>
  <si>
    <t>La clé est en métal.</t>
  </si>
  <si>
    <t>en métal</t>
  </si>
  <si>
    <t>Je mets du miel dans mon thé.</t>
  </si>
  <si>
    <t>un pot de miel</t>
  </si>
  <si>
    <t>La table est au milieu de la pièce.</t>
  </si>
  <si>
    <t>au milieu de</t>
  </si>
  <si>
    <t>Il y a beaucoup de monde au marché.</t>
  </si>
  <si>
    <t>tout le monde</t>
  </si>
  <si>
    <t>Je coupe un morceau de pain.</t>
  </si>
  <si>
    <t>un morceau de</t>
  </si>
  <si>
    <t>Le moteur de la voiture ne démarre pas.</t>
  </si>
  <si>
    <t>Il fait un mouvement du bras.</t>
  </si>
  <si>
    <t>Le niveau de l'eau a monté.</t>
  </si>
  <si>
    <t>Écris le nombre en chiffres.</t>
  </si>
  <si>
    <t>Attention au noyau de la cerise.</t>
  </si>
  <si>
    <t>Un nuage cache le soleil.</t>
  </si>
  <si>
    <t>Je pose le panier sur la table.</t>
  </si>
  <si>
    <t>un panier de courses</t>
  </si>
  <si>
    <t>Le panneau indique la sortie du village.</t>
  </si>
  <si>
    <t>Je mets un pansement sur la coupure.</t>
  </si>
  <si>
    <t>mettre un pansement</t>
  </si>
  <si>
    <t>J'écris sur une feuille de papier.</t>
  </si>
  <si>
    <t>une feuille de papier</t>
  </si>
  <si>
    <t>J'ouvre le parapluie, il pleut.</t>
  </si>
  <si>
    <t>ouvrir le parapluie</t>
  </si>
  <si>
    <t>La Suisse est un petit pays.</t>
  </si>
  <si>
    <t>Le paysage est magnifique depuis le chalet.</t>
  </si>
  <si>
    <t>J'ai mon permis depuis quarante ans.</t>
  </si>
  <si>
    <t>passer son permis</t>
  </si>
  <si>
    <t>Le piment pique beaucoup.</t>
  </si>
  <si>
    <t>Je nettoie le pinceau après avoir peint.</t>
  </si>
  <si>
    <t>un coup de pinceau</t>
  </si>
  <si>
    <t>On fait un pique-nique au bord du lac.</t>
  </si>
  <si>
    <t>faire un pique-nique</t>
  </si>
  <si>
    <t>La lampe est fixée au plafond.</t>
  </si>
  <si>
    <t>Le plancher craque quand on marche.</t>
  </si>
  <si>
    <t>La bouteille est en plastique.</t>
  </si>
  <si>
    <t>en plastique</t>
  </si>
  <si>
    <t>Je sers le plat bien chaud.</t>
  </si>
  <si>
    <t>un plat chaud</t>
  </si>
  <si>
    <t>Le chat perd ses poils au printemps.</t>
  </si>
  <si>
    <t>Notre équipe a gagné trois points.</t>
  </si>
  <si>
    <t>marquer un point</t>
  </si>
  <si>
    <t>Mon portefeuille est dans la poche.</t>
  </si>
  <si>
    <t>J'accroche la veste au porte-manteau.</t>
  </si>
  <si>
    <t>Le prix est écrit sur l'étiquette.</t>
  </si>
  <si>
    <t>coûter un bon prix</t>
  </si>
  <si>
    <t>Nous avons résolu le problème.</t>
  </si>
  <si>
    <t>avoir un problème</t>
  </si>
  <si>
    <t>Le puzzle a mille pièces.</t>
  </si>
  <si>
    <t>faire un puzzle</t>
  </si>
  <si>
    <t>Je connais bien ce quartier.</t>
  </si>
  <si>
    <t>Je verse l'eau dans un récipient.</t>
  </si>
  <si>
    <t>Son récit du voyage était passionnant.</t>
  </si>
  <si>
    <t>faire le récit</t>
  </si>
  <si>
    <t>Je garde le reçu pour la garantie.</t>
  </si>
  <si>
    <t>demander un reçu</t>
  </si>
  <si>
    <t>Je vois mon reflet dans la vitre.</t>
  </si>
  <si>
    <t>Il part sans regret.</t>
  </si>
  <si>
    <t>avoir des regrets</t>
  </si>
  <si>
    <t>Le relief de la région est très marqué.</t>
  </si>
  <si>
    <t>Le meilleur remède, c'est le repos.</t>
  </si>
  <si>
    <t>Le repas est prêt à midi.</t>
  </si>
  <si>
    <t>Il parle avec respect de son ancien patron.</t>
  </si>
  <si>
    <t>avec respect</t>
  </si>
  <si>
    <t>Le résultat du concours arrive demain.</t>
  </si>
  <si>
    <t>J'ai attrapé un rhume.</t>
  </si>
  <si>
    <t>attraper un rhume</t>
  </si>
  <si>
    <t>Je tire les rideaux le soir.</t>
  </si>
  <si>
    <t>tirer les rideaux</t>
  </si>
  <si>
    <t>Il n'y a aucun risque.</t>
  </si>
  <si>
    <t>prendre un risque</t>
  </si>
  <si>
    <t>Le cadeau est fermé par un ruban.</t>
  </si>
  <si>
    <t>en rythme</t>
  </si>
  <si>
    <t>Les enfants jouent dans le sable.</t>
  </si>
  <si>
    <t>Je porte le sac de commissions.</t>
  </si>
  <si>
    <t>Je mets le pique-nique dans le sac à dos.</t>
  </si>
  <si>
    <t>Je remplis le seau d'eau.</t>
  </si>
  <si>
    <t>un seau d'eau</t>
  </si>
  <si>
    <t>Les secours sont arrivés très vite.</t>
  </si>
  <si>
    <t>appeler les secours</t>
  </si>
  <si>
    <t>Je garde le secret.</t>
  </si>
  <si>
    <t>garder un secret</t>
  </si>
  <si>
    <t>Le sentier monte à travers la forêt.</t>
  </si>
  <si>
    <t>suivre le sentier</t>
  </si>
  <si>
    <t>Peux-tu me rendre un service ?</t>
  </si>
  <si>
    <t>rendre service</t>
  </si>
  <si>
    <t>Il me fait signe de la main.</t>
  </si>
  <si>
    <t>faire signe</t>
  </si>
  <si>
    <t>Le silence est complet dans la salle.</t>
  </si>
  <si>
    <t>en silence</t>
  </si>
  <si>
    <t>Le sol est mouillé, attention.</t>
  </si>
  <si>
    <t>par terre</t>
  </si>
  <si>
    <t>J'ai sommeil, je vais me coucher.</t>
  </si>
  <si>
    <t>avoir sommeil</t>
  </si>
  <si>
    <t>Il fait un souhait en soufflant les bougies.</t>
  </si>
  <si>
    <t>faire un souhait</t>
  </si>
  <si>
    <t>Le sport fait du bien.</t>
  </si>
  <si>
    <t>faire du sport</t>
  </si>
  <si>
    <t>Le match a lieu au stade.</t>
  </si>
  <si>
    <t>J'écris au stylo bleu.</t>
  </si>
  <si>
    <t>Un beau tableau est accroché au mur.</t>
  </si>
  <si>
    <t>Je mets un tablier pour cuisiner.</t>
  </si>
  <si>
    <t>mettre un tablier</t>
  </si>
  <si>
    <t>Il y a un tas de bois derrière la maison.</t>
  </si>
  <si>
    <t>un tas de</t>
  </si>
  <si>
    <t>Le terrain de foot est mouillé.</t>
  </si>
  <si>
    <t>Le chamois défend son territoire.</t>
  </si>
  <si>
    <t>Je relis le texte avant de l'envoyer.</t>
  </si>
  <si>
    <t>Le thermomètre indique trente degrés.</t>
  </si>
  <si>
    <t>Je colle un timbre sur l'enveloppe.</t>
  </si>
  <si>
    <t>coller un timbre</t>
  </si>
  <si>
    <t>Les couverts sont dans le tiroir.</t>
  </si>
  <si>
    <t>Ce tissu est doux au toucher.</t>
  </si>
  <si>
    <t>Le tonnerre gronde au loin.</t>
  </si>
  <si>
    <t>un coup de tonnerre</t>
  </si>
  <si>
    <t>Le total fait cinquante francs.</t>
  </si>
  <si>
    <t>au total</t>
  </si>
  <si>
    <t>Je tire un trait sous le mot.</t>
  </si>
  <si>
    <t>tirer un trait</t>
  </si>
  <si>
    <t>Le travail est bien fait.</t>
  </si>
  <si>
    <t>Le tronc de l'arbre est très gros.</t>
  </si>
  <si>
    <t>On marche sur le trottoir.</t>
  </si>
  <si>
    <t>sur le trottoir</t>
  </si>
  <si>
    <t>Il y a un trou dans la chaussette.</t>
  </si>
  <si>
    <t>faire un trou</t>
  </si>
  <si>
    <t>J'ai perdu mon trousseau de clés.</t>
  </si>
  <si>
    <t>un trousseau de clés</t>
  </si>
  <si>
    <t>Quel type de fromage préfères-tu ?</t>
  </si>
  <si>
    <t>un type de</t>
  </si>
  <si>
    <t>Le vaccin protège contre la grippe.</t>
  </si>
  <si>
    <t>faire un vaccin</t>
  </si>
  <si>
    <t>La veste en velours est confortable.</t>
  </si>
  <si>
    <t>Le vent souffle fort aujourd'hui.</t>
  </si>
  <si>
    <t>il y a du vent</t>
  </si>
  <si>
    <t>id_liste</t>
  </si>
  <si>
    <t>icône</t>
  </si>
  <si>
    <t>les_gens</t>
  </si>
  <si>
    <t>Les gens</t>
  </si>
  <si>
    <t>👤</t>
  </si>
  <si>
    <t>les_courses</t>
  </si>
  <si>
    <t>Les courses</t>
  </si>
  <si>
    <t>chez_le_medecin</t>
  </si>
  <si>
    <t>Chez le médecin</t>
  </si>
  <si>
    <t>🩺</t>
  </si>
  <si>
    <t>ma_fanfare</t>
  </si>
  <si>
    <t>Ma fanfare</t>
  </si>
  <si>
    <t>liste_1</t>
  </si>
  <si>
    <t>liste_2</t>
  </si>
  <si>
    <t>liste_3</t>
  </si>
  <si>
    <t>une chose</t>
  </si>
  <si>
    <t>une personne</t>
  </si>
  <si>
    <t>un lieu</t>
  </si>
  <si>
    <t>une action</t>
  </si>
  <si>
    <t>une qualité</t>
  </si>
  <si>
    <t>un sentiment</t>
  </si>
  <si>
    <t>un moment, un nombre, un mot utile</t>
  </si>
  <si>
    <t>natures</t>
  </si>
  <si>
    <t>alerte</t>
  </si>
  <si>
    <t>les mots</t>
  </si>
  <si>
    <t>chose 109, action 9</t>
  </si>
  <si>
    <t>le sandwich, des pâtes, le riz, une bière limonade, un verre de vin rouge, un verre de vin blanc, une suze henniez, le thé, une eau minérale, un henniez cassis, un Coca Cola, un grapefruit, un jus de pomme, un jus d'orange, un Sprite, le sirop, la viande, le lait, l'huile, l'oeuf, le gâteau, le fruit, la pomme, la poire, le pruneau, la cerise, l'abricot, la fraise, la framboise, la banane, l'orange, la mandarine, l'avocat, la noix, la pêche, le raisin, le légume, la pomme de terre, la carotte, la tomate, le chou-fleur, le poireau, le brocoli, l'asperge, la courgette, la salade (laitue), la betterave à salade, le haricot, l'oignon, une pizza, les lasagnes, les cornettes, les spaghetti, les pennes, un oeuf au plat, l'omelette, la polenta, la fondue, la raclette, la soupe, des filets de perche, un filet de truite, du rôti de boeuf, le boeuf, un steack de boeuf frites, le porc, du filet mignon de porc, du rôti de porc, une côtelette de porc, le poulet, un blanc de poulet, une cuisse de poulet, du poulet au curry, le pain, le gendarme, la saucisse, le café, le fromage, boire, cuire, goûter, dépenser, la gorge, la goutte, la larme, la rosée, la sauce, le beurre, le chocolat, le citron, le déjeuner, le dessert, le dîner, le goût, les produits laitiers, le miel, le pique-nique, le repas, le vêtement, l'épice, l'invité, manger, prendre, préparer, le yogurt, le vinaigre, les accompagnements, le tiramisu, une coupe aux fraises, le big mac chez Mc Donald, le maïs, jambon, la nourriture, le souper, griller, L'assaisonnement, avaler, le verre</t>
  </si>
  <si>
    <t>chose 36, personne 25, action 5</t>
  </si>
  <si>
    <t>la lettre, la réunion, le bureau (meuble), le rapport, l'entreprise, l'équipe, le dossier, Assurance invalidité, Caisse de pensions ORAE, KPT assurance maladie, Banque Migros, Banque Raiffeisen, Assurance La Mobilière, Assurance Helvetia, la carte, le prêt hypothécaire, le billet de banque, la pièce de monnaie, le code, le compte, le guichet, le retrait, le solde, le virement, l'argent, le salaire, le médecin, la doctoresse, le policier, le charpentier, le maçon, l'installateur sanitaire, le ferblantier, le menuisier, le poseur de cuisine, le mécanicien, le cuisinier, le boulanger, le chauffeur, le dessinateur, le professeur, l'acteur, l'agriculteur, le banquier, le chanteur, le facteur, le peintre, le pompier, le vendeur, l'écrivain, l'infirmier, le porte-monnaie, l'Ipad ou la tablette, le bureau, le classeur, la calculatrice, l'ordinateur, acheter, dépenser, la facture, la vente, l'achat, le commerce, payer, travailler, vendre</t>
  </si>
  <si>
    <t>chose 61, action 2, personne 1</t>
  </si>
  <si>
    <t>le don d'honneur (argent), le défilé - le concours de marche, l'ASM, l'ACMV, la FMVC, Yvan Maistre, la baguette, la chanson, la chorale, la danse, la mélodie, la partition, la répétition, la scène, le directeur, le concert, le public, le son, le souffle, les applaudissements, l'harmonie, la portée et les mesures, la clé de sol, les figures de notes, les altérations, les silences, les nuances, le crescendo et decrescendo, la sourdine Cup, la sourdine straignt ou metal, l'embouchure, les pistons, la coulisse, le coffre, l'huile, la graisse, les brosses, le pupitre, l'uniforme, la guitare, le piano, la batterie, la grosse caisse, les cymbales, les timbales, le xylophone, le vibraphone, le marimba, le tambour, le cornet, le bugle, l'alto, le baryton, l'euphonium, la basse, le trombone, l'Ipad ou la tablette, chanter, danser, le champion, le rythme, la note, la gamme, le métronome</t>
  </si>
  <si>
    <t>chose 57, personne 2, action 2</t>
  </si>
  <si>
    <t>le ventre, le dos, le coeur, la poitrine, le torse, l'épaule, la tête, les cheveux, l'oeil, le nez, la bouche, la dent, l'oreille, la joue, la langue, la lèvre, le cou, le front, le doigt, la main, le bras, la jambe, la cuisse, le pied, le coude, le genou, la salle de bain, le lavabo, le savon, le miroir, le WC, la douche, la baignoire, le rasoir, le déodorant, le dentifrice, la brosse à dents, Docteur Nicole Ducrey Crettenand, Professeur Joseph-André Ghika, neurologue, la peau, la voix, le cerveau, le muscle, le sang, le squelette, l'estomac, l'ongle, l'os, la douleur, la maladie, la pommade, la santé, la serviette, le bandage, le comprimé, le médicament, le pansement, le remède, soigner, l'ordonnance, tousser</t>
  </si>
  <si>
    <t>chose 44, action 11</t>
  </si>
  <si>
    <t>le porte-monnaie, le vélo, la moto, la voiture, le pickup, le  car postal, le camion, le tracteur, le train, la route, les feux de circulation, l'avion, l'helicoptère, le bateau, Dacia Duster, le pare-brise, les essuie glace, le capot, l'aile, le pare-chocs, les jantes, les pneus, la portière, le clignotant, le klaxon, le phare, le rétroviseur, le siège, le volant, le tableau de bord, le coffre, la vitesse, l'essence, la jauge d'huile, l'huile moteur, le liquide lave-glace, l'entonnoir, aller, courir, entrer, la promenade, la roue, le billet, le moteur, le mouvement, le permis, marcher, nager, partir, porter, pousser, sortir, voler, le levier de vitesse, conduire</t>
  </si>
  <si>
    <t>chose 50, action 2</t>
  </si>
  <si>
    <t>action 33, chose 14</t>
  </si>
  <si>
    <t>les paroles, accepter, annoncer, appeler, avouer, chanter, chuchoter, compter, conseiller, crier, demander, dire, écouter, écrire, expliquer, féliciter, Gauthier Moulin, la chose, la fois, la friandise, la question, l'attention, l'avis, le moteur, le signe, le texte, le verbe, l'invitation, lire, l'objet, mentir, ordonner, parler, plaindre, prévenir, promettre, raconter, rappeler, refuser, remercier, répéter, répondre, saluer, supplier, tirer, venir, interdire</t>
  </si>
  <si>
    <t>chose 40, action 1</t>
  </si>
  <si>
    <t>la casquette, la ceinture, le bonnet, le gant, l'écharpe, les baskets, les souliers, les bottillons, la paire de slip, les bas, le pantalon, le jeans (pantalon), les cuissettes, la jupe, le juste-au-corps, le t-shirt, la chemise, le polo, le pull ou pullover, la veste, essayer, la couverture, la fièvre, la manche, la matière, la poche, la robe, la tente, le bandage, le bouton, le chapeau, le cintre, le manteau, le pays, le porte-manteau, le ruban, le tablier, le tissu, le velours, le vêtement, un habit</t>
  </si>
  <si>
    <t>chose 24, lieu 12, action 2</t>
  </si>
  <si>
    <t>la forêt, la mer, la montagne, la rivière, le rocher, la lune, la terre, le ciel, le feu, le soleil, l'eau, l'incendie, l'auberge du Godet, le Refuge du Lac à Derborence, le lac de Derborence, la buvette de Dorbon, l'alpage d'Airoz ou Aïre, l'alpage de Flore, le lac des Trente pas, la croix de la Chia, le Gîte de Lodze, le restaurant de la Grand-Zour, la cabane de Prarochet, le barrage de la Grande Dixence, la branche d'un arbre, la fleur, la plante, l'arbre, les feuilles des arbres, l'herbe, la promenade, la randonnée, le chemin, le sentier, le sol, le trottoir, marcher, réparer</t>
  </si>
  <si>
    <t>action 26, chose 11</t>
  </si>
  <si>
    <t>acheter, aider, apprendre, changer, choisir, comparer, comprendre, cuire, donner, expliquer, frapper, dépenser, la vente, l'achat, l'aide, l'attention, le commerce, partager, soigner, le vol, l'élève, l'entretien, lever, l'exemple, lire, l'objet, l'ordonnance, nettoyer, ordonner, payer, prendre, ramasser, regarder, se souvenir, tenir, vendre, éclairer</t>
  </si>
  <si>
    <t>action 20, chose 7</t>
  </si>
  <si>
    <t>annoncer, apprendre, comprendre, compter, connaître, croire, décider, deviner, douter, expliquer, féliciter, imaginer, la curiosité, dépenser, la mémoire, le nombre, l'élève, l'exemple, l'idée, l'information, lire, oublier, penser, perdre, réfléchir, savoir, se souvenir</t>
  </si>
  <si>
    <t>chose 20, action 3</t>
  </si>
  <si>
    <t>le salon, le canapé, le fauteuil, le meuble, la télévision, la lampe, la chambre, le lit, le matelas, l'oreiller, le duvet, le réveil, l'armoire, le fourneau à bois, le fourneau à pellets, dormir, se détendre, la tente, le calme, le rideau, le sommeil, les vacances, s'asseoir</t>
  </si>
  <si>
    <t>chose 19, action 3</t>
  </si>
  <si>
    <t>le lave-linge, le sèche-linge, le fer à repasser, faire les vitres, la serpillière, l'aspirateur, le chiffon, le matériel pour récurrer, le meister proper, l'éponge, la corbeille à linge, le panier à linge, la lessive, le linge, la poussière, la saleté, laver, le bain, le balai, nettoyer, récurrer, le produit ou gel de douche</t>
  </si>
  <si>
    <t>chose 12, action 3</t>
  </si>
  <si>
    <t>la vitesse, l'essence, la jauge d'huile, l'huile moteur, le liquide lave-glace, l'entonnoir, faire, la garantie, la pince, le bricolage, le clou, le marteau, le tournevis, préparer, réparer</t>
  </si>
  <si>
    <t>chose 6, action 2</t>
  </si>
  <si>
    <t>aider, attendre, l'aide, le jardinage, le parapluie, le vêtement, l'entraide, l'exemple</t>
  </si>
  <si>
    <t>action 3</t>
  </si>
  <si>
    <t>aimer, sentir, vouloir</t>
  </si>
  <si>
    <t>chose 166, action 9</t>
  </si>
  <si>
    <t>à vérifier</t>
  </si>
  <si>
    <t>chose 97, animal 48, lieu 16, action 13</t>
  </si>
  <si>
    <t>la pelouse, la table de jardin, la haie de thujas, l'arrosage automatique, la tondeuse à gazon, l'essence pour tondeuse, la débroussailleuse, le fil pour la débroussailleuse, la vache, le cochon, le mouton, la poule, la chèvre, le cheval, le bassin, la souris, l'écureuil, la marmotte, le loup, le chevreuil, le chamois, la biche, le cerf, le bouquetin, le poisson, le serpent, l'éléphant, le lion, le tigre, la fourrure, la grenouille, la trompe, le canard, le fauve, le renard, le singe, l'ours, la forêt, la mer, la montagne, la rivière, le rocher, la lune, la terre, le ciel, le feu, le soleil, l'eau, l'incendie, l'auberge du Godet, le Refuge du Lac à Derborence, le lac de Derborence, la buvette de Dorbon, l'alpage d'Airoz ou Aïre, l'alpage de Flore, le lac des Trente pas, la croix de la Chia, le Gîte de Lodze, le restaurant de la Grand-Zour, la cabane de Prarochet, le barrage de la Grande Dixence, la fourmi, la mouche, la toile, l'abeille, l'araignée, le papillon, l'insecte, l'aigle, le gypaète barbu, le moineau, le pigeon, la branche d'un arbre, la fleur, la plante, l'arbre, les feuilles des arbres, l'herbe, l'entonnoir, aller, changer, courir, imaginer, la brise, la campagne, la cascade, la cave, la clairière, la colline, la corde, la ferme, la feuille, la garantie, la glace, la graine, la guèpe, la machine, la météo, la mousse, la nature, la neige, la patte, la piqûre, la place, la planète, la pluie, la plume, la prairie, la racine, la randonnée, la récolte, la roche, la rosée, la signature, la société, la source, la tempête, la vallée, la vente, la vigne, l'arc-en-ciel, l'aventure, le blé, le bois, le bourgeon, le brouillard, le bruit, le buisson, le champ, le champignon, le champion, le chemin, le cône, le devoir, le gel, le jardin, le jardinage, le lac, le marteau, le mouvement, le nuage, le parapluie, le paysage, le pique-nique, le sentier, le territoire, le tronc, le vent, le village, le volume, l'éclair, l'écorce, l'environnement, l'étoile, lever, l'histoire, l'horizon, l'île, l'oiseau, l'ombre, nager, ramasser, ranger, répondre, tirer, venir, voler, le léopard, le moustique, le maïs, la terre, le pommier, animal, traverser</t>
  </si>
  <si>
    <t>chose 65, animal 5, action 5, lieu 4</t>
  </si>
  <si>
    <t>lieu 42, chose 31, action 4</t>
  </si>
  <si>
    <t>Assurance invalidité, Caisse de pensions ORAE, KPT assurance maladie, Banque Migros, Banque Raiffeisen, Assurance La Mobilière, Assurance Helvetia, la carte, le prêt hypothécaire, le billet de banque, la pièce de monnaie, le code, le compte, le guichet, le retrait, le solde, le virement, l'Administration communale de Conthey, l'école primaire de Erde, l'église, Migros Partenaire à Erde, la station service, le Garage du Nord de Conthey, la Salle polyvalente de Conthey, le café des Sapins, le restaurant Les Rangs à St-Séverin, l'Hôtel Restaurant du Sanetsch, l'hôpital de Sion, l'hôpital de Sierre, la gare CFF de Sion, la gare routière de Sion, la gare, l'aéroport, le musée, la ville de Sion, Vétroz, la ville, la rue, le pont, le tunnel, le parc, le Bureau des Métiers, Hôtel de police à Genève, le CHUV - Hôpital Universitaire Vaudois, la banque, le magasin, le marché, le restaurant, l'hôtel, la boutique, la caisse, la campagne, la pharmacie, la place, la poste, la promenade, la sortie, le bâtiment, le commerce, le devoir, le maître, le parking, le quartier, le sol, le trottoir, le village, l'école, l'élève, les vacances, l'immeuble, l'usine, marcher, réparer, le numéro, le panneau, habiter, traverser</t>
  </si>
  <si>
    <t>chose 26, personne 25, action 9</t>
  </si>
  <si>
    <t>la lettre, la réunion, le bureau (meuble), le rapport, l'entreprise, l'équipe, le dossier, l'intérêt, l'argent, le salaire, le médecin, la doctoresse, le policier, le charpentier, le maçon, l'installateur sanitaire, le ferblantier, le menuisier, le poseur de cuisine, le mécanicien, le cuisinier, le boulanger, le chauffeur, le dessinateur, le professeur, l'acteur, l'agriculteur, le banquier, le chanteur, le facteur, le peintre, le pompier, le vendeur, l'écrivain, l'infirmier, le porte-monnaie, l'Ipad ou la tablette, le bureau, le classeur, la calculatrice, l'ordinateur, acheter, compter, féliciter, gagner, dépenser, la facture, la machine, la tâche, l'appareil, le devoir, le nombre, le travail, l'économie, l'engin, les vacances, payer, travailler, vendre, éclairer</t>
  </si>
  <si>
    <t>chose 47, action 2, lieu 1</t>
  </si>
  <si>
    <t>le porte-monnaie, le vélo, la moto, la voiture, le pickup, le  car postal, le camion, le tracteur, le train, la route, les feux de circulation, Dacia Duster, le pare-brise, les essuie glace, le capot, l'aile, le pare-chocs, les jantes, les pneus, la portière, le clignotant, le klaxon, le phare, le rétroviseur, le siège, le volant, le tableau de bord, le coffre, la vitesse, l'essence, la jauge d'huile, l'huile moteur, le liquide lave-glace, l'entonnoir, la circulation, la grille, la roue, l'autoroute, le caoutchouc, le choc, le frein, le moteur, le parking, le permis, le velours, l'enveloppe, réparer, le levier de vitesse, conduire, le virage</t>
  </si>
  <si>
    <t>chose 27</t>
  </si>
  <si>
    <t>le spectacle, le lave-linge, le sèche-linge, le fer à repasser, la salle de bain, le lavabo, le savon, le miroir, le WC, la douche, la baignoire, le rasoir, le déodorant, le dentifrice, la brosse à dents, la corbeille à linge, le panier à linge, la lessive, le linge, la serviette, l'accident, le bain, le choc, le danger, le reflet, le tube, le produit ou gel de douche</t>
  </si>
  <si>
    <t>chose 12, personne 2, lieu 2, action 2</t>
  </si>
  <si>
    <t>Docteur Nicole Ducrey Crettenand, Professeur Joseph-André Ghika, neurologue, la blessure, la douleur, la fièvre, la maladie, la pharmacie, la pommade, le bandage, le comprimé, le médicament, le pansement, le remède, le rhume, soigner, le vaccin, l'ordonnance, tousser</t>
  </si>
  <si>
    <t>chose 12, action 1</t>
  </si>
  <si>
    <t>la chambre, le lit, le matelas, l'oreiller, le duvet, le réveil, l'armoire, dormir, la couverture, la tente, le coussin, le rideau, le sommeil</t>
  </si>
  <si>
    <t>chose 9, action 1</t>
  </si>
  <si>
    <t>le salon, le canapé, le fauteuil, le meuble, la télévision, la lampe, le fourneau à bois, le fourneau à pellets, le coussin, éclairer</t>
  </si>
  <si>
    <t>mot utile 47, chose 2</t>
  </si>
  <si>
    <t>la seconde, la minute, l'heure, le jour, le matin, le soir, la nuit, la semaine, le mois, l'année, le siècle, le printemps, l'été, l'automne, l'hiver, la saison, la date, l'anniversaire, aujourd'hui, hier, demain, maintenant, le calendrier, l'agenda, la durée, tôt, tard, toujours, jamais, souvent, parfois, le réveil, bientôt, déjà, la conversation, la dispute, la fête, la guérison, la montre, la naissance, la panne, la rencontre, l'âge, le moment, le repos, le souvenir, l'instant, longtemps, plutôt</t>
  </si>
  <si>
    <t>mot utile 17</t>
  </si>
  <si>
    <t>la centaine, ailleurs, aussi, autour, bien, coupant, d'abord, dedans, dehors, doucement, ensemble, gentiment, ici, mal, pourtant, surtout, tiède</t>
  </si>
  <si>
    <t>mot utile 8</t>
  </si>
  <si>
    <t>enfin, ensuite, environ, exprès, là, loin, près (proche), presque</t>
  </si>
  <si>
    <t>mot utile 6</t>
  </si>
  <si>
    <t>la paire, la douzaine, la foule, la quantité, le calcul, zéro</t>
  </si>
  <si>
    <t>mot utile 5</t>
  </si>
  <si>
    <t>assez, autant, beaucoup, peu, trop</t>
  </si>
  <si>
    <t>chose 1, mot utile 1</t>
  </si>
  <si>
    <t>le thermomètre, très</t>
  </si>
  <si>
    <t>chose 1</t>
  </si>
  <si>
    <t>mot utile 1</t>
  </si>
  <si>
    <t>chose 36</t>
  </si>
  <si>
    <t>le ventre, le dos, le coeur, la poitrine, le torse, l'épaule, la tête, les cheveux, l'oeil, le nez, la bouche, la dent, l'oreille, la joue, la langue, la lèvre, le cou, le front, le doigt, la main, le bras, la jambe, la cuisse, le pied, le coude, le genou, la peau, la voix, le cerveau, le muscle, le sang, le squelette, l'estomac, l'ongle, l'os, le geste</t>
  </si>
  <si>
    <t>chose 21</t>
  </si>
  <si>
    <t>Dacia Duster, le pare-brise, les essuie glace, le capot, l'aile, le pare-chocs, les jantes, les pneus, la portière, le clignotant, le klaxon, le phare, le rétroviseur, le siège, le volant, le tableau de bord, le coffre, l'essence, l'huile moteur, le liquide lave-glace, le levier de vitesse</t>
  </si>
  <si>
    <t>chose 4</t>
  </si>
  <si>
    <t>la branche d'un arbre, la racine, le tronc, l'écorce</t>
  </si>
  <si>
    <t>personne 4</t>
  </si>
  <si>
    <t>Mathilde, Julien, Eva, la copine de Julien, Olivier</t>
  </si>
  <si>
    <t>chose 2</t>
  </si>
  <si>
    <t>la cuisine, le garage</t>
  </si>
  <si>
    <t>personne 38</t>
  </si>
  <si>
    <t>la famille, le mari et la femme, la mère - la maman, le père - le papa, les enfants, le bébé, la fille, le fils, la grand-mère, le grand-père, la soeur, le frère, la tante, l'oncle, mes enfants, Mathilde, Julien, Emma, Loïc, Claudia, Patrick, Olivier, Barbara, Sandrine, Louane, Melwyn, Jason, Yanis, Alison, Germaine, Noël, grand-maman Léontine, grand-maman Emma, grand-papa Maurice, l'oncle Bernard, l'oncle Marcel, tante Lucienne, tante Edith</t>
  </si>
  <si>
    <t>personne 14</t>
  </si>
  <si>
    <t>Mathilde, Julien, Emma, Loïc, Emile, le copain de Mathilde, Paul, le copain d'Emma, Olivier, Sandrine, Jason, Christophe Germanier, Claudine Fumeaux, Philippe Germanier, Régis Evéquoz, Stéphanie Germanier</t>
  </si>
  <si>
    <t>personne 6</t>
  </si>
  <si>
    <t>la famille, Emile, le copain de Mathilde, Eva, la copine de Julien, Paul, le copain d'Emma, Damien Lagger, le voisin</t>
  </si>
  <si>
    <t>personne 1</t>
  </si>
  <si>
    <t>qualité 18</t>
  </si>
  <si>
    <t>dessus  ↔  dessous, épais  ↔  fin, fort  ↔  faible, grand  ↔  petit, gros  ↔  mince, haut  ↔  bas, jeune  ↔  vieux, large  ↔  étroit, long  ↔  court, la hauteur, la largeur, la longueur, le rectangle, l'épaisseur, adulte, élevé, nombreux, profond</t>
  </si>
  <si>
    <t>jeune  ↔  vieux, neuf  ↔  usé, nouveau  ↔  ancien, propre  ↔  sale, sucré  ↔  salé, vide  ↔  plein, cassé, creux, dangereux, électrique, enflammé, joyeux, malin, prêt, résistant, rusé, souple, vif - vive</t>
  </si>
  <si>
    <t>qualité 14</t>
  </si>
  <si>
    <t>blanc, bleu, gris, jaune, la couleur, marron, noir, orange, rose, rouge, vert, brun, colorée, roux</t>
  </si>
  <si>
    <t>courageux  ↔  peureux, dessus  ↔  dessous, devant  ↔  derrière, fermé  ↔  ouvert, gentil  ↔  méchant, haut  ↔  bas, sec  ↔  mouillé, vide  ↔  plein, la hauteur, élevé, extérieur, intérieur, profond, sauvage</t>
  </si>
  <si>
    <t>qualité 11</t>
  </si>
  <si>
    <t>noir, rose, beau  ↔  laid, brillant  ↔  terne, clair  ↔  sombre, lourd  ↔  léger, riche  ↔  pauvre, colorée, important, merveilleux, touffu</t>
  </si>
  <si>
    <t>dur  ↔  mou, carré, triangle, courbe, droit, le cercle, le rectangle, pointu, rond, arrondi, partout</t>
  </si>
  <si>
    <t>qualité 9</t>
  </si>
  <si>
    <t>amer  ↔  acide, dur  ↔  mou, sec  ↔  mouillé, collant, doux - douce, piquant, rude, souple, velouté</t>
  </si>
  <si>
    <t>qualité 6</t>
  </si>
  <si>
    <t>amer  ↔  acide, bon  ↔  mauvais, propre  ↔  sale, sucré  ↔  salé, doux - douce, piquant</t>
  </si>
  <si>
    <t>calme  ↔  agité (énervé), content  ↔  triste, drôle  ↔  sérieux, heureux, joyeux, tranquille</t>
  </si>
  <si>
    <t>cher  ↔  bon marché, libre  ↔  occupé, doux - douce, gratuit, rude, velouté</t>
  </si>
  <si>
    <t>qualité 5</t>
  </si>
  <si>
    <t>dur  ↔  mou, facile  ↔  difficile, triangle, pratique, souple</t>
  </si>
  <si>
    <t>qualité 3</t>
  </si>
  <si>
    <t>chaud  ↔  froid, enflammé, frais - fraîche</t>
  </si>
  <si>
    <t>courageux  ↔  peureux, gentil  ↔  méchant, aimable</t>
  </si>
  <si>
    <t>intelligent  ↔  bête, rapide  ↔  lent, vif - vive</t>
  </si>
  <si>
    <t>sentiment 13</t>
  </si>
  <si>
    <t>la colère, la peur, la solitude, la tristesse, le courage, la honte, la jalousie, la peine, la timidité, le chagrin, le visage, l'ennui, l'inquiétude</t>
  </si>
  <si>
    <t>sentiment 12</t>
  </si>
  <si>
    <t>la confiance, la fierté, la gratitude, la joie, la surprise, l'amour, le bonheur, le courage, l'espoir, l'ami, le plaisir, le visage</t>
  </si>
  <si>
    <t>chose 89, animal 2</t>
  </si>
  <si>
    <t>la fourchette, la dent, des pâtes, le riz, le cochon, le mouton, un grapefruit, le sirop, la viande, le gâteau, le fruit, la pomme, la poire, le pruneau, la cerise, l'abricot, la fraise, la framboise, la banane, l'orange, la mandarine, la noix, la pêche, le raisin, le légume, la pomme de terre, la carotte, la tomate, le chou-fleur, le poireau, le brocoli, l'asperge, la courgette, la salade (laitue), la betterave à salade, le haricot, l'oignon, une pizza, les lasagnes, les spaghetti, les pennes, un oeuf au plat, l'omelette, la polenta, la fondue, la raclette, la soupe, la branche d'un arbre, les feuilles des arbres, du rôti de boeuf, le boeuf, un steack de boeuf frites, le porc, du filet mignon de porc, du rôti de porc, une côtelette de porc, le poulet, du poulet au curry, l'estomac, le pain, le gendarme, la saucisse, le fromage, la confiture, la gorge, la sauce, la surface, la vigne, le beurre, le champ, le chocolat, le citron, le dessert, le disque, le jardin, le jus, les produits laitiers, le miel, le noyau, le panier, le piment, le plat, le repas, le terrain, le yogurt, le vinaigre, les accompagnements, une coupe aux fraises, le maïs, jambon, la nourriture</t>
  </si>
  <si>
    <t>animal 39, chose 3</t>
  </si>
  <si>
    <t>la vache, la poule, la chèvre, le cheval, le chien, le lapin, l'écureuil, le loup, le chevreuil, le chamois, la biche, le cerf, le bouquetin, le poisson, le serpent, l'éléphant, la grenouille, le canard, le fauve, le renard, le singe, l'ours, le lait, l'huile, l'oeuf, la fourmi, la mouche, l'abeille, l'araignée, le papillon, l'insecte, l'aigle, le gypaète barbu, le moineau, le pigeon, la guèpe, la patte, la piqûre, la plume, l'oiseau, le moustique, animal</t>
  </si>
  <si>
    <t>chose 39, animal 1</t>
  </si>
  <si>
    <t>la ceinture, l'écharpe, la sourdine straignt ou metal, l'embouchure, la coulisse, la graisse, la pièce de monnaie, le rocher, la toile, le vibraphone, le marimba, la clé, les jantes, la serpillière, le chiffon, la jauge d'huile, les volets, le fourneau à pellets, la couverture, la graisse, la masse, la matière, la poudre, la roche, la serviette, la tente, la vis, le bandage, le caoutchouc, le clou, le crayon, le fer, le métal, le plancher, le plastique, le rideau, le ruban, le tonneau, le velours, le verre</t>
  </si>
  <si>
    <t>chose 31</t>
  </si>
  <si>
    <t>chose 29</t>
  </si>
  <si>
    <t>la tondeuse à gazon, le frigo, le lave-vaisselle, le four, le micro onde, la cuisinière vitroceram, la machine à café, la grille à raclette, le robinet, le lave-linge, le sèche-linge, le fer à repasser, la lampe, le chargeur, le téléphone ou l'Iphone, l'Ipad ou la tablette, l'avion, l'helicoptère, l'aspirateur, la calculatrice, l'ordinateur, la prise, le fourneau à bois, la machine, la photo, le niveau, le métronome, l'appareil photo, la capsule Nespresso</t>
  </si>
  <si>
    <t>chose 25</t>
  </si>
  <si>
    <t>la casquette, le gant, le duvet, le linge, la paire de slip, les bas, le pantalon, le jeans (pantalon), les cuissettes, la jupe, le juste-au-corps, le t-shirt, la chemise, le polo, le pull ou pullover, la veste, la manche, la robe, le bouton, le cintre, le manteau, le tablier, le tissu, le vêtement, un habit</t>
  </si>
  <si>
    <t>chose 22, animal 1</t>
  </si>
  <si>
    <t>la haie de thujas, le poivre, la forêt, l'avocat, la fleur, la plante, l'arbre, la feuille, la graine, la mousse, la nature, la racine, la récolte, le blé, le bois, le bourgeon, le buisson, le champignon, le jardinage, le tronc, l'écorce, le léopard, le pommier</t>
  </si>
  <si>
    <t>chose 17</t>
  </si>
  <si>
    <t>le vélo, la moto, la voiture, le pickup, le  car postal, le camion, le tracteur, le train, la route, le bateau, Dacia Duster, le pare-brise, le capot, le pare-chocs, le tableau de bord, la roue, le moteur</t>
  </si>
  <si>
    <t>chose 16</t>
  </si>
  <si>
    <t>le dos, le coeur, l'épaule, l'oeil, l'oreille, le cou, Banque Migros, des filets de perche, un filet de truite, le cerveau, le muscle, le squelette, l'os, le geste, le sac à dos, les vacances</t>
  </si>
  <si>
    <t>le coffre, la guitare, le piano, la batterie, la grosse caisse, les cymbales, les timbales, le xylophone, le cornet, le bugle, l'alto, le baryton, l'euphonium, la basse, le trombone, les cornettes</t>
  </si>
  <si>
    <t>chose 15</t>
  </si>
  <si>
    <t>le bureau (meuble), la table de jardin, la table, le buffet, le meuble, le siège, le lit, l'armoire, le classeur, la boîte, la poche, la valise, l'appartement, le portefeuille, le tiroir</t>
  </si>
  <si>
    <t>chose 13</t>
  </si>
  <si>
    <t>chose 10</t>
  </si>
  <si>
    <t>la débroussailleuse, les brosses, le rasoir, la pince, l'appareil, le marteau, le tournevis, l'engin, les ciseaux, l'outil</t>
  </si>
  <si>
    <t>chose 8</t>
  </si>
  <si>
    <t>une bière limonade, un verre de vin rouge, un verre de vin blanc, le thé, un Coca Cola, un jus de pomme, un jus d'orange, le café</t>
  </si>
  <si>
    <t>la maison, le chalet, le toit, le bâtiment</t>
  </si>
  <si>
    <t>images</t>
  </si>
  <si>
    <t>classement</t>
  </si>
  <si>
    <t>tags</t>
  </si>
  <si>
    <t>expression</t>
  </si>
  <si>
    <t>synonyme</t>
  </si>
  <si>
    <t>reste à faire</t>
  </si>
  <si>
    <t>L'enveloppe qui recouvre tout ton corps  ++  L'enveloppe qui recouvre les fruits.</t>
  </si>
  <si>
    <t>pomme_de_terre</t>
  </si>
  <si>
    <t>v_skier</t>
  </si>
  <si>
    <t>skier</t>
  </si>
  <si>
    <t>la feuille d'une plante</t>
  </si>
  <si>
    <t>feuille_plante</t>
  </si>
  <si>
    <t>https://raw.githubusercontent.com/olaf-programmeur/images/main/feuille_plante.webp</t>
  </si>
  <si>
    <t>https://raw.githubusercontent.com/olaf-programmeur/images/main/feuille_plante_1.webp</t>
  </si>
  <si>
    <t>https://raw.githubusercontent.com/olaf-programmeur/images/main/feuille_plante_2.webp</t>
  </si>
  <si>
    <t>https://raw.githubusercontent.com/olaf-programmeur/images/main/feuille_plante_3.webp</t>
  </si>
  <si>
    <t>https://raw.githubusercontent.com/olaf-programmeur/images/main/feuille_plante_4.webp</t>
  </si>
  <si>
    <t>marche_lieu</t>
  </si>
  <si>
    <t>https://raw.githubusercontent.com/olaf-programmeur/images/main/marche_lieu.webp</t>
  </si>
  <si>
    <t>Un morceau de quelque chose ou d'une ville, d'un immeuble, d'une maison.</t>
  </si>
  <si>
    <t>On dit également un paysan.</t>
  </si>
  <si>
    <t>feuille_papier</t>
  </si>
  <si>
    <t>La page d'un livre ou d'un journal.</t>
  </si>
  <si>
    <t>L'action de faire descendre la nourriture ou la boisson dans l'estomac.</t>
  </si>
  <si>
    <t>J'ai avalé le bonbon.</t>
  </si>
  <si>
    <t>la feuille de papier</t>
  </si>
  <si>
    <t>https://raw.githubusercontent.com/olaf-programmeur/images/main/poire_1.webp</t>
  </si>
  <si>
    <t>https://raw.githubusercontent.com/olaf-programmeur/images/main/poire_2.webp</t>
  </si>
  <si>
    <t>https://raw.githubusercontent.com/olaf-programmeur/images/main/poire_3.webp</t>
  </si>
  <si>
    <t>https://raw.githubusercontent.com/olaf-programmeur/images/main/poire_4.webp</t>
  </si>
  <si>
    <t>https://raw.githubusercontent.com/olaf-programmeur/images/main/poire_5.webp</t>
  </si>
  <si>
    <t>https://raw.githubusercontent.com/olaf-programmeur/images/main/sucre_1.webp</t>
  </si>
  <si>
    <t>https://raw.githubusercontent.com/olaf-programmeur/images/main/sucre_2.webp</t>
  </si>
  <si>
    <t>https://raw.githubusercontent.com/olaf-programmeur/images/main/vigne_1.webp</t>
  </si>
  <si>
    <t>https://raw.githubusercontent.com/olaf-programmeur/images/main/vigne_2.webp</t>
  </si>
  <si>
    <t>https://raw.githubusercontent.com/olaf-programmeur/images/main/vigne_3.webp</t>
  </si>
  <si>
    <t>https://raw.githubusercontent.com/olaf-programmeur/images/main/vigne_4.webp</t>
  </si>
  <si>
    <t>https://raw.githubusercontent.com/olaf-programmeur/images/main/vigne_5.webp</t>
  </si>
  <si>
    <t>L'action de faire monter la température dans une maison par exemple (en allumant le fourneau ou le chauffage)</t>
  </si>
  <si>
    <t>L'action de prendre quelque chose et l'amener dans un autre endroit.</t>
  </si>
  <si>
    <t>Chauffer - chauffage - chaud</t>
  </si>
  <si>
    <t>L'action de se déplacer en glissant sur le sol comme le serpents.</t>
  </si>
  <si>
    <t>L'action de descendre une pente avec des skis aux pieds.</t>
  </si>
  <si>
    <t>clavier_ordinateur</t>
  </si>
  <si>
    <t>le clavier</t>
  </si>
  <si>
    <t>L'objet avec un ensemble de touches pour écrire sur un ordinateur.</t>
  </si>
  <si>
    <t>Un groupe d'hommes et de femmes qui chantent ensemble.</t>
  </si>
  <si>
    <t>https://raw.githubusercontent.com/olaf-programmeur/images/main/r_loic.webp</t>
  </si>
  <si>
    <t>https://raw.githubusercontent.com/olaf-programmeur/images/main/r_mathilde.webp</t>
  </si>
  <si>
    <t>https://raw.githubusercontent.com/olaf-programmeur/images/main/r_mathilde_1.webp</t>
  </si>
  <si>
    <t>https://raw.githubusercontent.com/olaf-programmeur/images/main/r_mathilde_2.webp</t>
  </si>
  <si>
    <t>https://raw.githubusercontent.com/olaf-programmeur/images/main/r_mathilde_3.webp</t>
  </si>
  <si>
    <t>https://raw.githubusercontent.com/olaf-programmeur/images/main/cuillere.webp</t>
  </si>
  <si>
    <t>https://raw.githubusercontent.com/olaf-programmeur/images/main/seche_linge.webp</t>
  </si>
  <si>
    <t>https://raw.githubusercontent.com/olaf-programmeur/images/main/canape.webp</t>
  </si>
  <si>
    <t>https://raw.githubusercontent.com/olaf-programmeur/images/main/car_postal.webp</t>
  </si>
  <si>
    <t>https://raw.githubusercontent.com/olaf-programmeur/images/main/roti_de_boeuf.webp</t>
  </si>
  <si>
    <t>https://raw.githubusercontent.com/olaf-programmeur/images/main/famille_herve.webp</t>
  </si>
  <si>
    <t>Aller par terre sans le vouloir. Chuter</t>
  </si>
  <si>
    <t>carte_debit</t>
  </si>
  <si>
    <t>pullover</t>
  </si>
  <si>
    <t>https://raw.githubusercontent.com/olaf-programmeur/images/main/cochon_1.webp</t>
  </si>
  <si>
    <t>v_tourner</t>
  </si>
  <si>
    <t>tourner</t>
  </si>
  <si>
    <t>L'action de diriger la tête dans un autre sens  ++  l'action de changer de page.</t>
  </si>
  <si>
    <t>Poser une question</t>
  </si>
  <si>
    <t>fort  ↔  doucement</t>
  </si>
  <si>
    <t>a_fort_doucement</t>
  </si>
  <si>
    <t>Un bruit, un son qu'on entend beaucoup  ++  qu'on attend à peine.</t>
  </si>
  <si>
    <t>Le mot pour mesurer la chaleur ou le froid.</t>
  </si>
  <si>
    <t>Qui est froid  ++  Qui est dur ou rêche au toucher ou en paroles.</t>
  </si>
  <si>
    <t>Qui a beaucoup de poils ou de cheveux  ++  beaucoup de feuilles serrées.</t>
  </si>
  <si>
    <t>l'ambulance</t>
  </si>
  <si>
    <t>ambulance</t>
  </si>
  <si>
    <t>Le véhicule de secours qui transporte la personne blessée ou malade à l'hôpital.</t>
  </si>
  <si>
    <t>v_respirer</t>
  </si>
  <si>
    <t>respirer</t>
  </si>
  <si>
    <t>L'action de faire entrer de l'air dans les poumons.</t>
  </si>
  <si>
    <t>Respirer c'est inspirer et expirer</t>
  </si>
  <si>
    <t>Qui est douloureux  ++  qui fait de la peine</t>
  </si>
  <si>
    <t>a_mal_douloureux</t>
  </si>
  <si>
    <t>Ce qui relie ou attache deux personnes  ++ deux choses</t>
  </si>
  <si>
    <t>Donner une part de quelque chose à chacun.   ++  Vivre quelque chose ensemble</t>
  </si>
  <si>
    <t>pot_ou_mesure</t>
  </si>
  <si>
    <t>a_colore</t>
  </si>
  <si>
    <t>https://raw.githubusercontent.com/olaf-programmeur/images/main/a_colore.webp</t>
  </si>
  <si>
    <t>https://raw.githubusercontent.com/olaf-programmeur/images/main/a_colore_1.webp</t>
  </si>
  <si>
    <t>https://raw.githubusercontent.com/olaf-programmeur/images/main/a_colore_2.webp</t>
  </si>
  <si>
    <t>https://raw.githubusercontent.com/olaf-programmeur/images/main/a_colore_3.webp</t>
  </si>
  <si>
    <t>https://raw.githubusercontent.com/olaf-programmeur/images/main/barriere_5.webp</t>
  </si>
  <si>
    <t>Le grand récipient rempli d'eau où les vaches vont boire.</t>
  </si>
  <si>
    <t>cornichon</t>
  </si>
  <si>
    <t>le cornichon</t>
  </si>
  <si>
    <t>Petit fruit vert allongé d'une plante qu'on ocnserve dans du vinaigre.</t>
  </si>
  <si>
    <t>tronconneuse</t>
  </si>
  <si>
    <t>la tronçonneuse</t>
  </si>
  <si>
    <t>L'outil pour découper des arbres et des branches et faire du bois.</t>
  </si>
  <si>
    <t>le doigt du pied.</t>
  </si>
  <si>
    <t>a_casse</t>
  </si>
  <si>
    <t>https://raw.githubusercontent.com/olaf-programmeur/images/main/a_casse.webp</t>
  </si>
  <si>
    <t>https://raw.githubusercontent.com/olaf-programmeur/images/main/a_casse_1.webp</t>
  </si>
  <si>
    <t>https://raw.githubusercontent.com/olaf-programmeur/images/main/a_casse_2.webp</t>
  </si>
  <si>
    <t>https://raw.githubusercontent.com/olaf-programmeur/images/main/a_casse_3.webp</t>
  </si>
  <si>
    <t>https://raw.githubusercontent.com/olaf-programmeur/images/main/a_casse_4.webp</t>
  </si>
  <si>
    <t>le feu d'artifice</t>
  </si>
  <si>
    <t>feu_artifice</t>
  </si>
  <si>
    <t>le spectacle de lumières avec des fusées pour la fête nationale ou le nouvel an.</t>
  </si>
  <si>
    <t>https://raw.githubusercontent.com/olaf-programmeur/images/main/feu_artifice.webp</t>
  </si>
  <si>
    <t>https://raw.githubusercontent.com/olaf-programmeur/images/main/feu_artifice_1.webp</t>
  </si>
  <si>
    <t>https://raw.githubusercontent.com/olaf-programmeur/images/main/feu_artifice_2.webp</t>
  </si>
  <si>
    <t>https://raw.githubusercontent.com/olaf-programmeur/images/main/feu_artifice_3.webp</t>
  </si>
  <si>
    <t>https://raw.githubusercontent.com/olaf-programmeur/images/main/feu_artifice_4.webp</t>
  </si>
  <si>
    <t>https://raw.githubusercontent.com/olaf-programmeur/images/main/feu_artifice_5.webp</t>
  </si>
  <si>
    <t>amitie</t>
  </si>
  <si>
    <t>v_plier</t>
  </si>
  <si>
    <t>plier</t>
  </si>
  <si>
    <t>c_brun</t>
  </si>
  <si>
    <t>L'endroit d'où l'on envoie les lettres et les colis.  ++  L'entreprise qui se charge du courrier.</t>
  </si>
  <si>
    <t>tronc_arbre</t>
  </si>
  <si>
    <t>https://raw.githubusercontent.com/olaf-programmeur/images/main/tronc_arbre.webp</t>
  </si>
  <si>
    <t>https://raw.githubusercontent.com/olaf-programmeur/images/main/tronc_arbre_1.webp</t>
  </si>
  <si>
    <t>https://raw.githubusercontent.com/olaf-programmeur/images/main/tronc_arbre_2.webp</t>
  </si>
  <si>
    <t>https://raw.githubusercontent.com/olaf-programmeur/images/main/tronc_arbre_3.webp</t>
  </si>
  <si>
    <t>https://raw.githubusercontent.com/olaf-programmeur/images/main/tronc_arbre_4.webp</t>
  </si>
  <si>
    <t>tronc_anatomie</t>
  </si>
  <si>
    <t>Partie centrale du corps, entre le cou et les jambes.</t>
  </si>
  <si>
    <t>a_different</t>
  </si>
  <si>
    <t>a_pareil</t>
  </si>
  <si>
    <t>midi</t>
  </si>
  <si>
    <t>Le milieu de la journée  ++  L'heure de diner</t>
  </si>
  <si>
    <t>https://raw.githubusercontent.com/olaf-programmeur/images/main/dossier_1.webp</t>
  </si>
  <si>
    <t>mecanicien</t>
  </si>
  <si>
    <t>https://raw.githubusercontent.com/olaf-programmeur/images/main/tronc_anatomie.webp</t>
  </si>
  <si>
    <t>Qui ne fait pas de bruit ++ qui est agité, qui fait beaucoup de bruit</t>
  </si>
  <si>
    <t>Le liquide qu'on boit quand on a soif.</t>
  </si>
  <si>
    <t>Le fait d'aller voir quelqu'un chez lui  ++  Aller voir un site touristique.</t>
  </si>
  <si>
    <t>Qui est sur le dehors, pas dans un bâtiment.</t>
  </si>
  <si>
    <t>cinema</t>
  </si>
  <si>
    <t>La grande salle qui accueille beaucoup de monde pour regarder un film.</t>
  </si>
  <si>
    <t>debut</t>
  </si>
  <si>
    <t>le début</t>
  </si>
  <si>
    <t>Le moment où quelque chose commence.</t>
  </si>
  <si>
    <t>v_bruler</t>
  </si>
  <si>
    <t>brûler</t>
  </si>
  <si>
    <t>L'action de détruire par le feu  ++  Avoir une sensation de forte chaleur et de douleur.</t>
  </si>
  <si>
    <t>Soulever</t>
  </si>
  <si>
    <t>a_joyeux</t>
  </si>
  <si>
    <t>sueur</t>
  </si>
  <si>
    <t>la sueur</t>
  </si>
  <si>
    <t>Les gouttes d'eau que produit le corps quand il fait très chaud pour se refroidir.</t>
  </si>
  <si>
    <t>le loyer</t>
  </si>
  <si>
    <t>loyer</t>
  </si>
  <si>
    <t>L'argent qu'on paie quand on loue un appartement  ++ L'argent que la banque me donne sur mon compte.</t>
  </si>
  <si>
    <t>interrupteur</t>
  </si>
  <si>
    <t>l'interrupteur</t>
  </si>
  <si>
    <t>Le bouton sur lequel on appuie pour allumer ou éteindre la lumière.</t>
  </si>
  <si>
    <t>https://raw.githubusercontent.com/olaf-programmeur/images/main/interrupteur.webp</t>
  </si>
  <si>
    <t>https://raw.githubusercontent.com/olaf-programmeur/images/main/interrupteur_1.webp</t>
  </si>
  <si>
    <t>https://raw.githubusercontent.com/olaf-programmeur/images/main/interrupteur_2.webp</t>
  </si>
  <si>
    <t>https://raw.githubusercontent.com/olaf-programmeur/images/main/interrupteur_3.webp</t>
  </si>
  <si>
    <t>https://raw.githubusercontent.com/olaf-programmeur/images/main/interrupteur_4.webp</t>
  </si>
  <si>
    <t>https://raw.githubusercontent.com/olaf-programmeur/images/main/interrupteur_5.webp</t>
  </si>
  <si>
    <t>Rabattre une matière souple en deux, ou plusieurs fois sur elle-même.</t>
  </si>
  <si>
    <t>https://raw.githubusercontent.com/olaf-programmeur/images/main/v_plier.webp</t>
  </si>
  <si>
    <t>https://raw.githubusercontent.com/olaf-programmeur/images/main/v_plier_1.webp</t>
  </si>
  <si>
    <t>https://raw.githubusercontent.com/olaf-programmeur/images/main/v_plier_2.webp</t>
  </si>
  <si>
    <t>https://raw.githubusercontent.com/olaf-programmeur/images/main/v_plier_3.webp</t>
  </si>
  <si>
    <t>https://raw.githubusercontent.com/olaf-programmeur/images/main/v_plier_4.webp</t>
  </si>
  <si>
    <t>https://raw.githubusercontent.com/olaf-programmeur/images/main/v_plier_5.webp</t>
  </si>
  <si>
    <t>pelle_mecanique</t>
  </si>
  <si>
    <t>la pelle mécanique</t>
  </si>
  <si>
    <t>La machine qui permet de creuser et déplacer la terre.</t>
  </si>
  <si>
    <t>https://raw.githubusercontent.com/olaf-programmeur/images/main/pelle_mecanique.webp</t>
  </si>
  <si>
    <t>https://raw.githubusercontent.com/olaf-programmeur/images/main/pelle_mecanique_1.webp</t>
  </si>
  <si>
    <t>https://raw.githubusercontent.com/olaf-programmeur/images/main/pelle_mecanique_2.webp</t>
  </si>
  <si>
    <t>https://raw.githubusercontent.com/olaf-programmeur/images/main/pelle_mecanique_3.webp</t>
  </si>
  <si>
    <t>https://raw.githubusercontent.com/olaf-programmeur/images/main/pelle_mecanique_4.webp</t>
  </si>
  <si>
    <t>rouleau_compresseur</t>
  </si>
  <si>
    <t>le rouleau compresseur</t>
  </si>
  <si>
    <t>La machine pour fixer le goudron sur les routes.</t>
  </si>
  <si>
    <t>https://raw.githubusercontent.com/olaf-programmeur/images/main/rouleau_compresseur.webp</t>
  </si>
  <si>
    <t>https://raw.githubusercontent.com/olaf-programmeur/images/main/rouleau_compresseur_1.webp</t>
  </si>
  <si>
    <t>https://raw.githubusercontent.com/olaf-programmeur/images/main/rouleau_compresseur_2.webp</t>
  </si>
  <si>
    <t>https://raw.githubusercontent.com/olaf-programmeur/images/main/rouleau_compresseur_3.webp</t>
  </si>
  <si>
    <t>https://raw.githubusercontent.com/olaf-programmeur/images/main/rouleau_compresseur_4.webp</t>
  </si>
  <si>
    <t>https://raw.githubusercontent.com/olaf-programmeur/images/main/rouleau_compresseur_5.webp</t>
  </si>
  <si>
    <t>barbe</t>
  </si>
  <si>
    <t>la barbe</t>
  </si>
  <si>
    <t>L'ensemble des poils qui poussent sur le bas du visage</t>
  </si>
  <si>
    <t>https://raw.githubusercontent.com/olaf-programmeur/images/main/barbe.webp</t>
  </si>
  <si>
    <t>https://raw.githubusercontent.com/olaf-programmeur/images/main/barbe_1.webp</t>
  </si>
  <si>
    <t>https://raw.githubusercontent.com/olaf-programmeur/images/main/barbe_2.webp</t>
  </si>
  <si>
    <t>https://raw.githubusercontent.com/olaf-programmeur/images/main/barbe_3.webp</t>
  </si>
  <si>
    <t>https://raw.githubusercontent.com/olaf-programmeur/images/main/barbe_4.webp</t>
  </si>
  <si>
    <t>https://raw.githubusercontent.com/olaf-programmeur/images/main/barbe_5.webp</t>
  </si>
  <si>
    <t>Tout ce qui existe  ++  l'ensemble des pays et des gens.</t>
  </si>
  <si>
    <t>adv_environ</t>
  </si>
  <si>
    <t>le cinéma</t>
  </si>
  <si>
    <t>https://raw.githubusercontent.com/olaf-programmeur/images/main/mecanicien.webp</t>
  </si>
  <si>
    <t>a_mal</t>
  </si>
  <si>
    <t>f_rectangle</t>
  </si>
  <si>
    <t>L'heure, les minutes et les secondes à laquelle on vit.</t>
  </si>
  <si>
    <t>heure_temps</t>
  </si>
  <si>
    <t>L'objet creux avec lequelle on sert à manger  ++  un mets préparé.</t>
  </si>
  <si>
    <t>Un grand arbre majestueux sur lequel pousse les noix.</t>
  </si>
  <si>
    <t>noyer</t>
  </si>
  <si>
    <t>le noyer</t>
  </si>
  <si>
    <t>https://raw.githubusercontent.com/olaf-programmeur/images/main/noyer.webp</t>
  </si>
  <si>
    <t>https://raw.githubusercontent.com/olaf-programmeur/images/main/noyer_1.webp</t>
  </si>
  <si>
    <t>https://raw.githubusercontent.com/olaf-programmeur/images/main/noyer_2.webp</t>
  </si>
  <si>
    <t>https://raw.githubusercontent.com/olaf-programmeur/images/main/noyer_3.webp</t>
  </si>
  <si>
    <t>https://raw.githubusercontent.com/olaf-programmeur/images/main/noyer_4.webp</t>
  </si>
  <si>
    <t>https://raw.githubusercontent.com/olaf-programmeur/images/main/noyer_5.webp</t>
  </si>
  <si>
    <t>https://raw.githubusercontent.com/olaf-programmeur/images/main/noix_1.webp</t>
  </si>
  <si>
    <t>https://raw.githubusercontent.com/olaf-programmeur/images/main/noix_2.webp</t>
  </si>
  <si>
    <t>https://raw.githubusercontent.com/olaf-programmeur/images/main/noix_3.webp</t>
  </si>
  <si>
    <t>https://raw.githubusercontent.com/olaf-programmeur/images/main/noix_4.webp</t>
  </si>
  <si>
    <t>https://raw.githubusercontent.com/olaf-programmeur/images/main/noix_5.webp</t>
  </si>
  <si>
    <t>La place qu'occupe une chose dans l'espace  ++  La force du son (fort - doucement)</t>
  </si>
  <si>
    <t>https://raw.githubusercontent.com/olaf-programmeur/images/main/volume_1.webp</t>
  </si>
  <si>
    <t>https://raw.githubusercontent.com/olaf-programmeur/images/main/volume_2.webp</t>
  </si>
  <si>
    <t>https://raw.githubusercontent.com/olaf-programmeur/images/main/volume_3.webp</t>
  </si>
  <si>
    <t>https://raw.githubusercontent.com/olaf-programmeur/images/main/volume_4.webp</t>
  </si>
  <si>
    <t>https://raw.githubusercontent.com/olaf-programmeur/images/main/volume_5.webp</t>
  </si>
  <si>
    <t>a_sauvage</t>
  </si>
  <si>
    <t>a_heureux</t>
  </si>
  <si>
    <t>https://raw.githubusercontent.com/olaf-programmeur/images/main/jeu_2.webp</t>
  </si>
  <si>
    <t>https://raw.githubusercontent.com/olaf-programmeur/images/main/jeu_3.webp</t>
  </si>
  <si>
    <t>les bâtons</t>
  </si>
  <si>
    <t>Ce sur quoi on s'appuie pour marcher, skier. On les tient dans les mains.</t>
  </si>
  <si>
    <t>batons</t>
  </si>
  <si>
    <t>gourde</t>
  </si>
  <si>
    <t>la gourde</t>
  </si>
  <si>
    <t>La bouteille pour prendre à boire quand on va marcher.</t>
  </si>
  <si>
    <t>https://raw.githubusercontent.com/olaf-programmeur/images/main/gourde.webp</t>
  </si>
  <si>
    <t>https://raw.githubusercontent.com/olaf-programmeur/images/main/gourde_1.webp</t>
  </si>
  <si>
    <t>https://raw.githubusercontent.com/olaf-programmeur/images/main/gourde_2.webp</t>
  </si>
  <si>
    <t>https://raw.githubusercontent.com/olaf-programmeur/images/main/gourde_3.webp</t>
  </si>
  <si>
    <t>https://raw.githubusercontent.com/olaf-programmeur/images/main/gourde_4.webp</t>
  </si>
  <si>
    <t>https://raw.githubusercontent.com/olaf-programmeur/images/main/gourde_5.webp</t>
  </si>
  <si>
    <t>a_vite</t>
  </si>
  <si>
    <t>https://raw.githubusercontent.com/olaf-programmeur/images/main/a_vite.webp</t>
  </si>
  <si>
    <t>bouteille</t>
  </si>
  <si>
    <t>mouchoir</t>
  </si>
  <si>
    <t>le mouchoir</t>
  </si>
  <si>
    <t>Le morceau de tissu ou de papier pour se moucher.</t>
  </si>
  <si>
    <t>https://raw.githubusercontent.com/olaf-programmeur/images/main/mouchoir.webp</t>
  </si>
  <si>
    <t>https://raw.githubusercontent.com/olaf-programmeur/images/main/mouchoir_1.webp</t>
  </si>
  <si>
    <t>https://raw.githubusercontent.com/olaf-programmeur/images/main/mouchoir_2.webp</t>
  </si>
  <si>
    <t>https://raw.githubusercontent.com/olaf-programmeur/images/main/mouchoir_3.webp</t>
  </si>
  <si>
    <t>https://raw.githubusercontent.com/olaf-programmeur/images/main/mouchoir_4.webp</t>
  </si>
  <si>
    <t>https://raw.githubusercontent.com/olaf-programmeur/images/main/mouchoir_5.webp</t>
  </si>
  <si>
    <t>pneu</t>
  </si>
  <si>
    <t>jante</t>
  </si>
  <si>
    <t>la jante</t>
  </si>
  <si>
    <t>le pneu</t>
  </si>
  <si>
    <t>https://raw.githubusercontent.com/olaf-programmeur/images/main/ruban_1.webp</t>
  </si>
  <si>
    <t>https://raw.githubusercontent.com/olaf-programmeur/images/main/ruban_2.webp</t>
  </si>
  <si>
    <t>https://raw.githubusercontent.com/olaf-programmeur/images/main/ruban_3.webp</t>
  </si>
  <si>
    <t>https://raw.githubusercontent.com/olaf-programmeur/images/main/ruban_4.webp</t>
  </si>
  <si>
    <t>https://raw.githubusercontent.com/olaf-programmeur/images/main/ruban_5.webp</t>
  </si>
  <si>
    <t>https://raw.githubusercontent.com/olaf-programmeur/images/main/secteur_2.webp</t>
  </si>
  <si>
    <t>https://raw.githubusercontent.com/olaf-programmeur/images/main/secteur_3.webp</t>
  </si>
  <si>
    <t>https://raw.githubusercontent.com/olaf-programmeur/images/main/secteur_4.webp</t>
  </si>
  <si>
    <t>assurance_mobiliere</t>
  </si>
  <si>
    <t>v_essuyer</t>
  </si>
  <si>
    <t>(s') essuyer</t>
  </si>
  <si>
    <t>L'action de se sécher avec une serviette (un linge).</t>
  </si>
  <si>
    <t>https://raw.githubusercontent.com/olaf-programmeur/images/main/v_essuyer.webp</t>
  </si>
  <si>
    <t>https://raw.githubusercontent.com/olaf-programmeur/images/main/v_essuyer_1.webp</t>
  </si>
  <si>
    <t>https://raw.githubusercontent.com/olaf-programmeur/images/main/v_essuyer_2.webp</t>
  </si>
  <si>
    <t>https://raw.githubusercontent.com/olaf-programmeur/images/main/v_essuyer_3.webp</t>
  </si>
  <si>
    <t>https://raw.githubusercontent.com/olaf-programmeur/images/main/v_essuyer_4.webp</t>
  </si>
  <si>
    <t>https://raw.githubusercontent.com/olaf-programmeur/images/main/v_essuyer_5.webp</t>
  </si>
  <si>
    <t>https://raw.githubusercontent.com/olaf-programmeur/images/main/singe_1.webp</t>
  </si>
  <si>
    <t>https://raw.githubusercontent.com/olaf-programmeur/images/main/singe_2.webp</t>
  </si>
  <si>
    <t>https://raw.githubusercontent.com/olaf-programmeur/images/main/singe_3.webp</t>
  </si>
  <si>
    <t>https://raw.githubusercontent.com/olaf-programmeur/images/main/singe_4.webp</t>
  </si>
  <si>
    <t>https://raw.githubusercontent.com/olaf-programmeur/images/main/singe_5.webp</t>
  </si>
  <si>
    <t>https://raw.githubusercontent.com/olaf-programmeur/images/main/souffle_1.webp</t>
  </si>
  <si>
    <t>https://raw.githubusercontent.com/olaf-programmeur/images/main/souffle_2.webp</t>
  </si>
  <si>
    <t>https://raw.githubusercontent.com/olaf-programmeur/images/main/souffle_3.webp</t>
  </si>
  <si>
    <t>https://raw.githubusercontent.com/olaf-programmeur/images/main/souffle_4.webp</t>
  </si>
  <si>
    <t>https://raw.githubusercontent.com/olaf-programmeur/images/main/souffle_5.webp</t>
  </si>
  <si>
    <t>https://raw.githubusercontent.com/olaf-programmeur/images/main/source_1.webp</t>
  </si>
  <si>
    <t>https://raw.githubusercontent.com/olaf-programmeur/images/main/vallee_1.webp</t>
  </si>
  <si>
    <t>https://raw.githubusercontent.com/olaf-programmeur/images/main/source_2.webp</t>
  </si>
  <si>
    <t>https://raw.githubusercontent.com/olaf-programmeur/images/main/soudain.webp</t>
  </si>
  <si>
    <t>https://raw.githubusercontent.com/olaf-programmeur/images/main/brusquement.webp</t>
  </si>
  <si>
    <t>https://raw.githubusercontent.com/olaf-programmeur/images/main/brusquement_1.webp</t>
  </si>
  <si>
    <t>https://raw.githubusercontent.com/olaf-programmeur/images/main/tableau_1.webp</t>
  </si>
  <si>
    <t>https://raw.githubusercontent.com/olaf-programmeur/images/main/tableau_2.webp</t>
  </si>
  <si>
    <t>https://raw.githubusercontent.com/olaf-programmeur/images/main/tableau_3.webp</t>
  </si>
  <si>
    <t>https://raw.githubusercontent.com/olaf-programmeur/images/main/tableau_4.webp</t>
  </si>
  <si>
    <t>https://raw.githubusercontent.com/olaf-programmeur/images/main/tableau_5.webp</t>
  </si>
  <si>
    <t>defile</t>
  </si>
  <si>
    <t>https://raw.githubusercontent.com/olaf-programmeur/images/main/defile.webp</t>
  </si>
  <si>
    <t>La musique</t>
  </si>
  <si>
    <t>La suite mélodieuse de son</t>
  </si>
  <si>
    <t>https://raw.githubusercontent.com/olaf-programmeur/images/main/ambulance.webp</t>
  </si>
  <si>
    <t>https://raw.githubusercontent.com/olaf-programmeur/images/main/ambulance_1.webp</t>
  </si>
  <si>
    <t>https://raw.githubusercontent.com/olaf-programmeur/images/main/ambulance_2.webp</t>
  </si>
  <si>
    <t>https://raw.githubusercontent.com/olaf-programmeur/images/main/ambulance_3.webp</t>
  </si>
  <si>
    <t>https://raw.githubusercontent.com/olaf-programmeur/images/main/ambulance_4.webp</t>
  </si>
  <si>
    <t>produit_vaisselle</t>
  </si>
  <si>
    <t>Le produit à vaisselle</t>
  </si>
  <si>
    <t>Le produit détergent pour laver la vaisselle, pour qu'elle soit propre.</t>
  </si>
  <si>
    <t>https://raw.githubusercontent.com/olaf-programmeur/images/main/produit_vaisselle.webp</t>
  </si>
  <si>
    <t>https://raw.githubusercontent.com/olaf-programmeur/images/main/produit_vaisselle_1.webp</t>
  </si>
  <si>
    <t>https://raw.githubusercontent.com/olaf-programmeur/images/main/produit_vaisselle_2.webp</t>
  </si>
  <si>
    <t>https://raw.githubusercontent.com/olaf-programmeur/images/main/produit_vaisselle_3.webp</t>
  </si>
  <si>
    <t>https://raw.githubusercontent.com/olaf-programmeur/images/main/v_ramasser_4.webp</t>
  </si>
  <si>
    <t>https://raw.githubusercontent.com/olaf-programmeur/images/main/v_ramasser_5.webp</t>
  </si>
  <si>
    <t>https://raw.githubusercontent.com/olaf-programmeur/images/main/vallee_2.webp</t>
  </si>
  <si>
    <t>https://raw.githubusercontent.com/olaf-programmeur/images/main/vallee_3.webp</t>
  </si>
  <si>
    <t>https://raw.githubusercontent.com/olaf-programmeur/images/main/souper.webp</t>
  </si>
  <si>
    <t>https://raw.githubusercontent.com/olaf-programmeur/images/main/souper_1.webp</t>
  </si>
  <si>
    <t>https://raw.githubusercontent.com/olaf-programmeur/images/main/vol_1.webp</t>
  </si>
  <si>
    <t>https://raw.githubusercontent.com/olaf-programmeur/images/main/vol_2.webp</t>
  </si>
  <si>
    <t>https://raw.githubusercontent.com/olaf-programmeur/images/main/vol_3.webp</t>
  </si>
  <si>
    <t>https://raw.githubusercontent.com/olaf-programmeur/images/main/vol_4.webp</t>
  </si>
  <si>
    <t>https://raw.githubusercontent.com/olaf-programmeur/images/main/vol_5.webp</t>
  </si>
  <si>
    <t>plutot</t>
  </si>
  <si>
    <t>orteil</t>
  </si>
  <si>
    <t>l'orteil</t>
  </si>
  <si>
    <t>https://raw.githubusercontent.com/olaf-programmeur/images/main/orteil.webp</t>
  </si>
  <si>
    <t>https://raw.githubusercontent.com/olaf-programmeur/images/main/orteil_1.webp</t>
  </si>
  <si>
    <t>https://raw.githubusercontent.com/olaf-programmeur/images/main/orteil_2.webp</t>
  </si>
  <si>
    <t>https://raw.githubusercontent.com/olaf-programmeur/images/main/videos/e_verre.mp4</t>
  </si>
  <si>
    <t>lacet</t>
  </si>
  <si>
    <t>Le lacet</t>
  </si>
  <si>
    <t>La ficelle qui permet d'attacher ses souliers</t>
  </si>
  <si>
    <t>https://raw.githubusercontent.com/olaf-programmeur/images/main/lacet.webp</t>
  </si>
  <si>
    <t>https://raw.githubusercontent.com/olaf-programmeur/images/main/lacet_1.webp</t>
  </si>
  <si>
    <t>https://raw.githubusercontent.com/olaf-programmeur/images/main/lacet_2.webp</t>
  </si>
  <si>
    <t>https://raw.githubusercontent.com/olaf-programmeur/images/main/lacet_3.webp</t>
  </si>
  <si>
    <t>https://raw.githubusercontent.com/olaf-programmeur/images/main/lacet_4.webp</t>
  </si>
  <si>
    <t>https://raw.githubusercontent.com/olaf-programmeur/images/main/lacet_5.webp</t>
  </si>
  <si>
    <t>A manger</t>
  </si>
  <si>
    <t>A boire</t>
  </si>
  <si>
    <t>un insecte</t>
  </si>
  <si>
    <t>l'habit</t>
  </si>
  <si>
    <t>le téléphone</t>
  </si>
  <si>
    <t>le costume</t>
  </si>
  <si>
    <t>une aubade</t>
  </si>
  <si>
    <t>mesurer</t>
  </si>
  <si>
    <t>dialoguer</t>
  </si>
  <si>
    <t>arranger</t>
  </si>
  <si>
    <t>content</t>
  </si>
  <si>
    <t>super</t>
  </si>
  <si>
    <t>genti</t>
  </si>
  <si>
    <t>sûrement</t>
  </si>
  <si>
    <t>l'embrouille</t>
  </si>
  <si>
    <t>la séance</t>
  </si>
  <si>
    <t>le team</t>
  </si>
  <si>
    <t>les époux</t>
  </si>
  <si>
    <t>mami</t>
  </si>
  <si>
    <t>papi</t>
  </si>
  <si>
    <t>maman</t>
  </si>
  <si>
    <t>papa</t>
  </si>
  <si>
    <t>plein</t>
  </si>
  <si>
    <t>les gosses</t>
  </si>
  <si>
    <t>les gamins</t>
  </si>
  <si>
    <t>le poupon</t>
  </si>
  <si>
    <t>grand-papa</t>
  </si>
  <si>
    <t>grand-maman</t>
  </si>
  <si>
    <t>la tata</t>
  </si>
  <si>
    <t>le tonton</t>
  </si>
  <si>
    <t>le gars</t>
  </si>
  <si>
    <t>la nana</t>
  </si>
  <si>
    <t>la benzine</t>
  </si>
  <si>
    <t>la rép</t>
  </si>
  <si>
    <t>le podium</t>
  </si>
  <si>
    <t xml:space="preserve"> le show</t>
  </si>
  <si>
    <t>le mot</t>
  </si>
  <si>
    <t>le discours</t>
  </si>
  <si>
    <t>l'entente</t>
  </si>
  <si>
    <t>la machine à laver la vaisselle</t>
  </si>
  <si>
    <t>les plaques</t>
  </si>
  <si>
    <t>la machine à laver le linge</t>
  </si>
  <si>
    <t>la télé</t>
  </si>
  <si>
    <t>le téléviseur</t>
  </si>
  <si>
    <t>100 ans</t>
  </si>
  <si>
    <t>le bide</t>
  </si>
  <si>
    <t>le bidon</t>
  </si>
  <si>
    <t>la pompe</t>
  </si>
  <si>
    <t>le caillou</t>
  </si>
  <si>
    <t>les tifs</t>
  </si>
  <si>
    <t>le lutrin</t>
  </si>
  <si>
    <t>le taureau</t>
  </si>
  <si>
    <t>l'agneau</t>
  </si>
  <si>
    <t>le bélier</t>
  </si>
  <si>
    <t>la truie</t>
  </si>
  <si>
    <t>le coq</t>
  </si>
  <si>
    <t>le poussin</t>
  </si>
  <si>
    <t>le minon</t>
  </si>
  <si>
    <t>le cabot</t>
  </si>
  <si>
    <t>la mitraille</t>
  </si>
  <si>
    <t>le transfert</t>
  </si>
  <si>
    <t>le paiement</t>
  </si>
  <si>
    <t>les godasses</t>
  </si>
  <si>
    <t>les pompes</t>
  </si>
  <si>
    <t>le ruisseau</t>
  </si>
  <si>
    <t>le fric</t>
  </si>
  <si>
    <t>la patate</t>
  </si>
  <si>
    <t>le cuisto</t>
  </si>
  <si>
    <t>le crapeau</t>
  </si>
  <si>
    <t>le pote</t>
  </si>
  <si>
    <t>les toilettes</t>
  </si>
  <si>
    <t>la pate</t>
  </si>
  <si>
    <t>le matériel pour panosser</t>
  </si>
  <si>
    <t>le pouf</t>
  </si>
  <si>
    <t>les habits</t>
  </si>
  <si>
    <t>les chaussettes</t>
  </si>
  <si>
    <t>le short</t>
  </si>
  <si>
    <t>la baraque</t>
  </si>
  <si>
    <t>la balustrade</t>
  </si>
  <si>
    <t>pas là</t>
  </si>
  <si>
    <t>adorer</t>
  </si>
  <si>
    <t>étudier</t>
  </si>
  <si>
    <t>dire la vérité</t>
  </si>
  <si>
    <t>top</t>
  </si>
  <si>
    <t>planquer</t>
  </si>
  <si>
    <t>capter</t>
  </si>
  <si>
    <t>OK</t>
  </si>
  <si>
    <t>tranchant</t>
  </si>
  <si>
    <t>trancher</t>
  </si>
  <si>
    <t>libre</t>
  </si>
  <si>
    <t>haut</t>
  </si>
  <si>
    <t>enseigner</t>
  </si>
  <si>
    <t>crevé</t>
  </si>
  <si>
    <t>épuisé</t>
  </si>
  <si>
    <t>taper</t>
  </si>
  <si>
    <t>inventer</t>
  </si>
  <si>
    <t>le pèse-personne</t>
  </si>
  <si>
    <t>la chute d'eau</t>
  </si>
  <si>
    <t>le classement</t>
  </si>
  <si>
    <t>le trafic</t>
  </si>
  <si>
    <t>les instructions</t>
  </si>
  <si>
    <t>le chantier</t>
  </si>
  <si>
    <t>la discussion</t>
  </si>
  <si>
    <t>se reposer</t>
  </si>
  <si>
    <t>s'amuser</t>
  </si>
  <si>
    <t xml:space="preserve"> les gens</t>
  </si>
  <si>
    <t>la bonne humeur</t>
  </si>
  <si>
    <t>la façon</t>
  </si>
  <si>
    <t>le dégradé</t>
  </si>
  <si>
    <t>la solution</t>
  </si>
  <si>
    <t>les prés</t>
  </si>
  <si>
    <t>la balade</t>
  </si>
  <si>
    <t>la marche</t>
  </si>
  <si>
    <t>la vendange</t>
  </si>
  <si>
    <t>faire la paix</t>
  </si>
  <si>
    <t>le mal de cou</t>
  </si>
  <si>
    <t>la poignée</t>
  </si>
  <si>
    <t>le gagnant</t>
  </si>
  <si>
    <t>le porte-habit</t>
  </si>
  <si>
    <t>la relation</t>
  </si>
  <si>
    <t>le bouqin</t>
  </si>
  <si>
    <t>le régent</t>
  </si>
  <si>
    <t>la maîtresse</t>
  </si>
  <si>
    <t>le cachet</t>
  </si>
  <si>
    <t>l'étage</t>
  </si>
  <si>
    <t>la quittance</t>
  </si>
  <si>
    <t>la pile</t>
  </si>
  <si>
    <t>la figure</t>
  </si>
  <si>
    <t>l'épargne</t>
  </si>
  <si>
    <t>le lieu</t>
  </si>
  <si>
    <t>les personnes</t>
  </si>
  <si>
    <t>soulever</t>
  </si>
  <si>
    <t>le truc</t>
  </si>
  <si>
    <t>l'accomplissement</t>
  </si>
  <si>
    <t>l'utilité</t>
  </si>
  <si>
    <t>commander</t>
  </si>
  <si>
    <t>s'en aller</t>
  </si>
  <si>
    <t>avertir</t>
  </si>
  <si>
    <t>informer</t>
  </si>
  <si>
    <t>jurer</t>
  </si>
  <si>
    <t>récurrent</t>
  </si>
  <si>
    <t>noter</t>
  </si>
  <si>
    <t>solide</t>
  </si>
  <si>
    <t>y arriver</t>
  </si>
  <si>
    <t>dur</t>
  </si>
  <si>
    <t>prier</t>
  </si>
  <si>
    <t>poilu</t>
  </si>
  <si>
    <t>bosser</t>
  </si>
  <si>
    <t>le potage</t>
  </si>
  <si>
    <t>rapide</t>
  </si>
  <si>
    <t>rien</t>
  </si>
  <si>
    <t>nul</t>
  </si>
  <si>
    <t>panosser</t>
  </si>
  <si>
    <t>piloter</t>
  </si>
  <si>
    <t>la transpiration</t>
  </si>
  <si>
    <t>Il envoie une lettre à son assurance.</t>
  </si>
  <si>
    <t>Cet homme est policier.</t>
  </si>
  <si>
    <t>Il tond la pelouse deux fois par mois avec la tondeuse à gazon.</t>
  </si>
  <si>
    <t>On dit également le gazon.</t>
  </si>
  <si>
    <t>Pour un moteur à 2 temps, on mélange l'essence avec de l'huile.</t>
  </si>
  <si>
    <t>La cuisine est une pièce de la maison.</t>
  </si>
  <si>
    <t>Je mets les yogurt, le lait et la viande au frigo.</t>
  </si>
  <si>
    <t>Je fais un café au moyen de la machine à café.</t>
  </si>
  <si>
    <t>Je me tire un café avec une capsule Nespresso.</t>
  </si>
  <si>
    <t>Je mets une tablette de détergent et je lance le lave-vaisselle.</t>
  </si>
  <si>
    <t>Prendre un verre dans le buffet.</t>
  </si>
  <si>
    <t>Couper la viande avec son couteau.</t>
  </si>
  <si>
    <t>Faire cuire une omelette dans la poêle.</t>
  </si>
  <si>
    <t>Fermer le robinet.</t>
  </si>
  <si>
    <t>Allumer la plaque du vitroceram pour cuire des pâtes.</t>
  </si>
  <si>
    <t>Nettoyer la table à la fin du repas.</t>
  </si>
  <si>
    <t>Tirer la chaise pour s'asseoir.</t>
  </si>
  <si>
    <t>Mettre une machine à laver.</t>
  </si>
  <si>
    <t>Lancer le lave-linge.</t>
  </si>
  <si>
    <t>Allumer ou éteindre le sèche-linge.</t>
  </si>
  <si>
    <t>Je m'allonge sur le canapé pour dormir.</t>
  </si>
  <si>
    <t>Je m'assieds dans le canapé pour regarder la télévision.</t>
  </si>
  <si>
    <t>Allumer la lampe pour avoir de la lumière.</t>
  </si>
  <si>
    <t>Je n'ai pas une seconde à perdre.</t>
  </si>
  <si>
    <t>Il y a 60 (soixante) secondes dans une minute.</t>
  </si>
  <si>
    <t>Il y a 24 (vingt-quatre) heures dans un jour.</t>
  </si>
  <si>
    <t>On mesure un instant en seconde.</t>
  </si>
  <si>
    <t>On mesure un moment en heure.</t>
  </si>
  <si>
    <t>Il y a 52 semaines dans une année.</t>
  </si>
  <si>
    <t>Il y a 7 jours dans chaque semaine.</t>
  </si>
  <si>
    <t>Il y a 12 mois dans une année.</t>
  </si>
  <si>
    <t>Je suis né au mois de décembre.</t>
  </si>
  <si>
    <t>Il faut 100 ans pour faire un siècle.</t>
  </si>
  <si>
    <t>J'ai mal au ventre, j'ai trop mangé.</t>
  </si>
  <si>
    <t>J'ai mal au dos.</t>
  </si>
  <si>
    <t>Je porte mon sac sur le dos.</t>
  </si>
  <si>
    <t>On dit un oeil et deux yeux.</t>
  </si>
  <si>
    <t>Le nez est l'organe de l'odorat. Il permet de sentir les odeurs.</t>
  </si>
  <si>
    <t>L'oeil est l'organe de la vue. Il permet de voir.</t>
  </si>
  <si>
    <t>On va chez le dentiste quand on a mal aux dents.</t>
  </si>
  <si>
    <t>L'oreille est l'organe de l'ouïe. Elle permet d'entendre les sons.</t>
  </si>
  <si>
    <t>On met une ceinture pour tenir en haut son pantalon.</t>
  </si>
  <si>
    <t>On met une sourdine pour jouer à la fanfare.</t>
  </si>
  <si>
    <t>On met l'embouchure sur le cornet pour jouer.</t>
  </si>
  <si>
    <t>Souffler dans l'embouchure pour la chauffer.</t>
  </si>
  <si>
    <t>Les pistons permettent de faire des notes différentes.</t>
  </si>
  <si>
    <t>Le trombone a une coulisse, ce qui permet de changer de notes.</t>
  </si>
  <si>
    <t>On dit un coffre ou un étui.</t>
  </si>
  <si>
    <t>Ranger son cornet dans le coffre.</t>
  </si>
  <si>
    <t>Mettre un peu de graisse sur la coulisse d'accord.</t>
  </si>
  <si>
    <t>Nettoyer l'embouchure avec la brosse</t>
  </si>
  <si>
    <t>On dit un pupitre ou un lutrin.</t>
  </si>
  <si>
    <t>Spaghetti, nouilles, tagliatelles, pennes, tortellini, lasagnes, gnocchi</t>
  </si>
  <si>
    <t>Du riz aux champignons - du riz aux asperges</t>
  </si>
  <si>
    <t>Faire du riz.</t>
  </si>
  <si>
    <t>Chauffer des pâtes.</t>
  </si>
  <si>
    <t>Le mouton se déplace sur l'alpage.</t>
  </si>
  <si>
    <t>Emma a deux chats, Bagheera le noir et Lucky,  le jaune et blanc.</t>
  </si>
  <si>
    <t>La vache, le taureau et le veau.</t>
  </si>
  <si>
    <t>La poule et le coq.</t>
  </si>
  <si>
    <t>La brebis et le bélier.</t>
  </si>
  <si>
    <t>La truie, le porc et le porcelet.</t>
  </si>
  <si>
    <t>La chèvre et le bouc.</t>
  </si>
  <si>
    <t>La jument et le cheval.</t>
  </si>
  <si>
    <t>La chatte et le chat.</t>
  </si>
  <si>
    <t>La chienne et le chien.</t>
  </si>
  <si>
    <t>La lapine et le lapin.</t>
  </si>
  <si>
    <t>La louve et le loup.</t>
  </si>
  <si>
    <t>La chevrette et le chevreuil.</t>
  </si>
  <si>
    <t>La biche et le cerf.</t>
  </si>
  <si>
    <t>L'éléphant vit en Asie ou en Afrique.</t>
  </si>
  <si>
    <t>On trouve des lions en Afrique.</t>
  </si>
  <si>
    <t>On trouve des tigres en Asie.</t>
  </si>
  <si>
    <t>Je prends un café avec du sucre et une crème.</t>
  </si>
  <si>
    <t>Retirer de l'argent au bancomat avec sa carte de débit.</t>
  </si>
  <si>
    <t>On va jouer à l'église pour la Fête-Dieu.</t>
  </si>
  <si>
    <t>Je prends le train à 14:00 pour aller à Lausanne.</t>
  </si>
  <si>
    <t>Je bois un Coca Cola normal.</t>
  </si>
  <si>
    <t>Je prendrai un jus de pomme, s'il vous plaît.</t>
  </si>
  <si>
    <t>Je bois un verre de jus d'orange à déjeûner.</t>
  </si>
  <si>
    <t>Je bois un sprite quand j'ai soif.</t>
  </si>
  <si>
    <t>Le Sprite est de la limonade.</t>
  </si>
  <si>
    <t>Je bois du sirop d'orange sanguine.</t>
  </si>
  <si>
    <t>On mélange le sirop avec de l'eau.</t>
  </si>
  <si>
    <t>Des souliers avec semelle en cuir.</t>
  </si>
  <si>
    <t>Je mets du lait dans mon café.</t>
  </si>
  <si>
    <t>J'aime la salade aux tomates avec de l'huile d'olive.</t>
  </si>
  <si>
    <t>Je mets de l'huile dans la poêle pour griller la viande.</t>
  </si>
  <si>
    <t>Je mange un oeuf au plat pour dîner.</t>
  </si>
  <si>
    <t>Germaine fait un gâteau aux pommes.</t>
  </si>
  <si>
    <t>Il y a de la forêt au-dessus du village d'Aven.</t>
  </si>
  <si>
    <t>Je vais me promener en forêt.</t>
  </si>
  <si>
    <t>Je vais faire une randonnée en montagne.</t>
  </si>
  <si>
    <t>La montagne est recouverte de neige.</t>
  </si>
  <si>
    <t>Je vais faire du ski en montagne.</t>
  </si>
  <si>
    <t>La rivière qui descend de Derborence s'appelle la Lizerne.</t>
  </si>
  <si>
    <t>La lune tourne autour de la terre.</t>
  </si>
  <si>
    <t>Je dors très mal lorsqu'il y a la pleine lune.</t>
  </si>
  <si>
    <t>Les légumes poussent dans la terre.</t>
  </si>
  <si>
    <t>J'ai allumé le feu dans le fourneau à bois.</t>
  </si>
  <si>
    <t>Quelqu'un a mis le feu à la forêt. Il y a un incendie.</t>
  </si>
  <si>
    <t>Je me réchauffe au soleil.</t>
  </si>
  <si>
    <t>Les pompiers tentent d'éteindre l'incendie.</t>
  </si>
  <si>
    <t>Les fruits poussent sur les arbres.</t>
  </si>
  <si>
    <t>Loïc joue de la batterie certaine fois à la fanfare.</t>
  </si>
  <si>
    <t>Le vibraphone a un clavier avec des touches en métal.</t>
  </si>
  <si>
    <t>On joue du xylophone avec des baguettes.</t>
  </si>
  <si>
    <t>On joue du vibraphone avec des baguettes.</t>
  </si>
  <si>
    <t>Les pommes de terre poussent dans le jardin.</t>
  </si>
  <si>
    <t>On fait des frites, du gratin et des pommes croquette avec les pommes de terre.</t>
  </si>
  <si>
    <t>Une salade de tomates avec du vinaigre balsamique.</t>
  </si>
  <si>
    <t>Sion est la plus grande ville du Valais.</t>
  </si>
  <si>
    <t>J'ai un appartement à la Rue St-Antoine no 2 à Aven.</t>
  </si>
  <si>
    <t>Pour traverser le Rhône, je passe par le pont des Ronquoz.</t>
  </si>
  <si>
    <t>Le pont permet de traverser les rivières.</t>
  </si>
  <si>
    <t>Les enfants jouent dans le parc.</t>
  </si>
  <si>
    <t>J'appuie sur les pistons avec mes doigts.</t>
  </si>
  <si>
    <t>Tenir une pomme dans sa main.</t>
  </si>
  <si>
    <t>J'ai mal aux jambes après avoir marché longuement.</t>
  </si>
  <si>
    <t>Répondre au téléphone.</t>
  </si>
  <si>
    <t>Lancer un coup defil à quelqu'un.</t>
  </si>
  <si>
    <t>Cette femme est très belle  -  cette femme est laid.</t>
  </si>
  <si>
    <t>joli</t>
  </si>
  <si>
    <t>vilain</t>
  </si>
  <si>
    <t>moche</t>
  </si>
  <si>
    <t>turbulent</t>
  </si>
  <si>
    <t>chaud</t>
  </si>
  <si>
    <t>raide</t>
  </si>
  <si>
    <t>Le lièvre court vite, il est rapide.</t>
  </si>
  <si>
    <t>La tortue avance lentement, elle est lente.</t>
  </si>
  <si>
    <t>La bibliothèque est silencieuse, il n'y a pas de bruit.</t>
  </si>
  <si>
    <t>Un chantier de construction avec des machines est bruyant, il y a beaucoup de bruit.</t>
  </si>
  <si>
    <t>Le moineau est une sorte d'oiseau.</t>
  </si>
  <si>
    <t>Le moineau chante dans les arbres.</t>
  </si>
  <si>
    <t>Sylvain est mon ami.</t>
  </si>
  <si>
    <t>Il va retirer de l'argent au bancomat.</t>
  </si>
  <si>
    <t>Le magasin ferme à 18 heure.</t>
  </si>
  <si>
    <t>Mettre du déodorant pour sentir bon.</t>
  </si>
  <si>
    <t>Cet arbre est un boulot. Celui-là est un sapin.</t>
  </si>
  <si>
    <t>L'herbe pousse dans les prés.</t>
  </si>
  <si>
    <t>Les vaches mangent de l'herbe.</t>
  </si>
  <si>
    <t>Je prends l'autoroute avec ma voiture.</t>
  </si>
  <si>
    <t>Je prend le pick-up Toyota pour amener le gazon à la décharge de Beuchon.</t>
  </si>
  <si>
    <t>Jérémie Daven prend son tracteur pour faire les foins.</t>
  </si>
  <si>
    <t>Le train pour aller de Sion à Lausanne met 1 heure.</t>
  </si>
  <si>
    <t>Le train pour aller de Sion à Lausanne prend 1 heure et 10 minutes.</t>
  </si>
  <si>
    <t>Il fait chaud en été et il fait froid en hiver.</t>
  </si>
  <si>
    <t>Un éléphant est très grand alors qu'une souri est très petite.</t>
  </si>
  <si>
    <t>J'ai les mains sales. Je me les lave afin qu'elles soient propores.</t>
  </si>
  <si>
    <t>On met le vin en tonneau pour le conserver.</t>
  </si>
  <si>
    <t>L'eau passe dans le tuyau.</t>
  </si>
  <si>
    <t>Rang</t>
  </si>
  <si>
    <t>plats_cuisines</t>
  </si>
  <si>
    <t>Les mesures</t>
  </si>
  <si>
    <t>marmite</t>
  </si>
  <si>
    <t>la marmite</t>
  </si>
  <si>
    <t>Plat à base de viande de boeuf que l'on fait griller puis cuire dans une marmite (cocotte) avec des carottes et des oignons.</t>
  </si>
  <si>
    <t>Plat à base de viande de porc que l'on fait griller puis cuire dans une marmite (cocotte) avec des carottes et des oignons.</t>
  </si>
  <si>
    <t>Mettre de l'eau dans la marmite pour cuire des pâtes.</t>
  </si>
  <si>
    <t>la cuisine, le frigo, le lave-vaisselle, le four, le micro onde, la cuisinière vitroceram, la machine à café, le verre, la tasse, la bouteille, le pot ou la mesure, l'assiette, la fourchette, la cuillère, le couteau, la casserole, la marmite, la poêle, l'évier ou la plonge, le caquelon et le réchaud, la grille à raclette, le robinet, la table, la chaise, le buffet, la vaisselle, le sucre, le sel, le poivre, l'arôme Maggy, le curry, un oeuf au plat, l'omelette, la polenta, la fondue, la raclette, la soupe, des filets de perche, un filet de truite, du rôti de boeuf, un steack de boeuf frites, du filet mignon de porc, du rôti de porc, une côtelette de porc, un blanc de poulet, une cuisse de poulet, du poulet au curry, cuire, le couvercle, le plat, les ciseaux, griller</t>
  </si>
  <si>
    <t>le sandwich, la cuisine, le frigo, le lave-vaisselle, le four, le micro onde, la cuisinière vitroceram, la machine à café, le verre, la tasse, la bouteille, le pot ou la mesure, l'assiette, la fourchette, la cuillère, le couteau, la casserole, la marmite, la poêle, l'évier ou la plonge, le caquelon et le réchaud, la grille à raclette, le robinet, la table, la chaise, le buffet, la vaisselle, des pâtes, le riz, le sucre, le sel, le poivre, l'arôme Maggy, le curry, une bière limonade, un verre de vin rouge, un verre de vin blanc, une suze henniez, le thé, une eau minérale, un henniez cassis, un Coca Cola, un grapefruit, un jus de pomme, un jus d'orange, un Sprite, le sirop, la viande, le lait, l'huile, l'oeuf, le gâteau, le fruit, la pomme, la poire, le pruneau, la cerise, l'abricot, la fraise, la framboise, la banane, l'orange, la mandarine, l'avocat, la noix, la pêche, le raisin, le légume, la pomme de terre, la carotte, la tomate, le chou-fleur, le poireau, le brocoli, l'asperge, la courgette, la salade (laitue), la betterave à salade, le haricot, l'oignon, l'Ipad ou la tablette, une pizza, les lasagnes, les cornettes, les spaghetti, les pennes, un oeuf au plat, l'omelette, la polenta, la fondue, la raclette, la soupe, des filets de perche, un filet de truite, du rôti de boeuf, le boeuf, un steack de boeuf frites, le porc, du filet mignon de porc, du rôti de porc, une côtelette de porc, le poulet, un blanc de poulet, une cuisse de poulet, du poulet au curry, le pain, le gendarme, la saucisse, le café, le fromage, boire, cuire, goûter, la boîte, la chose, la confiture, dépenser, la farine, la friandise, la lame, la loupe, la poubelle, la poudre, la sauce, la sucrerie, la surface, la vigne, le beurre, le blé, le bocal, le bonbon, le champ, le chocolat, le citron, le copain, le couvercle, le déjeuner, le dessert, le dîner, le disque, le jardin, le jus, les produits laitiers, le miel, le noyau, le panier, le piment, le pique-nique, le plat, le récipient, le repas, le seau, le tableau, le terrain, les ciseaux, les jumelles, les lunettes, l'invité, l'oeuvre, manger, prendre, préparer, le yogurt, le vinaigre, les accompagnements, le tiramisu, une coupe aux fraises, le big mac chez Mc Donald, le maïs, jambon, éclairer, le souper, griller, L'assaisonnement, le verre</t>
  </si>
  <si>
    <t>le verre, la tasse, le pot ou la mesure, l'assiette, la casserole, la marmite, la poêle, le caquelon et le réchaud, le porte-monnaie, la corbeille à linge, la poubelle, le récipient, le seau</t>
  </si>
  <si>
    <t>https://raw.githubusercontent.com/olaf-programmeur/images/main/emma_1.webp</t>
  </si>
  <si>
    <t>christophe_darbellay</t>
  </si>
  <si>
    <t>mathias_reynard</t>
  </si>
  <si>
    <t>Christophe Darbellay</t>
  </si>
  <si>
    <t>Mathias Reynard</t>
  </si>
  <si>
    <t>Mathias Reynard est Conseiller d'Etat valaisan.</t>
  </si>
  <si>
    <t>Christophe Darbellay est Conseiller d'Etat valaisan.</t>
  </si>
  <si>
    <t>https://raw.githubusercontent.com/olaf-programmeur/images/main/christophe_darbellay.webp</t>
  </si>
  <si>
    <t>https://raw.githubusercontent.com/olaf-programmeur/images/main/christophe_darbellay_1.webp</t>
  </si>
  <si>
    <t>https://raw.githubusercontent.com/olaf-programmeur/images/main/christophe_darbellay_2.webp</t>
  </si>
  <si>
    <t>https://raw.githubusercontent.com/olaf-programmeur/images/main/mathias_reynard.webp</t>
  </si>
  <si>
    <t>https://raw.githubusercontent.com/olaf-programmeur/images/main/mathias_reynard_1.webp</t>
  </si>
  <si>
    <t>https://raw.githubusercontent.com/olaf-programmeur/images/main/mathias_reynard_2.webp</t>
  </si>
  <si>
    <t>Le neveu - la nièce</t>
  </si>
  <si>
    <t>neveu_niece</t>
  </si>
  <si>
    <t>Il s'agit des enfants de mes frères et soeurs.</t>
  </si>
  <si>
    <t>https://raw.githubusercontent.com/olaf-programmeur/images/main/neveux_nieces_1.webp</t>
  </si>
  <si>
    <t>accessoires_habits</t>
  </si>
  <si>
    <t>classement_4</t>
  </si>
  <si>
    <t>imprimante</t>
  </si>
  <si>
    <t>L'imprimante</t>
  </si>
  <si>
    <t>L'appareil qui permet de faire une copie d'un document.</t>
  </si>
  <si>
    <t>https://raw.githubusercontent.com/olaf-programmeur/images/main/imprimante.webp</t>
  </si>
  <si>
    <t>https://raw.githubusercontent.com/olaf-programmeur/images/main/imprimante_1.webp</t>
  </si>
  <si>
    <t>https://raw.githubusercontent.com/olaf-programmeur/images/main/imprimante_2.webp</t>
  </si>
  <si>
    <t>https://raw.githubusercontent.com/olaf-programmeur/images/main/imprimante_3.webp</t>
  </si>
  <si>
    <t>https://raw.githubusercontent.com/olaf-programmeur/images/main/imprimante_4.webp</t>
  </si>
  <si>
    <t>https://raw.githubusercontent.com/olaf-programmeur/images/main/imprimante_5.webp</t>
  </si>
  <si>
    <t>https://raw.githubusercontent.com/olaf-programmeur/images/main/rideau_1.webp</t>
  </si>
  <si>
    <t>https://raw.githubusercontent.com/olaf-programmeur/images/main/rideau_2.webp</t>
  </si>
  <si>
    <t>https://raw.githubusercontent.com/olaf-programmeur/images/main/rideau_3.webp</t>
  </si>
  <si>
    <t>https://raw.githubusercontent.com/olaf-programmeur/images/main/rideau_4.webp</t>
  </si>
  <si>
    <t>https://raw.githubusercontent.com/olaf-programmeur/images/main/rideau_5.webp</t>
  </si>
  <si>
    <t>store</t>
  </si>
  <si>
    <t>le store</t>
  </si>
  <si>
    <t>https://raw.githubusercontent.com/olaf-programmeur/images/main/store.webp</t>
  </si>
  <si>
    <t>https://raw.githubusercontent.com/olaf-programmeur/images/main/store_1.webp</t>
  </si>
  <si>
    <t>https://raw.githubusercontent.com/olaf-programmeur/images/main/store_2.webp</t>
  </si>
  <si>
    <t>https://raw.githubusercontent.com/olaf-programmeur/images/main/store_3.webp</t>
  </si>
  <si>
    <t>https://raw.githubusercontent.com/olaf-programmeur/images/main/store_4.webp</t>
  </si>
  <si>
    <t>https://raw.githubusercontent.com/olaf-programmeur/images/main/store_5.webp</t>
  </si>
  <si>
    <t>https://raw.githubusercontent.com/olaf-programmeur/images/main/fenetre_2.webp</t>
  </si>
  <si>
    <t>https://raw.githubusercontent.com/olaf-programmeur/images/main/fenetre_3.webp</t>
  </si>
  <si>
    <t>https://raw.githubusercontent.com/olaf-programmeur/images/main/fenetre_4.webp</t>
  </si>
  <si>
    <t>https://raw.githubusercontent.com/olaf-programmeur/images/main/fenetre_5.webp</t>
  </si>
  <si>
    <t>lieux</t>
  </si>
  <si>
    <t>Lieux</t>
  </si>
  <si>
    <t>Bâtiments</t>
  </si>
  <si>
    <t>buildings</t>
  </si>
  <si>
    <t>Je baisse les store quand il fait chaud.</t>
  </si>
  <si>
    <t>baisser les store</t>
  </si>
  <si>
    <t>Bagheera, le chat d'Emma, Naya, la chienne de Sandrine, le chat, le chien, le lapin, la clé, le porte-monnaie, faire les vitres, la serpillière, l'aspirateur, le chiffon, le matériel pour récurrer, le meister proper, l'éponge, la maison, le chalet, le garage, la porte, la fenêtre, les store, les volets, l'escalier, l'ampoule, l'interupteur, les fusibles pour l'électricité, le mur, le toit, le chéneau, la barrière, la prise, la serrure, le fourneau à bois, le fourneau à pellets, fermer, la bibliothèque, la cave, la chose, la construction, la falaise, la montre, la paroi, la peinture, la personne, la poussière, la roue, la sortie, les affaires, l'allumette, l'appartement, le bagage, le balcon, le bâtiment, le devoir, le jardin, le logement, le panier, le plafond, le plancher, le portefeuille, le porte-manteau, le sac, le sac à dos, le seau, le secours, le tiroir, le tronc, le vêtement, le village, les lunettes, l'étagère, l'immeuble, l'outil, ouvrir, porter, le carrelage, la poignée de la porte, récurrer, habiter, un habit</t>
  </si>
  <si>
    <t>le klaxon, l'éponge, l'entonnoir, les store, l'interupteur, la balance, la chose, la collection, la face, la grille, la montre, la peinture, les affaires, l'anse, le balai, le ballon, le bricolage, le cadeau, le jouet, le livre, le parapluie, le pinceau, le porte-manteau, le sac, le stylo, le thermomètre, le tube, l'échelle, les jumelles, l'étagère, l'objet</t>
  </si>
  <si>
    <t>semelle</t>
  </si>
  <si>
    <t>La semelle</t>
  </si>
  <si>
    <t>Le dessous du soulier, faite en caoutchouc ou en cuire  // Ce qu'on met à l'intérieur du soulier.</t>
  </si>
  <si>
    <t>https://raw.githubusercontent.com/olaf-programmeur/images/main/semelle.webp</t>
  </si>
  <si>
    <t>https://raw.githubusercontent.com/olaf-programmeur/images/main/semelle_1.webp</t>
  </si>
  <si>
    <t>https://raw.githubusercontent.com/olaf-programmeur/images/main/semelle_2.webp</t>
  </si>
  <si>
    <t>https://raw.githubusercontent.com/olaf-programmeur/images/main/semelle_3.webp</t>
  </si>
  <si>
    <t>https://raw.githubusercontent.com/olaf-programmeur/images/main/semelle_4.webp</t>
  </si>
  <si>
    <t>https://raw.githubusercontent.com/olaf-programmeur/images/main/semelle_5.webp</t>
  </si>
  <si>
    <t>La tête</t>
  </si>
  <si>
    <t>human head portrait</t>
  </si>
  <si>
    <t>https://raw.githubusercontent.com/olaf-programmeur/images/main/visage_5.webp</t>
  </si>
  <si>
    <t>divers_maison</t>
  </si>
  <si>
    <t>Dans la maison</t>
  </si>
  <si>
    <t>equipement</t>
  </si>
  <si>
    <t>L'équipement</t>
  </si>
  <si>
    <t>treking equipement</t>
  </si>
  <si>
    <t>cuivres</t>
  </si>
  <si>
    <t>Les infrastructures</t>
  </si>
  <si>
    <t>infrastructures</t>
  </si>
  <si>
    <t>https://raw.githubusercontent.com/olaf-programmeur/images/main/bouteille.webp</t>
  </si>
  <si>
    <t>https://raw.githubusercontent.com/olaf-programmeur/images/main/batons.webp</t>
  </si>
  <si>
    <t>https://raw.githubusercontent.com/olaf-programmeur/images/main/batons_1.webp</t>
  </si>
  <si>
    <t>https://raw.githubusercontent.com/olaf-programmeur/images/main/batons_2.webp</t>
  </si>
  <si>
    <t>https://raw.githubusercontent.com/olaf-programmeur/images/main/batons_3.webp</t>
  </si>
  <si>
    <t>https://raw.githubusercontent.com/olaf-programmeur/images/main/batons_4.webp</t>
  </si>
  <si>
    <t>https://raw.githubusercontent.com/olaf-programmeur/images/main/batons_5.webp</t>
  </si>
  <si>
    <t>https://raw.githubusercontent.com/olaf-programmeur/images/main/equitable_1.webp</t>
  </si>
  <si>
    <t>https://raw.githubusercontent.com/olaf-programmeur/images/main/equitable_2.webp</t>
  </si>
  <si>
    <t>https://raw.githubusercontent.com/olaf-programmeur/images/main/environ.webp</t>
  </si>
  <si>
    <t>https://raw.githubusercontent.com/olaf-programmeur/images/main/environ_1.webp</t>
  </si>
  <si>
    <t>https://raw.githubusercontent.com/olaf-programmeur/images/main/chaud_froid1.webp</t>
  </si>
  <si>
    <t>https://raw.githubusercontent.com/olaf-programmeur/images/main/cher_bon_marche1.webp</t>
  </si>
  <si>
    <t>https://raw.githubusercontent.com/olaf-programmeur/images/main/v_arriver.webp</t>
  </si>
  <si>
    <t>https://raw.githubusercontent.com/olaf-programmeur/images/main/v_descendre_5.webp</t>
  </si>
  <si>
    <t>https://raw.githubusercontent.com/olaf-programmeur/images/main/mere.webp</t>
  </si>
  <si>
    <t>https://raw.githubusercontent.com/olaf-programmeur/images/main/pere.webp</t>
  </si>
  <si>
    <t>https://raw.githubusercontent.com/olaf-programmeur/images/main/grand_mere.webp</t>
  </si>
  <si>
    <t>https://raw.githubusercontent.com/olaf-programmeur/images/main/grand_pere.webp</t>
  </si>
  <si>
    <t>https://raw.githubusercontent.com/olaf-programmeur/images/main/tondeuse_a_gazon.webp</t>
  </si>
  <si>
    <t>https://raw.githubusercontent.com/olaf-programmeur/images/main/essence_pour_tondeuse.webp</t>
  </si>
  <si>
    <t>https://raw.githubusercontent.com/olaf-programmeur/images/main/lave_vaisselle.webp</t>
  </si>
  <si>
    <t>https://raw.githubusercontent.com/olaf-programmeur/images/main/pot_ou_mesure.webp</t>
  </si>
  <si>
    <t>https://raw.githubusercontent.com/olaf-programmeur/images/main/fourchette.webp</t>
  </si>
  <si>
    <t>https://raw.githubusercontent.com/olaf-programmeur/images/main/casserole.webp</t>
  </si>
  <si>
    <t>https://raw.githubusercontent.com/olaf-programmeur/images/main/marmite.webp</t>
  </si>
  <si>
    <t>https://raw.githubusercontent.com/olaf-programmeur/images/main/poele.webp</t>
  </si>
  <si>
    <t>https://raw.githubusercontent.com/olaf-programmeur/images/main/evier_ou_plonge.webp</t>
  </si>
  <si>
    <t>https://raw.githubusercontent.com/olaf-programmeur/images/main/robinet.webp</t>
  </si>
  <si>
    <t>https://raw.githubusercontent.com/olaf-programmeur/images/main/table.webp</t>
  </si>
  <si>
    <t>https://raw.githubusercontent.com/olaf-programmeur/images/main/buffet.webp</t>
  </si>
  <si>
    <t>https://raw.githubusercontent.com/olaf-programmeur/images/main/television.webp</t>
  </si>
  <si>
    <t>https://raw.githubusercontent.com/olaf-programmeur/images/main/coeur.webp</t>
  </si>
  <si>
    <t>https://raw.githubusercontent.com/olaf-programmeur/images/main/tete.webp</t>
  </si>
  <si>
    <t>https://raw.githubusercontent.com/olaf-programmeur/images/main/bouche.webp</t>
  </si>
  <si>
    <t>https://raw.githubusercontent.com/olaf-programmeur/images/main/ceinture.webp</t>
  </si>
  <si>
    <t>https://raw.githubusercontent.com/olaf-programmeur/images/main/sourdine_cup.webp</t>
  </si>
  <si>
    <t>https://raw.githubusercontent.com/olaf-programmeur/images/main/pistons.webp</t>
  </si>
  <si>
    <t>https://raw.githubusercontent.com/olaf-programmeur/images/main/coffre_instrument.webp</t>
  </si>
  <si>
    <t>https://raw.githubusercontent.com/olaf-programmeur/images/main/huile_instrument.webp</t>
  </si>
  <si>
    <t>https://raw.githubusercontent.com/olaf-programmeur/images/main/graisse_instrument.webp</t>
  </si>
  <si>
    <t>https://raw.githubusercontent.com/olaf-programmeur/images/main/cerf.webp</t>
  </si>
  <si>
    <t>https://raw.githubusercontent.com/olaf-programmeur/images/main/biere_limonade.webp</t>
  </si>
  <si>
    <t>https://raw.githubusercontent.com/olaf-programmeur/images/main/eau_minerale.webp</t>
  </si>
  <si>
    <t>https://raw.githubusercontent.com/olaf-programmeur/images/main/henniez_cassis.webp</t>
  </si>
  <si>
    <t>https://raw.githubusercontent.com/olaf-programmeur/images/main/grapefruit.webp</t>
  </si>
  <si>
    <t>https://raw.githubusercontent.com/olaf-programmeur/images/main/jus_dorange.webp</t>
  </si>
  <si>
    <t>https://raw.githubusercontent.com/olaf-programmeur/images/main/sprite.webp</t>
  </si>
  <si>
    <t>https://raw.githubusercontent.com/olaf-programmeur/images/main/riviere.webp</t>
  </si>
  <si>
    <t>https://raw.githubusercontent.com/olaf-programmeur/images/main/cymbales.webp</t>
  </si>
  <si>
    <t>https://raw.githubusercontent.com/olaf-programmeur/images/main/timbales.webp</t>
  </si>
  <si>
    <t>https://raw.githubusercontent.com/olaf-programmeur/images/main/xylophone.webp</t>
  </si>
  <si>
    <t>https://raw.githubusercontent.com/olaf-programmeur/images/main/vibraphone.webp</t>
  </si>
  <si>
    <t>https://raw.githubusercontent.com/olaf-programmeur/images/main/marimba.webp</t>
  </si>
  <si>
    <t>https://raw.githubusercontent.com/olaf-programmeur/images/main/cornet.webp</t>
  </si>
  <si>
    <t>https://raw.githubusercontent.com/olaf-programmeur/images/main/doigt.webp</t>
  </si>
  <si>
    <t>https://raw.githubusercontent.com/olaf-programmeur/images/main/filets_de_perche.webp</t>
  </si>
  <si>
    <t>https://raw.githubusercontent.com/olaf-programmeur/images/main/filet_de_truite.webp</t>
  </si>
  <si>
    <t>https://raw.githubusercontent.com/olaf-programmeur/images/main/lavabo.webp</t>
  </si>
  <si>
    <t>https://raw.githubusercontent.com/olaf-programmeur/images/main/miroir.webp</t>
  </si>
  <si>
    <t>https://raw.githubusercontent.com/olaf-programmeur/images/main/baignoire.webp</t>
  </si>
  <si>
    <t>https://raw.githubusercontent.com/olaf-programmeur/images/main/deodorant.webp</t>
  </si>
  <si>
    <t>https://raw.githubusercontent.com/olaf-programmeur/images/main/brosse_a_dents.webp</t>
  </si>
  <si>
    <t>https://raw.githubusercontent.com/olaf-programmeur/images/main/moto.webp</t>
  </si>
  <si>
    <t>https://raw.githubusercontent.com/olaf-programmeur/images/main/pickup.webp</t>
  </si>
  <si>
    <t>https://raw.githubusercontent.com/olaf-programmeur/images/main/camion.webp</t>
  </si>
  <si>
    <t>https://raw.githubusercontent.com/olaf-programmeur/images/main/tracteur.webp</t>
  </si>
  <si>
    <t>https://raw.githubusercontent.com/olaf-programmeur/images/main/steack_de_boeuf_frites.webp</t>
  </si>
  <si>
    <t>https://raw.githubusercontent.com/olaf-programmeur/images/main/porc.webp</t>
  </si>
  <si>
    <t>https://raw.githubusercontent.com/olaf-programmeur/images/main/filet_mignon_de_porc.webp</t>
  </si>
  <si>
    <t>https://raw.githubusercontent.com/olaf-programmeur/images/main/roti_de_porc.webp</t>
  </si>
  <si>
    <t>https://raw.githubusercontent.com/olaf-programmeur/images/main/poulet_au_curry.webp</t>
  </si>
  <si>
    <t>https://raw.githubusercontent.com/olaf-programmeur/images/main/essuie_glace.webp</t>
  </si>
  <si>
    <t>https://raw.githubusercontent.com/olaf-programmeur/images/main/capot.webp</t>
  </si>
  <si>
    <t>https://raw.githubusercontent.com/olaf-programmeur/images/main/pv_aile.webp</t>
  </si>
  <si>
    <t>https://raw.githubusercontent.com/olaf-programmeur/images/main/pare_chocs.webp</t>
  </si>
  <si>
    <t>https://raw.githubusercontent.com/olaf-programmeur/images/main/jante.webp</t>
  </si>
  <si>
    <t>https://raw.githubusercontent.com/olaf-programmeur/images/main/siege.webp</t>
  </si>
  <si>
    <t>https://raw.githubusercontent.com/olaf-programmeur/images/main/faire_les_vitres.webp</t>
  </si>
  <si>
    <t>https://raw.githubusercontent.com/olaf-programmeur/images/main/meister_proper.webp</t>
  </si>
  <si>
    <t>https://raw.githubusercontent.com/olaf-programmeur/images/main/lit.webp</t>
  </si>
  <si>
    <t>https://raw.githubusercontent.com/olaf-programmeur/images/main/duvet.webp</t>
  </si>
  <si>
    <t>https://raw.githubusercontent.com/olaf-programmeur/images/main/armoire.webp</t>
  </si>
  <si>
    <t>https://raw.githubusercontent.com/olaf-programmeur/images/main/corbeille_a_linge.webp</t>
  </si>
  <si>
    <t>https://raw.githubusercontent.com/olaf-programmeur/images/main/panier_a_linge.webp</t>
  </si>
  <si>
    <t>https://raw.githubusercontent.com/olaf-programmeur/images/main/bureau_piece.webp</t>
  </si>
  <si>
    <t>https://raw.githubusercontent.com/olaf-programmeur/images/main/classeur.webp</t>
  </si>
  <si>
    <t>https://raw.githubusercontent.com/olaf-programmeur/images/main/jauge_huile.webp</t>
  </si>
  <si>
    <t>https://raw.githubusercontent.com/olaf-programmeur/images/main/huile_moteur.webp</t>
  </si>
  <si>
    <t>https://raw.githubusercontent.com/olaf-programmeur/images/main/paire_de_slip.webp</t>
  </si>
  <si>
    <t>https://raw.githubusercontent.com/olaf-programmeur/images/main/pantalon_jeans.webp</t>
  </si>
  <si>
    <t>https://raw.githubusercontent.com/olaf-programmeur/images/main/juste_au_corps.webp</t>
  </si>
  <si>
    <t>https://raw.githubusercontent.com/olaf-programmeur/images/main/t_shirt.webp</t>
  </si>
  <si>
    <t>https://raw.githubusercontent.com/olaf-programmeur/images/main/polo.webp</t>
  </si>
  <si>
    <t>https://raw.githubusercontent.com/olaf-programmeur/images/main/veste.webp</t>
  </si>
  <si>
    <t>https://raw.githubusercontent.com/olaf-programmeur/images/main/pain.webp</t>
  </si>
  <si>
    <t>https://raw.githubusercontent.com/olaf-programmeur/images/main/fromage.webp</t>
  </si>
  <si>
    <t>https://raw.githubusercontent.com/olaf-programmeur/images/main/chalet.webp</t>
  </si>
  <si>
    <t>https://raw.githubusercontent.com/olaf-programmeur/images/main/garage.webp</t>
  </si>
  <si>
    <t>https://raw.githubusercontent.com/olaf-programmeur/images/main/ampoule.webp</t>
  </si>
  <si>
    <t>https://raw.githubusercontent.com/olaf-programmeur/images/main/fusibles_pour_lelectricite.webp</t>
  </si>
  <si>
    <t>https://raw.githubusercontent.com/olaf-programmeur/images/main/cheneau.webp</t>
  </si>
  <si>
    <t>https://raw.githubusercontent.com/olaf-programmeur/images/main/yvan_lagger_1.webp</t>
  </si>
  <si>
    <t>https://raw.githubusercontent.com/olaf-programmeur/images/main/damien_lagger_1.webp</t>
  </si>
  <si>
    <t>https://raw.githubusercontent.com/olaf-programmeur/images/main/damien_lagger_2.webp</t>
  </si>
  <si>
    <t>david_roh</t>
  </si>
  <si>
    <t>simon_roh</t>
  </si>
  <si>
    <t>jean_daniel_vergeres</t>
  </si>
  <si>
    <t>jean_rene_roh</t>
  </si>
  <si>
    <t>David Roh</t>
  </si>
  <si>
    <t>Simon Roh</t>
  </si>
  <si>
    <t>Jean-Daniel Vergères</t>
  </si>
  <si>
    <t>Jean-René Roh</t>
  </si>
  <si>
    <t>David est le caissier de la fanfare et notre alto principal. C'est le fils de Yves Roh.</t>
  </si>
  <si>
    <t>Simon est le président de la fanfare et joue du trombone basse. C'est le fils d'Yves Roh.</t>
  </si>
  <si>
    <t>Jean-Daniel Vergères joue du baryton à côté d'Emma.</t>
  </si>
  <si>
    <t>Jean-René Roh est notre porte-drapeau. Il est à la retraite.</t>
  </si>
  <si>
    <t>https://raw.githubusercontent.com/olaf-programmeur/images/main/david_roh.webp</t>
  </si>
  <si>
    <t>https://raw.githubusercontent.com/olaf-programmeur/images/main/simon_roh.webp</t>
  </si>
  <si>
    <t>https://raw.githubusercontent.com/olaf-programmeur/images/main/jean_daniel_vergeres.webp</t>
  </si>
  <si>
    <t>https://raw.githubusercontent.com/olaf-programmeur/images/main/jean_rene_roh.webp</t>
  </si>
  <si>
    <t>https://raw.githubusercontent.com/olaf-programmeur/images/main/jean_daniel_vergeres_1.webp</t>
  </si>
  <si>
    <t>https://raw.githubusercontent.com/olaf-programmeur/images/main/jean_rene_roh_1.webp</t>
  </si>
  <si>
    <t>kevin_dessimoz</t>
  </si>
  <si>
    <t>Kevin Dessimoz</t>
  </si>
  <si>
    <t>Kevin Dessimoz est le responsable de la commission musicale, il joue de la percussion. C'est le fils de Jacques-Henri.</t>
  </si>
  <si>
    <t>https://raw.githubusercontent.com/olaf-programmeur/images/main/kevin_dessimoz.webp</t>
  </si>
  <si>
    <t>noe_sauthier</t>
  </si>
  <si>
    <t>Noé Sauthier</t>
  </si>
  <si>
    <t>Il fait partie de la percussion de marche. C'est le fils de Pierre-Alain Sauthier.</t>
  </si>
  <si>
    <t>https://raw.githubusercontent.com/olaf-programmeur/images/main/noe_sauthier.webp</t>
  </si>
  <si>
    <t>adeline_berset</t>
  </si>
  <si>
    <t>Adeline Berset</t>
  </si>
  <si>
    <t>Adeline est notre fille d'honneur, c'est la fille d'Irène Berset.</t>
  </si>
  <si>
    <t>https://raw.githubusercontent.com/olaf-programmeur/images/main/adeline_berset.webp</t>
  </si>
  <si>
    <t>isabelle_sauthier</t>
  </si>
  <si>
    <t>Isabelle Sauthier</t>
  </si>
  <si>
    <t>Isabelle Sauthier est la femme de Pierre-Alain, notre cousin.</t>
  </si>
  <si>
    <t>https://raw.githubusercontent.com/olaf-programmeur/images/main/isabelle_sauthier.webp</t>
  </si>
  <si>
    <t>pierre_alain_sauthier</t>
  </si>
  <si>
    <t>Pierre-Alain Sauthier</t>
  </si>
  <si>
    <t>Pierre-Alain Sauthier est le fils de tante Michèle, c'est notre cousin. Il joue du cornet.</t>
  </si>
  <si>
    <t>https://raw.githubusercontent.com/olaf-programmeur/images/main/pierre_alain_sauthier.webp</t>
  </si>
  <si>
    <t>olivier_sauthier</t>
  </si>
  <si>
    <t>Olivier Sauthier</t>
  </si>
  <si>
    <t>Olivier Sauthier est conseiller en assurances, il habite à Erde. C'est le fils de Lucie Sauthier à Aven.</t>
  </si>
  <si>
    <t>https://raw.githubusercontent.com/olaf-programmeur/images/main/olivier_sauthier.webp</t>
  </si>
  <si>
    <t>nick_childs</t>
  </si>
  <si>
    <t>Nick Childs</t>
  </si>
  <si>
    <t>Nick Childs est le directeur de la  Black Dyke. Il est venu plusieurs fois à la Contheysanne comme directeur invité.</t>
  </si>
  <si>
    <t>https://raw.githubusercontent.com/olaf-programmeur/images/main/nick_childs.webp</t>
  </si>
  <si>
    <t>https://raw.githubusercontent.com/olaf-programmeur/images/main/nick_childs_1.webp</t>
  </si>
  <si>
    <t>https://raw.githubusercontent.com/olaf-programmeur/images/main/nick_childs_2.webp</t>
  </si>
  <si>
    <t>denis_sauthier</t>
  </si>
  <si>
    <t>Denis Sauthier</t>
  </si>
  <si>
    <t>Denis Sauthier habite à Aven, c'est le fils de Roger et Marie-Cécile.</t>
  </si>
  <si>
    <t>https://raw.githubusercontent.com/olaf-programmeur/images/main/denis_sauthier.webp</t>
  </si>
  <si>
    <t>olivier_cottagnoud</t>
  </si>
  <si>
    <t>Olivier Cottagnoud</t>
  </si>
  <si>
    <t>Olivier Cottagnoud est l'ancien président de Vétroz.</t>
  </si>
  <si>
    <t>https://raw.githubusercontent.com/olaf-programmeur/images/main/olivier_cottagnoud.webp</t>
  </si>
  <si>
    <t>https://raw.githubusercontent.com/olaf-programmeur/images/main/olivier_cottagnoud_1.webp</t>
  </si>
  <si>
    <t>fabienne_sauthier</t>
  </si>
  <si>
    <t>Fabienne Sauthier</t>
  </si>
  <si>
    <t>Fabienne Sauthier est la femme de Jean-François. Elle habite Aven.</t>
  </si>
  <si>
    <t>https://raw.githubusercontent.com/olaf-programmeur/images/main/fabienne_sauthier.webp</t>
  </si>
  <si>
    <t>david_bonvin</t>
  </si>
  <si>
    <t>David Bonvin</t>
  </si>
  <si>
    <t>David Bonvin est le directeur de la fanfare La Persévérante de Conthey.</t>
  </si>
  <si>
    <t>https://raw.githubusercontent.com/olaf-programmeur/images/main/david_bonvin.webp</t>
  </si>
  <si>
    <t>https://raw.githubusercontent.com/olaf-programmeur/images/main/david_bonvin_1.webp</t>
  </si>
  <si>
    <t>https://raw.githubusercontent.com/olaf-programmeur/images/main/david_bonvin_2.webp</t>
  </si>
  <si>
    <t>gaetan_reynard</t>
  </si>
  <si>
    <t>Gaëtan Reynard</t>
  </si>
  <si>
    <t>Gaëtan Reynard est le directeur de Bativa. Il est le mari de Géraldine Roh et habite Aven.</t>
  </si>
  <si>
    <t>https://raw.githubusercontent.com/olaf-programmeur/images/main/gaetan_reynard.webp</t>
  </si>
  <si>
    <t>https://raw.githubusercontent.com/olaf-programmeur/images/main/gaetan_reynard_1.webp</t>
  </si>
  <si>
    <t>https://raw.githubusercontent.com/olaf-programmeur/images/main/gaetan_reynard_2.webp</t>
  </si>
  <si>
    <t>charles_albert_putallaz</t>
  </si>
  <si>
    <t>Charles-Albert Putallaz</t>
  </si>
  <si>
    <t>Charles-Albert Putallaz est membre d'honneur de la Fanfare.</t>
  </si>
  <si>
    <t>https://raw.githubusercontent.com/olaf-programmeur/images/main/charles_albert_putallaz.webp</t>
  </si>
  <si>
    <t>jacques_evequoz</t>
  </si>
  <si>
    <t>Jacques Evéquoz</t>
  </si>
  <si>
    <t>Jacques Evéquoz est avocat et notaire. Il joue de l'euphonium.</t>
  </si>
  <si>
    <t>https://raw.githubusercontent.com/olaf-programmeur/images/main/jacques_evequoz.webp</t>
  </si>
  <si>
    <t>jean_christophe_roh</t>
  </si>
  <si>
    <t>Jean-Christophe Roh</t>
  </si>
  <si>
    <t>Jean-Christophe Roh est le fils de Roger Roh. Il est directeur du Garage du Nord à Conthey.</t>
  </si>
  <si>
    <t>https://raw.githubusercontent.com/olaf-programmeur/images/main/jean_christophe_roh.webp</t>
  </si>
  <si>
    <t>fadri_schucan</t>
  </si>
  <si>
    <t>Fadri Schucan</t>
  </si>
  <si>
    <t>Fadri Schucan est notre cousin. Ex-policier, il habite à Sion.</t>
  </si>
  <si>
    <t>https://raw.githubusercontent.com/olaf-programmeur/images/main/fadri_schucan.webp</t>
  </si>
  <si>
    <t>philippe_udry</t>
  </si>
  <si>
    <t>Philippe Udry</t>
  </si>
  <si>
    <t>Philippe Udry habite Aven. Il a un problème du vue et travaille à 50 %.</t>
  </si>
  <si>
    <t>https://raw.githubusercontent.com/olaf-programmeur/images/main/philippe_udry.webp</t>
  </si>
  <si>
    <t>patrick_sauthier_vetroz</t>
  </si>
  <si>
    <t>Patrick Sauthier</t>
  </si>
  <si>
    <t>Patrick Sauthier est le fils de Jean-Jacques Sauthier. Il travaille à l'Etat du Valais.</t>
  </si>
  <si>
    <t>https://raw.githubusercontent.com/olaf-programmeur/images/main/patrick_sauthier_vetroz.webp</t>
  </si>
  <si>
    <t>jean_rene_germanier_vetroz</t>
  </si>
  <si>
    <t>Jean-René Germanier</t>
  </si>
  <si>
    <t>Jean-René Germanier est un ancien conseiller national. Il a une cave à Vétroz.</t>
  </si>
  <si>
    <t>https://raw.githubusercontent.com/olaf-programmeur/images/main/jean_rene_germanier_vetroz.webp</t>
  </si>
  <si>
    <t>https://raw.githubusercontent.com/olaf-programmeur/images/main/jean_rene_germanier_vetroz_1.webp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</si>
</sst>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b/>
      <sz val="12"/>
      <name val="Calibri"/>
      <family val="2"/>
    </font>
    <font>
      <b/>
      <sz val="14"/>
      <name val="Calibri"/>
      <family val="2"/>
    </font>
    <font>
      <i/>
      <sz val="12"/>
      <color rgb="FF666666"/>
      <name val="Calibri"/>
      <family val="2"/>
    </font>
    <font>
      <b/>
      <sz val="12"/>
      <color rgb="FFCC0000"/>
      <name val="Calibri"/>
      <family val="2"/>
    </font>
    <font>
      <u/>
      <sz val="12"/>
      <color theme="10"/>
      <name val="Calibri"/>
      <family val="2"/>
      <scheme val="minor"/>
    </font>
    <font>
      <b/>
      <sz val="13"/>
      <color rgb="FF000000"/>
      <name val="Arial"/>
      <family val="2"/>
    </font>
    <font>
      <sz val="12"/>
      <name val="Calibri"/>
      <family val="2"/>
      <scheme val="minor"/>
    </font>
    <font>
      <b/>
      <sz val="12"/>
      <color rgb="FFFFFFFF"/>
      <name val="Arial"/>
      <family val="2"/>
    </font>
    <font>
      <sz val="12"/>
      <name val="Arial"/>
      <family val="2"/>
    </font>
    <font>
      <b/>
      <sz val="12"/>
      <color rgb="FFFFFFFF"/>
      <name val="Arial"/>
      <family val="2"/>
    </font>
    <font>
      <sz val="12"/>
      <name val="Arial"/>
      <family val="2"/>
    </font>
    <font>
      <i/>
      <sz val="12"/>
      <color rgb="FF808080"/>
      <name val="Arial"/>
      <family val="2"/>
    </font>
    <font>
      <sz val="12"/>
      <name val="Arial"/>
      <family val="2"/>
    </font>
    <font>
      <i/>
      <sz val="12"/>
      <color rgb="FF808080"/>
      <name val="Arial"/>
      <family val="2"/>
    </font>
    <font>
      <b/>
      <sz val="12"/>
      <color rgb="FFFFFFFF"/>
      <name val="Arial"/>
      <family val="2"/>
    </font>
    <font>
      <sz val="11"/>
      <name val="Open Sans"/>
      <family val="2"/>
    </font>
    <font>
      <sz val="11"/>
      <color theme="1"/>
      <name val="Open Sans"/>
      <family val="2"/>
    </font>
    <font>
      <sz val="11"/>
      <color rgb="FFFFFFFF"/>
      <name val="Open Sans"/>
      <family val="2"/>
    </font>
    <font>
      <u/>
      <sz val="11"/>
      <color theme="10"/>
      <name val="Open Sans"/>
      <family val="2"/>
    </font>
    <font>
      <sz val="12"/>
      <color rgb="FFFFFFFF"/>
      <name val="Open Sans"/>
      <family val="2"/>
    </font>
    <font>
      <sz val="12"/>
      <color theme="1"/>
      <name val="Open Sans"/>
      <family val="2"/>
    </font>
    <font>
      <sz val="12"/>
      <name val="Open Sans"/>
      <family val="2"/>
    </font>
    <font>
      <i/>
      <sz val="12"/>
      <color rgb="FF808080"/>
      <name val="Open Sans"/>
      <family val="2"/>
    </font>
    <font>
      <b/>
      <sz val="11"/>
      <color rgb="FFFFFFFF"/>
      <name val="Open Sans"/>
      <family val="2"/>
    </font>
    <font>
      <i/>
      <sz val="11"/>
      <color rgb="FF808080"/>
      <name val="Open Sans"/>
      <family val="2"/>
    </font>
  </fonts>
  <fills count="9">
    <fill>
      <patternFill patternType="none"/>
    </fill>
    <fill>
      <patternFill patternType="gray125"/>
    </fill>
    <fill>
      <patternFill patternType="solid">
        <fgColor rgb="FFE8E8E8"/>
      </patternFill>
    </fill>
    <fill>
      <patternFill patternType="solid">
        <fgColor rgb="FFFFFF00"/>
        <bgColor indexed="64"/>
      </patternFill>
    </fill>
    <fill>
      <patternFill patternType="solid">
        <fgColor rgb="FFFFFF00"/>
        <bgColor rgb="FFFFFF00"/>
      </patternFill>
    </fill>
    <fill>
      <patternFill patternType="solid">
        <fgColor rgb="FF4472C4"/>
      </patternFill>
    </fill>
    <fill>
      <patternFill patternType="solid">
        <fgColor rgb="FF4472C4"/>
      </patternFill>
    </fill>
    <fill>
      <patternFill patternType="solid">
        <fgColor rgb="FFFAEEDA"/>
      </patternFill>
    </fill>
    <fill>
      <patternFill patternType="solid">
        <fgColor rgb="FF4472C4"/>
      </patternFill>
    </fill>
  </fills>
  <borders count="1">
    <border>
      <left/>
      <right/>
      <top/>
      <bottom/>
      <diagonal/>
    </border>
  </borders>
  <cellStyleXfs count="2">
    <xf numFmtId="0" fontId="0" fillId="0" borderId="0"/>
    <xf numFmtId="0" fontId="5" fillId="0" borderId="0"/>
  </cellStyleXfs>
  <cellXfs count="49">
    <xf numFmtId="0" fontId="0" fillId="0" borderId="0" xfId="0"/>
    <xf numFmtId="0" fontId="1" fillId="0" borderId="0" xfId="0" applyFont="1"/>
    <xf numFmtId="0" fontId="4" fillId="0" borderId="0" xfId="0" applyFont="1"/>
    <xf numFmtId="0" fontId="1" fillId="2" borderId="0" xfId="0" applyFont="1" applyFill="1"/>
    <xf numFmtId="0" fontId="0" fillId="3" borderId="0" xfId="0" applyFill="1"/>
    <xf numFmtId="0" fontId="0" fillId="0" borderId="0" xfId="0" quotePrefix="1"/>
    <xf numFmtId="0" fontId="6" fillId="0" borderId="0" xfId="0" applyFont="1"/>
    <xf numFmtId="0" fontId="5" fillId="0" borderId="0" xfId="1"/>
    <xf numFmtId="0" fontId="9" fillId="0" borderId="0" xfId="0" applyFont="1"/>
    <xf numFmtId="0" fontId="8" fillId="5" borderId="0" xfId="0" applyFont="1" applyFill="1" applyAlignment="1">
      <alignment vertical="center"/>
    </xf>
    <xf numFmtId="0" fontId="7" fillId="0" borderId="0" xfId="0" applyFont="1" applyAlignment="1">
      <alignment horizontal="left" vertical="top"/>
    </xf>
    <xf numFmtId="0" fontId="10" fillId="6" borderId="0" xfId="0" applyFont="1" applyFill="1" applyAlignment="1">
      <alignment vertical="center"/>
    </xf>
    <xf numFmtId="0" fontId="12" fillId="0" borderId="0" xfId="0" applyFont="1"/>
    <xf numFmtId="0" fontId="10" fillId="6" borderId="0" xfId="0" applyFont="1" applyFill="1"/>
    <xf numFmtId="0" fontId="11" fillId="7" borderId="0" xfId="0" applyFont="1" applyFill="1"/>
    <xf numFmtId="0" fontId="11" fillId="0" borderId="0" xfId="0" applyFont="1"/>
    <xf numFmtId="0" fontId="0" fillId="0" borderId="0" xfId="0"/>
    <xf numFmtId="0" fontId="13" fillId="0" borderId="0" xfId="0" applyFont="1"/>
    <xf numFmtId="0" fontId="14" fillId="0" borderId="0" xfId="0" applyFont="1"/>
    <xf numFmtId="0" fontId="15" fillId="8" borderId="0" xfId="0" applyFont="1" applyFill="1" applyAlignment="1">
      <alignment horizontal="center"/>
    </xf>
    <xf numFmtId="0" fontId="7" fillId="0" borderId="0" xfId="0" applyFont="1" applyFill="1" applyAlignment="1">
      <alignment horizontal="left" vertical="top"/>
    </xf>
    <xf numFmtId="0" fontId="0" fillId="0" borderId="0" xfId="0"/>
    <xf numFmtId="0" fontId="0" fillId="0" borderId="0" xfId="0"/>
    <xf numFmtId="0" fontId="0" fillId="0" borderId="0" xfId="0" applyFill="1"/>
    <xf numFmtId="0" fontId="16" fillId="0" borderId="0" xfId="0" applyFont="1"/>
    <xf numFmtId="0" fontId="17" fillId="0" borderId="0" xfId="0" applyFont="1"/>
    <xf numFmtId="0" fontId="16" fillId="0" borderId="0" xfId="0" applyFont="1" applyAlignment="1">
      <alignment horizontal="left" vertical="top"/>
    </xf>
    <xf numFmtId="0" fontId="16" fillId="0" borderId="0" xfId="0" applyFont="1" applyFill="1" applyAlignment="1">
      <alignment horizontal="left" vertical="top"/>
    </xf>
    <xf numFmtId="0" fontId="17" fillId="0" borderId="0" xfId="0" applyFont="1" applyFill="1"/>
    <xf numFmtId="0" fontId="16" fillId="3" borderId="0" xfId="0" applyFont="1" applyFill="1" applyAlignment="1">
      <alignment horizontal="left" vertical="top"/>
    </xf>
    <xf numFmtId="0" fontId="16" fillId="4" borderId="0" xfId="0" applyFont="1" applyFill="1" applyAlignment="1">
      <alignment horizontal="left" vertical="top"/>
    </xf>
    <xf numFmtId="0" fontId="18" fillId="5" borderId="0" xfId="0" applyFont="1" applyFill="1"/>
    <xf numFmtId="0" fontId="19" fillId="0" borderId="0" xfId="1" applyFont="1"/>
    <xf numFmtId="0" fontId="17" fillId="0" borderId="0" xfId="0" quotePrefix="1" applyFont="1"/>
    <xf numFmtId="0" fontId="19" fillId="3" borderId="0" xfId="1" applyFont="1" applyFill="1"/>
    <xf numFmtId="0" fontId="0" fillId="0" borderId="0" xfId="0"/>
    <xf numFmtId="0" fontId="0" fillId="0" borderId="0" xfId="0"/>
    <xf numFmtId="0" fontId="0" fillId="0" borderId="0" xfId="0"/>
    <xf numFmtId="0" fontId="20" fillId="6" borderId="0" xfId="0" applyFont="1" applyFill="1" applyAlignment="1">
      <alignment vertical="center"/>
    </xf>
    <xf numFmtId="0" fontId="21" fillId="0" borderId="0" xfId="0" applyFont="1"/>
    <xf numFmtId="0" fontId="22" fillId="0" borderId="0" xfId="0" applyFont="1"/>
    <xf numFmtId="0" fontId="23" fillId="0" borderId="0" xfId="0" applyFont="1"/>
    <xf numFmtId="0" fontId="24" fillId="6" borderId="0" xfId="0" applyFont="1" applyFill="1" applyAlignment="1">
      <alignment vertical="center"/>
    </xf>
    <xf numFmtId="0" fontId="25" fillId="0" borderId="0" xfId="0" applyFont="1"/>
    <xf numFmtId="0" fontId="0" fillId="0" borderId="0" xfId="0"/>
    <xf numFmtId="0" fontId="0" fillId="0" borderId="0" xfId="0"/>
    <xf numFmtId="0" fontId="2" fillId="0" borderId="0" xfId="0" applyFont="1"/>
    <xf numFmtId="0" fontId="0" fillId="0" borderId="0" xfId="0"/>
    <xf numFmtId="0" fontId="3" fillId="0" borderId="0" xfId="0" applyFont="1"/>
  </cellXfs>
  <cellStyles count="2">
    <cellStyle name="Lien hypertexte" xfId="1" builtinId="8"/>
    <cellStyle name="Normal" xfId="0" builtinId="0"/>
  </cellStyles>
  <dxfs count="3">
    <dxf>
      <fill>
        <patternFill patternType="solid">
          <fgColor rgb="FFEAF3DE"/>
        </patternFill>
      </fill>
    </dxf>
    <dxf>
      <fill>
        <patternFill patternType="solid">
          <fgColor rgb="FFFCEBEB"/>
        </patternFill>
      </fill>
    </dxf>
    <dxf>
      <fill>
        <patternFill>
          <bgColor rgb="FFFF00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olaf-programmeur/images/main/dacia_duster.webp" TargetMode="External"/><Relationship Id="rId3" Type="http://schemas.openxmlformats.org/officeDocument/2006/relationships/hyperlink" Target="https://raw.githubusercontent.com/olaf-programmeur/images/main/boissons.webp" TargetMode="External"/><Relationship Id="rId7" Type="http://schemas.openxmlformats.org/officeDocument/2006/relationships/hyperlink" Target="https://raw.githubusercontent.com/olaf-programmeur/images/main/habits.webp" TargetMode="External"/><Relationship Id="rId2" Type="http://schemas.openxmlformats.org/officeDocument/2006/relationships/hyperlink" Target="https://raw.githubusercontent.com/olaf-programmeur/images/main/affaires.webp" TargetMode="External"/><Relationship Id="rId1" Type="http://schemas.openxmlformats.org/officeDocument/2006/relationships/hyperlink" Target="https://raw.githubusercontent.com/olaf-programmeur/images/main/mots.webp" TargetMode="External"/><Relationship Id="rId6" Type="http://schemas.openxmlformats.org/officeDocument/2006/relationships/hyperlink" Target="https://raw.githubusercontent.com/olaf-programmeur/images/main/drapeau_contheysanne.webp" TargetMode="External"/><Relationship Id="rId5" Type="http://schemas.openxmlformats.org/officeDocument/2006/relationships/hyperlink" Target="https://raw.githubusercontent.com/olaf-programmeur/images/main/famille.webp" TargetMode="External"/><Relationship Id="rId10" Type="http://schemas.openxmlformats.org/officeDocument/2006/relationships/hyperlink" Target="https://raw.githubusercontent.com/olaf-programmeur/images/main/emotion.webp" TargetMode="External"/><Relationship Id="rId4" Type="http://schemas.openxmlformats.org/officeDocument/2006/relationships/hyperlink" Target="https://raw.githubusercontent.com/olaf-programmeur/images/main/nourriture.webp" TargetMode="External"/><Relationship Id="rId9" Type="http://schemas.openxmlformats.org/officeDocument/2006/relationships/hyperlink" Target="https://raw.githubusercontent.com/olaf-programmeur/images/main/animaux.web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aw.githubusercontent.com/olaf-programmeur/images/main/instruments_a_cordes.webp" TargetMode="External"/><Relationship Id="rId13" Type="http://schemas.openxmlformats.org/officeDocument/2006/relationships/hyperlink" Target="https://raw.githubusercontent.com/olaf-programmeur/images/main/neveux_nieces.webp" TargetMode="External"/><Relationship Id="rId18" Type="http://schemas.openxmlformats.org/officeDocument/2006/relationships/hyperlink" Target="https://raw.githubusercontent.com/olaf-programmeur/images/main/salle_bain.webp" TargetMode="External"/><Relationship Id="rId26" Type="http://schemas.openxmlformats.org/officeDocument/2006/relationships/hyperlink" Target="https://raw.githubusercontent.com/olaf-programmeur/images/main/animaux_domestiques.webp" TargetMode="External"/><Relationship Id="rId3" Type="http://schemas.openxmlformats.org/officeDocument/2006/relationships/hyperlink" Target="https://raw.githubusercontent.com/olaf-programmeur/images/main/boissons_alcool.webp" TargetMode="External"/><Relationship Id="rId21" Type="http://schemas.openxmlformats.org/officeDocument/2006/relationships/hyperlink" Target="https://raw.githubusercontent.com/olaf-programmeur/images/main/plats_cuisines.webp" TargetMode="External"/><Relationship Id="rId7" Type="http://schemas.openxmlformats.org/officeDocument/2006/relationships/hyperlink" Target="https://raw.githubusercontent.com/olaf-programmeur/images/main/instruments_percussion.webp" TargetMode="External"/><Relationship Id="rId12" Type="http://schemas.openxmlformats.org/officeDocument/2006/relationships/hyperlink" Target="https://raw.githubusercontent.com/olaf-programmeur/images/main/frere_soeurs.webp" TargetMode="External"/><Relationship Id="rId17" Type="http://schemas.openxmlformats.org/officeDocument/2006/relationships/hyperlink" Target="https://raw.githubusercontent.com/olaf-programmeur/images/main/salon.webp" TargetMode="External"/><Relationship Id="rId25" Type="http://schemas.openxmlformats.org/officeDocument/2006/relationships/hyperlink" Target="https://raw.githubusercontent.com/olaf-programmeur/images/main/dacia_duster.webp" TargetMode="External"/><Relationship Id="rId2" Type="http://schemas.openxmlformats.org/officeDocument/2006/relationships/hyperlink" Target="https://raw.githubusercontent.com/olaf-programmeur/images/main/cafe_the.webp" TargetMode="External"/><Relationship Id="rId16" Type="http://schemas.openxmlformats.org/officeDocument/2006/relationships/hyperlink" Target="https://github.com/olaf-programmeur/images/blob/main/cuisine.webp" TargetMode="External"/><Relationship Id="rId20" Type="http://schemas.openxmlformats.org/officeDocument/2006/relationships/hyperlink" Target="https://raw.githubusercontent.com/olaf-programmeur/images/main/fruits.webp" TargetMode="External"/><Relationship Id="rId29" Type="http://schemas.openxmlformats.org/officeDocument/2006/relationships/hyperlink" Target="https://raw.githubusercontent.com/olaf-programmeur/images/main/insecte.webp" TargetMode="External"/><Relationship Id="rId1" Type="http://schemas.openxmlformats.org/officeDocument/2006/relationships/hyperlink" Target="https://github.com/olaf-programmeur/images/blob/main/boisson_froide.webp" TargetMode="External"/><Relationship Id="rId6" Type="http://schemas.openxmlformats.org/officeDocument/2006/relationships/hyperlink" Target="https://github.com/olaf-programmeur/images/blob/main/instruments_cuivre.webp" TargetMode="External"/><Relationship Id="rId11" Type="http://schemas.openxmlformats.org/officeDocument/2006/relationships/hyperlink" Target="https://github.com/olaf-programmeur/images/blob/main/famille_herv%C3%A9.webp" TargetMode="External"/><Relationship Id="rId24" Type="http://schemas.openxmlformats.org/officeDocument/2006/relationships/hyperlink" Target="https://github.com/olaf-programmeur/images/blob/main/dacia_duster.webp" TargetMode="External"/><Relationship Id="rId32" Type="http://schemas.openxmlformats.org/officeDocument/2006/relationships/hyperlink" Target="https://raw.githubusercontent.com/olaf-programmeur/images/main/antonymes.webp" TargetMode="External"/><Relationship Id="rId5" Type="http://schemas.openxmlformats.org/officeDocument/2006/relationships/hyperlink" Target="https://raw.githubusercontent.com/olaf-programmeur/images/main/pates.webp" TargetMode="External"/><Relationship Id="rId15" Type="http://schemas.openxmlformats.org/officeDocument/2006/relationships/hyperlink" Target="https://raw.githubusercontent.com/olaf-programmeur/images/main/maison_divers.webp" TargetMode="External"/><Relationship Id="rId23" Type="http://schemas.openxmlformats.org/officeDocument/2006/relationships/hyperlink" Target="https://raw.githubusercontent.com/olaf-programmeur/images/main/dessert.webp" TargetMode="External"/><Relationship Id="rId28" Type="http://schemas.openxmlformats.org/officeDocument/2006/relationships/hyperlink" Target="https://raw.githubusercontent.com/olaf-programmeur/images/main/animaux_sauvages.webp" TargetMode="External"/><Relationship Id="rId10" Type="http://schemas.openxmlformats.org/officeDocument/2006/relationships/hyperlink" Target="https://raw.githubusercontent.com/olaf-programmeur/images/main/divers_musique.webp" TargetMode="External"/><Relationship Id="rId19" Type="http://schemas.openxmlformats.org/officeDocument/2006/relationships/hyperlink" Target="https://raw.githubusercontent.com/olaf-programmeur/images/main/legumes.webp" TargetMode="External"/><Relationship Id="rId31" Type="http://schemas.openxmlformats.org/officeDocument/2006/relationships/hyperlink" Target="https://raw.githubusercontent.com/olaf-programmeur/images/main/mots.webp" TargetMode="External"/><Relationship Id="rId4" Type="http://schemas.openxmlformats.org/officeDocument/2006/relationships/hyperlink" Target="https://github.com/olaf-programmeur/images/blob/main/viandes.webp" TargetMode="External"/><Relationship Id="rId9" Type="http://schemas.openxmlformats.org/officeDocument/2006/relationships/hyperlink" Target="https://github.com/olaf-programmeur/images/blob/main/solfege.webp" TargetMode="External"/><Relationship Id="rId14" Type="http://schemas.openxmlformats.org/officeDocument/2006/relationships/hyperlink" Target="https://raw.githubusercontent.com/olaf-programmeur/images/main/bagheera.webp" TargetMode="External"/><Relationship Id="rId22" Type="http://schemas.openxmlformats.org/officeDocument/2006/relationships/hyperlink" Target="https://raw.githubusercontent.com/olaf-programmeur/images/main/assaisonnements.webp" TargetMode="External"/><Relationship Id="rId27" Type="http://schemas.openxmlformats.org/officeDocument/2006/relationships/hyperlink" Target="https://raw.githubusercontent.com/olaf-programmeur/images/main/animaux_ferme.webp" TargetMode="External"/><Relationship Id="rId30" Type="http://schemas.openxmlformats.org/officeDocument/2006/relationships/hyperlink" Target="https://raw.githubusercontent.com/olaf-programmeur/images/main/tronc_anatomie.webp"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aw.githubusercontent.com/olaf-programmeur/images/main/lave_linge.webp" TargetMode="External"/><Relationship Id="rId21" Type="http://schemas.openxmlformats.org/officeDocument/2006/relationships/hyperlink" Target="https://raw.githubusercontent.com/olaf-programmeur/images/main/courage_1.webp" TargetMode="External"/><Relationship Id="rId324" Type="http://schemas.openxmlformats.org/officeDocument/2006/relationships/hyperlink" Target="https://raw.githubusercontent.com/olaf-programmeur/images/main/vigne_1.webp" TargetMode="External"/><Relationship Id="rId531" Type="http://schemas.openxmlformats.org/officeDocument/2006/relationships/hyperlink" Target="https://raw.githubusercontent.com/olaf-programmeur/images/main/interrupteur_2.webp" TargetMode="External"/><Relationship Id="rId170" Type="http://schemas.openxmlformats.org/officeDocument/2006/relationships/hyperlink" Target="https://raw.githubusercontent.com/olaf-programmeur/images/main/accident_4.webp" TargetMode="External"/><Relationship Id="rId268" Type="http://schemas.openxmlformats.org/officeDocument/2006/relationships/hyperlink" Target="https://raw.githubusercontent.com/olaf-programmeur/images/main/aide_4.webp" TargetMode="External"/><Relationship Id="rId475" Type="http://schemas.openxmlformats.org/officeDocument/2006/relationships/hyperlink" Target="https://raw.githubusercontent.com/olaf-programmeur/images/main/tableau_5.webp" TargetMode="External"/><Relationship Id="rId32" Type="http://schemas.openxmlformats.org/officeDocument/2006/relationships/hyperlink" Target="https://raw.githubusercontent.com/olaf-programmeur/images/main/magasin_3.webp" TargetMode="External"/><Relationship Id="rId128" Type="http://schemas.openxmlformats.org/officeDocument/2006/relationships/hyperlink" Target="https://raw.githubusercontent.com/olaf-programmeur/images/main/bagheera.webp" TargetMode="External"/><Relationship Id="rId335" Type="http://schemas.openxmlformats.org/officeDocument/2006/relationships/hyperlink" Target="https://raw.githubusercontent.com/olaf-programmeur/images/main/seche_linge.webp" TargetMode="External"/><Relationship Id="rId542" Type="http://schemas.openxmlformats.org/officeDocument/2006/relationships/hyperlink" Target="https://raw.githubusercontent.com/olaf-programmeur/images/main/david_roh.webp" TargetMode="External"/><Relationship Id="rId181" Type="http://schemas.openxmlformats.org/officeDocument/2006/relationships/hyperlink" Target="https://raw.githubusercontent.com/olaf-programmeur/images/main/lutte_4.webp" TargetMode="External"/><Relationship Id="rId402" Type="http://schemas.openxmlformats.org/officeDocument/2006/relationships/hyperlink" Target="https://raw.githubusercontent.com/olaf-programmeur/images/main/noix_3.webp" TargetMode="External"/><Relationship Id="rId279" Type="http://schemas.openxmlformats.org/officeDocument/2006/relationships/hyperlink" Target="https://raw.githubusercontent.com/olaf-programmeur/images/main/v_entrer_4.webp" TargetMode="External"/><Relationship Id="rId486" Type="http://schemas.openxmlformats.org/officeDocument/2006/relationships/hyperlink" Target="https://raw.githubusercontent.com/olaf-programmeur/images/main/vol_1.webp" TargetMode="External"/><Relationship Id="rId43" Type="http://schemas.openxmlformats.org/officeDocument/2006/relationships/hyperlink" Target="https://raw.githubusercontent.com/olaf-programmeur/images/main/bien_4.webp" TargetMode="External"/><Relationship Id="rId139" Type="http://schemas.openxmlformats.org/officeDocument/2006/relationships/hyperlink" Target="https://raw.githubusercontent.com/olaf-programmeur/images/main/bagheera.webp" TargetMode="External"/><Relationship Id="rId346" Type="http://schemas.openxmlformats.org/officeDocument/2006/relationships/hyperlink" Target="https://raw.githubusercontent.com/olaf-programmeur/images/main/a_colore_1.webp" TargetMode="External"/><Relationship Id="rId553" Type="http://schemas.openxmlformats.org/officeDocument/2006/relationships/hyperlink" Target="https://raw.githubusercontent.com/olaf-programmeur/images/main/olivier_sauthier.webp" TargetMode="External"/><Relationship Id="rId192" Type="http://schemas.openxmlformats.org/officeDocument/2006/relationships/hyperlink" Target="https://raw.githubusercontent.com/olaf-programmeur/images/main/lutte_4.webp" TargetMode="External"/><Relationship Id="rId206" Type="http://schemas.openxmlformats.org/officeDocument/2006/relationships/hyperlink" Target="https://raw.githubusercontent.com/olaf-programmeur/images/main/livre_4.webp" TargetMode="External"/><Relationship Id="rId413" Type="http://schemas.openxmlformats.org/officeDocument/2006/relationships/hyperlink" Target="https://raw.githubusercontent.com/olaf-programmeur/images/main/interrupteur.webp" TargetMode="External"/><Relationship Id="rId497" Type="http://schemas.openxmlformats.org/officeDocument/2006/relationships/hyperlink" Target="https://raw.githubusercontent.com/olaf-programmeur/images/main/lacet_4.webp" TargetMode="External"/><Relationship Id="rId357" Type="http://schemas.openxmlformats.org/officeDocument/2006/relationships/hyperlink" Target="https://raw.githubusercontent.com/olaf-programmeur/images/main/dossier_1.webp" TargetMode="External"/><Relationship Id="rId54" Type="http://schemas.openxmlformats.org/officeDocument/2006/relationships/hyperlink" Target="https://raw.githubusercontent.com/olaf-programmeur/images/main/v_couper_4.webp" TargetMode="External"/><Relationship Id="rId217" Type="http://schemas.openxmlformats.org/officeDocument/2006/relationships/hyperlink" Target="https://raw.githubusercontent.com/olaf-programmeur/images/main/morceau_4.webp" TargetMode="External"/><Relationship Id="rId564" Type="http://schemas.openxmlformats.org/officeDocument/2006/relationships/hyperlink" Target="https://raw.githubusercontent.com/olaf-programmeur/images/main/david_bonvin.webp" TargetMode="External"/><Relationship Id="rId424" Type="http://schemas.openxmlformats.org/officeDocument/2006/relationships/hyperlink" Target="https://raw.githubusercontent.com/olaf-programmeur/images/main/interrupteur_3.webp" TargetMode="External"/><Relationship Id="rId270" Type="http://schemas.openxmlformats.org/officeDocument/2006/relationships/hyperlink" Target="https://raw.githubusercontent.com/olaf-programmeur/images/main/photo_4.webp" TargetMode="External"/><Relationship Id="rId65" Type="http://schemas.openxmlformats.org/officeDocument/2006/relationships/hyperlink" Target="https://raw.githubusercontent.com/olaf-programmeur/images/main/v_ecrire_4.webp" TargetMode="External"/><Relationship Id="rId130" Type="http://schemas.openxmlformats.org/officeDocument/2006/relationships/hyperlink" Target="https://raw.githubusercontent.com/olaf-programmeur/images/main/bagheera.webp" TargetMode="External"/><Relationship Id="rId368" Type="http://schemas.openxmlformats.org/officeDocument/2006/relationships/hyperlink" Target="https://raw.githubusercontent.com/olaf-programmeur/images/main/interrupteur_2.webp" TargetMode="External"/><Relationship Id="rId575" Type="http://schemas.openxmlformats.org/officeDocument/2006/relationships/printerSettings" Target="../printerSettings/printerSettings1.bin"/><Relationship Id="rId228" Type="http://schemas.openxmlformats.org/officeDocument/2006/relationships/hyperlink" Target="https://raw.githubusercontent.com/olaf-programmeur/images/main/trottoir_4.webp" TargetMode="External"/><Relationship Id="rId435" Type="http://schemas.openxmlformats.org/officeDocument/2006/relationships/hyperlink" Target="https://raw.githubusercontent.com/olaf-programmeur/images/main/ruban_1.webp" TargetMode="External"/><Relationship Id="rId281" Type="http://schemas.openxmlformats.org/officeDocument/2006/relationships/hyperlink" Target="https://raw.githubusercontent.com/olaf-programmeur/images/main/v_monter_4.webp" TargetMode="External"/><Relationship Id="rId337" Type="http://schemas.openxmlformats.org/officeDocument/2006/relationships/hyperlink" Target="https://raw.githubusercontent.com/olaf-programmeur/images/main/poire_5.webp" TargetMode="External"/><Relationship Id="rId502" Type="http://schemas.openxmlformats.org/officeDocument/2006/relationships/hyperlink" Target="https://raw.githubusercontent.com/olaf-programmeur/images/main/interrupteur_1.webp" TargetMode="External"/><Relationship Id="rId34" Type="http://schemas.openxmlformats.org/officeDocument/2006/relationships/hyperlink" Target="https://raw.githubusercontent.com/olaf-programmeur/images/main/fleur_1.webp" TargetMode="External"/><Relationship Id="rId76" Type="http://schemas.openxmlformats.org/officeDocument/2006/relationships/hyperlink" Target="https://raw.githubusercontent.com/olaf-programmeur/images/main/bande_4.webp" TargetMode="External"/><Relationship Id="rId141" Type="http://schemas.openxmlformats.org/officeDocument/2006/relationships/hyperlink" Target="https://raw.githubusercontent.com/olaf-programmeur/images/main/bagheera.webp" TargetMode="External"/><Relationship Id="rId379" Type="http://schemas.openxmlformats.org/officeDocument/2006/relationships/hyperlink" Target="https://raw.githubusercontent.com/olaf-programmeur/images/main/interrupteur_1.webp" TargetMode="External"/><Relationship Id="rId544" Type="http://schemas.openxmlformats.org/officeDocument/2006/relationships/hyperlink" Target="https://raw.githubusercontent.com/olaf-programmeur/images/main/jean_daniel_vergeres.webp" TargetMode="External"/><Relationship Id="rId7" Type="http://schemas.openxmlformats.org/officeDocument/2006/relationships/hyperlink" Target="https://raw.githubusercontent.com/olaf-programmeur/images/main/e_terre_1.webp" TargetMode="External"/><Relationship Id="rId183" Type="http://schemas.openxmlformats.org/officeDocument/2006/relationships/hyperlink" Target="https://raw.githubusercontent.com/olaf-programmeur/images/main/lutte_4.webp" TargetMode="External"/><Relationship Id="rId239" Type="http://schemas.openxmlformats.org/officeDocument/2006/relationships/hyperlink" Target="https://raw.githubusercontent.com/olaf-programmeur/images/main/trottoir_4.webp" TargetMode="External"/><Relationship Id="rId390" Type="http://schemas.openxmlformats.org/officeDocument/2006/relationships/hyperlink" Target="https://raw.githubusercontent.com/olaf-programmeur/images/main/interrupteur_5.webp" TargetMode="External"/><Relationship Id="rId404" Type="http://schemas.openxmlformats.org/officeDocument/2006/relationships/hyperlink" Target="https://raw.githubusercontent.com/olaf-programmeur/images/main/noix_5.webp" TargetMode="External"/><Relationship Id="rId446" Type="http://schemas.openxmlformats.org/officeDocument/2006/relationships/hyperlink" Target="https://raw.githubusercontent.com/olaf-programmeur/images/main/interrupteur.webp" TargetMode="External"/><Relationship Id="rId250" Type="http://schemas.openxmlformats.org/officeDocument/2006/relationships/hyperlink" Target="https://raw.githubusercontent.com/olaf-programmeur/images/main/champion_4.webp" TargetMode="External"/><Relationship Id="rId292" Type="http://schemas.openxmlformats.org/officeDocument/2006/relationships/hyperlink" Target="https://raw.githubusercontent.com/olaf-programmeur/images/main/v_entrer_4.webp" TargetMode="External"/><Relationship Id="rId306" Type="http://schemas.openxmlformats.org/officeDocument/2006/relationships/hyperlink" Target="https://raw.githubusercontent.com/olaf-programmeur/images/main/v_voler_4.webp" TargetMode="External"/><Relationship Id="rId488" Type="http://schemas.openxmlformats.org/officeDocument/2006/relationships/hyperlink" Target="https://raw.githubusercontent.com/olaf-programmeur/images/main/vol_2.webp" TargetMode="External"/><Relationship Id="rId45" Type="http://schemas.openxmlformats.org/officeDocument/2006/relationships/hyperlink" Target="https://raw.githubusercontent.com/olaf-programmeur/images/main/v_cacher_4.webp" TargetMode="External"/><Relationship Id="rId87" Type="http://schemas.openxmlformats.org/officeDocument/2006/relationships/hyperlink" Target="https://raw.githubusercontent.com/olaf-programmeur/images/main/classe_4.webp" TargetMode="External"/><Relationship Id="rId110" Type="http://schemas.openxmlformats.org/officeDocument/2006/relationships/hyperlink" Target="https://raw.githubusercontent.com/olaf-programmeur/images/main/courage_4.webp" TargetMode="External"/><Relationship Id="rId348" Type="http://schemas.openxmlformats.org/officeDocument/2006/relationships/hyperlink" Target="https://raw.githubusercontent.com/olaf-programmeur/images/main/a_colore_3.webp" TargetMode="External"/><Relationship Id="rId513" Type="http://schemas.openxmlformats.org/officeDocument/2006/relationships/hyperlink" Target="https://raw.githubusercontent.com/olaf-programmeur/images/main/lacet_5.webp" TargetMode="External"/><Relationship Id="rId555" Type="http://schemas.openxmlformats.org/officeDocument/2006/relationships/hyperlink" Target="https://raw.githubusercontent.com/olaf-programmeur/images/main/nick_childs_1.webp" TargetMode="External"/><Relationship Id="rId152" Type="http://schemas.openxmlformats.org/officeDocument/2006/relationships/hyperlink" Target="https://raw.githubusercontent.com/olaf-programmeur/images/main/valise_4.webp" TargetMode="External"/><Relationship Id="rId194" Type="http://schemas.openxmlformats.org/officeDocument/2006/relationships/hyperlink" Target="https://raw.githubusercontent.com/olaf-programmeur/images/main/lutte_4.webp" TargetMode="External"/><Relationship Id="rId208" Type="http://schemas.openxmlformats.org/officeDocument/2006/relationships/hyperlink" Target="https://raw.githubusercontent.com/olaf-programmeur/images/main/jardinage_4.webp" TargetMode="External"/><Relationship Id="rId415" Type="http://schemas.openxmlformats.org/officeDocument/2006/relationships/hyperlink" Target="https://raw.githubusercontent.com/olaf-programmeur/images/main/interrupteur_1.webp" TargetMode="External"/><Relationship Id="rId457" Type="http://schemas.openxmlformats.org/officeDocument/2006/relationships/hyperlink" Target="https://raw.githubusercontent.com/olaf-programmeur/images/main/singe_4.webp" TargetMode="External"/><Relationship Id="rId261" Type="http://schemas.openxmlformats.org/officeDocument/2006/relationships/hyperlink" Target="https://raw.githubusercontent.com/olaf-programmeur/images/main/aide_4.webp" TargetMode="External"/><Relationship Id="rId499" Type="http://schemas.openxmlformats.org/officeDocument/2006/relationships/hyperlink" Target="https://raw.githubusercontent.com/olaf-programmeur/images/main/emma_1.webp" TargetMode="External"/><Relationship Id="rId14" Type="http://schemas.openxmlformats.org/officeDocument/2006/relationships/hyperlink" Target="https://raw.githubusercontent.com/olaf-programmeur/images/main/peur_1.webp" TargetMode="External"/><Relationship Id="rId56" Type="http://schemas.openxmlformats.org/officeDocument/2006/relationships/hyperlink" Target="https://raw.githubusercontent.com/olaf-programmeur/images/main/creux_4.webp" TargetMode="External"/><Relationship Id="rId317" Type="http://schemas.openxmlformats.org/officeDocument/2006/relationships/hyperlink" Target="https://raw.githubusercontent.com/olaf-programmeur/images/main/marche_lieu.webp" TargetMode="External"/><Relationship Id="rId359" Type="http://schemas.openxmlformats.org/officeDocument/2006/relationships/hyperlink" Target="https://raw.githubusercontent.com/olaf-programmeur/images/main/interrupteur_1.webp" TargetMode="External"/><Relationship Id="rId524" Type="http://schemas.openxmlformats.org/officeDocument/2006/relationships/hyperlink" Target="https://raw.githubusercontent.com/olaf-programmeur/images/main/store_1.webp" TargetMode="External"/><Relationship Id="rId566" Type="http://schemas.openxmlformats.org/officeDocument/2006/relationships/hyperlink" Target="https://raw.githubusercontent.com/olaf-programmeur/images/main/david_bonvin_2.webp" TargetMode="External"/><Relationship Id="rId98" Type="http://schemas.openxmlformats.org/officeDocument/2006/relationships/hyperlink" Target="https://raw.githubusercontent.com/olaf-programmeur/images/main/farine_5.webp" TargetMode="External"/><Relationship Id="rId121" Type="http://schemas.openxmlformats.org/officeDocument/2006/relationships/hyperlink" Target="https://raw.githubusercontent.com/olaf-programmeur/images/main/lutte_4.webp" TargetMode="External"/><Relationship Id="rId163" Type="http://schemas.openxmlformats.org/officeDocument/2006/relationships/hyperlink" Target="https://raw.githubusercontent.com/olaf-programmeur/images/main/aventure_4.webp" TargetMode="External"/><Relationship Id="rId219" Type="http://schemas.openxmlformats.org/officeDocument/2006/relationships/hyperlink" Target="https://raw.githubusercontent.com/olaf-programmeur/images/main/morceau_4.webp" TargetMode="External"/><Relationship Id="rId370" Type="http://schemas.openxmlformats.org/officeDocument/2006/relationships/hyperlink" Target="https://raw.githubusercontent.com/olaf-programmeur/images/main/interrupteur_4.webp" TargetMode="External"/><Relationship Id="rId426" Type="http://schemas.openxmlformats.org/officeDocument/2006/relationships/hyperlink" Target="https://raw.githubusercontent.com/olaf-programmeur/images/main/interrupteur_5.webp" TargetMode="External"/><Relationship Id="rId230" Type="http://schemas.openxmlformats.org/officeDocument/2006/relationships/hyperlink" Target="https://raw.githubusercontent.com/olaf-programmeur/images/main/trottoir_4.webp" TargetMode="External"/><Relationship Id="rId468" Type="http://schemas.openxmlformats.org/officeDocument/2006/relationships/hyperlink" Target="https://raw.githubusercontent.com/olaf-programmeur/images/main/brusquement.webp" TargetMode="External"/><Relationship Id="rId25" Type="http://schemas.openxmlformats.org/officeDocument/2006/relationships/hyperlink" Target="https://raw.githubusercontent.com/olaf-programmeur/images/main/chaud_froid_1.webp" TargetMode="External"/><Relationship Id="rId67" Type="http://schemas.openxmlformats.org/officeDocument/2006/relationships/hyperlink" Target="https://raw.githubusercontent.com/olaf-programmeur/images/main/a_fatigue_4.webp" TargetMode="External"/><Relationship Id="rId272" Type="http://schemas.openxmlformats.org/officeDocument/2006/relationships/hyperlink" Target="https://raw.githubusercontent.com/olaf-programmeur/images/main/v_monter_4.webp" TargetMode="External"/><Relationship Id="rId328" Type="http://schemas.openxmlformats.org/officeDocument/2006/relationships/hyperlink" Target="https://raw.githubusercontent.com/olaf-programmeur/images/main/plancher_4.webp" TargetMode="External"/><Relationship Id="rId535" Type="http://schemas.openxmlformats.org/officeDocument/2006/relationships/hyperlink" Target="https://raw.githubusercontent.com/olaf-programmeur/images/main/visage_5.webp" TargetMode="External"/><Relationship Id="rId132" Type="http://schemas.openxmlformats.org/officeDocument/2006/relationships/hyperlink" Target="https://raw.githubusercontent.com/olaf-programmeur/images/main/lutte_4.webp" TargetMode="External"/><Relationship Id="rId174" Type="http://schemas.openxmlformats.org/officeDocument/2006/relationships/hyperlink" Target="https://raw.githubusercontent.com/olaf-programmeur/images/main/accident_4.webp" TargetMode="External"/><Relationship Id="rId381" Type="http://schemas.openxmlformats.org/officeDocument/2006/relationships/hyperlink" Target="https://raw.githubusercontent.com/olaf-programmeur/images/main/interrupteur_3.webp" TargetMode="External"/><Relationship Id="rId241" Type="http://schemas.openxmlformats.org/officeDocument/2006/relationships/hyperlink" Target="https://raw.githubusercontent.com/olaf-programmeur/images/main/terrain_4.webp" TargetMode="External"/><Relationship Id="rId437" Type="http://schemas.openxmlformats.org/officeDocument/2006/relationships/hyperlink" Target="https://raw.githubusercontent.com/olaf-programmeur/images/main/ruban_2.webp" TargetMode="External"/><Relationship Id="rId479" Type="http://schemas.openxmlformats.org/officeDocument/2006/relationships/hyperlink" Target="https://raw.githubusercontent.com/olaf-programmeur/images/main/interrupteur_2.webp" TargetMode="External"/><Relationship Id="rId36" Type="http://schemas.openxmlformats.org/officeDocument/2006/relationships/hyperlink" Target="https://raw.githubusercontent.com/olaf-programmeur/images/main/bateau_3.webp" TargetMode="External"/><Relationship Id="rId283" Type="http://schemas.openxmlformats.org/officeDocument/2006/relationships/hyperlink" Target="https://raw.githubusercontent.com/olaf-programmeur/images/main/v_lever_4.webp" TargetMode="External"/><Relationship Id="rId339" Type="http://schemas.openxmlformats.org/officeDocument/2006/relationships/hyperlink" Target="https://raw.githubusercontent.com/olaf-programmeur/images/main/car_postal.webp" TargetMode="External"/><Relationship Id="rId490" Type="http://schemas.openxmlformats.org/officeDocument/2006/relationships/hyperlink" Target="https://raw.githubusercontent.com/olaf-programmeur/images/main/vol_4.webp" TargetMode="External"/><Relationship Id="rId504" Type="http://schemas.openxmlformats.org/officeDocument/2006/relationships/hyperlink" Target="https://raw.githubusercontent.com/olaf-programmeur/images/main/interrupteur_2.webp" TargetMode="External"/><Relationship Id="rId546" Type="http://schemas.openxmlformats.org/officeDocument/2006/relationships/hyperlink" Target="https://raw.githubusercontent.com/olaf-programmeur/images/main/jean_daniel_vergeres_1.webp" TargetMode="External"/><Relationship Id="rId78" Type="http://schemas.openxmlformats.org/officeDocument/2006/relationships/hyperlink" Target="https://raw.githubusercontent.com/olaf-programmeur/images/main/blessure_4.webp" TargetMode="External"/><Relationship Id="rId101" Type="http://schemas.openxmlformats.org/officeDocument/2006/relationships/hyperlink" Target="https://raw.githubusercontent.com/olaf-programmeur/images/main/bagheera.webp" TargetMode="External"/><Relationship Id="rId143" Type="http://schemas.openxmlformats.org/officeDocument/2006/relationships/hyperlink" Target="https://raw.githubusercontent.com/olaf-programmeur/images/main/bagheera.webp" TargetMode="External"/><Relationship Id="rId185" Type="http://schemas.openxmlformats.org/officeDocument/2006/relationships/hyperlink" Target="https://raw.githubusercontent.com/olaf-programmeur/images/main/lutte_4.webp" TargetMode="External"/><Relationship Id="rId350" Type="http://schemas.openxmlformats.org/officeDocument/2006/relationships/hyperlink" Target="https://raw.githubusercontent.com/olaf-programmeur/images/main/a_casse.webp" TargetMode="External"/><Relationship Id="rId406" Type="http://schemas.openxmlformats.org/officeDocument/2006/relationships/hyperlink" Target="https://raw.githubusercontent.com/olaf-programmeur/images/main/volume_1.webp" TargetMode="External"/><Relationship Id="rId9" Type="http://schemas.openxmlformats.org/officeDocument/2006/relationships/hyperlink" Target="https://raw.githubusercontent.com/olaf-programmeur/images/main/p_terre_1.webp" TargetMode="External"/><Relationship Id="rId210" Type="http://schemas.openxmlformats.org/officeDocument/2006/relationships/hyperlink" Target="https://raw.githubusercontent.com/olaf-programmeur/images/main/jardinage_4.webp" TargetMode="External"/><Relationship Id="rId392" Type="http://schemas.openxmlformats.org/officeDocument/2006/relationships/hyperlink" Target="https://raw.githubusercontent.com/olaf-programmeur/images/main/interrupteur.webp" TargetMode="External"/><Relationship Id="rId448" Type="http://schemas.openxmlformats.org/officeDocument/2006/relationships/hyperlink" Target="https://raw.githubusercontent.com/olaf-programmeur/images/main/interrupteur_1.webp" TargetMode="External"/><Relationship Id="rId252" Type="http://schemas.openxmlformats.org/officeDocument/2006/relationships/hyperlink" Target="https://raw.githubusercontent.com/olaf-programmeur/images/main/cube_4.webp" TargetMode="External"/><Relationship Id="rId294" Type="http://schemas.openxmlformats.org/officeDocument/2006/relationships/hyperlink" Target="https://raw.githubusercontent.com/olaf-programmeur/images/main/v_lever_4.webp" TargetMode="External"/><Relationship Id="rId308" Type="http://schemas.openxmlformats.org/officeDocument/2006/relationships/hyperlink" Target="https://raw.githubusercontent.com/olaf-programmeur/images/main/dessert_4.webp" TargetMode="External"/><Relationship Id="rId515" Type="http://schemas.openxmlformats.org/officeDocument/2006/relationships/hyperlink" Target="https://raw.githubusercontent.com/olaf-programmeur/images/main/store.webp" TargetMode="External"/><Relationship Id="rId47" Type="http://schemas.openxmlformats.org/officeDocument/2006/relationships/hyperlink" Target="https://raw.githubusercontent.com/olaf-programmeur/images/main/v_casser_4.webp" TargetMode="External"/><Relationship Id="rId89" Type="http://schemas.openxmlformats.org/officeDocument/2006/relationships/hyperlink" Target="https://raw.githubusercontent.com/olaf-programmeur/images/main/classe_4.webp" TargetMode="External"/><Relationship Id="rId112" Type="http://schemas.openxmlformats.org/officeDocument/2006/relationships/hyperlink" Target="https://raw.githubusercontent.com/olaf-programmeur/images/main/bagheera.webp" TargetMode="External"/><Relationship Id="rId154" Type="http://schemas.openxmlformats.org/officeDocument/2006/relationships/hyperlink" Target="https://raw.githubusercontent.com/olaf-programmeur/images/main/accord_4.webp" TargetMode="External"/><Relationship Id="rId361" Type="http://schemas.openxmlformats.org/officeDocument/2006/relationships/hyperlink" Target="https://raw.githubusercontent.com/olaf-programmeur/images/main/interrupteur_2.webp" TargetMode="External"/><Relationship Id="rId557" Type="http://schemas.openxmlformats.org/officeDocument/2006/relationships/hyperlink" Target="https://raw.githubusercontent.com/olaf-programmeur/images/main/denis_sauthier.webp" TargetMode="External"/><Relationship Id="rId196" Type="http://schemas.openxmlformats.org/officeDocument/2006/relationships/hyperlink" Target="https://raw.githubusercontent.com/olaf-programmeur/images/main/de_4.webp" TargetMode="External"/><Relationship Id="rId417" Type="http://schemas.openxmlformats.org/officeDocument/2006/relationships/hyperlink" Target="https://raw.githubusercontent.com/olaf-programmeur/images/main/interrupteur_3.webp" TargetMode="External"/><Relationship Id="rId459" Type="http://schemas.openxmlformats.org/officeDocument/2006/relationships/hyperlink" Target="https://raw.githubusercontent.com/olaf-programmeur/images/main/souffle_1.webp" TargetMode="External"/><Relationship Id="rId16" Type="http://schemas.openxmlformats.org/officeDocument/2006/relationships/hyperlink" Target="https://raw.githubusercontent.com/olaf-programmeur/images/main/peur_1.webp" TargetMode="External"/><Relationship Id="rId221" Type="http://schemas.openxmlformats.org/officeDocument/2006/relationships/hyperlink" Target="https://raw.githubusercontent.com/olaf-programmeur/images/main/morceau_4.webp" TargetMode="External"/><Relationship Id="rId263" Type="http://schemas.openxmlformats.org/officeDocument/2006/relationships/hyperlink" Target="https://raw.githubusercontent.com/olaf-programmeur/images/main/environnement.webp" TargetMode="External"/><Relationship Id="rId319" Type="http://schemas.openxmlformats.org/officeDocument/2006/relationships/hyperlink" Target="https://raw.githubusercontent.com/olaf-programmeur/images/main/poire_2.webp" TargetMode="External"/><Relationship Id="rId470" Type="http://schemas.openxmlformats.org/officeDocument/2006/relationships/hyperlink" Target="https://raw.githubusercontent.com/olaf-programmeur/images/main/tableau_1.webp" TargetMode="External"/><Relationship Id="rId526" Type="http://schemas.openxmlformats.org/officeDocument/2006/relationships/hyperlink" Target="https://raw.githubusercontent.com/olaf-programmeur/images/main/store_3.webp" TargetMode="External"/><Relationship Id="rId58" Type="http://schemas.openxmlformats.org/officeDocument/2006/relationships/hyperlink" Target="https://raw.githubusercontent.com/olaf-programmeur/images/main/v_cuire_4.webp" TargetMode="External"/><Relationship Id="rId123" Type="http://schemas.openxmlformats.org/officeDocument/2006/relationships/hyperlink" Target="https://raw.githubusercontent.com/olaf-programmeur/images/main/bagheera.webp" TargetMode="External"/><Relationship Id="rId330" Type="http://schemas.openxmlformats.org/officeDocument/2006/relationships/hyperlink" Target="https://raw.githubusercontent.com/olaf-programmeur/images/main/r_mathilde.webp" TargetMode="External"/><Relationship Id="rId568" Type="http://schemas.openxmlformats.org/officeDocument/2006/relationships/hyperlink" Target="https://raw.githubusercontent.com/olaf-programmeur/images/main/jacques_evequoz.webp" TargetMode="External"/><Relationship Id="rId165" Type="http://schemas.openxmlformats.org/officeDocument/2006/relationships/hyperlink" Target="https://raw.githubusercontent.com/olaf-programmeur/images/main/accident_4.webp" TargetMode="External"/><Relationship Id="rId372" Type="http://schemas.openxmlformats.org/officeDocument/2006/relationships/hyperlink" Target="https://raw.githubusercontent.com/olaf-programmeur/images/main/interrupteur.webp" TargetMode="External"/><Relationship Id="rId428" Type="http://schemas.openxmlformats.org/officeDocument/2006/relationships/hyperlink" Target="https://raw.githubusercontent.com/olaf-programmeur/images/main/interrupteur.webp" TargetMode="External"/><Relationship Id="rId232" Type="http://schemas.openxmlformats.org/officeDocument/2006/relationships/hyperlink" Target="https://raw.githubusercontent.com/olaf-programmeur/images/main/trottoir_4.webp" TargetMode="External"/><Relationship Id="rId274" Type="http://schemas.openxmlformats.org/officeDocument/2006/relationships/hyperlink" Target="https://raw.githubusercontent.com/olaf-programmeur/images/main/bagheera.webp" TargetMode="External"/><Relationship Id="rId481" Type="http://schemas.openxmlformats.org/officeDocument/2006/relationships/hyperlink" Target="https://raw.githubusercontent.com/olaf-programmeur/images/main/v_ramasser_4.webp" TargetMode="External"/><Relationship Id="rId27" Type="http://schemas.openxmlformats.org/officeDocument/2006/relationships/hyperlink" Target="https://raw.githubusercontent.com/olaf-programmeur/images/main/bon_mechant.webp" TargetMode="External"/><Relationship Id="rId69" Type="http://schemas.openxmlformats.org/officeDocument/2006/relationships/hyperlink" Target="https://raw.githubusercontent.com/olaf-programmeur/images/main/v_feliciter_4.webp" TargetMode="External"/><Relationship Id="rId134" Type="http://schemas.openxmlformats.org/officeDocument/2006/relationships/hyperlink" Target="https://raw.githubusercontent.com/olaf-programmeur/images/main/bagheera.webp" TargetMode="External"/><Relationship Id="rId537" Type="http://schemas.openxmlformats.org/officeDocument/2006/relationships/hyperlink" Target="https://raw.githubusercontent.com/olaf-programmeur/images/main/v_aider_4.webp" TargetMode="External"/><Relationship Id="rId80" Type="http://schemas.openxmlformats.org/officeDocument/2006/relationships/hyperlink" Target="https://raw.githubusercontent.com/olaf-programmeur/images/main/bougie_4.webp" TargetMode="External"/><Relationship Id="rId176" Type="http://schemas.openxmlformats.org/officeDocument/2006/relationships/hyperlink" Target="https://raw.githubusercontent.com/olaf-programmeur/images/main/bricolage_4.webp" TargetMode="External"/><Relationship Id="rId341" Type="http://schemas.openxmlformats.org/officeDocument/2006/relationships/hyperlink" Target="https://raw.githubusercontent.com/olaf-programmeur/images/main/famille_herve.webp" TargetMode="External"/><Relationship Id="rId383" Type="http://schemas.openxmlformats.org/officeDocument/2006/relationships/hyperlink" Target="https://raw.githubusercontent.com/olaf-programmeur/images/main/interrupteur_5.webp" TargetMode="External"/><Relationship Id="rId439" Type="http://schemas.openxmlformats.org/officeDocument/2006/relationships/hyperlink" Target="https://raw.githubusercontent.com/olaf-programmeur/images/main/ruban_4.webp" TargetMode="External"/><Relationship Id="rId201" Type="http://schemas.openxmlformats.org/officeDocument/2006/relationships/hyperlink" Target="https://raw.githubusercontent.com/olaf-programmeur/images/main/brin_4.webp" TargetMode="External"/><Relationship Id="rId243" Type="http://schemas.openxmlformats.org/officeDocument/2006/relationships/hyperlink" Target="https://raw.githubusercontent.com/olaf-programmeur/images/main/trottoir_4.webp" TargetMode="External"/><Relationship Id="rId285" Type="http://schemas.openxmlformats.org/officeDocument/2006/relationships/hyperlink" Target="https://raw.githubusercontent.com/olaf-programmeur/images/main/v_parler.webp" TargetMode="External"/><Relationship Id="rId450" Type="http://schemas.openxmlformats.org/officeDocument/2006/relationships/hyperlink" Target="https://raw.githubusercontent.com/olaf-programmeur/images/main/interrupteur_3.webp" TargetMode="External"/><Relationship Id="rId506" Type="http://schemas.openxmlformats.org/officeDocument/2006/relationships/hyperlink" Target="https://raw.githubusercontent.com/olaf-programmeur/images/main/neveux_nieces.webp" TargetMode="External"/><Relationship Id="rId38" Type="http://schemas.openxmlformats.org/officeDocument/2006/relationships/hyperlink" Target="https://raw.githubusercontent.com/olaf-programmeur/images/main/filet_mignon_porc.webp" TargetMode="External"/><Relationship Id="rId103" Type="http://schemas.openxmlformats.org/officeDocument/2006/relationships/hyperlink" Target="https://raw.githubusercontent.com/olaf-programmeur/images/main/bagheera.webp" TargetMode="External"/><Relationship Id="rId310" Type="http://schemas.openxmlformats.org/officeDocument/2006/relationships/hyperlink" Target="https://raw.githubusercontent.com/olaf-programmeur/images/main/capsule_nespresso.webp" TargetMode="External"/><Relationship Id="rId492" Type="http://schemas.openxmlformats.org/officeDocument/2006/relationships/hyperlink" Target="https://raw.githubusercontent.com/olaf-programmeur/images/main/videos/e_verre.mp4" TargetMode="External"/><Relationship Id="rId548" Type="http://schemas.openxmlformats.org/officeDocument/2006/relationships/hyperlink" Target="https://raw.githubusercontent.com/olaf-programmeur/images/main/kevin_dessimoz.webp" TargetMode="External"/><Relationship Id="rId91" Type="http://schemas.openxmlformats.org/officeDocument/2006/relationships/hyperlink" Target="https://raw.githubusercontent.com/olaf-programmeur/images/main/classe_4.webp" TargetMode="External"/><Relationship Id="rId145" Type="http://schemas.openxmlformats.org/officeDocument/2006/relationships/hyperlink" Target="https://raw.githubusercontent.com/olaf-programmeur/images/main/bagheera.webp" TargetMode="External"/><Relationship Id="rId187" Type="http://schemas.openxmlformats.org/officeDocument/2006/relationships/hyperlink" Target="https://raw.githubusercontent.com/olaf-programmeur/images/main/champion_4.webp" TargetMode="External"/><Relationship Id="rId352" Type="http://schemas.openxmlformats.org/officeDocument/2006/relationships/hyperlink" Target="https://raw.githubusercontent.com/olaf-programmeur/images/main/a_casse_2.webp" TargetMode="External"/><Relationship Id="rId394" Type="http://schemas.openxmlformats.org/officeDocument/2006/relationships/hyperlink" Target="https://raw.githubusercontent.com/olaf-programmeur/images/main/interrupteur_1.webp" TargetMode="External"/><Relationship Id="rId408" Type="http://schemas.openxmlformats.org/officeDocument/2006/relationships/hyperlink" Target="https://raw.githubusercontent.com/olaf-programmeur/images/main/volume_3.webp" TargetMode="External"/><Relationship Id="rId212" Type="http://schemas.openxmlformats.org/officeDocument/2006/relationships/hyperlink" Target="https://raw.githubusercontent.com/olaf-programmeur/images/main/morceau_4.webp" TargetMode="External"/><Relationship Id="rId254" Type="http://schemas.openxmlformats.org/officeDocument/2006/relationships/hyperlink" Target="https://raw.githubusercontent.com/olaf-programmeur/images/main/echelle_4.webp" TargetMode="External"/><Relationship Id="rId49" Type="http://schemas.openxmlformats.org/officeDocument/2006/relationships/hyperlink" Target="https://raw.githubusercontent.com/olaf-programmeur/images/main/collant_4.webp" TargetMode="External"/><Relationship Id="rId114" Type="http://schemas.openxmlformats.org/officeDocument/2006/relationships/hyperlink" Target="https://raw.githubusercontent.com/olaf-programmeur/images/main/bagheera.webp" TargetMode="External"/><Relationship Id="rId296" Type="http://schemas.openxmlformats.org/officeDocument/2006/relationships/hyperlink" Target="https://raw.githubusercontent.com/olaf-programmeur/images/main/v_entrer_4.webp" TargetMode="External"/><Relationship Id="rId461" Type="http://schemas.openxmlformats.org/officeDocument/2006/relationships/hyperlink" Target="https://raw.githubusercontent.com/olaf-programmeur/images/main/souffle_2.webp" TargetMode="External"/><Relationship Id="rId517" Type="http://schemas.openxmlformats.org/officeDocument/2006/relationships/hyperlink" Target="https://raw.githubusercontent.com/olaf-programmeur/images/main/store_1.webp" TargetMode="External"/><Relationship Id="rId559" Type="http://schemas.openxmlformats.org/officeDocument/2006/relationships/hyperlink" Target="https://raw.githubusercontent.com/olaf-programmeur/images/main/olivier_cottagnoud_1.webp" TargetMode="External"/><Relationship Id="rId60" Type="http://schemas.openxmlformats.org/officeDocument/2006/relationships/hyperlink" Target="https://raw.githubusercontent.com/olaf-programmeur/images/main/v_danser_4.webp" TargetMode="External"/><Relationship Id="rId156" Type="http://schemas.openxmlformats.org/officeDocument/2006/relationships/hyperlink" Target="https://raw.githubusercontent.com/olaf-programmeur/images/main/age_4.webp" TargetMode="External"/><Relationship Id="rId198" Type="http://schemas.openxmlformats.org/officeDocument/2006/relationships/hyperlink" Target="https://raw.githubusercontent.com/olaf-programmeur/images/main/brin_4.webp" TargetMode="External"/><Relationship Id="rId321" Type="http://schemas.openxmlformats.org/officeDocument/2006/relationships/hyperlink" Target="https://raw.githubusercontent.com/olaf-programmeur/images/main/poire_4.webp" TargetMode="External"/><Relationship Id="rId363" Type="http://schemas.openxmlformats.org/officeDocument/2006/relationships/hyperlink" Target="https://raw.githubusercontent.com/olaf-programmeur/images/main/interrupteur_4.webp" TargetMode="External"/><Relationship Id="rId419" Type="http://schemas.openxmlformats.org/officeDocument/2006/relationships/hyperlink" Target="https://raw.githubusercontent.com/olaf-programmeur/images/main/interrupteur_5.webp" TargetMode="External"/><Relationship Id="rId570" Type="http://schemas.openxmlformats.org/officeDocument/2006/relationships/hyperlink" Target="https://raw.githubusercontent.com/olaf-programmeur/images/main/fadri_schucan.webp" TargetMode="External"/><Relationship Id="rId223" Type="http://schemas.openxmlformats.org/officeDocument/2006/relationships/hyperlink" Target="https://raw.githubusercontent.com/olaf-programmeur/images/main/piment_4.webp" TargetMode="External"/><Relationship Id="rId430" Type="http://schemas.openxmlformats.org/officeDocument/2006/relationships/hyperlink" Target="https://raw.githubusercontent.com/olaf-programmeur/images/main/interrupteur_1.webp" TargetMode="External"/><Relationship Id="rId18" Type="http://schemas.openxmlformats.org/officeDocument/2006/relationships/hyperlink" Target="https://raw.githubusercontent.com/olaf-programmeur/images/main/peur_1.webp" TargetMode="External"/><Relationship Id="rId265" Type="http://schemas.openxmlformats.org/officeDocument/2006/relationships/hyperlink" Target="https://raw.githubusercontent.com/olaf-programmeur/images/main/aide_4.webp" TargetMode="External"/><Relationship Id="rId472" Type="http://schemas.openxmlformats.org/officeDocument/2006/relationships/hyperlink" Target="https://raw.githubusercontent.com/olaf-programmeur/images/main/tableau_2.webp" TargetMode="External"/><Relationship Id="rId528" Type="http://schemas.openxmlformats.org/officeDocument/2006/relationships/hyperlink" Target="https://raw.githubusercontent.com/olaf-programmeur/images/main/store_5.webp" TargetMode="External"/><Relationship Id="rId125" Type="http://schemas.openxmlformats.org/officeDocument/2006/relationships/hyperlink" Target="https://raw.githubusercontent.com/olaf-programmeur/images/main/bagheera.webp" TargetMode="External"/><Relationship Id="rId167" Type="http://schemas.openxmlformats.org/officeDocument/2006/relationships/hyperlink" Target="https://raw.githubusercontent.com/olaf-programmeur/images/main/accident_4.webp" TargetMode="External"/><Relationship Id="rId332" Type="http://schemas.openxmlformats.org/officeDocument/2006/relationships/hyperlink" Target="https://raw.githubusercontent.com/olaf-programmeur/images/main/r_mathilde_2.webp" TargetMode="External"/><Relationship Id="rId374" Type="http://schemas.openxmlformats.org/officeDocument/2006/relationships/hyperlink" Target="https://raw.githubusercontent.com/olaf-programmeur/images/main/interrupteur_2.webp" TargetMode="External"/><Relationship Id="rId71" Type="http://schemas.openxmlformats.org/officeDocument/2006/relationships/hyperlink" Target="https://raw.githubusercontent.com/olaf-programmeur/images/main/v_gagner_4.webp" TargetMode="External"/><Relationship Id="rId234" Type="http://schemas.openxmlformats.org/officeDocument/2006/relationships/hyperlink" Target="https://raw.githubusercontent.com/olaf-programmeur/images/main/v_dormir_4.webp" TargetMode="External"/><Relationship Id="rId2" Type="http://schemas.openxmlformats.org/officeDocument/2006/relationships/hyperlink" Target="https://raw.githubusercontent.com/olaf-programmeur/images/main/barbara.webp" TargetMode="External"/><Relationship Id="rId29" Type="http://schemas.openxmlformats.org/officeDocument/2006/relationships/hyperlink" Target="https://raw.githubusercontent.com/olaf-programmeur/images/main/aigle_4.webp" TargetMode="External"/><Relationship Id="rId276" Type="http://schemas.openxmlformats.org/officeDocument/2006/relationships/hyperlink" Target="https://raw.githubusercontent.com/olaf-programmeur/images/main/v_monter_4.webp" TargetMode="External"/><Relationship Id="rId441" Type="http://schemas.openxmlformats.org/officeDocument/2006/relationships/hyperlink" Target="https://raw.githubusercontent.com/olaf-programmeur/images/main/secteur_1.webp" TargetMode="External"/><Relationship Id="rId483" Type="http://schemas.openxmlformats.org/officeDocument/2006/relationships/hyperlink" Target="https://raw.githubusercontent.com/olaf-programmeur/images/main/vallee_1.webp" TargetMode="External"/><Relationship Id="rId539" Type="http://schemas.openxmlformats.org/officeDocument/2006/relationships/hyperlink" Target="https://raw.githubusercontent.com/olaf-programmeur/images/main/yvan_lagger_1.webp" TargetMode="External"/><Relationship Id="rId40" Type="http://schemas.openxmlformats.org/officeDocument/2006/relationships/hyperlink" Target="https://raw.githubusercontent.com/olaf-programmeur/images/main/mathilde_3.webp" TargetMode="External"/><Relationship Id="rId136" Type="http://schemas.openxmlformats.org/officeDocument/2006/relationships/hyperlink" Target="https://raw.githubusercontent.com/olaf-programmeur/images/main/lutte_4.webp" TargetMode="External"/><Relationship Id="rId178" Type="http://schemas.openxmlformats.org/officeDocument/2006/relationships/hyperlink" Target="https://raw.githubusercontent.com/olaf-programmeur/images/main/lutte_4.webp" TargetMode="External"/><Relationship Id="rId301" Type="http://schemas.openxmlformats.org/officeDocument/2006/relationships/hyperlink" Target="https://raw.githubusercontent.com/olaf-programmeur/images/main/v_sortir_4.webp" TargetMode="External"/><Relationship Id="rId343" Type="http://schemas.openxmlformats.org/officeDocument/2006/relationships/hyperlink" Target="https://raw.githubusercontent.com/olaf-programmeur/images/main/vigne_1.webp" TargetMode="External"/><Relationship Id="rId550" Type="http://schemas.openxmlformats.org/officeDocument/2006/relationships/hyperlink" Target="https://raw.githubusercontent.com/olaf-programmeur/images/main/adeline_berset.webp" TargetMode="External"/><Relationship Id="rId82" Type="http://schemas.openxmlformats.org/officeDocument/2006/relationships/hyperlink" Target="https://raw.githubusercontent.com/olaf-programmeur/images/main/caisse_paiement_4.webp" TargetMode="External"/><Relationship Id="rId203" Type="http://schemas.openxmlformats.org/officeDocument/2006/relationships/hyperlink" Target="https://raw.githubusercontent.com/olaf-programmeur/images/main/dessert_4.webp" TargetMode="External"/><Relationship Id="rId385" Type="http://schemas.openxmlformats.org/officeDocument/2006/relationships/hyperlink" Target="https://raw.githubusercontent.com/olaf-programmeur/images/main/interrupteur_1.webp" TargetMode="External"/><Relationship Id="rId245" Type="http://schemas.openxmlformats.org/officeDocument/2006/relationships/hyperlink" Target="https://raw.githubusercontent.com/olaf-programmeur/images/main/trottoir_4.webp" TargetMode="External"/><Relationship Id="rId287" Type="http://schemas.openxmlformats.org/officeDocument/2006/relationships/hyperlink" Target="https://raw.githubusercontent.com/olaf-programmeur/images/main/v_lever_4.webp" TargetMode="External"/><Relationship Id="rId410" Type="http://schemas.openxmlformats.org/officeDocument/2006/relationships/hyperlink" Target="https://raw.githubusercontent.com/olaf-programmeur/images/main/volume_5.webp" TargetMode="External"/><Relationship Id="rId452" Type="http://schemas.openxmlformats.org/officeDocument/2006/relationships/hyperlink" Target="https://raw.githubusercontent.com/olaf-programmeur/images/main/interrupteur_5.webp" TargetMode="External"/><Relationship Id="rId494" Type="http://schemas.openxmlformats.org/officeDocument/2006/relationships/hyperlink" Target="https://raw.githubusercontent.com/olaf-programmeur/images/main/interrupteur_1.webp" TargetMode="External"/><Relationship Id="rId508" Type="http://schemas.openxmlformats.org/officeDocument/2006/relationships/hyperlink" Target="https://raw.githubusercontent.com/olaf-programmeur/images/main/interrupteur.webp" TargetMode="External"/><Relationship Id="rId105" Type="http://schemas.openxmlformats.org/officeDocument/2006/relationships/hyperlink" Target="https://raw.githubusercontent.com/olaf-programmeur/images/main/bagheera.webp" TargetMode="External"/><Relationship Id="rId147" Type="http://schemas.openxmlformats.org/officeDocument/2006/relationships/hyperlink" Target="https://raw.githubusercontent.com/olaf-programmeur/images/main/bagheera.webp" TargetMode="External"/><Relationship Id="rId312" Type="http://schemas.openxmlformats.org/officeDocument/2006/relationships/hyperlink" Target="https://raw.githubusercontent.com/olaf-programmeur/images/main/aile_animal.webp" TargetMode="External"/><Relationship Id="rId354" Type="http://schemas.openxmlformats.org/officeDocument/2006/relationships/hyperlink" Target="https://raw.githubusercontent.com/olaf-programmeur/images/main/a_casse_4.webp" TargetMode="External"/><Relationship Id="rId51" Type="http://schemas.openxmlformats.org/officeDocument/2006/relationships/hyperlink" Target="https://raw.githubusercontent.com/olaf-programmeur/images/main/v_compter_4.webp" TargetMode="External"/><Relationship Id="rId93" Type="http://schemas.openxmlformats.org/officeDocument/2006/relationships/hyperlink" Target="https://raw.githubusercontent.com/olaf-programmeur/images/main/classe_4.webp" TargetMode="External"/><Relationship Id="rId189" Type="http://schemas.openxmlformats.org/officeDocument/2006/relationships/hyperlink" Target="https://raw.githubusercontent.com/olaf-programmeur/images/main/lutte_4.webp" TargetMode="External"/><Relationship Id="rId396" Type="http://schemas.openxmlformats.org/officeDocument/2006/relationships/hyperlink" Target="https://raw.githubusercontent.com/olaf-programmeur/images/main/interrupteur_3.webp" TargetMode="External"/><Relationship Id="rId561" Type="http://schemas.openxmlformats.org/officeDocument/2006/relationships/hyperlink" Target="https://raw.githubusercontent.com/olaf-programmeur/images/main/david_bonvin.webp" TargetMode="External"/><Relationship Id="rId214" Type="http://schemas.openxmlformats.org/officeDocument/2006/relationships/hyperlink" Target="https://raw.githubusercontent.com/olaf-programmeur/images/main/morceau_4.webp" TargetMode="External"/><Relationship Id="rId256" Type="http://schemas.openxmlformats.org/officeDocument/2006/relationships/hyperlink" Target="https://raw.githubusercontent.com/olaf-programmeur/images/main/echelle_4.webp" TargetMode="External"/><Relationship Id="rId298" Type="http://schemas.openxmlformats.org/officeDocument/2006/relationships/hyperlink" Target="https://raw.githubusercontent.com/olaf-programmeur/images/main/v_entrer_4.webp" TargetMode="External"/><Relationship Id="rId421" Type="http://schemas.openxmlformats.org/officeDocument/2006/relationships/hyperlink" Target="https://raw.githubusercontent.com/olaf-programmeur/images/main/interrupteur_1.webp" TargetMode="External"/><Relationship Id="rId463" Type="http://schemas.openxmlformats.org/officeDocument/2006/relationships/hyperlink" Target="https://raw.githubusercontent.com/olaf-programmeur/images/main/souffle_4.webp" TargetMode="External"/><Relationship Id="rId519" Type="http://schemas.openxmlformats.org/officeDocument/2006/relationships/hyperlink" Target="https://raw.githubusercontent.com/olaf-programmeur/images/main/store_3.webp" TargetMode="External"/><Relationship Id="rId116" Type="http://schemas.openxmlformats.org/officeDocument/2006/relationships/hyperlink" Target="https://raw.githubusercontent.com/olaf-programmeur/images/main/lutte_4.webp" TargetMode="External"/><Relationship Id="rId158" Type="http://schemas.openxmlformats.org/officeDocument/2006/relationships/hyperlink" Target="https://raw.githubusercontent.com/olaf-programmeur/images/main/accident_4.webp" TargetMode="External"/><Relationship Id="rId323" Type="http://schemas.openxmlformats.org/officeDocument/2006/relationships/hyperlink" Target="https://raw.githubusercontent.com/olaf-programmeur/images/main/sucre_2.webp" TargetMode="External"/><Relationship Id="rId530" Type="http://schemas.openxmlformats.org/officeDocument/2006/relationships/hyperlink" Target="https://raw.githubusercontent.com/olaf-programmeur/images/main/interrupteur_1.webp" TargetMode="External"/><Relationship Id="rId20" Type="http://schemas.openxmlformats.org/officeDocument/2006/relationships/hyperlink" Target="https://raw.githubusercontent.com/olaf-programmeur/images/main/peur_1.webp" TargetMode="External"/><Relationship Id="rId62" Type="http://schemas.openxmlformats.org/officeDocument/2006/relationships/hyperlink" Target="https://raw.githubusercontent.com/olaf-programmeur/images/main/v_descendre_4.webp" TargetMode="External"/><Relationship Id="rId365" Type="http://schemas.openxmlformats.org/officeDocument/2006/relationships/hyperlink" Target="https://raw.githubusercontent.com/olaf-programmeur/images/main/interrupteur.webp" TargetMode="External"/><Relationship Id="rId572" Type="http://schemas.openxmlformats.org/officeDocument/2006/relationships/hyperlink" Target="https://raw.githubusercontent.com/olaf-programmeur/images/main/patrick_sauthier_vetroz.webp" TargetMode="External"/><Relationship Id="rId225" Type="http://schemas.openxmlformats.org/officeDocument/2006/relationships/hyperlink" Target="https://raw.githubusercontent.com/olaf-programmeur/images/main/plancher_4.webp" TargetMode="External"/><Relationship Id="rId267" Type="http://schemas.openxmlformats.org/officeDocument/2006/relationships/hyperlink" Target="https://raw.githubusercontent.com/olaf-programmeur/images/main/aide_4.webp" TargetMode="External"/><Relationship Id="rId432" Type="http://schemas.openxmlformats.org/officeDocument/2006/relationships/hyperlink" Target="https://raw.githubusercontent.com/olaf-programmeur/images/main/interrupteur_3.webp" TargetMode="External"/><Relationship Id="rId474" Type="http://schemas.openxmlformats.org/officeDocument/2006/relationships/hyperlink" Target="https://raw.githubusercontent.com/olaf-programmeur/images/main/tableau_4.webp" TargetMode="External"/><Relationship Id="rId127" Type="http://schemas.openxmlformats.org/officeDocument/2006/relationships/hyperlink" Target="https://raw.githubusercontent.com/olaf-programmeur/images/main/bagheera.webp" TargetMode="External"/><Relationship Id="rId31" Type="http://schemas.openxmlformats.org/officeDocument/2006/relationships/hyperlink" Target="https://raw.githubusercontent.com/olaf-programmeur/images/main/magasin_1.webp" TargetMode="External"/><Relationship Id="rId73" Type="http://schemas.openxmlformats.org/officeDocument/2006/relationships/hyperlink" Target="https://raw.githubusercontent.com/olaf-programmeur/images/main/bagarre_4.webp" TargetMode="External"/><Relationship Id="rId169" Type="http://schemas.openxmlformats.org/officeDocument/2006/relationships/hyperlink" Target="https://raw.githubusercontent.com/olaf-programmeur/images/main/accident_4.webp" TargetMode="External"/><Relationship Id="rId334" Type="http://schemas.openxmlformats.org/officeDocument/2006/relationships/hyperlink" Target="https://raw.githubusercontent.com/olaf-programmeur/images/main/cuillere.webp" TargetMode="External"/><Relationship Id="rId376" Type="http://schemas.openxmlformats.org/officeDocument/2006/relationships/hyperlink" Target="https://raw.githubusercontent.com/olaf-programmeur/images/main/interrupteur_4.webp" TargetMode="External"/><Relationship Id="rId541" Type="http://schemas.openxmlformats.org/officeDocument/2006/relationships/hyperlink" Target="https://raw.githubusercontent.com/olaf-programmeur/images/main/damien_lagger_2.webp" TargetMode="External"/><Relationship Id="rId4" Type="http://schemas.openxmlformats.org/officeDocument/2006/relationships/hyperlink" Target="https://raw.githubusercontent.com/olaf-programmeur/images/main/lave_linge_2.webp" TargetMode="External"/><Relationship Id="rId180" Type="http://schemas.openxmlformats.org/officeDocument/2006/relationships/hyperlink" Target="https://raw.githubusercontent.com/olaf-programmeur/images/main/lutte_4.webp" TargetMode="External"/><Relationship Id="rId236" Type="http://schemas.openxmlformats.org/officeDocument/2006/relationships/hyperlink" Target="https://raw.githubusercontent.com/olaf-programmeur/images/main/sport_4.webp" TargetMode="External"/><Relationship Id="rId278" Type="http://schemas.openxmlformats.org/officeDocument/2006/relationships/hyperlink" Target="https://raw.githubusercontent.com/olaf-programmeur/images/main/v_entrer_4.webp" TargetMode="External"/><Relationship Id="rId401" Type="http://schemas.openxmlformats.org/officeDocument/2006/relationships/hyperlink" Target="https://raw.githubusercontent.com/olaf-programmeur/images/main/noix_2.webp" TargetMode="External"/><Relationship Id="rId443" Type="http://schemas.openxmlformats.org/officeDocument/2006/relationships/hyperlink" Target="https://raw.githubusercontent.com/olaf-programmeur/images/main/secteur_2.webp" TargetMode="External"/><Relationship Id="rId303" Type="http://schemas.openxmlformats.org/officeDocument/2006/relationships/hyperlink" Target="https://raw.githubusercontent.com/olaf-programmeur/images/main/v_entrer_4.webp" TargetMode="External"/><Relationship Id="rId485" Type="http://schemas.openxmlformats.org/officeDocument/2006/relationships/hyperlink" Target="https://raw.githubusercontent.com/olaf-programmeur/images/main/vallee_3.webp" TargetMode="External"/><Relationship Id="rId42" Type="http://schemas.openxmlformats.org/officeDocument/2006/relationships/hyperlink" Target="https://raw.githubusercontent.com/olaf-programmeur/images/main/fenetre_1.webp" TargetMode="External"/><Relationship Id="rId84" Type="http://schemas.openxmlformats.org/officeDocument/2006/relationships/hyperlink" Target="https://raw.githubusercontent.com/olaf-programmeur/images/main/circulation_4.webp" TargetMode="External"/><Relationship Id="rId138" Type="http://schemas.openxmlformats.org/officeDocument/2006/relationships/hyperlink" Target="https://raw.githubusercontent.com/olaf-programmeur/images/main/lutte_4.webp" TargetMode="External"/><Relationship Id="rId345" Type="http://schemas.openxmlformats.org/officeDocument/2006/relationships/hyperlink" Target="https://raw.githubusercontent.com/olaf-programmeur/images/main/a_colore.webp" TargetMode="External"/><Relationship Id="rId387" Type="http://schemas.openxmlformats.org/officeDocument/2006/relationships/hyperlink" Target="https://raw.githubusercontent.com/olaf-programmeur/images/main/interrupteur_2.webp" TargetMode="External"/><Relationship Id="rId510" Type="http://schemas.openxmlformats.org/officeDocument/2006/relationships/hyperlink" Target="https://raw.githubusercontent.com/olaf-programmeur/images/main/interrupteur_2.webp" TargetMode="External"/><Relationship Id="rId552" Type="http://schemas.openxmlformats.org/officeDocument/2006/relationships/hyperlink" Target="https://raw.githubusercontent.com/olaf-programmeur/images/main/pierre_alain_sauthier.webp" TargetMode="External"/><Relationship Id="rId191" Type="http://schemas.openxmlformats.org/officeDocument/2006/relationships/hyperlink" Target="https://raw.githubusercontent.com/olaf-programmeur/images/main/lutte_4.webp" TargetMode="External"/><Relationship Id="rId205" Type="http://schemas.openxmlformats.org/officeDocument/2006/relationships/hyperlink" Target="https://raw.githubusercontent.com/olaf-programmeur/images/main/jardinage_4.webp" TargetMode="External"/><Relationship Id="rId247" Type="http://schemas.openxmlformats.org/officeDocument/2006/relationships/hyperlink" Target="https://raw.githubusercontent.com/olaf-programmeur/images/main/trousseau_4.webp" TargetMode="External"/><Relationship Id="rId412" Type="http://schemas.openxmlformats.org/officeDocument/2006/relationships/hyperlink" Target="https://raw.githubusercontent.com/olaf-programmeur/images/main/jeu_3.webp" TargetMode="External"/><Relationship Id="rId107" Type="http://schemas.openxmlformats.org/officeDocument/2006/relationships/hyperlink" Target="https://raw.githubusercontent.com/olaf-programmeur/images/main/bagheera.webp" TargetMode="External"/><Relationship Id="rId289" Type="http://schemas.openxmlformats.org/officeDocument/2006/relationships/hyperlink" Target="https://raw.githubusercontent.com/olaf-programmeur/images/main/v_entrer_4.webp" TargetMode="External"/><Relationship Id="rId454" Type="http://schemas.openxmlformats.org/officeDocument/2006/relationships/hyperlink" Target="https://raw.githubusercontent.com/olaf-programmeur/images/main/singe_1.webp" TargetMode="External"/><Relationship Id="rId496" Type="http://schemas.openxmlformats.org/officeDocument/2006/relationships/hyperlink" Target="https://raw.githubusercontent.com/olaf-programmeur/images/main/interrupteur_3.webp" TargetMode="External"/><Relationship Id="rId11" Type="http://schemas.openxmlformats.org/officeDocument/2006/relationships/hyperlink" Target="https://raw.githubusercontent.com/olaf-programmeur/images/main/peur_1.webp" TargetMode="External"/><Relationship Id="rId53" Type="http://schemas.openxmlformats.org/officeDocument/2006/relationships/hyperlink" Target="https://raw.githubusercontent.com/olaf-programmeur/images/main/secateur.webp" TargetMode="External"/><Relationship Id="rId149" Type="http://schemas.openxmlformats.org/officeDocument/2006/relationships/hyperlink" Target="https://raw.githubusercontent.com/olaf-programmeur/images/main/tendresse_4.webp" TargetMode="External"/><Relationship Id="rId314" Type="http://schemas.openxmlformats.org/officeDocument/2006/relationships/hyperlink" Target="https://raw.githubusercontent.com/olaf-programmeur/images/main/aile_animal.webp" TargetMode="External"/><Relationship Id="rId356" Type="http://schemas.openxmlformats.org/officeDocument/2006/relationships/hyperlink" Target="https://raw.githubusercontent.com/olaf-programmeur/images/main/tronc_anatomie.webp" TargetMode="External"/><Relationship Id="rId398" Type="http://schemas.openxmlformats.org/officeDocument/2006/relationships/hyperlink" Target="https://raw.githubusercontent.com/olaf-programmeur/images/main/interrupteur_5.webp" TargetMode="External"/><Relationship Id="rId521" Type="http://schemas.openxmlformats.org/officeDocument/2006/relationships/hyperlink" Target="https://raw.githubusercontent.com/olaf-programmeur/images/main/store_5.webp" TargetMode="External"/><Relationship Id="rId563" Type="http://schemas.openxmlformats.org/officeDocument/2006/relationships/hyperlink" Target="https://raw.githubusercontent.com/olaf-programmeur/images/main/david_bonvin_2.webp" TargetMode="External"/><Relationship Id="rId95" Type="http://schemas.openxmlformats.org/officeDocument/2006/relationships/hyperlink" Target="https://raw.githubusercontent.com/olaf-programmeur/images/main/classe_4.webp" TargetMode="External"/><Relationship Id="rId160" Type="http://schemas.openxmlformats.org/officeDocument/2006/relationships/hyperlink" Target="https://raw.githubusercontent.com/olaf-programmeur/images/main/micro_onde.webp" TargetMode="External"/><Relationship Id="rId216" Type="http://schemas.openxmlformats.org/officeDocument/2006/relationships/hyperlink" Target="https://raw.githubusercontent.com/olaf-programmeur/images/main/morceau_4.webp" TargetMode="External"/><Relationship Id="rId423" Type="http://schemas.openxmlformats.org/officeDocument/2006/relationships/hyperlink" Target="https://raw.githubusercontent.com/olaf-programmeur/images/main/interrupteur_2.webp" TargetMode="External"/><Relationship Id="rId258" Type="http://schemas.openxmlformats.org/officeDocument/2006/relationships/hyperlink" Target="https://raw.githubusercontent.com/olaf-programmeur/images/main/echelle_4.webp" TargetMode="External"/><Relationship Id="rId465" Type="http://schemas.openxmlformats.org/officeDocument/2006/relationships/hyperlink" Target="https://raw.githubusercontent.com/olaf-programmeur/images/main/source_1.webp" TargetMode="External"/><Relationship Id="rId22" Type="http://schemas.openxmlformats.org/officeDocument/2006/relationships/hyperlink" Target="https://raw.githubusercontent.com/olaf-programmeur/images/main/courage_4.webp" TargetMode="External"/><Relationship Id="rId64" Type="http://schemas.openxmlformats.org/officeDocument/2006/relationships/hyperlink" Target="https://raw.githubusercontent.com/olaf-programmeur/images/main/v_ecouter_4.webp" TargetMode="External"/><Relationship Id="rId118" Type="http://schemas.openxmlformats.org/officeDocument/2006/relationships/hyperlink" Target="https://raw.githubusercontent.com/olaf-programmeur/images/main/bagheera.webp" TargetMode="External"/><Relationship Id="rId325" Type="http://schemas.openxmlformats.org/officeDocument/2006/relationships/hyperlink" Target="https://raw.githubusercontent.com/olaf-programmeur/images/main/vigne_2.webp" TargetMode="External"/><Relationship Id="rId367" Type="http://schemas.openxmlformats.org/officeDocument/2006/relationships/hyperlink" Target="https://raw.githubusercontent.com/olaf-programmeur/images/main/interrupteur_1.webp" TargetMode="External"/><Relationship Id="rId532" Type="http://schemas.openxmlformats.org/officeDocument/2006/relationships/hyperlink" Target="https://raw.githubusercontent.com/olaf-programmeur/images/main/interrupteur_3.webp" TargetMode="External"/><Relationship Id="rId574" Type="http://schemas.openxmlformats.org/officeDocument/2006/relationships/hyperlink" Target="https://raw.githubusercontent.com/olaf-programmeur/images/main/jean_rene_germanier_vetroz_1.webp" TargetMode="External"/><Relationship Id="rId171" Type="http://schemas.openxmlformats.org/officeDocument/2006/relationships/hyperlink" Target="https://raw.githubusercontent.com/olaf-programmeur/images/main/accident_4.webp" TargetMode="External"/><Relationship Id="rId227" Type="http://schemas.openxmlformats.org/officeDocument/2006/relationships/hyperlink" Target="https://raw.githubusercontent.com/olaf-programmeur/images/main/jardinage_4.webp" TargetMode="External"/><Relationship Id="rId269" Type="http://schemas.openxmlformats.org/officeDocument/2006/relationships/hyperlink" Target="https://raw.githubusercontent.com/olaf-programmeur/images/main/histoire_4.webp" TargetMode="External"/><Relationship Id="rId434" Type="http://schemas.openxmlformats.org/officeDocument/2006/relationships/hyperlink" Target="https://raw.githubusercontent.com/olaf-programmeur/images/main/interrupteur_5.webp" TargetMode="External"/><Relationship Id="rId476" Type="http://schemas.openxmlformats.org/officeDocument/2006/relationships/hyperlink" Target="https://raw.githubusercontent.com/olaf-programmeur/images/main/defile.webp" TargetMode="External"/><Relationship Id="rId33" Type="http://schemas.openxmlformats.org/officeDocument/2006/relationships/hyperlink" Target="https://raw.githubusercontent.com/olaf-programmeur/images/main/magasin_4.webp" TargetMode="External"/><Relationship Id="rId129" Type="http://schemas.openxmlformats.org/officeDocument/2006/relationships/hyperlink" Target="https://raw.githubusercontent.com/olaf-programmeur/images/main/bagheera.webp" TargetMode="External"/><Relationship Id="rId280" Type="http://schemas.openxmlformats.org/officeDocument/2006/relationships/hyperlink" Target="https://raw.githubusercontent.com/olaf-programmeur/images/main/v_entrer_4.webp" TargetMode="External"/><Relationship Id="rId336" Type="http://schemas.openxmlformats.org/officeDocument/2006/relationships/hyperlink" Target="https://raw.githubusercontent.com/olaf-programmeur/images/main/canape.webp" TargetMode="External"/><Relationship Id="rId501" Type="http://schemas.openxmlformats.org/officeDocument/2006/relationships/hyperlink" Target="https://raw.githubusercontent.com/olaf-programmeur/images/main/interrupteur.webp" TargetMode="External"/><Relationship Id="rId543" Type="http://schemas.openxmlformats.org/officeDocument/2006/relationships/hyperlink" Target="https://raw.githubusercontent.com/olaf-programmeur/images/main/simon_roh.webp" TargetMode="External"/><Relationship Id="rId75" Type="http://schemas.openxmlformats.org/officeDocument/2006/relationships/hyperlink" Target="https://raw.githubusercontent.com/olaf-programmeur/images/main/balle_4.webp" TargetMode="External"/><Relationship Id="rId140" Type="http://schemas.openxmlformats.org/officeDocument/2006/relationships/hyperlink" Target="https://raw.githubusercontent.com/olaf-programmeur/images/main/bagheera.webp" TargetMode="External"/><Relationship Id="rId182" Type="http://schemas.openxmlformats.org/officeDocument/2006/relationships/hyperlink" Target="https://raw.githubusercontent.com/olaf-programmeur/images/main/lutte_4.webp" TargetMode="External"/><Relationship Id="rId378" Type="http://schemas.openxmlformats.org/officeDocument/2006/relationships/hyperlink" Target="https://raw.githubusercontent.com/olaf-programmeur/images/main/interrupteur_1.webp" TargetMode="External"/><Relationship Id="rId403" Type="http://schemas.openxmlformats.org/officeDocument/2006/relationships/hyperlink" Target="https://raw.githubusercontent.com/olaf-programmeur/images/main/noix_4.webp" TargetMode="External"/><Relationship Id="rId6" Type="http://schemas.openxmlformats.org/officeDocument/2006/relationships/hyperlink" Target="https://raw.githubusercontent.com/olaf-programmeur/images/main/p_lune_4.webp" TargetMode="External"/><Relationship Id="rId238" Type="http://schemas.openxmlformats.org/officeDocument/2006/relationships/hyperlink" Target="https://raw.githubusercontent.com/olaf-programmeur/images/main/trottoir_4.webp" TargetMode="External"/><Relationship Id="rId445" Type="http://schemas.openxmlformats.org/officeDocument/2006/relationships/hyperlink" Target="https://raw.githubusercontent.com/olaf-programmeur/images/main/secteur_4.webp" TargetMode="External"/><Relationship Id="rId487" Type="http://schemas.openxmlformats.org/officeDocument/2006/relationships/hyperlink" Target="https://raw.githubusercontent.com/olaf-programmeur/images/main/vol_1.webp" TargetMode="External"/><Relationship Id="rId291" Type="http://schemas.openxmlformats.org/officeDocument/2006/relationships/hyperlink" Target="https://raw.githubusercontent.com/olaf-programmeur/images/main/v_lever_4.webp" TargetMode="External"/><Relationship Id="rId305" Type="http://schemas.openxmlformats.org/officeDocument/2006/relationships/hyperlink" Target="https://raw.githubusercontent.com/olaf-programmeur/images/main/v_voler_4.webp" TargetMode="External"/><Relationship Id="rId347" Type="http://schemas.openxmlformats.org/officeDocument/2006/relationships/hyperlink" Target="https://raw.githubusercontent.com/olaf-programmeur/images/main/a_colore_2.webp" TargetMode="External"/><Relationship Id="rId512" Type="http://schemas.openxmlformats.org/officeDocument/2006/relationships/hyperlink" Target="https://raw.githubusercontent.com/olaf-programmeur/images/main/lacet_4.webp" TargetMode="External"/><Relationship Id="rId44" Type="http://schemas.openxmlformats.org/officeDocument/2006/relationships/hyperlink" Target="https://raw.githubusercontent.com/olaf-programmeur/images/main/v_boire_4.webp" TargetMode="External"/><Relationship Id="rId86" Type="http://schemas.openxmlformats.org/officeDocument/2006/relationships/hyperlink" Target="https://raw.githubusercontent.com/olaf-programmeur/images/main/classe_4.webp" TargetMode="External"/><Relationship Id="rId151" Type="http://schemas.openxmlformats.org/officeDocument/2006/relationships/hyperlink" Target="https://raw.githubusercontent.com/olaf-programmeur/images/main/vague_4.webp" TargetMode="External"/><Relationship Id="rId389" Type="http://schemas.openxmlformats.org/officeDocument/2006/relationships/hyperlink" Target="https://raw.githubusercontent.com/olaf-programmeur/images/main/interrupteur_4.webp" TargetMode="External"/><Relationship Id="rId554" Type="http://schemas.openxmlformats.org/officeDocument/2006/relationships/hyperlink" Target="https://raw.githubusercontent.com/olaf-programmeur/images/main/nick_childs.webp" TargetMode="External"/><Relationship Id="rId193" Type="http://schemas.openxmlformats.org/officeDocument/2006/relationships/hyperlink" Target="https://raw.githubusercontent.com/olaf-programmeur/images/main/lutte_4.webp" TargetMode="External"/><Relationship Id="rId207" Type="http://schemas.openxmlformats.org/officeDocument/2006/relationships/hyperlink" Target="https://raw.githubusercontent.com/olaf-programmeur/images/main/livre_4.webp" TargetMode="External"/><Relationship Id="rId249" Type="http://schemas.openxmlformats.org/officeDocument/2006/relationships/hyperlink" Target="https://raw.githubusercontent.com/olaf-programmeur/images/main/tuyau_4.webp" TargetMode="External"/><Relationship Id="rId414" Type="http://schemas.openxmlformats.org/officeDocument/2006/relationships/hyperlink" Target="https://raw.githubusercontent.com/olaf-programmeur/images/main/interrupteur_1.webp" TargetMode="External"/><Relationship Id="rId456" Type="http://schemas.openxmlformats.org/officeDocument/2006/relationships/hyperlink" Target="https://raw.githubusercontent.com/olaf-programmeur/images/main/singe_3.webp" TargetMode="External"/><Relationship Id="rId498" Type="http://schemas.openxmlformats.org/officeDocument/2006/relationships/hyperlink" Target="https://raw.githubusercontent.com/olaf-programmeur/images/main/lacet_5.webp" TargetMode="External"/><Relationship Id="rId13" Type="http://schemas.openxmlformats.org/officeDocument/2006/relationships/hyperlink" Target="https://raw.githubusercontent.com/olaf-programmeur/images/main/peur_1.webp" TargetMode="External"/><Relationship Id="rId109" Type="http://schemas.openxmlformats.org/officeDocument/2006/relationships/hyperlink" Target="https://raw.githubusercontent.com/olaf-programmeur/images/main/bagheera.webp" TargetMode="External"/><Relationship Id="rId260" Type="http://schemas.openxmlformats.org/officeDocument/2006/relationships/hyperlink" Target="https://raw.githubusercontent.com/olaf-programmeur/images/main/echelle_4.webp" TargetMode="External"/><Relationship Id="rId316" Type="http://schemas.openxmlformats.org/officeDocument/2006/relationships/hyperlink" Target="https://raw.githubusercontent.com/olaf-programmeur/images/main/aile_animal_4.webp" TargetMode="External"/><Relationship Id="rId523" Type="http://schemas.openxmlformats.org/officeDocument/2006/relationships/hyperlink" Target="https://raw.githubusercontent.com/olaf-programmeur/images/main/store_1.webp" TargetMode="External"/><Relationship Id="rId55" Type="http://schemas.openxmlformats.org/officeDocument/2006/relationships/hyperlink" Target="https://raw.githubusercontent.com/olaf-programmeur/images/main/v_courir_4.webp" TargetMode="External"/><Relationship Id="rId97" Type="http://schemas.openxmlformats.org/officeDocument/2006/relationships/hyperlink" Target="https://raw.githubusercontent.com/olaf-programmeur/images/main/pain_1.webp" TargetMode="External"/><Relationship Id="rId120" Type="http://schemas.openxmlformats.org/officeDocument/2006/relationships/hyperlink" Target="https://raw.githubusercontent.com/olaf-programmeur/images/main/nouvelle_4.webp" TargetMode="External"/><Relationship Id="rId358" Type="http://schemas.openxmlformats.org/officeDocument/2006/relationships/hyperlink" Target="https://raw.githubusercontent.com/olaf-programmeur/images/main/interrupteur.webp" TargetMode="External"/><Relationship Id="rId565" Type="http://schemas.openxmlformats.org/officeDocument/2006/relationships/hyperlink" Target="https://raw.githubusercontent.com/olaf-programmeur/images/main/david_bonvin_1.webp" TargetMode="External"/><Relationship Id="rId162" Type="http://schemas.openxmlformats.org/officeDocument/2006/relationships/hyperlink" Target="https://raw.githubusercontent.com/olaf-programmeur/images/main/accident_4.webp" TargetMode="External"/><Relationship Id="rId218" Type="http://schemas.openxmlformats.org/officeDocument/2006/relationships/hyperlink" Target="https://raw.githubusercontent.com/olaf-programmeur/images/main/morceau_4.webp" TargetMode="External"/><Relationship Id="rId425" Type="http://schemas.openxmlformats.org/officeDocument/2006/relationships/hyperlink" Target="https://raw.githubusercontent.com/olaf-programmeur/images/main/interrupteur_4.webp" TargetMode="External"/><Relationship Id="rId467" Type="http://schemas.openxmlformats.org/officeDocument/2006/relationships/hyperlink" Target="https://raw.githubusercontent.com/olaf-programmeur/images/main/soudain.webp" TargetMode="External"/><Relationship Id="rId271" Type="http://schemas.openxmlformats.org/officeDocument/2006/relationships/hyperlink" Target="https://raw.githubusercontent.com/olaf-programmeur/images/main/aide_4.webp" TargetMode="External"/><Relationship Id="rId24" Type="http://schemas.openxmlformats.org/officeDocument/2006/relationships/hyperlink" Target="https://raw.githubusercontent.com/olaf-programmeur/images/main/salade_3.webp" TargetMode="External"/><Relationship Id="rId66" Type="http://schemas.openxmlformats.org/officeDocument/2006/relationships/hyperlink" Target="https://raw.githubusercontent.com/olaf-programmeur/images/main/a_electrique_4.webp" TargetMode="External"/><Relationship Id="rId131" Type="http://schemas.openxmlformats.org/officeDocument/2006/relationships/hyperlink" Target="https://raw.githubusercontent.com/olaf-programmeur/images/main/lutte_4.webp" TargetMode="External"/><Relationship Id="rId327" Type="http://schemas.openxmlformats.org/officeDocument/2006/relationships/hyperlink" Target="https://raw.githubusercontent.com/olaf-programmeur/images/main/vigne_4.webp" TargetMode="External"/><Relationship Id="rId369" Type="http://schemas.openxmlformats.org/officeDocument/2006/relationships/hyperlink" Target="https://raw.githubusercontent.com/olaf-programmeur/images/main/interrupteur_3.webp" TargetMode="External"/><Relationship Id="rId534" Type="http://schemas.openxmlformats.org/officeDocument/2006/relationships/hyperlink" Target="https://raw.githubusercontent.com/olaf-programmeur/images/main/lacet_5.webp" TargetMode="External"/><Relationship Id="rId173" Type="http://schemas.openxmlformats.org/officeDocument/2006/relationships/hyperlink" Target="https://raw.githubusercontent.com/olaf-programmeur/images/main/accident_4.webp" TargetMode="External"/><Relationship Id="rId229" Type="http://schemas.openxmlformats.org/officeDocument/2006/relationships/hyperlink" Target="https://raw.githubusercontent.com/olaf-programmeur/images/main/trottoir_4.webp" TargetMode="External"/><Relationship Id="rId380" Type="http://schemas.openxmlformats.org/officeDocument/2006/relationships/hyperlink" Target="https://raw.githubusercontent.com/olaf-programmeur/images/main/interrupteur_2.webp" TargetMode="External"/><Relationship Id="rId436" Type="http://schemas.openxmlformats.org/officeDocument/2006/relationships/hyperlink" Target="https://raw.githubusercontent.com/olaf-programmeur/images/main/ruban_1.webp" TargetMode="External"/><Relationship Id="rId240" Type="http://schemas.openxmlformats.org/officeDocument/2006/relationships/hyperlink" Target="https://raw.githubusercontent.com/olaf-programmeur/images/main/terrain_4.webp" TargetMode="External"/><Relationship Id="rId478" Type="http://schemas.openxmlformats.org/officeDocument/2006/relationships/hyperlink" Target="https://raw.githubusercontent.com/olaf-programmeur/images/main/interrupteur_1.webp" TargetMode="External"/><Relationship Id="rId35" Type="http://schemas.openxmlformats.org/officeDocument/2006/relationships/hyperlink" Target="https://raw.githubusercontent.com/olaf-programmeur/images/main/bateau_1.webp" TargetMode="External"/><Relationship Id="rId77" Type="http://schemas.openxmlformats.org/officeDocument/2006/relationships/hyperlink" Target="https://raw.githubusercontent.com/olaf-programmeur/images/main/bibliotheque_4.webp" TargetMode="External"/><Relationship Id="rId100" Type="http://schemas.openxmlformats.org/officeDocument/2006/relationships/hyperlink" Target="https://raw.githubusercontent.com/olaf-programmeur/images/main/bagheera.webp" TargetMode="External"/><Relationship Id="rId282" Type="http://schemas.openxmlformats.org/officeDocument/2006/relationships/hyperlink" Target="https://raw.githubusercontent.com/olaf-programmeur/images/main/v_entrer_4.webp" TargetMode="External"/><Relationship Id="rId338" Type="http://schemas.openxmlformats.org/officeDocument/2006/relationships/hyperlink" Target="https://raw.githubusercontent.com/olaf-programmeur/images/main/poire_1.webp" TargetMode="External"/><Relationship Id="rId503" Type="http://schemas.openxmlformats.org/officeDocument/2006/relationships/hyperlink" Target="https://raw.githubusercontent.com/olaf-programmeur/images/main/interrupteur_1.webp" TargetMode="External"/><Relationship Id="rId545" Type="http://schemas.openxmlformats.org/officeDocument/2006/relationships/hyperlink" Target="https://raw.githubusercontent.com/olaf-programmeur/images/main/jean_rene_roh.webp" TargetMode="External"/><Relationship Id="rId8" Type="http://schemas.openxmlformats.org/officeDocument/2006/relationships/hyperlink" Target="https://raw.githubusercontent.com/olaf-programmeur/images/main/e_terre_4.webp" TargetMode="External"/><Relationship Id="rId142" Type="http://schemas.openxmlformats.org/officeDocument/2006/relationships/hyperlink" Target="https://raw.githubusercontent.com/olaf-programmeur/images/main/bagheera.webp" TargetMode="External"/><Relationship Id="rId184" Type="http://schemas.openxmlformats.org/officeDocument/2006/relationships/hyperlink" Target="https://raw.githubusercontent.com/olaf-programmeur/images/main/lutte_4.webp" TargetMode="External"/><Relationship Id="rId391" Type="http://schemas.openxmlformats.org/officeDocument/2006/relationships/hyperlink" Target="https://raw.githubusercontent.com/olaf-programmeur/images/main/mecanicien.webp" TargetMode="External"/><Relationship Id="rId405" Type="http://schemas.openxmlformats.org/officeDocument/2006/relationships/hyperlink" Target="https://raw.githubusercontent.com/olaf-programmeur/images/main/volume_1.webp" TargetMode="External"/><Relationship Id="rId447" Type="http://schemas.openxmlformats.org/officeDocument/2006/relationships/hyperlink" Target="https://raw.githubusercontent.com/olaf-programmeur/images/main/interrupteur_1.webp" TargetMode="External"/><Relationship Id="rId251" Type="http://schemas.openxmlformats.org/officeDocument/2006/relationships/hyperlink" Target="https://raw.githubusercontent.com/olaf-programmeur/images/main/vent_4.webp" TargetMode="External"/><Relationship Id="rId489" Type="http://schemas.openxmlformats.org/officeDocument/2006/relationships/hyperlink" Target="https://raw.githubusercontent.com/olaf-programmeur/images/main/vol_3.webp" TargetMode="External"/><Relationship Id="rId46" Type="http://schemas.openxmlformats.org/officeDocument/2006/relationships/hyperlink" Target="https://raw.githubusercontent.com/olaf-programmeur/images/main/casse_4.webp" TargetMode="External"/><Relationship Id="rId293" Type="http://schemas.openxmlformats.org/officeDocument/2006/relationships/hyperlink" Target="https://raw.githubusercontent.com/olaf-programmeur/images/main/v_lever_4.webp" TargetMode="External"/><Relationship Id="rId307" Type="http://schemas.openxmlformats.org/officeDocument/2006/relationships/hyperlink" Target="https://raw.githubusercontent.com/olaf-programmeur/images/main/poignee_porte_4.webp" TargetMode="External"/><Relationship Id="rId349" Type="http://schemas.openxmlformats.org/officeDocument/2006/relationships/hyperlink" Target="https://raw.githubusercontent.com/olaf-programmeur/images/main/barriere_5.webp" TargetMode="External"/><Relationship Id="rId514" Type="http://schemas.openxmlformats.org/officeDocument/2006/relationships/hyperlink" Target="https://raw.githubusercontent.com/olaf-programmeur/images/main/rideau_5.webp" TargetMode="External"/><Relationship Id="rId556" Type="http://schemas.openxmlformats.org/officeDocument/2006/relationships/hyperlink" Target="https://raw.githubusercontent.com/olaf-programmeur/images/main/nick_childs_2.webp" TargetMode="External"/><Relationship Id="rId88" Type="http://schemas.openxmlformats.org/officeDocument/2006/relationships/hyperlink" Target="https://raw.githubusercontent.com/olaf-programmeur/images/main/classe_4.webp" TargetMode="External"/><Relationship Id="rId111" Type="http://schemas.openxmlformats.org/officeDocument/2006/relationships/hyperlink" Target="https://raw.githubusercontent.com/olaf-programmeur/images/main/lame_4.webp" TargetMode="External"/><Relationship Id="rId153" Type="http://schemas.openxmlformats.org/officeDocument/2006/relationships/hyperlink" Target="https://raw.githubusercontent.com/olaf-programmeur/images/main/accident_4.webp" TargetMode="External"/><Relationship Id="rId195" Type="http://schemas.openxmlformats.org/officeDocument/2006/relationships/hyperlink" Target="https://raw.githubusercontent.com/olaf-programmeur/images/main/lutte_4.webp" TargetMode="External"/><Relationship Id="rId209" Type="http://schemas.openxmlformats.org/officeDocument/2006/relationships/hyperlink" Target="https://raw.githubusercontent.com/olaf-programmeur/images/main/jardinage_4.webp" TargetMode="External"/><Relationship Id="rId360" Type="http://schemas.openxmlformats.org/officeDocument/2006/relationships/hyperlink" Target="https://raw.githubusercontent.com/olaf-programmeur/images/main/interrupteur_1.webp" TargetMode="External"/><Relationship Id="rId416" Type="http://schemas.openxmlformats.org/officeDocument/2006/relationships/hyperlink" Target="https://raw.githubusercontent.com/olaf-programmeur/images/main/interrupteur_2.webp" TargetMode="External"/><Relationship Id="rId220" Type="http://schemas.openxmlformats.org/officeDocument/2006/relationships/hyperlink" Target="https://raw.githubusercontent.com/olaf-programmeur/images/main/morceau_4.webp" TargetMode="External"/><Relationship Id="rId458" Type="http://schemas.openxmlformats.org/officeDocument/2006/relationships/hyperlink" Target="https://raw.githubusercontent.com/olaf-programmeur/images/main/singe_5.webp" TargetMode="External"/><Relationship Id="rId15" Type="http://schemas.openxmlformats.org/officeDocument/2006/relationships/hyperlink" Target="https://raw.githubusercontent.com/olaf-programmeur/images/main/peur_1.webp" TargetMode="External"/><Relationship Id="rId57" Type="http://schemas.openxmlformats.org/officeDocument/2006/relationships/hyperlink" Target="https://raw.githubusercontent.com/olaf-programmeur/images/main/v_crier_4.webp" TargetMode="External"/><Relationship Id="rId262" Type="http://schemas.openxmlformats.org/officeDocument/2006/relationships/hyperlink" Target="https://raw.githubusercontent.com/olaf-programmeur/images/main/aide_4.webp" TargetMode="External"/><Relationship Id="rId318" Type="http://schemas.openxmlformats.org/officeDocument/2006/relationships/hyperlink" Target="https://raw.githubusercontent.com/olaf-programmeur/images/main/poire_1.webp" TargetMode="External"/><Relationship Id="rId525" Type="http://schemas.openxmlformats.org/officeDocument/2006/relationships/hyperlink" Target="https://raw.githubusercontent.com/olaf-programmeur/images/main/store_2.webp" TargetMode="External"/><Relationship Id="rId567" Type="http://schemas.openxmlformats.org/officeDocument/2006/relationships/hyperlink" Target="https://raw.githubusercontent.com/olaf-programmeur/images/main/charles_albert_putallaz.webp" TargetMode="External"/><Relationship Id="rId99" Type="http://schemas.openxmlformats.org/officeDocument/2006/relationships/hyperlink" Target="https://raw.githubusercontent.com/olaf-programmeur/images/main/bagheera.webp" TargetMode="External"/><Relationship Id="rId122" Type="http://schemas.openxmlformats.org/officeDocument/2006/relationships/hyperlink" Target="https://raw.githubusercontent.com/olaf-programmeur/images/main/lutte_4.webp" TargetMode="External"/><Relationship Id="rId164" Type="http://schemas.openxmlformats.org/officeDocument/2006/relationships/hyperlink" Target="https://raw.githubusercontent.com/olaf-programmeur/images/main/v_lever_4.webp" TargetMode="External"/><Relationship Id="rId371" Type="http://schemas.openxmlformats.org/officeDocument/2006/relationships/hyperlink" Target="https://raw.githubusercontent.com/olaf-programmeur/images/main/interrupteur_5.webp" TargetMode="External"/><Relationship Id="rId427" Type="http://schemas.openxmlformats.org/officeDocument/2006/relationships/hyperlink" Target="https://raw.githubusercontent.com/olaf-programmeur/images/main/a_vite.webp" TargetMode="External"/><Relationship Id="rId469" Type="http://schemas.openxmlformats.org/officeDocument/2006/relationships/hyperlink" Target="https://raw.githubusercontent.com/olaf-programmeur/images/main/brusquement_1.webp" TargetMode="External"/><Relationship Id="rId26" Type="http://schemas.openxmlformats.org/officeDocument/2006/relationships/hyperlink" Target="https://raw.githubusercontent.com/olaf-programmeur/images/main/cher_bon_marche_1.webp" TargetMode="External"/><Relationship Id="rId231" Type="http://schemas.openxmlformats.org/officeDocument/2006/relationships/hyperlink" Target="https://raw.githubusercontent.com/olaf-programmeur/images/main/trottoir_4.webp" TargetMode="External"/><Relationship Id="rId273" Type="http://schemas.openxmlformats.org/officeDocument/2006/relationships/hyperlink" Target="https://raw.githubusercontent.com/olaf-programmeur/images/main/v_monter_4.webp" TargetMode="External"/><Relationship Id="rId329" Type="http://schemas.openxmlformats.org/officeDocument/2006/relationships/hyperlink" Target="https://raw.githubusercontent.com/olaf-programmeur/images/main/r_loic.webp" TargetMode="External"/><Relationship Id="rId480" Type="http://schemas.openxmlformats.org/officeDocument/2006/relationships/hyperlink" Target="https://raw.githubusercontent.com/olaf-programmeur/images/main/interrupteur_3.webp" TargetMode="External"/><Relationship Id="rId536" Type="http://schemas.openxmlformats.org/officeDocument/2006/relationships/hyperlink" Target="https://raw.githubusercontent.com/olaf-programmeur/images/main/v_descendre_5.webp" TargetMode="External"/><Relationship Id="rId68" Type="http://schemas.openxmlformats.org/officeDocument/2006/relationships/hyperlink" Target="https://raw.githubusercontent.com/olaf-programmeur/images/main/v_feliciter_4.webp" TargetMode="External"/><Relationship Id="rId133" Type="http://schemas.openxmlformats.org/officeDocument/2006/relationships/hyperlink" Target="https://raw.githubusercontent.com/olaf-programmeur/images/main/lutte_4.webp" TargetMode="External"/><Relationship Id="rId175" Type="http://schemas.openxmlformats.org/officeDocument/2006/relationships/hyperlink" Target="https://raw.githubusercontent.com/olaf-programmeur/images/main/accident_4.webp" TargetMode="External"/><Relationship Id="rId340" Type="http://schemas.openxmlformats.org/officeDocument/2006/relationships/hyperlink" Target="https://raw.githubusercontent.com/olaf-programmeur/images/main/roti_de_boeuf.webp" TargetMode="External"/><Relationship Id="rId200" Type="http://schemas.openxmlformats.org/officeDocument/2006/relationships/hyperlink" Target="https://raw.githubusercontent.com/olaf-programmeur/images/main/dessert_4.webp" TargetMode="External"/><Relationship Id="rId382" Type="http://schemas.openxmlformats.org/officeDocument/2006/relationships/hyperlink" Target="https://raw.githubusercontent.com/olaf-programmeur/images/main/interrupteur_4.webp" TargetMode="External"/><Relationship Id="rId438" Type="http://schemas.openxmlformats.org/officeDocument/2006/relationships/hyperlink" Target="https://raw.githubusercontent.com/olaf-programmeur/images/main/ruban_3.webp" TargetMode="External"/><Relationship Id="rId242" Type="http://schemas.openxmlformats.org/officeDocument/2006/relationships/hyperlink" Target="https://raw.githubusercontent.com/olaf-programmeur/images/main/trottoir_4.webp" TargetMode="External"/><Relationship Id="rId284" Type="http://schemas.openxmlformats.org/officeDocument/2006/relationships/hyperlink" Target="https://raw.githubusercontent.com/olaf-programmeur/images/main/v_lever_4.webp" TargetMode="External"/><Relationship Id="rId491" Type="http://schemas.openxmlformats.org/officeDocument/2006/relationships/hyperlink" Target="https://raw.githubusercontent.com/olaf-programmeur/images/main/vol_5.webp" TargetMode="External"/><Relationship Id="rId505" Type="http://schemas.openxmlformats.org/officeDocument/2006/relationships/hyperlink" Target="https://raw.githubusercontent.com/olaf-programmeur/images/main/interrupteur_2.webp" TargetMode="External"/><Relationship Id="rId37" Type="http://schemas.openxmlformats.org/officeDocument/2006/relationships/hyperlink" Target="https://raw.githubusercontent.com/olaf-programmeur/images/main/bateau_4.webp" TargetMode="External"/><Relationship Id="rId79" Type="http://schemas.openxmlformats.org/officeDocument/2006/relationships/hyperlink" Target="https://raw.githubusercontent.com/olaf-programmeur/images/main/boite_4.webp" TargetMode="External"/><Relationship Id="rId102" Type="http://schemas.openxmlformats.org/officeDocument/2006/relationships/hyperlink" Target="https://raw.githubusercontent.com/olaf-programmeur/images/main/forme_4.webp" TargetMode="External"/><Relationship Id="rId144" Type="http://schemas.openxmlformats.org/officeDocument/2006/relationships/hyperlink" Target="https://raw.githubusercontent.com/olaf-programmeur/images/main/rosee_4.webp" TargetMode="External"/><Relationship Id="rId547" Type="http://schemas.openxmlformats.org/officeDocument/2006/relationships/hyperlink" Target="https://raw.githubusercontent.com/olaf-programmeur/images/main/jean_rene_roh_1.webp" TargetMode="External"/><Relationship Id="rId90" Type="http://schemas.openxmlformats.org/officeDocument/2006/relationships/hyperlink" Target="https://raw.githubusercontent.com/olaf-programmeur/images/main/classe_4.webp" TargetMode="External"/><Relationship Id="rId186" Type="http://schemas.openxmlformats.org/officeDocument/2006/relationships/hyperlink" Target="https://raw.githubusercontent.com/olaf-programmeur/images/main/lutte_4.webp" TargetMode="External"/><Relationship Id="rId351" Type="http://schemas.openxmlformats.org/officeDocument/2006/relationships/hyperlink" Target="https://raw.githubusercontent.com/olaf-programmeur/images/main/a_casse_1.webp" TargetMode="External"/><Relationship Id="rId393" Type="http://schemas.openxmlformats.org/officeDocument/2006/relationships/hyperlink" Target="https://raw.githubusercontent.com/olaf-programmeur/images/main/interrupteur_1.webp" TargetMode="External"/><Relationship Id="rId407" Type="http://schemas.openxmlformats.org/officeDocument/2006/relationships/hyperlink" Target="https://raw.githubusercontent.com/olaf-programmeur/images/main/volume_2.webp" TargetMode="External"/><Relationship Id="rId449" Type="http://schemas.openxmlformats.org/officeDocument/2006/relationships/hyperlink" Target="https://raw.githubusercontent.com/olaf-programmeur/images/main/interrupteur_2.webp" TargetMode="External"/><Relationship Id="rId211" Type="http://schemas.openxmlformats.org/officeDocument/2006/relationships/hyperlink" Target="https://raw.githubusercontent.com/olaf-programmeur/images/main/morceau_4.webp" TargetMode="External"/><Relationship Id="rId253" Type="http://schemas.openxmlformats.org/officeDocument/2006/relationships/hyperlink" Target="https://raw.githubusercontent.com/olaf-programmeur/images/main/visage_4.webp" TargetMode="External"/><Relationship Id="rId295" Type="http://schemas.openxmlformats.org/officeDocument/2006/relationships/hyperlink" Target="https://raw.githubusercontent.com/olaf-programmeur/images/main/v_ramasser_4.webp" TargetMode="External"/><Relationship Id="rId309" Type="http://schemas.openxmlformats.org/officeDocument/2006/relationships/hyperlink" Target="https://raw.githubusercontent.com/olaf-programmeur/images/main/porc_viande.webp" TargetMode="External"/><Relationship Id="rId460" Type="http://schemas.openxmlformats.org/officeDocument/2006/relationships/hyperlink" Target="https://raw.githubusercontent.com/olaf-programmeur/images/main/souffle_1.webp" TargetMode="External"/><Relationship Id="rId516" Type="http://schemas.openxmlformats.org/officeDocument/2006/relationships/hyperlink" Target="https://raw.githubusercontent.com/olaf-programmeur/images/main/store_1.webp" TargetMode="External"/><Relationship Id="rId48" Type="http://schemas.openxmlformats.org/officeDocument/2006/relationships/hyperlink" Target="https://raw.githubusercontent.com/olaf-programmeur/images/main/v_chanter_4.webp" TargetMode="External"/><Relationship Id="rId113" Type="http://schemas.openxmlformats.org/officeDocument/2006/relationships/hyperlink" Target="https://raw.githubusercontent.com/olaf-programmeur/images/main/bagheera.webp" TargetMode="External"/><Relationship Id="rId320" Type="http://schemas.openxmlformats.org/officeDocument/2006/relationships/hyperlink" Target="https://raw.githubusercontent.com/olaf-programmeur/images/main/poire_3.webp" TargetMode="External"/><Relationship Id="rId558" Type="http://schemas.openxmlformats.org/officeDocument/2006/relationships/hyperlink" Target="https://raw.githubusercontent.com/olaf-programmeur/images/main/olivier_cottagnoud.webp" TargetMode="External"/><Relationship Id="rId155" Type="http://schemas.openxmlformats.org/officeDocument/2006/relationships/hyperlink" Target="https://raw.githubusercontent.com/olaf-programmeur/images/main/v_acheter_4.webp" TargetMode="External"/><Relationship Id="rId197" Type="http://schemas.openxmlformats.org/officeDocument/2006/relationships/hyperlink" Target="https://raw.githubusercontent.com/olaf-programmeur/images/main/cube_4.webp" TargetMode="External"/><Relationship Id="rId362" Type="http://schemas.openxmlformats.org/officeDocument/2006/relationships/hyperlink" Target="https://raw.githubusercontent.com/olaf-programmeur/images/main/interrupteur_3.webp" TargetMode="External"/><Relationship Id="rId418" Type="http://schemas.openxmlformats.org/officeDocument/2006/relationships/hyperlink" Target="https://raw.githubusercontent.com/olaf-programmeur/images/main/interrupteur_4.webp" TargetMode="External"/><Relationship Id="rId222" Type="http://schemas.openxmlformats.org/officeDocument/2006/relationships/hyperlink" Target="https://raw.githubusercontent.com/olaf-programmeur/images/main/piment_4.webp" TargetMode="External"/><Relationship Id="rId264" Type="http://schemas.openxmlformats.org/officeDocument/2006/relationships/hyperlink" Target="https://raw.githubusercontent.com/olaf-programmeur/images/main/environnement_4.webp" TargetMode="External"/><Relationship Id="rId471" Type="http://schemas.openxmlformats.org/officeDocument/2006/relationships/hyperlink" Target="https://raw.githubusercontent.com/olaf-programmeur/images/main/tableau_1.webp" TargetMode="External"/><Relationship Id="rId17" Type="http://schemas.openxmlformats.org/officeDocument/2006/relationships/hyperlink" Target="https://raw.githubusercontent.com/olaf-programmeur/images/main/peur_1.webp" TargetMode="External"/><Relationship Id="rId59" Type="http://schemas.openxmlformats.org/officeDocument/2006/relationships/hyperlink" Target="https://raw.githubusercontent.com/olaf-programmeur/images/main/leopard.webp" TargetMode="External"/><Relationship Id="rId124" Type="http://schemas.openxmlformats.org/officeDocument/2006/relationships/hyperlink" Target="https://raw.githubusercontent.com/olaf-programmeur/images/main/lutte_4.webp" TargetMode="External"/><Relationship Id="rId527" Type="http://schemas.openxmlformats.org/officeDocument/2006/relationships/hyperlink" Target="https://raw.githubusercontent.com/olaf-programmeur/images/main/store_4.webp" TargetMode="External"/><Relationship Id="rId569" Type="http://schemas.openxmlformats.org/officeDocument/2006/relationships/hyperlink" Target="https://raw.githubusercontent.com/olaf-programmeur/images/main/jean_christophe_roh.webp" TargetMode="External"/><Relationship Id="rId70" Type="http://schemas.openxmlformats.org/officeDocument/2006/relationships/hyperlink" Target="https://raw.githubusercontent.com/olaf-programmeur/images/main/v_gagner_4.webp" TargetMode="External"/><Relationship Id="rId166" Type="http://schemas.openxmlformats.org/officeDocument/2006/relationships/hyperlink" Target="https://raw.githubusercontent.com/olaf-programmeur/images/main/accident_4.webp" TargetMode="External"/><Relationship Id="rId331" Type="http://schemas.openxmlformats.org/officeDocument/2006/relationships/hyperlink" Target="https://raw.githubusercontent.com/olaf-programmeur/images/main/r_mathilde_1.webp" TargetMode="External"/><Relationship Id="rId373" Type="http://schemas.openxmlformats.org/officeDocument/2006/relationships/hyperlink" Target="https://raw.githubusercontent.com/olaf-programmeur/images/main/interrupteur_1.webp" TargetMode="External"/><Relationship Id="rId429" Type="http://schemas.openxmlformats.org/officeDocument/2006/relationships/hyperlink" Target="https://raw.githubusercontent.com/olaf-programmeur/images/main/interrupteur_1.webp" TargetMode="External"/><Relationship Id="rId1" Type="http://schemas.openxmlformats.org/officeDocument/2006/relationships/hyperlink" Target="https://raw.githubusercontent.com/olaf-programmeur/images/main/famille_1.webp" TargetMode="External"/><Relationship Id="rId233" Type="http://schemas.openxmlformats.org/officeDocument/2006/relationships/hyperlink" Target="https://raw.githubusercontent.com/olaf-programmeur/images/main/trottoir_4.webp" TargetMode="External"/><Relationship Id="rId440" Type="http://schemas.openxmlformats.org/officeDocument/2006/relationships/hyperlink" Target="https://raw.githubusercontent.com/olaf-programmeur/images/main/ruban_5.webp" TargetMode="External"/><Relationship Id="rId28" Type="http://schemas.openxmlformats.org/officeDocument/2006/relationships/hyperlink" Target="https://raw.githubusercontent.com/olaf-programmeur/images/main/aigle_1.webp" TargetMode="External"/><Relationship Id="rId275" Type="http://schemas.openxmlformats.org/officeDocument/2006/relationships/hyperlink" Target="https://raw.githubusercontent.com/olaf-programmeur/images/main/oeuvre_4.webp" TargetMode="External"/><Relationship Id="rId300" Type="http://schemas.openxmlformats.org/officeDocument/2006/relationships/hyperlink" Target="https://raw.githubusercontent.com/olaf-programmeur/images/main/v_entrer_4.webp" TargetMode="External"/><Relationship Id="rId482" Type="http://schemas.openxmlformats.org/officeDocument/2006/relationships/hyperlink" Target="https://raw.githubusercontent.com/olaf-programmeur/images/main/v_ramasser_5.webp" TargetMode="External"/><Relationship Id="rId538" Type="http://schemas.openxmlformats.org/officeDocument/2006/relationships/hyperlink" Target="https://raw.githubusercontent.com/olaf-programmeur/images/main/v_aider_4.webp" TargetMode="External"/><Relationship Id="rId81" Type="http://schemas.openxmlformats.org/officeDocument/2006/relationships/hyperlink" Target="https://raw.githubusercontent.com/olaf-programmeur/images/main/boule_4.webp" TargetMode="External"/><Relationship Id="rId135" Type="http://schemas.openxmlformats.org/officeDocument/2006/relationships/hyperlink" Target="https://raw.githubusercontent.com/olaf-programmeur/images/main/bagheera.webp" TargetMode="External"/><Relationship Id="rId177" Type="http://schemas.openxmlformats.org/officeDocument/2006/relationships/hyperlink" Target="https://raw.githubusercontent.com/olaf-programmeur/images/main/brin_4.webp" TargetMode="External"/><Relationship Id="rId342" Type="http://schemas.openxmlformats.org/officeDocument/2006/relationships/hyperlink" Target="https://raw.githubusercontent.com/olaf-programmeur/images/main/vigne_5.webp" TargetMode="External"/><Relationship Id="rId384" Type="http://schemas.openxmlformats.org/officeDocument/2006/relationships/hyperlink" Target="https://raw.githubusercontent.com/olaf-programmeur/images/main/interrupteur.webp" TargetMode="External"/><Relationship Id="rId202" Type="http://schemas.openxmlformats.org/officeDocument/2006/relationships/hyperlink" Target="https://raw.githubusercontent.com/olaf-programmeur/images/main/jardinage_4.webp" TargetMode="External"/><Relationship Id="rId244" Type="http://schemas.openxmlformats.org/officeDocument/2006/relationships/hyperlink" Target="https://raw.githubusercontent.com/olaf-programmeur/images/main/trottoir_4.webp" TargetMode="External"/><Relationship Id="rId39" Type="http://schemas.openxmlformats.org/officeDocument/2006/relationships/hyperlink" Target="https://raw.githubusercontent.com/olaf-programmeur/images/main/poulet_parties.webp" TargetMode="External"/><Relationship Id="rId286" Type="http://schemas.openxmlformats.org/officeDocument/2006/relationships/hyperlink" Target="https://raw.githubusercontent.com/olaf-programmeur/images/main/v_parler_4.webp" TargetMode="External"/><Relationship Id="rId451" Type="http://schemas.openxmlformats.org/officeDocument/2006/relationships/hyperlink" Target="https://raw.githubusercontent.com/olaf-programmeur/images/main/interrupteur_4.webp" TargetMode="External"/><Relationship Id="rId493" Type="http://schemas.openxmlformats.org/officeDocument/2006/relationships/hyperlink" Target="https://raw.githubusercontent.com/olaf-programmeur/images/main/interrupteur.webp" TargetMode="External"/><Relationship Id="rId507" Type="http://schemas.openxmlformats.org/officeDocument/2006/relationships/hyperlink" Target="https://raw.githubusercontent.com/olaf-programmeur/images/main/neveux_nieces_1.webp" TargetMode="External"/><Relationship Id="rId549" Type="http://schemas.openxmlformats.org/officeDocument/2006/relationships/hyperlink" Target="https://raw.githubusercontent.com/olaf-programmeur/images/main/noe_sauthier.webp" TargetMode="External"/><Relationship Id="rId50" Type="http://schemas.openxmlformats.org/officeDocument/2006/relationships/hyperlink" Target="https://raw.githubusercontent.com/olaf-programmeur/images/main/coloree_3.webp" TargetMode="External"/><Relationship Id="rId104" Type="http://schemas.openxmlformats.org/officeDocument/2006/relationships/hyperlink" Target="https://raw.githubusercontent.com/olaf-programmeur/images/main/bagheera.webp" TargetMode="External"/><Relationship Id="rId146" Type="http://schemas.openxmlformats.org/officeDocument/2006/relationships/hyperlink" Target="https://raw.githubusercontent.com/olaf-programmeur/images/main/lutte_4.webp" TargetMode="External"/><Relationship Id="rId188" Type="http://schemas.openxmlformats.org/officeDocument/2006/relationships/hyperlink" Target="https://raw.githubusercontent.com/olaf-programmeur/images/main/lutte_4.webp" TargetMode="External"/><Relationship Id="rId311" Type="http://schemas.openxmlformats.org/officeDocument/2006/relationships/hyperlink" Target="https://raw.githubusercontent.com/olaf-programmeur/images/main/capsule_nespresso_4.webp" TargetMode="External"/><Relationship Id="rId353" Type="http://schemas.openxmlformats.org/officeDocument/2006/relationships/hyperlink" Target="https://raw.githubusercontent.com/olaf-programmeur/images/main/a_casse_3.webp" TargetMode="External"/><Relationship Id="rId395" Type="http://schemas.openxmlformats.org/officeDocument/2006/relationships/hyperlink" Target="https://raw.githubusercontent.com/olaf-programmeur/images/main/interrupteur_2.webp" TargetMode="External"/><Relationship Id="rId409" Type="http://schemas.openxmlformats.org/officeDocument/2006/relationships/hyperlink" Target="https://raw.githubusercontent.com/olaf-programmeur/images/main/volume_4.webp" TargetMode="External"/><Relationship Id="rId560" Type="http://schemas.openxmlformats.org/officeDocument/2006/relationships/hyperlink" Target="https://raw.githubusercontent.com/olaf-programmeur/images/main/fabienne_sauthier.webp" TargetMode="External"/><Relationship Id="rId92" Type="http://schemas.openxmlformats.org/officeDocument/2006/relationships/hyperlink" Target="https://raw.githubusercontent.com/olaf-programmeur/images/main/classe_4.webp" TargetMode="External"/><Relationship Id="rId213" Type="http://schemas.openxmlformats.org/officeDocument/2006/relationships/hyperlink" Target="https://raw.githubusercontent.com/olaf-programmeur/images/main/morceau_4.webp" TargetMode="External"/><Relationship Id="rId420" Type="http://schemas.openxmlformats.org/officeDocument/2006/relationships/hyperlink" Target="https://raw.githubusercontent.com/olaf-programmeur/images/main/interrupteur.webp" TargetMode="External"/><Relationship Id="rId255" Type="http://schemas.openxmlformats.org/officeDocument/2006/relationships/hyperlink" Target="https://raw.githubusercontent.com/olaf-programmeur/images/main/echelle_4.webp" TargetMode="External"/><Relationship Id="rId297" Type="http://schemas.openxmlformats.org/officeDocument/2006/relationships/hyperlink" Target="https://raw.githubusercontent.com/olaf-programmeur/images/main/v_ramasser_4.webp" TargetMode="External"/><Relationship Id="rId462" Type="http://schemas.openxmlformats.org/officeDocument/2006/relationships/hyperlink" Target="https://raw.githubusercontent.com/olaf-programmeur/images/main/souffle_3.webp" TargetMode="External"/><Relationship Id="rId518" Type="http://schemas.openxmlformats.org/officeDocument/2006/relationships/hyperlink" Target="https://raw.githubusercontent.com/olaf-programmeur/images/main/store_2.webp" TargetMode="External"/><Relationship Id="rId115" Type="http://schemas.openxmlformats.org/officeDocument/2006/relationships/hyperlink" Target="https://raw.githubusercontent.com/olaf-programmeur/images/main/bagheera.webp" TargetMode="External"/><Relationship Id="rId157" Type="http://schemas.openxmlformats.org/officeDocument/2006/relationships/hyperlink" Target="https://raw.githubusercontent.com/olaf-programmeur/images/main/aide_4.webp" TargetMode="External"/><Relationship Id="rId322" Type="http://schemas.openxmlformats.org/officeDocument/2006/relationships/hyperlink" Target="https://raw.githubusercontent.com/olaf-programmeur/images/main/sucre_1.webp" TargetMode="External"/><Relationship Id="rId364" Type="http://schemas.openxmlformats.org/officeDocument/2006/relationships/hyperlink" Target="https://raw.githubusercontent.com/olaf-programmeur/images/main/interrupteur_5.webp" TargetMode="External"/><Relationship Id="rId61" Type="http://schemas.openxmlformats.org/officeDocument/2006/relationships/hyperlink" Target="https://raw.githubusercontent.com/olaf-programmeur/images/main/v_decider_4.webp" TargetMode="External"/><Relationship Id="rId199" Type="http://schemas.openxmlformats.org/officeDocument/2006/relationships/hyperlink" Target="https://raw.githubusercontent.com/olaf-programmeur/images/main/brin_4.webp" TargetMode="External"/><Relationship Id="rId571" Type="http://schemas.openxmlformats.org/officeDocument/2006/relationships/hyperlink" Target="https://raw.githubusercontent.com/olaf-programmeur/images/main/philippe_udry.webp" TargetMode="External"/><Relationship Id="rId19" Type="http://schemas.openxmlformats.org/officeDocument/2006/relationships/hyperlink" Target="https://raw.githubusercontent.com/olaf-programmeur/images/main/peur_1.webp" TargetMode="External"/><Relationship Id="rId224" Type="http://schemas.openxmlformats.org/officeDocument/2006/relationships/hyperlink" Target="https://raw.githubusercontent.com/olaf-programmeur/images/main/plancher_4.webp" TargetMode="External"/><Relationship Id="rId266" Type="http://schemas.openxmlformats.org/officeDocument/2006/relationships/hyperlink" Target="https://raw.githubusercontent.com/olaf-programmeur/images/main/aide_4.webp" TargetMode="External"/><Relationship Id="rId431" Type="http://schemas.openxmlformats.org/officeDocument/2006/relationships/hyperlink" Target="https://raw.githubusercontent.com/olaf-programmeur/images/main/interrupteur_2.webp" TargetMode="External"/><Relationship Id="rId473" Type="http://schemas.openxmlformats.org/officeDocument/2006/relationships/hyperlink" Target="https://raw.githubusercontent.com/olaf-programmeur/images/main/tableau_3.webp" TargetMode="External"/><Relationship Id="rId529" Type="http://schemas.openxmlformats.org/officeDocument/2006/relationships/hyperlink" Target="https://raw.githubusercontent.com/olaf-programmeur/images/main/interrupteur.webp" TargetMode="External"/><Relationship Id="rId30" Type="http://schemas.openxmlformats.org/officeDocument/2006/relationships/hyperlink" Target="https://raw.githubusercontent.com/olaf-programmeur/images/main/raiffeisen_sion_1.webp" TargetMode="External"/><Relationship Id="rId126" Type="http://schemas.openxmlformats.org/officeDocument/2006/relationships/hyperlink" Target="https://raw.githubusercontent.com/olaf-programmeur/images/main/bagheera.webp" TargetMode="External"/><Relationship Id="rId168" Type="http://schemas.openxmlformats.org/officeDocument/2006/relationships/hyperlink" Target="https://raw.githubusercontent.com/olaf-programmeur/images/main/accident_4.webp" TargetMode="External"/><Relationship Id="rId333" Type="http://schemas.openxmlformats.org/officeDocument/2006/relationships/hyperlink" Target="https://raw.githubusercontent.com/olaf-programmeur/images/main/r_mathilde_3.webp" TargetMode="External"/><Relationship Id="rId540" Type="http://schemas.openxmlformats.org/officeDocument/2006/relationships/hyperlink" Target="https://raw.githubusercontent.com/olaf-programmeur/images/main/damien_lagger_1.webp" TargetMode="External"/><Relationship Id="rId72" Type="http://schemas.openxmlformats.org/officeDocument/2006/relationships/hyperlink" Target="https://raw.githubusercontent.com/olaf-programmeur/images/main/v_entrer_4.webp" TargetMode="External"/><Relationship Id="rId375" Type="http://schemas.openxmlformats.org/officeDocument/2006/relationships/hyperlink" Target="https://raw.githubusercontent.com/olaf-programmeur/images/main/interrupteur_3.webp" TargetMode="External"/><Relationship Id="rId3" Type="http://schemas.openxmlformats.org/officeDocument/2006/relationships/hyperlink" Target="https://raw.githubusercontent.com/olaf-programmeur/images/main/once_marcel.webp" TargetMode="External"/><Relationship Id="rId235" Type="http://schemas.openxmlformats.org/officeDocument/2006/relationships/hyperlink" Target="https://raw.githubusercontent.com/olaf-programmeur/images/main/sport.webp" TargetMode="External"/><Relationship Id="rId277" Type="http://schemas.openxmlformats.org/officeDocument/2006/relationships/hyperlink" Target="https://raw.githubusercontent.com/olaf-programmeur/images/main/echelle_4.webp" TargetMode="External"/><Relationship Id="rId400" Type="http://schemas.openxmlformats.org/officeDocument/2006/relationships/hyperlink" Target="https://raw.githubusercontent.com/olaf-programmeur/images/main/noix_1.webp" TargetMode="External"/><Relationship Id="rId442" Type="http://schemas.openxmlformats.org/officeDocument/2006/relationships/hyperlink" Target="https://raw.githubusercontent.com/olaf-programmeur/images/main/secteur_1.webp" TargetMode="External"/><Relationship Id="rId484" Type="http://schemas.openxmlformats.org/officeDocument/2006/relationships/hyperlink" Target="https://raw.githubusercontent.com/olaf-programmeur/images/main/vallee_2.webp" TargetMode="External"/><Relationship Id="rId137" Type="http://schemas.openxmlformats.org/officeDocument/2006/relationships/hyperlink" Target="https://raw.githubusercontent.com/olaf-programmeur/images/main/lutte_4.webp" TargetMode="External"/><Relationship Id="rId302" Type="http://schemas.openxmlformats.org/officeDocument/2006/relationships/hyperlink" Target="https://raw.githubusercontent.com/olaf-programmeur/images/main/v_voler_4.webp" TargetMode="External"/><Relationship Id="rId344" Type="http://schemas.openxmlformats.org/officeDocument/2006/relationships/hyperlink" Target="https://raw.githubusercontent.com/olaf-programmeur/images/main/cochon_1.webp" TargetMode="External"/><Relationship Id="rId41" Type="http://schemas.openxmlformats.org/officeDocument/2006/relationships/hyperlink" Target="https://raw.githubusercontent.com/olaf-programmeur/images/main/cafe_1.webp" TargetMode="External"/><Relationship Id="rId83" Type="http://schemas.openxmlformats.org/officeDocument/2006/relationships/hyperlink" Target="https://raw.githubusercontent.com/olaf-programmeur/images/main/cascade_4.webp" TargetMode="External"/><Relationship Id="rId179" Type="http://schemas.openxmlformats.org/officeDocument/2006/relationships/hyperlink" Target="https://raw.githubusercontent.com/olaf-programmeur/images/main/lutte_4.webp" TargetMode="External"/><Relationship Id="rId386" Type="http://schemas.openxmlformats.org/officeDocument/2006/relationships/hyperlink" Target="https://raw.githubusercontent.com/olaf-programmeur/images/main/interrupteur_1.webp" TargetMode="External"/><Relationship Id="rId551" Type="http://schemas.openxmlformats.org/officeDocument/2006/relationships/hyperlink" Target="https://raw.githubusercontent.com/olaf-programmeur/images/main/isabelle_sauthier.webp" TargetMode="External"/><Relationship Id="rId190" Type="http://schemas.openxmlformats.org/officeDocument/2006/relationships/hyperlink" Target="https://raw.githubusercontent.com/olaf-programmeur/images/main/lutte_4.webp" TargetMode="External"/><Relationship Id="rId204" Type="http://schemas.openxmlformats.org/officeDocument/2006/relationships/hyperlink" Target="https://raw.githubusercontent.com/olaf-programmeur/images/main/jardinage_4.webp" TargetMode="External"/><Relationship Id="rId246" Type="http://schemas.openxmlformats.org/officeDocument/2006/relationships/hyperlink" Target="https://raw.githubusercontent.com/olaf-programmeur/images/main/trou_4.webp" TargetMode="External"/><Relationship Id="rId288" Type="http://schemas.openxmlformats.org/officeDocument/2006/relationships/hyperlink" Target="https://raw.githubusercontent.com/olaf-programmeur/images/main/v_voler_4.webp" TargetMode="External"/><Relationship Id="rId411" Type="http://schemas.openxmlformats.org/officeDocument/2006/relationships/hyperlink" Target="https://raw.githubusercontent.com/olaf-programmeur/images/main/jeu_2.webp" TargetMode="External"/><Relationship Id="rId453" Type="http://schemas.openxmlformats.org/officeDocument/2006/relationships/hyperlink" Target="https://raw.githubusercontent.com/olaf-programmeur/images/main/singe_1.webp" TargetMode="External"/><Relationship Id="rId509" Type="http://schemas.openxmlformats.org/officeDocument/2006/relationships/hyperlink" Target="https://raw.githubusercontent.com/olaf-programmeur/images/main/interrupteur_1.webp" TargetMode="External"/><Relationship Id="rId106" Type="http://schemas.openxmlformats.org/officeDocument/2006/relationships/hyperlink" Target="https://raw.githubusercontent.com/olaf-programmeur/images/main/bagheera.webp" TargetMode="External"/><Relationship Id="rId313" Type="http://schemas.openxmlformats.org/officeDocument/2006/relationships/hyperlink" Target="https://raw.githubusercontent.com/olaf-programmeur/images/main/aile_animal_4.webp" TargetMode="External"/><Relationship Id="rId495" Type="http://schemas.openxmlformats.org/officeDocument/2006/relationships/hyperlink" Target="https://raw.githubusercontent.com/olaf-programmeur/images/main/interrupteur_2.webp" TargetMode="External"/><Relationship Id="rId10" Type="http://schemas.openxmlformats.org/officeDocument/2006/relationships/hyperlink" Target="https://raw.githubusercontent.com/olaf-programmeur/images/main/colere_1.webp" TargetMode="External"/><Relationship Id="rId52" Type="http://schemas.openxmlformats.org/officeDocument/2006/relationships/hyperlink" Target="https://raw.githubusercontent.com/olaf-programmeur/images/main/contre_4.webp" TargetMode="External"/><Relationship Id="rId94" Type="http://schemas.openxmlformats.org/officeDocument/2006/relationships/hyperlink" Target="https://raw.githubusercontent.com/olaf-programmeur/images/main/couverture_4.webp" TargetMode="External"/><Relationship Id="rId148" Type="http://schemas.openxmlformats.org/officeDocument/2006/relationships/hyperlink" Target="https://raw.githubusercontent.com/olaf-programmeur/images/main/bagheera.webp" TargetMode="External"/><Relationship Id="rId355" Type="http://schemas.openxmlformats.org/officeDocument/2006/relationships/hyperlink" Target="https://raw.githubusercontent.com/olaf-programmeur/images/main/feu_artifice_5.webp" TargetMode="External"/><Relationship Id="rId397" Type="http://schemas.openxmlformats.org/officeDocument/2006/relationships/hyperlink" Target="https://raw.githubusercontent.com/olaf-programmeur/images/main/interrupteur_4.webp" TargetMode="External"/><Relationship Id="rId520" Type="http://schemas.openxmlformats.org/officeDocument/2006/relationships/hyperlink" Target="https://raw.githubusercontent.com/olaf-programmeur/images/main/store_4.webp" TargetMode="External"/><Relationship Id="rId562" Type="http://schemas.openxmlformats.org/officeDocument/2006/relationships/hyperlink" Target="https://raw.githubusercontent.com/olaf-programmeur/images/main/david_bonvin_1.webp" TargetMode="External"/><Relationship Id="rId215" Type="http://schemas.openxmlformats.org/officeDocument/2006/relationships/hyperlink" Target="https://raw.githubusercontent.com/olaf-programmeur/images/main/morceau_4.webp" TargetMode="External"/><Relationship Id="rId257" Type="http://schemas.openxmlformats.org/officeDocument/2006/relationships/hyperlink" Target="https://raw.githubusercontent.com/olaf-programmeur/images/main/echelle_4.webp" TargetMode="External"/><Relationship Id="rId422" Type="http://schemas.openxmlformats.org/officeDocument/2006/relationships/hyperlink" Target="https://raw.githubusercontent.com/olaf-programmeur/images/main/interrupteur_1.webp" TargetMode="External"/><Relationship Id="rId464" Type="http://schemas.openxmlformats.org/officeDocument/2006/relationships/hyperlink" Target="https://raw.githubusercontent.com/olaf-programmeur/images/main/souffle_5.webp" TargetMode="External"/><Relationship Id="rId299" Type="http://schemas.openxmlformats.org/officeDocument/2006/relationships/hyperlink" Target="https://raw.githubusercontent.com/olaf-programmeur/images/main/v_entrer_4.webp" TargetMode="External"/><Relationship Id="rId63" Type="http://schemas.openxmlformats.org/officeDocument/2006/relationships/hyperlink" Target="https://raw.githubusercontent.com/olaf-programmeur/images/main/v_dormir_4.webp" TargetMode="External"/><Relationship Id="rId159" Type="http://schemas.openxmlformats.org/officeDocument/2006/relationships/hyperlink" Target="https://raw.githubusercontent.com/olaf-programmeur/images/main/v_entrer_4.webp" TargetMode="External"/><Relationship Id="rId366" Type="http://schemas.openxmlformats.org/officeDocument/2006/relationships/hyperlink" Target="https://raw.githubusercontent.com/olaf-programmeur/images/main/interrupteur_1.webp" TargetMode="External"/><Relationship Id="rId573" Type="http://schemas.openxmlformats.org/officeDocument/2006/relationships/hyperlink" Target="https://raw.githubusercontent.com/olaf-programmeur/images/main/patrick_sauthier_vetroz.webp" TargetMode="External"/><Relationship Id="rId226" Type="http://schemas.openxmlformats.org/officeDocument/2006/relationships/hyperlink" Target="https://raw.githubusercontent.com/olaf-programmeur/images/main/plancher_4.webp" TargetMode="External"/><Relationship Id="rId433" Type="http://schemas.openxmlformats.org/officeDocument/2006/relationships/hyperlink" Target="https://raw.githubusercontent.com/olaf-programmeur/images/main/interrupteur_4.webp" TargetMode="External"/><Relationship Id="rId74" Type="http://schemas.openxmlformats.org/officeDocument/2006/relationships/hyperlink" Target="https://raw.githubusercontent.com/olaf-programmeur/images/main/balance_4.webp" TargetMode="External"/><Relationship Id="rId377" Type="http://schemas.openxmlformats.org/officeDocument/2006/relationships/hyperlink" Target="https://raw.githubusercontent.com/olaf-programmeur/images/main/interrupteur.webp" TargetMode="External"/><Relationship Id="rId500" Type="http://schemas.openxmlformats.org/officeDocument/2006/relationships/hyperlink" Target="https://raw.githubusercontent.com/olaf-programmeur/images/main/interrupteur.webp" TargetMode="External"/><Relationship Id="rId5" Type="http://schemas.openxmlformats.org/officeDocument/2006/relationships/hyperlink" Target="https://raw.githubusercontent.com/olaf-programmeur/images/main/p_lune_1.webp" TargetMode="External"/><Relationship Id="rId237" Type="http://schemas.openxmlformats.org/officeDocument/2006/relationships/hyperlink" Target="https://raw.githubusercontent.com/olaf-programmeur/images/main/trottoir_4.webp" TargetMode="External"/><Relationship Id="rId444" Type="http://schemas.openxmlformats.org/officeDocument/2006/relationships/hyperlink" Target="https://raw.githubusercontent.com/olaf-programmeur/images/main/secteur_3.webp" TargetMode="External"/><Relationship Id="rId290" Type="http://schemas.openxmlformats.org/officeDocument/2006/relationships/hyperlink" Target="https://raw.githubusercontent.com/olaf-programmeur/images/main/v_lever_4.webp" TargetMode="External"/><Relationship Id="rId304" Type="http://schemas.openxmlformats.org/officeDocument/2006/relationships/hyperlink" Target="https://raw.githubusercontent.com/olaf-programmeur/images/main/v_entrer_4.webp" TargetMode="External"/><Relationship Id="rId388" Type="http://schemas.openxmlformats.org/officeDocument/2006/relationships/hyperlink" Target="https://raw.githubusercontent.com/olaf-programmeur/images/main/interrupteur_3.webp" TargetMode="External"/><Relationship Id="rId511" Type="http://schemas.openxmlformats.org/officeDocument/2006/relationships/hyperlink" Target="https://raw.githubusercontent.com/olaf-programmeur/images/main/interrupteur_3.webp" TargetMode="External"/><Relationship Id="rId85" Type="http://schemas.openxmlformats.org/officeDocument/2006/relationships/hyperlink" Target="https://raw.githubusercontent.com/olaf-programmeur/images/main/clairiere_4.webp" TargetMode="External"/><Relationship Id="rId150" Type="http://schemas.openxmlformats.org/officeDocument/2006/relationships/hyperlink" Target="https://raw.githubusercontent.com/olaf-programmeur/images/main/tente_4.webp" TargetMode="External"/><Relationship Id="rId248" Type="http://schemas.openxmlformats.org/officeDocument/2006/relationships/hyperlink" Target="https://raw.githubusercontent.com/olaf-programmeur/images/main/tube_4.webp" TargetMode="External"/><Relationship Id="rId455" Type="http://schemas.openxmlformats.org/officeDocument/2006/relationships/hyperlink" Target="https://raw.githubusercontent.com/olaf-programmeur/images/main/singe_2.webp" TargetMode="External"/><Relationship Id="rId12" Type="http://schemas.openxmlformats.org/officeDocument/2006/relationships/hyperlink" Target="https://raw.githubusercontent.com/olaf-programmeur/images/main/peur_1.webp" TargetMode="External"/><Relationship Id="rId108" Type="http://schemas.openxmlformats.org/officeDocument/2006/relationships/hyperlink" Target="https://raw.githubusercontent.com/olaf-programmeur/images/main/bagheera.webp" TargetMode="External"/><Relationship Id="rId315" Type="http://schemas.openxmlformats.org/officeDocument/2006/relationships/hyperlink" Target="https://raw.githubusercontent.com/olaf-programmeur/images/main/aile_animal_4.webp" TargetMode="External"/><Relationship Id="rId522" Type="http://schemas.openxmlformats.org/officeDocument/2006/relationships/hyperlink" Target="https://raw.githubusercontent.com/olaf-programmeur/images/main/store.webp" TargetMode="External"/><Relationship Id="rId96" Type="http://schemas.openxmlformats.org/officeDocument/2006/relationships/hyperlink" Target="https://raw.githubusercontent.com/olaf-programmeur/images/main/classe_4.webp" TargetMode="External"/><Relationship Id="rId161" Type="http://schemas.openxmlformats.org/officeDocument/2006/relationships/hyperlink" Target="https://raw.githubusercontent.com/olaf-programmeur/images/main/lutte_4.webp" TargetMode="External"/><Relationship Id="rId399" Type="http://schemas.openxmlformats.org/officeDocument/2006/relationships/hyperlink" Target="https://raw.githubusercontent.com/olaf-programmeur/images/main/noix_1.webp" TargetMode="External"/><Relationship Id="rId259" Type="http://schemas.openxmlformats.org/officeDocument/2006/relationships/hyperlink" Target="https://raw.githubusercontent.com/olaf-programmeur/images/main/effort_4.webp" TargetMode="External"/><Relationship Id="rId466" Type="http://schemas.openxmlformats.org/officeDocument/2006/relationships/hyperlink" Target="https://raw.githubusercontent.com/olaf-programmeur/images/main/source_2.webp" TargetMode="External"/><Relationship Id="rId23" Type="http://schemas.openxmlformats.org/officeDocument/2006/relationships/hyperlink" Target="https://raw.githubusercontent.com/olaf-programmeur/images/main/peur_1.webp" TargetMode="External"/><Relationship Id="rId119" Type="http://schemas.openxmlformats.org/officeDocument/2006/relationships/hyperlink" Target="https://raw.githubusercontent.com/olaf-programmeur/images/main/bagheera.webp" TargetMode="External"/><Relationship Id="rId326" Type="http://schemas.openxmlformats.org/officeDocument/2006/relationships/hyperlink" Target="https://raw.githubusercontent.com/olaf-programmeur/images/main/vigne_3.webp" TargetMode="External"/><Relationship Id="rId533" Type="http://schemas.openxmlformats.org/officeDocument/2006/relationships/hyperlink" Target="https://raw.githubusercontent.com/olaf-programmeur/images/main/lacet_4.webp" TargetMode="External"/><Relationship Id="rId172" Type="http://schemas.openxmlformats.org/officeDocument/2006/relationships/hyperlink" Target="https://raw.githubusercontent.com/olaf-programmeur/images/main/accident_4.webp" TargetMode="External"/><Relationship Id="rId477" Type="http://schemas.openxmlformats.org/officeDocument/2006/relationships/hyperlink" Target="https://raw.githubusercontent.com/olaf-programmeur/images/main/interrupteur.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election activeCell="A16" sqref="A16"/>
    </sheetView>
  </sheetViews>
  <sheetFormatPr baseColWidth="10" defaultRowHeight="15.6" x14ac:dyDescent="0.3"/>
  <cols>
    <col min="1" max="1" width="15.796875" style="16" customWidth="1"/>
    <col min="2" max="2" width="8.796875" style="16" customWidth="1"/>
    <col min="3" max="3" width="22.796875" style="16" customWidth="1"/>
    <col min="4" max="4" width="6.796875" style="16" customWidth="1"/>
    <col min="5" max="5" width="22.796875" style="16" customWidth="1"/>
  </cols>
  <sheetData>
    <row r="1" spans="1:7" ht="15.6" customHeight="1" x14ac:dyDescent="0.3">
      <c r="A1" t="s">
        <v>0</v>
      </c>
      <c r="B1" t="s">
        <v>1</v>
      </c>
      <c r="C1" t="s">
        <v>2</v>
      </c>
      <c r="D1" t="s">
        <v>3</v>
      </c>
      <c r="E1" t="s">
        <v>4</v>
      </c>
      <c r="F1" t="s">
        <v>5</v>
      </c>
      <c r="G1" t="s">
        <v>6</v>
      </c>
    </row>
    <row r="2" spans="1:7" ht="15.6" customHeight="1" x14ac:dyDescent="0.3">
      <c r="A2" t="s">
        <v>7</v>
      </c>
      <c r="B2">
        <v>10</v>
      </c>
      <c r="C2" t="s">
        <v>8</v>
      </c>
      <c r="D2" t="s">
        <v>9</v>
      </c>
      <c r="E2" t="s">
        <v>10</v>
      </c>
      <c r="G2" s="7" t="s">
        <v>11</v>
      </c>
    </row>
    <row r="3" spans="1:7" ht="15.6" customHeight="1" x14ac:dyDescent="0.3">
      <c r="A3" t="s">
        <v>12</v>
      </c>
      <c r="B3">
        <v>20</v>
      </c>
      <c r="C3" t="s">
        <v>13</v>
      </c>
      <c r="D3" s="5" t="s">
        <v>14</v>
      </c>
      <c r="E3" t="s">
        <v>15</v>
      </c>
      <c r="G3" s="7" t="s">
        <v>16</v>
      </c>
    </row>
    <row r="4" spans="1:7" ht="15.6" customHeight="1" x14ac:dyDescent="0.3">
      <c r="A4" t="s">
        <v>17</v>
      </c>
      <c r="B4">
        <v>30</v>
      </c>
      <c r="C4" t="s">
        <v>18</v>
      </c>
      <c r="D4" t="s">
        <v>19</v>
      </c>
      <c r="E4" t="s">
        <v>20</v>
      </c>
      <c r="F4" t="s">
        <v>21</v>
      </c>
      <c r="G4" s="7" t="s">
        <v>22</v>
      </c>
    </row>
    <row r="5" spans="1:7" ht="15.6" customHeight="1" x14ac:dyDescent="0.3">
      <c r="A5" t="s">
        <v>23</v>
      </c>
      <c r="B5">
        <v>40</v>
      </c>
      <c r="C5" t="s">
        <v>24</v>
      </c>
      <c r="D5" t="s">
        <v>25</v>
      </c>
      <c r="E5" t="s">
        <v>26</v>
      </c>
      <c r="F5" t="s">
        <v>27</v>
      </c>
      <c r="G5" s="7" t="s">
        <v>28</v>
      </c>
    </row>
    <row r="6" spans="1:7" ht="15.6" customHeight="1" x14ac:dyDescent="0.3">
      <c r="A6" t="s">
        <v>29</v>
      </c>
      <c r="B6">
        <v>50</v>
      </c>
      <c r="C6" t="s">
        <v>30</v>
      </c>
      <c r="D6" t="s">
        <v>31</v>
      </c>
      <c r="E6" t="s">
        <v>15</v>
      </c>
      <c r="F6" t="s">
        <v>32</v>
      </c>
      <c r="G6" s="7" t="s">
        <v>33</v>
      </c>
    </row>
    <row r="7" spans="1:7" ht="15.6" customHeight="1" x14ac:dyDescent="0.3">
      <c r="A7" t="s">
        <v>34</v>
      </c>
      <c r="B7">
        <v>60</v>
      </c>
      <c r="C7" t="s">
        <v>35</v>
      </c>
      <c r="D7" t="s">
        <v>36</v>
      </c>
      <c r="E7" t="s">
        <v>37</v>
      </c>
      <c r="F7" t="s">
        <v>38</v>
      </c>
      <c r="G7" t="s">
        <v>39</v>
      </c>
    </row>
    <row r="8" spans="1:7" ht="15.6" customHeight="1" x14ac:dyDescent="0.3">
      <c r="A8" t="s">
        <v>40</v>
      </c>
      <c r="B8">
        <v>70</v>
      </c>
      <c r="C8" t="s">
        <v>41</v>
      </c>
      <c r="D8" t="s">
        <v>42</v>
      </c>
      <c r="E8" t="s">
        <v>43</v>
      </c>
      <c r="F8" t="s">
        <v>44</v>
      </c>
      <c r="G8" s="7" t="s">
        <v>45</v>
      </c>
    </row>
    <row r="9" spans="1:7" ht="15.6" customHeight="1" x14ac:dyDescent="0.3">
      <c r="A9" t="s">
        <v>46</v>
      </c>
      <c r="B9">
        <v>80</v>
      </c>
      <c r="C9" t="s">
        <v>47</v>
      </c>
      <c r="D9" t="s">
        <v>48</v>
      </c>
      <c r="E9" t="s">
        <v>49</v>
      </c>
      <c r="F9" t="s">
        <v>50</v>
      </c>
      <c r="G9" t="s">
        <v>51</v>
      </c>
    </row>
    <row r="10" spans="1:7" ht="15.6" customHeight="1" x14ac:dyDescent="0.3">
      <c r="A10" t="s">
        <v>52</v>
      </c>
      <c r="B10">
        <v>90</v>
      </c>
      <c r="C10" t="s">
        <v>53</v>
      </c>
      <c r="D10" t="s">
        <v>54</v>
      </c>
      <c r="E10" t="s">
        <v>55</v>
      </c>
      <c r="F10" t="s">
        <v>56</v>
      </c>
      <c r="G10" s="7" t="s">
        <v>57</v>
      </c>
    </row>
    <row r="11" spans="1:7" ht="15.6" customHeight="1" x14ac:dyDescent="0.3">
      <c r="A11" t="s">
        <v>58</v>
      </c>
      <c r="B11">
        <v>100</v>
      </c>
      <c r="C11" t="s">
        <v>59</v>
      </c>
      <c r="D11" t="s">
        <v>60</v>
      </c>
      <c r="E11" t="s">
        <v>61</v>
      </c>
      <c r="F11" t="s">
        <v>62</v>
      </c>
      <c r="G11" s="7" t="s">
        <v>63</v>
      </c>
    </row>
    <row r="12" spans="1:7" ht="15.6" customHeight="1" x14ac:dyDescent="0.3">
      <c r="A12" t="s">
        <v>64</v>
      </c>
      <c r="B12">
        <v>110</v>
      </c>
      <c r="C12" t="s">
        <v>65</v>
      </c>
      <c r="D12" t="s">
        <v>66</v>
      </c>
      <c r="E12" t="s">
        <v>55</v>
      </c>
      <c r="F12" t="s">
        <v>67</v>
      </c>
      <c r="G12" s="7" t="s">
        <v>68</v>
      </c>
    </row>
    <row r="13" spans="1:7" ht="15.6" customHeight="1" x14ac:dyDescent="0.3">
      <c r="A13" t="s">
        <v>69</v>
      </c>
      <c r="B13">
        <v>120</v>
      </c>
      <c r="C13" t="s">
        <v>70</v>
      </c>
      <c r="D13" t="s">
        <v>71</v>
      </c>
      <c r="E13" s="37" t="s">
        <v>36</v>
      </c>
      <c r="F13" t="s">
        <v>72</v>
      </c>
    </row>
    <row r="14" spans="1:7" ht="15.6" customHeight="1" x14ac:dyDescent="0.3">
      <c r="A14" t="s">
        <v>73</v>
      </c>
      <c r="B14">
        <v>130</v>
      </c>
      <c r="C14" t="s">
        <v>74</v>
      </c>
      <c r="D14" t="s">
        <v>9</v>
      </c>
      <c r="E14" t="s">
        <v>10</v>
      </c>
      <c r="F14" t="s">
        <v>75</v>
      </c>
    </row>
    <row r="15" spans="1:7" ht="15.6" customHeight="1" x14ac:dyDescent="0.3">
      <c r="A15" t="s">
        <v>76</v>
      </c>
      <c r="B15">
        <v>140</v>
      </c>
      <c r="C15" t="s">
        <v>77</v>
      </c>
      <c r="D15" t="s">
        <v>78</v>
      </c>
      <c r="E15" t="s">
        <v>79</v>
      </c>
      <c r="F15" t="s">
        <v>80</v>
      </c>
      <c r="G15" s="7" t="s">
        <v>81</v>
      </c>
    </row>
    <row r="16" spans="1:7" ht="15.6" customHeight="1" x14ac:dyDescent="0.3">
      <c r="A16" t="s">
        <v>10100</v>
      </c>
      <c r="B16">
        <v>170</v>
      </c>
      <c r="C16" t="s">
        <v>10101</v>
      </c>
      <c r="D16" t="s">
        <v>84</v>
      </c>
      <c r="E16" t="s">
        <v>85</v>
      </c>
      <c r="F16" t="s">
        <v>86</v>
      </c>
    </row>
    <row r="17" spans="1:6" s="37" customFormat="1" ht="15.6" customHeight="1" x14ac:dyDescent="0.3">
      <c r="A17" s="37" t="s">
        <v>366</v>
      </c>
      <c r="B17" s="37">
        <v>180</v>
      </c>
      <c r="C17" s="37" t="s">
        <v>10102</v>
      </c>
      <c r="D17" s="37" t="s">
        <v>36</v>
      </c>
      <c r="E17" s="37" t="s">
        <v>36</v>
      </c>
      <c r="F17" s="37" t="s">
        <v>10103</v>
      </c>
    </row>
    <row r="18" spans="1:6" ht="15.6" customHeight="1" x14ac:dyDescent="0.3">
      <c r="A18" t="s">
        <v>7805</v>
      </c>
      <c r="B18" s="37">
        <v>190</v>
      </c>
      <c r="C18" t="s">
        <v>10046</v>
      </c>
      <c r="E18" t="s">
        <v>85</v>
      </c>
    </row>
    <row r="19" spans="1:6" x14ac:dyDescent="0.3">
      <c r="A19" s="37" t="s">
        <v>87</v>
      </c>
      <c r="B19" s="16">
        <v>200</v>
      </c>
      <c r="C19" s="37" t="s">
        <v>88</v>
      </c>
      <c r="E19" s="37" t="s">
        <v>85</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8" r:id="rId6" xr:uid="{00000000-0004-0000-0000-000005000000}"/>
    <hyperlink ref="G10" r:id="rId7" xr:uid="{00000000-0004-0000-0000-000006000000}"/>
    <hyperlink ref="G11" r:id="rId8" xr:uid="{00000000-0004-0000-0000-000007000000}"/>
    <hyperlink ref="G12" r:id="rId9" xr:uid="{00000000-0004-0000-0000-000008000000}"/>
    <hyperlink ref="G15" r:id="rId10"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5"/>
  <sheetViews>
    <sheetView showGridLines="0" topLeftCell="A54" workbookViewId="0">
      <selection activeCell="A77" sqref="A77"/>
    </sheetView>
  </sheetViews>
  <sheetFormatPr baseColWidth="10" defaultRowHeight="15.6" x14ac:dyDescent="0.3"/>
  <cols>
    <col min="1" max="4" width="22.796875" style="16" customWidth="1"/>
  </cols>
  <sheetData>
    <row r="1" spans="1:8" ht="15.6" customHeight="1" x14ac:dyDescent="0.3">
      <c r="A1" t="s">
        <v>0</v>
      </c>
      <c r="B1" t="s">
        <v>89</v>
      </c>
      <c r="C1" t="s">
        <v>2</v>
      </c>
      <c r="D1" t="s">
        <v>3</v>
      </c>
      <c r="E1" t="s">
        <v>4</v>
      </c>
      <c r="F1" t="s">
        <v>5</v>
      </c>
      <c r="G1" t="s">
        <v>6</v>
      </c>
      <c r="H1" t="s">
        <v>10044</v>
      </c>
    </row>
    <row r="2" spans="1:8" ht="15.6" customHeight="1" x14ac:dyDescent="0.3">
      <c r="A2" t="s">
        <v>274</v>
      </c>
      <c r="B2" t="s">
        <v>64</v>
      </c>
      <c r="C2" t="s">
        <v>275</v>
      </c>
      <c r="D2" t="s">
        <v>180</v>
      </c>
      <c r="E2" t="s">
        <v>49</v>
      </c>
      <c r="F2" t="s">
        <v>276</v>
      </c>
      <c r="G2" s="7" t="s">
        <v>277</v>
      </c>
      <c r="H2">
        <v>1</v>
      </c>
    </row>
    <row r="3" spans="1:8" ht="15.6" customHeight="1" x14ac:dyDescent="0.3">
      <c r="A3" t="s">
        <v>278</v>
      </c>
      <c r="B3" t="s">
        <v>64</v>
      </c>
      <c r="C3" t="s">
        <v>279</v>
      </c>
      <c r="D3" t="s">
        <v>280</v>
      </c>
      <c r="E3" t="s">
        <v>37</v>
      </c>
      <c r="F3" t="s">
        <v>281</v>
      </c>
      <c r="G3" s="7" t="s">
        <v>282</v>
      </c>
      <c r="H3">
        <v>2</v>
      </c>
    </row>
    <row r="4" spans="1:8" ht="15.6" customHeight="1" x14ac:dyDescent="0.3">
      <c r="A4" t="s">
        <v>283</v>
      </c>
      <c r="B4" t="s">
        <v>64</v>
      </c>
      <c r="C4" t="s">
        <v>284</v>
      </c>
      <c r="D4" t="s">
        <v>285</v>
      </c>
      <c r="E4" t="s">
        <v>26</v>
      </c>
      <c r="F4" t="s">
        <v>286</v>
      </c>
      <c r="G4" s="7" t="s">
        <v>287</v>
      </c>
      <c r="H4">
        <v>3</v>
      </c>
    </row>
    <row r="5" spans="1:8" ht="15.6" customHeight="1" x14ac:dyDescent="0.3">
      <c r="A5" t="s">
        <v>288</v>
      </c>
      <c r="B5" t="s">
        <v>64</v>
      </c>
      <c r="C5" t="s">
        <v>289</v>
      </c>
      <c r="D5" t="s">
        <v>290</v>
      </c>
      <c r="E5" t="s">
        <v>61</v>
      </c>
      <c r="F5" t="s">
        <v>291</v>
      </c>
      <c r="G5" s="44" t="s">
        <v>292</v>
      </c>
      <c r="H5">
        <v>4</v>
      </c>
    </row>
    <row r="6" spans="1:8" ht="15.6" customHeight="1" x14ac:dyDescent="0.3">
      <c r="A6" t="s">
        <v>293</v>
      </c>
      <c r="B6" t="s">
        <v>64</v>
      </c>
      <c r="C6" t="s">
        <v>294</v>
      </c>
      <c r="D6" t="s">
        <v>295</v>
      </c>
      <c r="E6" t="s">
        <v>272</v>
      </c>
      <c r="F6" t="s">
        <v>296</v>
      </c>
      <c r="G6" s="7" t="s">
        <v>297</v>
      </c>
      <c r="H6">
        <v>5</v>
      </c>
    </row>
    <row r="7" spans="1:8" ht="15.6" customHeight="1" x14ac:dyDescent="0.3">
      <c r="A7" t="s">
        <v>90</v>
      </c>
      <c r="B7" t="s">
        <v>17</v>
      </c>
      <c r="C7" t="s">
        <v>91</v>
      </c>
      <c r="D7" t="s">
        <v>92</v>
      </c>
      <c r="E7" t="s">
        <v>93</v>
      </c>
      <c r="F7" t="s">
        <v>94</v>
      </c>
      <c r="G7" s="7" t="s">
        <v>95</v>
      </c>
      <c r="H7">
        <v>1</v>
      </c>
    </row>
    <row r="8" spans="1:8" ht="15.6" customHeight="1" x14ac:dyDescent="0.3">
      <c r="A8" t="s">
        <v>96</v>
      </c>
      <c r="B8" t="s">
        <v>17</v>
      </c>
      <c r="C8" t="s">
        <v>97</v>
      </c>
      <c r="D8" t="s">
        <v>19</v>
      </c>
      <c r="E8" t="s">
        <v>98</v>
      </c>
      <c r="F8" t="s">
        <v>99</v>
      </c>
      <c r="G8" s="7" t="s">
        <v>100</v>
      </c>
      <c r="H8">
        <v>2</v>
      </c>
    </row>
    <row r="9" spans="1:8" ht="15.6" customHeight="1" x14ac:dyDescent="0.3">
      <c r="A9" t="s">
        <v>101</v>
      </c>
      <c r="B9" t="s">
        <v>17</v>
      </c>
      <c r="C9" t="s">
        <v>102</v>
      </c>
      <c r="D9" t="s">
        <v>103</v>
      </c>
      <c r="E9" t="s">
        <v>104</v>
      </c>
      <c r="F9" t="s">
        <v>105</v>
      </c>
      <c r="G9" s="7" t="s">
        <v>106</v>
      </c>
      <c r="H9">
        <v>3</v>
      </c>
    </row>
    <row r="10" spans="1:8" ht="15.6" customHeight="1" x14ac:dyDescent="0.3">
      <c r="A10" t="s">
        <v>130</v>
      </c>
      <c r="B10" t="s">
        <v>76</v>
      </c>
      <c r="C10" t="s">
        <v>131</v>
      </c>
      <c r="D10" t="s">
        <v>132</v>
      </c>
      <c r="E10" t="s">
        <v>55</v>
      </c>
      <c r="F10" t="s">
        <v>133</v>
      </c>
      <c r="H10">
        <v>1</v>
      </c>
    </row>
    <row r="11" spans="1:8" ht="15.6" customHeight="1" x14ac:dyDescent="0.3">
      <c r="A11" t="s">
        <v>125</v>
      </c>
      <c r="B11" t="s">
        <v>76</v>
      </c>
      <c r="C11" t="s">
        <v>126</v>
      </c>
      <c r="D11" t="s">
        <v>127</v>
      </c>
      <c r="E11" t="s">
        <v>128</v>
      </c>
      <c r="F11" t="s">
        <v>129</v>
      </c>
      <c r="G11" s="37"/>
      <c r="H11">
        <v>2</v>
      </c>
    </row>
    <row r="12" spans="1:8" ht="15.6" customHeight="1" x14ac:dyDescent="0.3">
      <c r="A12" t="s">
        <v>121</v>
      </c>
      <c r="B12" t="s">
        <v>76</v>
      </c>
      <c r="C12" t="s">
        <v>122</v>
      </c>
      <c r="D12" t="s">
        <v>123</v>
      </c>
      <c r="E12" t="s">
        <v>61</v>
      </c>
      <c r="F12" t="s">
        <v>124</v>
      </c>
      <c r="G12" s="37"/>
      <c r="H12">
        <v>3</v>
      </c>
    </row>
    <row r="13" spans="1:8" ht="15.6" customHeight="1" x14ac:dyDescent="0.3">
      <c r="A13" t="s">
        <v>159</v>
      </c>
      <c r="B13" t="s">
        <v>29</v>
      </c>
      <c r="C13" t="s">
        <v>160</v>
      </c>
      <c r="D13" t="s">
        <v>161</v>
      </c>
      <c r="E13" t="s">
        <v>61</v>
      </c>
      <c r="F13" t="s">
        <v>162</v>
      </c>
      <c r="G13" s="7" t="s">
        <v>163</v>
      </c>
      <c r="H13">
        <v>1</v>
      </c>
    </row>
    <row r="14" spans="1:8" ht="15.6" customHeight="1" x14ac:dyDescent="0.3">
      <c r="A14" t="s">
        <v>167</v>
      </c>
      <c r="B14" t="s">
        <v>29</v>
      </c>
      <c r="C14" t="s">
        <v>168</v>
      </c>
      <c r="D14" t="s">
        <v>161</v>
      </c>
      <c r="E14" t="s">
        <v>61</v>
      </c>
      <c r="G14" s="7" t="s">
        <v>169</v>
      </c>
      <c r="H14">
        <v>2</v>
      </c>
    </row>
    <row r="15" spans="1:8" ht="15.6" customHeight="1" x14ac:dyDescent="0.3">
      <c r="A15" t="s">
        <v>164</v>
      </c>
      <c r="B15" t="s">
        <v>29</v>
      </c>
      <c r="C15" t="s">
        <v>165</v>
      </c>
      <c r="D15" t="s">
        <v>161</v>
      </c>
      <c r="E15" t="s">
        <v>61</v>
      </c>
      <c r="F15" t="s">
        <v>166</v>
      </c>
      <c r="G15" s="44"/>
      <c r="H15">
        <v>3</v>
      </c>
    </row>
    <row r="16" spans="1:8" ht="15.6" customHeight="1" x14ac:dyDescent="0.3">
      <c r="A16" t="s">
        <v>170</v>
      </c>
      <c r="B16" t="s">
        <v>29</v>
      </c>
      <c r="C16" t="s">
        <v>171</v>
      </c>
      <c r="D16" t="s">
        <v>161</v>
      </c>
      <c r="E16" t="s">
        <v>61</v>
      </c>
      <c r="F16" t="s">
        <v>172</v>
      </c>
      <c r="G16" s="7" t="s">
        <v>173</v>
      </c>
      <c r="H16">
        <v>4</v>
      </c>
    </row>
    <row r="17" spans="1:8" ht="15.6" customHeight="1" x14ac:dyDescent="0.3">
      <c r="A17" t="s">
        <v>178</v>
      </c>
      <c r="B17" t="s">
        <v>29</v>
      </c>
      <c r="C17" t="s">
        <v>179</v>
      </c>
      <c r="D17" t="s">
        <v>180</v>
      </c>
      <c r="E17" t="s">
        <v>61</v>
      </c>
      <c r="G17" s="7" t="s">
        <v>181</v>
      </c>
      <c r="H17">
        <v>5</v>
      </c>
    </row>
    <row r="18" spans="1:8" ht="15.6" customHeight="1" x14ac:dyDescent="0.3">
      <c r="A18" t="s">
        <v>174</v>
      </c>
      <c r="B18" t="s">
        <v>29</v>
      </c>
      <c r="C18" t="s">
        <v>175</v>
      </c>
      <c r="D18" t="s">
        <v>176</v>
      </c>
      <c r="E18" t="s">
        <v>61</v>
      </c>
      <c r="F18" t="s">
        <v>177</v>
      </c>
      <c r="H18">
        <v>6</v>
      </c>
    </row>
    <row r="19" spans="1:8" ht="15.6" customHeight="1" x14ac:dyDescent="0.3">
      <c r="A19" t="s">
        <v>10125</v>
      </c>
      <c r="B19" t="s">
        <v>40</v>
      </c>
      <c r="C19" t="s">
        <v>134</v>
      </c>
      <c r="D19" t="s">
        <v>42</v>
      </c>
      <c r="E19" t="s">
        <v>37</v>
      </c>
      <c r="F19" t="s">
        <v>135</v>
      </c>
      <c r="G19" s="7" t="s">
        <v>136</v>
      </c>
      <c r="H19">
        <v>1</v>
      </c>
    </row>
    <row r="20" spans="1:8" ht="15.6" customHeight="1" x14ac:dyDescent="0.3">
      <c r="A20" t="s">
        <v>137</v>
      </c>
      <c r="B20" t="s">
        <v>40</v>
      </c>
      <c r="C20" t="s">
        <v>138</v>
      </c>
      <c r="D20" t="s">
        <v>139</v>
      </c>
      <c r="E20" t="s">
        <v>49</v>
      </c>
      <c r="F20" t="s">
        <v>140</v>
      </c>
      <c r="G20" s="7" t="s">
        <v>141</v>
      </c>
      <c r="H20">
        <v>2</v>
      </c>
    </row>
    <row r="21" spans="1:8" ht="15.6" customHeight="1" x14ac:dyDescent="0.3">
      <c r="A21" t="s">
        <v>142</v>
      </c>
      <c r="B21" t="s">
        <v>40</v>
      </c>
      <c r="C21" t="s">
        <v>143</v>
      </c>
      <c r="D21" t="s">
        <v>144</v>
      </c>
      <c r="E21" t="s">
        <v>26</v>
      </c>
      <c r="F21" t="s">
        <v>145</v>
      </c>
      <c r="G21" s="7" t="s">
        <v>146</v>
      </c>
      <c r="H21">
        <v>3</v>
      </c>
    </row>
    <row r="22" spans="1:8" ht="15.6" customHeight="1" x14ac:dyDescent="0.3">
      <c r="A22" t="s">
        <v>147</v>
      </c>
      <c r="B22" t="s">
        <v>40</v>
      </c>
      <c r="C22" t="s">
        <v>148</v>
      </c>
      <c r="D22" t="s">
        <v>149</v>
      </c>
      <c r="E22" t="s">
        <v>85</v>
      </c>
      <c r="F22" t="s">
        <v>150</v>
      </c>
      <c r="G22" s="44" t="s">
        <v>151</v>
      </c>
      <c r="H22">
        <v>4</v>
      </c>
    </row>
    <row r="23" spans="1:8" ht="15.6" customHeight="1" x14ac:dyDescent="0.3">
      <c r="A23" t="s">
        <v>152</v>
      </c>
      <c r="B23" t="s">
        <v>40</v>
      </c>
      <c r="C23" t="s">
        <v>153</v>
      </c>
      <c r="D23" t="s">
        <v>149</v>
      </c>
      <c r="E23" t="s">
        <v>85</v>
      </c>
      <c r="F23" t="s">
        <v>154</v>
      </c>
      <c r="G23" s="7" t="s">
        <v>155</v>
      </c>
      <c r="H23">
        <v>5</v>
      </c>
    </row>
    <row r="24" spans="1:8" ht="15.6" customHeight="1" x14ac:dyDescent="0.3">
      <c r="A24" t="s">
        <v>156</v>
      </c>
      <c r="B24" t="s">
        <v>40</v>
      </c>
      <c r="C24" t="s">
        <v>157</v>
      </c>
      <c r="D24" t="s">
        <v>42</v>
      </c>
      <c r="E24" t="s">
        <v>85</v>
      </c>
      <c r="G24" s="7" t="s">
        <v>158</v>
      </c>
      <c r="H24">
        <v>6</v>
      </c>
    </row>
    <row r="25" spans="1:8" ht="15.6" customHeight="1" x14ac:dyDescent="0.3">
      <c r="A25" t="s">
        <v>298</v>
      </c>
      <c r="B25" t="s">
        <v>52</v>
      </c>
      <c r="C25" t="s">
        <v>299</v>
      </c>
      <c r="D25" t="s">
        <v>300</v>
      </c>
      <c r="E25" t="s">
        <v>55</v>
      </c>
      <c r="F25" t="s">
        <v>301</v>
      </c>
      <c r="G25" s="37" t="s">
        <v>302</v>
      </c>
      <c r="H25">
        <v>1</v>
      </c>
    </row>
    <row r="26" spans="1:8" ht="15.6" customHeight="1" x14ac:dyDescent="0.3">
      <c r="A26" t="s">
        <v>303</v>
      </c>
      <c r="B26" t="s">
        <v>52</v>
      </c>
      <c r="C26" t="s">
        <v>304</v>
      </c>
      <c r="D26" t="s">
        <v>305</v>
      </c>
      <c r="E26" t="s">
        <v>306</v>
      </c>
      <c r="F26" t="s">
        <v>307</v>
      </c>
      <c r="G26" t="s">
        <v>308</v>
      </c>
      <c r="H26">
        <v>2</v>
      </c>
    </row>
    <row r="27" spans="1:8" ht="15.6" customHeight="1" x14ac:dyDescent="0.3">
      <c r="A27" t="s">
        <v>309</v>
      </c>
      <c r="B27" t="s">
        <v>52</v>
      </c>
      <c r="C27" t="s">
        <v>310</v>
      </c>
      <c r="D27" t="s">
        <v>311</v>
      </c>
      <c r="E27" t="s">
        <v>312</v>
      </c>
      <c r="F27" t="s">
        <v>313</v>
      </c>
      <c r="G27" s="37"/>
      <c r="H27">
        <v>3</v>
      </c>
    </row>
    <row r="28" spans="1:8" ht="15.6" customHeight="1" x14ac:dyDescent="0.3">
      <c r="A28" t="s">
        <v>10072</v>
      </c>
      <c r="B28" t="s">
        <v>52</v>
      </c>
      <c r="C28" t="s">
        <v>314</v>
      </c>
      <c r="D28" t="s">
        <v>315</v>
      </c>
      <c r="E28" t="s">
        <v>316</v>
      </c>
      <c r="F28" t="s">
        <v>317</v>
      </c>
      <c r="G28" t="s">
        <v>318</v>
      </c>
      <c r="H28">
        <v>4</v>
      </c>
    </row>
    <row r="29" spans="1:8" ht="15.6" customHeight="1" x14ac:dyDescent="0.3">
      <c r="A29" t="s">
        <v>319</v>
      </c>
      <c r="B29" t="s">
        <v>52</v>
      </c>
      <c r="C29" t="s">
        <v>320</v>
      </c>
      <c r="D29" s="16" t="s">
        <v>321</v>
      </c>
      <c r="E29" t="s">
        <v>322</v>
      </c>
      <c r="F29" t="s">
        <v>323</v>
      </c>
      <c r="H29">
        <v>5</v>
      </c>
    </row>
    <row r="30" spans="1:8" ht="15.6" customHeight="1" x14ac:dyDescent="0.3">
      <c r="A30" t="s">
        <v>381</v>
      </c>
      <c r="B30" t="s">
        <v>12</v>
      </c>
      <c r="C30" t="s">
        <v>382</v>
      </c>
      <c r="D30" t="s">
        <v>383</v>
      </c>
      <c r="E30" t="s">
        <v>61</v>
      </c>
      <c r="F30" t="s">
        <v>384</v>
      </c>
      <c r="H30">
        <v>1</v>
      </c>
    </row>
    <row r="31" spans="1:8" ht="15.6" customHeight="1" x14ac:dyDescent="0.3">
      <c r="A31" t="s">
        <v>378</v>
      </c>
      <c r="B31" t="s">
        <v>12</v>
      </c>
      <c r="C31" t="s">
        <v>379</v>
      </c>
      <c r="D31" t="s">
        <v>9</v>
      </c>
      <c r="E31" t="s">
        <v>61</v>
      </c>
      <c r="F31" t="s">
        <v>380</v>
      </c>
      <c r="H31">
        <v>2</v>
      </c>
    </row>
    <row r="32" spans="1:8" ht="15.6" customHeight="1" x14ac:dyDescent="0.3">
      <c r="A32" t="s">
        <v>186</v>
      </c>
      <c r="B32" t="s">
        <v>34</v>
      </c>
      <c r="C32" t="s">
        <v>187</v>
      </c>
      <c r="D32" t="s">
        <v>188</v>
      </c>
      <c r="E32" t="s">
        <v>26</v>
      </c>
      <c r="F32" s="37" t="s">
        <v>189</v>
      </c>
      <c r="G32" s="7" t="s">
        <v>190</v>
      </c>
      <c r="H32">
        <v>1</v>
      </c>
    </row>
    <row r="33" spans="1:8" ht="15.6" customHeight="1" x14ac:dyDescent="0.3">
      <c r="A33" t="s">
        <v>191</v>
      </c>
      <c r="B33" t="s">
        <v>34</v>
      </c>
      <c r="C33" t="s">
        <v>192</v>
      </c>
      <c r="D33" t="s">
        <v>193</v>
      </c>
      <c r="E33" t="s">
        <v>55</v>
      </c>
      <c r="F33" t="s">
        <v>194</v>
      </c>
      <c r="G33" s="7" t="s">
        <v>195</v>
      </c>
      <c r="H33">
        <v>2</v>
      </c>
    </row>
    <row r="34" spans="1:8" ht="15.6" customHeight="1" x14ac:dyDescent="0.3">
      <c r="A34" t="s">
        <v>201</v>
      </c>
      <c r="B34" t="s">
        <v>34</v>
      </c>
      <c r="C34" t="s">
        <v>202</v>
      </c>
      <c r="D34" t="s">
        <v>203</v>
      </c>
      <c r="E34" t="s">
        <v>61</v>
      </c>
      <c r="F34" t="s">
        <v>204</v>
      </c>
      <c r="G34" s="7" t="s">
        <v>205</v>
      </c>
      <c r="H34">
        <v>3</v>
      </c>
    </row>
    <row r="35" spans="1:8" ht="15.6" customHeight="1" x14ac:dyDescent="0.3">
      <c r="A35" t="s">
        <v>196</v>
      </c>
      <c r="B35" t="s">
        <v>34</v>
      </c>
      <c r="C35" t="s">
        <v>197</v>
      </c>
      <c r="D35" t="s">
        <v>198</v>
      </c>
      <c r="E35" t="s">
        <v>79</v>
      </c>
      <c r="F35" t="s">
        <v>199</v>
      </c>
      <c r="G35" s="44" t="s">
        <v>200</v>
      </c>
      <c r="H35">
        <v>4</v>
      </c>
    </row>
    <row r="36" spans="1:8" ht="15.6" customHeight="1" x14ac:dyDescent="0.3">
      <c r="A36" t="s">
        <v>3223</v>
      </c>
      <c r="B36" t="s">
        <v>34</v>
      </c>
      <c r="C36" t="s">
        <v>206</v>
      </c>
      <c r="D36" t="s">
        <v>207</v>
      </c>
      <c r="E36" t="s">
        <v>61</v>
      </c>
      <c r="F36" t="s">
        <v>208</v>
      </c>
      <c r="G36" s="44" t="s">
        <v>209</v>
      </c>
      <c r="H36">
        <v>5</v>
      </c>
    </row>
    <row r="37" spans="1:8" ht="15.6" customHeight="1" x14ac:dyDescent="0.3">
      <c r="A37" t="s">
        <v>210</v>
      </c>
      <c r="B37" t="s">
        <v>34</v>
      </c>
      <c r="C37" t="s">
        <v>211</v>
      </c>
      <c r="D37"/>
      <c r="E37" t="s">
        <v>61</v>
      </c>
      <c r="F37" t="s">
        <v>204</v>
      </c>
      <c r="G37" s="37" t="s">
        <v>212</v>
      </c>
      <c r="H37">
        <v>6</v>
      </c>
    </row>
    <row r="38" spans="1:8" ht="15.6" customHeight="1" x14ac:dyDescent="0.3">
      <c r="A38" t="s">
        <v>218</v>
      </c>
      <c r="B38" t="s">
        <v>34</v>
      </c>
      <c r="C38" t="s">
        <v>219</v>
      </c>
      <c r="D38" t="s">
        <v>215</v>
      </c>
      <c r="E38" t="s">
        <v>43</v>
      </c>
      <c r="F38" t="s">
        <v>220</v>
      </c>
      <c r="G38" s="37" t="s">
        <v>221</v>
      </c>
      <c r="H38">
        <v>7</v>
      </c>
    </row>
    <row r="39" spans="1:8" ht="15.6" customHeight="1" x14ac:dyDescent="0.3">
      <c r="A39" t="s">
        <v>182</v>
      </c>
      <c r="B39" t="s">
        <v>34</v>
      </c>
      <c r="C39" t="s">
        <v>183</v>
      </c>
      <c r="D39" t="s">
        <v>36</v>
      </c>
      <c r="E39" t="s">
        <v>37</v>
      </c>
      <c r="F39" t="s">
        <v>184</v>
      </c>
      <c r="G39" s="7" t="s">
        <v>185</v>
      </c>
      <c r="H39">
        <v>8</v>
      </c>
    </row>
    <row r="40" spans="1:8" ht="15.6" customHeight="1" x14ac:dyDescent="0.3">
      <c r="A40" t="s">
        <v>213</v>
      </c>
      <c r="B40" t="s">
        <v>34</v>
      </c>
      <c r="C40" t="s">
        <v>214</v>
      </c>
      <c r="D40" t="s">
        <v>215</v>
      </c>
      <c r="E40" t="s">
        <v>43</v>
      </c>
      <c r="F40" t="s">
        <v>216</v>
      </c>
      <c r="G40" s="37" t="s">
        <v>217</v>
      </c>
      <c r="H40">
        <v>9</v>
      </c>
    </row>
    <row r="41" spans="1:8" s="37" customFormat="1" ht="15.6" customHeight="1" x14ac:dyDescent="0.3">
      <c r="A41" s="37" t="s">
        <v>10120</v>
      </c>
      <c r="B41" s="37" t="s">
        <v>34</v>
      </c>
      <c r="C41" s="37" t="s">
        <v>10121</v>
      </c>
      <c r="E41" s="37" t="s">
        <v>332</v>
      </c>
    </row>
    <row r="42" spans="1:8" ht="15.6" customHeight="1" x14ac:dyDescent="0.3">
      <c r="A42" s="4" t="s">
        <v>1029</v>
      </c>
      <c r="B42" t="s">
        <v>46</v>
      </c>
      <c r="C42" t="s">
        <v>10117</v>
      </c>
      <c r="D42" t="s">
        <v>127</v>
      </c>
      <c r="E42" t="s">
        <v>49</v>
      </c>
      <c r="F42" t="s">
        <v>10118</v>
      </c>
      <c r="G42" s="44" t="s">
        <v>326</v>
      </c>
      <c r="H42">
        <v>1</v>
      </c>
    </row>
    <row r="43" spans="1:8" ht="15.6" customHeight="1" x14ac:dyDescent="0.3">
      <c r="A43" s="44" t="s">
        <v>9524</v>
      </c>
      <c r="B43" t="s">
        <v>46</v>
      </c>
      <c r="C43" t="s">
        <v>327</v>
      </c>
      <c r="D43" t="s">
        <v>48</v>
      </c>
      <c r="E43" t="s">
        <v>79</v>
      </c>
      <c r="F43" t="s">
        <v>328</v>
      </c>
      <c r="G43" s="7" t="s">
        <v>9532</v>
      </c>
      <c r="H43">
        <v>2</v>
      </c>
    </row>
    <row r="44" spans="1:8" ht="15.6" customHeight="1" x14ac:dyDescent="0.3">
      <c r="A44" t="s">
        <v>329</v>
      </c>
      <c r="B44" t="s">
        <v>46</v>
      </c>
      <c r="C44" t="s">
        <v>330</v>
      </c>
      <c r="D44" t="s">
        <v>331</v>
      </c>
      <c r="E44" t="s">
        <v>332</v>
      </c>
      <c r="F44" t="s">
        <v>333</v>
      </c>
      <c r="G44" t="s">
        <v>334</v>
      </c>
      <c r="H44">
        <v>4</v>
      </c>
    </row>
    <row r="45" spans="1:8" ht="15.6" customHeight="1" x14ac:dyDescent="0.3">
      <c r="A45" t="s">
        <v>335</v>
      </c>
      <c r="B45" t="s">
        <v>46</v>
      </c>
      <c r="C45" t="s">
        <v>336</v>
      </c>
      <c r="D45" t="s">
        <v>48</v>
      </c>
      <c r="E45" t="s">
        <v>332</v>
      </c>
      <c r="F45" t="s">
        <v>337</v>
      </c>
      <c r="H45">
        <v>5</v>
      </c>
    </row>
    <row r="46" spans="1:8" ht="15.6" customHeight="1" x14ac:dyDescent="0.3">
      <c r="A46" t="s">
        <v>387</v>
      </c>
      <c r="B46" t="s">
        <v>7</v>
      </c>
      <c r="C46" t="s">
        <v>388</v>
      </c>
      <c r="D46" s="6" t="s">
        <v>389</v>
      </c>
      <c r="E46" t="s">
        <v>372</v>
      </c>
      <c r="F46" t="s">
        <v>390</v>
      </c>
      <c r="G46" s="37"/>
      <c r="H46">
        <v>1</v>
      </c>
    </row>
    <row r="47" spans="1:8" ht="15.6" customHeight="1" x14ac:dyDescent="0.3">
      <c r="A47" t="s">
        <v>391</v>
      </c>
      <c r="B47" t="s">
        <v>7</v>
      </c>
      <c r="C47" t="s">
        <v>392</v>
      </c>
      <c r="D47" s="6" t="s">
        <v>393</v>
      </c>
      <c r="E47" t="s">
        <v>10</v>
      </c>
      <c r="F47" t="s">
        <v>394</v>
      </c>
      <c r="G47" s="37"/>
      <c r="H47">
        <v>2</v>
      </c>
    </row>
    <row r="48" spans="1:8" ht="15.6" customHeight="1" x14ac:dyDescent="0.3">
      <c r="A48" t="s">
        <v>385</v>
      </c>
      <c r="B48" t="s">
        <v>7</v>
      </c>
      <c r="C48" t="s">
        <v>386</v>
      </c>
      <c r="D48" t="s">
        <v>127</v>
      </c>
      <c r="E48" t="s">
        <v>49</v>
      </c>
      <c r="G48" s="7" t="s">
        <v>11</v>
      </c>
      <c r="H48">
        <v>3</v>
      </c>
    </row>
    <row r="49" spans="1:8" ht="15.6" customHeight="1" x14ac:dyDescent="0.3">
      <c r="A49" t="s">
        <v>395</v>
      </c>
      <c r="B49" t="s">
        <v>7</v>
      </c>
      <c r="C49" t="s">
        <v>396</v>
      </c>
      <c r="D49"/>
      <c r="G49" s="7" t="s">
        <v>397</v>
      </c>
      <c r="H49">
        <v>4</v>
      </c>
    </row>
    <row r="50" spans="1:8" ht="15.6" customHeight="1" x14ac:dyDescent="0.3">
      <c r="A50" t="s">
        <v>231</v>
      </c>
      <c r="B50" t="s">
        <v>23</v>
      </c>
      <c r="C50" t="s">
        <v>232</v>
      </c>
      <c r="D50" t="s">
        <v>228</v>
      </c>
      <c r="E50" t="s">
        <v>43</v>
      </c>
      <c r="F50" t="s">
        <v>233</v>
      </c>
      <c r="G50" s="7" t="s">
        <v>234</v>
      </c>
      <c r="H50">
        <v>1</v>
      </c>
    </row>
    <row r="51" spans="1:8" ht="15.6" customHeight="1" x14ac:dyDescent="0.3">
      <c r="A51" t="s">
        <v>226</v>
      </c>
      <c r="B51" t="s">
        <v>23</v>
      </c>
      <c r="C51" t="s">
        <v>227</v>
      </c>
      <c r="D51" t="s">
        <v>228</v>
      </c>
      <c r="E51" t="s">
        <v>43</v>
      </c>
      <c r="F51" t="s">
        <v>229</v>
      </c>
      <c r="G51" s="7" t="s">
        <v>230</v>
      </c>
      <c r="H51">
        <v>2</v>
      </c>
    </row>
    <row r="52" spans="1:8" ht="15.6" customHeight="1" x14ac:dyDescent="0.3">
      <c r="A52" t="s">
        <v>222</v>
      </c>
      <c r="B52" t="s">
        <v>23</v>
      </c>
      <c r="C52" t="s">
        <v>223</v>
      </c>
      <c r="D52" t="s">
        <v>224</v>
      </c>
      <c r="E52" t="s">
        <v>26</v>
      </c>
      <c r="F52" s="4" t="s">
        <v>225</v>
      </c>
      <c r="G52" s="44"/>
      <c r="H52">
        <v>3</v>
      </c>
    </row>
    <row r="53" spans="1:8" ht="15.6" customHeight="1" x14ac:dyDescent="0.3">
      <c r="A53" t="s">
        <v>242</v>
      </c>
      <c r="B53" t="s">
        <v>23</v>
      </c>
      <c r="C53" t="s">
        <v>243</v>
      </c>
      <c r="D53" t="s">
        <v>224</v>
      </c>
      <c r="E53" t="s">
        <v>26</v>
      </c>
      <c r="F53" s="44" t="s">
        <v>244</v>
      </c>
      <c r="G53" s="7" t="s">
        <v>245</v>
      </c>
      <c r="H53">
        <v>4</v>
      </c>
    </row>
    <row r="54" spans="1:8" ht="15.6" customHeight="1" x14ac:dyDescent="0.3">
      <c r="A54" t="s">
        <v>112</v>
      </c>
      <c r="B54" t="s">
        <v>23</v>
      </c>
      <c r="C54" t="s">
        <v>113</v>
      </c>
      <c r="D54" t="s">
        <v>114</v>
      </c>
      <c r="E54" t="s">
        <v>26</v>
      </c>
      <c r="F54" t="s">
        <v>115</v>
      </c>
      <c r="G54" s="7" t="s">
        <v>116</v>
      </c>
      <c r="H54">
        <v>5</v>
      </c>
    </row>
    <row r="55" spans="1:8" ht="15.6" customHeight="1" x14ac:dyDescent="0.3">
      <c r="A55" t="s">
        <v>107</v>
      </c>
      <c r="B55" t="s">
        <v>23</v>
      </c>
      <c r="C55" t="s">
        <v>108</v>
      </c>
      <c r="D55" t="s">
        <v>109</v>
      </c>
      <c r="E55" t="s">
        <v>79</v>
      </c>
      <c r="F55" t="s">
        <v>110</v>
      </c>
      <c r="G55" s="7" t="s">
        <v>111</v>
      </c>
      <c r="H55">
        <v>6</v>
      </c>
    </row>
    <row r="56" spans="1:8" ht="15.6" customHeight="1" x14ac:dyDescent="0.3">
      <c r="A56" t="s">
        <v>10045</v>
      </c>
      <c r="B56" t="s">
        <v>23</v>
      </c>
      <c r="C56" t="s">
        <v>238</v>
      </c>
      <c r="D56" t="s">
        <v>239</v>
      </c>
      <c r="E56" t="s">
        <v>79</v>
      </c>
      <c r="F56" t="s">
        <v>240</v>
      </c>
      <c r="G56" s="7" t="s">
        <v>241</v>
      </c>
      <c r="H56">
        <v>7</v>
      </c>
    </row>
    <row r="57" spans="1:8" ht="15.6" customHeight="1" x14ac:dyDescent="0.3">
      <c r="A57" t="s">
        <v>5778</v>
      </c>
      <c r="B57" t="s">
        <v>23</v>
      </c>
      <c r="C57" t="s">
        <v>246</v>
      </c>
      <c r="D57" t="s">
        <v>239</v>
      </c>
      <c r="E57" t="s">
        <v>79</v>
      </c>
      <c r="F57" t="s">
        <v>247</v>
      </c>
      <c r="G57" s="7" t="s">
        <v>248</v>
      </c>
      <c r="H57">
        <v>9</v>
      </c>
    </row>
    <row r="58" spans="1:8" ht="15.6" customHeight="1" x14ac:dyDescent="0.3">
      <c r="A58" t="s">
        <v>117</v>
      </c>
      <c r="B58" t="s">
        <v>23</v>
      </c>
      <c r="C58" t="s">
        <v>118</v>
      </c>
      <c r="D58" t="s">
        <v>119</v>
      </c>
      <c r="E58" t="s">
        <v>37</v>
      </c>
      <c r="F58" t="s">
        <v>120</v>
      </c>
      <c r="G58" s="44"/>
      <c r="H58">
        <v>10</v>
      </c>
    </row>
    <row r="59" spans="1:8" ht="15.6" customHeight="1" x14ac:dyDescent="0.3">
      <c r="A59" t="s">
        <v>235</v>
      </c>
      <c r="B59" t="s">
        <v>23</v>
      </c>
      <c r="C59" t="s">
        <v>236</v>
      </c>
      <c r="D59" t="s">
        <v>114</v>
      </c>
      <c r="E59" t="s">
        <v>26</v>
      </c>
      <c r="F59" t="s">
        <v>237</v>
      </c>
      <c r="G59" s="44"/>
      <c r="H59">
        <v>11</v>
      </c>
    </row>
    <row r="60" spans="1:8" ht="15.6" customHeight="1" x14ac:dyDescent="0.3">
      <c r="A60" t="s">
        <v>345</v>
      </c>
      <c r="B60" t="s">
        <v>69</v>
      </c>
      <c r="C60" t="s">
        <v>346</v>
      </c>
      <c r="D60" t="s">
        <v>340</v>
      </c>
      <c r="E60" t="s">
        <v>26</v>
      </c>
      <c r="F60" t="s">
        <v>347</v>
      </c>
      <c r="H60">
        <v>1</v>
      </c>
    </row>
    <row r="61" spans="1:8" ht="15.6" customHeight="1" x14ac:dyDescent="0.3">
      <c r="A61" t="s">
        <v>348</v>
      </c>
      <c r="B61" t="s">
        <v>69</v>
      </c>
      <c r="C61" t="s">
        <v>349</v>
      </c>
      <c r="D61" t="s">
        <v>350</v>
      </c>
      <c r="E61" t="s">
        <v>43</v>
      </c>
      <c r="F61" t="s">
        <v>351</v>
      </c>
      <c r="H61">
        <v>2</v>
      </c>
    </row>
    <row r="62" spans="1:8" ht="15.6" customHeight="1" x14ac:dyDescent="0.3">
      <c r="A62" t="s">
        <v>338</v>
      </c>
      <c r="B62" t="s">
        <v>69</v>
      </c>
      <c r="C62" t="s">
        <v>339</v>
      </c>
      <c r="D62" t="s">
        <v>340</v>
      </c>
      <c r="E62" t="s">
        <v>43</v>
      </c>
      <c r="F62" t="s">
        <v>341</v>
      </c>
      <c r="H62">
        <v>3</v>
      </c>
    </row>
    <row r="63" spans="1:8" ht="15.6" customHeight="1" x14ac:dyDescent="0.3">
      <c r="A63" t="s">
        <v>342</v>
      </c>
      <c r="B63" t="s">
        <v>69</v>
      </c>
      <c r="C63" t="s">
        <v>343</v>
      </c>
      <c r="D63" t="s">
        <v>340</v>
      </c>
      <c r="E63" t="s">
        <v>344</v>
      </c>
      <c r="H63">
        <v>4</v>
      </c>
    </row>
    <row r="64" spans="1:8" s="37" customFormat="1" ht="15.6" customHeight="1" x14ac:dyDescent="0.3">
      <c r="A64" s="37" t="s">
        <v>10122</v>
      </c>
      <c r="B64" s="37" t="s">
        <v>69</v>
      </c>
      <c r="C64" s="37" t="s">
        <v>10123</v>
      </c>
      <c r="D64" s="37" t="s">
        <v>311</v>
      </c>
      <c r="E64" s="37" t="s">
        <v>26</v>
      </c>
      <c r="F64" s="37" t="s">
        <v>10124</v>
      </c>
    </row>
    <row r="65" spans="1:8" ht="15.6" customHeight="1" x14ac:dyDescent="0.3">
      <c r="A65" t="s">
        <v>362</v>
      </c>
      <c r="B65" t="s">
        <v>73</v>
      </c>
      <c r="C65" t="s">
        <v>363</v>
      </c>
      <c r="D65" t="s">
        <v>364</v>
      </c>
      <c r="E65" t="s">
        <v>10</v>
      </c>
      <c r="F65" t="s">
        <v>365</v>
      </c>
      <c r="H65">
        <v>1</v>
      </c>
    </row>
    <row r="66" spans="1:8" ht="15.6" customHeight="1" x14ac:dyDescent="0.3">
      <c r="A66" t="s">
        <v>352</v>
      </c>
      <c r="B66" t="s">
        <v>73</v>
      </c>
      <c r="C66" t="s">
        <v>353</v>
      </c>
      <c r="D66" t="s">
        <v>354</v>
      </c>
      <c r="E66" t="s">
        <v>355</v>
      </c>
      <c r="F66" t="s">
        <v>356</v>
      </c>
      <c r="H66">
        <v>2</v>
      </c>
    </row>
    <row r="67" spans="1:8" ht="15.6" customHeight="1" x14ac:dyDescent="0.3">
      <c r="A67" t="s">
        <v>357</v>
      </c>
      <c r="B67" t="s">
        <v>73</v>
      </c>
      <c r="C67" t="s">
        <v>358</v>
      </c>
      <c r="D67" t="s">
        <v>359</v>
      </c>
      <c r="E67" t="s">
        <v>360</v>
      </c>
      <c r="F67" t="s">
        <v>361</v>
      </c>
      <c r="H67">
        <v>3</v>
      </c>
    </row>
    <row r="68" spans="1:8" ht="15.6" customHeight="1" x14ac:dyDescent="0.3">
      <c r="A68" t="s">
        <v>10127</v>
      </c>
      <c r="B68" s="45" t="s">
        <v>366</v>
      </c>
      <c r="C68" t="s">
        <v>10126</v>
      </c>
      <c r="D68" t="s">
        <v>371</v>
      </c>
      <c r="E68" t="s">
        <v>372</v>
      </c>
      <c r="F68" t="s">
        <v>373</v>
      </c>
      <c r="H68">
        <v>1</v>
      </c>
    </row>
    <row r="69" spans="1:8" ht="15.6" customHeight="1" x14ac:dyDescent="0.3">
      <c r="A69" t="s">
        <v>366</v>
      </c>
      <c r="B69" s="45" t="s">
        <v>366</v>
      </c>
      <c r="C69" t="s">
        <v>367</v>
      </c>
      <c r="D69" t="s">
        <v>368</v>
      </c>
      <c r="E69" t="s">
        <v>85</v>
      </c>
      <c r="F69" t="s">
        <v>369</v>
      </c>
      <c r="H69">
        <v>2</v>
      </c>
    </row>
    <row r="70" spans="1:8" x14ac:dyDescent="0.3">
      <c r="A70" s="45" t="s">
        <v>10100</v>
      </c>
      <c r="B70" t="s">
        <v>10100</v>
      </c>
      <c r="C70" t="s">
        <v>374</v>
      </c>
      <c r="D70" t="s">
        <v>375</v>
      </c>
      <c r="E70" t="s">
        <v>376</v>
      </c>
      <c r="F70" t="s">
        <v>377</v>
      </c>
      <c r="H70">
        <v>3</v>
      </c>
    </row>
    <row r="71" spans="1:8" x14ac:dyDescent="0.3">
      <c r="A71" t="s">
        <v>251</v>
      </c>
      <c r="B71" t="s">
        <v>58</v>
      </c>
      <c r="C71" t="s">
        <v>252</v>
      </c>
      <c r="D71" t="s">
        <v>253</v>
      </c>
      <c r="E71" t="s">
        <v>254</v>
      </c>
      <c r="G71" s="7" t="s">
        <v>63</v>
      </c>
      <c r="H71">
        <v>1</v>
      </c>
    </row>
    <row r="72" spans="1:8" x14ac:dyDescent="0.3">
      <c r="A72" t="s">
        <v>255</v>
      </c>
      <c r="B72" t="s">
        <v>58</v>
      </c>
      <c r="C72" t="s">
        <v>256</v>
      </c>
      <c r="D72" t="s">
        <v>257</v>
      </c>
      <c r="E72" t="s">
        <v>61</v>
      </c>
      <c r="F72" t="s">
        <v>258</v>
      </c>
      <c r="G72" s="7" t="s">
        <v>63</v>
      </c>
      <c r="H72">
        <v>2</v>
      </c>
    </row>
    <row r="73" spans="1:8" ht="16.8" customHeight="1" x14ac:dyDescent="0.3">
      <c r="A73" t="s">
        <v>259</v>
      </c>
      <c r="B73" t="s">
        <v>58</v>
      </c>
      <c r="C73" t="s">
        <v>260</v>
      </c>
      <c r="D73" s="37" t="s">
        <v>261</v>
      </c>
      <c r="E73" t="s">
        <v>262</v>
      </c>
      <c r="F73" t="s">
        <v>263</v>
      </c>
      <c r="G73" s="44"/>
      <c r="H73">
        <v>3</v>
      </c>
    </row>
    <row r="74" spans="1:8" ht="16.8" customHeight="1" x14ac:dyDescent="0.3">
      <c r="A74" t="s">
        <v>264</v>
      </c>
      <c r="B74" t="s">
        <v>58</v>
      </c>
      <c r="C74" t="s">
        <v>265</v>
      </c>
      <c r="D74" s="37" t="s">
        <v>266</v>
      </c>
      <c r="E74" t="s">
        <v>267</v>
      </c>
      <c r="F74" t="s">
        <v>268</v>
      </c>
      <c r="G74" s="44"/>
      <c r="H74">
        <v>4</v>
      </c>
    </row>
    <row r="75" spans="1:8" x14ac:dyDescent="0.3">
      <c r="A75" t="s">
        <v>269</v>
      </c>
      <c r="B75" t="s">
        <v>58</v>
      </c>
      <c r="C75" t="s">
        <v>270</v>
      </c>
      <c r="D75" s="16" t="s">
        <v>271</v>
      </c>
      <c r="E75" t="s">
        <v>272</v>
      </c>
      <c r="F75" t="s">
        <v>273</v>
      </c>
      <c r="G75" s="37"/>
      <c r="H75">
        <v>5</v>
      </c>
    </row>
  </sheetData>
  <sortState ref="A2:H75">
    <sortCondition ref="B2:B75"/>
    <sortCondition ref="H2:H75"/>
  </sortState>
  <hyperlinks>
    <hyperlink ref="G7" r:id="rId1" display="https://github.com/olaf-programmeur/images/blob/main/boisson_froide.webp" xr:uid="{00000000-0004-0000-0100-000000000000}"/>
    <hyperlink ref="G8" r:id="rId2" xr:uid="{00000000-0004-0000-0100-000001000000}"/>
    <hyperlink ref="G9" r:id="rId3" xr:uid="{00000000-0004-0000-0100-000002000000}"/>
    <hyperlink ref="G55" r:id="rId4" display="https://github.com/olaf-programmeur/images/blob/main/viandes.webp" xr:uid="{00000000-0004-0000-0100-000003000000}"/>
    <hyperlink ref="G54" r:id="rId5" xr:uid="{00000000-0004-0000-0100-000004000000}"/>
    <hyperlink ref="G19" r:id="rId6" display="https://github.com/olaf-programmeur/images/blob/main/instruments_cuivre.webp" xr:uid="{00000000-0004-0000-0100-000005000000}"/>
    <hyperlink ref="G20" r:id="rId7" xr:uid="{00000000-0004-0000-0100-000006000000}"/>
    <hyperlink ref="G21" r:id="rId8" xr:uid="{00000000-0004-0000-0100-000007000000}"/>
    <hyperlink ref="G23" r:id="rId9" display="https://github.com/olaf-programmeur/images/blob/main/solfege.webp" xr:uid="{00000000-0004-0000-0100-000008000000}"/>
    <hyperlink ref="G24" r:id="rId10" xr:uid="{00000000-0004-0000-0100-000009000000}"/>
    <hyperlink ref="G13" r:id="rId11" display="https://github.com/olaf-programmeur/images/blob/main/famille_herv%C3%A9.webp" xr:uid="{00000000-0004-0000-0100-00000A000000}"/>
    <hyperlink ref="G14" r:id="rId12" xr:uid="{00000000-0004-0000-0100-00000B000000}"/>
    <hyperlink ref="G16" r:id="rId13" xr:uid="{00000000-0004-0000-0100-00000C000000}"/>
    <hyperlink ref="G17" r:id="rId14" xr:uid="{00000000-0004-0000-0100-00000D000000}"/>
    <hyperlink ref="G39" r:id="rId15" xr:uid="{00000000-0004-0000-0100-00000E000000}"/>
    <hyperlink ref="G32" r:id="rId16" display="https://github.com/olaf-programmeur/images/blob/main/cuisine.webp" xr:uid="{00000000-0004-0000-0100-00000F000000}"/>
    <hyperlink ref="G33" r:id="rId17" xr:uid="{00000000-0004-0000-0100-000010000000}"/>
    <hyperlink ref="G34" r:id="rId18" xr:uid="{00000000-0004-0000-0100-000011000000}"/>
    <hyperlink ref="G51" r:id="rId19" xr:uid="{00000000-0004-0000-0100-000012000000}"/>
    <hyperlink ref="G50" r:id="rId20" xr:uid="{00000000-0004-0000-0100-000013000000}"/>
    <hyperlink ref="G56" r:id="rId21" xr:uid="{00000000-0004-0000-0100-000014000000}"/>
    <hyperlink ref="G53" r:id="rId22" xr:uid="{00000000-0004-0000-0100-000015000000}"/>
    <hyperlink ref="G57" r:id="rId23" xr:uid="{00000000-0004-0000-0100-000016000000}"/>
    <hyperlink ref="G71" r:id="rId24" display="https://github.com/olaf-programmeur/images/blob/main/dacia_duster.webp" xr:uid="{00000000-0004-0000-0100-000018000000}"/>
    <hyperlink ref="G72" r:id="rId25" xr:uid="{00000000-0004-0000-0100-000019000000}"/>
    <hyperlink ref="G2" r:id="rId26" xr:uid="{00000000-0004-0000-0100-00001A000000}"/>
    <hyperlink ref="G3" r:id="rId27" xr:uid="{00000000-0004-0000-0100-00001B000000}"/>
    <hyperlink ref="G4" r:id="rId28" xr:uid="{00000000-0004-0000-0100-00001C000000}"/>
    <hyperlink ref="G6" r:id="rId29" xr:uid="{00000000-0004-0000-0100-00001D000000}"/>
    <hyperlink ref="G43" r:id="rId30" xr:uid="{00000000-0004-0000-0100-00001E000000}"/>
    <hyperlink ref="G48" r:id="rId31" xr:uid="{00000000-0004-0000-0100-00001F000000}"/>
    <hyperlink ref="G49" r:id="rId32" xr:uid="{00000000-0004-0000-0100-00002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1"/>
  <sheetViews>
    <sheetView showGridLines="0" tabSelected="1" zoomScaleNormal="100" workbookViewId="0">
      <pane xSplit="6036" ySplit="624" topLeftCell="K1459" activePane="bottomRight"/>
      <selection sqref="A1:XFD1048576"/>
      <selection pane="topRight" activeCell="M1" sqref="M1:M1048576"/>
      <selection pane="bottomLeft" activeCell="A1464" sqref="A1464"/>
      <selection pane="bottomRight" activeCell="N1459" sqref="N1459"/>
    </sheetView>
  </sheetViews>
  <sheetFormatPr baseColWidth="10" defaultRowHeight="15.6" x14ac:dyDescent="0.35"/>
  <cols>
    <col min="1" max="1" width="20.796875" style="25" customWidth="1"/>
    <col min="2" max="2" width="25.796875" style="25" customWidth="1"/>
    <col min="3" max="3" width="32.59765625" style="25" customWidth="1"/>
    <col min="4" max="4" width="26.19921875" style="25" customWidth="1"/>
    <col min="5" max="5" width="40.796875" style="25" customWidth="1"/>
    <col min="6" max="6" width="16.69921875" style="25" customWidth="1"/>
    <col min="7" max="7" width="30.796875" style="25" customWidth="1"/>
    <col min="8" max="9" width="22.796875" style="25" customWidth="1"/>
    <col min="10" max="14" width="30.796875" style="25" customWidth="1"/>
    <col min="15" max="16384" width="11.19921875" style="25"/>
  </cols>
  <sheetData>
    <row r="1" spans="1:14" x14ac:dyDescent="0.35">
      <c r="A1" s="25" t="s">
        <v>0</v>
      </c>
      <c r="B1" s="25" t="s">
        <v>398</v>
      </c>
      <c r="C1" s="25" t="s">
        <v>399</v>
      </c>
      <c r="D1" s="25" t="s">
        <v>400</v>
      </c>
      <c r="E1" s="25" t="s">
        <v>401</v>
      </c>
      <c r="F1" s="25" t="s">
        <v>402</v>
      </c>
      <c r="G1" s="25" t="s">
        <v>403</v>
      </c>
      <c r="H1" s="25" t="s">
        <v>404</v>
      </c>
      <c r="I1" s="25" t="s">
        <v>405</v>
      </c>
      <c r="J1" s="25" t="s">
        <v>406</v>
      </c>
      <c r="K1" s="25" t="s">
        <v>408</v>
      </c>
      <c r="L1" s="25" t="s">
        <v>407</v>
      </c>
      <c r="M1" s="25" t="s">
        <v>409</v>
      </c>
      <c r="N1" s="31" t="s">
        <v>69</v>
      </c>
    </row>
    <row r="2" spans="1:14" ht="15.6" customHeight="1" x14ac:dyDescent="0.35">
      <c r="A2" s="25" t="s">
        <v>410</v>
      </c>
      <c r="B2" s="25" t="s">
        <v>411</v>
      </c>
      <c r="C2" s="25" t="s">
        <v>412</v>
      </c>
      <c r="E2" s="32" t="s">
        <v>413</v>
      </c>
      <c r="F2" s="32"/>
      <c r="G2" s="32"/>
      <c r="H2" s="32"/>
      <c r="I2" s="32"/>
      <c r="J2" s="32"/>
      <c r="L2" s="25" t="s">
        <v>414</v>
      </c>
      <c r="N2" s="24" t="s">
        <v>415</v>
      </c>
    </row>
    <row r="3" spans="1:14" ht="15.6" customHeight="1" x14ac:dyDescent="0.35">
      <c r="A3" s="25" t="s">
        <v>416</v>
      </c>
      <c r="B3" s="25" t="s">
        <v>417</v>
      </c>
      <c r="C3" s="25" t="s">
        <v>418</v>
      </c>
      <c r="E3" s="25" t="s">
        <v>419</v>
      </c>
      <c r="L3" s="25" t="s">
        <v>420</v>
      </c>
      <c r="N3" s="24" t="s">
        <v>415</v>
      </c>
    </row>
    <row r="4" spans="1:14" ht="15.6" customHeight="1" x14ac:dyDescent="0.35">
      <c r="A4" s="25" t="s">
        <v>421</v>
      </c>
      <c r="B4" s="25" t="s">
        <v>422</v>
      </c>
      <c r="C4" s="25" t="s">
        <v>423</v>
      </c>
      <c r="E4" s="32" t="s">
        <v>424</v>
      </c>
      <c r="F4" s="32"/>
      <c r="G4" s="32"/>
      <c r="H4" s="32"/>
      <c r="I4" s="32"/>
      <c r="J4" s="32"/>
      <c r="L4" s="25" t="s">
        <v>425</v>
      </c>
      <c r="N4" s="24" t="s">
        <v>415</v>
      </c>
    </row>
    <row r="5" spans="1:14" ht="15.6" customHeight="1" x14ac:dyDescent="0.35">
      <c r="A5" s="25" t="s">
        <v>426</v>
      </c>
      <c r="B5" s="25" t="s">
        <v>427</v>
      </c>
      <c r="C5" s="25" t="s">
        <v>428</v>
      </c>
      <c r="E5" s="25" t="s">
        <v>429</v>
      </c>
      <c r="F5" s="25" t="s">
        <v>430</v>
      </c>
      <c r="G5" s="25" t="s">
        <v>431</v>
      </c>
      <c r="H5" s="25" t="s">
        <v>432</v>
      </c>
      <c r="L5" s="25" t="s">
        <v>433</v>
      </c>
      <c r="N5" s="24" t="s">
        <v>415</v>
      </c>
    </row>
    <row r="6" spans="1:14" ht="15.6" customHeight="1" x14ac:dyDescent="0.35">
      <c r="A6" s="25" t="s">
        <v>434</v>
      </c>
      <c r="B6" s="25" t="s">
        <v>435</v>
      </c>
      <c r="C6" s="25" t="s">
        <v>436</v>
      </c>
      <c r="E6" s="32" t="s">
        <v>437</v>
      </c>
      <c r="F6" s="32"/>
      <c r="G6" s="32"/>
      <c r="H6" s="32"/>
      <c r="I6" s="32"/>
      <c r="J6" s="32"/>
      <c r="N6" s="24" t="s">
        <v>415</v>
      </c>
    </row>
    <row r="7" spans="1:14" ht="15.6" customHeight="1" x14ac:dyDescent="0.35">
      <c r="A7" s="25" t="s">
        <v>438</v>
      </c>
      <c r="B7" s="25" t="s">
        <v>439</v>
      </c>
      <c r="C7" s="25" t="s">
        <v>440</v>
      </c>
      <c r="E7" s="25" t="s">
        <v>441</v>
      </c>
      <c r="F7" s="25" t="s">
        <v>442</v>
      </c>
      <c r="G7" s="25" t="s">
        <v>443</v>
      </c>
      <c r="H7" s="25" t="s">
        <v>444</v>
      </c>
      <c r="L7" s="25" t="s">
        <v>445</v>
      </c>
      <c r="N7" s="24" t="s">
        <v>415</v>
      </c>
    </row>
    <row r="8" spans="1:14" ht="15.6" customHeight="1" x14ac:dyDescent="0.35">
      <c r="A8" s="25" t="s">
        <v>446</v>
      </c>
      <c r="B8" s="25" t="s">
        <v>447</v>
      </c>
      <c r="C8" s="25" t="s">
        <v>448</v>
      </c>
      <c r="E8" s="25" t="s">
        <v>449</v>
      </c>
      <c r="F8" s="25" t="s">
        <v>450</v>
      </c>
      <c r="G8" s="25" t="s">
        <v>451</v>
      </c>
      <c r="H8" s="25" t="s">
        <v>452</v>
      </c>
      <c r="L8" s="25" t="s">
        <v>453</v>
      </c>
      <c r="N8" s="24" t="s">
        <v>415</v>
      </c>
    </row>
    <row r="9" spans="1:14" ht="15.6" customHeight="1" x14ac:dyDescent="0.35">
      <c r="A9" s="25" t="s">
        <v>29</v>
      </c>
      <c r="B9" s="25" t="s">
        <v>454</v>
      </c>
      <c r="C9" s="25" t="s">
        <v>455</v>
      </c>
      <c r="E9" s="32" t="s">
        <v>33</v>
      </c>
      <c r="F9" s="32" t="s">
        <v>456</v>
      </c>
      <c r="G9" s="32"/>
      <c r="H9" s="32"/>
      <c r="I9" s="32"/>
      <c r="J9" s="32"/>
      <c r="L9" s="25" t="s">
        <v>457</v>
      </c>
      <c r="M9" s="25">
        <v>1</v>
      </c>
      <c r="N9" s="24" t="s">
        <v>458</v>
      </c>
    </row>
    <row r="10" spans="1:14" ht="15.6" customHeight="1" x14ac:dyDescent="0.35">
      <c r="A10" s="25" t="s">
        <v>459</v>
      </c>
      <c r="B10" s="25" t="s">
        <v>460</v>
      </c>
      <c r="C10" s="25" t="s">
        <v>461</v>
      </c>
      <c r="E10" s="25" t="s">
        <v>462</v>
      </c>
      <c r="F10" s="25" t="s">
        <v>463</v>
      </c>
      <c r="G10" s="25" t="s">
        <v>464</v>
      </c>
      <c r="H10" s="25" t="s">
        <v>465</v>
      </c>
      <c r="L10" s="25" t="s">
        <v>466</v>
      </c>
      <c r="M10" s="25">
        <v>2</v>
      </c>
      <c r="N10" s="24" t="s">
        <v>458</v>
      </c>
    </row>
    <row r="11" spans="1:14" ht="15.6" customHeight="1" x14ac:dyDescent="0.35">
      <c r="A11" s="25" t="s">
        <v>467</v>
      </c>
      <c r="B11" s="25" t="s">
        <v>468</v>
      </c>
      <c r="C11" s="25" t="s">
        <v>469</v>
      </c>
      <c r="E11" s="25" t="s">
        <v>10143</v>
      </c>
      <c r="L11" s="25" t="s">
        <v>468</v>
      </c>
      <c r="M11" s="25">
        <v>3</v>
      </c>
      <c r="N11" s="24" t="s">
        <v>458</v>
      </c>
    </row>
    <row r="12" spans="1:14" ht="15.6" customHeight="1" x14ac:dyDescent="0.35">
      <c r="A12" s="25" t="s">
        <v>470</v>
      </c>
      <c r="B12" s="25" t="s">
        <v>471</v>
      </c>
      <c r="C12" s="25" t="s">
        <v>472</v>
      </c>
      <c r="E12" s="25" t="s">
        <v>10144</v>
      </c>
      <c r="L12" s="25" t="s">
        <v>471</v>
      </c>
      <c r="M12" s="25">
        <v>4</v>
      </c>
      <c r="N12" s="24" t="s">
        <v>458</v>
      </c>
    </row>
    <row r="13" spans="1:14" ht="15.6" customHeight="1" x14ac:dyDescent="0.35">
      <c r="A13" s="25" t="s">
        <v>473</v>
      </c>
      <c r="B13" s="25" t="s">
        <v>474</v>
      </c>
      <c r="C13" s="25" t="s">
        <v>475</v>
      </c>
      <c r="E13" s="25" t="s">
        <v>476</v>
      </c>
      <c r="F13" s="25" t="s">
        <v>477</v>
      </c>
      <c r="G13" s="25" t="s">
        <v>478</v>
      </c>
      <c r="H13" s="25" t="s">
        <v>479</v>
      </c>
      <c r="L13" s="25" t="s">
        <v>480</v>
      </c>
      <c r="M13" s="25">
        <v>5</v>
      </c>
      <c r="N13" s="24" t="s">
        <v>458</v>
      </c>
    </row>
    <row r="14" spans="1:14" ht="15.6" customHeight="1" x14ac:dyDescent="0.35">
      <c r="A14" s="25" t="s">
        <v>481</v>
      </c>
      <c r="B14" s="25" t="s">
        <v>482</v>
      </c>
      <c r="C14" s="25" t="s">
        <v>483</v>
      </c>
      <c r="E14" s="25" t="s">
        <v>484</v>
      </c>
      <c r="F14" s="25" t="s">
        <v>485</v>
      </c>
      <c r="G14" s="25" t="s">
        <v>486</v>
      </c>
      <c r="H14" s="25" t="s">
        <v>487</v>
      </c>
      <c r="I14" s="25" t="s">
        <v>488</v>
      </c>
      <c r="L14" s="25" t="s">
        <v>489</v>
      </c>
      <c r="M14" s="25">
        <v>6</v>
      </c>
      <c r="N14" s="24" t="s">
        <v>458</v>
      </c>
    </row>
    <row r="15" spans="1:14" ht="15.6" customHeight="1" x14ac:dyDescent="0.35">
      <c r="A15" s="25" t="s">
        <v>490</v>
      </c>
      <c r="B15" s="25" t="s">
        <v>491</v>
      </c>
      <c r="C15" s="25" t="s">
        <v>492</v>
      </c>
      <c r="E15" s="25" t="s">
        <v>493</v>
      </c>
      <c r="F15" s="25" t="s">
        <v>494</v>
      </c>
      <c r="G15" s="25" t="s">
        <v>495</v>
      </c>
      <c r="H15" s="25" t="s">
        <v>496</v>
      </c>
      <c r="I15" s="25" t="s">
        <v>497</v>
      </c>
      <c r="L15" s="25" t="s">
        <v>498</v>
      </c>
      <c r="M15" s="25">
        <v>7</v>
      </c>
      <c r="N15" s="24" t="s">
        <v>458</v>
      </c>
    </row>
    <row r="16" spans="1:14" ht="15.6" customHeight="1" x14ac:dyDescent="0.35">
      <c r="A16" s="25" t="s">
        <v>499</v>
      </c>
      <c r="B16" s="25" t="s">
        <v>500</v>
      </c>
      <c r="C16" s="25" t="s">
        <v>501</v>
      </c>
      <c r="E16" s="25" t="s">
        <v>502</v>
      </c>
      <c r="F16" s="25" t="s">
        <v>503</v>
      </c>
      <c r="G16" s="25" t="s">
        <v>504</v>
      </c>
      <c r="L16" s="25" t="s">
        <v>505</v>
      </c>
      <c r="M16" s="25">
        <v>8</v>
      </c>
      <c r="N16" s="24" t="s">
        <v>458</v>
      </c>
    </row>
    <row r="17" spans="1:14" ht="15.6" customHeight="1" x14ac:dyDescent="0.35">
      <c r="A17" s="25" t="s">
        <v>506</v>
      </c>
      <c r="B17" s="25" t="s">
        <v>507</v>
      </c>
      <c r="C17" s="25" t="s">
        <v>508</v>
      </c>
      <c r="E17" s="25" t="s">
        <v>10145</v>
      </c>
      <c r="L17" s="25" t="s">
        <v>509</v>
      </c>
      <c r="M17" s="25">
        <v>9</v>
      </c>
      <c r="N17" s="24" t="s">
        <v>458</v>
      </c>
    </row>
    <row r="18" spans="1:14" ht="15.6" customHeight="1" x14ac:dyDescent="0.35">
      <c r="A18" s="25" t="s">
        <v>510</v>
      </c>
      <c r="B18" s="25" t="s">
        <v>511</v>
      </c>
      <c r="C18" s="25" t="s">
        <v>512</v>
      </c>
      <c r="E18" s="25" t="s">
        <v>10146</v>
      </c>
      <c r="L18" s="25" t="s">
        <v>513</v>
      </c>
      <c r="M18" s="25">
        <v>10</v>
      </c>
      <c r="N18" s="24" t="s">
        <v>458</v>
      </c>
    </row>
    <row r="19" spans="1:14" ht="15.6" customHeight="1" x14ac:dyDescent="0.35">
      <c r="A19" s="25" t="s">
        <v>514</v>
      </c>
      <c r="B19" s="25" t="s">
        <v>515</v>
      </c>
      <c r="C19" s="25" t="s">
        <v>516</v>
      </c>
      <c r="E19" s="32" t="s">
        <v>517</v>
      </c>
      <c r="F19" s="32" t="s">
        <v>518</v>
      </c>
      <c r="G19" s="32" t="s">
        <v>519</v>
      </c>
      <c r="L19" s="25" t="s">
        <v>520</v>
      </c>
      <c r="M19" s="25">
        <v>11</v>
      </c>
      <c r="N19" s="24" t="s">
        <v>458</v>
      </c>
    </row>
    <row r="20" spans="1:14" ht="15.6" customHeight="1" x14ac:dyDescent="0.35">
      <c r="A20" s="25" t="s">
        <v>521</v>
      </c>
      <c r="B20" s="25" t="s">
        <v>522</v>
      </c>
      <c r="C20" s="25" t="s">
        <v>523</v>
      </c>
      <c r="E20" s="32" t="s">
        <v>524</v>
      </c>
      <c r="L20" s="25" t="s">
        <v>525</v>
      </c>
      <c r="M20" s="25">
        <v>12</v>
      </c>
      <c r="N20" s="24" t="s">
        <v>458</v>
      </c>
    </row>
    <row r="21" spans="1:14" ht="15.6" customHeight="1" x14ac:dyDescent="0.35">
      <c r="A21" s="25" t="s">
        <v>526</v>
      </c>
      <c r="B21" s="25" t="s">
        <v>527</v>
      </c>
      <c r="C21" s="25" t="s">
        <v>528</v>
      </c>
      <c r="E21" s="32" t="s">
        <v>529</v>
      </c>
      <c r="F21" s="32"/>
      <c r="G21" s="32"/>
      <c r="H21" s="32"/>
      <c r="I21" s="32"/>
      <c r="J21" s="32"/>
      <c r="L21" s="25" t="s">
        <v>530</v>
      </c>
      <c r="M21" s="25">
        <v>13</v>
      </c>
      <c r="N21" s="24" t="s">
        <v>458</v>
      </c>
    </row>
    <row r="22" spans="1:14" ht="15.6" customHeight="1" x14ac:dyDescent="0.35">
      <c r="A22" s="25" t="s">
        <v>531</v>
      </c>
      <c r="B22" s="25" t="s">
        <v>532</v>
      </c>
      <c r="C22" s="25" t="s">
        <v>533</v>
      </c>
      <c r="E22" s="32" t="s">
        <v>7554</v>
      </c>
      <c r="F22" s="32" t="s">
        <v>7558</v>
      </c>
      <c r="L22" s="25" t="s">
        <v>534</v>
      </c>
      <c r="M22" s="25">
        <v>14</v>
      </c>
      <c r="N22" s="24" t="s">
        <v>458</v>
      </c>
    </row>
    <row r="23" spans="1:14" ht="15.6" customHeight="1" x14ac:dyDescent="0.35">
      <c r="A23" s="25" t="s">
        <v>535</v>
      </c>
      <c r="B23" s="25" t="s">
        <v>536</v>
      </c>
      <c r="C23" s="25" t="s">
        <v>537</v>
      </c>
      <c r="E23" s="25" t="s">
        <v>538</v>
      </c>
      <c r="F23" s="25" t="s">
        <v>539</v>
      </c>
      <c r="G23" s="25" t="s">
        <v>540</v>
      </c>
      <c r="H23" s="25" t="s">
        <v>541</v>
      </c>
      <c r="I23" s="25" t="s">
        <v>542</v>
      </c>
      <c r="L23" s="25" t="s">
        <v>543</v>
      </c>
      <c r="M23" s="25">
        <v>15</v>
      </c>
      <c r="N23" s="24" t="s">
        <v>458</v>
      </c>
    </row>
    <row r="24" spans="1:14" ht="15.6" customHeight="1" x14ac:dyDescent="0.35">
      <c r="A24" s="25" t="s">
        <v>544</v>
      </c>
      <c r="B24" s="25" t="s">
        <v>545</v>
      </c>
      <c r="C24" s="25" t="s">
        <v>546</v>
      </c>
      <c r="E24" s="25" t="s">
        <v>547</v>
      </c>
      <c r="F24" s="25" t="s">
        <v>548</v>
      </c>
      <c r="G24" s="25" t="s">
        <v>549</v>
      </c>
      <c r="H24" s="25" t="s">
        <v>550</v>
      </c>
      <c r="I24" s="25" t="s">
        <v>551</v>
      </c>
      <c r="L24" s="25" t="s">
        <v>552</v>
      </c>
      <c r="M24" s="25">
        <v>16</v>
      </c>
      <c r="N24" s="24" t="s">
        <v>458</v>
      </c>
    </row>
    <row r="25" spans="1:14" ht="15.6" customHeight="1" x14ac:dyDescent="0.35">
      <c r="A25" s="25" t="s">
        <v>553</v>
      </c>
      <c r="B25" s="25" t="s">
        <v>554</v>
      </c>
      <c r="C25" s="25" t="s">
        <v>555</v>
      </c>
      <c r="E25" s="32" t="s">
        <v>556</v>
      </c>
      <c r="F25" s="32"/>
      <c r="G25" s="32"/>
      <c r="H25" s="32"/>
      <c r="I25" s="32"/>
      <c r="J25" s="32"/>
      <c r="L25" s="25" t="s">
        <v>554</v>
      </c>
      <c r="M25" s="25">
        <v>1</v>
      </c>
      <c r="N25" s="24" t="s">
        <v>415</v>
      </c>
    </row>
    <row r="26" spans="1:14" ht="15.6" customHeight="1" x14ac:dyDescent="0.35">
      <c r="A26" s="25" t="s">
        <v>557</v>
      </c>
      <c r="B26" s="25" t="s">
        <v>558</v>
      </c>
      <c r="C26" s="25" t="s">
        <v>559</v>
      </c>
      <c r="E26" s="32" t="s">
        <v>560</v>
      </c>
      <c r="F26" s="32"/>
      <c r="G26" s="32"/>
      <c r="H26" s="32"/>
      <c r="I26" s="32"/>
      <c r="J26" s="32"/>
      <c r="L26" s="25" t="s">
        <v>558</v>
      </c>
      <c r="M26" s="25">
        <v>2</v>
      </c>
      <c r="N26" s="24" t="s">
        <v>415</v>
      </c>
    </row>
    <row r="27" spans="1:14" ht="15.6" customHeight="1" x14ac:dyDescent="0.35">
      <c r="A27" s="25" t="s">
        <v>561</v>
      </c>
      <c r="B27" s="25" t="s">
        <v>562</v>
      </c>
      <c r="C27" s="25" t="s">
        <v>563</v>
      </c>
      <c r="E27" s="32" t="s">
        <v>564</v>
      </c>
      <c r="F27" s="32"/>
      <c r="G27" s="32"/>
      <c r="H27" s="32"/>
      <c r="I27" s="32"/>
      <c r="J27" s="32"/>
      <c r="L27" s="25" t="s">
        <v>562</v>
      </c>
      <c r="M27" s="25">
        <v>3</v>
      </c>
      <c r="N27" s="24" t="s">
        <v>415</v>
      </c>
    </row>
    <row r="28" spans="1:14" ht="15.6" customHeight="1" x14ac:dyDescent="0.35">
      <c r="A28" s="25" t="s">
        <v>565</v>
      </c>
      <c r="B28" s="25" t="s">
        <v>566</v>
      </c>
      <c r="C28" s="25" t="s">
        <v>567</v>
      </c>
      <c r="E28" s="32" t="s">
        <v>568</v>
      </c>
      <c r="F28" s="32"/>
      <c r="G28" s="32"/>
      <c r="H28" s="32"/>
      <c r="I28" s="32"/>
      <c r="J28" s="32"/>
      <c r="L28" s="25" t="s">
        <v>566</v>
      </c>
      <c r="M28" s="25">
        <v>4</v>
      </c>
      <c r="N28" s="24" t="s">
        <v>415</v>
      </c>
    </row>
    <row r="29" spans="1:14" ht="15.6" customHeight="1" x14ac:dyDescent="0.35">
      <c r="A29" s="25" t="s">
        <v>569</v>
      </c>
      <c r="B29" s="25" t="s">
        <v>570</v>
      </c>
      <c r="C29" s="25" t="s">
        <v>571</v>
      </c>
      <c r="E29" s="25" t="s">
        <v>10147</v>
      </c>
      <c r="L29" s="25" t="s">
        <v>572</v>
      </c>
      <c r="M29" s="25">
        <v>5</v>
      </c>
      <c r="N29" s="24" t="s">
        <v>415</v>
      </c>
    </row>
    <row r="30" spans="1:14" ht="15.6" customHeight="1" x14ac:dyDescent="0.35">
      <c r="A30" s="25" t="s">
        <v>573</v>
      </c>
      <c r="B30" s="25" t="s">
        <v>574</v>
      </c>
      <c r="C30" s="25" t="s">
        <v>575</v>
      </c>
      <c r="E30" s="25" t="s">
        <v>10148</v>
      </c>
      <c r="L30" s="25" t="s">
        <v>576</v>
      </c>
      <c r="M30" s="25">
        <v>6</v>
      </c>
      <c r="N30" s="24" t="s">
        <v>415</v>
      </c>
    </row>
    <row r="31" spans="1:14" ht="15.6" customHeight="1" x14ac:dyDescent="0.35">
      <c r="A31" s="25" t="s">
        <v>577</v>
      </c>
      <c r="B31" s="25" t="s">
        <v>578</v>
      </c>
      <c r="C31" s="25" t="s">
        <v>579</v>
      </c>
      <c r="E31" s="32" t="s">
        <v>580</v>
      </c>
      <c r="F31" s="32"/>
      <c r="G31" s="32"/>
      <c r="H31" s="32"/>
      <c r="I31" s="32"/>
      <c r="J31" s="32"/>
      <c r="M31" s="25">
        <v>7</v>
      </c>
      <c r="N31" s="24" t="s">
        <v>415</v>
      </c>
    </row>
    <row r="32" spans="1:14" ht="15.6" customHeight="1" x14ac:dyDescent="0.35">
      <c r="A32" s="25" t="s">
        <v>581</v>
      </c>
      <c r="B32" s="25" t="s">
        <v>582</v>
      </c>
      <c r="C32" s="25" t="s">
        <v>583</v>
      </c>
      <c r="E32" s="32" t="s">
        <v>584</v>
      </c>
      <c r="F32" s="32"/>
      <c r="G32" s="32"/>
      <c r="H32" s="32"/>
      <c r="I32" s="32"/>
      <c r="J32" s="32"/>
      <c r="N32" s="24" t="s">
        <v>415</v>
      </c>
    </row>
    <row r="33" spans="1:14" ht="15.6" customHeight="1" x14ac:dyDescent="0.35">
      <c r="A33" s="25" t="s">
        <v>585</v>
      </c>
      <c r="B33" s="25" t="s">
        <v>586</v>
      </c>
      <c r="C33" s="25" t="s">
        <v>587</v>
      </c>
      <c r="E33" s="32" t="s">
        <v>588</v>
      </c>
      <c r="F33" s="32"/>
      <c r="G33" s="32"/>
      <c r="H33" s="32"/>
      <c r="I33" s="32"/>
      <c r="J33" s="32"/>
      <c r="M33" s="25">
        <v>1</v>
      </c>
      <c r="N33" s="24" t="s">
        <v>415</v>
      </c>
    </row>
    <row r="34" spans="1:14" ht="15.6" customHeight="1" x14ac:dyDescent="0.35">
      <c r="A34" s="25" t="s">
        <v>9695</v>
      </c>
      <c r="B34" s="25" t="s">
        <v>589</v>
      </c>
      <c r="C34" s="25" t="s">
        <v>590</v>
      </c>
      <c r="E34" s="7" t="s">
        <v>9696</v>
      </c>
      <c r="F34" s="32"/>
      <c r="G34" s="32"/>
      <c r="H34" s="32"/>
      <c r="I34" s="32"/>
      <c r="J34" s="32"/>
      <c r="M34" s="25">
        <v>2</v>
      </c>
      <c r="N34" s="24" t="s">
        <v>415</v>
      </c>
    </row>
    <row r="35" spans="1:14" ht="15.6" customHeight="1" x14ac:dyDescent="0.35">
      <c r="A35" s="25" t="s">
        <v>591</v>
      </c>
      <c r="B35" s="25" t="s">
        <v>592</v>
      </c>
      <c r="C35" s="25" t="s">
        <v>593</v>
      </c>
      <c r="E35" s="32" t="s">
        <v>594</v>
      </c>
      <c r="F35" s="32"/>
      <c r="G35" s="32"/>
      <c r="H35" s="32"/>
      <c r="I35" s="32"/>
      <c r="J35" s="32"/>
      <c r="M35" s="25">
        <v>3</v>
      </c>
      <c r="N35" s="24" t="s">
        <v>415</v>
      </c>
    </row>
    <row r="36" spans="1:14" ht="15.6" customHeight="1" x14ac:dyDescent="0.35">
      <c r="A36" s="25" t="s">
        <v>595</v>
      </c>
      <c r="B36" s="25" t="s">
        <v>596</v>
      </c>
      <c r="C36" s="25" t="s">
        <v>597</v>
      </c>
      <c r="E36" s="32" t="s">
        <v>598</v>
      </c>
      <c r="F36" s="32"/>
      <c r="G36" s="32"/>
      <c r="H36" s="32"/>
      <c r="I36" s="32"/>
      <c r="J36" s="32"/>
      <c r="M36" s="25">
        <v>4</v>
      </c>
      <c r="N36" s="24" t="s">
        <v>415</v>
      </c>
    </row>
    <row r="37" spans="1:14" ht="15.6" customHeight="1" x14ac:dyDescent="0.35">
      <c r="A37" s="25" t="s">
        <v>599</v>
      </c>
      <c r="B37" s="25" t="s">
        <v>600</v>
      </c>
      <c r="C37" s="25" t="s">
        <v>601</v>
      </c>
      <c r="E37" s="32" t="s">
        <v>602</v>
      </c>
      <c r="F37" s="32"/>
      <c r="G37" s="32"/>
      <c r="H37" s="32"/>
      <c r="I37" s="32"/>
      <c r="J37" s="32"/>
      <c r="M37" s="25">
        <v>5</v>
      </c>
      <c r="N37" s="24" t="s">
        <v>415</v>
      </c>
    </row>
    <row r="38" spans="1:14" ht="15.6" customHeight="1" x14ac:dyDescent="0.35">
      <c r="A38" s="25" t="s">
        <v>603</v>
      </c>
      <c r="B38" s="25" t="s">
        <v>604</v>
      </c>
      <c r="C38" s="25" t="s">
        <v>605</v>
      </c>
      <c r="E38" s="32" t="s">
        <v>606</v>
      </c>
      <c r="F38" s="32"/>
      <c r="G38" s="32"/>
      <c r="H38" s="32"/>
      <c r="I38" s="32"/>
      <c r="J38" s="32"/>
      <c r="M38" s="25">
        <v>6</v>
      </c>
      <c r="N38" s="24" t="s">
        <v>458</v>
      </c>
    </row>
    <row r="39" spans="1:14" ht="15.6" customHeight="1" x14ac:dyDescent="0.35">
      <c r="A39" s="25" t="s">
        <v>607</v>
      </c>
      <c r="B39" s="25" t="s">
        <v>608</v>
      </c>
      <c r="C39" s="25" t="s">
        <v>609</v>
      </c>
      <c r="E39" s="32" t="s">
        <v>610</v>
      </c>
      <c r="F39" s="32"/>
      <c r="G39" s="32"/>
      <c r="H39" s="32"/>
      <c r="I39" s="32"/>
      <c r="J39" s="32"/>
      <c r="N39" s="24" t="s">
        <v>415</v>
      </c>
    </row>
    <row r="40" spans="1:14" ht="15.6" customHeight="1" x14ac:dyDescent="0.35">
      <c r="A40" s="25" t="s">
        <v>611</v>
      </c>
      <c r="B40" s="25" t="s">
        <v>612</v>
      </c>
      <c r="C40" s="25" t="s">
        <v>613</v>
      </c>
      <c r="E40" s="32" t="s">
        <v>614</v>
      </c>
      <c r="F40" s="32"/>
      <c r="G40" s="32"/>
      <c r="H40" s="32"/>
      <c r="I40" s="32"/>
      <c r="J40" s="32"/>
      <c r="N40" s="24" t="s">
        <v>415</v>
      </c>
    </row>
    <row r="41" spans="1:14" ht="15.6" customHeight="1" x14ac:dyDescent="0.35">
      <c r="A41" s="25" t="s">
        <v>615</v>
      </c>
      <c r="B41" s="25" t="s">
        <v>616</v>
      </c>
      <c r="C41" s="25" t="s">
        <v>9446</v>
      </c>
      <c r="E41" s="32" t="s">
        <v>617</v>
      </c>
      <c r="F41" s="32"/>
      <c r="G41" s="32"/>
      <c r="H41" s="32"/>
      <c r="I41" s="32"/>
      <c r="J41" s="32"/>
      <c r="N41" s="24" t="s">
        <v>415</v>
      </c>
    </row>
    <row r="42" spans="1:14" ht="15.6" customHeight="1" x14ac:dyDescent="0.35">
      <c r="A42" s="25" t="s">
        <v>618</v>
      </c>
      <c r="B42" s="25" t="s">
        <v>619</v>
      </c>
      <c r="C42" s="25" t="s">
        <v>620</v>
      </c>
      <c r="E42" s="32" t="s">
        <v>621</v>
      </c>
      <c r="F42" s="32"/>
      <c r="G42" s="32"/>
      <c r="H42" s="32"/>
      <c r="I42" s="32"/>
      <c r="J42" s="32"/>
      <c r="N42" s="24" t="s">
        <v>415</v>
      </c>
    </row>
    <row r="43" spans="1:14" ht="15.6" customHeight="1" x14ac:dyDescent="0.35">
      <c r="A43" s="25" t="s">
        <v>622</v>
      </c>
      <c r="B43" s="25" t="s">
        <v>623</v>
      </c>
      <c r="C43" s="25" t="s">
        <v>624</v>
      </c>
      <c r="E43" s="32" t="s">
        <v>625</v>
      </c>
      <c r="F43" s="32"/>
      <c r="G43" s="32"/>
      <c r="H43" s="32"/>
      <c r="I43" s="32"/>
      <c r="J43" s="32"/>
      <c r="N43" s="24" t="s">
        <v>415</v>
      </c>
    </row>
    <row r="44" spans="1:14" ht="15.6" customHeight="1" x14ac:dyDescent="0.35">
      <c r="A44" s="25" t="s">
        <v>626</v>
      </c>
      <c r="B44" s="25" t="s">
        <v>627</v>
      </c>
      <c r="C44" s="25" t="s">
        <v>628</v>
      </c>
      <c r="E44" s="32" t="s">
        <v>629</v>
      </c>
      <c r="F44" s="32"/>
      <c r="G44" s="32"/>
      <c r="H44" s="32"/>
      <c r="I44" s="32"/>
      <c r="J44" s="32"/>
      <c r="N44" s="24" t="s">
        <v>415</v>
      </c>
    </row>
    <row r="45" spans="1:14" ht="15.6" customHeight="1" x14ac:dyDescent="0.35">
      <c r="A45" s="25" t="s">
        <v>630</v>
      </c>
      <c r="B45" s="25" t="s">
        <v>631</v>
      </c>
      <c r="C45" s="25" t="s">
        <v>632</v>
      </c>
      <c r="E45" s="32" t="s">
        <v>633</v>
      </c>
      <c r="F45" s="32"/>
      <c r="G45" s="32"/>
      <c r="H45" s="32"/>
      <c r="I45" s="32"/>
      <c r="J45" s="32"/>
      <c r="N45" s="24" t="s">
        <v>415</v>
      </c>
    </row>
    <row r="46" spans="1:14" ht="15.6" customHeight="1" x14ac:dyDescent="0.35">
      <c r="A46" s="25" t="s">
        <v>634</v>
      </c>
      <c r="B46" s="25" t="s">
        <v>635</v>
      </c>
      <c r="C46" s="25" t="s">
        <v>636</v>
      </c>
      <c r="E46" s="32" t="s">
        <v>637</v>
      </c>
      <c r="F46" s="32"/>
      <c r="G46" s="32"/>
      <c r="H46" s="32"/>
      <c r="I46" s="32"/>
      <c r="J46" s="32"/>
      <c r="N46" s="24" t="s">
        <v>415</v>
      </c>
    </row>
    <row r="47" spans="1:14" ht="15.6" customHeight="1" x14ac:dyDescent="0.35">
      <c r="A47" s="25" t="s">
        <v>638</v>
      </c>
      <c r="B47" s="25" t="s">
        <v>639</v>
      </c>
      <c r="C47" s="25" t="s">
        <v>640</v>
      </c>
      <c r="E47" s="32" t="s">
        <v>641</v>
      </c>
      <c r="F47" s="32"/>
      <c r="G47" s="32"/>
      <c r="H47" s="32"/>
      <c r="I47" s="32"/>
      <c r="J47" s="32"/>
      <c r="N47" s="24" t="s">
        <v>415</v>
      </c>
    </row>
    <row r="48" spans="1:14" ht="15.6" customHeight="1" x14ac:dyDescent="0.35">
      <c r="A48" s="25" t="s">
        <v>642</v>
      </c>
      <c r="B48" s="25" t="s">
        <v>643</v>
      </c>
      <c r="C48" s="25" t="s">
        <v>644</v>
      </c>
      <c r="E48" s="32" t="s">
        <v>645</v>
      </c>
      <c r="F48" s="32"/>
      <c r="G48" s="32"/>
      <c r="H48" s="32"/>
      <c r="I48" s="32"/>
      <c r="J48" s="32"/>
      <c r="N48" s="24" t="s">
        <v>415</v>
      </c>
    </row>
    <row r="49" spans="1:14" ht="15.6" customHeight="1" x14ac:dyDescent="0.35">
      <c r="A49" s="25" t="s">
        <v>646</v>
      </c>
      <c r="B49" s="25" t="s">
        <v>647</v>
      </c>
      <c r="C49" s="25" t="s">
        <v>648</v>
      </c>
      <c r="E49" s="25" t="s">
        <v>649</v>
      </c>
      <c r="F49" s="25" t="s">
        <v>650</v>
      </c>
      <c r="G49" s="25" t="s">
        <v>651</v>
      </c>
      <c r="H49" s="25" t="s">
        <v>652</v>
      </c>
      <c r="N49" s="24" t="s">
        <v>415</v>
      </c>
    </row>
    <row r="50" spans="1:14" ht="15.6" customHeight="1" x14ac:dyDescent="0.35">
      <c r="A50" s="25" t="s">
        <v>653</v>
      </c>
      <c r="B50" s="25" t="s">
        <v>654</v>
      </c>
      <c r="C50" s="25" t="s">
        <v>655</v>
      </c>
      <c r="E50" s="25" t="s">
        <v>656</v>
      </c>
      <c r="F50" s="25" t="s">
        <v>657</v>
      </c>
      <c r="G50" s="25" t="s">
        <v>658</v>
      </c>
      <c r="H50" s="25" t="s">
        <v>659</v>
      </c>
      <c r="I50" s="25" t="s">
        <v>660</v>
      </c>
      <c r="N50" s="24" t="s">
        <v>415</v>
      </c>
    </row>
    <row r="51" spans="1:14" ht="15.6" customHeight="1" x14ac:dyDescent="0.35">
      <c r="A51" s="25" t="s">
        <v>661</v>
      </c>
      <c r="B51" s="25" t="s">
        <v>662</v>
      </c>
      <c r="C51" s="25" t="s">
        <v>663</v>
      </c>
      <c r="E51" s="25" t="s">
        <v>664</v>
      </c>
      <c r="F51" s="25" t="s">
        <v>665</v>
      </c>
      <c r="N51" s="24" t="s">
        <v>458</v>
      </c>
    </row>
    <row r="52" spans="1:14" ht="15.6" customHeight="1" x14ac:dyDescent="0.35">
      <c r="A52" s="25" t="s">
        <v>666</v>
      </c>
      <c r="B52" s="25" t="s">
        <v>667</v>
      </c>
      <c r="C52" s="25" t="s">
        <v>668</v>
      </c>
      <c r="E52" s="32" t="s">
        <v>669</v>
      </c>
      <c r="F52" s="32"/>
      <c r="G52" s="32"/>
      <c r="H52" s="32"/>
      <c r="I52" s="32"/>
      <c r="J52" s="32"/>
      <c r="N52" s="24" t="s">
        <v>415</v>
      </c>
    </row>
    <row r="53" spans="1:14" ht="15.6" customHeight="1" x14ac:dyDescent="0.35">
      <c r="A53" s="25" t="s">
        <v>670</v>
      </c>
      <c r="B53" s="25" t="s">
        <v>671</v>
      </c>
      <c r="C53" s="25" t="s">
        <v>672</v>
      </c>
      <c r="E53" s="32" t="s">
        <v>673</v>
      </c>
      <c r="F53" s="32"/>
      <c r="G53" s="32"/>
      <c r="H53" s="32"/>
      <c r="I53" s="32"/>
      <c r="J53" s="32"/>
      <c r="N53" s="24" t="s">
        <v>415</v>
      </c>
    </row>
    <row r="54" spans="1:14" ht="15.6" customHeight="1" x14ac:dyDescent="0.35">
      <c r="A54" s="25" t="s">
        <v>674</v>
      </c>
      <c r="B54" s="25" t="s">
        <v>675</v>
      </c>
      <c r="C54" s="25" t="s">
        <v>676</v>
      </c>
      <c r="E54" s="32" t="s">
        <v>677</v>
      </c>
      <c r="F54" s="7" t="s">
        <v>9679</v>
      </c>
      <c r="G54" s="7" t="s">
        <v>9680</v>
      </c>
      <c r="H54" s="7" t="s">
        <v>9681</v>
      </c>
      <c r="I54" s="7" t="s">
        <v>9682</v>
      </c>
      <c r="J54" s="7" t="s">
        <v>9683</v>
      </c>
      <c r="N54" s="24" t="s">
        <v>415</v>
      </c>
    </row>
    <row r="55" spans="1:14" ht="15.6" customHeight="1" x14ac:dyDescent="0.35">
      <c r="A55" s="25" t="s">
        <v>678</v>
      </c>
      <c r="B55" s="25" t="s">
        <v>679</v>
      </c>
      <c r="C55" s="25" t="s">
        <v>680</v>
      </c>
      <c r="E55" s="25" t="s">
        <v>681</v>
      </c>
      <c r="F55" s="25" t="s">
        <v>682</v>
      </c>
      <c r="G55" s="25" t="s">
        <v>683</v>
      </c>
      <c r="H55" s="25" t="s">
        <v>684</v>
      </c>
      <c r="I55" s="25" t="s">
        <v>685</v>
      </c>
      <c r="N55" s="24" t="s">
        <v>415</v>
      </c>
    </row>
    <row r="56" spans="1:14" ht="15.6" customHeight="1" x14ac:dyDescent="0.35">
      <c r="A56" s="25" t="s">
        <v>686</v>
      </c>
      <c r="B56" s="25" t="s">
        <v>687</v>
      </c>
      <c r="C56" s="25" t="s">
        <v>688</v>
      </c>
      <c r="E56" s="32" t="s">
        <v>689</v>
      </c>
      <c r="F56" s="32"/>
      <c r="G56" s="32"/>
      <c r="H56" s="32"/>
      <c r="I56" s="32"/>
      <c r="J56" s="32"/>
      <c r="N56" s="24" t="s">
        <v>415</v>
      </c>
    </row>
    <row r="57" spans="1:14" ht="15.6" customHeight="1" x14ac:dyDescent="0.35">
      <c r="A57" s="25" t="s">
        <v>690</v>
      </c>
      <c r="B57" s="25" t="s">
        <v>691</v>
      </c>
      <c r="C57" s="25" t="s">
        <v>692</v>
      </c>
      <c r="E57" s="32" t="s">
        <v>693</v>
      </c>
      <c r="F57" s="32" t="s">
        <v>694</v>
      </c>
      <c r="N57" s="24" t="s">
        <v>415</v>
      </c>
    </row>
    <row r="58" spans="1:14" ht="15.6" customHeight="1" x14ac:dyDescent="0.35">
      <c r="A58" s="25" t="s">
        <v>695</v>
      </c>
      <c r="B58" s="25" t="s">
        <v>696</v>
      </c>
      <c r="C58" s="25" t="s">
        <v>697</v>
      </c>
      <c r="E58" s="32" t="s">
        <v>698</v>
      </c>
      <c r="F58" s="32" t="s">
        <v>699</v>
      </c>
      <c r="G58" s="32" t="s">
        <v>700</v>
      </c>
      <c r="H58" s="32" t="s">
        <v>701</v>
      </c>
      <c r="N58" s="24" t="s">
        <v>415</v>
      </c>
    </row>
    <row r="59" spans="1:14" ht="15.6" customHeight="1" x14ac:dyDescent="0.35">
      <c r="A59" s="25" t="s">
        <v>702</v>
      </c>
      <c r="B59" s="25" t="s">
        <v>703</v>
      </c>
      <c r="C59" s="25" t="s">
        <v>704</v>
      </c>
      <c r="E59" s="32" t="s">
        <v>190</v>
      </c>
      <c r="F59" s="32"/>
      <c r="G59" s="32"/>
      <c r="H59" s="32"/>
      <c r="I59" s="32"/>
      <c r="J59" s="32"/>
      <c r="L59" s="25" t="s">
        <v>703</v>
      </c>
      <c r="M59" s="25">
        <v>1</v>
      </c>
      <c r="N59" s="24" t="s">
        <v>415</v>
      </c>
    </row>
    <row r="60" spans="1:14" ht="15.6" customHeight="1" x14ac:dyDescent="0.35">
      <c r="A60" s="25" t="s">
        <v>705</v>
      </c>
      <c r="B60" s="25" t="s">
        <v>706</v>
      </c>
      <c r="C60" s="25" t="s">
        <v>707</v>
      </c>
      <c r="E60" s="32" t="s">
        <v>708</v>
      </c>
      <c r="F60" s="32"/>
      <c r="G60" s="32"/>
      <c r="H60" s="32"/>
      <c r="I60" s="32"/>
      <c r="J60" s="32"/>
      <c r="L60" s="25" t="s">
        <v>709</v>
      </c>
      <c r="M60" s="25">
        <v>2</v>
      </c>
      <c r="N60" s="24" t="s">
        <v>415</v>
      </c>
    </row>
    <row r="61" spans="1:14" ht="15.6" customHeight="1" x14ac:dyDescent="0.35">
      <c r="A61" s="25" t="s">
        <v>710</v>
      </c>
      <c r="B61" s="25" t="s">
        <v>711</v>
      </c>
      <c r="C61" s="25" t="s">
        <v>712</v>
      </c>
      <c r="E61" s="25" t="s">
        <v>10149</v>
      </c>
      <c r="L61" s="25" t="s">
        <v>711</v>
      </c>
      <c r="M61" s="25">
        <v>3</v>
      </c>
      <c r="N61" s="24" t="s">
        <v>415</v>
      </c>
    </row>
    <row r="62" spans="1:14" ht="15.6" customHeight="1" x14ac:dyDescent="0.35">
      <c r="A62" s="25" t="s">
        <v>713</v>
      </c>
      <c r="B62" s="25" t="s">
        <v>714</v>
      </c>
      <c r="C62" s="25" t="s">
        <v>715</v>
      </c>
      <c r="E62" s="32" t="s">
        <v>716</v>
      </c>
      <c r="F62" s="32"/>
      <c r="G62" s="32"/>
      <c r="H62" s="32"/>
      <c r="I62" s="32"/>
      <c r="J62" s="32"/>
      <c r="L62" s="25" t="s">
        <v>714</v>
      </c>
      <c r="M62" s="25">
        <v>4</v>
      </c>
      <c r="N62" s="24" t="s">
        <v>415</v>
      </c>
    </row>
    <row r="63" spans="1:14" ht="15.6" customHeight="1" x14ac:dyDescent="0.35">
      <c r="A63" s="25" t="s">
        <v>717</v>
      </c>
      <c r="B63" s="25" t="s">
        <v>718</v>
      </c>
      <c r="C63" s="25" t="s">
        <v>719</v>
      </c>
      <c r="E63" s="25" t="s">
        <v>720</v>
      </c>
      <c r="F63" s="25" t="s">
        <v>721</v>
      </c>
      <c r="G63" s="25" t="s">
        <v>722</v>
      </c>
      <c r="H63" s="25" t="s">
        <v>723</v>
      </c>
      <c r="L63" s="25" t="s">
        <v>718</v>
      </c>
      <c r="M63" s="25">
        <v>5</v>
      </c>
      <c r="N63" s="24" t="s">
        <v>415</v>
      </c>
    </row>
    <row r="64" spans="1:14" ht="15.6" customHeight="1" x14ac:dyDescent="0.35">
      <c r="A64" s="25" t="s">
        <v>724</v>
      </c>
      <c r="B64" s="25" t="s">
        <v>725</v>
      </c>
      <c r="C64" s="25" t="s">
        <v>726</v>
      </c>
      <c r="E64" s="32" t="s">
        <v>727</v>
      </c>
      <c r="F64" s="32"/>
      <c r="G64" s="32"/>
      <c r="H64" s="32"/>
      <c r="I64" s="32"/>
      <c r="J64" s="32"/>
      <c r="L64" s="25" t="s">
        <v>725</v>
      </c>
      <c r="M64" s="25">
        <v>6</v>
      </c>
      <c r="N64" s="24" t="s">
        <v>415</v>
      </c>
    </row>
    <row r="65" spans="1:14" ht="15.6" customHeight="1" x14ac:dyDescent="0.35">
      <c r="A65" s="25" t="s">
        <v>728</v>
      </c>
      <c r="B65" s="25" t="s">
        <v>729</v>
      </c>
      <c r="C65" s="25" t="s">
        <v>730</v>
      </c>
      <c r="E65" s="32" t="s">
        <v>731</v>
      </c>
      <c r="F65" s="32"/>
      <c r="G65" s="32"/>
      <c r="H65" s="32"/>
      <c r="I65" s="32"/>
      <c r="J65" s="32"/>
      <c r="L65" s="25" t="s">
        <v>732</v>
      </c>
      <c r="M65" s="25">
        <v>7</v>
      </c>
      <c r="N65" s="24" t="s">
        <v>415</v>
      </c>
    </row>
    <row r="66" spans="1:14" ht="15.6" customHeight="1" x14ac:dyDescent="0.35">
      <c r="A66" s="25" t="s">
        <v>733</v>
      </c>
      <c r="B66" s="25" t="s">
        <v>734</v>
      </c>
      <c r="C66" s="25" t="s">
        <v>735</v>
      </c>
      <c r="E66" s="32" t="s">
        <v>736</v>
      </c>
      <c r="F66" s="32"/>
      <c r="G66" s="32"/>
      <c r="H66" s="32"/>
      <c r="I66" s="32"/>
      <c r="J66" s="32"/>
      <c r="L66" s="25" t="s">
        <v>734</v>
      </c>
      <c r="M66" s="25">
        <v>8</v>
      </c>
      <c r="N66" s="24" t="s">
        <v>415</v>
      </c>
    </row>
    <row r="67" spans="1:14" ht="15.6" customHeight="1" x14ac:dyDescent="0.35">
      <c r="A67" s="25" t="s">
        <v>737</v>
      </c>
      <c r="B67" s="25" t="s">
        <v>738</v>
      </c>
      <c r="C67" s="25" t="s">
        <v>739</v>
      </c>
      <c r="E67" s="32" t="s">
        <v>740</v>
      </c>
      <c r="F67" s="32"/>
      <c r="G67" s="32"/>
      <c r="H67" s="32"/>
      <c r="I67" s="32"/>
      <c r="J67" s="32"/>
      <c r="L67" s="25" t="s">
        <v>738</v>
      </c>
      <c r="M67" s="25">
        <v>9</v>
      </c>
      <c r="N67" s="24" t="s">
        <v>415</v>
      </c>
    </row>
    <row r="68" spans="1:14" ht="15.6" customHeight="1" x14ac:dyDescent="0.35">
      <c r="A68" s="25" t="s">
        <v>9642</v>
      </c>
      <c r="B68" s="25" t="s">
        <v>741</v>
      </c>
      <c r="C68" s="25" t="s">
        <v>742</v>
      </c>
      <c r="E68" s="32" t="s">
        <v>10128</v>
      </c>
      <c r="F68" s="32"/>
      <c r="G68" s="32"/>
      <c r="H68" s="32"/>
      <c r="I68" s="32"/>
      <c r="J68" s="32"/>
      <c r="M68" s="25">
        <v>10</v>
      </c>
      <c r="N68" s="24" t="s">
        <v>415</v>
      </c>
    </row>
    <row r="69" spans="1:14" ht="15.6" customHeight="1" x14ac:dyDescent="0.35">
      <c r="A69" s="25" t="s">
        <v>9483</v>
      </c>
      <c r="B69" s="25" t="s">
        <v>743</v>
      </c>
      <c r="C69" s="25" t="s">
        <v>744</v>
      </c>
      <c r="E69" s="25" t="s">
        <v>10150</v>
      </c>
      <c r="L69" s="25" t="s">
        <v>745</v>
      </c>
      <c r="M69" s="25">
        <v>11</v>
      </c>
      <c r="N69" s="24" t="s">
        <v>415</v>
      </c>
    </row>
    <row r="70" spans="1:14" ht="15.6" customHeight="1" x14ac:dyDescent="0.35">
      <c r="A70" s="25" t="s">
        <v>746</v>
      </c>
      <c r="B70" s="25" t="s">
        <v>747</v>
      </c>
      <c r="C70" s="25" t="s">
        <v>748</v>
      </c>
      <c r="E70" s="32" t="s">
        <v>749</v>
      </c>
      <c r="F70" s="32"/>
      <c r="G70" s="32"/>
      <c r="H70" s="32"/>
      <c r="I70" s="32"/>
      <c r="J70" s="32"/>
      <c r="L70" s="25" t="s">
        <v>747</v>
      </c>
      <c r="M70" s="25">
        <v>12</v>
      </c>
      <c r="N70" s="24" t="s">
        <v>415</v>
      </c>
    </row>
    <row r="71" spans="1:14" ht="15.6" customHeight="1" x14ac:dyDescent="0.35">
      <c r="A71" s="25" t="s">
        <v>750</v>
      </c>
      <c r="B71" s="25" t="s">
        <v>751</v>
      </c>
      <c r="C71" s="25" t="s">
        <v>752</v>
      </c>
      <c r="E71" s="25" t="s">
        <v>10151</v>
      </c>
      <c r="L71" s="25" t="s">
        <v>751</v>
      </c>
      <c r="M71" s="25">
        <v>13</v>
      </c>
      <c r="N71" s="24" t="s">
        <v>415</v>
      </c>
    </row>
    <row r="72" spans="1:14" ht="15.6" customHeight="1" x14ac:dyDescent="0.35">
      <c r="A72" s="25" t="s">
        <v>753</v>
      </c>
      <c r="B72" s="25" t="s">
        <v>754</v>
      </c>
      <c r="C72" s="25" t="s">
        <v>755</v>
      </c>
      <c r="E72" s="32" t="s">
        <v>9452</v>
      </c>
      <c r="F72" s="32"/>
      <c r="G72" s="32"/>
      <c r="H72" s="32"/>
      <c r="I72" s="32"/>
      <c r="J72" s="32"/>
      <c r="L72" s="25" t="s">
        <v>754</v>
      </c>
      <c r="M72" s="25">
        <v>14</v>
      </c>
      <c r="N72" s="24" t="s">
        <v>415</v>
      </c>
    </row>
    <row r="73" spans="1:14" ht="15.6" customHeight="1" x14ac:dyDescent="0.35">
      <c r="A73" s="25" t="s">
        <v>756</v>
      </c>
      <c r="B73" s="25" t="s">
        <v>757</v>
      </c>
      <c r="C73" s="25" t="s">
        <v>758</v>
      </c>
      <c r="E73" s="32" t="s">
        <v>759</v>
      </c>
      <c r="F73" s="32"/>
      <c r="G73" s="32"/>
      <c r="H73" s="32"/>
      <c r="I73" s="32"/>
      <c r="J73" s="32"/>
      <c r="L73" s="25" t="s">
        <v>757</v>
      </c>
      <c r="M73" s="25">
        <v>15</v>
      </c>
      <c r="N73" s="24" t="s">
        <v>415</v>
      </c>
    </row>
    <row r="74" spans="1:14" ht="15.6" customHeight="1" x14ac:dyDescent="0.35">
      <c r="A74" s="25" t="s">
        <v>760</v>
      </c>
      <c r="B74" s="25" t="s">
        <v>761</v>
      </c>
      <c r="C74" s="25" t="s">
        <v>762</v>
      </c>
      <c r="E74" s="25" t="s">
        <v>10152</v>
      </c>
      <c r="L74" s="25" t="s">
        <v>761</v>
      </c>
      <c r="M74" s="25">
        <v>16</v>
      </c>
      <c r="N74" s="24" t="s">
        <v>415</v>
      </c>
    </row>
    <row r="75" spans="1:14" ht="15.6" customHeight="1" x14ac:dyDescent="0.35">
      <c r="A75" s="25" t="s">
        <v>10047</v>
      </c>
      <c r="B75" s="25" t="s">
        <v>10048</v>
      </c>
      <c r="C75" s="25" t="s">
        <v>763</v>
      </c>
      <c r="E75" s="25" t="s">
        <v>10153</v>
      </c>
      <c r="L75" s="25" t="s">
        <v>10048</v>
      </c>
      <c r="M75" s="25">
        <v>17</v>
      </c>
      <c r="N75" s="24" t="s">
        <v>415</v>
      </c>
    </row>
    <row r="76" spans="1:14" ht="15.6" customHeight="1" x14ac:dyDescent="0.35">
      <c r="A76" s="25" t="s">
        <v>764</v>
      </c>
      <c r="B76" s="25" t="s">
        <v>765</v>
      </c>
      <c r="C76" s="25" t="s">
        <v>766</v>
      </c>
      <c r="E76" s="25" t="s">
        <v>10154</v>
      </c>
      <c r="L76" s="25" t="s">
        <v>765</v>
      </c>
      <c r="M76" s="25">
        <v>18</v>
      </c>
      <c r="N76" s="24" t="s">
        <v>415</v>
      </c>
    </row>
    <row r="77" spans="1:14" ht="15.6" customHeight="1" x14ac:dyDescent="0.35">
      <c r="A77" s="25" t="s">
        <v>767</v>
      </c>
      <c r="B77" s="25" t="s">
        <v>768</v>
      </c>
      <c r="C77" s="25" t="s">
        <v>769</v>
      </c>
      <c r="E77" s="25" t="s">
        <v>10155</v>
      </c>
      <c r="L77" s="25" t="s">
        <v>770</v>
      </c>
      <c r="M77" s="25">
        <v>18</v>
      </c>
      <c r="N77" s="24" t="s">
        <v>415</v>
      </c>
    </row>
    <row r="78" spans="1:14" ht="15.6" customHeight="1" x14ac:dyDescent="0.35">
      <c r="A78" s="25" t="s">
        <v>771</v>
      </c>
      <c r="B78" s="25" t="s">
        <v>772</v>
      </c>
      <c r="C78" s="25" t="s">
        <v>773</v>
      </c>
      <c r="E78" s="32" t="s">
        <v>774</v>
      </c>
      <c r="F78" s="32"/>
      <c r="G78" s="32"/>
      <c r="H78" s="32"/>
      <c r="I78" s="32"/>
      <c r="J78" s="32"/>
      <c r="M78" s="25">
        <v>19</v>
      </c>
      <c r="N78" s="24" t="s">
        <v>415</v>
      </c>
    </row>
    <row r="79" spans="1:14" ht="15.6" customHeight="1" x14ac:dyDescent="0.35">
      <c r="A79" s="25" t="s">
        <v>775</v>
      </c>
      <c r="B79" s="25" t="s">
        <v>776</v>
      </c>
      <c r="C79" s="25" t="s">
        <v>777</v>
      </c>
      <c r="E79" s="32" t="s">
        <v>778</v>
      </c>
      <c r="F79" s="32"/>
      <c r="G79" s="32"/>
      <c r="H79" s="32"/>
      <c r="I79" s="32"/>
      <c r="J79" s="32"/>
      <c r="M79" s="25">
        <v>20</v>
      </c>
      <c r="N79" s="24" t="s">
        <v>415</v>
      </c>
    </row>
    <row r="80" spans="1:14" ht="15.6" customHeight="1" x14ac:dyDescent="0.35">
      <c r="A80" s="25" t="s">
        <v>779</v>
      </c>
      <c r="B80" s="25" t="s">
        <v>780</v>
      </c>
      <c r="C80" s="25" t="s">
        <v>781</v>
      </c>
      <c r="E80" s="25" t="s">
        <v>10156</v>
      </c>
      <c r="L80" s="25" t="s">
        <v>770</v>
      </c>
      <c r="M80" s="25">
        <v>21</v>
      </c>
      <c r="N80" s="24" t="s">
        <v>415</v>
      </c>
    </row>
    <row r="81" spans="1:14" ht="15.6" customHeight="1" x14ac:dyDescent="0.35">
      <c r="A81" s="25" t="s">
        <v>782</v>
      </c>
      <c r="B81" s="25" t="s">
        <v>783</v>
      </c>
      <c r="C81" s="25" t="s">
        <v>784</v>
      </c>
      <c r="E81" s="25" t="s">
        <v>10157</v>
      </c>
      <c r="L81" s="25" t="s">
        <v>785</v>
      </c>
      <c r="M81" s="25">
        <v>22</v>
      </c>
      <c r="N81" s="24" t="s">
        <v>415</v>
      </c>
    </row>
    <row r="82" spans="1:14" ht="15.6" customHeight="1" x14ac:dyDescent="0.35">
      <c r="A82" s="25" t="s">
        <v>786</v>
      </c>
      <c r="B82" s="25" t="s">
        <v>787</v>
      </c>
      <c r="C82" s="25" t="s">
        <v>788</v>
      </c>
      <c r="E82" s="32" t="s">
        <v>789</v>
      </c>
      <c r="F82" s="32"/>
      <c r="G82" s="32"/>
      <c r="H82" s="32"/>
      <c r="I82" s="32"/>
      <c r="J82" s="32"/>
      <c r="L82" s="25" t="s">
        <v>790</v>
      </c>
      <c r="M82" s="25">
        <v>23</v>
      </c>
      <c r="N82" s="24" t="s">
        <v>415</v>
      </c>
    </row>
    <row r="83" spans="1:14" ht="15.6" customHeight="1" x14ac:dyDescent="0.35">
      <c r="A83" s="25" t="s">
        <v>791</v>
      </c>
      <c r="B83" s="25" t="s">
        <v>792</v>
      </c>
      <c r="C83" s="25" t="s">
        <v>793</v>
      </c>
      <c r="E83" s="25" t="s">
        <v>10158</v>
      </c>
      <c r="L83" s="25" t="s">
        <v>792</v>
      </c>
      <c r="M83" s="25">
        <v>24</v>
      </c>
      <c r="N83" s="24" t="s">
        <v>415</v>
      </c>
    </row>
    <row r="84" spans="1:14" ht="15.6" customHeight="1" x14ac:dyDescent="0.35">
      <c r="A84" s="25" t="s">
        <v>794</v>
      </c>
      <c r="B84" s="25" t="s">
        <v>795</v>
      </c>
      <c r="C84" s="25" t="s">
        <v>796</v>
      </c>
      <c r="E84" s="32" t="s">
        <v>797</v>
      </c>
      <c r="F84" s="32"/>
      <c r="G84" s="32"/>
      <c r="H84" s="32"/>
      <c r="I84" s="32"/>
      <c r="J84" s="32"/>
      <c r="M84" s="25">
        <v>26</v>
      </c>
      <c r="N84" s="24" t="s">
        <v>415</v>
      </c>
    </row>
    <row r="85" spans="1:14" ht="15.6" customHeight="1" x14ac:dyDescent="0.35">
      <c r="A85" s="25" t="s">
        <v>798</v>
      </c>
      <c r="B85" s="25" t="s">
        <v>799</v>
      </c>
      <c r="C85" s="25" t="s">
        <v>800</v>
      </c>
      <c r="E85" s="32" t="s">
        <v>801</v>
      </c>
      <c r="F85" s="32" t="s">
        <v>9530</v>
      </c>
      <c r="G85" s="32"/>
      <c r="H85" s="32"/>
      <c r="I85" s="32"/>
      <c r="J85" s="32"/>
      <c r="N85" s="24" t="s">
        <v>415</v>
      </c>
    </row>
    <row r="86" spans="1:14" ht="15.6" customHeight="1" x14ac:dyDescent="0.35">
      <c r="A86" s="25" t="s">
        <v>802</v>
      </c>
      <c r="B86" s="25" t="s">
        <v>803</v>
      </c>
      <c r="C86" s="25" t="s">
        <v>804</v>
      </c>
      <c r="E86" s="32" t="s">
        <v>805</v>
      </c>
      <c r="F86" s="32" t="s">
        <v>806</v>
      </c>
      <c r="G86" s="32"/>
      <c r="H86" s="32"/>
      <c r="I86" s="32"/>
      <c r="J86" s="32"/>
      <c r="L86" s="25" t="s">
        <v>807</v>
      </c>
      <c r="M86" s="25">
        <v>1</v>
      </c>
      <c r="N86" s="24" t="s">
        <v>415</v>
      </c>
    </row>
    <row r="87" spans="1:14" ht="15.6" customHeight="1" x14ac:dyDescent="0.35">
      <c r="A87" s="25" t="s">
        <v>808</v>
      </c>
      <c r="B87" s="25" t="s">
        <v>809</v>
      </c>
      <c r="C87" s="25" t="s">
        <v>810</v>
      </c>
      <c r="E87" s="32" t="s">
        <v>9453</v>
      </c>
      <c r="F87" s="32"/>
      <c r="G87" s="32"/>
      <c r="H87" s="32"/>
      <c r="I87" s="32"/>
      <c r="J87" s="32"/>
      <c r="L87" s="25" t="s">
        <v>811</v>
      </c>
      <c r="M87" s="25">
        <v>2</v>
      </c>
      <c r="N87" s="24" t="s">
        <v>415</v>
      </c>
    </row>
    <row r="88" spans="1:14" ht="15.6" customHeight="1" x14ac:dyDescent="0.35">
      <c r="A88" s="25" t="s">
        <v>812</v>
      </c>
      <c r="B88" s="25" t="s">
        <v>813</v>
      </c>
      <c r="C88" s="25" t="s">
        <v>814</v>
      </c>
      <c r="E88" s="32" t="s">
        <v>815</v>
      </c>
      <c r="F88" s="32"/>
      <c r="G88" s="32"/>
      <c r="H88" s="32"/>
      <c r="I88" s="32"/>
      <c r="J88" s="32"/>
      <c r="L88" s="25" t="s">
        <v>816</v>
      </c>
      <c r="M88" s="25">
        <v>3</v>
      </c>
      <c r="N88" s="24" t="s">
        <v>415</v>
      </c>
    </row>
    <row r="89" spans="1:14" ht="15.6" customHeight="1" x14ac:dyDescent="0.35">
      <c r="A89" s="25" t="s">
        <v>817</v>
      </c>
      <c r="B89" s="25" t="s">
        <v>818</v>
      </c>
      <c r="C89" s="25" t="s">
        <v>819</v>
      </c>
      <c r="E89" s="32" t="s">
        <v>195</v>
      </c>
      <c r="F89" s="32"/>
      <c r="G89" s="32"/>
      <c r="H89" s="32"/>
      <c r="I89" s="32"/>
      <c r="J89" s="32"/>
      <c r="L89" s="25" t="s">
        <v>817</v>
      </c>
      <c r="M89" s="25">
        <v>1</v>
      </c>
      <c r="N89" s="24" t="s">
        <v>415</v>
      </c>
    </row>
    <row r="90" spans="1:14" ht="15.6" customHeight="1" x14ac:dyDescent="0.35">
      <c r="A90" s="25" t="s">
        <v>820</v>
      </c>
      <c r="B90" s="25" t="s">
        <v>821</v>
      </c>
      <c r="C90" s="25" t="s">
        <v>822</v>
      </c>
      <c r="E90" s="32" t="s">
        <v>9454</v>
      </c>
      <c r="F90" s="32"/>
      <c r="G90" s="32"/>
      <c r="H90" s="32"/>
      <c r="I90" s="32"/>
      <c r="J90" s="32"/>
      <c r="L90" s="25" t="s">
        <v>821</v>
      </c>
      <c r="M90" s="25">
        <v>2</v>
      </c>
      <c r="N90" s="24" t="s">
        <v>415</v>
      </c>
    </row>
    <row r="91" spans="1:14" ht="15.6" customHeight="1" x14ac:dyDescent="0.35">
      <c r="A91" s="25" t="s">
        <v>823</v>
      </c>
      <c r="B91" s="25" t="s">
        <v>824</v>
      </c>
      <c r="C91" s="25" t="s">
        <v>825</v>
      </c>
      <c r="E91" s="32" t="s">
        <v>826</v>
      </c>
      <c r="F91" s="32"/>
      <c r="G91" s="32"/>
      <c r="H91" s="32"/>
      <c r="I91" s="32"/>
      <c r="J91" s="32"/>
      <c r="L91" s="25" t="s">
        <v>827</v>
      </c>
      <c r="M91" s="25">
        <v>3</v>
      </c>
      <c r="N91" s="24" t="s">
        <v>415</v>
      </c>
    </row>
    <row r="92" spans="1:14" ht="15.6" customHeight="1" x14ac:dyDescent="0.35">
      <c r="A92" s="25" t="s">
        <v>828</v>
      </c>
      <c r="B92" s="25" t="s">
        <v>829</v>
      </c>
      <c r="C92" s="25" t="s">
        <v>830</v>
      </c>
      <c r="E92" s="32" t="s">
        <v>831</v>
      </c>
      <c r="F92" s="32"/>
      <c r="G92" s="32"/>
      <c r="H92" s="32"/>
      <c r="I92" s="32"/>
      <c r="J92" s="32"/>
      <c r="L92" s="25" t="s">
        <v>829</v>
      </c>
      <c r="M92" s="25">
        <v>4</v>
      </c>
      <c r="N92" s="24" t="s">
        <v>415</v>
      </c>
    </row>
    <row r="93" spans="1:14" ht="15.6" customHeight="1" x14ac:dyDescent="0.35">
      <c r="A93" s="25" t="s">
        <v>832</v>
      </c>
      <c r="B93" s="25" t="s">
        <v>833</v>
      </c>
      <c r="C93" s="25" t="s">
        <v>834</v>
      </c>
      <c r="E93" s="25" t="s">
        <v>10159</v>
      </c>
      <c r="L93" s="25" t="s">
        <v>833</v>
      </c>
      <c r="M93" s="25">
        <v>5</v>
      </c>
      <c r="N93" s="24" t="s">
        <v>415</v>
      </c>
    </row>
    <row r="94" spans="1:14" ht="15.6" customHeight="1" x14ac:dyDescent="0.35">
      <c r="A94" s="25" t="s">
        <v>835</v>
      </c>
      <c r="B94" s="25" t="s">
        <v>836</v>
      </c>
      <c r="C94" s="25" t="s">
        <v>837</v>
      </c>
      <c r="E94" s="32" t="s">
        <v>838</v>
      </c>
      <c r="L94" s="25" t="s">
        <v>836</v>
      </c>
      <c r="M94" s="25">
        <v>6</v>
      </c>
      <c r="N94" s="24" t="s">
        <v>415</v>
      </c>
    </row>
    <row r="95" spans="1:14" ht="15.6" customHeight="1" x14ac:dyDescent="0.35">
      <c r="A95" s="25" t="s">
        <v>839</v>
      </c>
      <c r="B95" s="25" t="s">
        <v>840</v>
      </c>
      <c r="C95" s="25" t="s">
        <v>841</v>
      </c>
      <c r="E95" s="32" t="s">
        <v>842</v>
      </c>
      <c r="F95" s="32"/>
      <c r="G95" s="32"/>
      <c r="H95" s="32"/>
      <c r="I95" s="32"/>
      <c r="J95" s="32"/>
      <c r="M95" s="25">
        <v>1</v>
      </c>
      <c r="N95" s="24" t="s">
        <v>415</v>
      </c>
    </row>
    <row r="96" spans="1:14" ht="15.6" customHeight="1" x14ac:dyDescent="0.35">
      <c r="A96" s="25" t="s">
        <v>843</v>
      </c>
      <c r="B96" s="25" t="s">
        <v>844</v>
      </c>
      <c r="C96" s="25" t="s">
        <v>845</v>
      </c>
      <c r="E96" s="32" t="s">
        <v>846</v>
      </c>
      <c r="F96" s="32"/>
      <c r="G96" s="32"/>
      <c r="H96" s="32"/>
      <c r="I96" s="32"/>
      <c r="J96" s="32"/>
      <c r="M96" s="25">
        <v>2</v>
      </c>
      <c r="N96" s="24" t="s">
        <v>415</v>
      </c>
    </row>
    <row r="97" spans="1:14" ht="15.6" customHeight="1" x14ac:dyDescent="0.35">
      <c r="A97" s="25" t="s">
        <v>847</v>
      </c>
      <c r="B97" s="25" t="s">
        <v>848</v>
      </c>
      <c r="C97" s="25" t="s">
        <v>849</v>
      </c>
      <c r="E97" s="32" t="s">
        <v>850</v>
      </c>
      <c r="F97" s="32"/>
      <c r="G97" s="32"/>
      <c r="H97" s="32"/>
      <c r="I97" s="32"/>
      <c r="J97" s="32"/>
      <c r="M97" s="25">
        <v>3</v>
      </c>
      <c r="N97" s="24" t="s">
        <v>415</v>
      </c>
    </row>
    <row r="98" spans="1:14" ht="15.6" customHeight="1" x14ac:dyDescent="0.35">
      <c r="A98" s="25" t="s">
        <v>851</v>
      </c>
      <c r="B98" s="25" t="s">
        <v>852</v>
      </c>
      <c r="C98" s="25" t="s">
        <v>853</v>
      </c>
      <c r="E98" s="32" t="s">
        <v>854</v>
      </c>
      <c r="F98" s="32"/>
      <c r="G98" s="32"/>
      <c r="H98" s="32"/>
      <c r="I98" s="32"/>
      <c r="J98" s="32"/>
      <c r="M98" s="25">
        <v>4</v>
      </c>
      <c r="N98" s="24" t="s">
        <v>415</v>
      </c>
    </row>
    <row r="99" spans="1:14" ht="15.6" customHeight="1" x14ac:dyDescent="0.35">
      <c r="A99" s="25" t="s">
        <v>855</v>
      </c>
      <c r="B99" s="25" t="s">
        <v>856</v>
      </c>
      <c r="C99" s="25" t="s">
        <v>857</v>
      </c>
      <c r="E99" s="32" t="s">
        <v>858</v>
      </c>
      <c r="F99" s="32"/>
      <c r="G99" s="32"/>
      <c r="H99" s="32"/>
      <c r="I99" s="32"/>
      <c r="J99" s="32"/>
      <c r="M99" s="25">
        <v>5</v>
      </c>
      <c r="N99" s="24" t="s">
        <v>415</v>
      </c>
    </row>
    <row r="100" spans="1:14" ht="15.6" customHeight="1" x14ac:dyDescent="0.35">
      <c r="A100" s="25" t="s">
        <v>859</v>
      </c>
      <c r="B100" s="25" t="s">
        <v>860</v>
      </c>
      <c r="C100" s="25" t="s">
        <v>861</v>
      </c>
      <c r="E100" s="32" t="s">
        <v>862</v>
      </c>
      <c r="F100" s="32"/>
      <c r="G100" s="32"/>
      <c r="H100" s="32"/>
      <c r="I100" s="32"/>
      <c r="J100" s="32"/>
      <c r="M100" s="25">
        <v>6</v>
      </c>
      <c r="N100" s="24" t="s">
        <v>415</v>
      </c>
    </row>
    <row r="101" spans="1:14" ht="15.6" customHeight="1" x14ac:dyDescent="0.35">
      <c r="A101" s="25" t="s">
        <v>863</v>
      </c>
      <c r="B101" s="25" t="s">
        <v>864</v>
      </c>
      <c r="C101" s="25" t="s">
        <v>865</v>
      </c>
      <c r="E101" s="32" t="s">
        <v>866</v>
      </c>
      <c r="F101" s="32"/>
      <c r="G101" s="32"/>
      <c r="H101" s="32"/>
      <c r="I101" s="32"/>
      <c r="J101" s="32"/>
      <c r="M101" s="25">
        <v>7</v>
      </c>
      <c r="N101" s="24" t="s">
        <v>415</v>
      </c>
    </row>
    <row r="102" spans="1:14" ht="15.6" customHeight="1" x14ac:dyDescent="0.35">
      <c r="A102" s="25" t="s">
        <v>867</v>
      </c>
      <c r="B102" s="25" t="s">
        <v>868</v>
      </c>
      <c r="C102" s="25" t="s">
        <v>869</v>
      </c>
      <c r="E102" s="32" t="s">
        <v>870</v>
      </c>
      <c r="F102" s="32"/>
      <c r="G102" s="32"/>
      <c r="H102" s="32"/>
      <c r="I102" s="32"/>
      <c r="J102" s="32"/>
      <c r="M102" s="25">
        <v>1</v>
      </c>
      <c r="N102" s="24" t="s">
        <v>871</v>
      </c>
    </row>
    <row r="103" spans="1:14" ht="15.6" customHeight="1" x14ac:dyDescent="0.35">
      <c r="A103" s="25" t="s">
        <v>872</v>
      </c>
      <c r="B103" s="25" t="s">
        <v>873</v>
      </c>
      <c r="C103" s="25" t="s">
        <v>874</v>
      </c>
      <c r="E103" s="32" t="s">
        <v>875</v>
      </c>
      <c r="F103" s="32"/>
      <c r="G103" s="32"/>
      <c r="H103" s="32"/>
      <c r="I103" s="32"/>
      <c r="J103" s="32"/>
      <c r="M103" s="25">
        <v>2</v>
      </c>
      <c r="N103" s="24" t="s">
        <v>871</v>
      </c>
    </row>
    <row r="104" spans="1:14" ht="15.6" customHeight="1" x14ac:dyDescent="0.35">
      <c r="A104" s="25" t="s">
        <v>876</v>
      </c>
      <c r="B104" s="25" t="s">
        <v>877</v>
      </c>
      <c r="C104" s="25" t="s">
        <v>878</v>
      </c>
      <c r="E104" s="32" t="s">
        <v>879</v>
      </c>
      <c r="F104" s="32"/>
      <c r="G104" s="32"/>
      <c r="H104" s="32"/>
      <c r="I104" s="32"/>
      <c r="J104" s="32"/>
      <c r="M104" s="25">
        <v>3</v>
      </c>
      <c r="N104" s="24" t="s">
        <v>871</v>
      </c>
    </row>
    <row r="105" spans="1:14" ht="15.6" customHeight="1" x14ac:dyDescent="0.35">
      <c r="A105" s="25" t="s">
        <v>880</v>
      </c>
      <c r="B105" s="25" t="s">
        <v>881</v>
      </c>
      <c r="C105" s="25" t="s">
        <v>882</v>
      </c>
      <c r="E105" s="32" t="s">
        <v>883</v>
      </c>
      <c r="F105" s="32"/>
      <c r="G105" s="32"/>
      <c r="H105" s="32"/>
      <c r="I105" s="32"/>
      <c r="J105" s="32"/>
      <c r="M105" s="25">
        <v>4</v>
      </c>
      <c r="N105" s="24" t="s">
        <v>871</v>
      </c>
    </row>
    <row r="106" spans="1:14" ht="15.6" customHeight="1" x14ac:dyDescent="0.35">
      <c r="A106" s="25" t="s">
        <v>884</v>
      </c>
      <c r="B106" s="25" t="s">
        <v>885</v>
      </c>
      <c r="C106" s="25" t="s">
        <v>886</v>
      </c>
      <c r="E106" s="25" t="s">
        <v>887</v>
      </c>
      <c r="F106" s="25" t="s">
        <v>888</v>
      </c>
      <c r="G106" s="25" t="s">
        <v>889</v>
      </c>
      <c r="H106" s="25" t="s">
        <v>890</v>
      </c>
      <c r="I106" s="25" t="s">
        <v>891</v>
      </c>
      <c r="M106" s="25">
        <v>5</v>
      </c>
      <c r="N106" s="24" t="s">
        <v>871</v>
      </c>
    </row>
    <row r="107" spans="1:14" ht="15.6" customHeight="1" x14ac:dyDescent="0.35">
      <c r="A107" s="25" t="s">
        <v>892</v>
      </c>
      <c r="B107" s="25" t="s">
        <v>893</v>
      </c>
      <c r="C107" s="25" t="s">
        <v>894</v>
      </c>
      <c r="E107" s="25" t="s">
        <v>895</v>
      </c>
      <c r="F107" s="25" t="s">
        <v>896</v>
      </c>
      <c r="G107" s="25" t="s">
        <v>897</v>
      </c>
      <c r="H107" s="25" t="s">
        <v>898</v>
      </c>
      <c r="I107" s="25" t="s">
        <v>899</v>
      </c>
      <c r="M107" s="25">
        <v>6</v>
      </c>
      <c r="N107" s="24" t="s">
        <v>871</v>
      </c>
    </row>
    <row r="108" spans="1:14" ht="15.6" customHeight="1" x14ac:dyDescent="0.35">
      <c r="A108" s="25" t="s">
        <v>900</v>
      </c>
      <c r="B108" s="25" t="s">
        <v>901</v>
      </c>
      <c r="C108" s="25" t="s">
        <v>902</v>
      </c>
      <c r="E108" s="32" t="s">
        <v>903</v>
      </c>
      <c r="F108" s="32"/>
      <c r="G108" s="32"/>
      <c r="H108" s="32"/>
      <c r="I108" s="32"/>
      <c r="J108" s="32"/>
      <c r="M108" s="25">
        <v>7</v>
      </c>
      <c r="N108" s="24" t="s">
        <v>871</v>
      </c>
    </row>
    <row r="109" spans="1:14" ht="15.6" customHeight="1" x14ac:dyDescent="0.35">
      <c r="A109" s="25" t="s">
        <v>904</v>
      </c>
      <c r="B109" s="25" t="s">
        <v>905</v>
      </c>
      <c r="C109" s="25" t="s">
        <v>906</v>
      </c>
      <c r="E109" s="32" t="s">
        <v>907</v>
      </c>
      <c r="F109" s="32"/>
      <c r="G109" s="32"/>
      <c r="H109" s="32"/>
      <c r="I109" s="32"/>
      <c r="J109" s="32"/>
      <c r="M109" s="25">
        <v>8</v>
      </c>
      <c r="N109" s="24" t="s">
        <v>871</v>
      </c>
    </row>
    <row r="110" spans="1:14" ht="15.6" customHeight="1" x14ac:dyDescent="0.35">
      <c r="A110" s="25" t="s">
        <v>908</v>
      </c>
      <c r="B110" s="25" t="s">
        <v>909</v>
      </c>
      <c r="C110" s="25" t="s">
        <v>910</v>
      </c>
      <c r="E110" s="32" t="s">
        <v>911</v>
      </c>
      <c r="F110" s="32"/>
      <c r="G110" s="32"/>
      <c r="H110" s="32"/>
      <c r="I110" s="32"/>
      <c r="J110" s="32"/>
      <c r="M110" s="25">
        <v>9</v>
      </c>
      <c r="N110" s="24" t="s">
        <v>871</v>
      </c>
    </row>
    <row r="111" spans="1:14" ht="15.6" customHeight="1" x14ac:dyDescent="0.35">
      <c r="A111" s="25" t="s">
        <v>912</v>
      </c>
      <c r="B111" s="25" t="s">
        <v>913</v>
      </c>
      <c r="C111" s="25" t="s">
        <v>914</v>
      </c>
      <c r="E111" s="32" t="s">
        <v>915</v>
      </c>
      <c r="F111" s="32"/>
      <c r="G111" s="32"/>
      <c r="H111" s="32"/>
      <c r="I111" s="32"/>
      <c r="J111" s="32"/>
      <c r="M111" s="25">
        <v>10</v>
      </c>
      <c r="N111" s="24" t="s">
        <v>871</v>
      </c>
    </row>
    <row r="112" spans="1:14" ht="15.6" customHeight="1" x14ac:dyDescent="0.35">
      <c r="A112" s="25" t="s">
        <v>916</v>
      </c>
      <c r="B112" s="25" t="s">
        <v>917</v>
      </c>
      <c r="C112" s="25" t="s">
        <v>918</v>
      </c>
      <c r="E112" s="32" t="s">
        <v>919</v>
      </c>
      <c r="F112" s="32"/>
      <c r="G112" s="32"/>
      <c r="H112" s="32"/>
      <c r="I112" s="32"/>
      <c r="J112" s="32"/>
      <c r="M112" s="25">
        <v>11</v>
      </c>
      <c r="N112" s="24" t="s">
        <v>871</v>
      </c>
    </row>
    <row r="113" spans="1:14" ht="15.6" customHeight="1" x14ac:dyDescent="0.35">
      <c r="A113" s="25" t="s">
        <v>920</v>
      </c>
      <c r="B113" s="25" t="s">
        <v>921</v>
      </c>
      <c r="C113" s="25" t="s">
        <v>922</v>
      </c>
      <c r="E113" s="32" t="s">
        <v>923</v>
      </c>
      <c r="F113" s="32"/>
      <c r="G113" s="32"/>
      <c r="H113" s="32"/>
      <c r="I113" s="32"/>
      <c r="J113" s="32"/>
      <c r="M113" s="25">
        <v>12</v>
      </c>
      <c r="N113" s="24" t="s">
        <v>871</v>
      </c>
    </row>
    <row r="114" spans="1:14" ht="15.6" customHeight="1" x14ac:dyDescent="0.35">
      <c r="A114" s="25" t="s">
        <v>924</v>
      </c>
      <c r="B114" s="25" t="s">
        <v>925</v>
      </c>
      <c r="C114" s="25" t="s">
        <v>926</v>
      </c>
      <c r="E114" s="32" t="s">
        <v>927</v>
      </c>
      <c r="F114" s="32"/>
      <c r="G114" s="32"/>
      <c r="H114" s="32"/>
      <c r="I114" s="32"/>
      <c r="J114" s="32"/>
      <c r="M114" s="25">
        <v>13</v>
      </c>
      <c r="N114" s="24" t="s">
        <v>871</v>
      </c>
    </row>
    <row r="115" spans="1:14" ht="15.6" customHeight="1" x14ac:dyDescent="0.35">
      <c r="A115" s="25" t="s">
        <v>928</v>
      </c>
      <c r="B115" s="25" t="s">
        <v>929</v>
      </c>
      <c r="C115" s="25" t="s">
        <v>930</v>
      </c>
      <c r="E115" s="32" t="s">
        <v>931</v>
      </c>
      <c r="F115" s="32"/>
      <c r="G115" s="32"/>
      <c r="H115" s="32"/>
      <c r="I115" s="32"/>
      <c r="J115" s="32"/>
      <c r="M115" s="25">
        <v>14</v>
      </c>
      <c r="N115" s="24" t="s">
        <v>871</v>
      </c>
    </row>
    <row r="116" spans="1:14" ht="15.6" customHeight="1" x14ac:dyDescent="0.35">
      <c r="A116" s="25" t="s">
        <v>932</v>
      </c>
      <c r="B116" s="25" t="s">
        <v>933</v>
      </c>
      <c r="C116" s="25" t="s">
        <v>934</v>
      </c>
      <c r="E116" s="32" t="s">
        <v>935</v>
      </c>
      <c r="F116" s="32"/>
      <c r="G116" s="32"/>
      <c r="H116" s="32"/>
      <c r="I116" s="32"/>
      <c r="J116" s="32"/>
      <c r="M116" s="25">
        <v>15</v>
      </c>
      <c r="N116" s="24" t="s">
        <v>871</v>
      </c>
    </row>
    <row r="117" spans="1:14" ht="15.6" customHeight="1" x14ac:dyDescent="0.35">
      <c r="A117" s="25" t="s">
        <v>936</v>
      </c>
      <c r="B117" s="25" t="s">
        <v>937</v>
      </c>
      <c r="C117" s="25" t="s">
        <v>938</v>
      </c>
      <c r="E117" s="32" t="s">
        <v>939</v>
      </c>
      <c r="F117" s="32"/>
      <c r="G117" s="32"/>
      <c r="H117" s="32"/>
      <c r="I117" s="32"/>
      <c r="J117" s="32"/>
      <c r="M117" s="25">
        <v>16</v>
      </c>
      <c r="N117" s="24" t="s">
        <v>871</v>
      </c>
    </row>
    <row r="118" spans="1:14" ht="15.6" customHeight="1" x14ac:dyDescent="0.35">
      <c r="A118" s="25" t="s">
        <v>940</v>
      </c>
      <c r="B118" s="25" t="s">
        <v>941</v>
      </c>
      <c r="C118" s="25" t="s">
        <v>942</v>
      </c>
      <c r="E118" s="32" t="s">
        <v>943</v>
      </c>
      <c r="F118" s="32"/>
      <c r="G118" s="32"/>
      <c r="H118" s="32"/>
      <c r="I118" s="32"/>
      <c r="J118" s="32"/>
      <c r="M118" s="25">
        <v>17</v>
      </c>
      <c r="N118" s="24" t="s">
        <v>871</v>
      </c>
    </row>
    <row r="119" spans="1:14" ht="15.6" customHeight="1" x14ac:dyDescent="0.35">
      <c r="A119" s="25" t="s">
        <v>944</v>
      </c>
      <c r="B119" s="25" t="s">
        <v>945</v>
      </c>
      <c r="C119" s="25" t="s">
        <v>946</v>
      </c>
      <c r="E119" s="32" t="s">
        <v>947</v>
      </c>
      <c r="F119" s="32"/>
      <c r="G119" s="32"/>
      <c r="H119" s="32"/>
      <c r="I119" s="32"/>
      <c r="J119" s="32"/>
      <c r="M119" s="25">
        <v>18</v>
      </c>
      <c r="N119" s="24" t="s">
        <v>871</v>
      </c>
    </row>
    <row r="120" spans="1:14" ht="15.6" customHeight="1" x14ac:dyDescent="0.35">
      <c r="A120" s="25" t="s">
        <v>948</v>
      </c>
      <c r="B120" s="25" t="s">
        <v>949</v>
      </c>
      <c r="C120" s="25" t="s">
        <v>950</v>
      </c>
      <c r="E120" s="32" t="s">
        <v>951</v>
      </c>
      <c r="F120" s="32" t="s">
        <v>952</v>
      </c>
      <c r="G120" s="32"/>
      <c r="H120" s="32"/>
      <c r="I120" s="32"/>
      <c r="J120" s="32"/>
      <c r="M120" s="25">
        <v>19</v>
      </c>
      <c r="N120" s="24" t="s">
        <v>871</v>
      </c>
    </row>
    <row r="121" spans="1:14" ht="15.6" customHeight="1" x14ac:dyDescent="0.35">
      <c r="A121" s="25" t="s">
        <v>953</v>
      </c>
      <c r="B121" s="25" t="s">
        <v>953</v>
      </c>
      <c r="C121" s="25" t="s">
        <v>954</v>
      </c>
      <c r="E121" s="32" t="s">
        <v>952</v>
      </c>
      <c r="F121" s="32"/>
      <c r="G121" s="32"/>
      <c r="H121" s="32"/>
      <c r="I121" s="32"/>
      <c r="J121" s="32"/>
      <c r="M121" s="25">
        <v>20</v>
      </c>
      <c r="N121" s="24" t="s">
        <v>871</v>
      </c>
    </row>
    <row r="122" spans="1:14" ht="15.6" customHeight="1" x14ac:dyDescent="0.35">
      <c r="A122" s="25" t="s">
        <v>955</v>
      </c>
      <c r="B122" s="25" t="s">
        <v>955</v>
      </c>
      <c r="C122" s="25" t="s">
        <v>956</v>
      </c>
      <c r="E122" s="32" t="s">
        <v>952</v>
      </c>
      <c r="F122" s="32"/>
      <c r="G122" s="32"/>
      <c r="H122" s="32"/>
      <c r="I122" s="32"/>
      <c r="J122" s="32"/>
      <c r="M122" s="25">
        <v>21</v>
      </c>
      <c r="N122" s="24" t="s">
        <v>871</v>
      </c>
    </row>
    <row r="123" spans="1:14" ht="15.6" customHeight="1" x14ac:dyDescent="0.35">
      <c r="A123" s="25" t="s">
        <v>957</v>
      </c>
      <c r="B123" s="25" t="s">
        <v>957</v>
      </c>
      <c r="C123" s="25" t="s">
        <v>958</v>
      </c>
      <c r="E123" s="32" t="s">
        <v>959</v>
      </c>
      <c r="F123" s="32"/>
      <c r="G123" s="32"/>
      <c r="H123" s="32"/>
      <c r="I123" s="32"/>
      <c r="J123" s="32"/>
      <c r="M123" s="25">
        <v>22</v>
      </c>
      <c r="N123" s="24" t="s">
        <v>871</v>
      </c>
    </row>
    <row r="124" spans="1:14" ht="15.6" customHeight="1" x14ac:dyDescent="0.35">
      <c r="A124" s="25" t="s">
        <v>960</v>
      </c>
      <c r="B124" s="25" t="s">
        <v>961</v>
      </c>
      <c r="C124" s="25" t="s">
        <v>962</v>
      </c>
      <c r="E124" s="32" t="s">
        <v>963</v>
      </c>
      <c r="F124" s="32"/>
      <c r="G124" s="32"/>
      <c r="H124" s="32"/>
      <c r="I124" s="32"/>
      <c r="J124" s="32"/>
      <c r="M124" s="25">
        <v>23</v>
      </c>
      <c r="N124" s="24" t="s">
        <v>871</v>
      </c>
    </row>
    <row r="125" spans="1:14" ht="15.6" customHeight="1" x14ac:dyDescent="0.35">
      <c r="A125" s="25" t="s">
        <v>964</v>
      </c>
      <c r="B125" s="25" t="s">
        <v>965</v>
      </c>
      <c r="C125" s="25" t="s">
        <v>966</v>
      </c>
      <c r="E125" s="32" t="s">
        <v>967</v>
      </c>
      <c r="F125" s="32"/>
      <c r="G125" s="32"/>
      <c r="H125" s="32"/>
      <c r="I125" s="32"/>
      <c r="J125" s="32"/>
      <c r="M125" s="25">
        <v>24</v>
      </c>
      <c r="N125" s="24" t="s">
        <v>871</v>
      </c>
    </row>
    <row r="126" spans="1:14" ht="15.6" customHeight="1" x14ac:dyDescent="0.35">
      <c r="A126" s="25" t="s">
        <v>968</v>
      </c>
      <c r="B126" s="25" t="s">
        <v>969</v>
      </c>
      <c r="C126" s="25" t="s">
        <v>970</v>
      </c>
      <c r="E126" s="32" t="s">
        <v>971</v>
      </c>
      <c r="F126" s="32"/>
      <c r="G126" s="32"/>
      <c r="H126" s="32"/>
      <c r="I126" s="32"/>
      <c r="J126" s="32"/>
      <c r="M126" s="25">
        <v>25</v>
      </c>
      <c r="N126" s="24" t="s">
        <v>871</v>
      </c>
    </row>
    <row r="127" spans="1:14" ht="15.6" customHeight="1" x14ac:dyDescent="0.35">
      <c r="A127" s="25" t="s">
        <v>972</v>
      </c>
      <c r="B127" s="25" t="s">
        <v>973</v>
      </c>
      <c r="C127" s="25" t="s">
        <v>974</v>
      </c>
      <c r="E127" s="32" t="s">
        <v>975</v>
      </c>
      <c r="F127" s="32"/>
      <c r="G127" s="32"/>
      <c r="H127" s="32"/>
      <c r="I127" s="32"/>
      <c r="J127" s="32"/>
      <c r="M127" s="25">
        <v>26</v>
      </c>
      <c r="N127" s="24" t="s">
        <v>871</v>
      </c>
    </row>
    <row r="128" spans="1:14" ht="15.6" customHeight="1" x14ac:dyDescent="0.35">
      <c r="A128" s="25" t="s">
        <v>976</v>
      </c>
      <c r="B128" s="25" t="s">
        <v>976</v>
      </c>
      <c r="C128" s="25" t="s">
        <v>977</v>
      </c>
      <c r="E128" s="32" t="s">
        <v>978</v>
      </c>
      <c r="F128" s="32"/>
      <c r="G128" s="32"/>
      <c r="H128" s="32"/>
      <c r="I128" s="32"/>
      <c r="J128" s="32"/>
      <c r="M128" s="25">
        <v>27</v>
      </c>
      <c r="N128" s="24" t="s">
        <v>871</v>
      </c>
    </row>
    <row r="129" spans="1:14" ht="15.6" customHeight="1" x14ac:dyDescent="0.35">
      <c r="A129" s="25" t="s">
        <v>979</v>
      </c>
      <c r="B129" s="25" t="s">
        <v>979</v>
      </c>
      <c r="C129" s="25" t="s">
        <v>980</v>
      </c>
      <c r="E129" s="32" t="s">
        <v>981</v>
      </c>
      <c r="F129" s="32"/>
      <c r="G129" s="32"/>
      <c r="H129" s="32"/>
      <c r="I129" s="32"/>
      <c r="J129" s="32"/>
      <c r="M129" s="25">
        <v>28</v>
      </c>
      <c r="N129" s="24" t="s">
        <v>871</v>
      </c>
    </row>
    <row r="130" spans="1:14" ht="15.6" customHeight="1" x14ac:dyDescent="0.35">
      <c r="A130" s="25" t="s">
        <v>982</v>
      </c>
      <c r="B130" s="25" t="s">
        <v>982</v>
      </c>
      <c r="C130" s="25" t="s">
        <v>983</v>
      </c>
      <c r="E130" s="32" t="s">
        <v>984</v>
      </c>
      <c r="F130" s="32"/>
      <c r="G130" s="32"/>
      <c r="H130" s="32"/>
      <c r="I130" s="32"/>
      <c r="J130" s="32"/>
      <c r="M130" s="25">
        <v>29</v>
      </c>
      <c r="N130" s="24" t="s">
        <v>871</v>
      </c>
    </row>
    <row r="131" spans="1:14" ht="15.6" customHeight="1" x14ac:dyDescent="0.35">
      <c r="A131" s="25" t="s">
        <v>985</v>
      </c>
      <c r="B131" s="25" t="s">
        <v>985</v>
      </c>
      <c r="C131" s="25" t="s">
        <v>986</v>
      </c>
      <c r="E131" s="32" t="s">
        <v>987</v>
      </c>
      <c r="F131" s="32"/>
      <c r="G131" s="32"/>
      <c r="H131" s="32"/>
      <c r="I131" s="32"/>
      <c r="J131" s="32"/>
      <c r="M131" s="25">
        <v>30</v>
      </c>
      <c r="N131" s="24" t="s">
        <v>871</v>
      </c>
    </row>
    <row r="132" spans="1:14" ht="15.6" customHeight="1" x14ac:dyDescent="0.35">
      <c r="A132" s="25" t="s">
        <v>988</v>
      </c>
      <c r="B132" s="25" t="s">
        <v>988</v>
      </c>
      <c r="C132" s="25" t="s">
        <v>989</v>
      </c>
      <c r="E132" s="32" t="s">
        <v>990</v>
      </c>
      <c r="F132" s="32"/>
      <c r="G132" s="32"/>
      <c r="H132" s="32"/>
      <c r="I132" s="32"/>
      <c r="J132" s="32"/>
      <c r="M132" s="25">
        <v>31</v>
      </c>
      <c r="N132" s="24" t="s">
        <v>871</v>
      </c>
    </row>
    <row r="133" spans="1:14" ht="15.6" customHeight="1" x14ac:dyDescent="0.35">
      <c r="A133" s="25" t="s">
        <v>991</v>
      </c>
      <c r="B133" s="25" t="s">
        <v>992</v>
      </c>
      <c r="C133" s="25" t="s">
        <v>993</v>
      </c>
      <c r="E133" s="32" t="s">
        <v>994</v>
      </c>
      <c r="F133" s="32"/>
      <c r="G133" s="32"/>
      <c r="H133" s="32"/>
      <c r="I133" s="32"/>
      <c r="J133" s="32"/>
      <c r="M133" s="25">
        <v>32</v>
      </c>
      <c r="N133" s="24" t="s">
        <v>871</v>
      </c>
    </row>
    <row r="134" spans="1:14" ht="15.6" customHeight="1" x14ac:dyDescent="0.35">
      <c r="A134" s="25" t="s">
        <v>995</v>
      </c>
      <c r="B134" s="25" t="s">
        <v>996</v>
      </c>
      <c r="C134" s="25" t="s">
        <v>997</v>
      </c>
      <c r="E134" s="32" t="s">
        <v>998</v>
      </c>
      <c r="F134" s="32"/>
      <c r="G134" s="32"/>
      <c r="H134" s="32"/>
      <c r="I134" s="32"/>
      <c r="J134" s="32"/>
      <c r="M134" s="25">
        <v>33</v>
      </c>
      <c r="N134" s="24" t="s">
        <v>871</v>
      </c>
    </row>
    <row r="135" spans="1:14" ht="15.6" customHeight="1" x14ac:dyDescent="0.35">
      <c r="A135" s="25" t="s">
        <v>999</v>
      </c>
      <c r="B135" s="25" t="s">
        <v>1000</v>
      </c>
      <c r="C135" s="25" t="s">
        <v>1001</v>
      </c>
      <c r="E135" s="32" t="s">
        <v>1002</v>
      </c>
      <c r="F135" s="32"/>
      <c r="G135" s="32"/>
      <c r="H135" s="32"/>
      <c r="I135" s="32"/>
      <c r="J135" s="32"/>
      <c r="M135" s="25">
        <v>34</v>
      </c>
      <c r="N135" s="24" t="s">
        <v>871</v>
      </c>
    </row>
    <row r="136" spans="1:14" ht="15.6" customHeight="1" x14ac:dyDescent="0.35">
      <c r="A136" s="25" t="s">
        <v>1003</v>
      </c>
      <c r="B136" s="25" t="s">
        <v>1004</v>
      </c>
      <c r="C136" s="25" t="s">
        <v>1005</v>
      </c>
      <c r="E136" s="32" t="s">
        <v>1006</v>
      </c>
      <c r="F136" s="32"/>
      <c r="G136" s="32"/>
      <c r="H136" s="32"/>
      <c r="I136" s="32"/>
      <c r="J136" s="32"/>
      <c r="L136" s="25" t="s">
        <v>1007</v>
      </c>
      <c r="M136" s="25">
        <v>1</v>
      </c>
      <c r="N136" s="24" t="s">
        <v>415</v>
      </c>
    </row>
    <row r="137" spans="1:14" ht="15.6" customHeight="1" x14ac:dyDescent="0.35">
      <c r="A137" s="25" t="s">
        <v>1008</v>
      </c>
      <c r="B137" s="25" t="s">
        <v>1009</v>
      </c>
      <c r="C137" s="25" t="s">
        <v>1010</v>
      </c>
      <c r="E137" s="32" t="s">
        <v>1011</v>
      </c>
      <c r="F137" s="32"/>
      <c r="G137" s="32"/>
      <c r="H137" s="32"/>
      <c r="I137" s="32"/>
      <c r="J137" s="32"/>
      <c r="L137" s="25" t="s">
        <v>1012</v>
      </c>
      <c r="M137" s="25">
        <v>2</v>
      </c>
      <c r="N137" s="24" t="s">
        <v>415</v>
      </c>
    </row>
    <row r="138" spans="1:14" ht="15.6" customHeight="1" x14ac:dyDescent="0.35">
      <c r="A138" s="25" t="s">
        <v>1013</v>
      </c>
      <c r="B138" s="25" t="s">
        <v>1014</v>
      </c>
      <c r="C138" s="25" t="s">
        <v>1015</v>
      </c>
      <c r="E138" s="25" t="s">
        <v>10160</v>
      </c>
      <c r="L138" s="25" t="s">
        <v>1016</v>
      </c>
      <c r="M138" s="25">
        <v>3</v>
      </c>
      <c r="N138" s="24" t="s">
        <v>415</v>
      </c>
    </row>
    <row r="139" spans="1:14" ht="15.6" customHeight="1" x14ac:dyDescent="0.35">
      <c r="A139" s="25" t="s">
        <v>1017</v>
      </c>
      <c r="B139" s="25" t="s">
        <v>1018</v>
      </c>
      <c r="C139" s="25" t="s">
        <v>1019</v>
      </c>
      <c r="E139" s="32" t="s">
        <v>1020</v>
      </c>
      <c r="F139" s="32"/>
      <c r="G139" s="32"/>
      <c r="H139" s="32"/>
      <c r="I139" s="32"/>
      <c r="J139" s="32"/>
      <c r="N139" s="24" t="s">
        <v>415</v>
      </c>
    </row>
    <row r="140" spans="1:14" ht="15.6" customHeight="1" x14ac:dyDescent="0.35">
      <c r="A140" s="25" t="s">
        <v>1021</v>
      </c>
      <c r="B140" s="25" t="s">
        <v>1022</v>
      </c>
      <c r="C140" s="25" t="s">
        <v>1023</v>
      </c>
      <c r="E140" s="32" t="s">
        <v>1024</v>
      </c>
      <c r="F140" s="32"/>
      <c r="G140" s="32"/>
      <c r="H140" s="32"/>
      <c r="I140" s="32"/>
      <c r="J140" s="32"/>
      <c r="N140" s="24" t="s">
        <v>415</v>
      </c>
    </row>
    <row r="141" spans="1:14" ht="15.6" customHeight="1" x14ac:dyDescent="0.35">
      <c r="A141" s="25" t="s">
        <v>1025</v>
      </c>
      <c r="B141" s="25" t="s">
        <v>1026</v>
      </c>
      <c r="C141" s="25" t="s">
        <v>1027</v>
      </c>
      <c r="E141" s="32" t="s">
        <v>1028</v>
      </c>
      <c r="F141" s="32"/>
      <c r="G141" s="32"/>
      <c r="H141" s="32"/>
      <c r="I141" s="32"/>
      <c r="J141" s="32"/>
      <c r="N141" s="24" t="s">
        <v>415</v>
      </c>
    </row>
    <row r="142" spans="1:14" ht="15.6" customHeight="1" x14ac:dyDescent="0.35">
      <c r="A142" s="25" t="s">
        <v>1029</v>
      </c>
      <c r="B142" s="25" t="s">
        <v>1030</v>
      </c>
      <c r="C142" s="25" t="s">
        <v>1031</v>
      </c>
      <c r="E142" s="25" t="s">
        <v>10161</v>
      </c>
      <c r="L142" s="25" t="s">
        <v>1030</v>
      </c>
      <c r="M142" s="25">
        <v>1</v>
      </c>
      <c r="N142" s="24" t="s">
        <v>415</v>
      </c>
    </row>
    <row r="143" spans="1:14" ht="15.6" customHeight="1" x14ac:dyDescent="0.35">
      <c r="A143" s="25" t="s">
        <v>1032</v>
      </c>
      <c r="B143" s="25" t="s">
        <v>1033</v>
      </c>
      <c r="C143" s="25" t="s">
        <v>1034</v>
      </c>
      <c r="E143" s="32" t="s">
        <v>1035</v>
      </c>
      <c r="F143" s="32"/>
      <c r="G143" s="32"/>
      <c r="H143" s="32"/>
      <c r="I143" s="32"/>
      <c r="J143" s="32"/>
      <c r="L143" s="25" t="s">
        <v>1036</v>
      </c>
      <c r="M143" s="25">
        <v>2</v>
      </c>
      <c r="N143" s="24" t="s">
        <v>415</v>
      </c>
    </row>
    <row r="144" spans="1:14" ht="15.6" customHeight="1" x14ac:dyDescent="0.35">
      <c r="A144" s="25" t="s">
        <v>1037</v>
      </c>
      <c r="B144" s="25" t="s">
        <v>1038</v>
      </c>
      <c r="C144" s="25" t="s">
        <v>1039</v>
      </c>
      <c r="E144" s="32" t="s">
        <v>1040</v>
      </c>
      <c r="F144" s="32"/>
      <c r="G144" s="32"/>
      <c r="H144" s="32"/>
      <c r="I144" s="32"/>
      <c r="J144" s="32"/>
      <c r="L144" s="25" t="s">
        <v>1041</v>
      </c>
      <c r="M144" s="25">
        <v>3</v>
      </c>
      <c r="N144" s="24" t="s">
        <v>415</v>
      </c>
    </row>
    <row r="145" spans="1:14" ht="15.6" customHeight="1" x14ac:dyDescent="0.35">
      <c r="A145" s="25" t="s">
        <v>1042</v>
      </c>
      <c r="B145" s="25" t="s">
        <v>1043</v>
      </c>
      <c r="C145" s="25" t="s">
        <v>1044</v>
      </c>
      <c r="E145" s="25" t="s">
        <v>1045</v>
      </c>
      <c r="F145" s="25" t="s">
        <v>1046</v>
      </c>
      <c r="G145" s="25" t="s">
        <v>1047</v>
      </c>
      <c r="H145" s="25" t="s">
        <v>1048</v>
      </c>
      <c r="I145" s="25" t="s">
        <v>1049</v>
      </c>
      <c r="L145" s="25" t="s">
        <v>1050</v>
      </c>
      <c r="M145" s="25">
        <v>4</v>
      </c>
      <c r="N145" s="24" t="s">
        <v>415</v>
      </c>
    </row>
    <row r="146" spans="1:14" ht="15.6" customHeight="1" x14ac:dyDescent="0.35">
      <c r="A146" s="25" t="s">
        <v>1051</v>
      </c>
      <c r="B146" s="25" t="s">
        <v>1052</v>
      </c>
      <c r="C146" s="25" t="s">
        <v>1053</v>
      </c>
      <c r="E146" s="25" t="s">
        <v>10162</v>
      </c>
      <c r="L146" s="25" t="s">
        <v>1054</v>
      </c>
      <c r="M146" s="25">
        <v>5</v>
      </c>
      <c r="N146" s="24" t="s">
        <v>415</v>
      </c>
    </row>
    <row r="147" spans="1:14" ht="15.6" customHeight="1" x14ac:dyDescent="0.35">
      <c r="A147" s="25" t="s">
        <v>1055</v>
      </c>
      <c r="B147" s="25" t="s">
        <v>1056</v>
      </c>
      <c r="C147" s="25" t="s">
        <v>1057</v>
      </c>
      <c r="E147" s="32" t="s">
        <v>1058</v>
      </c>
      <c r="F147" s="32"/>
      <c r="G147" s="32"/>
      <c r="H147" s="32"/>
      <c r="I147" s="32"/>
      <c r="J147" s="32"/>
      <c r="L147" s="25" t="s">
        <v>1059</v>
      </c>
      <c r="M147" s="25">
        <v>6</v>
      </c>
      <c r="N147" s="24" t="s">
        <v>415</v>
      </c>
    </row>
    <row r="148" spans="1:14" ht="15.6" customHeight="1" x14ac:dyDescent="0.35">
      <c r="A148" s="25" t="s">
        <v>1060</v>
      </c>
      <c r="B148" s="25" t="s">
        <v>1061</v>
      </c>
      <c r="C148" s="25" t="s">
        <v>1062</v>
      </c>
      <c r="E148" s="32" t="s">
        <v>1063</v>
      </c>
      <c r="F148" s="32"/>
      <c r="G148" s="32"/>
      <c r="H148" s="32"/>
      <c r="I148" s="32"/>
      <c r="J148" s="32"/>
      <c r="L148" s="25" t="s">
        <v>1064</v>
      </c>
      <c r="M148" s="25">
        <v>7</v>
      </c>
      <c r="N148" s="24" t="s">
        <v>415</v>
      </c>
    </row>
    <row r="149" spans="1:14" ht="15.6" customHeight="1" x14ac:dyDescent="0.35">
      <c r="A149" s="25" t="s">
        <v>1065</v>
      </c>
      <c r="B149" s="25" t="s">
        <v>1066</v>
      </c>
      <c r="C149" s="25" t="s">
        <v>1067</v>
      </c>
      <c r="E149" s="32" t="s">
        <v>1068</v>
      </c>
      <c r="F149" s="32"/>
      <c r="G149" s="32"/>
      <c r="H149" s="32"/>
      <c r="I149" s="32"/>
      <c r="J149" s="32"/>
      <c r="N149" s="24" t="s">
        <v>415</v>
      </c>
    </row>
    <row r="150" spans="1:14" ht="15.6" customHeight="1" x14ac:dyDescent="0.35">
      <c r="A150" s="25" t="s">
        <v>1069</v>
      </c>
      <c r="B150" s="25" t="s">
        <v>1070</v>
      </c>
      <c r="C150" s="25" t="s">
        <v>1071</v>
      </c>
      <c r="E150" s="32" t="s">
        <v>1072</v>
      </c>
      <c r="F150" s="32"/>
      <c r="G150" s="32"/>
      <c r="H150" s="32"/>
      <c r="I150" s="32"/>
      <c r="J150" s="32"/>
      <c r="N150" s="24" t="s">
        <v>415</v>
      </c>
    </row>
    <row r="151" spans="1:14" ht="15.6" customHeight="1" x14ac:dyDescent="0.35">
      <c r="A151" s="25" t="s">
        <v>1073</v>
      </c>
      <c r="B151" s="25" t="s">
        <v>1074</v>
      </c>
      <c r="C151" s="25" t="s">
        <v>1075</v>
      </c>
      <c r="E151" s="32" t="s">
        <v>1076</v>
      </c>
      <c r="F151" s="32"/>
      <c r="G151" s="32"/>
      <c r="H151" s="32"/>
      <c r="I151" s="32"/>
      <c r="J151" s="32"/>
      <c r="N151" s="24" t="s">
        <v>415</v>
      </c>
    </row>
    <row r="152" spans="1:14" ht="15.6" customHeight="1" x14ac:dyDescent="0.35">
      <c r="A152" s="25" t="s">
        <v>1077</v>
      </c>
      <c r="B152" s="25" t="s">
        <v>1078</v>
      </c>
      <c r="C152" s="25" t="s">
        <v>1079</v>
      </c>
      <c r="E152" s="32" t="s">
        <v>1080</v>
      </c>
      <c r="F152" s="32"/>
      <c r="G152" s="32"/>
      <c r="H152" s="32"/>
      <c r="I152" s="32"/>
      <c r="J152" s="32"/>
      <c r="N152" s="24" t="s">
        <v>415</v>
      </c>
    </row>
    <row r="153" spans="1:14" ht="15.6" customHeight="1" x14ac:dyDescent="0.35">
      <c r="A153" s="25" t="s">
        <v>1081</v>
      </c>
      <c r="B153" s="25" t="s">
        <v>1082</v>
      </c>
      <c r="C153" s="25" t="s">
        <v>1083</v>
      </c>
      <c r="E153" s="32" t="s">
        <v>1084</v>
      </c>
      <c r="F153" s="32"/>
      <c r="G153" s="32"/>
      <c r="H153" s="32"/>
      <c r="I153" s="32"/>
      <c r="J153" s="32"/>
      <c r="N153" s="24" t="s">
        <v>415</v>
      </c>
    </row>
    <row r="154" spans="1:14" ht="15.6" customHeight="1" x14ac:dyDescent="0.35">
      <c r="A154" s="25" t="s">
        <v>1085</v>
      </c>
      <c r="B154" s="25" t="s">
        <v>1086</v>
      </c>
      <c r="C154" s="25" t="s">
        <v>1087</v>
      </c>
      <c r="E154" s="32" t="s">
        <v>1088</v>
      </c>
      <c r="F154" s="32"/>
      <c r="G154" s="32"/>
      <c r="H154" s="32"/>
      <c r="I154" s="32"/>
      <c r="J154" s="32"/>
      <c r="L154" s="25" t="s">
        <v>1089</v>
      </c>
      <c r="M154" s="25">
        <v>1</v>
      </c>
      <c r="N154" s="24" t="s">
        <v>415</v>
      </c>
    </row>
    <row r="155" spans="1:14" ht="15.6" customHeight="1" x14ac:dyDescent="0.35">
      <c r="A155" s="25" t="s">
        <v>1090</v>
      </c>
      <c r="B155" s="25" t="s">
        <v>1091</v>
      </c>
      <c r="C155" s="25" t="s">
        <v>1092</v>
      </c>
      <c r="E155" s="25" t="s">
        <v>10163</v>
      </c>
      <c r="L155" s="25" t="s">
        <v>1093</v>
      </c>
      <c r="M155" s="25">
        <v>2</v>
      </c>
      <c r="N155" s="24" t="s">
        <v>415</v>
      </c>
    </row>
    <row r="156" spans="1:14" ht="15.6" customHeight="1" x14ac:dyDescent="0.35">
      <c r="A156" s="25" t="s">
        <v>1094</v>
      </c>
      <c r="B156" s="25" t="s">
        <v>1095</v>
      </c>
      <c r="C156" s="25" t="s">
        <v>1096</v>
      </c>
      <c r="E156" s="32" t="s">
        <v>1097</v>
      </c>
      <c r="F156" s="32"/>
      <c r="G156" s="32"/>
      <c r="H156" s="32"/>
      <c r="I156" s="32"/>
      <c r="J156" s="32"/>
      <c r="N156" s="24" t="s">
        <v>415</v>
      </c>
    </row>
    <row r="157" spans="1:14" ht="15.6" customHeight="1" x14ac:dyDescent="0.35">
      <c r="A157" s="25" t="s">
        <v>1098</v>
      </c>
      <c r="B157" s="25" t="s">
        <v>1099</v>
      </c>
      <c r="C157" s="25" t="s">
        <v>1100</v>
      </c>
      <c r="E157" s="25" t="s">
        <v>1101</v>
      </c>
      <c r="F157" s="25" t="s">
        <v>1102</v>
      </c>
      <c r="G157" s="25" t="s">
        <v>1103</v>
      </c>
      <c r="H157" s="25" t="s">
        <v>1104</v>
      </c>
      <c r="I157" s="25" t="s">
        <v>1105</v>
      </c>
      <c r="N157" s="24" t="s">
        <v>415</v>
      </c>
    </row>
    <row r="158" spans="1:14" ht="15.6" customHeight="1" x14ac:dyDescent="0.35">
      <c r="A158" s="25" t="s">
        <v>1106</v>
      </c>
      <c r="B158" s="25" t="s">
        <v>1107</v>
      </c>
      <c r="C158" s="25" t="s">
        <v>1108</v>
      </c>
      <c r="E158" s="25" t="s">
        <v>1109</v>
      </c>
      <c r="F158" s="25" t="s">
        <v>1110</v>
      </c>
      <c r="G158" s="25" t="s">
        <v>1111</v>
      </c>
      <c r="H158" s="25" t="s">
        <v>1112</v>
      </c>
      <c r="I158" s="25" t="s">
        <v>1113</v>
      </c>
      <c r="N158" s="24" t="s">
        <v>415</v>
      </c>
    </row>
    <row r="159" spans="1:14" ht="15.6" customHeight="1" x14ac:dyDescent="0.35">
      <c r="A159" s="25" t="s">
        <v>1114</v>
      </c>
      <c r="B159" s="25" t="s">
        <v>1115</v>
      </c>
      <c r="C159" s="25" t="s">
        <v>1116</v>
      </c>
      <c r="E159" s="25" t="s">
        <v>10164</v>
      </c>
      <c r="L159" s="25" t="s">
        <v>1115</v>
      </c>
      <c r="M159" s="25">
        <v>1</v>
      </c>
      <c r="N159" s="24" t="s">
        <v>415</v>
      </c>
    </row>
    <row r="160" spans="1:14" ht="15.6" customHeight="1" x14ac:dyDescent="0.35">
      <c r="A160" s="25" t="s">
        <v>1117</v>
      </c>
      <c r="B160" s="25" t="s">
        <v>1118</v>
      </c>
      <c r="C160" s="25" t="s">
        <v>1116</v>
      </c>
      <c r="E160" s="32" t="s">
        <v>1119</v>
      </c>
      <c r="F160" s="32"/>
      <c r="G160" s="32"/>
      <c r="H160" s="32"/>
      <c r="I160" s="32"/>
      <c r="J160" s="32"/>
      <c r="L160" s="25" t="s">
        <v>1118</v>
      </c>
      <c r="M160" s="25">
        <v>2</v>
      </c>
      <c r="N160" s="24" t="s">
        <v>415</v>
      </c>
    </row>
    <row r="161" spans="1:14" ht="15.6" customHeight="1" x14ac:dyDescent="0.35">
      <c r="A161" s="25" t="s">
        <v>1120</v>
      </c>
      <c r="B161" s="25" t="s">
        <v>1121</v>
      </c>
      <c r="C161" s="25" t="s">
        <v>1122</v>
      </c>
      <c r="E161" s="32" t="s">
        <v>1123</v>
      </c>
      <c r="F161" s="32"/>
      <c r="G161" s="32"/>
      <c r="H161" s="32"/>
      <c r="I161" s="32"/>
      <c r="J161" s="32"/>
      <c r="L161" s="25" t="s">
        <v>1121</v>
      </c>
      <c r="M161" s="25">
        <v>3</v>
      </c>
      <c r="N161" s="24" t="s">
        <v>415</v>
      </c>
    </row>
    <row r="162" spans="1:14" ht="15.6" customHeight="1" x14ac:dyDescent="0.35">
      <c r="A162" s="25" t="s">
        <v>1124</v>
      </c>
      <c r="B162" s="25" t="s">
        <v>1125</v>
      </c>
      <c r="C162" s="25" t="s">
        <v>1126</v>
      </c>
      <c r="E162" s="25" t="s">
        <v>10165</v>
      </c>
      <c r="L162" s="25" t="s">
        <v>1125</v>
      </c>
      <c r="M162" s="25">
        <v>4</v>
      </c>
      <c r="N162" s="24" t="s">
        <v>415</v>
      </c>
    </row>
    <row r="163" spans="1:14" ht="15.6" customHeight="1" x14ac:dyDescent="0.35">
      <c r="A163" s="25" t="s">
        <v>1127</v>
      </c>
      <c r="B163" s="25" t="s">
        <v>1128</v>
      </c>
      <c r="C163" s="25" t="s">
        <v>1129</v>
      </c>
      <c r="E163" s="32" t="s">
        <v>1130</v>
      </c>
      <c r="F163" s="32"/>
      <c r="G163" s="32"/>
      <c r="H163" s="32"/>
      <c r="I163" s="32"/>
      <c r="J163" s="32"/>
      <c r="L163" s="25" t="s">
        <v>1128</v>
      </c>
      <c r="M163" s="25">
        <v>5</v>
      </c>
      <c r="N163" s="24" t="s">
        <v>415</v>
      </c>
    </row>
    <row r="164" spans="1:14" ht="15.6" customHeight="1" x14ac:dyDescent="0.35">
      <c r="A164" s="25" t="s">
        <v>1131</v>
      </c>
      <c r="B164" s="25" t="s">
        <v>1132</v>
      </c>
      <c r="C164" s="25" t="s">
        <v>1133</v>
      </c>
      <c r="E164" s="25" t="s">
        <v>10166</v>
      </c>
      <c r="L164" s="25" t="s">
        <v>1134</v>
      </c>
      <c r="M164" s="25">
        <v>6</v>
      </c>
      <c r="N164" s="24" t="s">
        <v>415</v>
      </c>
    </row>
    <row r="165" spans="1:14" ht="15.6" customHeight="1" x14ac:dyDescent="0.35">
      <c r="A165" s="25" t="s">
        <v>1135</v>
      </c>
      <c r="B165" s="25" t="s">
        <v>1136</v>
      </c>
      <c r="C165" s="25" t="s">
        <v>1137</v>
      </c>
      <c r="E165" s="25" t="s">
        <v>10167</v>
      </c>
      <c r="L165" s="25" t="s">
        <v>1138</v>
      </c>
      <c r="M165" s="25">
        <v>7</v>
      </c>
      <c r="N165" s="24" t="s">
        <v>415</v>
      </c>
    </row>
    <row r="166" spans="1:14" ht="15.6" customHeight="1" x14ac:dyDescent="0.35">
      <c r="A166" s="25" t="s">
        <v>1139</v>
      </c>
      <c r="B166" s="25" t="s">
        <v>1140</v>
      </c>
      <c r="C166" s="25" t="s">
        <v>1141</v>
      </c>
      <c r="E166" s="25" t="s">
        <v>10168</v>
      </c>
      <c r="L166" s="25" t="s">
        <v>1142</v>
      </c>
      <c r="M166" s="25">
        <v>8</v>
      </c>
      <c r="N166" s="24" t="s">
        <v>415</v>
      </c>
    </row>
    <row r="167" spans="1:14" ht="15.6" customHeight="1" x14ac:dyDescent="0.35">
      <c r="A167" s="25" t="s">
        <v>1143</v>
      </c>
      <c r="B167" s="25" t="s">
        <v>1144</v>
      </c>
      <c r="C167" s="25" t="s">
        <v>1145</v>
      </c>
      <c r="E167" s="32" t="s">
        <v>1146</v>
      </c>
      <c r="F167" s="32"/>
      <c r="G167" s="32"/>
      <c r="H167" s="32"/>
      <c r="I167" s="32"/>
      <c r="J167" s="32"/>
      <c r="L167" s="25" t="s">
        <v>1144</v>
      </c>
      <c r="M167" s="25">
        <v>9</v>
      </c>
      <c r="N167" s="24" t="s">
        <v>415</v>
      </c>
    </row>
    <row r="168" spans="1:14" ht="15.6" customHeight="1" x14ac:dyDescent="0.35">
      <c r="A168" s="25" t="s">
        <v>1147</v>
      </c>
      <c r="B168" s="25" t="s">
        <v>1148</v>
      </c>
      <c r="C168" s="25" t="s">
        <v>1149</v>
      </c>
      <c r="E168" s="32" t="s">
        <v>1150</v>
      </c>
      <c r="F168" s="32"/>
      <c r="G168" s="32"/>
      <c r="H168" s="32"/>
      <c r="I168" s="32"/>
      <c r="J168" s="32"/>
      <c r="L168" s="25" t="s">
        <v>1151</v>
      </c>
      <c r="M168" s="25">
        <v>10</v>
      </c>
      <c r="N168" s="24" t="s">
        <v>415</v>
      </c>
    </row>
    <row r="169" spans="1:14" ht="15.6" customHeight="1" x14ac:dyDescent="0.35">
      <c r="A169" s="25" t="s">
        <v>1152</v>
      </c>
      <c r="B169" s="25" t="s">
        <v>1153</v>
      </c>
      <c r="C169" s="25" t="s">
        <v>1154</v>
      </c>
      <c r="E169" s="32" t="s">
        <v>1155</v>
      </c>
      <c r="F169" s="32"/>
      <c r="G169" s="32"/>
      <c r="H169" s="32"/>
      <c r="I169" s="32"/>
      <c r="J169" s="32"/>
      <c r="L169" s="25" t="s">
        <v>1156</v>
      </c>
      <c r="N169" s="24" t="s">
        <v>415</v>
      </c>
    </row>
    <row r="170" spans="1:14" ht="15.6" customHeight="1" x14ac:dyDescent="0.35">
      <c r="A170" s="25" t="s">
        <v>1157</v>
      </c>
      <c r="B170" s="25" t="s">
        <v>1158</v>
      </c>
      <c r="C170" s="25" t="s">
        <v>1159</v>
      </c>
      <c r="E170" s="32" t="s">
        <v>116</v>
      </c>
      <c r="F170" s="32"/>
      <c r="G170" s="32"/>
      <c r="H170" s="32"/>
      <c r="I170" s="32"/>
      <c r="J170" s="32"/>
      <c r="L170" s="25" t="s">
        <v>1160</v>
      </c>
      <c r="N170" s="24" t="s">
        <v>415</v>
      </c>
    </row>
    <row r="171" spans="1:14" ht="15.6" customHeight="1" x14ac:dyDescent="0.35">
      <c r="A171" s="25" t="s">
        <v>1161</v>
      </c>
      <c r="B171" s="25" t="s">
        <v>1162</v>
      </c>
      <c r="C171" s="25" t="s">
        <v>1163</v>
      </c>
      <c r="E171" s="32" t="s">
        <v>1164</v>
      </c>
      <c r="F171" s="32"/>
      <c r="G171" s="32"/>
      <c r="H171" s="32"/>
      <c r="I171" s="32"/>
      <c r="J171" s="32"/>
      <c r="L171" s="25" t="s">
        <v>1165</v>
      </c>
      <c r="N171" s="24" t="s">
        <v>415</v>
      </c>
    </row>
    <row r="172" spans="1:14" ht="15.6" customHeight="1" x14ac:dyDescent="0.35">
      <c r="A172" s="25" t="s">
        <v>1166</v>
      </c>
      <c r="B172" s="25" t="s">
        <v>1167</v>
      </c>
      <c r="C172" s="25" t="s">
        <v>1168</v>
      </c>
      <c r="E172" s="32" t="s">
        <v>181</v>
      </c>
      <c r="F172" s="32"/>
      <c r="G172" s="32"/>
      <c r="H172" s="32"/>
      <c r="I172" s="32"/>
      <c r="J172" s="32"/>
      <c r="N172" s="24" t="s">
        <v>1169</v>
      </c>
    </row>
    <row r="173" spans="1:14" ht="15.6" customHeight="1" x14ac:dyDescent="0.35">
      <c r="A173" s="25" t="s">
        <v>1170</v>
      </c>
      <c r="B173" s="25" t="s">
        <v>1171</v>
      </c>
      <c r="C173" s="25" t="s">
        <v>1172</v>
      </c>
      <c r="E173" s="32" t="s">
        <v>1173</v>
      </c>
      <c r="F173" s="32" t="s">
        <v>1174</v>
      </c>
      <c r="G173" s="32"/>
      <c r="H173" s="32"/>
      <c r="I173" s="32"/>
      <c r="J173" s="32"/>
      <c r="N173" s="24" t="s">
        <v>1169</v>
      </c>
    </row>
    <row r="174" spans="1:14" ht="15.6" customHeight="1" x14ac:dyDescent="0.35">
      <c r="A174" s="25" t="s">
        <v>1175</v>
      </c>
      <c r="B174" s="25" t="s">
        <v>1176</v>
      </c>
      <c r="C174" s="25" t="s">
        <v>1177</v>
      </c>
      <c r="E174" s="32" t="s">
        <v>1178</v>
      </c>
      <c r="F174" s="32"/>
      <c r="G174" s="32"/>
      <c r="H174" s="32"/>
      <c r="I174" s="32"/>
      <c r="J174" s="32"/>
      <c r="L174" s="25" t="s">
        <v>1179</v>
      </c>
      <c r="M174" s="25">
        <v>1</v>
      </c>
      <c r="N174" s="24" t="s">
        <v>1169</v>
      </c>
    </row>
    <row r="175" spans="1:14" ht="15.6" customHeight="1" x14ac:dyDescent="0.35">
      <c r="A175" s="25" t="s">
        <v>1180</v>
      </c>
      <c r="B175" s="25" t="s">
        <v>1181</v>
      </c>
      <c r="C175" s="25" t="s">
        <v>1182</v>
      </c>
      <c r="E175" s="32" t="s">
        <v>1183</v>
      </c>
      <c r="F175" s="32"/>
      <c r="G175" s="32"/>
      <c r="H175" s="32"/>
      <c r="I175" s="32"/>
      <c r="J175" s="32"/>
      <c r="L175" s="25" t="s">
        <v>1184</v>
      </c>
      <c r="M175" s="25">
        <v>2</v>
      </c>
      <c r="N175" s="24" t="s">
        <v>1169</v>
      </c>
    </row>
    <row r="176" spans="1:14" ht="15.6" customHeight="1" x14ac:dyDescent="0.35">
      <c r="A176" s="25" t="s">
        <v>1185</v>
      </c>
      <c r="B176" s="25" t="s">
        <v>1186</v>
      </c>
      <c r="C176" s="25" t="s">
        <v>1187</v>
      </c>
      <c r="E176" s="32" t="s">
        <v>1188</v>
      </c>
      <c r="F176" s="32"/>
      <c r="G176" s="32"/>
      <c r="H176" s="32"/>
      <c r="I176" s="32"/>
      <c r="J176" s="32"/>
      <c r="L176" s="25" t="s">
        <v>1189</v>
      </c>
      <c r="M176" s="25">
        <v>3</v>
      </c>
      <c r="N176" s="24" t="s">
        <v>1169</v>
      </c>
    </row>
    <row r="177" spans="1:14" ht="15.6" customHeight="1" x14ac:dyDescent="0.35">
      <c r="A177" s="25" t="s">
        <v>1190</v>
      </c>
      <c r="B177" s="25" t="s">
        <v>1191</v>
      </c>
      <c r="C177" s="25" t="s">
        <v>1192</v>
      </c>
      <c r="E177" s="32" t="s">
        <v>1193</v>
      </c>
      <c r="F177" s="32"/>
      <c r="G177" s="32"/>
      <c r="H177" s="32"/>
      <c r="I177" s="32"/>
      <c r="J177" s="32"/>
      <c r="L177" s="25" t="s">
        <v>1194</v>
      </c>
      <c r="M177" s="25">
        <v>4</v>
      </c>
      <c r="N177" s="24" t="s">
        <v>1169</v>
      </c>
    </row>
    <row r="178" spans="1:14" ht="15.6" customHeight="1" x14ac:dyDescent="0.35">
      <c r="A178" s="25" t="s">
        <v>1195</v>
      </c>
      <c r="B178" s="25" t="s">
        <v>1196</v>
      </c>
      <c r="C178" s="25" t="s">
        <v>1197</v>
      </c>
      <c r="E178" s="25" t="s">
        <v>1198</v>
      </c>
      <c r="F178" s="25" t="s">
        <v>1199</v>
      </c>
      <c r="G178" s="25" t="s">
        <v>1200</v>
      </c>
      <c r="H178" s="25" t="s">
        <v>1201</v>
      </c>
      <c r="I178" s="25" t="s">
        <v>1202</v>
      </c>
      <c r="L178" s="25" t="s">
        <v>1203</v>
      </c>
      <c r="M178" s="25">
        <v>5</v>
      </c>
      <c r="N178" s="24" t="s">
        <v>1169</v>
      </c>
    </row>
    <row r="179" spans="1:14" ht="15.6" customHeight="1" x14ac:dyDescent="0.35">
      <c r="A179" s="25" t="s">
        <v>1204</v>
      </c>
      <c r="B179" s="25" t="s">
        <v>1205</v>
      </c>
      <c r="C179" s="25" t="s">
        <v>1206</v>
      </c>
      <c r="E179" s="32" t="s">
        <v>1207</v>
      </c>
      <c r="F179" s="32"/>
      <c r="G179" s="32"/>
      <c r="H179" s="32"/>
      <c r="I179" s="32"/>
      <c r="J179" s="32"/>
      <c r="L179" s="25" t="s">
        <v>1208</v>
      </c>
      <c r="M179" s="25">
        <v>6</v>
      </c>
      <c r="N179" s="24" t="s">
        <v>1169</v>
      </c>
    </row>
    <row r="180" spans="1:14" ht="15.6" customHeight="1" x14ac:dyDescent="0.35">
      <c r="A180" s="25" t="s">
        <v>1209</v>
      </c>
      <c r="B180" s="25" t="s">
        <v>1210</v>
      </c>
      <c r="C180" s="25" t="s">
        <v>9490</v>
      </c>
      <c r="E180" s="32" t="s">
        <v>1211</v>
      </c>
      <c r="F180" s="32"/>
      <c r="G180" s="32"/>
      <c r="H180" s="32"/>
      <c r="I180" s="32"/>
      <c r="J180" s="32"/>
      <c r="N180" s="24" t="s">
        <v>1169</v>
      </c>
    </row>
    <row r="181" spans="1:14" ht="15.6" customHeight="1" x14ac:dyDescent="0.35">
      <c r="A181" s="25" t="s">
        <v>1212</v>
      </c>
      <c r="B181" s="25" t="s">
        <v>1213</v>
      </c>
      <c r="C181" s="25" t="s">
        <v>1214</v>
      </c>
      <c r="E181" s="32" t="s">
        <v>181</v>
      </c>
      <c r="F181" s="32"/>
      <c r="G181" s="32"/>
      <c r="H181" s="32"/>
      <c r="I181" s="32"/>
      <c r="J181" s="32"/>
      <c r="L181" s="25" t="s">
        <v>1215</v>
      </c>
      <c r="M181" s="25">
        <v>1</v>
      </c>
      <c r="N181" s="24" t="s">
        <v>1169</v>
      </c>
    </row>
    <row r="182" spans="1:14" ht="15.6" customHeight="1" x14ac:dyDescent="0.35">
      <c r="A182" s="25" t="s">
        <v>1216</v>
      </c>
      <c r="B182" s="25" t="s">
        <v>1217</v>
      </c>
      <c r="C182" s="25" t="s">
        <v>1218</v>
      </c>
      <c r="E182" s="32" t="s">
        <v>1173</v>
      </c>
      <c r="F182" s="32"/>
      <c r="G182" s="32"/>
      <c r="H182" s="32"/>
      <c r="I182" s="32"/>
      <c r="J182" s="32"/>
      <c r="L182" s="25" t="s">
        <v>1219</v>
      </c>
      <c r="M182" s="25">
        <v>2</v>
      </c>
      <c r="N182" s="24" t="s">
        <v>1169</v>
      </c>
    </row>
    <row r="183" spans="1:14" ht="15.6" customHeight="1" x14ac:dyDescent="0.35">
      <c r="A183" s="25" t="s">
        <v>1220</v>
      </c>
      <c r="B183" s="25" t="s">
        <v>1221</v>
      </c>
      <c r="C183" s="25" t="s">
        <v>1222</v>
      </c>
      <c r="E183" s="32" t="s">
        <v>1223</v>
      </c>
      <c r="F183" s="32" t="s">
        <v>1224</v>
      </c>
      <c r="G183" s="32" t="s">
        <v>1225</v>
      </c>
      <c r="H183" s="32" t="s">
        <v>1226</v>
      </c>
      <c r="I183" s="32" t="s">
        <v>1227</v>
      </c>
      <c r="J183" s="32"/>
      <c r="L183" s="25" t="s">
        <v>1228</v>
      </c>
      <c r="M183" s="25">
        <v>3</v>
      </c>
      <c r="N183" s="24" t="s">
        <v>1169</v>
      </c>
    </row>
    <row r="184" spans="1:14" ht="15.6" customHeight="1" x14ac:dyDescent="0.35">
      <c r="A184" s="25" t="s">
        <v>1229</v>
      </c>
      <c r="B184" s="25" t="s">
        <v>1230</v>
      </c>
      <c r="C184" s="25" t="s">
        <v>1231</v>
      </c>
      <c r="E184" s="25" t="s">
        <v>1232</v>
      </c>
      <c r="F184" s="25" t="s">
        <v>1233</v>
      </c>
      <c r="G184" s="25" t="s">
        <v>1234</v>
      </c>
      <c r="H184" s="25" t="s">
        <v>1235</v>
      </c>
      <c r="I184" s="25" t="s">
        <v>1236</v>
      </c>
      <c r="L184" s="25" t="s">
        <v>1237</v>
      </c>
      <c r="M184" s="25">
        <v>1</v>
      </c>
      <c r="N184" s="24" t="s">
        <v>1169</v>
      </c>
    </row>
    <row r="185" spans="1:14" ht="15.6" customHeight="1" x14ac:dyDescent="0.35">
      <c r="A185" s="25" t="s">
        <v>1238</v>
      </c>
      <c r="B185" s="25" t="s">
        <v>1239</v>
      </c>
      <c r="C185" s="25" t="s">
        <v>1240</v>
      </c>
      <c r="E185" s="32" t="s">
        <v>1241</v>
      </c>
      <c r="F185" s="32"/>
      <c r="G185" s="32"/>
      <c r="H185" s="32"/>
      <c r="I185" s="32"/>
      <c r="J185" s="32"/>
      <c r="L185" s="25" t="s">
        <v>1242</v>
      </c>
      <c r="M185" s="25">
        <v>2</v>
      </c>
      <c r="N185" s="24" t="s">
        <v>1169</v>
      </c>
    </row>
    <row r="186" spans="1:14" ht="15.6" customHeight="1" x14ac:dyDescent="0.35">
      <c r="A186" s="25" t="s">
        <v>1243</v>
      </c>
      <c r="B186" s="25" t="s">
        <v>1244</v>
      </c>
      <c r="C186" s="25" t="s">
        <v>1245</v>
      </c>
      <c r="E186" s="32" t="s">
        <v>1246</v>
      </c>
      <c r="F186" s="32"/>
      <c r="G186" s="32"/>
      <c r="H186" s="32"/>
      <c r="I186" s="32"/>
      <c r="J186" s="32"/>
      <c r="L186" s="25" t="s">
        <v>1247</v>
      </c>
      <c r="M186" s="25">
        <v>3</v>
      </c>
      <c r="N186" s="24" t="s">
        <v>1169</v>
      </c>
    </row>
    <row r="187" spans="1:14" ht="15.6" customHeight="1" x14ac:dyDescent="0.35">
      <c r="A187" s="25" t="s">
        <v>1248</v>
      </c>
      <c r="B187" s="25" t="s">
        <v>1249</v>
      </c>
      <c r="C187" s="25" t="s">
        <v>1250</v>
      </c>
      <c r="E187" s="32" t="s">
        <v>1251</v>
      </c>
      <c r="F187" s="32"/>
      <c r="G187" s="32"/>
      <c r="H187" s="32"/>
      <c r="I187" s="32"/>
      <c r="J187" s="32"/>
      <c r="L187" s="25" t="s">
        <v>1248</v>
      </c>
      <c r="M187" s="25">
        <v>4</v>
      </c>
      <c r="N187" s="24" t="s">
        <v>1169</v>
      </c>
    </row>
    <row r="188" spans="1:14" ht="15.6" customHeight="1" x14ac:dyDescent="0.35">
      <c r="A188" s="25" t="s">
        <v>1252</v>
      </c>
      <c r="B188" s="25" t="s">
        <v>1253</v>
      </c>
      <c r="C188" s="25" t="s">
        <v>1254</v>
      </c>
      <c r="E188" s="32" t="s">
        <v>1255</v>
      </c>
      <c r="F188" s="32"/>
      <c r="G188" s="32"/>
      <c r="H188" s="32"/>
      <c r="I188" s="32"/>
      <c r="J188" s="32"/>
      <c r="L188" s="25" t="s">
        <v>1256</v>
      </c>
      <c r="M188" s="25">
        <v>5</v>
      </c>
      <c r="N188" s="24" t="s">
        <v>1169</v>
      </c>
    </row>
    <row r="189" spans="1:14" ht="15.6" customHeight="1" x14ac:dyDescent="0.35">
      <c r="A189" s="25" t="s">
        <v>1257</v>
      </c>
      <c r="B189" s="25" t="s">
        <v>1258</v>
      </c>
      <c r="C189" s="25" t="s">
        <v>1259</v>
      </c>
      <c r="E189" s="32" t="s">
        <v>1260</v>
      </c>
      <c r="F189" s="32"/>
      <c r="G189" s="32"/>
      <c r="H189" s="32"/>
      <c r="I189" s="32"/>
      <c r="J189" s="32"/>
      <c r="M189" s="25">
        <v>6</v>
      </c>
      <c r="N189" s="24" t="s">
        <v>1169</v>
      </c>
    </row>
    <row r="190" spans="1:14" ht="15.6" customHeight="1" x14ac:dyDescent="0.35">
      <c r="A190" s="25" t="s">
        <v>1261</v>
      </c>
      <c r="B190" s="25" t="s">
        <v>1262</v>
      </c>
      <c r="C190" s="25" t="s">
        <v>1263</v>
      </c>
      <c r="E190" s="32" t="s">
        <v>1264</v>
      </c>
      <c r="F190" s="32"/>
      <c r="G190" s="32"/>
      <c r="H190" s="32"/>
      <c r="I190" s="32"/>
      <c r="J190" s="32"/>
      <c r="M190" s="25">
        <v>7</v>
      </c>
      <c r="N190" s="24" t="s">
        <v>1169</v>
      </c>
    </row>
    <row r="191" spans="1:14" ht="15.6" customHeight="1" x14ac:dyDescent="0.35">
      <c r="A191" s="25" t="s">
        <v>1265</v>
      </c>
      <c r="B191" s="25" t="s">
        <v>1266</v>
      </c>
      <c r="C191" s="25" t="s">
        <v>1267</v>
      </c>
      <c r="E191" s="25" t="s">
        <v>10169</v>
      </c>
      <c r="L191" s="25" t="s">
        <v>1268</v>
      </c>
      <c r="M191" s="25">
        <v>8</v>
      </c>
      <c r="N191" s="24" t="s">
        <v>1169</v>
      </c>
    </row>
    <row r="192" spans="1:14" ht="15.6" customHeight="1" x14ac:dyDescent="0.35">
      <c r="A192" s="25" t="s">
        <v>1269</v>
      </c>
      <c r="B192" s="25" t="s">
        <v>1270</v>
      </c>
      <c r="C192" s="25" t="s">
        <v>1271</v>
      </c>
      <c r="E192" s="32" t="s">
        <v>1272</v>
      </c>
      <c r="F192" s="32"/>
      <c r="G192" s="32"/>
      <c r="H192" s="32"/>
      <c r="I192" s="32"/>
      <c r="J192" s="32"/>
      <c r="L192" s="25" t="s">
        <v>1273</v>
      </c>
      <c r="M192" s="25">
        <v>9</v>
      </c>
      <c r="N192" s="24" t="s">
        <v>1169</v>
      </c>
    </row>
    <row r="193" spans="1:14" ht="15.6" customHeight="1" x14ac:dyDescent="0.35">
      <c r="A193" s="25" t="s">
        <v>1274</v>
      </c>
      <c r="B193" s="25" t="s">
        <v>1275</v>
      </c>
      <c r="C193" s="25" t="s">
        <v>1276</v>
      </c>
      <c r="E193" s="32" t="s">
        <v>1277</v>
      </c>
      <c r="F193" s="32"/>
      <c r="G193" s="32"/>
      <c r="H193" s="32"/>
      <c r="I193" s="32"/>
      <c r="J193" s="32"/>
      <c r="L193" s="25" t="s">
        <v>1278</v>
      </c>
      <c r="M193" s="25">
        <v>10</v>
      </c>
      <c r="N193" s="24" t="s">
        <v>1169</v>
      </c>
    </row>
    <row r="194" spans="1:14" ht="15.6" customHeight="1" x14ac:dyDescent="0.35">
      <c r="A194" s="25" t="s">
        <v>1279</v>
      </c>
      <c r="B194" s="25" t="s">
        <v>1280</v>
      </c>
      <c r="C194" s="25" t="s">
        <v>1281</v>
      </c>
      <c r="E194" s="25" t="s">
        <v>1282</v>
      </c>
      <c r="F194" s="25" t="s">
        <v>1283</v>
      </c>
      <c r="G194" s="25" t="s">
        <v>1284</v>
      </c>
      <c r="H194" s="25" t="s">
        <v>1285</v>
      </c>
      <c r="I194" s="25" t="s">
        <v>1286</v>
      </c>
      <c r="L194" s="25" t="s">
        <v>1287</v>
      </c>
      <c r="M194" s="25">
        <v>11</v>
      </c>
      <c r="N194" s="24" t="s">
        <v>1169</v>
      </c>
    </row>
    <row r="195" spans="1:14" ht="15.6" customHeight="1" x14ac:dyDescent="0.35">
      <c r="A195" s="25" t="s">
        <v>1288</v>
      </c>
      <c r="B195" s="25" t="s">
        <v>1289</v>
      </c>
      <c r="C195" s="25" t="s">
        <v>1290</v>
      </c>
      <c r="E195" s="32" t="s">
        <v>1291</v>
      </c>
      <c r="F195" s="32"/>
      <c r="G195" s="32"/>
      <c r="H195" s="32"/>
      <c r="I195" s="32"/>
      <c r="J195" s="32"/>
      <c r="L195" s="25" t="s">
        <v>1292</v>
      </c>
      <c r="M195" s="25">
        <v>12</v>
      </c>
      <c r="N195" s="24" t="s">
        <v>1169</v>
      </c>
    </row>
    <row r="196" spans="1:14" ht="15.6" customHeight="1" x14ac:dyDescent="0.35">
      <c r="A196" s="25" t="s">
        <v>1293</v>
      </c>
      <c r="B196" s="25" t="s">
        <v>1294</v>
      </c>
      <c r="C196" s="25" t="s">
        <v>1295</v>
      </c>
      <c r="E196" s="32" t="s">
        <v>1296</v>
      </c>
      <c r="F196" s="32"/>
      <c r="G196" s="32"/>
      <c r="H196" s="32"/>
      <c r="I196" s="32"/>
      <c r="J196" s="32"/>
      <c r="L196" s="25" t="s">
        <v>1297</v>
      </c>
      <c r="M196" s="25">
        <v>13</v>
      </c>
      <c r="N196" s="24" t="s">
        <v>1169</v>
      </c>
    </row>
    <row r="197" spans="1:14" ht="15.6" customHeight="1" x14ac:dyDescent="0.35">
      <c r="A197" s="25" t="s">
        <v>1298</v>
      </c>
      <c r="B197" s="25" t="s">
        <v>1299</v>
      </c>
      <c r="C197" s="25" t="s">
        <v>1300</v>
      </c>
      <c r="E197" s="32" t="s">
        <v>1301</v>
      </c>
      <c r="F197" s="32"/>
      <c r="G197" s="32"/>
      <c r="H197" s="32"/>
      <c r="I197" s="32"/>
      <c r="J197" s="32"/>
      <c r="L197" s="25" t="s">
        <v>1302</v>
      </c>
      <c r="M197" s="25">
        <v>14</v>
      </c>
      <c r="N197" s="24" t="s">
        <v>1169</v>
      </c>
    </row>
    <row r="198" spans="1:14" ht="15.6" customHeight="1" x14ac:dyDescent="0.35">
      <c r="A198" s="25" t="s">
        <v>1303</v>
      </c>
      <c r="B198" s="25" t="s">
        <v>1304</v>
      </c>
      <c r="C198" s="25" t="s">
        <v>1305</v>
      </c>
      <c r="E198" s="32" t="s">
        <v>1306</v>
      </c>
      <c r="F198" s="32"/>
      <c r="G198" s="32"/>
      <c r="H198" s="32"/>
      <c r="I198" s="32"/>
      <c r="J198" s="32"/>
      <c r="N198" s="24" t="s">
        <v>1169</v>
      </c>
    </row>
    <row r="199" spans="1:14" ht="15.6" customHeight="1" x14ac:dyDescent="0.35">
      <c r="A199" s="25" t="s">
        <v>1307</v>
      </c>
      <c r="B199" s="25" t="s">
        <v>1308</v>
      </c>
      <c r="C199" s="25" t="s">
        <v>1309</v>
      </c>
      <c r="E199" s="32" t="s">
        <v>1310</v>
      </c>
      <c r="F199" s="32"/>
      <c r="G199" s="32"/>
      <c r="H199" s="32"/>
      <c r="I199" s="32"/>
      <c r="J199" s="32"/>
      <c r="N199" s="24" t="s">
        <v>1169</v>
      </c>
    </row>
    <row r="200" spans="1:14" ht="15.6" customHeight="1" x14ac:dyDescent="0.35">
      <c r="A200" s="25" t="s">
        <v>1311</v>
      </c>
      <c r="B200" s="25" t="s">
        <v>1312</v>
      </c>
      <c r="C200" s="25" t="s">
        <v>1313</v>
      </c>
      <c r="E200" s="32" t="s">
        <v>1314</v>
      </c>
      <c r="F200" s="32"/>
      <c r="G200" s="32"/>
      <c r="H200" s="32"/>
      <c r="I200" s="32"/>
      <c r="J200" s="32"/>
      <c r="N200" s="24" t="s">
        <v>1169</v>
      </c>
    </row>
    <row r="201" spans="1:14" ht="15.6" customHeight="1" x14ac:dyDescent="0.35">
      <c r="A201" s="25" t="s">
        <v>1315</v>
      </c>
      <c r="B201" s="25" t="s">
        <v>1316</v>
      </c>
      <c r="C201" s="25" t="s">
        <v>1317</v>
      </c>
      <c r="E201" s="32" t="s">
        <v>1318</v>
      </c>
      <c r="F201" s="32"/>
      <c r="G201" s="32"/>
      <c r="H201" s="32"/>
      <c r="I201" s="32"/>
      <c r="J201" s="32"/>
      <c r="N201" s="24" t="s">
        <v>1169</v>
      </c>
    </row>
    <row r="202" spans="1:14" ht="15.6" customHeight="1" x14ac:dyDescent="0.35">
      <c r="A202" s="25" t="s">
        <v>1319</v>
      </c>
      <c r="B202" s="25" t="s">
        <v>1320</v>
      </c>
      <c r="C202" s="25" t="s">
        <v>1321</v>
      </c>
      <c r="E202" s="32" t="s">
        <v>1322</v>
      </c>
      <c r="F202" s="32"/>
      <c r="G202" s="32"/>
      <c r="H202" s="32"/>
      <c r="I202" s="32"/>
      <c r="J202" s="32"/>
      <c r="N202" s="24" t="s">
        <v>1169</v>
      </c>
    </row>
    <row r="203" spans="1:14" ht="15.6" customHeight="1" x14ac:dyDescent="0.35">
      <c r="A203" s="25" t="s">
        <v>1323</v>
      </c>
      <c r="B203" s="25" t="s">
        <v>1324</v>
      </c>
      <c r="C203" s="25" t="s">
        <v>1325</v>
      </c>
      <c r="E203" s="32" t="s">
        <v>1326</v>
      </c>
      <c r="F203" s="32"/>
      <c r="G203" s="32"/>
      <c r="H203" s="32"/>
      <c r="I203" s="32"/>
      <c r="J203" s="32"/>
      <c r="N203" s="24" t="s">
        <v>1169</v>
      </c>
    </row>
    <row r="204" spans="1:14" ht="15.6" customHeight="1" x14ac:dyDescent="0.35">
      <c r="A204" s="25" t="s">
        <v>1327</v>
      </c>
      <c r="B204" s="25" t="s">
        <v>1328</v>
      </c>
      <c r="C204" s="25" t="s">
        <v>1329</v>
      </c>
      <c r="E204" s="32" t="s">
        <v>1330</v>
      </c>
      <c r="F204" s="7" t="s">
        <v>9674</v>
      </c>
      <c r="G204" s="7" t="s">
        <v>9675</v>
      </c>
      <c r="H204" s="7" t="s">
        <v>9676</v>
      </c>
      <c r="I204" s="7" t="s">
        <v>9677</v>
      </c>
      <c r="J204" s="7" t="s">
        <v>9678</v>
      </c>
      <c r="N204" s="24" t="s">
        <v>1169</v>
      </c>
    </row>
    <row r="205" spans="1:14" ht="15.6" customHeight="1" x14ac:dyDescent="0.35">
      <c r="A205" s="25" t="s">
        <v>1331</v>
      </c>
      <c r="B205" s="25" t="s">
        <v>1332</v>
      </c>
      <c r="C205" s="25" t="s">
        <v>1333</v>
      </c>
      <c r="E205" s="32" t="s">
        <v>1334</v>
      </c>
      <c r="F205" s="32"/>
      <c r="G205" s="32"/>
      <c r="H205" s="32"/>
      <c r="I205" s="32"/>
      <c r="J205" s="32"/>
      <c r="N205" s="24" t="s">
        <v>1169</v>
      </c>
    </row>
    <row r="206" spans="1:14" ht="15.6" customHeight="1" x14ac:dyDescent="0.35">
      <c r="A206" s="25" t="s">
        <v>1335</v>
      </c>
      <c r="B206" s="25" t="s">
        <v>1336</v>
      </c>
      <c r="C206" s="25" t="s">
        <v>1337</v>
      </c>
      <c r="E206" s="32" t="s">
        <v>1338</v>
      </c>
      <c r="F206" s="32" t="s">
        <v>9431</v>
      </c>
      <c r="G206" s="32" t="s">
        <v>9432</v>
      </c>
      <c r="H206" s="32"/>
      <c r="I206" s="32"/>
      <c r="J206" s="32"/>
      <c r="L206" s="25" t="s">
        <v>1339</v>
      </c>
      <c r="M206" s="25">
        <v>1</v>
      </c>
      <c r="N206" s="24" t="s">
        <v>415</v>
      </c>
    </row>
    <row r="207" spans="1:14" ht="15.6" customHeight="1" x14ac:dyDescent="0.35">
      <c r="A207" s="25" t="s">
        <v>1340</v>
      </c>
      <c r="B207" s="25" t="s">
        <v>1341</v>
      </c>
      <c r="C207" s="25" t="s">
        <v>1342</v>
      </c>
      <c r="E207" s="32" t="s">
        <v>1343</v>
      </c>
      <c r="F207" s="32"/>
      <c r="G207" s="32"/>
      <c r="H207" s="32"/>
      <c r="I207" s="32"/>
      <c r="J207" s="32"/>
      <c r="L207" s="25" t="s">
        <v>1344</v>
      </c>
      <c r="M207" s="25">
        <v>2</v>
      </c>
      <c r="N207" s="24" t="s">
        <v>415</v>
      </c>
    </row>
    <row r="208" spans="1:14" ht="15.6" customHeight="1" x14ac:dyDescent="0.35">
      <c r="A208" s="25" t="s">
        <v>1345</v>
      </c>
      <c r="B208" s="25" t="s">
        <v>1346</v>
      </c>
      <c r="C208" s="25" t="s">
        <v>1347</v>
      </c>
      <c r="E208" s="32" t="s">
        <v>1348</v>
      </c>
      <c r="F208" s="32"/>
      <c r="G208" s="32"/>
      <c r="H208" s="32"/>
      <c r="I208" s="32"/>
      <c r="J208" s="32"/>
      <c r="L208" s="25" t="s">
        <v>1349</v>
      </c>
      <c r="M208" s="25">
        <v>3</v>
      </c>
      <c r="N208" s="24" t="s">
        <v>415</v>
      </c>
    </row>
    <row r="209" spans="1:14" ht="15.6" customHeight="1" x14ac:dyDescent="0.35">
      <c r="A209" s="25" t="s">
        <v>1350</v>
      </c>
      <c r="B209" s="25" t="s">
        <v>1351</v>
      </c>
      <c r="C209" s="25" t="s">
        <v>1352</v>
      </c>
      <c r="E209" s="32" t="s">
        <v>1353</v>
      </c>
      <c r="F209" s="32"/>
      <c r="G209" s="32"/>
      <c r="H209" s="32"/>
      <c r="I209" s="32"/>
      <c r="J209" s="32"/>
      <c r="L209" s="25" t="s">
        <v>1354</v>
      </c>
      <c r="M209" s="25">
        <v>4</v>
      </c>
      <c r="N209" s="24" t="s">
        <v>415</v>
      </c>
    </row>
    <row r="210" spans="1:14" ht="15.6" customHeight="1" x14ac:dyDescent="0.35">
      <c r="A210" s="25" t="s">
        <v>1355</v>
      </c>
      <c r="B210" s="25" t="s">
        <v>1356</v>
      </c>
      <c r="C210" s="25" t="s">
        <v>1357</v>
      </c>
      <c r="E210" s="32" t="s">
        <v>1358</v>
      </c>
      <c r="F210" s="32"/>
      <c r="G210" s="32"/>
      <c r="H210" s="32"/>
      <c r="I210" s="32"/>
      <c r="J210" s="32"/>
      <c r="L210" s="25" t="s">
        <v>1359</v>
      </c>
      <c r="M210" s="25">
        <v>5</v>
      </c>
      <c r="N210" s="24" t="s">
        <v>415</v>
      </c>
    </row>
    <row r="211" spans="1:14" ht="15.6" customHeight="1" x14ac:dyDescent="0.35">
      <c r="A211" s="25" t="s">
        <v>1360</v>
      </c>
      <c r="B211" s="25" t="s">
        <v>1361</v>
      </c>
      <c r="C211" s="25" t="s">
        <v>1362</v>
      </c>
      <c r="E211" s="32" t="s">
        <v>1363</v>
      </c>
      <c r="F211" s="32"/>
      <c r="G211" s="32"/>
      <c r="H211" s="32"/>
      <c r="I211" s="32"/>
      <c r="J211" s="32"/>
      <c r="M211" s="25">
        <v>1</v>
      </c>
      <c r="N211" s="24" t="s">
        <v>415</v>
      </c>
    </row>
    <row r="212" spans="1:14" ht="15.6" customHeight="1" x14ac:dyDescent="0.35">
      <c r="A212" s="25" t="s">
        <v>1364</v>
      </c>
      <c r="B212" s="25" t="s">
        <v>1365</v>
      </c>
      <c r="C212" s="25" t="s">
        <v>1366</v>
      </c>
      <c r="E212" s="32" t="s">
        <v>1367</v>
      </c>
      <c r="F212" s="32"/>
      <c r="G212" s="32"/>
      <c r="H212" s="32"/>
      <c r="I212" s="32"/>
      <c r="J212" s="32"/>
      <c r="M212" s="25">
        <v>2</v>
      </c>
      <c r="N212" s="24" t="s">
        <v>415</v>
      </c>
    </row>
    <row r="213" spans="1:14" ht="15.6" customHeight="1" x14ac:dyDescent="0.35">
      <c r="A213" s="25" t="s">
        <v>1368</v>
      </c>
      <c r="B213" s="25" t="s">
        <v>1369</v>
      </c>
      <c r="C213" s="25" t="s">
        <v>1370</v>
      </c>
      <c r="E213" s="32" t="s">
        <v>1371</v>
      </c>
      <c r="F213" s="32"/>
      <c r="G213" s="32"/>
      <c r="H213" s="32"/>
      <c r="I213" s="32"/>
      <c r="J213" s="32"/>
      <c r="M213" s="25">
        <v>3</v>
      </c>
      <c r="N213" s="24" t="s">
        <v>415</v>
      </c>
    </row>
    <row r="214" spans="1:14" ht="15.6" customHeight="1" x14ac:dyDescent="0.35">
      <c r="A214" s="25" t="s">
        <v>1372</v>
      </c>
      <c r="B214" s="25" t="s">
        <v>1373</v>
      </c>
      <c r="C214" s="25" t="s">
        <v>1374</v>
      </c>
      <c r="E214" s="32" t="s">
        <v>1375</v>
      </c>
      <c r="F214" s="32"/>
      <c r="G214" s="32"/>
      <c r="H214" s="32"/>
      <c r="I214" s="32"/>
      <c r="J214" s="32"/>
      <c r="M214" s="25">
        <v>4</v>
      </c>
      <c r="N214" s="24" t="s">
        <v>415</v>
      </c>
    </row>
    <row r="215" spans="1:14" ht="15.6" customHeight="1" x14ac:dyDescent="0.35">
      <c r="A215" s="25" t="s">
        <v>1376</v>
      </c>
      <c r="B215" s="25" t="s">
        <v>1377</v>
      </c>
      <c r="C215" s="25" t="s">
        <v>1378</v>
      </c>
      <c r="E215" s="32" t="s">
        <v>1379</v>
      </c>
      <c r="F215" s="32"/>
      <c r="G215" s="32"/>
      <c r="H215" s="32"/>
      <c r="I215" s="32"/>
      <c r="J215" s="32"/>
      <c r="M215" s="25">
        <v>5</v>
      </c>
      <c r="N215" s="24" t="s">
        <v>415</v>
      </c>
    </row>
    <row r="216" spans="1:14" ht="15.6" customHeight="1" x14ac:dyDescent="0.35">
      <c r="A216" s="25" t="s">
        <v>9664</v>
      </c>
      <c r="B216" s="25" t="s">
        <v>1380</v>
      </c>
      <c r="C216" s="25" t="s">
        <v>1381</v>
      </c>
      <c r="E216" s="32" t="s">
        <v>1382</v>
      </c>
      <c r="F216" s="32"/>
      <c r="G216" s="32"/>
      <c r="H216" s="32"/>
      <c r="I216" s="32"/>
      <c r="J216" s="32"/>
      <c r="M216" s="25">
        <v>6</v>
      </c>
      <c r="N216" s="24" t="s">
        <v>415</v>
      </c>
    </row>
    <row r="217" spans="1:14" ht="15.6" customHeight="1" x14ac:dyDescent="0.35">
      <c r="A217" s="25" t="s">
        <v>1383</v>
      </c>
      <c r="B217" s="25" t="s">
        <v>1384</v>
      </c>
      <c r="C217" s="25" t="s">
        <v>1385</v>
      </c>
      <c r="E217" s="32" t="s">
        <v>1386</v>
      </c>
      <c r="F217" s="32"/>
      <c r="G217" s="32"/>
      <c r="H217" s="32"/>
      <c r="I217" s="32"/>
      <c r="J217" s="32"/>
      <c r="M217" s="25">
        <v>7</v>
      </c>
      <c r="N217" s="24" t="s">
        <v>415</v>
      </c>
    </row>
    <row r="218" spans="1:14" ht="15.6" customHeight="1" x14ac:dyDescent="0.35">
      <c r="A218" s="25" t="s">
        <v>9459</v>
      </c>
      <c r="B218" s="25" t="s">
        <v>1387</v>
      </c>
      <c r="C218" s="25" t="s">
        <v>1388</v>
      </c>
      <c r="E218" s="32" t="s">
        <v>1389</v>
      </c>
      <c r="F218" s="32"/>
      <c r="G218" s="32"/>
      <c r="H218" s="32"/>
      <c r="I218" s="32"/>
      <c r="J218" s="32"/>
      <c r="N218" s="24" t="s">
        <v>415</v>
      </c>
    </row>
    <row r="219" spans="1:14" ht="15.6" customHeight="1" x14ac:dyDescent="0.35">
      <c r="A219" s="25" t="s">
        <v>1390</v>
      </c>
      <c r="B219" s="25" t="s">
        <v>1391</v>
      </c>
      <c r="C219" s="25" t="s">
        <v>1392</v>
      </c>
      <c r="E219" s="32" t="s">
        <v>1393</v>
      </c>
      <c r="F219" s="32"/>
      <c r="G219" s="32"/>
      <c r="H219" s="32"/>
      <c r="I219" s="32"/>
      <c r="J219" s="32"/>
      <c r="N219" s="24" t="s">
        <v>415</v>
      </c>
    </row>
    <row r="220" spans="1:14" ht="15.6" customHeight="1" x14ac:dyDescent="0.35">
      <c r="A220" s="25" t="s">
        <v>1394</v>
      </c>
      <c r="B220" s="25" t="s">
        <v>1395</v>
      </c>
      <c r="C220" s="25" t="s">
        <v>1396</v>
      </c>
      <c r="E220" s="32" t="s">
        <v>1397</v>
      </c>
      <c r="F220" s="32"/>
      <c r="G220" s="32"/>
      <c r="H220" s="32"/>
      <c r="I220" s="32"/>
      <c r="J220" s="32"/>
      <c r="N220" s="24" t="s">
        <v>415</v>
      </c>
    </row>
    <row r="221" spans="1:14" ht="15.6" customHeight="1" x14ac:dyDescent="0.35">
      <c r="A221" s="25" t="s">
        <v>1398</v>
      </c>
      <c r="B221" s="25" t="s">
        <v>1399</v>
      </c>
      <c r="C221" s="25" t="s">
        <v>1400</v>
      </c>
      <c r="E221" s="32" t="s">
        <v>1401</v>
      </c>
      <c r="F221" s="32"/>
      <c r="G221" s="32"/>
      <c r="H221" s="32"/>
      <c r="I221" s="32"/>
      <c r="J221" s="32"/>
      <c r="N221" s="24" t="s">
        <v>415</v>
      </c>
    </row>
    <row r="222" spans="1:14" ht="15.6" customHeight="1" x14ac:dyDescent="0.35">
      <c r="A222" s="25" t="s">
        <v>1402</v>
      </c>
      <c r="B222" s="25" t="s">
        <v>1403</v>
      </c>
      <c r="C222" s="25" t="s">
        <v>1404</v>
      </c>
      <c r="E222" s="32" t="s">
        <v>1405</v>
      </c>
      <c r="F222" s="32"/>
      <c r="G222" s="32"/>
      <c r="H222" s="32"/>
      <c r="I222" s="32"/>
      <c r="J222" s="32"/>
      <c r="N222" s="24" t="s">
        <v>415</v>
      </c>
    </row>
    <row r="223" spans="1:14" ht="15.6" customHeight="1" x14ac:dyDescent="0.35">
      <c r="A223" s="25" t="s">
        <v>1406</v>
      </c>
      <c r="B223" s="25" t="s">
        <v>1407</v>
      </c>
      <c r="C223" s="25" t="s">
        <v>1408</v>
      </c>
      <c r="E223" s="32" t="s">
        <v>1409</v>
      </c>
      <c r="F223" s="32"/>
      <c r="G223" s="32"/>
      <c r="H223" s="32"/>
      <c r="I223" s="32"/>
      <c r="J223" s="32"/>
      <c r="N223" s="24" t="s">
        <v>415</v>
      </c>
    </row>
    <row r="224" spans="1:14" ht="15.6" customHeight="1" x14ac:dyDescent="0.35">
      <c r="A224" s="25" t="s">
        <v>1410</v>
      </c>
      <c r="B224" s="25" t="s">
        <v>1411</v>
      </c>
      <c r="C224" s="25" t="s">
        <v>1412</v>
      </c>
      <c r="E224" s="32" t="s">
        <v>1413</v>
      </c>
      <c r="F224" s="32"/>
      <c r="G224" s="32"/>
      <c r="H224" s="32"/>
      <c r="I224" s="32"/>
      <c r="J224" s="32"/>
      <c r="N224" s="24" t="s">
        <v>415</v>
      </c>
    </row>
    <row r="225" spans="1:14" ht="15.6" customHeight="1" x14ac:dyDescent="0.35">
      <c r="A225" s="25" t="s">
        <v>1414</v>
      </c>
      <c r="B225" s="25" t="s">
        <v>1415</v>
      </c>
      <c r="C225" s="25" t="s">
        <v>1416</v>
      </c>
      <c r="E225" s="32" t="s">
        <v>1417</v>
      </c>
      <c r="F225" s="32"/>
      <c r="G225" s="32"/>
      <c r="H225" s="32"/>
      <c r="I225" s="32"/>
      <c r="J225" s="32"/>
      <c r="N225" s="24" t="s">
        <v>415</v>
      </c>
    </row>
    <row r="226" spans="1:14" ht="15.6" customHeight="1" x14ac:dyDescent="0.35">
      <c r="A226" s="25" t="s">
        <v>1418</v>
      </c>
      <c r="B226" s="25" t="s">
        <v>1419</v>
      </c>
      <c r="C226" s="25" t="s">
        <v>1420</v>
      </c>
      <c r="E226" s="32" t="s">
        <v>1421</v>
      </c>
      <c r="F226" s="32"/>
      <c r="G226" s="32"/>
      <c r="H226" s="32"/>
      <c r="I226" s="32"/>
      <c r="J226" s="32"/>
      <c r="N226" s="24" t="s">
        <v>415</v>
      </c>
    </row>
    <row r="227" spans="1:14" ht="15.6" customHeight="1" x14ac:dyDescent="0.35">
      <c r="A227" s="25" t="s">
        <v>1422</v>
      </c>
      <c r="B227" s="25" t="s">
        <v>1423</v>
      </c>
      <c r="C227" s="25" t="s">
        <v>1424</v>
      </c>
      <c r="E227" s="32" t="s">
        <v>1425</v>
      </c>
      <c r="F227" s="32"/>
      <c r="G227" s="32"/>
      <c r="H227" s="32"/>
      <c r="I227" s="32"/>
      <c r="J227" s="32"/>
      <c r="N227" s="24" t="s">
        <v>415</v>
      </c>
    </row>
    <row r="228" spans="1:14" ht="15.6" customHeight="1" x14ac:dyDescent="0.35">
      <c r="A228" s="25" t="s">
        <v>1426</v>
      </c>
      <c r="B228" s="25" t="s">
        <v>1427</v>
      </c>
      <c r="C228" s="25" t="s">
        <v>1428</v>
      </c>
      <c r="E228" s="25" t="s">
        <v>1429</v>
      </c>
      <c r="N228" s="24" t="s">
        <v>415</v>
      </c>
    </row>
    <row r="229" spans="1:14" ht="15.6" customHeight="1" x14ac:dyDescent="0.35">
      <c r="A229" s="25" t="s">
        <v>1430</v>
      </c>
      <c r="B229" s="25" t="s">
        <v>1431</v>
      </c>
      <c r="C229" s="25" t="s">
        <v>1432</v>
      </c>
      <c r="E229" s="32" t="s">
        <v>1433</v>
      </c>
      <c r="F229" s="32"/>
      <c r="G229" s="32"/>
      <c r="H229" s="32"/>
      <c r="I229" s="32"/>
      <c r="J229" s="32"/>
      <c r="M229" s="25">
        <v>1</v>
      </c>
      <c r="N229" s="24" t="s">
        <v>1434</v>
      </c>
    </row>
    <row r="230" spans="1:14" ht="15.6" customHeight="1" x14ac:dyDescent="0.35">
      <c r="A230" s="25" t="s">
        <v>1435</v>
      </c>
      <c r="B230" s="25" t="s">
        <v>1436</v>
      </c>
      <c r="C230" s="25" t="s">
        <v>1437</v>
      </c>
      <c r="E230" s="32" t="s">
        <v>1438</v>
      </c>
      <c r="F230" s="32"/>
      <c r="G230" s="32"/>
      <c r="H230" s="32"/>
      <c r="I230" s="32"/>
      <c r="J230" s="32"/>
      <c r="M230" s="25">
        <v>2</v>
      </c>
      <c r="N230" s="24" t="s">
        <v>1434</v>
      </c>
    </row>
    <row r="231" spans="1:14" ht="15.6" customHeight="1" x14ac:dyDescent="0.35">
      <c r="A231" s="25" t="s">
        <v>1439</v>
      </c>
      <c r="B231" s="25" t="s">
        <v>1440</v>
      </c>
      <c r="C231" s="25" t="s">
        <v>1441</v>
      </c>
      <c r="E231" s="32" t="s">
        <v>1442</v>
      </c>
      <c r="F231" s="32"/>
      <c r="G231" s="32"/>
      <c r="H231" s="32"/>
      <c r="I231" s="32"/>
      <c r="J231" s="32"/>
      <c r="L231" s="25" t="s">
        <v>1443</v>
      </c>
      <c r="M231" s="25">
        <v>3</v>
      </c>
      <c r="N231" s="24" t="s">
        <v>1434</v>
      </c>
    </row>
    <row r="232" spans="1:14" ht="15.6" customHeight="1" x14ac:dyDescent="0.35">
      <c r="A232" s="25" t="s">
        <v>1444</v>
      </c>
      <c r="B232" s="25" t="s">
        <v>1445</v>
      </c>
      <c r="C232" s="25" t="s">
        <v>1446</v>
      </c>
      <c r="E232" s="32" t="s">
        <v>1447</v>
      </c>
      <c r="F232" s="32" t="s">
        <v>1448</v>
      </c>
      <c r="G232" s="32" t="s">
        <v>1449</v>
      </c>
      <c r="M232" s="25">
        <v>5</v>
      </c>
      <c r="N232" s="24" t="s">
        <v>1434</v>
      </c>
    </row>
    <row r="233" spans="1:14" ht="15.6" customHeight="1" x14ac:dyDescent="0.35">
      <c r="A233" s="25" t="s">
        <v>1450</v>
      </c>
      <c r="B233" s="25" t="s">
        <v>1451</v>
      </c>
      <c r="C233" s="25" t="s">
        <v>1452</v>
      </c>
      <c r="E233" s="32" t="s">
        <v>1453</v>
      </c>
      <c r="F233" s="32"/>
      <c r="G233" s="32"/>
      <c r="H233" s="32"/>
      <c r="I233" s="32"/>
      <c r="J233" s="32"/>
      <c r="M233" s="25">
        <v>6</v>
      </c>
      <c r="N233" s="24" t="s">
        <v>1434</v>
      </c>
    </row>
    <row r="234" spans="1:14" ht="15.6" customHeight="1" x14ac:dyDescent="0.35">
      <c r="A234" s="25" t="s">
        <v>1454</v>
      </c>
      <c r="B234" s="25" t="s">
        <v>1455</v>
      </c>
      <c r="C234" s="25" t="s">
        <v>1456</v>
      </c>
      <c r="E234" s="32" t="s">
        <v>1457</v>
      </c>
      <c r="F234" s="32"/>
      <c r="G234" s="32"/>
      <c r="H234" s="32"/>
      <c r="I234" s="32"/>
      <c r="J234" s="32"/>
      <c r="M234" s="25">
        <v>7</v>
      </c>
      <c r="N234" s="24" t="s">
        <v>1434</v>
      </c>
    </row>
    <row r="235" spans="1:14" ht="15.6" customHeight="1" x14ac:dyDescent="0.35">
      <c r="A235" s="25" t="s">
        <v>1458</v>
      </c>
      <c r="B235" s="25" t="s">
        <v>1459</v>
      </c>
      <c r="C235" s="25" t="s">
        <v>1460</v>
      </c>
      <c r="E235" s="32" t="s">
        <v>1461</v>
      </c>
      <c r="F235" s="32"/>
      <c r="G235" s="32"/>
      <c r="H235" s="32"/>
      <c r="I235" s="32"/>
      <c r="J235" s="32"/>
      <c r="M235" s="25">
        <v>8</v>
      </c>
      <c r="N235" s="24" t="s">
        <v>1434</v>
      </c>
    </row>
    <row r="236" spans="1:14" ht="15.6" customHeight="1" x14ac:dyDescent="0.35">
      <c r="A236" s="25" t="s">
        <v>1462</v>
      </c>
      <c r="B236" s="25" t="s">
        <v>1463</v>
      </c>
      <c r="C236" s="25" t="s">
        <v>1464</v>
      </c>
      <c r="E236" s="32" t="s">
        <v>1465</v>
      </c>
      <c r="F236" s="32"/>
      <c r="G236" s="32"/>
      <c r="H236" s="32"/>
      <c r="I236" s="32"/>
      <c r="J236" s="32"/>
      <c r="M236" s="25">
        <v>9</v>
      </c>
      <c r="N236" s="24" t="s">
        <v>1434</v>
      </c>
    </row>
    <row r="237" spans="1:14" ht="15.6" customHeight="1" x14ac:dyDescent="0.35">
      <c r="A237" s="25" t="s">
        <v>1466</v>
      </c>
      <c r="B237" s="25" t="s">
        <v>1467</v>
      </c>
      <c r="C237" s="25" t="s">
        <v>1468</v>
      </c>
      <c r="E237" s="32" t="s">
        <v>1469</v>
      </c>
      <c r="F237" s="32"/>
      <c r="G237" s="32"/>
      <c r="H237" s="32"/>
      <c r="I237" s="32"/>
      <c r="J237" s="32"/>
      <c r="M237" s="25">
        <v>10</v>
      </c>
      <c r="N237" s="24" t="s">
        <v>1434</v>
      </c>
    </row>
    <row r="238" spans="1:14" ht="15.6" customHeight="1" x14ac:dyDescent="0.35">
      <c r="A238" s="25" t="s">
        <v>1470</v>
      </c>
      <c r="B238" s="25" t="s">
        <v>1471</v>
      </c>
      <c r="C238" s="25" t="s">
        <v>1472</v>
      </c>
      <c r="E238" s="32" t="s">
        <v>1473</v>
      </c>
      <c r="F238" s="32"/>
      <c r="G238" s="32"/>
      <c r="H238" s="32"/>
      <c r="I238" s="32"/>
      <c r="J238" s="32"/>
      <c r="M238" s="25">
        <v>11</v>
      </c>
      <c r="N238" s="24" t="s">
        <v>1434</v>
      </c>
    </row>
    <row r="239" spans="1:14" ht="15.6" customHeight="1" x14ac:dyDescent="0.35">
      <c r="A239" s="25" t="s">
        <v>1474</v>
      </c>
      <c r="B239" s="25" t="s">
        <v>1475</v>
      </c>
      <c r="C239" s="25" t="s">
        <v>1476</v>
      </c>
      <c r="E239" s="32" t="s">
        <v>1477</v>
      </c>
      <c r="F239" s="32"/>
      <c r="G239" s="32"/>
      <c r="H239" s="32"/>
      <c r="I239" s="32"/>
      <c r="J239" s="32"/>
      <c r="M239" s="25">
        <v>13</v>
      </c>
      <c r="N239" s="24" t="s">
        <v>1434</v>
      </c>
    </row>
    <row r="240" spans="1:14" ht="15.6" customHeight="1" x14ac:dyDescent="0.35">
      <c r="A240" s="25" t="s">
        <v>1478</v>
      </c>
      <c r="B240" s="25" t="s">
        <v>1479</v>
      </c>
      <c r="C240" s="25" t="s">
        <v>1480</v>
      </c>
      <c r="E240" s="32" t="s">
        <v>1481</v>
      </c>
      <c r="F240" s="32"/>
      <c r="G240" s="32"/>
      <c r="H240" s="32"/>
      <c r="I240" s="32"/>
      <c r="J240" s="32"/>
      <c r="M240" s="25">
        <v>14</v>
      </c>
      <c r="N240" s="24" t="s">
        <v>1434</v>
      </c>
    </row>
    <row r="241" spans="1:14" ht="15.6" customHeight="1" x14ac:dyDescent="0.35">
      <c r="A241" s="25" t="s">
        <v>1482</v>
      </c>
      <c r="B241" s="25" t="s">
        <v>1483</v>
      </c>
      <c r="C241" s="25" t="s">
        <v>1484</v>
      </c>
      <c r="E241" s="32" t="s">
        <v>1485</v>
      </c>
      <c r="F241" s="32"/>
      <c r="G241" s="32"/>
      <c r="H241" s="32"/>
      <c r="I241" s="32"/>
      <c r="J241" s="32"/>
      <c r="M241" s="25">
        <v>15</v>
      </c>
      <c r="N241" s="24" t="s">
        <v>1434</v>
      </c>
    </row>
    <row r="242" spans="1:14" ht="15.6" customHeight="1" x14ac:dyDescent="0.35">
      <c r="A242" s="25" t="s">
        <v>1486</v>
      </c>
      <c r="B242" s="25" t="s">
        <v>1487</v>
      </c>
      <c r="C242" s="25" t="s">
        <v>1488</v>
      </c>
      <c r="E242" s="32" t="s">
        <v>1489</v>
      </c>
      <c r="F242" s="32"/>
      <c r="G242" s="32"/>
      <c r="H242" s="32"/>
      <c r="I242" s="32"/>
      <c r="J242" s="32"/>
      <c r="M242" s="25">
        <v>16</v>
      </c>
      <c r="N242" s="24" t="s">
        <v>1434</v>
      </c>
    </row>
    <row r="243" spans="1:14" ht="15.6" customHeight="1" x14ac:dyDescent="0.35">
      <c r="A243" s="25" t="s">
        <v>1490</v>
      </c>
      <c r="B243" s="25" t="s">
        <v>1491</v>
      </c>
      <c r="C243" s="25" t="s">
        <v>1492</v>
      </c>
      <c r="E243" s="25" t="s">
        <v>1493</v>
      </c>
      <c r="F243" s="25" t="s">
        <v>1494</v>
      </c>
      <c r="G243" s="25" t="s">
        <v>1495</v>
      </c>
      <c r="H243" s="25" t="s">
        <v>1496</v>
      </c>
      <c r="I243" s="25" t="s">
        <v>1497</v>
      </c>
      <c r="L243" s="25" t="s">
        <v>1498</v>
      </c>
      <c r="M243" s="25">
        <v>17</v>
      </c>
      <c r="N243" s="24" t="s">
        <v>1434</v>
      </c>
    </row>
    <row r="244" spans="1:14" ht="15.6" customHeight="1" x14ac:dyDescent="0.35">
      <c r="A244" s="25" t="s">
        <v>1499</v>
      </c>
      <c r="B244" s="25" t="s">
        <v>1500</v>
      </c>
      <c r="C244" s="25" t="s">
        <v>1501</v>
      </c>
      <c r="E244" s="25" t="s">
        <v>1502</v>
      </c>
      <c r="F244" s="25" t="s">
        <v>1503</v>
      </c>
      <c r="G244" s="25" t="s">
        <v>1504</v>
      </c>
      <c r="H244" s="25" t="s">
        <v>1505</v>
      </c>
      <c r="I244" s="25" t="s">
        <v>1506</v>
      </c>
      <c r="L244" s="25" t="s">
        <v>1507</v>
      </c>
      <c r="M244" s="25">
        <v>18</v>
      </c>
      <c r="N244" s="24" t="s">
        <v>1434</v>
      </c>
    </row>
    <row r="245" spans="1:14" ht="15.6" customHeight="1" x14ac:dyDescent="0.35">
      <c r="A245" s="25" t="s">
        <v>1508</v>
      </c>
      <c r="B245" s="25" t="s">
        <v>1509</v>
      </c>
      <c r="C245" s="25" t="s">
        <v>1510</v>
      </c>
      <c r="E245" s="32" t="s">
        <v>1511</v>
      </c>
      <c r="F245" s="32"/>
      <c r="G245" s="32"/>
      <c r="H245" s="32"/>
      <c r="I245" s="32"/>
      <c r="J245" s="32"/>
      <c r="L245" s="25" t="s">
        <v>1512</v>
      </c>
      <c r="M245" s="25">
        <v>19</v>
      </c>
      <c r="N245" s="24" t="s">
        <v>1434</v>
      </c>
    </row>
    <row r="246" spans="1:14" ht="15.6" customHeight="1" x14ac:dyDescent="0.35">
      <c r="A246" s="25" t="s">
        <v>1513</v>
      </c>
      <c r="B246" s="25" t="s">
        <v>1514</v>
      </c>
      <c r="C246" s="25" t="s">
        <v>1515</v>
      </c>
      <c r="E246" s="25" t="s">
        <v>10170</v>
      </c>
      <c r="L246" s="25" t="s">
        <v>1516</v>
      </c>
      <c r="M246" s="25">
        <v>1</v>
      </c>
      <c r="N246" s="24" t="s">
        <v>415</v>
      </c>
    </row>
    <row r="247" spans="1:14" ht="15.6" customHeight="1" x14ac:dyDescent="0.35">
      <c r="A247" s="25" t="s">
        <v>1517</v>
      </c>
      <c r="B247" s="25" t="s">
        <v>1518</v>
      </c>
      <c r="C247" s="25" t="s">
        <v>1519</v>
      </c>
      <c r="E247" s="32" t="s">
        <v>1520</v>
      </c>
      <c r="F247" s="32"/>
      <c r="G247" s="32"/>
      <c r="H247" s="32"/>
      <c r="I247" s="32"/>
      <c r="J247" s="32"/>
      <c r="L247" s="25" t="s">
        <v>1518</v>
      </c>
      <c r="M247" s="25">
        <v>2</v>
      </c>
      <c r="N247" s="24" t="s">
        <v>415</v>
      </c>
    </row>
    <row r="248" spans="1:14" ht="15.6" customHeight="1" x14ac:dyDescent="0.35">
      <c r="A248" s="25" t="s">
        <v>1521</v>
      </c>
      <c r="B248" s="25" t="s">
        <v>1522</v>
      </c>
      <c r="C248" s="25" t="s">
        <v>1523</v>
      </c>
      <c r="E248" s="32" t="s">
        <v>1524</v>
      </c>
      <c r="F248" s="32"/>
      <c r="G248" s="32"/>
      <c r="H248" s="32"/>
      <c r="I248" s="32"/>
      <c r="J248" s="32"/>
      <c r="L248" s="25" t="s">
        <v>1522</v>
      </c>
      <c r="M248" s="25">
        <v>3</v>
      </c>
      <c r="N248" s="24" t="s">
        <v>415</v>
      </c>
    </row>
    <row r="249" spans="1:14" ht="15.6" customHeight="1" x14ac:dyDescent="0.35">
      <c r="A249" s="25" t="s">
        <v>1525</v>
      </c>
      <c r="B249" s="25" t="s">
        <v>1526</v>
      </c>
      <c r="C249" s="25" t="s">
        <v>1527</v>
      </c>
      <c r="E249" s="32" t="s">
        <v>1528</v>
      </c>
      <c r="F249" s="32"/>
      <c r="G249" s="32"/>
      <c r="H249" s="32"/>
      <c r="I249" s="32"/>
      <c r="J249" s="32"/>
      <c r="L249" s="25" t="s">
        <v>1526</v>
      </c>
      <c r="M249" s="25">
        <v>4</v>
      </c>
      <c r="N249" s="24" t="s">
        <v>415</v>
      </c>
    </row>
    <row r="250" spans="1:14" ht="15.6" customHeight="1" x14ac:dyDescent="0.35">
      <c r="A250" s="25" t="s">
        <v>1529</v>
      </c>
      <c r="B250" s="25" t="s">
        <v>1530</v>
      </c>
      <c r="C250" s="25" t="s">
        <v>1531</v>
      </c>
      <c r="E250" s="32" t="s">
        <v>1532</v>
      </c>
      <c r="F250" s="32"/>
      <c r="G250" s="32"/>
      <c r="H250" s="32"/>
      <c r="I250" s="32"/>
      <c r="J250" s="32"/>
      <c r="M250" s="25">
        <v>6</v>
      </c>
      <c r="N250" s="24" t="s">
        <v>415</v>
      </c>
    </row>
    <row r="251" spans="1:14" ht="15.6" customHeight="1" x14ac:dyDescent="0.35">
      <c r="A251" s="25" t="s">
        <v>1533</v>
      </c>
      <c r="B251" s="25" t="s">
        <v>1534</v>
      </c>
      <c r="C251" s="25" t="s">
        <v>1535</v>
      </c>
      <c r="E251" s="25" t="s">
        <v>10171</v>
      </c>
      <c r="L251" s="25" t="s">
        <v>1536</v>
      </c>
      <c r="M251" s="25">
        <v>1</v>
      </c>
      <c r="N251" s="24" t="s">
        <v>415</v>
      </c>
    </row>
    <row r="252" spans="1:14" ht="15.6" customHeight="1" x14ac:dyDescent="0.35">
      <c r="A252" s="25" t="s">
        <v>1537</v>
      </c>
      <c r="B252" s="25" t="s">
        <v>1538</v>
      </c>
      <c r="C252" s="25" t="s">
        <v>1539</v>
      </c>
      <c r="E252" s="25" t="s">
        <v>10172</v>
      </c>
      <c r="L252" s="25" t="s">
        <v>1538</v>
      </c>
      <c r="M252" s="25">
        <v>2</v>
      </c>
      <c r="N252" s="24" t="s">
        <v>415</v>
      </c>
    </row>
    <row r="253" spans="1:14" ht="15.6" customHeight="1" x14ac:dyDescent="0.35">
      <c r="A253" s="25" t="s">
        <v>1540</v>
      </c>
      <c r="B253" s="25" t="s">
        <v>1541</v>
      </c>
      <c r="C253" s="25" t="s">
        <v>1542</v>
      </c>
      <c r="E253" s="32" t="s">
        <v>1543</v>
      </c>
      <c r="F253" s="32"/>
      <c r="G253" s="32"/>
      <c r="H253" s="32"/>
      <c r="I253" s="32"/>
      <c r="J253" s="32"/>
      <c r="L253" s="25" t="s">
        <v>1544</v>
      </c>
      <c r="M253" s="25">
        <v>3</v>
      </c>
      <c r="N253" s="24" t="s">
        <v>415</v>
      </c>
    </row>
    <row r="254" spans="1:14" ht="15.6" customHeight="1" x14ac:dyDescent="0.35">
      <c r="A254" s="25" t="s">
        <v>1545</v>
      </c>
      <c r="B254" s="25" t="s">
        <v>1546</v>
      </c>
      <c r="C254" s="25" t="s">
        <v>1547</v>
      </c>
      <c r="E254" s="25" t="s">
        <v>10173</v>
      </c>
      <c r="L254" s="25" t="s">
        <v>1546</v>
      </c>
      <c r="M254" s="25">
        <v>4</v>
      </c>
      <c r="N254" s="24" t="s">
        <v>415</v>
      </c>
    </row>
    <row r="255" spans="1:14" ht="15.6" customHeight="1" x14ac:dyDescent="0.35">
      <c r="A255" s="25" t="s">
        <v>1548</v>
      </c>
      <c r="B255" s="25" t="s">
        <v>1549</v>
      </c>
      <c r="C255" s="25" t="s">
        <v>1550</v>
      </c>
      <c r="E255" s="32" t="s">
        <v>1551</v>
      </c>
      <c r="F255" s="32"/>
      <c r="G255" s="32"/>
      <c r="H255" s="32"/>
      <c r="I255" s="32"/>
      <c r="J255" s="32"/>
      <c r="L255" s="25" t="s">
        <v>1549</v>
      </c>
      <c r="M255" s="25">
        <v>5</v>
      </c>
      <c r="N255" s="24" t="s">
        <v>415</v>
      </c>
    </row>
    <row r="256" spans="1:14" ht="15.6" customHeight="1" x14ac:dyDescent="0.35">
      <c r="A256" s="25" t="s">
        <v>1552</v>
      </c>
      <c r="B256" s="25" t="s">
        <v>1553</v>
      </c>
      <c r="C256" s="25" t="s">
        <v>1554</v>
      </c>
      <c r="E256" s="25" t="s">
        <v>10174</v>
      </c>
      <c r="L256" s="25" t="s">
        <v>1553</v>
      </c>
      <c r="M256" s="25">
        <v>6</v>
      </c>
      <c r="N256" s="24" t="s">
        <v>415</v>
      </c>
    </row>
    <row r="257" spans="1:14" ht="15.6" customHeight="1" x14ac:dyDescent="0.35">
      <c r="A257" s="25" t="s">
        <v>1555</v>
      </c>
      <c r="B257" s="25" t="s">
        <v>1556</v>
      </c>
      <c r="C257" s="25" t="s">
        <v>1557</v>
      </c>
      <c r="E257" s="25" t="s">
        <v>10175</v>
      </c>
      <c r="L257" s="25" t="s">
        <v>1556</v>
      </c>
      <c r="M257" s="25">
        <v>7</v>
      </c>
      <c r="N257" s="24" t="s">
        <v>415</v>
      </c>
    </row>
    <row r="258" spans="1:14" ht="15.6" customHeight="1" x14ac:dyDescent="0.35">
      <c r="A258" s="25" t="s">
        <v>1558</v>
      </c>
      <c r="B258" s="25" t="s">
        <v>1559</v>
      </c>
      <c r="C258" s="25" t="s">
        <v>1560</v>
      </c>
      <c r="E258" s="32" t="s">
        <v>1561</v>
      </c>
      <c r="F258" s="32"/>
      <c r="G258" s="32"/>
      <c r="H258" s="32"/>
      <c r="I258" s="32"/>
      <c r="J258" s="32"/>
      <c r="L258" s="25" t="s">
        <v>1562</v>
      </c>
      <c r="M258" s="25">
        <v>8</v>
      </c>
      <c r="N258" s="24" t="s">
        <v>415</v>
      </c>
    </row>
    <row r="259" spans="1:14" ht="15.6" customHeight="1" x14ac:dyDescent="0.35">
      <c r="A259" s="25" t="s">
        <v>1563</v>
      </c>
      <c r="B259" s="25" t="s">
        <v>1564</v>
      </c>
      <c r="C259" s="25" t="s">
        <v>1565</v>
      </c>
      <c r="E259" s="32" t="s">
        <v>1566</v>
      </c>
      <c r="F259" s="32"/>
      <c r="G259" s="32"/>
      <c r="H259" s="32"/>
      <c r="I259" s="32"/>
      <c r="J259" s="32"/>
      <c r="L259" s="25" t="s">
        <v>1567</v>
      </c>
      <c r="M259" s="25">
        <v>1</v>
      </c>
      <c r="N259" s="24" t="s">
        <v>415</v>
      </c>
    </row>
    <row r="260" spans="1:14" ht="15.6" customHeight="1" x14ac:dyDescent="0.35">
      <c r="A260" s="25" t="s">
        <v>1568</v>
      </c>
      <c r="B260" s="25" t="s">
        <v>1569</v>
      </c>
      <c r="C260" s="25" t="s">
        <v>1570</v>
      </c>
      <c r="E260" s="25" t="s">
        <v>1571</v>
      </c>
      <c r="F260" s="25" t="s">
        <v>1572</v>
      </c>
      <c r="G260" s="25" t="s">
        <v>1573</v>
      </c>
      <c r="H260" s="25" t="s">
        <v>1574</v>
      </c>
      <c r="L260" s="25" t="s">
        <v>1575</v>
      </c>
      <c r="M260" s="25">
        <v>2</v>
      </c>
      <c r="N260" s="24" t="s">
        <v>415</v>
      </c>
    </row>
    <row r="261" spans="1:14" ht="15.6" customHeight="1" x14ac:dyDescent="0.35">
      <c r="A261" s="25" t="s">
        <v>1576</v>
      </c>
      <c r="B261" s="25" t="s">
        <v>1577</v>
      </c>
      <c r="C261" s="25" t="s">
        <v>1578</v>
      </c>
      <c r="E261" s="32" t="s">
        <v>1579</v>
      </c>
      <c r="F261" s="32"/>
      <c r="G261" s="32"/>
      <c r="H261" s="32"/>
      <c r="I261" s="32"/>
      <c r="J261" s="32"/>
      <c r="L261" s="25" t="s">
        <v>1580</v>
      </c>
      <c r="M261" s="25">
        <v>3</v>
      </c>
      <c r="N261" s="24" t="s">
        <v>415</v>
      </c>
    </row>
    <row r="262" spans="1:14" ht="15.6" customHeight="1" x14ac:dyDescent="0.35">
      <c r="A262" s="25" t="s">
        <v>1581</v>
      </c>
      <c r="B262" s="25" t="s">
        <v>1582</v>
      </c>
      <c r="C262" s="25" t="s">
        <v>1583</v>
      </c>
      <c r="E262" s="32" t="s">
        <v>111</v>
      </c>
      <c r="F262" s="32"/>
      <c r="G262" s="32"/>
      <c r="H262" s="32"/>
      <c r="I262" s="32"/>
      <c r="J262" s="32"/>
      <c r="L262" s="25" t="s">
        <v>1584</v>
      </c>
      <c r="N262" s="24" t="s">
        <v>415</v>
      </c>
    </row>
    <row r="263" spans="1:14" ht="15.6" customHeight="1" x14ac:dyDescent="0.35">
      <c r="A263" s="25" t="s">
        <v>1585</v>
      </c>
      <c r="B263" s="25" t="s">
        <v>1586</v>
      </c>
      <c r="C263" s="25" t="s">
        <v>1587</v>
      </c>
      <c r="E263" s="25" t="s">
        <v>1588</v>
      </c>
      <c r="F263" s="25" t="s">
        <v>1589</v>
      </c>
      <c r="G263" s="25" t="s">
        <v>1590</v>
      </c>
      <c r="H263" s="25" t="s">
        <v>1591</v>
      </c>
      <c r="I263" s="25" t="s">
        <v>1592</v>
      </c>
      <c r="L263" s="25" t="s">
        <v>1593</v>
      </c>
      <c r="N263" s="24" t="s">
        <v>415</v>
      </c>
    </row>
    <row r="264" spans="1:14" ht="15.6" customHeight="1" x14ac:dyDescent="0.35">
      <c r="A264" s="25" t="s">
        <v>1594</v>
      </c>
      <c r="B264" s="25" t="s">
        <v>1136</v>
      </c>
      <c r="C264" s="25" t="s">
        <v>1595</v>
      </c>
      <c r="E264" s="32" t="s">
        <v>1596</v>
      </c>
      <c r="F264" s="32"/>
      <c r="G264" s="32"/>
      <c r="H264" s="32"/>
      <c r="I264" s="32"/>
      <c r="J264" s="32"/>
      <c r="L264" s="25" t="s">
        <v>1597</v>
      </c>
      <c r="N264" s="24" t="s">
        <v>415</v>
      </c>
    </row>
    <row r="265" spans="1:14" ht="15.6" customHeight="1" x14ac:dyDescent="0.35">
      <c r="A265" s="25" t="s">
        <v>1598</v>
      </c>
      <c r="B265" s="25" t="s">
        <v>1599</v>
      </c>
      <c r="C265" s="25" t="s">
        <v>1600</v>
      </c>
      <c r="E265" s="32" t="s">
        <v>1601</v>
      </c>
      <c r="F265" s="32"/>
      <c r="G265" s="32"/>
      <c r="H265" s="32"/>
      <c r="I265" s="32"/>
      <c r="J265" s="32"/>
      <c r="L265" s="25" t="s">
        <v>1602</v>
      </c>
      <c r="N265" s="24" t="s">
        <v>415</v>
      </c>
    </row>
    <row r="266" spans="1:14" ht="15.6" customHeight="1" x14ac:dyDescent="0.35">
      <c r="A266" s="25" t="s">
        <v>1603</v>
      </c>
      <c r="B266" s="25" t="s">
        <v>1604</v>
      </c>
      <c r="C266" s="25" t="s">
        <v>1605</v>
      </c>
      <c r="E266" s="32" t="s">
        <v>1606</v>
      </c>
      <c r="F266" s="32"/>
      <c r="G266" s="32"/>
      <c r="H266" s="32"/>
      <c r="I266" s="32"/>
      <c r="J266" s="32"/>
      <c r="L266" s="25" t="s">
        <v>1607</v>
      </c>
      <c r="N266" s="24" t="s">
        <v>415</v>
      </c>
    </row>
    <row r="267" spans="1:14" ht="15.6" customHeight="1" x14ac:dyDescent="0.35">
      <c r="A267" s="25" t="s">
        <v>1608</v>
      </c>
      <c r="B267" s="25" t="s">
        <v>1609</v>
      </c>
      <c r="C267" s="25" t="s">
        <v>1610</v>
      </c>
      <c r="E267" s="25" t="s">
        <v>1611</v>
      </c>
      <c r="F267" s="25" t="s">
        <v>1612</v>
      </c>
      <c r="G267" s="25" t="s">
        <v>1613</v>
      </c>
      <c r="H267" s="25" t="s">
        <v>1614</v>
      </c>
      <c r="I267" s="25" t="s">
        <v>1615</v>
      </c>
      <c r="L267" s="25" t="s">
        <v>1616</v>
      </c>
      <c r="N267" s="24" t="s">
        <v>415</v>
      </c>
    </row>
    <row r="268" spans="1:14" ht="15.6" customHeight="1" x14ac:dyDescent="0.35">
      <c r="A268" s="25" t="s">
        <v>1617</v>
      </c>
      <c r="B268" s="25" t="s">
        <v>1618</v>
      </c>
      <c r="C268" s="25" t="s">
        <v>1619</v>
      </c>
      <c r="E268" s="32" t="s">
        <v>1620</v>
      </c>
      <c r="F268" s="32"/>
      <c r="G268" s="32"/>
      <c r="H268" s="32"/>
      <c r="I268" s="32"/>
      <c r="J268" s="32"/>
      <c r="L268" s="25" t="s">
        <v>1621</v>
      </c>
      <c r="N268" s="24" t="s">
        <v>415</v>
      </c>
    </row>
    <row r="269" spans="1:14" ht="15.6" customHeight="1" x14ac:dyDescent="0.35">
      <c r="A269" s="25" t="s">
        <v>1622</v>
      </c>
      <c r="B269" s="25" t="s">
        <v>1623</v>
      </c>
      <c r="C269" s="25" t="s">
        <v>1624</v>
      </c>
      <c r="E269" s="32" t="s">
        <v>1625</v>
      </c>
      <c r="F269" s="32"/>
      <c r="G269" s="32"/>
      <c r="H269" s="32"/>
      <c r="I269" s="32"/>
      <c r="J269" s="32"/>
      <c r="L269" s="25" t="s">
        <v>1626</v>
      </c>
      <c r="N269" s="24" t="s">
        <v>415</v>
      </c>
    </row>
    <row r="270" spans="1:14" ht="15.6" customHeight="1" x14ac:dyDescent="0.35">
      <c r="A270" s="25" t="s">
        <v>1627</v>
      </c>
      <c r="B270" s="25" t="s">
        <v>1628</v>
      </c>
      <c r="C270" s="25" t="s">
        <v>1629</v>
      </c>
      <c r="E270" s="25" t="s">
        <v>10176</v>
      </c>
      <c r="L270" s="25" t="s">
        <v>1628</v>
      </c>
      <c r="N270" s="24" t="s">
        <v>415</v>
      </c>
    </row>
    <row r="271" spans="1:14" ht="15.6" customHeight="1" x14ac:dyDescent="0.35">
      <c r="A271" s="25" t="s">
        <v>1630</v>
      </c>
      <c r="B271" s="25" t="s">
        <v>1631</v>
      </c>
      <c r="C271" s="25" t="s">
        <v>1632</v>
      </c>
      <c r="E271" s="25" t="s">
        <v>1633</v>
      </c>
      <c r="F271" s="25" t="s">
        <v>1634</v>
      </c>
      <c r="G271" s="25" t="s">
        <v>1635</v>
      </c>
      <c r="H271" s="25" t="s">
        <v>1636</v>
      </c>
      <c r="I271" s="25" t="s">
        <v>1637</v>
      </c>
      <c r="L271" s="25" t="s">
        <v>1638</v>
      </c>
      <c r="N271" s="24" t="s">
        <v>415</v>
      </c>
    </row>
    <row r="272" spans="1:14" ht="15.6" customHeight="1" x14ac:dyDescent="0.35">
      <c r="A272" s="25" t="s">
        <v>1639</v>
      </c>
      <c r="B272" s="25" t="s">
        <v>1640</v>
      </c>
      <c r="C272" s="25" t="s">
        <v>1641</v>
      </c>
      <c r="E272" s="32" t="s">
        <v>1642</v>
      </c>
      <c r="F272" s="32" t="s">
        <v>1643</v>
      </c>
      <c r="G272" s="32" t="s">
        <v>1644</v>
      </c>
      <c r="H272" s="32" t="s">
        <v>1645</v>
      </c>
      <c r="I272" s="32" t="s">
        <v>1646</v>
      </c>
      <c r="J272" s="32"/>
      <c r="L272" s="25" t="s">
        <v>1647</v>
      </c>
      <c r="N272" s="24" t="s">
        <v>415</v>
      </c>
    </row>
    <row r="273" spans="1:14" ht="15.6" customHeight="1" x14ac:dyDescent="0.35">
      <c r="A273" s="25" t="s">
        <v>1648</v>
      </c>
      <c r="B273" s="25" t="s">
        <v>1649</v>
      </c>
      <c r="C273" s="25" t="s">
        <v>1650</v>
      </c>
      <c r="E273" s="32" t="s">
        <v>1651</v>
      </c>
      <c r="F273" s="32" t="s">
        <v>1652</v>
      </c>
      <c r="G273" s="32" t="s">
        <v>1653</v>
      </c>
      <c r="H273" s="32" t="s">
        <v>1654</v>
      </c>
      <c r="I273" s="32" t="s">
        <v>1655</v>
      </c>
      <c r="L273" s="25" t="s">
        <v>1649</v>
      </c>
      <c r="N273" s="24" t="s">
        <v>415</v>
      </c>
    </row>
    <row r="274" spans="1:14" ht="15.6" customHeight="1" x14ac:dyDescent="0.35">
      <c r="A274" s="25" t="s">
        <v>1656</v>
      </c>
      <c r="B274" s="25" t="s">
        <v>1649</v>
      </c>
      <c r="C274" s="25" t="s">
        <v>1657</v>
      </c>
      <c r="E274" s="32" t="s">
        <v>1658</v>
      </c>
      <c r="F274" s="32" t="s">
        <v>1659</v>
      </c>
      <c r="G274" s="32" t="s">
        <v>1660</v>
      </c>
      <c r="L274" s="25" t="s">
        <v>1649</v>
      </c>
      <c r="N274" s="24" t="s">
        <v>415</v>
      </c>
    </row>
    <row r="275" spans="1:14" ht="15.6" customHeight="1" x14ac:dyDescent="0.35">
      <c r="A275" s="25" t="s">
        <v>1661</v>
      </c>
      <c r="B275" s="25" t="s">
        <v>1662</v>
      </c>
      <c r="C275" s="25" t="s">
        <v>1663</v>
      </c>
      <c r="E275" s="32" t="s">
        <v>1664</v>
      </c>
      <c r="F275" s="32"/>
      <c r="G275" s="32"/>
      <c r="H275" s="32"/>
      <c r="I275" s="32"/>
      <c r="J275" s="32"/>
      <c r="L275" s="25" t="s">
        <v>1662</v>
      </c>
      <c r="N275" s="24" t="s">
        <v>415</v>
      </c>
    </row>
    <row r="276" spans="1:14" ht="15.6" customHeight="1" x14ac:dyDescent="0.35">
      <c r="A276" s="25" t="s">
        <v>1665</v>
      </c>
      <c r="B276" s="25" t="s">
        <v>1666</v>
      </c>
      <c r="C276" s="25" t="s">
        <v>1667</v>
      </c>
      <c r="E276" s="32" t="s">
        <v>1668</v>
      </c>
      <c r="F276" s="32"/>
      <c r="G276" s="32"/>
      <c r="H276" s="32"/>
      <c r="I276" s="32"/>
      <c r="J276" s="32"/>
      <c r="L276" s="25" t="s">
        <v>1666</v>
      </c>
      <c r="N276" s="24" t="s">
        <v>415</v>
      </c>
    </row>
    <row r="277" spans="1:14" ht="15.6" customHeight="1" x14ac:dyDescent="0.35">
      <c r="A277" s="25" t="s">
        <v>1669</v>
      </c>
      <c r="B277" s="25" t="s">
        <v>1670</v>
      </c>
      <c r="C277" s="25" t="s">
        <v>1671</v>
      </c>
      <c r="E277" s="25" t="s">
        <v>1672</v>
      </c>
      <c r="F277" s="25" t="s">
        <v>1673</v>
      </c>
      <c r="G277" s="25" t="s">
        <v>1674</v>
      </c>
      <c r="H277" s="25" t="s">
        <v>1675</v>
      </c>
      <c r="I277" s="25" t="s">
        <v>1676</v>
      </c>
      <c r="L277" s="25" t="s">
        <v>1677</v>
      </c>
      <c r="N277" s="24" t="s">
        <v>415</v>
      </c>
    </row>
    <row r="278" spans="1:14" ht="15.6" customHeight="1" x14ac:dyDescent="0.35">
      <c r="A278" s="25" t="s">
        <v>1678</v>
      </c>
      <c r="B278" s="25" t="s">
        <v>1679</v>
      </c>
      <c r="C278" s="25" t="s">
        <v>1680</v>
      </c>
      <c r="E278" s="25" t="s">
        <v>1681</v>
      </c>
      <c r="F278" s="25" t="s">
        <v>1682</v>
      </c>
      <c r="G278" s="25" t="s">
        <v>1683</v>
      </c>
      <c r="H278" s="25" t="s">
        <v>1684</v>
      </c>
      <c r="I278" s="25" t="s">
        <v>1685</v>
      </c>
      <c r="L278" s="25" t="s">
        <v>1679</v>
      </c>
      <c r="N278" s="24" t="s">
        <v>415</v>
      </c>
    </row>
    <row r="279" spans="1:14" ht="15.6" customHeight="1" x14ac:dyDescent="0.35">
      <c r="A279" s="25" t="s">
        <v>1686</v>
      </c>
      <c r="B279" s="25" t="s">
        <v>1687</v>
      </c>
      <c r="C279" s="25" t="s">
        <v>1688</v>
      </c>
      <c r="E279" s="32" t="s">
        <v>1689</v>
      </c>
      <c r="F279" s="32"/>
      <c r="G279" s="32"/>
      <c r="H279" s="32"/>
      <c r="I279" s="32"/>
      <c r="J279" s="32"/>
      <c r="N279" s="24" t="s">
        <v>415</v>
      </c>
    </row>
    <row r="280" spans="1:14" ht="15.6" customHeight="1" x14ac:dyDescent="0.35">
      <c r="A280" s="25" t="s">
        <v>1690</v>
      </c>
      <c r="B280" s="25" t="s">
        <v>1691</v>
      </c>
      <c r="C280" s="25" t="s">
        <v>1692</v>
      </c>
      <c r="E280" s="32" t="s">
        <v>1693</v>
      </c>
      <c r="F280" s="32" t="s">
        <v>1694</v>
      </c>
      <c r="L280" s="25" t="s">
        <v>1695</v>
      </c>
      <c r="N280" s="24" t="s">
        <v>1696</v>
      </c>
    </row>
    <row r="281" spans="1:14" ht="15.6" customHeight="1" x14ac:dyDescent="0.35">
      <c r="A281" s="25" t="s">
        <v>1697</v>
      </c>
      <c r="B281" s="25" t="s">
        <v>1698</v>
      </c>
      <c r="C281" s="25" t="s">
        <v>1699</v>
      </c>
      <c r="E281" s="32" t="s">
        <v>1700</v>
      </c>
      <c r="F281" s="32" t="s">
        <v>1701</v>
      </c>
      <c r="L281" s="25" t="s">
        <v>1702</v>
      </c>
      <c r="N281" s="24" t="s">
        <v>1696</v>
      </c>
    </row>
    <row r="282" spans="1:14" ht="15.6" customHeight="1" x14ac:dyDescent="0.35">
      <c r="A282" s="25" t="s">
        <v>1703</v>
      </c>
      <c r="B282" s="25" t="s">
        <v>1704</v>
      </c>
      <c r="C282" s="25" t="s">
        <v>1705</v>
      </c>
      <c r="E282" s="32" t="s">
        <v>1706</v>
      </c>
      <c r="F282" s="32" t="s">
        <v>1707</v>
      </c>
      <c r="G282" s="32" t="s">
        <v>1708</v>
      </c>
      <c r="H282" s="32" t="s">
        <v>1709</v>
      </c>
      <c r="L282" s="25" t="s">
        <v>1710</v>
      </c>
      <c r="N282" s="24" t="s">
        <v>1696</v>
      </c>
    </row>
    <row r="283" spans="1:14" ht="15.6" customHeight="1" x14ac:dyDescent="0.35">
      <c r="A283" s="25" t="s">
        <v>1711</v>
      </c>
      <c r="B283" s="25" t="s">
        <v>1712</v>
      </c>
      <c r="C283" s="25" t="s">
        <v>1713</v>
      </c>
      <c r="E283" s="32" t="s">
        <v>1714</v>
      </c>
      <c r="F283" s="32" t="s">
        <v>1715</v>
      </c>
      <c r="G283" s="32" t="s">
        <v>1716</v>
      </c>
      <c r="L283" s="25" t="s">
        <v>1717</v>
      </c>
      <c r="N283" s="24" t="s">
        <v>1696</v>
      </c>
    </row>
    <row r="284" spans="1:14" ht="15.6" customHeight="1" x14ac:dyDescent="0.35">
      <c r="A284" s="25" t="s">
        <v>1718</v>
      </c>
      <c r="B284" s="25" t="s">
        <v>1719</v>
      </c>
      <c r="C284" s="25" t="s">
        <v>1720</v>
      </c>
      <c r="E284" s="32" t="s">
        <v>1721</v>
      </c>
      <c r="F284" s="32"/>
      <c r="L284" s="25" t="s">
        <v>1722</v>
      </c>
      <c r="N284" s="24" t="s">
        <v>1696</v>
      </c>
    </row>
    <row r="285" spans="1:14" ht="15.6" customHeight="1" x14ac:dyDescent="0.35">
      <c r="A285" s="25" t="s">
        <v>1723</v>
      </c>
      <c r="B285" s="25" t="s">
        <v>1724</v>
      </c>
      <c r="C285" s="25" t="s">
        <v>1725</v>
      </c>
      <c r="E285" s="32" t="s">
        <v>1726</v>
      </c>
      <c r="F285" s="32" t="s">
        <v>1727</v>
      </c>
      <c r="L285" s="25" t="s">
        <v>1728</v>
      </c>
      <c r="N285" s="24" t="s">
        <v>1696</v>
      </c>
    </row>
    <row r="286" spans="1:14" ht="15.6" customHeight="1" x14ac:dyDescent="0.35">
      <c r="A286" s="25" t="s">
        <v>1729</v>
      </c>
      <c r="B286" s="25" t="s">
        <v>1730</v>
      </c>
      <c r="C286" s="25" t="s">
        <v>1731</v>
      </c>
      <c r="E286" s="32" t="s">
        <v>1732</v>
      </c>
      <c r="F286" s="32" t="s">
        <v>1733</v>
      </c>
      <c r="G286" s="32" t="s">
        <v>1734</v>
      </c>
      <c r="L286" s="25" t="s">
        <v>1735</v>
      </c>
      <c r="N286" s="24" t="s">
        <v>1696</v>
      </c>
    </row>
    <row r="287" spans="1:14" ht="15.6" customHeight="1" x14ac:dyDescent="0.35">
      <c r="A287" s="25" t="s">
        <v>1736</v>
      </c>
      <c r="B287" s="25" t="s">
        <v>1737</v>
      </c>
      <c r="C287" s="25" t="s">
        <v>1738</v>
      </c>
      <c r="E287" s="32" t="s">
        <v>1739</v>
      </c>
      <c r="F287" s="32" t="s">
        <v>1740</v>
      </c>
      <c r="G287" s="32" t="s">
        <v>1741</v>
      </c>
      <c r="H287" s="32" t="s">
        <v>1742</v>
      </c>
      <c r="L287" s="25" t="s">
        <v>1743</v>
      </c>
      <c r="N287" s="24" t="s">
        <v>1696</v>
      </c>
    </row>
    <row r="288" spans="1:14" ht="15.6" customHeight="1" x14ac:dyDescent="0.35">
      <c r="A288" s="25" t="s">
        <v>1744</v>
      </c>
      <c r="B288" s="25" t="s">
        <v>1745</v>
      </c>
      <c r="C288" s="25" t="s">
        <v>1746</v>
      </c>
      <c r="E288" s="32" t="s">
        <v>1747</v>
      </c>
      <c r="F288" s="32" t="s">
        <v>1748</v>
      </c>
      <c r="G288" s="32"/>
      <c r="L288" s="25" t="s">
        <v>1749</v>
      </c>
      <c r="N288" s="24" t="s">
        <v>1696</v>
      </c>
    </row>
    <row r="289" spans="1:14" ht="15.6" customHeight="1" x14ac:dyDescent="0.35">
      <c r="A289" s="25" t="s">
        <v>1750</v>
      </c>
      <c r="B289" s="25" t="s">
        <v>1751</v>
      </c>
      <c r="C289" s="25" t="s">
        <v>1752</v>
      </c>
      <c r="E289" s="32" t="s">
        <v>1753</v>
      </c>
      <c r="F289" s="32" t="s">
        <v>1754</v>
      </c>
      <c r="G289" s="32" t="s">
        <v>1755</v>
      </c>
      <c r="H289" s="32" t="s">
        <v>1756</v>
      </c>
      <c r="L289" s="25" t="s">
        <v>1757</v>
      </c>
      <c r="N289" s="24" t="s">
        <v>1696</v>
      </c>
    </row>
    <row r="290" spans="1:14" ht="15.6" customHeight="1" x14ac:dyDescent="0.35">
      <c r="A290" s="25" t="s">
        <v>1758</v>
      </c>
      <c r="B290" s="25" t="s">
        <v>1759</v>
      </c>
      <c r="C290" s="25" t="s">
        <v>1760</v>
      </c>
      <c r="E290" s="32" t="s">
        <v>1761</v>
      </c>
      <c r="F290" s="32" t="s">
        <v>1762</v>
      </c>
      <c r="L290" s="25" t="s">
        <v>1763</v>
      </c>
      <c r="N290" s="24" t="s">
        <v>1696</v>
      </c>
    </row>
    <row r="291" spans="1:14" ht="15.6" customHeight="1" x14ac:dyDescent="0.35">
      <c r="A291" s="25" t="s">
        <v>1764</v>
      </c>
      <c r="B291" s="25" t="s">
        <v>1765</v>
      </c>
      <c r="C291" s="25" t="s">
        <v>1766</v>
      </c>
      <c r="E291" s="32" t="s">
        <v>1767</v>
      </c>
      <c r="F291" s="32" t="s">
        <v>1768</v>
      </c>
      <c r="G291" s="32" t="s">
        <v>1769</v>
      </c>
      <c r="H291" s="32" t="s">
        <v>1770</v>
      </c>
      <c r="I291" s="32" t="s">
        <v>1771</v>
      </c>
      <c r="L291" s="25" t="s">
        <v>1772</v>
      </c>
      <c r="N291" s="24" t="s">
        <v>1696</v>
      </c>
    </row>
    <row r="292" spans="1:14" ht="15.6" customHeight="1" x14ac:dyDescent="0.35">
      <c r="A292" s="25" t="s">
        <v>1773</v>
      </c>
      <c r="B292" s="25" t="s">
        <v>1774</v>
      </c>
      <c r="C292" s="25" t="s">
        <v>1775</v>
      </c>
      <c r="E292" s="32" t="s">
        <v>1776</v>
      </c>
      <c r="L292" s="25" t="s">
        <v>1777</v>
      </c>
      <c r="N292" s="24" t="s">
        <v>1696</v>
      </c>
    </row>
    <row r="293" spans="1:14" ht="15.6" customHeight="1" x14ac:dyDescent="0.35">
      <c r="A293" s="25" t="s">
        <v>1778</v>
      </c>
      <c r="B293" s="25" t="s">
        <v>1779</v>
      </c>
      <c r="C293" s="25" t="s">
        <v>1780</v>
      </c>
      <c r="E293" s="32" t="s">
        <v>1781</v>
      </c>
      <c r="F293" s="32" t="s">
        <v>1782</v>
      </c>
      <c r="G293" s="32" t="s">
        <v>1783</v>
      </c>
      <c r="L293" s="25" t="s">
        <v>1784</v>
      </c>
      <c r="N293" s="24" t="s">
        <v>1696</v>
      </c>
    </row>
    <row r="294" spans="1:14" ht="15.6" customHeight="1" x14ac:dyDescent="0.35">
      <c r="A294" s="25" t="s">
        <v>1785</v>
      </c>
      <c r="B294" s="25" t="s">
        <v>1786</v>
      </c>
      <c r="C294" s="25" t="s">
        <v>1787</v>
      </c>
      <c r="E294" s="32" t="s">
        <v>1788</v>
      </c>
      <c r="F294" s="32"/>
      <c r="G294" s="32"/>
      <c r="H294" s="32"/>
      <c r="I294" s="32"/>
      <c r="J294" s="32"/>
      <c r="M294" s="25">
        <v>1</v>
      </c>
      <c r="N294" s="24" t="s">
        <v>1434</v>
      </c>
    </row>
    <row r="295" spans="1:14" ht="15.6" customHeight="1" x14ac:dyDescent="0.35">
      <c r="A295" s="25" t="s">
        <v>1789</v>
      </c>
      <c r="B295" s="25" t="s">
        <v>1790</v>
      </c>
      <c r="C295" s="25" t="s">
        <v>1791</v>
      </c>
      <c r="E295" s="32" t="s">
        <v>1792</v>
      </c>
      <c r="F295" s="32"/>
      <c r="G295" s="32"/>
      <c r="H295" s="32"/>
      <c r="I295" s="32"/>
      <c r="J295" s="32"/>
      <c r="M295" s="25">
        <v>2</v>
      </c>
      <c r="N295" s="24" t="s">
        <v>1434</v>
      </c>
    </row>
    <row r="296" spans="1:14" ht="15.6" customHeight="1" x14ac:dyDescent="0.35">
      <c r="A296" s="25" t="s">
        <v>1793</v>
      </c>
      <c r="B296" s="25" t="s">
        <v>1794</v>
      </c>
      <c r="C296" s="25" t="s">
        <v>1795</v>
      </c>
      <c r="E296" s="32" t="s">
        <v>1796</v>
      </c>
      <c r="F296" s="32"/>
      <c r="G296" s="32"/>
      <c r="H296" s="32"/>
      <c r="I296" s="32"/>
      <c r="J296" s="32"/>
      <c r="M296" s="25">
        <v>3</v>
      </c>
      <c r="N296" s="24" t="s">
        <v>1434</v>
      </c>
    </row>
    <row r="297" spans="1:14" ht="15.6" customHeight="1" x14ac:dyDescent="0.35">
      <c r="A297" s="25" t="s">
        <v>1797</v>
      </c>
      <c r="B297" s="25" t="s">
        <v>1798</v>
      </c>
      <c r="C297" s="25" t="s">
        <v>1799</v>
      </c>
      <c r="E297" s="32" t="s">
        <v>1800</v>
      </c>
      <c r="F297" s="32"/>
      <c r="G297" s="32"/>
      <c r="H297" s="32"/>
      <c r="I297" s="32"/>
      <c r="J297" s="32"/>
      <c r="M297" s="25">
        <v>4</v>
      </c>
      <c r="N297" s="24" t="s">
        <v>1434</v>
      </c>
    </row>
    <row r="298" spans="1:14" ht="15.6" customHeight="1" x14ac:dyDescent="0.35">
      <c r="A298" s="25" t="s">
        <v>1801</v>
      </c>
      <c r="B298" s="25" t="s">
        <v>1802</v>
      </c>
      <c r="C298" s="25" t="s">
        <v>1803</v>
      </c>
      <c r="E298" s="32" t="s">
        <v>1804</v>
      </c>
      <c r="F298" s="32"/>
      <c r="G298" s="32"/>
      <c r="H298" s="32"/>
      <c r="I298" s="32"/>
      <c r="J298" s="32"/>
      <c r="M298" s="25">
        <v>5</v>
      </c>
      <c r="N298" s="24" t="s">
        <v>1434</v>
      </c>
    </row>
    <row r="299" spans="1:14" ht="15.6" customHeight="1" x14ac:dyDescent="0.35">
      <c r="A299" s="25" t="s">
        <v>1805</v>
      </c>
      <c r="B299" s="25" t="s">
        <v>1806</v>
      </c>
      <c r="C299" s="25" t="s">
        <v>1807</v>
      </c>
      <c r="E299" s="32" t="s">
        <v>1808</v>
      </c>
      <c r="F299" s="32"/>
      <c r="G299" s="32"/>
      <c r="H299" s="32"/>
      <c r="I299" s="32"/>
      <c r="J299" s="32"/>
      <c r="M299" s="25">
        <v>6</v>
      </c>
      <c r="N299" s="24" t="s">
        <v>1434</v>
      </c>
    </row>
    <row r="300" spans="1:14" ht="15.6" customHeight="1" x14ac:dyDescent="0.35">
      <c r="A300" s="25" t="s">
        <v>1809</v>
      </c>
      <c r="B300" s="25" t="s">
        <v>1810</v>
      </c>
      <c r="C300" s="25" t="s">
        <v>1811</v>
      </c>
      <c r="E300" s="32" t="s">
        <v>1812</v>
      </c>
      <c r="F300" s="32"/>
      <c r="G300" s="32"/>
      <c r="H300" s="32"/>
      <c r="I300" s="32"/>
      <c r="J300" s="32"/>
      <c r="M300" s="25">
        <v>7</v>
      </c>
      <c r="N300" s="24" t="s">
        <v>1434</v>
      </c>
    </row>
    <row r="301" spans="1:14" ht="15.6" customHeight="1" x14ac:dyDescent="0.35">
      <c r="A301" s="25" t="s">
        <v>1813</v>
      </c>
      <c r="B301" s="25" t="s">
        <v>1814</v>
      </c>
      <c r="C301" s="25" t="s">
        <v>1815</v>
      </c>
      <c r="E301" s="32" t="s">
        <v>1816</v>
      </c>
      <c r="F301" s="32"/>
      <c r="G301" s="32"/>
      <c r="H301" s="32"/>
      <c r="I301" s="32"/>
      <c r="J301" s="32"/>
      <c r="M301" s="25">
        <v>8</v>
      </c>
      <c r="N301" s="24" t="s">
        <v>1434</v>
      </c>
    </row>
    <row r="302" spans="1:14" x14ac:dyDescent="0.35">
      <c r="A302" s="25" t="s">
        <v>1817</v>
      </c>
      <c r="B302" s="25" t="s">
        <v>1818</v>
      </c>
      <c r="C302" s="25" t="s">
        <v>1819</v>
      </c>
      <c r="E302" s="32" t="s">
        <v>1820</v>
      </c>
      <c r="F302" s="32"/>
      <c r="G302" s="32"/>
      <c r="H302" s="32"/>
      <c r="I302" s="32"/>
      <c r="J302" s="32"/>
      <c r="M302" s="25">
        <v>9</v>
      </c>
      <c r="N302" s="24" t="s">
        <v>1434</v>
      </c>
    </row>
    <row r="303" spans="1:14" x14ac:dyDescent="0.35">
      <c r="A303" s="25" t="s">
        <v>1821</v>
      </c>
      <c r="B303" s="25" t="s">
        <v>1822</v>
      </c>
      <c r="C303" s="25" t="s">
        <v>1823</v>
      </c>
      <c r="E303" s="32" t="s">
        <v>1824</v>
      </c>
      <c r="F303" s="32"/>
      <c r="G303" s="32"/>
      <c r="H303" s="32"/>
      <c r="I303" s="32"/>
      <c r="J303" s="32"/>
      <c r="M303" s="25">
        <v>10</v>
      </c>
      <c r="N303" s="24" t="s">
        <v>1434</v>
      </c>
    </row>
    <row r="304" spans="1:14" x14ac:dyDescent="0.35">
      <c r="A304" s="25" t="s">
        <v>1825</v>
      </c>
      <c r="B304" s="25" t="s">
        <v>1826</v>
      </c>
      <c r="C304" s="25" t="s">
        <v>1827</v>
      </c>
      <c r="E304" s="32" t="s">
        <v>1828</v>
      </c>
      <c r="F304" s="32"/>
      <c r="G304" s="32"/>
      <c r="H304" s="32"/>
      <c r="I304" s="32"/>
      <c r="J304" s="32"/>
      <c r="M304" s="25">
        <v>11</v>
      </c>
      <c r="N304" s="24" t="s">
        <v>1434</v>
      </c>
    </row>
    <row r="305" spans="1:14" x14ac:dyDescent="0.35">
      <c r="A305" s="25" t="s">
        <v>1829</v>
      </c>
      <c r="B305" s="25" t="s">
        <v>1830</v>
      </c>
      <c r="C305" s="25" t="s">
        <v>1831</v>
      </c>
      <c r="E305" s="32" t="s">
        <v>1832</v>
      </c>
      <c r="F305" s="32"/>
      <c r="G305" s="32"/>
      <c r="H305" s="32"/>
      <c r="I305" s="32"/>
      <c r="J305" s="32"/>
      <c r="M305" s="25">
        <v>12</v>
      </c>
      <c r="N305" s="24" t="s">
        <v>1434</v>
      </c>
    </row>
    <row r="306" spans="1:14" x14ac:dyDescent="0.35">
      <c r="A306" s="25" t="s">
        <v>1833</v>
      </c>
      <c r="B306" s="25" t="s">
        <v>1834</v>
      </c>
      <c r="C306" s="25" t="s">
        <v>1835</v>
      </c>
      <c r="E306" s="25" t="s">
        <v>1836</v>
      </c>
      <c r="F306" s="25" t="s">
        <v>1837</v>
      </c>
      <c r="G306" s="25" t="s">
        <v>1838</v>
      </c>
      <c r="H306" s="25" t="s">
        <v>1839</v>
      </c>
      <c r="L306" s="25" t="s">
        <v>1840</v>
      </c>
      <c r="N306" s="24" t="s">
        <v>415</v>
      </c>
    </row>
    <row r="307" spans="1:14" x14ac:dyDescent="0.35">
      <c r="A307" s="25" t="s">
        <v>1841</v>
      </c>
      <c r="B307" s="25" t="s">
        <v>1842</v>
      </c>
      <c r="C307" s="25" t="s">
        <v>1843</v>
      </c>
      <c r="E307" s="25" t="s">
        <v>1844</v>
      </c>
      <c r="L307" s="25" t="s">
        <v>1845</v>
      </c>
      <c r="N307" s="24" t="s">
        <v>415</v>
      </c>
    </row>
    <row r="308" spans="1:14" x14ac:dyDescent="0.35">
      <c r="A308" s="25" t="s">
        <v>1846</v>
      </c>
      <c r="B308" s="25" t="s">
        <v>1847</v>
      </c>
      <c r="C308" s="25" t="s">
        <v>1848</v>
      </c>
      <c r="E308" s="25" t="s">
        <v>234</v>
      </c>
      <c r="F308" s="25" t="s">
        <v>1849</v>
      </c>
      <c r="G308" s="25" t="s">
        <v>1850</v>
      </c>
      <c r="H308" s="25" t="s">
        <v>1851</v>
      </c>
      <c r="L308" s="25" t="s">
        <v>233</v>
      </c>
      <c r="M308" s="25">
        <v>1</v>
      </c>
      <c r="N308" s="24" t="s">
        <v>415</v>
      </c>
    </row>
    <row r="309" spans="1:14" x14ac:dyDescent="0.35">
      <c r="A309" s="25" t="s">
        <v>1852</v>
      </c>
      <c r="B309" s="25" t="s">
        <v>1853</v>
      </c>
      <c r="C309" s="25" t="s">
        <v>1854</v>
      </c>
      <c r="E309" s="32" t="s">
        <v>1855</v>
      </c>
      <c r="F309" s="32"/>
      <c r="G309" s="32"/>
      <c r="H309" s="32"/>
      <c r="I309" s="32"/>
      <c r="J309" s="32"/>
      <c r="L309" s="25" t="s">
        <v>1856</v>
      </c>
      <c r="M309" s="25">
        <v>2</v>
      </c>
      <c r="N309" s="24" t="s">
        <v>415</v>
      </c>
    </row>
    <row r="310" spans="1:14" x14ac:dyDescent="0.35">
      <c r="A310" s="25" t="s">
        <v>1857</v>
      </c>
      <c r="B310" s="25" t="s">
        <v>1858</v>
      </c>
      <c r="C310" s="25" t="s">
        <v>1859</v>
      </c>
      <c r="E310" s="32" t="s">
        <v>1860</v>
      </c>
      <c r="F310" s="32" t="s">
        <v>9426</v>
      </c>
      <c r="G310" s="32" t="s">
        <v>9427</v>
      </c>
      <c r="H310" s="32" t="s">
        <v>9428</v>
      </c>
      <c r="I310" s="32" t="s">
        <v>9429</v>
      </c>
      <c r="J310" s="32" t="s">
        <v>9430</v>
      </c>
      <c r="L310" s="25" t="s">
        <v>1861</v>
      </c>
      <c r="M310" s="25">
        <v>3</v>
      </c>
      <c r="N310" s="24" t="s">
        <v>415</v>
      </c>
    </row>
    <row r="311" spans="1:14" x14ac:dyDescent="0.35">
      <c r="A311" s="25" t="s">
        <v>1862</v>
      </c>
      <c r="B311" s="25" t="s">
        <v>1863</v>
      </c>
      <c r="C311" s="25" t="s">
        <v>1864</v>
      </c>
      <c r="E311" s="32" t="s">
        <v>1865</v>
      </c>
      <c r="F311" s="32"/>
      <c r="G311" s="32"/>
      <c r="H311" s="32"/>
      <c r="I311" s="32"/>
      <c r="J311" s="32"/>
      <c r="L311" s="25" t="s">
        <v>1866</v>
      </c>
      <c r="M311" s="25">
        <v>4</v>
      </c>
      <c r="N311" s="24" t="s">
        <v>415</v>
      </c>
    </row>
    <row r="312" spans="1:14" x14ac:dyDescent="0.35">
      <c r="A312" s="25" t="s">
        <v>1867</v>
      </c>
      <c r="B312" s="25" t="s">
        <v>1868</v>
      </c>
      <c r="C312" s="25" t="s">
        <v>1869</v>
      </c>
      <c r="E312" s="32" t="s">
        <v>1870</v>
      </c>
      <c r="F312" s="32"/>
      <c r="G312" s="32"/>
      <c r="H312" s="32"/>
      <c r="I312" s="32"/>
      <c r="J312" s="32"/>
      <c r="L312" s="25" t="s">
        <v>1871</v>
      </c>
      <c r="M312" s="25">
        <v>5</v>
      </c>
      <c r="N312" s="24" t="s">
        <v>415</v>
      </c>
    </row>
    <row r="313" spans="1:14" x14ac:dyDescent="0.35">
      <c r="A313" s="25" t="s">
        <v>1872</v>
      </c>
      <c r="B313" s="25" t="s">
        <v>1873</v>
      </c>
      <c r="C313" s="25" t="s">
        <v>1874</v>
      </c>
      <c r="E313" s="32" t="s">
        <v>1875</v>
      </c>
      <c r="F313" s="32"/>
      <c r="G313" s="32"/>
      <c r="H313" s="32"/>
      <c r="I313" s="32"/>
      <c r="J313" s="32"/>
      <c r="M313" s="25">
        <v>6</v>
      </c>
      <c r="N313" s="24" t="s">
        <v>415</v>
      </c>
    </row>
    <row r="314" spans="1:14" x14ac:dyDescent="0.35">
      <c r="A314" s="25" t="s">
        <v>1876</v>
      </c>
      <c r="B314" s="25" t="s">
        <v>1877</v>
      </c>
      <c r="C314" s="25" t="s">
        <v>1878</v>
      </c>
      <c r="E314" s="32" t="s">
        <v>1879</v>
      </c>
      <c r="F314" s="32"/>
      <c r="G314" s="32"/>
      <c r="H314" s="32"/>
      <c r="I314" s="32"/>
      <c r="J314" s="32"/>
      <c r="M314" s="25">
        <v>7</v>
      </c>
      <c r="N314" s="24" t="s">
        <v>415</v>
      </c>
    </row>
    <row r="315" spans="1:14" x14ac:dyDescent="0.35">
      <c r="A315" s="25" t="s">
        <v>1880</v>
      </c>
      <c r="B315" s="25" t="s">
        <v>1881</v>
      </c>
      <c r="C315" s="25" t="s">
        <v>1882</v>
      </c>
      <c r="E315" s="32" t="s">
        <v>1883</v>
      </c>
      <c r="F315" s="32"/>
      <c r="G315" s="32"/>
      <c r="H315" s="32"/>
      <c r="I315" s="32"/>
      <c r="J315" s="32"/>
      <c r="M315" s="25">
        <v>8</v>
      </c>
      <c r="N315" s="24" t="s">
        <v>415</v>
      </c>
    </row>
    <row r="316" spans="1:14" x14ac:dyDescent="0.35">
      <c r="A316" s="25" t="s">
        <v>1884</v>
      </c>
      <c r="B316" s="25" t="s">
        <v>1885</v>
      </c>
      <c r="C316" s="25" t="s">
        <v>1886</v>
      </c>
      <c r="E316" s="32" t="s">
        <v>1887</v>
      </c>
      <c r="F316" s="32"/>
      <c r="G316" s="32"/>
      <c r="H316" s="32"/>
      <c r="I316" s="32"/>
      <c r="J316" s="32"/>
      <c r="L316" s="25" t="s">
        <v>1888</v>
      </c>
      <c r="M316" s="25">
        <v>9</v>
      </c>
      <c r="N316" s="24" t="s">
        <v>415</v>
      </c>
    </row>
    <row r="317" spans="1:14" x14ac:dyDescent="0.35">
      <c r="A317" s="25" t="s">
        <v>1889</v>
      </c>
      <c r="B317" s="25" t="s">
        <v>1890</v>
      </c>
      <c r="C317" s="25" t="s">
        <v>1891</v>
      </c>
      <c r="E317" s="32" t="s">
        <v>1892</v>
      </c>
      <c r="F317" s="32"/>
      <c r="G317" s="32"/>
      <c r="H317" s="32"/>
      <c r="I317" s="32"/>
      <c r="J317" s="32"/>
      <c r="L317" s="25" t="s">
        <v>1893</v>
      </c>
      <c r="M317" s="25">
        <v>10</v>
      </c>
      <c r="N317" s="24" t="s">
        <v>415</v>
      </c>
    </row>
    <row r="318" spans="1:14" x14ac:dyDescent="0.35">
      <c r="A318" s="25" t="s">
        <v>1894</v>
      </c>
      <c r="B318" s="25" t="s">
        <v>1895</v>
      </c>
      <c r="C318" s="25" t="s">
        <v>1896</v>
      </c>
      <c r="E318" s="32" t="s">
        <v>1897</v>
      </c>
      <c r="F318" s="32"/>
      <c r="G318" s="32"/>
      <c r="H318" s="32"/>
      <c r="I318" s="32"/>
      <c r="J318" s="32"/>
      <c r="L318" s="25" t="s">
        <v>1898</v>
      </c>
      <c r="M318" s="25">
        <v>11</v>
      </c>
      <c r="N318" s="24" t="s">
        <v>415</v>
      </c>
    </row>
    <row r="319" spans="1:14" x14ac:dyDescent="0.35">
      <c r="A319" s="25" t="s">
        <v>1899</v>
      </c>
      <c r="B319" s="25" t="s">
        <v>1900</v>
      </c>
      <c r="C319" s="25" t="s">
        <v>1901</v>
      </c>
      <c r="E319" s="32" t="s">
        <v>1902</v>
      </c>
      <c r="F319" s="32"/>
      <c r="G319" s="32"/>
      <c r="H319" s="32"/>
      <c r="I319" s="32"/>
      <c r="J319" s="32"/>
      <c r="M319" s="25">
        <v>12</v>
      </c>
      <c r="N319" s="24" t="s">
        <v>415</v>
      </c>
    </row>
    <row r="320" spans="1:14" ht="16.2" x14ac:dyDescent="0.35">
      <c r="A320" s="25" t="s">
        <v>1903</v>
      </c>
      <c r="B320" s="25" t="s">
        <v>1904</v>
      </c>
      <c r="C320" s="25" t="s">
        <v>1905</v>
      </c>
      <c r="E320" s="32" t="s">
        <v>1906</v>
      </c>
      <c r="F320" s="7" t="s">
        <v>9613</v>
      </c>
      <c r="G320" s="7" t="s">
        <v>9614</v>
      </c>
      <c r="H320" s="7" t="s">
        <v>9615</v>
      </c>
      <c r="I320" s="7" t="s">
        <v>9616</v>
      </c>
      <c r="J320" s="7" t="s">
        <v>9617</v>
      </c>
      <c r="N320" s="24" t="s">
        <v>415</v>
      </c>
    </row>
    <row r="321" spans="1:14" x14ac:dyDescent="0.35">
      <c r="A321" s="25" t="s">
        <v>1907</v>
      </c>
      <c r="B321" s="25" t="s">
        <v>1908</v>
      </c>
      <c r="C321" s="25" t="s">
        <v>1909</v>
      </c>
      <c r="E321" s="32" t="s">
        <v>1910</v>
      </c>
      <c r="F321" s="32"/>
      <c r="G321" s="32"/>
      <c r="H321" s="32"/>
      <c r="I321" s="32"/>
      <c r="J321" s="32"/>
      <c r="N321" s="24" t="s">
        <v>415</v>
      </c>
    </row>
    <row r="322" spans="1:14" x14ac:dyDescent="0.35">
      <c r="A322" s="25" t="s">
        <v>1911</v>
      </c>
      <c r="B322" s="25" t="s">
        <v>1912</v>
      </c>
      <c r="C322" s="25" t="s">
        <v>1913</v>
      </c>
      <c r="E322" s="32" t="s">
        <v>1914</v>
      </c>
      <c r="F322" s="32"/>
      <c r="G322" s="32"/>
      <c r="H322" s="32"/>
      <c r="I322" s="32"/>
      <c r="J322" s="32"/>
      <c r="N322" s="24" t="s">
        <v>415</v>
      </c>
    </row>
    <row r="323" spans="1:14" x14ac:dyDescent="0.35">
      <c r="A323" s="25" t="s">
        <v>1915</v>
      </c>
      <c r="B323" s="25" t="s">
        <v>1916</v>
      </c>
      <c r="C323" s="25" t="s">
        <v>1917</v>
      </c>
      <c r="E323" s="32" t="s">
        <v>1918</v>
      </c>
      <c r="F323" s="32"/>
      <c r="G323" s="32"/>
      <c r="H323" s="32"/>
      <c r="I323" s="32"/>
      <c r="J323" s="32"/>
      <c r="N323" s="24" t="s">
        <v>1169</v>
      </c>
    </row>
    <row r="324" spans="1:14" x14ac:dyDescent="0.35">
      <c r="A324" s="25" t="s">
        <v>1919</v>
      </c>
      <c r="B324" s="25" t="s">
        <v>1920</v>
      </c>
      <c r="C324" s="25" t="s">
        <v>1921</v>
      </c>
      <c r="E324" s="32" t="s">
        <v>1922</v>
      </c>
      <c r="F324" s="32"/>
      <c r="G324" s="32"/>
      <c r="H324" s="32"/>
      <c r="I324" s="32"/>
      <c r="J324" s="32"/>
      <c r="N324" s="24" t="s">
        <v>1169</v>
      </c>
    </row>
    <row r="325" spans="1:14" x14ac:dyDescent="0.35">
      <c r="A325" s="25" t="s">
        <v>1923</v>
      </c>
      <c r="B325" s="25" t="s">
        <v>1924</v>
      </c>
      <c r="C325" s="25" t="s">
        <v>1925</v>
      </c>
      <c r="E325" s="32" t="s">
        <v>1926</v>
      </c>
      <c r="F325" s="32"/>
      <c r="G325" s="32"/>
      <c r="H325" s="32"/>
      <c r="I325" s="32"/>
      <c r="J325" s="32"/>
      <c r="N325" s="24" t="s">
        <v>1169</v>
      </c>
    </row>
    <row r="326" spans="1:14" x14ac:dyDescent="0.35">
      <c r="A326" s="25" t="s">
        <v>1927</v>
      </c>
      <c r="B326" s="25" t="s">
        <v>1928</v>
      </c>
      <c r="C326" s="25" t="s">
        <v>1929</v>
      </c>
      <c r="E326" s="32" t="s">
        <v>1930</v>
      </c>
      <c r="F326" s="32"/>
      <c r="G326" s="32"/>
      <c r="H326" s="32"/>
      <c r="I326" s="32"/>
      <c r="J326" s="32"/>
      <c r="N326" s="24" t="s">
        <v>1169</v>
      </c>
    </row>
    <row r="327" spans="1:14" x14ac:dyDescent="0.35">
      <c r="A327" s="25" t="s">
        <v>1931</v>
      </c>
      <c r="B327" s="25" t="s">
        <v>1932</v>
      </c>
      <c r="C327" s="25" t="s">
        <v>1933</v>
      </c>
      <c r="E327" s="32" t="s">
        <v>1934</v>
      </c>
      <c r="F327" s="32"/>
      <c r="G327" s="32"/>
      <c r="H327" s="32"/>
      <c r="I327" s="32"/>
      <c r="J327" s="32"/>
      <c r="N327" s="24" t="s">
        <v>1169</v>
      </c>
    </row>
    <row r="328" spans="1:14" x14ac:dyDescent="0.35">
      <c r="A328" s="25" t="s">
        <v>1935</v>
      </c>
      <c r="B328" s="25" t="s">
        <v>1936</v>
      </c>
      <c r="C328" s="25" t="s">
        <v>1937</v>
      </c>
      <c r="E328" s="32" t="s">
        <v>1938</v>
      </c>
      <c r="F328" s="32"/>
      <c r="G328" s="32"/>
      <c r="H328" s="32"/>
      <c r="I328" s="32"/>
      <c r="J328" s="32"/>
      <c r="N328" s="24" t="s">
        <v>1169</v>
      </c>
    </row>
    <row r="329" spans="1:14" x14ac:dyDescent="0.35">
      <c r="A329" s="25" t="s">
        <v>1939</v>
      </c>
      <c r="B329" s="25" t="s">
        <v>1940</v>
      </c>
      <c r="C329" s="25" t="s">
        <v>1941</v>
      </c>
      <c r="E329" s="32" t="s">
        <v>297</v>
      </c>
      <c r="F329" s="32"/>
      <c r="G329" s="32"/>
      <c r="H329" s="32"/>
      <c r="I329" s="32"/>
      <c r="J329" s="32"/>
      <c r="N329" s="24" t="s">
        <v>1169</v>
      </c>
    </row>
    <row r="330" spans="1:14" x14ac:dyDescent="0.35">
      <c r="A330" s="25" t="s">
        <v>1942</v>
      </c>
      <c r="B330" s="25" t="s">
        <v>1943</v>
      </c>
      <c r="C330" s="25" t="s">
        <v>1944</v>
      </c>
      <c r="E330" s="25" t="s">
        <v>1945</v>
      </c>
      <c r="F330" s="25" t="s">
        <v>1946</v>
      </c>
      <c r="G330" s="25" t="s">
        <v>1947</v>
      </c>
      <c r="H330" s="25" t="s">
        <v>1948</v>
      </c>
      <c r="I330" s="25" t="s">
        <v>1949</v>
      </c>
      <c r="N330" s="24" t="s">
        <v>415</v>
      </c>
    </row>
    <row r="331" spans="1:14" x14ac:dyDescent="0.35">
      <c r="A331" s="25" t="s">
        <v>1950</v>
      </c>
      <c r="B331" s="25" t="s">
        <v>1951</v>
      </c>
      <c r="C331" s="25" t="s">
        <v>1952</v>
      </c>
      <c r="E331" s="32" t="s">
        <v>1953</v>
      </c>
      <c r="F331" s="32"/>
      <c r="G331" s="32"/>
      <c r="H331" s="32"/>
      <c r="I331" s="32"/>
      <c r="J331" s="32"/>
      <c r="N331" s="24" t="s">
        <v>415</v>
      </c>
    </row>
    <row r="332" spans="1:14" x14ac:dyDescent="0.35">
      <c r="A332" s="25" t="s">
        <v>1954</v>
      </c>
      <c r="B332" s="25" t="s">
        <v>1955</v>
      </c>
      <c r="C332" s="25" t="s">
        <v>1956</v>
      </c>
      <c r="E332" s="32" t="s">
        <v>1957</v>
      </c>
      <c r="F332" s="32"/>
      <c r="G332" s="32"/>
      <c r="H332" s="32"/>
      <c r="I332" s="32"/>
      <c r="J332" s="32"/>
      <c r="L332" s="25" t="s">
        <v>1955</v>
      </c>
      <c r="M332" s="25">
        <v>1</v>
      </c>
      <c r="N332" s="24" t="s">
        <v>415</v>
      </c>
    </row>
    <row r="333" spans="1:14" x14ac:dyDescent="0.35">
      <c r="A333" s="25" t="s">
        <v>1958</v>
      </c>
      <c r="B333" s="25" t="s">
        <v>1959</v>
      </c>
      <c r="C333" s="25" t="s">
        <v>1960</v>
      </c>
      <c r="E333" s="32" t="s">
        <v>1961</v>
      </c>
      <c r="F333" s="32"/>
      <c r="G333" s="32"/>
      <c r="H333" s="32"/>
      <c r="I333" s="32"/>
      <c r="J333" s="32"/>
      <c r="L333" s="25" t="s">
        <v>1959</v>
      </c>
      <c r="M333" s="25">
        <v>2</v>
      </c>
      <c r="N333" s="24" t="s">
        <v>415</v>
      </c>
    </row>
    <row r="334" spans="1:14" x14ac:dyDescent="0.35">
      <c r="A334" s="25" t="s">
        <v>1962</v>
      </c>
      <c r="B334" s="25" t="s">
        <v>1963</v>
      </c>
      <c r="C334" s="25" t="s">
        <v>1964</v>
      </c>
      <c r="E334" s="25" t="s">
        <v>10177</v>
      </c>
      <c r="L334" s="25" t="s">
        <v>1963</v>
      </c>
      <c r="M334" s="25">
        <v>3</v>
      </c>
      <c r="N334" s="24" t="s">
        <v>415</v>
      </c>
    </row>
    <row r="335" spans="1:14" x14ac:dyDescent="0.35">
      <c r="A335" s="25" t="s">
        <v>1965</v>
      </c>
      <c r="B335" s="25" t="s">
        <v>1966</v>
      </c>
      <c r="C335" s="25" t="s">
        <v>1967</v>
      </c>
      <c r="E335" s="25" t="s">
        <v>10178</v>
      </c>
      <c r="L335" s="25" t="s">
        <v>1966</v>
      </c>
      <c r="M335" s="25">
        <v>4</v>
      </c>
      <c r="N335" s="24" t="s">
        <v>415</v>
      </c>
    </row>
    <row r="336" spans="1:14" x14ac:dyDescent="0.35">
      <c r="A336" s="25" t="s">
        <v>1968</v>
      </c>
      <c r="B336" s="25" t="s">
        <v>1969</v>
      </c>
      <c r="C336" s="25" t="s">
        <v>1970</v>
      </c>
      <c r="E336" s="25" t="s">
        <v>10179</v>
      </c>
      <c r="L336" s="25" t="s">
        <v>1969</v>
      </c>
      <c r="M336" s="25">
        <v>5</v>
      </c>
      <c r="N336" s="24" t="s">
        <v>415</v>
      </c>
    </row>
    <row r="337" spans="1:14" x14ac:dyDescent="0.35">
      <c r="A337" s="25" t="s">
        <v>1971</v>
      </c>
      <c r="B337" s="25" t="s">
        <v>1972</v>
      </c>
      <c r="C337" s="25" t="s">
        <v>1973</v>
      </c>
      <c r="E337" s="25" t="s">
        <v>10180</v>
      </c>
      <c r="L337" s="25" t="s">
        <v>1972</v>
      </c>
      <c r="M337" s="25">
        <v>6</v>
      </c>
      <c r="N337" s="24" t="s">
        <v>415</v>
      </c>
    </row>
    <row r="338" spans="1:14" x14ac:dyDescent="0.35">
      <c r="A338" s="25" t="s">
        <v>1974</v>
      </c>
      <c r="B338" s="25" t="s">
        <v>1975</v>
      </c>
      <c r="C338" s="25" t="s">
        <v>1976</v>
      </c>
      <c r="E338" s="25" t="s">
        <v>10181</v>
      </c>
      <c r="L338" s="25" t="s">
        <v>1975</v>
      </c>
      <c r="M338" s="25">
        <v>7</v>
      </c>
      <c r="N338" s="24" t="s">
        <v>415</v>
      </c>
    </row>
    <row r="339" spans="1:14" x14ac:dyDescent="0.35">
      <c r="A339" s="25" t="s">
        <v>1977</v>
      </c>
      <c r="B339" s="25" t="s">
        <v>1978</v>
      </c>
      <c r="C339" s="25" t="s">
        <v>1979</v>
      </c>
      <c r="E339" s="25" t="s">
        <v>1980</v>
      </c>
      <c r="F339" s="25" t="s">
        <v>1981</v>
      </c>
      <c r="G339" s="25" t="s">
        <v>1982</v>
      </c>
      <c r="H339" s="25" t="s">
        <v>1983</v>
      </c>
      <c r="I339" s="25" t="s">
        <v>1984</v>
      </c>
      <c r="N339" s="24" t="s">
        <v>415</v>
      </c>
    </row>
    <row r="340" spans="1:14" x14ac:dyDescent="0.35">
      <c r="A340" s="25" t="s">
        <v>1985</v>
      </c>
      <c r="B340" s="25" t="s">
        <v>1986</v>
      </c>
      <c r="C340" s="25" t="s">
        <v>1987</v>
      </c>
      <c r="E340" s="25" t="s">
        <v>10182</v>
      </c>
      <c r="L340" s="25" t="s">
        <v>1986</v>
      </c>
      <c r="M340" s="25">
        <v>1</v>
      </c>
      <c r="N340" s="24" t="s">
        <v>415</v>
      </c>
    </row>
    <row r="341" spans="1:14" x14ac:dyDescent="0.35">
      <c r="A341" s="25" t="s">
        <v>1988</v>
      </c>
      <c r="B341" s="25" t="s">
        <v>1989</v>
      </c>
      <c r="C341" s="25" t="s">
        <v>1990</v>
      </c>
      <c r="E341" s="32" t="s">
        <v>1991</v>
      </c>
      <c r="F341" s="32"/>
      <c r="G341" s="32"/>
      <c r="H341" s="32"/>
      <c r="I341" s="32"/>
      <c r="J341" s="32"/>
      <c r="L341" s="25" t="s">
        <v>1989</v>
      </c>
      <c r="M341" s="25">
        <v>2</v>
      </c>
      <c r="N341" s="24" t="s">
        <v>415</v>
      </c>
    </row>
    <row r="342" spans="1:14" x14ac:dyDescent="0.35">
      <c r="A342" s="25" t="s">
        <v>1992</v>
      </c>
      <c r="B342" s="25" t="s">
        <v>1993</v>
      </c>
      <c r="C342" s="25" t="s">
        <v>1994</v>
      </c>
      <c r="E342" s="32" t="s">
        <v>1995</v>
      </c>
      <c r="F342" s="32"/>
      <c r="G342" s="32"/>
      <c r="H342" s="32"/>
      <c r="I342" s="32"/>
      <c r="J342" s="32"/>
      <c r="L342" s="25" t="s">
        <v>1993</v>
      </c>
      <c r="M342" s="25">
        <v>3</v>
      </c>
      <c r="N342" s="24" t="s">
        <v>415</v>
      </c>
    </row>
    <row r="343" spans="1:14" x14ac:dyDescent="0.35">
      <c r="A343" s="25" t="s">
        <v>1996</v>
      </c>
      <c r="B343" s="25" t="s">
        <v>1997</v>
      </c>
      <c r="C343" s="25" t="s">
        <v>1998</v>
      </c>
      <c r="E343" s="32" t="s">
        <v>1999</v>
      </c>
      <c r="F343" s="32"/>
      <c r="G343" s="32"/>
      <c r="H343" s="32"/>
      <c r="I343" s="32"/>
      <c r="J343" s="32"/>
      <c r="L343" s="25" t="s">
        <v>1997</v>
      </c>
      <c r="M343" s="25">
        <v>4</v>
      </c>
      <c r="N343" s="24" t="s">
        <v>415</v>
      </c>
    </row>
    <row r="344" spans="1:14" x14ac:dyDescent="0.35">
      <c r="A344" s="25" t="s">
        <v>2000</v>
      </c>
      <c r="B344" s="25" t="s">
        <v>2001</v>
      </c>
      <c r="C344" s="25" t="s">
        <v>2002</v>
      </c>
      <c r="E344" s="32" t="s">
        <v>2003</v>
      </c>
      <c r="F344" s="32"/>
      <c r="G344" s="32"/>
      <c r="H344" s="32"/>
      <c r="I344" s="32"/>
      <c r="J344" s="32"/>
      <c r="L344" s="25" t="s">
        <v>2001</v>
      </c>
      <c r="M344" s="25">
        <v>5</v>
      </c>
      <c r="N344" s="24" t="s">
        <v>415</v>
      </c>
    </row>
    <row r="345" spans="1:14" x14ac:dyDescent="0.35">
      <c r="A345" s="25" t="s">
        <v>2004</v>
      </c>
      <c r="B345" s="25" t="s">
        <v>2005</v>
      </c>
      <c r="C345" s="25" t="s">
        <v>2006</v>
      </c>
      <c r="E345" s="32" t="s">
        <v>2007</v>
      </c>
      <c r="F345" s="32"/>
      <c r="G345" s="32"/>
      <c r="H345" s="32"/>
      <c r="I345" s="32"/>
      <c r="J345" s="32"/>
      <c r="L345" s="25" t="s">
        <v>2005</v>
      </c>
      <c r="M345" s="25">
        <v>6</v>
      </c>
      <c r="N345" s="24" t="s">
        <v>415</v>
      </c>
    </row>
    <row r="346" spans="1:14" x14ac:dyDescent="0.35">
      <c r="A346" s="25" t="s">
        <v>2008</v>
      </c>
      <c r="B346" s="25" t="s">
        <v>2009</v>
      </c>
      <c r="C346" s="25" t="s">
        <v>2010</v>
      </c>
      <c r="E346" s="32" t="s">
        <v>2011</v>
      </c>
      <c r="F346" s="32"/>
      <c r="G346" s="32"/>
      <c r="H346" s="32"/>
      <c r="I346" s="32"/>
      <c r="J346" s="32"/>
      <c r="L346" s="25" t="s">
        <v>2009</v>
      </c>
      <c r="M346" s="25">
        <v>7</v>
      </c>
      <c r="N346" s="24" t="s">
        <v>415</v>
      </c>
    </row>
    <row r="347" spans="1:14" x14ac:dyDescent="0.35">
      <c r="A347" s="25" t="s">
        <v>2012</v>
      </c>
      <c r="B347" s="25" t="s">
        <v>2013</v>
      </c>
      <c r="C347" s="25" t="s">
        <v>2014</v>
      </c>
      <c r="E347" s="32" t="s">
        <v>230</v>
      </c>
      <c r="F347" s="32"/>
      <c r="G347" s="32"/>
      <c r="H347" s="32"/>
      <c r="I347" s="32"/>
      <c r="J347" s="32"/>
      <c r="L347" s="25" t="s">
        <v>2015</v>
      </c>
      <c r="M347" s="25">
        <v>1</v>
      </c>
      <c r="N347" s="24" t="s">
        <v>415</v>
      </c>
    </row>
    <row r="348" spans="1:14" x14ac:dyDescent="0.35">
      <c r="A348" s="25" t="s">
        <v>9407</v>
      </c>
      <c r="B348" s="25" t="s">
        <v>2016</v>
      </c>
      <c r="C348" s="25" t="s">
        <v>2017</v>
      </c>
      <c r="E348" s="32" t="s">
        <v>2018</v>
      </c>
      <c r="F348" s="32"/>
      <c r="G348" s="32"/>
      <c r="H348" s="32"/>
      <c r="I348" s="32"/>
      <c r="J348" s="32"/>
      <c r="L348" s="25" t="s">
        <v>2019</v>
      </c>
      <c r="M348" s="25">
        <v>2</v>
      </c>
      <c r="N348" s="24" t="s">
        <v>415</v>
      </c>
    </row>
    <row r="349" spans="1:14" x14ac:dyDescent="0.35">
      <c r="A349" s="25" t="s">
        <v>2020</v>
      </c>
      <c r="B349" s="25" t="s">
        <v>2021</v>
      </c>
      <c r="C349" s="25" t="s">
        <v>2022</v>
      </c>
      <c r="E349" s="32" t="s">
        <v>2023</v>
      </c>
      <c r="F349" s="32"/>
      <c r="G349" s="32"/>
      <c r="H349" s="32"/>
      <c r="I349" s="32"/>
      <c r="J349" s="32"/>
      <c r="M349" s="25">
        <v>3</v>
      </c>
      <c r="N349" s="24" t="s">
        <v>415</v>
      </c>
    </row>
    <row r="350" spans="1:14" x14ac:dyDescent="0.35">
      <c r="A350" s="25" t="s">
        <v>2024</v>
      </c>
      <c r="B350" s="25" t="s">
        <v>2025</v>
      </c>
      <c r="C350" s="25" t="s">
        <v>2026</v>
      </c>
      <c r="E350" s="32" t="s">
        <v>2027</v>
      </c>
      <c r="F350" s="32"/>
      <c r="G350" s="32"/>
      <c r="H350" s="32"/>
      <c r="I350" s="32"/>
      <c r="J350" s="32"/>
      <c r="M350" s="25">
        <v>4</v>
      </c>
      <c r="N350" s="24" t="s">
        <v>415</v>
      </c>
    </row>
    <row r="351" spans="1:14" x14ac:dyDescent="0.35">
      <c r="A351" s="25" t="s">
        <v>2028</v>
      </c>
      <c r="B351" s="25" t="s">
        <v>2029</v>
      </c>
      <c r="C351" s="25" t="s">
        <v>2030</v>
      </c>
      <c r="E351" s="32" t="s">
        <v>2031</v>
      </c>
      <c r="F351" s="32"/>
      <c r="G351" s="32"/>
      <c r="H351" s="32"/>
      <c r="I351" s="32"/>
      <c r="J351" s="32"/>
      <c r="M351" s="25">
        <v>5</v>
      </c>
      <c r="N351" s="24" t="s">
        <v>415</v>
      </c>
    </row>
    <row r="352" spans="1:14" x14ac:dyDescent="0.35">
      <c r="A352" s="25" t="s">
        <v>2032</v>
      </c>
      <c r="B352" s="25" t="s">
        <v>2033</v>
      </c>
      <c r="C352" s="25" t="s">
        <v>2034</v>
      </c>
      <c r="E352" s="32" t="s">
        <v>2035</v>
      </c>
      <c r="F352" s="32"/>
      <c r="G352" s="32"/>
      <c r="H352" s="32"/>
      <c r="I352" s="32"/>
      <c r="J352" s="32"/>
      <c r="M352" s="25">
        <v>6</v>
      </c>
      <c r="N352" s="24" t="s">
        <v>415</v>
      </c>
    </row>
    <row r="353" spans="1:14" x14ac:dyDescent="0.35">
      <c r="A353" s="25" t="s">
        <v>2036</v>
      </c>
      <c r="B353" s="25" t="s">
        <v>2037</v>
      </c>
      <c r="C353" s="25" t="s">
        <v>2038</v>
      </c>
      <c r="E353" s="32" t="s">
        <v>2039</v>
      </c>
      <c r="F353" s="32"/>
      <c r="G353" s="32"/>
      <c r="H353" s="32"/>
      <c r="I353" s="32"/>
      <c r="J353" s="32"/>
      <c r="M353" s="25">
        <v>7</v>
      </c>
      <c r="N353" s="24" t="s">
        <v>415</v>
      </c>
    </row>
    <row r="354" spans="1:14" x14ac:dyDescent="0.35">
      <c r="A354" s="25" t="s">
        <v>2040</v>
      </c>
      <c r="B354" s="25" t="s">
        <v>2041</v>
      </c>
      <c r="C354" s="25" t="s">
        <v>2042</v>
      </c>
      <c r="E354" s="32" t="s">
        <v>2043</v>
      </c>
      <c r="F354" s="32"/>
      <c r="G354" s="32"/>
      <c r="H354" s="32"/>
      <c r="I354" s="32"/>
      <c r="J354" s="32"/>
      <c r="M354" s="25">
        <v>8</v>
      </c>
      <c r="N354" s="24" t="s">
        <v>415</v>
      </c>
    </row>
    <row r="355" spans="1:14" x14ac:dyDescent="0.35">
      <c r="A355" s="25" t="s">
        <v>2044</v>
      </c>
      <c r="B355" s="25" t="s">
        <v>2045</v>
      </c>
      <c r="C355" s="25" t="s">
        <v>2046</v>
      </c>
      <c r="E355" s="32" t="s">
        <v>2047</v>
      </c>
      <c r="F355" s="32"/>
      <c r="G355" s="32"/>
      <c r="H355" s="32"/>
      <c r="I355" s="32"/>
      <c r="J355" s="32"/>
      <c r="M355" s="25">
        <v>9</v>
      </c>
      <c r="N355" s="24" t="s">
        <v>415</v>
      </c>
    </row>
    <row r="356" spans="1:14" x14ac:dyDescent="0.35">
      <c r="A356" s="25" t="s">
        <v>2048</v>
      </c>
      <c r="B356" s="25" t="s">
        <v>2049</v>
      </c>
      <c r="C356" s="25" t="s">
        <v>2050</v>
      </c>
      <c r="E356" s="32" t="s">
        <v>2051</v>
      </c>
      <c r="F356" s="32" t="s">
        <v>2052</v>
      </c>
      <c r="G356" s="32" t="s">
        <v>2053</v>
      </c>
      <c r="H356" s="32" t="s">
        <v>2054</v>
      </c>
      <c r="I356" s="32"/>
      <c r="J356" s="32"/>
      <c r="M356" s="25">
        <v>10</v>
      </c>
      <c r="N356" s="24" t="s">
        <v>415</v>
      </c>
    </row>
    <row r="357" spans="1:14" x14ac:dyDescent="0.35">
      <c r="A357" s="25" t="s">
        <v>2055</v>
      </c>
      <c r="B357" s="25" t="s">
        <v>2056</v>
      </c>
      <c r="C357" s="25" t="s">
        <v>2057</v>
      </c>
      <c r="E357" s="32" t="s">
        <v>2058</v>
      </c>
      <c r="F357" s="32"/>
      <c r="G357" s="32"/>
      <c r="H357" s="32"/>
      <c r="I357" s="32"/>
      <c r="J357" s="32"/>
      <c r="M357" s="25">
        <v>11</v>
      </c>
      <c r="N357" s="24" t="s">
        <v>415</v>
      </c>
    </row>
    <row r="358" spans="1:14" x14ac:dyDescent="0.35">
      <c r="A358" s="25" t="s">
        <v>2059</v>
      </c>
      <c r="B358" s="25" t="s">
        <v>2060</v>
      </c>
      <c r="C358" s="25" t="s">
        <v>2061</v>
      </c>
      <c r="E358" s="32" t="s">
        <v>2062</v>
      </c>
      <c r="F358" s="32"/>
      <c r="G358" s="32"/>
      <c r="H358" s="32"/>
      <c r="I358" s="32"/>
      <c r="J358" s="32"/>
      <c r="N358" s="24" t="s">
        <v>415</v>
      </c>
    </row>
    <row r="359" spans="1:14" x14ac:dyDescent="0.35">
      <c r="A359" s="25" t="s">
        <v>2063</v>
      </c>
      <c r="B359" s="25" t="s">
        <v>2064</v>
      </c>
      <c r="C359" s="25" t="s">
        <v>2065</v>
      </c>
      <c r="E359" s="32" t="s">
        <v>2066</v>
      </c>
      <c r="F359" s="32"/>
      <c r="G359" s="32"/>
      <c r="H359" s="32"/>
      <c r="I359" s="32"/>
      <c r="J359" s="32"/>
      <c r="N359" s="24" t="s">
        <v>415</v>
      </c>
    </row>
    <row r="360" spans="1:14" x14ac:dyDescent="0.35">
      <c r="A360" s="25" t="s">
        <v>2067</v>
      </c>
      <c r="B360" s="25" t="s">
        <v>2068</v>
      </c>
      <c r="C360" s="25" t="s">
        <v>2069</v>
      </c>
      <c r="E360" s="32" t="s">
        <v>2070</v>
      </c>
      <c r="F360" s="32" t="s">
        <v>2071</v>
      </c>
      <c r="G360" s="32"/>
      <c r="H360" s="32"/>
      <c r="I360" s="32"/>
      <c r="J360" s="32"/>
      <c r="M360" s="25">
        <v>1</v>
      </c>
      <c r="N360" s="24" t="s">
        <v>1434</v>
      </c>
    </row>
    <row r="361" spans="1:14" x14ac:dyDescent="0.35">
      <c r="A361" s="25" t="s">
        <v>2072</v>
      </c>
      <c r="B361" s="25" t="s">
        <v>2073</v>
      </c>
      <c r="C361" s="25" t="s">
        <v>2074</v>
      </c>
      <c r="E361" s="32" t="s">
        <v>2075</v>
      </c>
      <c r="F361" s="32"/>
      <c r="G361" s="32"/>
      <c r="H361" s="32"/>
      <c r="I361" s="32"/>
      <c r="J361" s="32"/>
      <c r="M361" s="25">
        <v>2</v>
      </c>
      <c r="N361" s="24" t="s">
        <v>1434</v>
      </c>
    </row>
    <row r="362" spans="1:14" x14ac:dyDescent="0.35">
      <c r="A362" s="25" t="s">
        <v>82</v>
      </c>
      <c r="B362" s="25" t="s">
        <v>2076</v>
      </c>
      <c r="C362" s="25" t="s">
        <v>2077</v>
      </c>
      <c r="E362" s="32" t="s">
        <v>2078</v>
      </c>
      <c r="F362" s="32"/>
      <c r="G362" s="32"/>
      <c r="H362" s="32"/>
      <c r="I362" s="32"/>
      <c r="J362" s="32"/>
      <c r="L362" s="25" t="s">
        <v>2079</v>
      </c>
      <c r="M362" s="25">
        <v>3</v>
      </c>
      <c r="N362" s="24" t="s">
        <v>1434</v>
      </c>
    </row>
    <row r="363" spans="1:14" x14ac:dyDescent="0.35">
      <c r="A363" s="25" t="s">
        <v>2080</v>
      </c>
      <c r="B363" s="25" t="s">
        <v>2081</v>
      </c>
      <c r="C363" s="25" t="s">
        <v>2082</v>
      </c>
      <c r="E363" s="25" t="s">
        <v>2083</v>
      </c>
      <c r="F363" s="25" t="s">
        <v>2084</v>
      </c>
      <c r="G363" s="25" t="s">
        <v>2085</v>
      </c>
      <c r="H363" s="25" t="s">
        <v>2086</v>
      </c>
      <c r="I363" s="25" t="s">
        <v>2087</v>
      </c>
      <c r="L363" s="25" t="s">
        <v>2088</v>
      </c>
      <c r="M363" s="25">
        <v>4</v>
      </c>
      <c r="N363" s="24" t="s">
        <v>1434</v>
      </c>
    </row>
    <row r="364" spans="1:14" x14ac:dyDescent="0.35">
      <c r="A364" s="25" t="s">
        <v>2089</v>
      </c>
      <c r="B364" s="25" t="s">
        <v>2090</v>
      </c>
      <c r="C364" s="25" t="s">
        <v>2091</v>
      </c>
      <c r="E364" s="32" t="s">
        <v>2092</v>
      </c>
      <c r="F364" s="32"/>
      <c r="G364" s="32"/>
      <c r="H364" s="32"/>
      <c r="I364" s="32"/>
      <c r="J364" s="32"/>
      <c r="L364" s="25" t="s">
        <v>2093</v>
      </c>
      <c r="M364" s="25">
        <v>5</v>
      </c>
      <c r="N364" s="24" t="s">
        <v>1434</v>
      </c>
    </row>
    <row r="365" spans="1:14" x14ac:dyDescent="0.35">
      <c r="A365" s="25" t="s">
        <v>2094</v>
      </c>
      <c r="B365" s="25" t="s">
        <v>2095</v>
      </c>
      <c r="C365" s="25" t="s">
        <v>2096</v>
      </c>
      <c r="E365" s="32" t="s">
        <v>2097</v>
      </c>
      <c r="F365" s="32"/>
      <c r="G365" s="32"/>
      <c r="H365" s="32"/>
      <c r="I365" s="32"/>
      <c r="J365" s="32"/>
      <c r="M365" s="25">
        <v>6</v>
      </c>
      <c r="N365" s="24" t="s">
        <v>1434</v>
      </c>
    </row>
    <row r="366" spans="1:14" x14ac:dyDescent="0.35">
      <c r="A366" s="25" t="s">
        <v>2098</v>
      </c>
      <c r="B366" s="25" t="s">
        <v>2099</v>
      </c>
      <c r="C366" s="25" t="s">
        <v>2100</v>
      </c>
      <c r="E366" s="25" t="s">
        <v>2101</v>
      </c>
      <c r="F366" s="25" t="s">
        <v>2102</v>
      </c>
      <c r="G366" s="25" t="s">
        <v>2103</v>
      </c>
      <c r="H366" s="25" t="s">
        <v>2104</v>
      </c>
      <c r="I366" s="25" t="s">
        <v>2105</v>
      </c>
      <c r="L366" s="25" t="s">
        <v>2106</v>
      </c>
      <c r="M366" s="25">
        <v>7</v>
      </c>
      <c r="N366" s="24" t="s">
        <v>1434</v>
      </c>
    </row>
    <row r="367" spans="1:14" x14ac:dyDescent="0.35">
      <c r="A367" s="25" t="s">
        <v>2107</v>
      </c>
      <c r="B367" s="25" t="s">
        <v>2108</v>
      </c>
      <c r="C367" s="25" t="s">
        <v>2109</v>
      </c>
      <c r="E367" s="32" t="s">
        <v>2110</v>
      </c>
      <c r="F367" s="32"/>
      <c r="G367" s="32"/>
      <c r="H367" s="32"/>
      <c r="I367" s="32"/>
      <c r="J367" s="32"/>
      <c r="M367" s="25">
        <v>8</v>
      </c>
      <c r="N367" s="24" t="s">
        <v>1434</v>
      </c>
    </row>
    <row r="368" spans="1:14" x14ac:dyDescent="0.35">
      <c r="A368" s="25" t="s">
        <v>2111</v>
      </c>
      <c r="B368" s="25" t="s">
        <v>2112</v>
      </c>
      <c r="C368" s="25" t="s">
        <v>2113</v>
      </c>
      <c r="E368" s="32" t="s">
        <v>2114</v>
      </c>
      <c r="F368" s="32"/>
      <c r="G368" s="32"/>
      <c r="H368" s="32"/>
      <c r="I368" s="32"/>
      <c r="J368" s="32"/>
      <c r="M368" s="25">
        <v>9</v>
      </c>
      <c r="N368" s="24" t="s">
        <v>1434</v>
      </c>
    </row>
    <row r="369" spans="1:14" x14ac:dyDescent="0.35">
      <c r="A369" s="25" t="s">
        <v>2115</v>
      </c>
      <c r="B369" s="25" t="s">
        <v>2116</v>
      </c>
      <c r="C369" s="25" t="s">
        <v>2117</v>
      </c>
      <c r="E369" s="32" t="s">
        <v>2118</v>
      </c>
      <c r="F369" s="32"/>
      <c r="G369" s="32"/>
      <c r="H369" s="32"/>
      <c r="I369" s="32"/>
      <c r="J369" s="32"/>
      <c r="M369" s="25">
        <v>10</v>
      </c>
      <c r="N369" s="24" t="s">
        <v>1434</v>
      </c>
    </row>
    <row r="370" spans="1:14" x14ac:dyDescent="0.35">
      <c r="A370" s="25" t="s">
        <v>2119</v>
      </c>
      <c r="B370" s="25" t="s">
        <v>2120</v>
      </c>
      <c r="C370" s="25" t="s">
        <v>2121</v>
      </c>
      <c r="E370" s="25" t="s">
        <v>10183</v>
      </c>
      <c r="L370" s="25" t="s">
        <v>2122</v>
      </c>
      <c r="M370" s="25">
        <v>1</v>
      </c>
      <c r="N370" s="24" t="s">
        <v>415</v>
      </c>
    </row>
    <row r="371" spans="1:14" x14ac:dyDescent="0.35">
      <c r="A371" s="25" t="s">
        <v>2123</v>
      </c>
      <c r="B371" s="25" t="s">
        <v>2124</v>
      </c>
      <c r="C371" s="25" t="s">
        <v>2125</v>
      </c>
      <c r="E371" s="32" t="s">
        <v>2126</v>
      </c>
      <c r="F371" s="32"/>
      <c r="G371" s="32"/>
      <c r="H371" s="32"/>
      <c r="I371" s="32"/>
      <c r="J371" s="32"/>
      <c r="L371" s="25" t="s">
        <v>2127</v>
      </c>
      <c r="M371" s="25">
        <v>2</v>
      </c>
      <c r="N371" s="24" t="s">
        <v>415</v>
      </c>
    </row>
    <row r="372" spans="1:14" x14ac:dyDescent="0.35">
      <c r="A372" s="25" t="s">
        <v>2128</v>
      </c>
      <c r="B372" s="25" t="s">
        <v>2129</v>
      </c>
      <c r="C372" s="25" t="s">
        <v>2130</v>
      </c>
      <c r="E372" s="32" t="s">
        <v>2131</v>
      </c>
      <c r="F372" s="32"/>
      <c r="G372" s="32"/>
      <c r="H372" s="32"/>
      <c r="I372" s="32"/>
      <c r="J372" s="32"/>
      <c r="L372" s="25" t="s">
        <v>2132</v>
      </c>
      <c r="M372" s="25">
        <v>3</v>
      </c>
      <c r="N372" s="24" t="s">
        <v>415</v>
      </c>
    </row>
    <row r="373" spans="1:14" x14ac:dyDescent="0.35">
      <c r="A373" s="25" t="s">
        <v>2133</v>
      </c>
      <c r="B373" s="25" t="s">
        <v>2134</v>
      </c>
      <c r="C373" s="25" t="s">
        <v>2135</v>
      </c>
      <c r="E373" s="32" t="s">
        <v>2136</v>
      </c>
      <c r="F373" s="32"/>
      <c r="G373" s="32"/>
      <c r="H373" s="32"/>
      <c r="I373" s="32"/>
      <c r="J373" s="32"/>
      <c r="L373" s="25" t="s">
        <v>2137</v>
      </c>
      <c r="M373" s="25">
        <v>4</v>
      </c>
      <c r="N373" s="24" t="s">
        <v>415</v>
      </c>
    </row>
    <row r="374" spans="1:14" x14ac:dyDescent="0.35">
      <c r="A374" s="25" t="s">
        <v>2138</v>
      </c>
      <c r="B374" s="25" t="s">
        <v>2139</v>
      </c>
      <c r="C374" s="25" t="s">
        <v>2140</v>
      </c>
      <c r="E374" s="32" t="s">
        <v>2141</v>
      </c>
      <c r="F374" s="32"/>
      <c r="G374" s="32"/>
      <c r="H374" s="32"/>
      <c r="I374" s="32"/>
      <c r="J374" s="32"/>
      <c r="L374" s="25" t="s">
        <v>2142</v>
      </c>
      <c r="M374" s="25">
        <v>5</v>
      </c>
      <c r="N374" s="24" t="s">
        <v>415</v>
      </c>
    </row>
    <row r="375" spans="1:14" x14ac:dyDescent="0.35">
      <c r="A375" s="25" t="s">
        <v>2143</v>
      </c>
      <c r="B375" s="25" t="s">
        <v>2144</v>
      </c>
      <c r="C375" s="25" t="s">
        <v>2145</v>
      </c>
      <c r="E375" s="25" t="s">
        <v>2146</v>
      </c>
      <c r="F375" s="25" t="s">
        <v>2147</v>
      </c>
      <c r="G375" s="25" t="s">
        <v>2148</v>
      </c>
      <c r="H375" s="25" t="s">
        <v>2149</v>
      </c>
      <c r="I375" s="25" t="s">
        <v>2150</v>
      </c>
      <c r="L375" s="25" t="s">
        <v>2151</v>
      </c>
      <c r="M375" s="25">
        <v>6</v>
      </c>
      <c r="N375" s="24" t="s">
        <v>415</v>
      </c>
    </row>
    <row r="376" spans="1:14" x14ac:dyDescent="0.35">
      <c r="A376" s="25" t="s">
        <v>2152</v>
      </c>
      <c r="B376" s="25" t="s">
        <v>2153</v>
      </c>
      <c r="C376" s="25" t="s">
        <v>2154</v>
      </c>
      <c r="E376" s="32" t="s">
        <v>2155</v>
      </c>
      <c r="F376" s="32"/>
      <c r="G376" s="32"/>
      <c r="H376" s="32"/>
      <c r="I376" s="32"/>
      <c r="J376" s="32"/>
      <c r="N376" s="24" t="s">
        <v>415</v>
      </c>
    </row>
    <row r="377" spans="1:14" x14ac:dyDescent="0.35">
      <c r="A377" s="25" t="s">
        <v>2156</v>
      </c>
      <c r="B377" s="25" t="s">
        <v>2157</v>
      </c>
      <c r="C377" s="25" t="s">
        <v>2158</v>
      </c>
      <c r="E377" s="32" t="s">
        <v>2159</v>
      </c>
      <c r="F377" s="32"/>
      <c r="G377" s="32"/>
      <c r="H377" s="32"/>
      <c r="I377" s="32"/>
      <c r="J377" s="32"/>
      <c r="N377" s="24" t="s">
        <v>415</v>
      </c>
    </row>
    <row r="378" spans="1:14" x14ac:dyDescent="0.35">
      <c r="A378" s="25" t="s">
        <v>2160</v>
      </c>
      <c r="B378" s="25" t="s">
        <v>2161</v>
      </c>
      <c r="C378" s="25" t="s">
        <v>2162</v>
      </c>
      <c r="E378" s="25" t="s">
        <v>2163</v>
      </c>
      <c r="F378" s="25" t="s">
        <v>2164</v>
      </c>
      <c r="G378" s="25" t="s">
        <v>2165</v>
      </c>
      <c r="H378" s="25" t="s">
        <v>2166</v>
      </c>
      <c r="I378" s="25" t="s">
        <v>2167</v>
      </c>
      <c r="L378" s="25" t="s">
        <v>2168</v>
      </c>
      <c r="M378" s="25">
        <v>1</v>
      </c>
      <c r="N378" s="24" t="s">
        <v>458</v>
      </c>
    </row>
    <row r="379" spans="1:14" x14ac:dyDescent="0.35">
      <c r="A379" s="25" t="s">
        <v>2169</v>
      </c>
      <c r="B379" s="25" t="s">
        <v>2170</v>
      </c>
      <c r="C379" s="25" t="s">
        <v>2171</v>
      </c>
      <c r="E379" s="32" t="s">
        <v>2172</v>
      </c>
      <c r="F379" s="32"/>
      <c r="G379" s="32"/>
      <c r="H379" s="32"/>
      <c r="I379" s="32"/>
      <c r="J379" s="32"/>
      <c r="M379" s="25">
        <v>2</v>
      </c>
      <c r="N379" s="24" t="s">
        <v>458</v>
      </c>
    </row>
    <row r="380" spans="1:14" x14ac:dyDescent="0.35">
      <c r="A380" s="25" t="s">
        <v>2173</v>
      </c>
      <c r="B380" s="25" t="s">
        <v>2174</v>
      </c>
      <c r="C380" s="25" t="s">
        <v>2175</v>
      </c>
      <c r="E380" s="32" t="s">
        <v>2176</v>
      </c>
      <c r="F380" s="32"/>
      <c r="G380" s="32"/>
      <c r="H380" s="32"/>
      <c r="I380" s="32"/>
      <c r="J380" s="32"/>
      <c r="L380" s="25" t="s">
        <v>2177</v>
      </c>
      <c r="M380" s="25">
        <v>3</v>
      </c>
      <c r="N380" s="24" t="s">
        <v>458</v>
      </c>
    </row>
    <row r="381" spans="1:14" x14ac:dyDescent="0.35">
      <c r="A381" s="25" t="s">
        <v>2178</v>
      </c>
      <c r="B381" s="25" t="s">
        <v>2179</v>
      </c>
      <c r="C381" s="25" t="s">
        <v>2180</v>
      </c>
      <c r="E381" s="32" t="s">
        <v>2181</v>
      </c>
      <c r="F381" s="32"/>
      <c r="G381" s="32"/>
      <c r="H381" s="32"/>
      <c r="I381" s="32"/>
      <c r="J381" s="32"/>
      <c r="M381" s="25">
        <v>4</v>
      </c>
      <c r="N381" s="24" t="s">
        <v>458</v>
      </c>
    </row>
    <row r="382" spans="1:14" x14ac:dyDescent="0.35">
      <c r="A382" s="25" t="s">
        <v>2182</v>
      </c>
      <c r="B382" s="25" t="s">
        <v>2183</v>
      </c>
      <c r="C382" s="25" t="s">
        <v>2184</v>
      </c>
      <c r="E382" s="32" t="s">
        <v>2185</v>
      </c>
      <c r="F382" s="32"/>
      <c r="G382" s="32"/>
      <c r="H382" s="32"/>
      <c r="I382" s="32"/>
      <c r="J382" s="32"/>
      <c r="M382" s="25">
        <v>5</v>
      </c>
      <c r="N382" s="24" t="s">
        <v>458</v>
      </c>
    </row>
    <row r="383" spans="1:14" x14ac:dyDescent="0.35">
      <c r="A383" s="25" t="s">
        <v>2186</v>
      </c>
      <c r="B383" s="25" t="s">
        <v>2187</v>
      </c>
      <c r="C383" s="25" t="s">
        <v>2188</v>
      </c>
      <c r="E383" s="32" t="s">
        <v>2189</v>
      </c>
      <c r="F383" s="32"/>
      <c r="G383" s="32"/>
      <c r="H383" s="32"/>
      <c r="I383" s="32"/>
      <c r="J383" s="32"/>
      <c r="M383" s="25">
        <v>6</v>
      </c>
      <c r="N383" s="24" t="s">
        <v>458</v>
      </c>
    </row>
    <row r="384" spans="1:14" x14ac:dyDescent="0.35">
      <c r="A384" s="25" t="s">
        <v>2190</v>
      </c>
      <c r="B384" s="25" t="s">
        <v>2191</v>
      </c>
      <c r="C384" s="25" t="s">
        <v>2192</v>
      </c>
      <c r="E384" s="32" t="s">
        <v>2193</v>
      </c>
      <c r="F384" s="32"/>
      <c r="G384" s="32"/>
      <c r="H384" s="32"/>
      <c r="I384" s="32"/>
      <c r="J384" s="32"/>
      <c r="M384" s="25">
        <v>7</v>
      </c>
      <c r="N384" s="24" t="s">
        <v>458</v>
      </c>
    </row>
    <row r="385" spans="1:14" x14ac:dyDescent="0.35">
      <c r="A385" s="25" t="s">
        <v>2194</v>
      </c>
      <c r="B385" s="25" t="s">
        <v>2195</v>
      </c>
      <c r="C385" s="25" t="s">
        <v>2196</v>
      </c>
      <c r="E385" s="32" t="s">
        <v>2197</v>
      </c>
      <c r="F385" s="32"/>
      <c r="G385" s="32"/>
      <c r="H385" s="32"/>
      <c r="I385" s="32"/>
      <c r="J385" s="32"/>
      <c r="M385" s="25">
        <v>8</v>
      </c>
      <c r="N385" s="24" t="s">
        <v>458</v>
      </c>
    </row>
    <row r="386" spans="1:14" x14ac:dyDescent="0.35">
      <c r="A386" s="25" t="s">
        <v>2198</v>
      </c>
      <c r="B386" s="25" t="s">
        <v>2199</v>
      </c>
      <c r="C386" s="25" t="s">
        <v>2200</v>
      </c>
      <c r="E386" s="32" t="s">
        <v>2201</v>
      </c>
      <c r="F386" s="32"/>
      <c r="G386" s="32"/>
      <c r="H386" s="32"/>
      <c r="I386" s="32"/>
      <c r="J386" s="32"/>
      <c r="M386" s="25">
        <v>9</v>
      </c>
      <c r="N386" s="24" t="s">
        <v>458</v>
      </c>
    </row>
    <row r="387" spans="1:14" ht="16.2" x14ac:dyDescent="0.35">
      <c r="A387" s="25" t="s">
        <v>9531</v>
      </c>
      <c r="B387" s="25" t="s">
        <v>2202</v>
      </c>
      <c r="C387" s="25" t="s">
        <v>2203</v>
      </c>
      <c r="E387" s="7" t="s">
        <v>9598</v>
      </c>
      <c r="F387" s="32"/>
      <c r="G387" s="32"/>
      <c r="H387" s="32"/>
      <c r="I387" s="32"/>
      <c r="J387" s="32"/>
      <c r="M387" s="25">
        <v>10</v>
      </c>
      <c r="N387" s="24" t="s">
        <v>458</v>
      </c>
    </row>
    <row r="388" spans="1:14" x14ac:dyDescent="0.35">
      <c r="A388" s="25" t="s">
        <v>2204</v>
      </c>
      <c r="B388" s="25" t="s">
        <v>2205</v>
      </c>
      <c r="C388" s="25" t="s">
        <v>2206</v>
      </c>
      <c r="E388" s="32" t="s">
        <v>2207</v>
      </c>
      <c r="F388" s="32"/>
      <c r="G388" s="32"/>
      <c r="H388" s="32"/>
      <c r="I388" s="32"/>
      <c r="J388" s="32"/>
      <c r="M388" s="25">
        <v>11</v>
      </c>
      <c r="N388" s="24" t="s">
        <v>458</v>
      </c>
    </row>
    <row r="389" spans="1:14" x14ac:dyDescent="0.35">
      <c r="A389" s="25" t="s">
        <v>2208</v>
      </c>
      <c r="B389" s="25" t="s">
        <v>2209</v>
      </c>
      <c r="C389" s="25" t="s">
        <v>2210</v>
      </c>
      <c r="E389" s="32" t="s">
        <v>2211</v>
      </c>
      <c r="F389" s="32"/>
      <c r="G389" s="32"/>
      <c r="H389" s="32"/>
      <c r="I389" s="32"/>
      <c r="J389" s="32"/>
      <c r="M389" s="25">
        <v>12</v>
      </c>
      <c r="N389" s="24" t="s">
        <v>458</v>
      </c>
    </row>
    <row r="390" spans="1:14" x14ac:dyDescent="0.35">
      <c r="A390" s="25" t="s">
        <v>2212</v>
      </c>
      <c r="B390" s="25" t="s">
        <v>2213</v>
      </c>
      <c r="C390" s="25" t="s">
        <v>2214</v>
      </c>
      <c r="E390" s="32" t="s">
        <v>2215</v>
      </c>
      <c r="F390" s="32"/>
      <c r="G390" s="32"/>
      <c r="H390" s="32"/>
      <c r="I390" s="32"/>
      <c r="J390" s="32"/>
      <c r="M390" s="25">
        <v>13</v>
      </c>
      <c r="N390" s="24" t="s">
        <v>458</v>
      </c>
    </row>
    <row r="391" spans="1:14" x14ac:dyDescent="0.35">
      <c r="A391" s="25" t="s">
        <v>2216</v>
      </c>
      <c r="B391" s="25" t="s">
        <v>2217</v>
      </c>
      <c r="C391" s="25" t="s">
        <v>2218</v>
      </c>
      <c r="E391" s="32" t="s">
        <v>2219</v>
      </c>
      <c r="F391" s="32"/>
      <c r="G391" s="32"/>
      <c r="H391" s="32"/>
      <c r="I391" s="32"/>
      <c r="J391" s="32"/>
      <c r="M391" s="25">
        <v>14</v>
      </c>
      <c r="N391" s="24" t="s">
        <v>458</v>
      </c>
    </row>
    <row r="392" spans="1:14" x14ac:dyDescent="0.35">
      <c r="A392" s="25" t="s">
        <v>2220</v>
      </c>
      <c r="B392" s="25" t="s">
        <v>2221</v>
      </c>
      <c r="C392" s="25" t="s">
        <v>2222</v>
      </c>
      <c r="E392" s="25" t="s">
        <v>2223</v>
      </c>
      <c r="F392" s="25" t="s">
        <v>2224</v>
      </c>
      <c r="G392" s="25" t="s">
        <v>2225</v>
      </c>
      <c r="H392" s="25" t="s">
        <v>2226</v>
      </c>
      <c r="I392" s="25" t="s">
        <v>2227</v>
      </c>
      <c r="L392" s="25" t="s">
        <v>2228</v>
      </c>
      <c r="M392" s="25">
        <v>15</v>
      </c>
      <c r="N392" s="24" t="s">
        <v>458</v>
      </c>
    </row>
    <row r="393" spans="1:14" x14ac:dyDescent="0.35">
      <c r="A393" s="25" t="s">
        <v>2229</v>
      </c>
      <c r="B393" s="25" t="s">
        <v>2230</v>
      </c>
      <c r="C393" s="25" t="s">
        <v>2231</v>
      </c>
      <c r="E393" s="25" t="s">
        <v>2232</v>
      </c>
      <c r="F393" s="25" t="s">
        <v>2233</v>
      </c>
      <c r="G393" s="25" t="s">
        <v>2234</v>
      </c>
      <c r="H393" s="25" t="s">
        <v>2235</v>
      </c>
      <c r="I393" s="25" t="s">
        <v>2236</v>
      </c>
      <c r="N393" s="24" t="s">
        <v>458</v>
      </c>
    </row>
    <row r="394" spans="1:14" x14ac:dyDescent="0.35">
      <c r="A394" s="25" t="s">
        <v>2237</v>
      </c>
      <c r="B394" s="25" t="s">
        <v>2238</v>
      </c>
      <c r="C394" s="25" t="s">
        <v>2239</v>
      </c>
      <c r="D394" s="25" t="s">
        <v>9420</v>
      </c>
      <c r="E394" s="25" t="s">
        <v>2240</v>
      </c>
      <c r="F394" s="25" t="s">
        <v>2241</v>
      </c>
      <c r="G394" s="25" t="s">
        <v>2242</v>
      </c>
      <c r="H394" s="25" t="s">
        <v>2243</v>
      </c>
      <c r="I394" s="25" t="s">
        <v>2244</v>
      </c>
      <c r="N394" s="24" t="s">
        <v>458</v>
      </c>
    </row>
    <row r="395" spans="1:14" x14ac:dyDescent="0.35">
      <c r="A395" s="25" t="s">
        <v>2245</v>
      </c>
      <c r="B395" s="25" t="s">
        <v>2246</v>
      </c>
      <c r="C395" s="25" t="s">
        <v>2247</v>
      </c>
      <c r="E395" s="25" t="s">
        <v>2248</v>
      </c>
      <c r="F395" s="25" t="s">
        <v>2249</v>
      </c>
      <c r="G395" s="25" t="s">
        <v>2250</v>
      </c>
      <c r="H395" s="25" t="s">
        <v>2251</v>
      </c>
      <c r="N395" s="24" t="s">
        <v>458</v>
      </c>
    </row>
    <row r="396" spans="1:14" x14ac:dyDescent="0.35">
      <c r="A396" s="25" t="s">
        <v>2252</v>
      </c>
      <c r="B396" s="25" t="s">
        <v>2253</v>
      </c>
      <c r="C396" s="25" t="s">
        <v>2254</v>
      </c>
      <c r="E396" s="25" t="s">
        <v>2255</v>
      </c>
      <c r="F396" s="25" t="s">
        <v>2256</v>
      </c>
      <c r="G396" s="25" t="s">
        <v>2257</v>
      </c>
      <c r="H396" s="25" t="s">
        <v>2258</v>
      </c>
      <c r="I396" s="25" t="s">
        <v>2259</v>
      </c>
      <c r="N396" s="24" t="s">
        <v>458</v>
      </c>
    </row>
    <row r="397" spans="1:14" x14ac:dyDescent="0.35">
      <c r="A397" s="25" t="s">
        <v>2260</v>
      </c>
      <c r="B397" s="25" t="s">
        <v>2261</v>
      </c>
      <c r="C397" s="25" t="s">
        <v>2262</v>
      </c>
      <c r="E397" s="25" t="s">
        <v>2263</v>
      </c>
      <c r="F397" s="25" t="s">
        <v>2264</v>
      </c>
      <c r="G397" s="25" t="s">
        <v>2265</v>
      </c>
      <c r="H397" s="25" t="s">
        <v>2266</v>
      </c>
      <c r="I397" s="25" t="s">
        <v>2267</v>
      </c>
      <c r="N397" s="24" t="s">
        <v>458</v>
      </c>
    </row>
    <row r="398" spans="1:14" x14ac:dyDescent="0.35">
      <c r="A398" s="25" t="s">
        <v>2268</v>
      </c>
      <c r="B398" s="25" t="s">
        <v>2269</v>
      </c>
      <c r="C398" s="25" t="s">
        <v>2270</v>
      </c>
      <c r="E398" s="25" t="s">
        <v>2271</v>
      </c>
      <c r="F398" s="25" t="s">
        <v>2272</v>
      </c>
      <c r="G398" s="25" t="s">
        <v>2273</v>
      </c>
      <c r="H398" s="25" t="s">
        <v>2274</v>
      </c>
      <c r="I398" s="25" t="s">
        <v>2275</v>
      </c>
      <c r="N398" s="24" t="s">
        <v>458</v>
      </c>
    </row>
    <row r="399" spans="1:14" x14ac:dyDescent="0.35">
      <c r="A399" s="25" t="s">
        <v>2276</v>
      </c>
      <c r="B399" s="25" t="s">
        <v>2277</v>
      </c>
      <c r="C399" s="25" t="s">
        <v>2278</v>
      </c>
      <c r="E399" s="25" t="s">
        <v>2279</v>
      </c>
      <c r="F399" s="25" t="s">
        <v>2280</v>
      </c>
      <c r="G399" s="25" t="s">
        <v>2281</v>
      </c>
      <c r="H399" s="25" t="s">
        <v>2282</v>
      </c>
      <c r="I399" s="25" t="s">
        <v>2283</v>
      </c>
      <c r="N399" s="24" t="s">
        <v>458</v>
      </c>
    </row>
    <row r="400" spans="1:14" x14ac:dyDescent="0.35">
      <c r="A400" s="25" t="s">
        <v>2284</v>
      </c>
      <c r="B400" s="25" t="s">
        <v>2285</v>
      </c>
      <c r="C400" s="25" t="s">
        <v>2286</v>
      </c>
      <c r="E400" s="25" t="s">
        <v>2287</v>
      </c>
      <c r="N400" s="24" t="s">
        <v>458</v>
      </c>
    </row>
    <row r="401" spans="1:14" x14ac:dyDescent="0.35">
      <c r="A401" s="25" t="s">
        <v>2288</v>
      </c>
      <c r="B401" s="25" t="s">
        <v>2289</v>
      </c>
      <c r="C401" s="25" t="s">
        <v>2290</v>
      </c>
      <c r="E401" s="25" t="s">
        <v>2291</v>
      </c>
      <c r="F401" s="25" t="s">
        <v>2292</v>
      </c>
      <c r="G401" s="25" t="s">
        <v>2293</v>
      </c>
      <c r="H401" s="25" t="s">
        <v>2294</v>
      </c>
      <c r="I401" s="25" t="s">
        <v>2295</v>
      </c>
      <c r="N401" s="24" t="s">
        <v>458</v>
      </c>
    </row>
    <row r="402" spans="1:14" x14ac:dyDescent="0.35">
      <c r="A402" s="25" t="s">
        <v>2296</v>
      </c>
      <c r="B402" s="25" t="s">
        <v>2297</v>
      </c>
      <c r="C402" s="25" t="s">
        <v>2298</v>
      </c>
      <c r="E402" s="25" t="s">
        <v>2299</v>
      </c>
      <c r="F402" s="25" t="s">
        <v>2300</v>
      </c>
      <c r="G402" s="25" t="s">
        <v>2301</v>
      </c>
      <c r="H402" s="25" t="s">
        <v>2302</v>
      </c>
      <c r="I402" s="25" t="s">
        <v>2303</v>
      </c>
      <c r="N402" s="24" t="s">
        <v>458</v>
      </c>
    </row>
    <row r="403" spans="1:14" x14ac:dyDescent="0.35">
      <c r="A403" s="25" t="s">
        <v>2304</v>
      </c>
      <c r="B403" s="25" t="s">
        <v>2305</v>
      </c>
      <c r="C403" s="25" t="s">
        <v>2306</v>
      </c>
      <c r="E403" s="32" t="s">
        <v>2307</v>
      </c>
      <c r="F403" s="32"/>
      <c r="G403" s="32"/>
      <c r="H403" s="32"/>
      <c r="I403" s="32"/>
      <c r="J403" s="32"/>
      <c r="M403" s="25">
        <v>2</v>
      </c>
      <c r="N403" s="24" t="s">
        <v>2308</v>
      </c>
    </row>
    <row r="404" spans="1:14" x14ac:dyDescent="0.35">
      <c r="A404" s="25" t="s">
        <v>2309</v>
      </c>
      <c r="B404" s="25" t="s">
        <v>2310</v>
      </c>
      <c r="C404" s="25" t="s">
        <v>2311</v>
      </c>
      <c r="E404" s="32" t="s">
        <v>2312</v>
      </c>
      <c r="F404" s="32"/>
      <c r="G404" s="32"/>
      <c r="H404" s="32"/>
      <c r="I404" s="32"/>
      <c r="J404" s="32"/>
      <c r="M404" s="25">
        <v>3</v>
      </c>
      <c r="N404" s="24" t="s">
        <v>2308</v>
      </c>
    </row>
    <row r="405" spans="1:14" x14ac:dyDescent="0.35">
      <c r="A405" s="25" t="s">
        <v>2313</v>
      </c>
      <c r="B405" s="25" t="s">
        <v>2314</v>
      </c>
      <c r="C405" s="25" t="s">
        <v>2315</v>
      </c>
      <c r="E405" s="32" t="s">
        <v>2316</v>
      </c>
      <c r="F405" s="32"/>
      <c r="G405" s="32"/>
      <c r="H405" s="32"/>
      <c r="I405" s="32"/>
      <c r="J405" s="32"/>
      <c r="M405" s="25">
        <v>4</v>
      </c>
      <c r="N405" s="24" t="s">
        <v>2308</v>
      </c>
    </row>
    <row r="406" spans="1:14" x14ac:dyDescent="0.35">
      <c r="A406" s="25" t="s">
        <v>2317</v>
      </c>
      <c r="B406" s="25" t="s">
        <v>2318</v>
      </c>
      <c r="C406" s="25" t="s">
        <v>2319</v>
      </c>
      <c r="E406" s="32" t="s">
        <v>2320</v>
      </c>
      <c r="F406" s="32"/>
      <c r="G406" s="32"/>
      <c r="H406" s="32"/>
      <c r="I406" s="32"/>
      <c r="J406" s="32"/>
      <c r="M406" s="25">
        <v>5</v>
      </c>
      <c r="N406" s="24" t="s">
        <v>2308</v>
      </c>
    </row>
    <row r="407" spans="1:14" x14ac:dyDescent="0.35">
      <c r="A407" s="25" t="s">
        <v>2321</v>
      </c>
      <c r="B407" s="25" t="s">
        <v>2322</v>
      </c>
      <c r="C407" s="25" t="s">
        <v>2323</v>
      </c>
      <c r="E407" s="32" t="s">
        <v>2324</v>
      </c>
      <c r="F407" s="32"/>
      <c r="G407" s="32"/>
      <c r="H407" s="32"/>
      <c r="I407" s="32"/>
      <c r="J407" s="32"/>
      <c r="N407" s="24" t="s">
        <v>415</v>
      </c>
    </row>
    <row r="408" spans="1:14" x14ac:dyDescent="0.35">
      <c r="A408" s="25" t="s">
        <v>2325</v>
      </c>
      <c r="B408" s="25" t="s">
        <v>2326</v>
      </c>
      <c r="C408" s="25" t="s">
        <v>2327</v>
      </c>
      <c r="E408" s="32" t="s">
        <v>2328</v>
      </c>
      <c r="F408" s="32"/>
      <c r="G408" s="32"/>
      <c r="H408" s="32"/>
      <c r="I408" s="32"/>
      <c r="J408" s="32"/>
      <c r="M408" s="25">
        <v>1</v>
      </c>
      <c r="N408" s="24" t="s">
        <v>2308</v>
      </c>
    </row>
    <row r="409" spans="1:14" x14ac:dyDescent="0.35">
      <c r="A409" s="25" t="s">
        <v>2329</v>
      </c>
      <c r="B409" s="25" t="s">
        <v>2330</v>
      </c>
      <c r="C409" s="25" t="s">
        <v>2331</v>
      </c>
      <c r="E409" s="32" t="s">
        <v>2332</v>
      </c>
      <c r="F409" s="32"/>
      <c r="G409" s="32"/>
      <c r="H409" s="32"/>
      <c r="I409" s="32"/>
      <c r="J409" s="32"/>
      <c r="N409" s="24" t="s">
        <v>415</v>
      </c>
    </row>
    <row r="410" spans="1:14" x14ac:dyDescent="0.35">
      <c r="A410" s="25" t="s">
        <v>2333</v>
      </c>
      <c r="B410" s="25" t="s">
        <v>2334</v>
      </c>
      <c r="C410" s="25" t="s">
        <v>2335</v>
      </c>
      <c r="E410" s="32" t="s">
        <v>2336</v>
      </c>
      <c r="F410" s="32"/>
      <c r="G410" s="32"/>
      <c r="H410" s="32"/>
      <c r="I410" s="32"/>
      <c r="J410" s="32"/>
      <c r="N410" s="24" t="s">
        <v>415</v>
      </c>
    </row>
    <row r="411" spans="1:14" ht="19.2" customHeight="1" x14ac:dyDescent="0.35">
      <c r="A411" s="25" t="s">
        <v>2337</v>
      </c>
      <c r="B411" s="25" t="s">
        <v>2338</v>
      </c>
      <c r="C411" s="25" t="s">
        <v>2339</v>
      </c>
      <c r="E411" s="32" t="s">
        <v>2340</v>
      </c>
      <c r="F411" s="32"/>
      <c r="G411" s="32"/>
      <c r="H411" s="32"/>
      <c r="I411" s="32"/>
      <c r="J411" s="32"/>
      <c r="L411" s="25" t="s">
        <v>2341</v>
      </c>
      <c r="N411" s="24" t="s">
        <v>415</v>
      </c>
    </row>
    <row r="412" spans="1:14" x14ac:dyDescent="0.35">
      <c r="A412" s="25" t="s">
        <v>2342</v>
      </c>
      <c r="B412" s="25" t="s">
        <v>2343</v>
      </c>
      <c r="C412" s="25" t="s">
        <v>2344</v>
      </c>
      <c r="E412" s="32" t="s">
        <v>2345</v>
      </c>
      <c r="F412" s="32"/>
      <c r="G412" s="32"/>
      <c r="H412" s="32"/>
      <c r="I412" s="32"/>
      <c r="J412" s="32"/>
      <c r="N412" s="24" t="s">
        <v>415</v>
      </c>
    </row>
    <row r="413" spans="1:14" x14ac:dyDescent="0.35">
      <c r="A413" s="25" t="s">
        <v>2346</v>
      </c>
      <c r="B413" s="25" t="s">
        <v>2347</v>
      </c>
      <c r="C413" s="25" t="s">
        <v>2348</v>
      </c>
      <c r="E413" s="32" t="s">
        <v>2349</v>
      </c>
      <c r="F413" s="32"/>
      <c r="G413" s="32"/>
      <c r="H413" s="32"/>
      <c r="I413" s="32"/>
      <c r="J413" s="32"/>
      <c r="M413" s="25">
        <v>6</v>
      </c>
      <c r="N413" s="24" t="s">
        <v>2308</v>
      </c>
    </row>
    <row r="414" spans="1:14" x14ac:dyDescent="0.35">
      <c r="A414" s="25" t="s">
        <v>2350</v>
      </c>
      <c r="B414" s="25" t="s">
        <v>2351</v>
      </c>
      <c r="C414" s="25" t="s">
        <v>2352</v>
      </c>
      <c r="E414" s="32" t="s">
        <v>2353</v>
      </c>
      <c r="F414" s="32"/>
      <c r="G414" s="32"/>
      <c r="H414" s="32"/>
      <c r="I414" s="32"/>
      <c r="J414" s="32"/>
      <c r="M414" s="25">
        <v>7</v>
      </c>
      <c r="N414" s="24" t="s">
        <v>2308</v>
      </c>
    </row>
    <row r="415" spans="1:14" x14ac:dyDescent="0.35">
      <c r="A415" s="25" t="s">
        <v>2354</v>
      </c>
      <c r="B415" s="25" t="s">
        <v>1889</v>
      </c>
      <c r="C415" s="25" t="s">
        <v>2355</v>
      </c>
      <c r="E415" s="32" t="s">
        <v>2356</v>
      </c>
      <c r="F415" s="32"/>
      <c r="G415" s="32"/>
      <c r="H415" s="32"/>
      <c r="I415" s="32"/>
      <c r="J415" s="32"/>
      <c r="M415" s="25">
        <v>8</v>
      </c>
      <c r="N415" s="24" t="s">
        <v>2308</v>
      </c>
    </row>
    <row r="416" spans="1:14" x14ac:dyDescent="0.35">
      <c r="A416" s="25" t="s">
        <v>2357</v>
      </c>
      <c r="B416" s="25" t="s">
        <v>2358</v>
      </c>
      <c r="C416" s="25" t="s">
        <v>2359</v>
      </c>
      <c r="E416" s="32" t="s">
        <v>2360</v>
      </c>
      <c r="F416" s="32"/>
      <c r="G416" s="32"/>
      <c r="H416" s="32"/>
      <c r="I416" s="32"/>
      <c r="J416" s="32"/>
      <c r="M416" s="25">
        <v>9</v>
      </c>
      <c r="N416" s="24" t="s">
        <v>2308</v>
      </c>
    </row>
    <row r="417" spans="1:14" x14ac:dyDescent="0.35">
      <c r="A417" s="25" t="s">
        <v>2361</v>
      </c>
      <c r="B417" s="25" t="s">
        <v>2362</v>
      </c>
      <c r="C417" s="25" t="s">
        <v>2363</v>
      </c>
      <c r="E417" s="32" t="s">
        <v>2364</v>
      </c>
      <c r="F417" s="32"/>
      <c r="G417" s="32"/>
      <c r="H417" s="32"/>
      <c r="I417" s="32"/>
      <c r="J417" s="32"/>
      <c r="M417" s="25">
        <v>10</v>
      </c>
      <c r="N417" s="24" t="s">
        <v>2308</v>
      </c>
    </row>
    <row r="418" spans="1:14" x14ac:dyDescent="0.35">
      <c r="A418" s="25" t="s">
        <v>2365</v>
      </c>
      <c r="B418" s="25" t="s">
        <v>2366</v>
      </c>
      <c r="C418" s="25" t="s">
        <v>2367</v>
      </c>
      <c r="E418" s="32" t="s">
        <v>2368</v>
      </c>
      <c r="F418" s="32"/>
      <c r="G418" s="32"/>
      <c r="H418" s="32"/>
      <c r="I418" s="32"/>
      <c r="J418" s="32"/>
      <c r="M418" s="25">
        <v>11</v>
      </c>
      <c r="N418" s="24" t="s">
        <v>2308</v>
      </c>
    </row>
    <row r="419" spans="1:14" x14ac:dyDescent="0.35">
      <c r="A419" s="25" t="s">
        <v>2369</v>
      </c>
      <c r="B419" s="25" t="s">
        <v>2370</v>
      </c>
      <c r="C419" s="25" t="s">
        <v>2371</v>
      </c>
      <c r="E419" s="32" t="s">
        <v>2372</v>
      </c>
      <c r="F419" s="32"/>
      <c r="G419" s="32"/>
      <c r="H419" s="32"/>
      <c r="I419" s="32"/>
      <c r="J419" s="32"/>
      <c r="N419" s="24" t="s">
        <v>2308</v>
      </c>
    </row>
    <row r="420" spans="1:14" x14ac:dyDescent="0.35">
      <c r="A420" s="25" t="s">
        <v>2373</v>
      </c>
      <c r="B420" s="25" t="s">
        <v>2374</v>
      </c>
      <c r="C420" s="25" t="s">
        <v>2375</v>
      </c>
      <c r="D420" s="25" t="s">
        <v>2376</v>
      </c>
      <c r="E420" s="32" t="s">
        <v>2377</v>
      </c>
      <c r="F420" s="32"/>
      <c r="G420" s="32"/>
      <c r="H420" s="32"/>
      <c r="I420" s="32"/>
      <c r="J420" s="32"/>
      <c r="N420" s="24" t="s">
        <v>2308</v>
      </c>
    </row>
    <row r="421" spans="1:14" x14ac:dyDescent="0.35">
      <c r="A421" s="25" t="s">
        <v>2378</v>
      </c>
      <c r="B421" s="25" t="s">
        <v>2379</v>
      </c>
      <c r="C421" s="25" t="s">
        <v>2380</v>
      </c>
      <c r="D421" s="25" t="s">
        <v>2381</v>
      </c>
      <c r="E421" s="32" t="s">
        <v>2382</v>
      </c>
      <c r="F421" s="32"/>
      <c r="G421" s="32"/>
      <c r="H421" s="32"/>
      <c r="I421" s="32"/>
      <c r="J421" s="32"/>
      <c r="L421" s="25" t="s">
        <v>2383</v>
      </c>
      <c r="N421" s="24" t="s">
        <v>2308</v>
      </c>
    </row>
    <row r="422" spans="1:14" x14ac:dyDescent="0.35">
      <c r="A422" s="25" t="s">
        <v>2384</v>
      </c>
      <c r="B422" s="25" t="s">
        <v>2385</v>
      </c>
      <c r="C422" s="25" t="s">
        <v>2386</v>
      </c>
      <c r="E422" s="32" t="s">
        <v>2387</v>
      </c>
      <c r="F422" s="32"/>
      <c r="G422" s="32"/>
      <c r="H422" s="32"/>
      <c r="I422" s="32"/>
      <c r="J422" s="32"/>
      <c r="N422" s="24" t="s">
        <v>2308</v>
      </c>
    </row>
    <row r="423" spans="1:14" x14ac:dyDescent="0.35">
      <c r="A423" s="25" t="s">
        <v>2388</v>
      </c>
      <c r="B423" s="25" t="s">
        <v>2389</v>
      </c>
      <c r="C423" s="25" t="s">
        <v>2390</v>
      </c>
      <c r="D423" s="25" t="s">
        <v>2391</v>
      </c>
      <c r="E423" s="32" t="s">
        <v>2392</v>
      </c>
      <c r="F423" s="32"/>
      <c r="G423" s="32"/>
      <c r="H423" s="32"/>
      <c r="I423" s="32"/>
      <c r="J423" s="32"/>
      <c r="L423" s="25" t="s">
        <v>2393</v>
      </c>
      <c r="N423" s="24" t="s">
        <v>2308</v>
      </c>
    </row>
    <row r="424" spans="1:14" x14ac:dyDescent="0.35">
      <c r="A424" s="25" t="s">
        <v>2394</v>
      </c>
      <c r="B424" s="25" t="s">
        <v>2395</v>
      </c>
      <c r="C424" s="25" t="s">
        <v>2396</v>
      </c>
      <c r="D424" s="25" t="s">
        <v>2397</v>
      </c>
      <c r="E424" s="32" t="s">
        <v>2398</v>
      </c>
      <c r="F424" s="32" t="s">
        <v>10139</v>
      </c>
      <c r="G424" s="32"/>
      <c r="H424" s="32"/>
      <c r="I424" s="32"/>
      <c r="J424" s="32"/>
      <c r="L424" s="25" t="s">
        <v>2399</v>
      </c>
      <c r="N424" s="24" t="s">
        <v>2308</v>
      </c>
    </row>
    <row r="425" spans="1:14" x14ac:dyDescent="0.35">
      <c r="A425" s="25" t="s">
        <v>2400</v>
      </c>
      <c r="B425" s="25" t="s">
        <v>2401</v>
      </c>
      <c r="C425" s="25" t="s">
        <v>2402</v>
      </c>
      <c r="E425" s="32" t="s">
        <v>2403</v>
      </c>
      <c r="F425" s="32" t="s">
        <v>10140</v>
      </c>
      <c r="G425" s="32"/>
      <c r="H425" s="32"/>
      <c r="I425" s="32"/>
      <c r="J425" s="32"/>
      <c r="L425" s="25" t="s">
        <v>2404</v>
      </c>
      <c r="N425" s="24" t="s">
        <v>2308</v>
      </c>
    </row>
    <row r="426" spans="1:14" x14ac:dyDescent="0.35">
      <c r="A426" s="25" t="s">
        <v>2405</v>
      </c>
      <c r="B426" s="25" t="s">
        <v>2406</v>
      </c>
      <c r="C426" s="25" t="s">
        <v>2407</v>
      </c>
      <c r="D426" s="25" t="s">
        <v>2408</v>
      </c>
      <c r="E426" s="32" t="s">
        <v>2409</v>
      </c>
      <c r="F426" s="32"/>
      <c r="G426" s="32"/>
      <c r="H426" s="32"/>
      <c r="I426" s="32"/>
      <c r="J426" s="32"/>
      <c r="L426" s="25" t="s">
        <v>2410</v>
      </c>
      <c r="N426" s="24" t="s">
        <v>2308</v>
      </c>
    </row>
    <row r="427" spans="1:14" x14ac:dyDescent="0.35">
      <c r="A427" s="25" t="s">
        <v>2411</v>
      </c>
      <c r="B427" s="25" t="s">
        <v>2412</v>
      </c>
      <c r="C427" s="25" t="s">
        <v>2413</v>
      </c>
      <c r="D427" s="25" t="s">
        <v>2414</v>
      </c>
      <c r="E427" s="32" t="s">
        <v>2415</v>
      </c>
      <c r="F427" s="32"/>
      <c r="G427" s="32"/>
      <c r="H427" s="32"/>
      <c r="I427" s="32"/>
      <c r="J427" s="32"/>
      <c r="L427" s="25" t="s">
        <v>2416</v>
      </c>
      <c r="N427" s="24" t="s">
        <v>2308</v>
      </c>
    </row>
    <row r="428" spans="1:14" x14ac:dyDescent="0.35">
      <c r="A428" s="25" t="s">
        <v>2417</v>
      </c>
      <c r="B428" s="25" t="s">
        <v>2418</v>
      </c>
      <c r="C428" s="25" t="s">
        <v>2419</v>
      </c>
      <c r="D428" s="25" t="s">
        <v>2420</v>
      </c>
      <c r="E428" s="32" t="s">
        <v>2421</v>
      </c>
      <c r="F428" s="32"/>
      <c r="G428" s="32"/>
      <c r="H428" s="32"/>
      <c r="I428" s="32"/>
      <c r="J428" s="32"/>
      <c r="L428" s="25" t="s">
        <v>2422</v>
      </c>
      <c r="N428" s="24" t="s">
        <v>2308</v>
      </c>
    </row>
    <row r="429" spans="1:14" x14ac:dyDescent="0.35">
      <c r="A429" s="25" t="s">
        <v>2423</v>
      </c>
      <c r="B429" s="25" t="s">
        <v>2424</v>
      </c>
      <c r="C429" s="25" t="s">
        <v>2425</v>
      </c>
      <c r="E429" s="32" t="s">
        <v>2426</v>
      </c>
      <c r="F429" s="32"/>
      <c r="G429" s="32"/>
      <c r="H429" s="32"/>
      <c r="I429" s="32"/>
      <c r="J429" s="32"/>
      <c r="N429" s="24" t="s">
        <v>2308</v>
      </c>
    </row>
    <row r="430" spans="1:14" x14ac:dyDescent="0.35">
      <c r="A430" s="25" t="s">
        <v>2427</v>
      </c>
      <c r="B430" s="25" t="s">
        <v>2428</v>
      </c>
      <c r="C430" s="25" t="s">
        <v>2429</v>
      </c>
      <c r="E430" s="32" t="s">
        <v>2430</v>
      </c>
      <c r="F430" s="32"/>
      <c r="G430" s="32"/>
      <c r="H430" s="32"/>
      <c r="I430" s="32"/>
      <c r="J430" s="32"/>
      <c r="N430" s="24" t="s">
        <v>2308</v>
      </c>
    </row>
    <row r="431" spans="1:14" x14ac:dyDescent="0.35">
      <c r="A431" s="25" t="s">
        <v>2431</v>
      </c>
      <c r="B431" s="25" t="s">
        <v>2432</v>
      </c>
      <c r="C431" s="25" t="s">
        <v>2433</v>
      </c>
      <c r="D431" s="25" t="s">
        <v>2434</v>
      </c>
      <c r="E431" s="32" t="s">
        <v>2435</v>
      </c>
      <c r="F431" s="32"/>
      <c r="G431" s="32"/>
      <c r="H431" s="32"/>
      <c r="I431" s="32"/>
      <c r="J431" s="32"/>
      <c r="L431" s="25" t="s">
        <v>2436</v>
      </c>
      <c r="N431" s="24" t="s">
        <v>2308</v>
      </c>
    </row>
    <row r="432" spans="1:14" x14ac:dyDescent="0.35">
      <c r="A432" s="25" t="s">
        <v>2437</v>
      </c>
      <c r="B432" s="25" t="s">
        <v>2438</v>
      </c>
      <c r="C432" s="25" t="s">
        <v>2439</v>
      </c>
      <c r="D432" s="25" t="s">
        <v>2440</v>
      </c>
      <c r="E432" s="32" t="s">
        <v>2441</v>
      </c>
      <c r="F432" s="32"/>
      <c r="G432" s="32"/>
      <c r="H432" s="32"/>
      <c r="I432" s="32"/>
      <c r="J432" s="32"/>
      <c r="L432" s="25" t="s">
        <v>2442</v>
      </c>
      <c r="N432" s="24" t="s">
        <v>2308</v>
      </c>
    </row>
    <row r="433" spans="1:14" x14ac:dyDescent="0.35">
      <c r="A433" s="25" t="s">
        <v>2443</v>
      </c>
      <c r="B433" s="25" t="s">
        <v>2444</v>
      </c>
      <c r="C433" s="25" t="s">
        <v>2445</v>
      </c>
      <c r="D433" s="25" t="s">
        <v>2446</v>
      </c>
      <c r="E433" s="32" t="s">
        <v>2447</v>
      </c>
      <c r="F433" s="32"/>
      <c r="G433" s="32"/>
      <c r="H433" s="32"/>
      <c r="I433" s="32"/>
      <c r="J433" s="32"/>
      <c r="L433" s="25" t="s">
        <v>2448</v>
      </c>
      <c r="N433" s="24" t="s">
        <v>2308</v>
      </c>
    </row>
    <row r="434" spans="1:14" x14ac:dyDescent="0.35">
      <c r="A434" s="25" t="s">
        <v>2449</v>
      </c>
      <c r="B434" s="25" t="s">
        <v>2450</v>
      </c>
      <c r="C434" s="25" t="s">
        <v>2451</v>
      </c>
      <c r="D434" s="25" t="s">
        <v>2452</v>
      </c>
      <c r="E434" s="32" t="s">
        <v>2453</v>
      </c>
      <c r="F434" s="32"/>
      <c r="G434" s="32"/>
      <c r="H434" s="32"/>
      <c r="I434" s="32"/>
      <c r="J434" s="32"/>
      <c r="L434" s="25" t="s">
        <v>2454</v>
      </c>
      <c r="N434" s="24" t="s">
        <v>2308</v>
      </c>
    </row>
    <row r="435" spans="1:14" x14ac:dyDescent="0.35">
      <c r="A435" s="25" t="s">
        <v>2455</v>
      </c>
      <c r="B435" s="25" t="s">
        <v>2456</v>
      </c>
      <c r="C435" s="25" t="s">
        <v>2457</v>
      </c>
      <c r="D435" s="25" t="s">
        <v>2458</v>
      </c>
      <c r="E435" s="32" t="s">
        <v>2459</v>
      </c>
      <c r="F435" s="32"/>
      <c r="G435" s="32"/>
      <c r="H435" s="32"/>
      <c r="I435" s="32"/>
      <c r="J435" s="32"/>
      <c r="L435" s="25" t="s">
        <v>2460</v>
      </c>
      <c r="N435" s="24" t="s">
        <v>2308</v>
      </c>
    </row>
    <row r="436" spans="1:14" x14ac:dyDescent="0.35">
      <c r="A436" s="25" t="s">
        <v>2461</v>
      </c>
      <c r="B436" s="25" t="s">
        <v>2462</v>
      </c>
      <c r="C436" s="25" t="s">
        <v>2463</v>
      </c>
      <c r="D436" s="25" t="s">
        <v>2464</v>
      </c>
      <c r="E436" s="32" t="s">
        <v>2465</v>
      </c>
      <c r="F436" s="32"/>
      <c r="G436" s="32"/>
      <c r="H436" s="32"/>
      <c r="I436" s="32"/>
      <c r="J436" s="32"/>
      <c r="L436" s="25" t="s">
        <v>2466</v>
      </c>
      <c r="N436" s="24" t="s">
        <v>2308</v>
      </c>
    </row>
    <row r="437" spans="1:14" x14ac:dyDescent="0.35">
      <c r="A437" s="25" t="s">
        <v>2467</v>
      </c>
      <c r="B437" s="25" t="s">
        <v>2468</v>
      </c>
      <c r="C437" s="25" t="s">
        <v>2469</v>
      </c>
      <c r="D437" s="25" t="s">
        <v>2470</v>
      </c>
      <c r="E437" s="32" t="s">
        <v>2471</v>
      </c>
      <c r="F437" s="32" t="s">
        <v>2472</v>
      </c>
      <c r="G437" s="32"/>
      <c r="H437" s="32"/>
      <c r="I437" s="32"/>
      <c r="J437" s="32"/>
      <c r="L437" s="25" t="s">
        <v>2473</v>
      </c>
      <c r="N437" s="24" t="s">
        <v>2308</v>
      </c>
    </row>
    <row r="438" spans="1:14" x14ac:dyDescent="0.35">
      <c r="A438" s="25" t="s">
        <v>2474</v>
      </c>
      <c r="B438" s="25" t="s">
        <v>2475</v>
      </c>
      <c r="C438" s="25" t="s">
        <v>2476</v>
      </c>
      <c r="D438" s="25" t="s">
        <v>2477</v>
      </c>
      <c r="E438" s="32" t="s">
        <v>2478</v>
      </c>
      <c r="F438" s="32"/>
      <c r="G438" s="32"/>
      <c r="H438" s="32"/>
      <c r="I438" s="32"/>
      <c r="J438" s="32"/>
      <c r="L438" s="25" t="s">
        <v>2479</v>
      </c>
      <c r="N438" s="24" t="s">
        <v>2308</v>
      </c>
    </row>
    <row r="439" spans="1:14" x14ac:dyDescent="0.35">
      <c r="A439" s="25" t="s">
        <v>2480</v>
      </c>
      <c r="B439" s="25" t="s">
        <v>2481</v>
      </c>
      <c r="C439" s="25" t="s">
        <v>2482</v>
      </c>
      <c r="D439" s="25" t="s">
        <v>2483</v>
      </c>
      <c r="E439" s="32" t="s">
        <v>2484</v>
      </c>
      <c r="F439" s="32"/>
      <c r="G439" s="32"/>
      <c r="H439" s="32"/>
      <c r="I439" s="32"/>
      <c r="J439" s="32"/>
      <c r="L439" s="25" t="s">
        <v>2448</v>
      </c>
      <c r="N439" s="24" t="s">
        <v>2308</v>
      </c>
    </row>
    <row r="440" spans="1:14" x14ac:dyDescent="0.35">
      <c r="A440" s="25" t="s">
        <v>2485</v>
      </c>
      <c r="B440" s="25" t="s">
        <v>2486</v>
      </c>
      <c r="C440" s="25" t="s">
        <v>2487</v>
      </c>
      <c r="D440" s="25" t="s">
        <v>2488</v>
      </c>
      <c r="E440" s="32" t="s">
        <v>2489</v>
      </c>
      <c r="F440" s="32"/>
      <c r="G440" s="32"/>
      <c r="H440" s="32"/>
      <c r="I440" s="32"/>
      <c r="J440" s="32"/>
      <c r="L440" s="25" t="s">
        <v>2490</v>
      </c>
      <c r="N440" s="24" t="s">
        <v>2308</v>
      </c>
    </row>
    <row r="441" spans="1:14" x14ac:dyDescent="0.35">
      <c r="A441" s="25" t="s">
        <v>2491</v>
      </c>
      <c r="B441" s="25" t="s">
        <v>2492</v>
      </c>
      <c r="C441" s="25" t="s">
        <v>2493</v>
      </c>
      <c r="D441" s="25" t="s">
        <v>2494</v>
      </c>
      <c r="E441" s="32" t="s">
        <v>2495</v>
      </c>
      <c r="F441" s="32"/>
      <c r="G441" s="32"/>
      <c r="H441" s="32"/>
      <c r="I441" s="32"/>
      <c r="J441" s="32"/>
      <c r="L441" s="25" t="s">
        <v>2496</v>
      </c>
      <c r="N441" s="24" t="s">
        <v>2308</v>
      </c>
    </row>
    <row r="442" spans="1:14" x14ac:dyDescent="0.35">
      <c r="A442" s="25" t="s">
        <v>2497</v>
      </c>
      <c r="B442" s="25" t="s">
        <v>2498</v>
      </c>
      <c r="C442" s="25" t="s">
        <v>2499</v>
      </c>
      <c r="D442" s="25" t="s">
        <v>2500</v>
      </c>
      <c r="E442" s="32" t="s">
        <v>2501</v>
      </c>
      <c r="F442" s="32"/>
      <c r="G442" s="32"/>
      <c r="H442" s="32"/>
      <c r="I442" s="32"/>
      <c r="J442" s="32"/>
      <c r="L442" s="25" t="s">
        <v>2502</v>
      </c>
      <c r="N442" s="24" t="s">
        <v>2308</v>
      </c>
    </row>
    <row r="443" spans="1:14" x14ac:dyDescent="0.35">
      <c r="A443" s="25" t="s">
        <v>2503</v>
      </c>
      <c r="B443" s="25" t="s">
        <v>2504</v>
      </c>
      <c r="C443" s="25" t="s">
        <v>2505</v>
      </c>
      <c r="D443" s="25" t="s">
        <v>2506</v>
      </c>
      <c r="E443" s="32" t="s">
        <v>2507</v>
      </c>
      <c r="F443" s="32"/>
      <c r="G443" s="32"/>
      <c r="H443" s="32"/>
      <c r="I443" s="32"/>
      <c r="J443" s="32"/>
      <c r="L443" s="25" t="s">
        <v>2508</v>
      </c>
      <c r="N443" s="24" t="s">
        <v>2308</v>
      </c>
    </row>
    <row r="444" spans="1:14" x14ac:dyDescent="0.35">
      <c r="A444" s="25" t="s">
        <v>2509</v>
      </c>
      <c r="B444" s="25" t="s">
        <v>2510</v>
      </c>
      <c r="C444" s="25" t="s">
        <v>2511</v>
      </c>
      <c r="E444" s="32" t="s">
        <v>2512</v>
      </c>
      <c r="F444" s="32"/>
      <c r="G444" s="32"/>
      <c r="H444" s="32"/>
      <c r="I444" s="32"/>
      <c r="J444" s="32"/>
      <c r="N444" s="24" t="s">
        <v>2308</v>
      </c>
    </row>
    <row r="445" spans="1:14" x14ac:dyDescent="0.35">
      <c r="A445" s="25" t="s">
        <v>2513</v>
      </c>
      <c r="B445" s="25" t="s">
        <v>2514</v>
      </c>
      <c r="C445" s="25" t="s">
        <v>2515</v>
      </c>
      <c r="D445" s="25" t="s">
        <v>2516</v>
      </c>
      <c r="E445" s="32" t="s">
        <v>2517</v>
      </c>
      <c r="F445" s="32"/>
      <c r="G445" s="32"/>
      <c r="H445" s="32"/>
      <c r="I445" s="32"/>
      <c r="J445" s="32"/>
      <c r="L445" s="25" t="s">
        <v>2518</v>
      </c>
      <c r="N445" s="24" t="s">
        <v>2308</v>
      </c>
    </row>
    <row r="446" spans="1:14" x14ac:dyDescent="0.35">
      <c r="A446" s="25" t="s">
        <v>2519</v>
      </c>
      <c r="B446" s="25" t="s">
        <v>2520</v>
      </c>
      <c r="C446" s="25" t="s">
        <v>2521</v>
      </c>
      <c r="D446" s="25" t="s">
        <v>2522</v>
      </c>
      <c r="E446" s="32" t="s">
        <v>2523</v>
      </c>
      <c r="F446" s="32"/>
      <c r="G446" s="32"/>
      <c r="H446" s="32"/>
      <c r="I446" s="32"/>
      <c r="J446" s="32"/>
      <c r="L446" s="25" t="s">
        <v>2524</v>
      </c>
      <c r="N446" s="24" t="s">
        <v>2308</v>
      </c>
    </row>
    <row r="447" spans="1:14" x14ac:dyDescent="0.35">
      <c r="A447" s="25" t="s">
        <v>2525</v>
      </c>
      <c r="B447" s="25" t="s">
        <v>2526</v>
      </c>
      <c r="C447" s="25" t="s">
        <v>2527</v>
      </c>
      <c r="D447" s="25" t="s">
        <v>2528</v>
      </c>
      <c r="E447" s="32" t="s">
        <v>2529</v>
      </c>
      <c r="F447" s="32"/>
      <c r="G447" s="32"/>
      <c r="H447" s="32"/>
      <c r="I447" s="32"/>
      <c r="J447" s="32"/>
      <c r="L447" s="25" t="s">
        <v>2530</v>
      </c>
      <c r="N447" s="24" t="s">
        <v>2308</v>
      </c>
    </row>
    <row r="448" spans="1:14" x14ac:dyDescent="0.35">
      <c r="A448" s="25" t="s">
        <v>2531</v>
      </c>
      <c r="B448" s="25" t="s">
        <v>2532</v>
      </c>
      <c r="C448" s="25" t="s">
        <v>2533</v>
      </c>
      <c r="D448" s="25" t="s">
        <v>2534</v>
      </c>
      <c r="E448" s="32" t="s">
        <v>2535</v>
      </c>
      <c r="F448" s="32"/>
      <c r="G448" s="32"/>
      <c r="H448" s="32"/>
      <c r="I448" s="32"/>
      <c r="J448" s="32"/>
      <c r="L448" s="25" t="s">
        <v>2536</v>
      </c>
      <c r="N448" s="24" t="s">
        <v>2308</v>
      </c>
    </row>
    <row r="449" spans="1:14" x14ac:dyDescent="0.35">
      <c r="A449" s="25" t="s">
        <v>2537</v>
      </c>
      <c r="B449" s="25" t="s">
        <v>2538</v>
      </c>
      <c r="C449" s="25" t="s">
        <v>2539</v>
      </c>
      <c r="D449" s="25" t="s">
        <v>2540</v>
      </c>
      <c r="E449" s="32" t="s">
        <v>2541</v>
      </c>
      <c r="F449" s="32"/>
      <c r="G449" s="32"/>
      <c r="H449" s="32"/>
      <c r="I449" s="32"/>
      <c r="J449" s="32"/>
      <c r="L449" s="25" t="s">
        <v>2542</v>
      </c>
      <c r="N449" s="24" t="s">
        <v>2308</v>
      </c>
    </row>
    <row r="450" spans="1:14" x14ac:dyDescent="0.35">
      <c r="A450" s="25" t="s">
        <v>2543</v>
      </c>
      <c r="B450" s="25" t="s">
        <v>2544</v>
      </c>
      <c r="C450" s="25" t="s">
        <v>2545</v>
      </c>
      <c r="D450" s="25" t="s">
        <v>2546</v>
      </c>
      <c r="E450" s="32" t="s">
        <v>2547</v>
      </c>
      <c r="F450" s="32"/>
      <c r="G450" s="32"/>
      <c r="H450" s="32"/>
      <c r="I450" s="32"/>
      <c r="J450" s="32"/>
      <c r="L450" s="25" t="s">
        <v>2548</v>
      </c>
      <c r="N450" s="24" t="s">
        <v>2308</v>
      </c>
    </row>
    <row r="451" spans="1:14" x14ac:dyDescent="0.35">
      <c r="A451" s="25" t="s">
        <v>2549</v>
      </c>
      <c r="B451" s="25" t="s">
        <v>2550</v>
      </c>
      <c r="C451" s="25" t="s">
        <v>2551</v>
      </c>
      <c r="D451" s="25" t="s">
        <v>2552</v>
      </c>
      <c r="E451" s="32" t="s">
        <v>2553</v>
      </c>
      <c r="F451" s="32"/>
      <c r="G451" s="32"/>
      <c r="H451" s="32"/>
      <c r="I451" s="32"/>
      <c r="J451" s="32"/>
      <c r="L451" s="25" t="s">
        <v>2554</v>
      </c>
      <c r="N451" s="24" t="s">
        <v>2308</v>
      </c>
    </row>
    <row r="452" spans="1:14" x14ac:dyDescent="0.35">
      <c r="A452" s="25" t="s">
        <v>2555</v>
      </c>
      <c r="B452" s="25" t="s">
        <v>2556</v>
      </c>
      <c r="C452" s="25" t="s">
        <v>2557</v>
      </c>
      <c r="D452" s="25" t="s">
        <v>2558</v>
      </c>
      <c r="E452" s="32" t="s">
        <v>2559</v>
      </c>
      <c r="F452" s="32"/>
      <c r="G452" s="32"/>
      <c r="H452" s="32"/>
      <c r="I452" s="32"/>
      <c r="J452" s="32"/>
      <c r="L452" s="25" t="s">
        <v>2560</v>
      </c>
      <c r="N452" s="24" t="s">
        <v>2308</v>
      </c>
    </row>
    <row r="453" spans="1:14" x14ac:dyDescent="0.35">
      <c r="A453" s="25" t="s">
        <v>2561</v>
      </c>
      <c r="B453" s="25" t="s">
        <v>2562</v>
      </c>
      <c r="C453" s="25" t="s">
        <v>2563</v>
      </c>
      <c r="D453" s="25" t="s">
        <v>2564</v>
      </c>
      <c r="E453" s="32" t="s">
        <v>2565</v>
      </c>
      <c r="F453" s="32"/>
      <c r="G453" s="32"/>
      <c r="H453" s="32"/>
      <c r="I453" s="32"/>
      <c r="J453" s="32"/>
      <c r="L453" s="25" t="s">
        <v>2566</v>
      </c>
      <c r="N453" s="24" t="s">
        <v>2308</v>
      </c>
    </row>
    <row r="454" spans="1:14" x14ac:dyDescent="0.35">
      <c r="A454" s="25" t="s">
        <v>2567</v>
      </c>
      <c r="B454" s="25" t="s">
        <v>2568</v>
      </c>
      <c r="C454" s="25" t="s">
        <v>2569</v>
      </c>
      <c r="D454" s="25" t="s">
        <v>2570</v>
      </c>
      <c r="E454" s="32" t="s">
        <v>2571</v>
      </c>
      <c r="F454" s="32"/>
      <c r="G454" s="32"/>
      <c r="H454" s="32"/>
      <c r="I454" s="32"/>
      <c r="J454" s="32"/>
      <c r="L454" s="25" t="s">
        <v>2572</v>
      </c>
      <c r="N454" s="24" t="s">
        <v>2308</v>
      </c>
    </row>
    <row r="455" spans="1:14" x14ac:dyDescent="0.35">
      <c r="A455" s="25" t="s">
        <v>2573</v>
      </c>
      <c r="B455" s="25" t="s">
        <v>2574</v>
      </c>
      <c r="C455" s="25" t="s">
        <v>2575</v>
      </c>
      <c r="D455" s="25" t="s">
        <v>2576</v>
      </c>
      <c r="E455" s="32" t="s">
        <v>2577</v>
      </c>
      <c r="F455" s="32"/>
      <c r="G455" s="32"/>
      <c r="H455" s="32"/>
      <c r="I455" s="32"/>
      <c r="J455" s="32"/>
      <c r="L455" s="25" t="s">
        <v>2578</v>
      </c>
      <c r="N455" s="24" t="s">
        <v>2308</v>
      </c>
    </row>
    <row r="456" spans="1:14" x14ac:dyDescent="0.35">
      <c r="A456" s="25" t="s">
        <v>2579</v>
      </c>
      <c r="B456" s="25" t="s">
        <v>2580</v>
      </c>
      <c r="C456" s="25" t="s">
        <v>9533</v>
      </c>
      <c r="D456" s="25" t="s">
        <v>2581</v>
      </c>
      <c r="E456" s="32" t="s">
        <v>2582</v>
      </c>
      <c r="F456" s="32"/>
      <c r="G456" s="32"/>
      <c r="H456" s="32"/>
      <c r="I456" s="32"/>
      <c r="J456" s="32"/>
      <c r="L456" s="25" t="s">
        <v>2583</v>
      </c>
      <c r="N456" s="24" t="s">
        <v>2308</v>
      </c>
    </row>
    <row r="457" spans="1:14" x14ac:dyDescent="0.35">
      <c r="A457" s="25" t="s">
        <v>2584</v>
      </c>
      <c r="B457" s="25" t="s">
        <v>2585</v>
      </c>
      <c r="C457" s="25" t="s">
        <v>2586</v>
      </c>
      <c r="E457" s="32" t="s">
        <v>2587</v>
      </c>
      <c r="F457" s="32"/>
      <c r="G457" s="32"/>
      <c r="H457" s="32"/>
      <c r="I457" s="32"/>
      <c r="J457" s="32"/>
      <c r="N457" s="24" t="s">
        <v>2308</v>
      </c>
    </row>
    <row r="458" spans="1:14" x14ac:dyDescent="0.35">
      <c r="A458" s="25" t="s">
        <v>2588</v>
      </c>
      <c r="B458" s="25" t="s">
        <v>2589</v>
      </c>
      <c r="C458" s="25" t="s">
        <v>2590</v>
      </c>
      <c r="D458" s="25" t="s">
        <v>2591</v>
      </c>
      <c r="E458" s="32" t="s">
        <v>2592</v>
      </c>
      <c r="F458" s="32"/>
      <c r="G458" s="32"/>
      <c r="H458" s="32"/>
      <c r="I458" s="32"/>
      <c r="J458" s="32"/>
      <c r="L458" s="25" t="s">
        <v>2593</v>
      </c>
      <c r="N458" s="24" t="s">
        <v>2308</v>
      </c>
    </row>
    <row r="459" spans="1:14" x14ac:dyDescent="0.35">
      <c r="A459" s="25" t="s">
        <v>2594</v>
      </c>
      <c r="B459" s="25" t="s">
        <v>2595</v>
      </c>
      <c r="C459" s="25" t="s">
        <v>2596</v>
      </c>
      <c r="D459" s="25" t="s">
        <v>2597</v>
      </c>
      <c r="E459" s="32" t="s">
        <v>2598</v>
      </c>
      <c r="F459" s="32"/>
      <c r="G459" s="32"/>
      <c r="H459" s="32"/>
      <c r="I459" s="32"/>
      <c r="J459" s="32"/>
      <c r="L459" s="25" t="s">
        <v>2599</v>
      </c>
      <c r="N459" s="24" t="s">
        <v>2308</v>
      </c>
    </row>
    <row r="460" spans="1:14" x14ac:dyDescent="0.35">
      <c r="A460" s="25" t="s">
        <v>2600</v>
      </c>
      <c r="B460" s="25" t="s">
        <v>2601</v>
      </c>
      <c r="C460" s="25" t="s">
        <v>2602</v>
      </c>
      <c r="E460" s="32" t="s">
        <v>2603</v>
      </c>
      <c r="F460" s="32"/>
      <c r="G460" s="32"/>
      <c r="H460" s="32"/>
      <c r="I460" s="32"/>
      <c r="J460" s="32"/>
      <c r="M460" s="25">
        <v>13</v>
      </c>
      <c r="N460" s="24" t="s">
        <v>2308</v>
      </c>
    </row>
    <row r="461" spans="1:14" x14ac:dyDescent="0.35">
      <c r="A461" s="25" t="s">
        <v>2604</v>
      </c>
      <c r="B461" s="25" t="s">
        <v>2605</v>
      </c>
      <c r="C461" s="25" t="s">
        <v>2606</v>
      </c>
      <c r="E461" s="32" t="s">
        <v>2607</v>
      </c>
      <c r="F461" s="32"/>
      <c r="G461" s="32"/>
      <c r="H461" s="32"/>
      <c r="I461" s="32"/>
      <c r="J461" s="32"/>
      <c r="M461" s="25">
        <v>14</v>
      </c>
      <c r="N461" s="24" t="s">
        <v>2308</v>
      </c>
    </row>
    <row r="462" spans="1:14" x14ac:dyDescent="0.35">
      <c r="A462" s="25" t="s">
        <v>2608</v>
      </c>
      <c r="B462" s="25" t="s">
        <v>2608</v>
      </c>
      <c r="C462" s="25" t="s">
        <v>2609</v>
      </c>
      <c r="E462" s="32" t="s">
        <v>2610</v>
      </c>
      <c r="F462" s="32"/>
      <c r="G462" s="32"/>
      <c r="H462" s="32"/>
      <c r="I462" s="32"/>
      <c r="J462" s="32"/>
      <c r="M462" s="25">
        <v>17</v>
      </c>
      <c r="N462" s="24" t="s">
        <v>2308</v>
      </c>
    </row>
    <row r="463" spans="1:14" x14ac:dyDescent="0.35">
      <c r="A463" s="25" t="s">
        <v>2611</v>
      </c>
      <c r="B463" s="25" t="s">
        <v>2611</v>
      </c>
      <c r="C463" s="25" t="s">
        <v>2612</v>
      </c>
      <c r="E463" s="32" t="s">
        <v>2613</v>
      </c>
      <c r="F463" s="32"/>
      <c r="G463" s="32"/>
      <c r="H463" s="32"/>
      <c r="I463" s="32"/>
      <c r="J463" s="32"/>
      <c r="M463" s="25">
        <v>16</v>
      </c>
      <c r="N463" s="24" t="s">
        <v>2308</v>
      </c>
    </row>
    <row r="464" spans="1:14" x14ac:dyDescent="0.35">
      <c r="A464" s="25" t="s">
        <v>2614</v>
      </c>
      <c r="B464" s="25" t="s">
        <v>2615</v>
      </c>
      <c r="C464" s="25" t="s">
        <v>2616</v>
      </c>
      <c r="E464" s="32" t="s">
        <v>2617</v>
      </c>
      <c r="F464" s="32"/>
      <c r="G464" s="32"/>
      <c r="H464" s="32"/>
      <c r="I464" s="32"/>
      <c r="J464" s="32"/>
      <c r="M464" s="25">
        <v>20</v>
      </c>
      <c r="N464" s="24" t="s">
        <v>2308</v>
      </c>
    </row>
    <row r="465" spans="1:14" x14ac:dyDescent="0.35">
      <c r="A465" s="25" t="s">
        <v>2618</v>
      </c>
      <c r="B465" s="25" t="s">
        <v>2619</v>
      </c>
      <c r="C465" s="25" t="s">
        <v>2620</v>
      </c>
      <c r="E465" s="32" t="s">
        <v>2621</v>
      </c>
      <c r="F465" s="32"/>
      <c r="G465" s="32"/>
      <c r="H465" s="32"/>
      <c r="I465" s="32"/>
      <c r="J465" s="32"/>
      <c r="M465" s="25">
        <v>21</v>
      </c>
      <c r="N465" s="24" t="s">
        <v>2308</v>
      </c>
    </row>
    <row r="466" spans="1:14" x14ac:dyDescent="0.35">
      <c r="A466" s="25" t="s">
        <v>2622</v>
      </c>
      <c r="B466" s="25" t="s">
        <v>2623</v>
      </c>
      <c r="C466" s="25" t="s">
        <v>2624</v>
      </c>
      <c r="E466" s="32" t="s">
        <v>2625</v>
      </c>
      <c r="F466" s="32"/>
      <c r="G466" s="32"/>
      <c r="H466" s="32"/>
      <c r="I466" s="32"/>
      <c r="J466" s="32"/>
      <c r="M466" s="25">
        <v>22</v>
      </c>
      <c r="N466" s="24" t="s">
        <v>2308</v>
      </c>
    </row>
    <row r="467" spans="1:14" x14ac:dyDescent="0.35">
      <c r="A467" s="25" t="s">
        <v>2626</v>
      </c>
      <c r="B467" s="25" t="s">
        <v>2627</v>
      </c>
      <c r="C467" s="25" t="s">
        <v>2628</v>
      </c>
      <c r="E467" s="32" t="s">
        <v>2629</v>
      </c>
      <c r="F467" s="32"/>
      <c r="G467" s="32"/>
      <c r="H467" s="32"/>
      <c r="I467" s="32"/>
      <c r="J467" s="32"/>
      <c r="M467" s="25">
        <v>19</v>
      </c>
      <c r="N467" s="24" t="s">
        <v>2308</v>
      </c>
    </row>
    <row r="468" spans="1:14" x14ac:dyDescent="0.35">
      <c r="A468" s="25" t="s">
        <v>9600</v>
      </c>
      <c r="B468" s="25" t="s">
        <v>2630</v>
      </c>
      <c r="C468" s="25" t="s">
        <v>2631</v>
      </c>
      <c r="E468" s="32" t="s">
        <v>2632</v>
      </c>
      <c r="F468" s="32"/>
      <c r="G468" s="32"/>
      <c r="H468" s="32"/>
      <c r="I468" s="32"/>
      <c r="J468" s="32"/>
      <c r="M468" s="25">
        <v>15</v>
      </c>
      <c r="N468" s="24" t="s">
        <v>2308</v>
      </c>
    </row>
    <row r="469" spans="1:14" x14ac:dyDescent="0.35">
      <c r="A469" s="25" t="s">
        <v>2633</v>
      </c>
      <c r="B469" s="25" t="s">
        <v>2634</v>
      </c>
      <c r="C469" s="25" t="s">
        <v>2635</v>
      </c>
      <c r="E469" s="32" t="s">
        <v>2636</v>
      </c>
      <c r="F469" s="32"/>
      <c r="G469" s="32"/>
      <c r="H469" s="32"/>
      <c r="I469" s="32"/>
      <c r="J469" s="32"/>
      <c r="M469" s="25">
        <v>23</v>
      </c>
      <c r="N469" s="24" t="s">
        <v>2308</v>
      </c>
    </row>
    <row r="470" spans="1:14" x14ac:dyDescent="0.35">
      <c r="A470" s="25" t="s">
        <v>2637</v>
      </c>
      <c r="B470" s="25" t="s">
        <v>2637</v>
      </c>
      <c r="C470" s="25" t="s">
        <v>2638</v>
      </c>
      <c r="E470" s="32" t="s">
        <v>2639</v>
      </c>
      <c r="F470" s="32"/>
      <c r="G470" s="32"/>
      <c r="H470" s="32"/>
      <c r="I470" s="32"/>
      <c r="J470" s="32"/>
      <c r="M470" s="25">
        <v>18</v>
      </c>
      <c r="N470" s="24" t="s">
        <v>2308</v>
      </c>
    </row>
    <row r="471" spans="1:14" x14ac:dyDescent="0.35">
      <c r="A471" s="25" t="s">
        <v>2640</v>
      </c>
      <c r="B471" s="25" t="s">
        <v>2640</v>
      </c>
      <c r="C471" s="25" t="s">
        <v>2641</v>
      </c>
      <c r="E471" s="32" t="s">
        <v>2642</v>
      </c>
      <c r="F471" s="32"/>
      <c r="G471" s="32"/>
      <c r="H471" s="32"/>
      <c r="I471" s="32"/>
      <c r="J471" s="32"/>
      <c r="M471" s="25">
        <v>12</v>
      </c>
      <c r="N471" s="24" t="s">
        <v>2308</v>
      </c>
    </row>
    <row r="472" spans="1:14" x14ac:dyDescent="0.35">
      <c r="A472" s="25" t="s">
        <v>2643</v>
      </c>
      <c r="B472" s="25" t="s">
        <v>2644</v>
      </c>
      <c r="C472" s="25" t="s">
        <v>2645</v>
      </c>
      <c r="E472" s="32" t="s">
        <v>2646</v>
      </c>
      <c r="F472" s="32" t="s">
        <v>2647</v>
      </c>
      <c r="G472" s="32" t="s">
        <v>2648</v>
      </c>
      <c r="H472" s="32" t="s">
        <v>2649</v>
      </c>
      <c r="I472" s="32" t="s">
        <v>2650</v>
      </c>
      <c r="J472" s="32"/>
      <c r="L472" s="25" t="s">
        <v>2651</v>
      </c>
      <c r="N472" s="24" t="s">
        <v>1169</v>
      </c>
    </row>
    <row r="473" spans="1:14" x14ac:dyDescent="0.35">
      <c r="A473" s="25" t="s">
        <v>2652</v>
      </c>
      <c r="B473" s="25" t="s">
        <v>2653</v>
      </c>
      <c r="C473" s="25" t="s">
        <v>2654</v>
      </c>
      <c r="E473" s="32" t="s">
        <v>2655</v>
      </c>
      <c r="F473" s="32"/>
      <c r="G473" s="32"/>
      <c r="H473" s="32"/>
      <c r="I473" s="32"/>
      <c r="J473" s="32"/>
      <c r="L473" s="25" t="s">
        <v>2656</v>
      </c>
      <c r="N473" s="24" t="s">
        <v>1169</v>
      </c>
    </row>
    <row r="474" spans="1:14" x14ac:dyDescent="0.35">
      <c r="A474" s="25" t="s">
        <v>2657</v>
      </c>
      <c r="B474" s="25" t="s">
        <v>2658</v>
      </c>
      <c r="C474" s="25" t="s">
        <v>2659</v>
      </c>
      <c r="E474" s="32" t="s">
        <v>2660</v>
      </c>
      <c r="F474" s="32"/>
      <c r="G474" s="32"/>
      <c r="H474" s="32"/>
      <c r="I474" s="32"/>
      <c r="J474" s="32"/>
      <c r="L474" s="25" t="s">
        <v>2661</v>
      </c>
      <c r="N474" s="24" t="s">
        <v>1169</v>
      </c>
    </row>
    <row r="475" spans="1:14" x14ac:dyDescent="0.35">
      <c r="A475" s="25" t="s">
        <v>2662</v>
      </c>
      <c r="B475" s="25" t="s">
        <v>2663</v>
      </c>
      <c r="C475" s="25" t="s">
        <v>2664</v>
      </c>
      <c r="E475" s="32" t="s">
        <v>2665</v>
      </c>
      <c r="F475" s="32"/>
      <c r="G475" s="32"/>
      <c r="H475" s="32"/>
      <c r="I475" s="32"/>
      <c r="J475" s="32"/>
      <c r="L475" s="25" t="s">
        <v>2662</v>
      </c>
      <c r="N475" s="24" t="s">
        <v>1169</v>
      </c>
    </row>
    <row r="476" spans="1:14" x14ac:dyDescent="0.35">
      <c r="A476" s="25" t="s">
        <v>2666</v>
      </c>
      <c r="B476" s="25" t="s">
        <v>2667</v>
      </c>
      <c r="C476" s="25" t="s">
        <v>2668</v>
      </c>
      <c r="E476" s="25" t="s">
        <v>2669</v>
      </c>
      <c r="F476" s="25" t="s">
        <v>2670</v>
      </c>
      <c r="G476" s="25" t="s">
        <v>2671</v>
      </c>
      <c r="H476" s="25" t="s">
        <v>2672</v>
      </c>
      <c r="I476" s="25" t="s">
        <v>2673</v>
      </c>
      <c r="L476" s="25" t="s">
        <v>2674</v>
      </c>
      <c r="M476" s="25">
        <v>1</v>
      </c>
      <c r="N476" s="24" t="s">
        <v>415</v>
      </c>
    </row>
    <row r="477" spans="1:14" x14ac:dyDescent="0.35">
      <c r="A477" s="25" t="s">
        <v>2675</v>
      </c>
      <c r="B477" s="25" t="s">
        <v>2676</v>
      </c>
      <c r="C477" s="25" t="s">
        <v>2677</v>
      </c>
      <c r="E477" s="32" t="s">
        <v>2678</v>
      </c>
      <c r="F477" s="32"/>
      <c r="G477" s="32"/>
      <c r="H477" s="32"/>
      <c r="I477" s="32"/>
      <c r="J477" s="32"/>
      <c r="L477" s="25" t="s">
        <v>2679</v>
      </c>
      <c r="M477" s="25">
        <v>2</v>
      </c>
      <c r="N477" s="24" t="s">
        <v>415</v>
      </c>
    </row>
    <row r="478" spans="1:14" x14ac:dyDescent="0.35">
      <c r="A478" s="25" t="s">
        <v>2680</v>
      </c>
      <c r="B478" s="25" t="s">
        <v>2681</v>
      </c>
      <c r="C478" s="25" t="s">
        <v>2682</v>
      </c>
      <c r="E478" s="32" t="s">
        <v>2683</v>
      </c>
      <c r="F478" s="32"/>
      <c r="G478" s="32"/>
      <c r="H478" s="32"/>
      <c r="I478" s="32"/>
      <c r="J478" s="32"/>
      <c r="M478" s="25">
        <v>3</v>
      </c>
      <c r="N478" s="24" t="s">
        <v>415</v>
      </c>
    </row>
    <row r="479" spans="1:14" x14ac:dyDescent="0.35">
      <c r="A479" s="25" t="s">
        <v>2684</v>
      </c>
      <c r="B479" s="25" t="s">
        <v>2685</v>
      </c>
      <c r="C479" s="25" t="s">
        <v>2686</v>
      </c>
      <c r="E479" s="32" t="s">
        <v>2687</v>
      </c>
      <c r="F479" s="32"/>
      <c r="G479" s="32"/>
      <c r="H479" s="32"/>
      <c r="I479" s="32"/>
      <c r="J479" s="32"/>
      <c r="L479" s="25" t="s">
        <v>2688</v>
      </c>
      <c r="M479" s="25">
        <v>4</v>
      </c>
      <c r="N479" s="24" t="s">
        <v>415</v>
      </c>
    </row>
    <row r="480" spans="1:14" x14ac:dyDescent="0.35">
      <c r="A480" s="25" t="s">
        <v>2689</v>
      </c>
      <c r="B480" s="25" t="s">
        <v>2690</v>
      </c>
      <c r="C480" s="25" t="s">
        <v>2691</v>
      </c>
      <c r="E480" s="32" t="s">
        <v>2692</v>
      </c>
      <c r="F480" s="32"/>
      <c r="G480" s="32"/>
      <c r="H480" s="32"/>
      <c r="I480" s="32"/>
      <c r="J480" s="32"/>
      <c r="M480" s="25">
        <v>5</v>
      </c>
      <c r="N480" s="24" t="s">
        <v>415</v>
      </c>
    </row>
    <row r="481" spans="1:14" x14ac:dyDescent="0.35">
      <c r="A481" s="25" t="s">
        <v>2693</v>
      </c>
      <c r="B481" s="25" t="s">
        <v>2694</v>
      </c>
      <c r="C481" s="25" t="s">
        <v>2695</v>
      </c>
      <c r="E481" s="32" t="s">
        <v>2696</v>
      </c>
      <c r="F481" s="32"/>
      <c r="G481" s="32"/>
      <c r="H481" s="32"/>
      <c r="I481" s="32"/>
      <c r="J481" s="32"/>
      <c r="L481" s="25" t="s">
        <v>2697</v>
      </c>
      <c r="M481" s="25">
        <v>1</v>
      </c>
      <c r="N481" s="24" t="s">
        <v>415</v>
      </c>
    </row>
    <row r="482" spans="1:14" x14ac:dyDescent="0.35">
      <c r="A482" s="25" t="s">
        <v>2698</v>
      </c>
      <c r="B482" s="25" t="s">
        <v>2699</v>
      </c>
      <c r="C482" s="25" t="s">
        <v>2700</v>
      </c>
      <c r="E482" s="32" t="s">
        <v>2701</v>
      </c>
      <c r="F482" s="32"/>
      <c r="G482" s="32"/>
      <c r="H482" s="32"/>
      <c r="I482" s="32"/>
      <c r="J482" s="32"/>
      <c r="M482" s="25">
        <v>2</v>
      </c>
      <c r="N482" s="24" t="s">
        <v>415</v>
      </c>
    </row>
    <row r="483" spans="1:14" x14ac:dyDescent="0.35">
      <c r="A483" s="25" t="s">
        <v>2702</v>
      </c>
      <c r="B483" s="25" t="s">
        <v>2703</v>
      </c>
      <c r="C483" s="25" t="s">
        <v>2704</v>
      </c>
      <c r="E483" s="32" t="s">
        <v>2705</v>
      </c>
      <c r="F483" s="32"/>
      <c r="G483" s="32"/>
      <c r="H483" s="32"/>
      <c r="I483" s="32"/>
      <c r="J483" s="32"/>
      <c r="M483" s="25">
        <v>3</v>
      </c>
      <c r="N483" s="24" t="s">
        <v>415</v>
      </c>
    </row>
    <row r="484" spans="1:14" x14ac:dyDescent="0.35">
      <c r="A484" s="25" t="s">
        <v>2706</v>
      </c>
      <c r="B484" s="25" t="s">
        <v>2707</v>
      </c>
      <c r="C484" s="25" t="s">
        <v>2708</v>
      </c>
      <c r="E484" s="32" t="s">
        <v>2709</v>
      </c>
      <c r="F484" s="32"/>
      <c r="G484" s="32"/>
      <c r="H484" s="32"/>
      <c r="I484" s="32"/>
      <c r="J484" s="32"/>
      <c r="M484" s="25">
        <v>4</v>
      </c>
      <c r="N484" s="24" t="s">
        <v>415</v>
      </c>
    </row>
    <row r="485" spans="1:14" x14ac:dyDescent="0.35">
      <c r="A485" s="25" t="s">
        <v>2710</v>
      </c>
      <c r="B485" s="25" t="s">
        <v>2711</v>
      </c>
      <c r="C485" s="25" t="s">
        <v>2712</v>
      </c>
      <c r="E485" s="32" t="s">
        <v>2713</v>
      </c>
      <c r="F485" s="32"/>
      <c r="G485" s="32"/>
      <c r="H485" s="32"/>
      <c r="I485" s="32"/>
      <c r="J485" s="32"/>
      <c r="M485" s="25">
        <v>5</v>
      </c>
      <c r="N485" s="24" t="s">
        <v>415</v>
      </c>
    </row>
    <row r="486" spans="1:14" x14ac:dyDescent="0.35">
      <c r="A486" s="25" t="s">
        <v>2714</v>
      </c>
      <c r="B486" s="25" t="s">
        <v>2715</v>
      </c>
      <c r="C486" s="25" t="s">
        <v>2716</v>
      </c>
      <c r="E486" s="32" t="s">
        <v>2717</v>
      </c>
      <c r="F486" s="32"/>
      <c r="G486" s="32"/>
      <c r="H486" s="32"/>
      <c r="I486" s="32"/>
      <c r="J486" s="32"/>
      <c r="L486" s="25" t="s">
        <v>2718</v>
      </c>
      <c r="M486" s="25">
        <v>6</v>
      </c>
      <c r="N486" s="24" t="s">
        <v>415</v>
      </c>
    </row>
    <row r="487" spans="1:14" x14ac:dyDescent="0.35">
      <c r="A487" s="25" t="s">
        <v>2719</v>
      </c>
      <c r="B487" s="25" t="s">
        <v>2720</v>
      </c>
      <c r="C487" s="25" t="s">
        <v>2721</v>
      </c>
      <c r="E487" s="25" t="s">
        <v>10184</v>
      </c>
      <c r="L487" s="25" t="s">
        <v>2720</v>
      </c>
      <c r="N487" s="24" t="s">
        <v>415</v>
      </c>
    </row>
    <row r="488" spans="1:14" x14ac:dyDescent="0.35">
      <c r="A488" s="25" t="s">
        <v>2722</v>
      </c>
      <c r="B488" s="25" t="s">
        <v>2723</v>
      </c>
      <c r="C488" s="25" t="s">
        <v>2724</v>
      </c>
      <c r="E488" s="25" t="s">
        <v>10185</v>
      </c>
      <c r="L488" s="25" t="s">
        <v>2723</v>
      </c>
      <c r="N488" s="24" t="s">
        <v>415</v>
      </c>
    </row>
    <row r="489" spans="1:14" x14ac:dyDescent="0.35">
      <c r="A489" s="25" t="s">
        <v>2725</v>
      </c>
      <c r="B489" s="25" t="s">
        <v>2726</v>
      </c>
      <c r="C489" s="25" t="s">
        <v>2727</v>
      </c>
      <c r="E489" s="25" t="s">
        <v>2728</v>
      </c>
      <c r="L489" s="25" t="s">
        <v>2729</v>
      </c>
      <c r="N489" s="24" t="s">
        <v>1696</v>
      </c>
    </row>
    <row r="490" spans="1:14" x14ac:dyDescent="0.35">
      <c r="A490" s="25" t="s">
        <v>2730</v>
      </c>
      <c r="B490" s="25" t="s">
        <v>2731</v>
      </c>
      <c r="C490" s="25" t="s">
        <v>2732</v>
      </c>
      <c r="E490" s="25" t="s">
        <v>1375</v>
      </c>
      <c r="F490" s="32" t="s">
        <v>2733</v>
      </c>
      <c r="G490" s="32" t="s">
        <v>2734</v>
      </c>
      <c r="H490" s="32" t="s">
        <v>2735</v>
      </c>
      <c r="L490" s="25" t="s">
        <v>2736</v>
      </c>
      <c r="N490" s="24" t="s">
        <v>1434</v>
      </c>
    </row>
    <row r="491" spans="1:14" x14ac:dyDescent="0.35">
      <c r="A491" s="25" t="s">
        <v>2737</v>
      </c>
      <c r="B491" s="25" t="s">
        <v>2738</v>
      </c>
      <c r="C491" s="25" t="s">
        <v>2739</v>
      </c>
      <c r="E491" s="32" t="s">
        <v>2740</v>
      </c>
      <c r="F491" s="32" t="s">
        <v>2741</v>
      </c>
      <c r="G491" s="32" t="s">
        <v>2742</v>
      </c>
      <c r="H491" s="32" t="s">
        <v>2743</v>
      </c>
      <c r="I491" s="32" t="s">
        <v>2744</v>
      </c>
      <c r="J491" s="32"/>
      <c r="L491" s="25" t="s">
        <v>2745</v>
      </c>
      <c r="M491" s="25">
        <v>4</v>
      </c>
      <c r="N491" s="24" t="s">
        <v>1434</v>
      </c>
    </row>
    <row r="492" spans="1:14" x14ac:dyDescent="0.35">
      <c r="A492" s="25" t="s">
        <v>9417</v>
      </c>
      <c r="B492" s="25" t="s">
        <v>2746</v>
      </c>
      <c r="C492" s="25" t="s">
        <v>2747</v>
      </c>
      <c r="E492" s="32" t="s">
        <v>9418</v>
      </c>
      <c r="F492" s="32"/>
      <c r="G492" s="32"/>
      <c r="H492" s="32"/>
      <c r="I492" s="32"/>
      <c r="J492" s="32"/>
      <c r="L492" s="25" t="s">
        <v>2748</v>
      </c>
      <c r="N492" s="24" t="s">
        <v>1434</v>
      </c>
    </row>
    <row r="493" spans="1:14" x14ac:dyDescent="0.35">
      <c r="A493" s="25" t="s">
        <v>2749</v>
      </c>
      <c r="B493" s="25" t="s">
        <v>2750</v>
      </c>
      <c r="C493" s="25" t="s">
        <v>2751</v>
      </c>
      <c r="E493" s="25" t="s">
        <v>2752</v>
      </c>
      <c r="F493" s="25" t="s">
        <v>2753</v>
      </c>
      <c r="G493" s="25" t="s">
        <v>2754</v>
      </c>
      <c r="H493" s="25" t="s">
        <v>2755</v>
      </c>
      <c r="I493" s="25" t="s">
        <v>2756</v>
      </c>
      <c r="L493" s="25" t="s">
        <v>2757</v>
      </c>
      <c r="N493" s="24" t="s">
        <v>1434</v>
      </c>
    </row>
    <row r="494" spans="1:14" x14ac:dyDescent="0.35">
      <c r="A494" s="25" t="s">
        <v>2758</v>
      </c>
      <c r="B494" s="25" t="s">
        <v>2759</v>
      </c>
      <c r="C494" s="25" t="s">
        <v>2760</v>
      </c>
      <c r="E494" s="25" t="s">
        <v>2761</v>
      </c>
      <c r="F494" s="25" t="s">
        <v>2762</v>
      </c>
      <c r="G494" s="25" t="s">
        <v>2763</v>
      </c>
      <c r="H494" s="25" t="s">
        <v>2764</v>
      </c>
      <c r="I494" s="25" t="s">
        <v>2765</v>
      </c>
      <c r="L494" s="25" t="s">
        <v>2766</v>
      </c>
      <c r="N494" s="24" t="s">
        <v>1434</v>
      </c>
    </row>
    <row r="495" spans="1:14" x14ac:dyDescent="0.35">
      <c r="A495" s="25" t="s">
        <v>2767</v>
      </c>
      <c r="B495" s="25" t="s">
        <v>2768</v>
      </c>
      <c r="C495" s="25" t="s">
        <v>2769</v>
      </c>
      <c r="E495" s="32" t="s">
        <v>205</v>
      </c>
      <c r="F495" s="32"/>
      <c r="G495" s="32"/>
      <c r="H495" s="32"/>
      <c r="I495" s="32"/>
      <c r="J495" s="32"/>
      <c r="L495" s="25" t="s">
        <v>204</v>
      </c>
      <c r="M495" s="25">
        <v>1</v>
      </c>
      <c r="N495" s="24" t="s">
        <v>415</v>
      </c>
    </row>
    <row r="496" spans="1:14" x14ac:dyDescent="0.35">
      <c r="A496" s="25" t="s">
        <v>2770</v>
      </c>
      <c r="B496" s="25" t="s">
        <v>2771</v>
      </c>
      <c r="C496" s="25" t="s">
        <v>2772</v>
      </c>
      <c r="E496" s="25" t="s">
        <v>10186</v>
      </c>
      <c r="L496" s="25" t="s">
        <v>2771</v>
      </c>
      <c r="M496" s="25">
        <v>2</v>
      </c>
      <c r="N496" s="24" t="s">
        <v>415</v>
      </c>
    </row>
    <row r="497" spans="1:14" x14ac:dyDescent="0.35">
      <c r="A497" s="25" t="s">
        <v>2773</v>
      </c>
      <c r="B497" s="25" t="s">
        <v>2774</v>
      </c>
      <c r="C497" s="25" t="s">
        <v>2775</v>
      </c>
      <c r="E497" s="32" t="s">
        <v>2776</v>
      </c>
      <c r="F497" s="32"/>
      <c r="G497" s="32"/>
      <c r="H497" s="32"/>
      <c r="I497" s="32"/>
      <c r="J497" s="32"/>
      <c r="L497" s="25" t="s">
        <v>2774</v>
      </c>
      <c r="M497" s="25">
        <v>3</v>
      </c>
      <c r="N497" s="24" t="s">
        <v>415</v>
      </c>
    </row>
    <row r="498" spans="1:14" x14ac:dyDescent="0.35">
      <c r="A498" s="25" t="s">
        <v>2777</v>
      </c>
      <c r="B498" s="25" t="s">
        <v>2778</v>
      </c>
      <c r="C498" s="25" t="s">
        <v>2779</v>
      </c>
      <c r="E498" s="25" t="s">
        <v>10187</v>
      </c>
      <c r="L498" s="25" t="s">
        <v>2778</v>
      </c>
      <c r="M498" s="25">
        <v>4</v>
      </c>
      <c r="N498" s="24" t="s">
        <v>415</v>
      </c>
    </row>
    <row r="499" spans="1:14" x14ac:dyDescent="0.35">
      <c r="A499" s="25" t="s">
        <v>2780</v>
      </c>
      <c r="B499" s="25" t="s">
        <v>2781</v>
      </c>
      <c r="C499" s="25" t="s">
        <v>2782</v>
      </c>
      <c r="E499" s="32" t="s">
        <v>2783</v>
      </c>
      <c r="F499" s="32"/>
      <c r="G499" s="32"/>
      <c r="H499" s="32"/>
      <c r="I499" s="32"/>
      <c r="J499" s="32"/>
      <c r="L499" s="25" t="s">
        <v>2781</v>
      </c>
      <c r="M499" s="25">
        <v>5</v>
      </c>
      <c r="N499" s="24" t="s">
        <v>415</v>
      </c>
    </row>
    <row r="500" spans="1:14" x14ac:dyDescent="0.35">
      <c r="A500" s="25" t="s">
        <v>2784</v>
      </c>
      <c r="B500" s="25" t="s">
        <v>2785</v>
      </c>
      <c r="C500" s="25" t="s">
        <v>2786</v>
      </c>
      <c r="E500" s="32" t="s">
        <v>2787</v>
      </c>
      <c r="F500" s="32"/>
      <c r="G500" s="32"/>
      <c r="H500" s="32"/>
      <c r="I500" s="32"/>
      <c r="J500" s="32"/>
      <c r="L500" s="25" t="s">
        <v>2785</v>
      </c>
      <c r="M500" s="25">
        <v>6</v>
      </c>
      <c r="N500" s="24" t="s">
        <v>415</v>
      </c>
    </row>
    <row r="501" spans="1:14" x14ac:dyDescent="0.35">
      <c r="A501" s="25" t="s">
        <v>2788</v>
      </c>
      <c r="B501" s="25" t="s">
        <v>2789</v>
      </c>
      <c r="C501" s="25" t="s">
        <v>2790</v>
      </c>
      <c r="E501" s="25" t="s">
        <v>10188</v>
      </c>
      <c r="L501" s="25" t="s">
        <v>2789</v>
      </c>
      <c r="M501" s="25">
        <v>7</v>
      </c>
      <c r="N501" s="24" t="s">
        <v>415</v>
      </c>
    </row>
    <row r="502" spans="1:14" x14ac:dyDescent="0.35">
      <c r="A502" s="25" t="s">
        <v>2791</v>
      </c>
      <c r="B502" s="25" t="s">
        <v>2792</v>
      </c>
      <c r="C502" s="25" t="s">
        <v>2793</v>
      </c>
      <c r="E502" s="32" t="s">
        <v>2794</v>
      </c>
      <c r="F502" s="32"/>
      <c r="G502" s="32"/>
      <c r="H502" s="32"/>
      <c r="I502" s="32"/>
      <c r="J502" s="32"/>
      <c r="L502" s="25" t="s">
        <v>2792</v>
      </c>
      <c r="M502" s="25">
        <v>8</v>
      </c>
      <c r="N502" s="24" t="s">
        <v>415</v>
      </c>
    </row>
    <row r="503" spans="1:14" x14ac:dyDescent="0.35">
      <c r="A503" s="25" t="s">
        <v>2795</v>
      </c>
      <c r="B503" s="25" t="s">
        <v>2796</v>
      </c>
      <c r="C503" s="25" t="s">
        <v>2797</v>
      </c>
      <c r="E503" s="25" t="s">
        <v>10189</v>
      </c>
      <c r="L503" s="25" t="s">
        <v>2796</v>
      </c>
      <c r="M503" s="25">
        <v>9</v>
      </c>
      <c r="N503" s="24" t="s">
        <v>415</v>
      </c>
    </row>
    <row r="504" spans="1:14" x14ac:dyDescent="0.35">
      <c r="A504" s="25" t="s">
        <v>2798</v>
      </c>
      <c r="B504" s="25" t="s">
        <v>2799</v>
      </c>
      <c r="C504" s="25" t="s">
        <v>2800</v>
      </c>
      <c r="E504" s="32" t="s">
        <v>2801</v>
      </c>
      <c r="F504" s="32"/>
      <c r="G504" s="32"/>
      <c r="H504" s="32"/>
      <c r="I504" s="32"/>
      <c r="J504" s="32"/>
      <c r="L504" s="25" t="s">
        <v>2799</v>
      </c>
      <c r="M504" s="25">
        <v>10</v>
      </c>
      <c r="N504" s="24" t="s">
        <v>415</v>
      </c>
    </row>
    <row r="505" spans="1:14" x14ac:dyDescent="0.35">
      <c r="A505" s="25" t="s">
        <v>2802</v>
      </c>
      <c r="B505" s="25" t="s">
        <v>2803</v>
      </c>
      <c r="C505" s="25" t="s">
        <v>2804</v>
      </c>
      <c r="E505" s="25" t="s">
        <v>10190</v>
      </c>
      <c r="L505" s="25" t="s">
        <v>2803</v>
      </c>
      <c r="M505" s="25">
        <v>11</v>
      </c>
      <c r="N505" s="24" t="s">
        <v>415</v>
      </c>
    </row>
    <row r="506" spans="1:14" x14ac:dyDescent="0.35">
      <c r="A506" s="25" t="s">
        <v>2805</v>
      </c>
      <c r="B506" s="25" t="s">
        <v>2806</v>
      </c>
      <c r="C506" s="25" t="s">
        <v>2807</v>
      </c>
      <c r="E506" s="32" t="s">
        <v>2808</v>
      </c>
      <c r="F506" s="32"/>
      <c r="G506" s="32"/>
      <c r="H506" s="32"/>
      <c r="I506" s="32"/>
      <c r="J506" s="32"/>
      <c r="N506" s="24" t="s">
        <v>415</v>
      </c>
    </row>
    <row r="507" spans="1:14" x14ac:dyDescent="0.35">
      <c r="A507" s="25" t="s">
        <v>2809</v>
      </c>
      <c r="B507" s="25" t="s">
        <v>2810</v>
      </c>
      <c r="C507" s="25" t="s">
        <v>2811</v>
      </c>
      <c r="E507" s="32" t="s">
        <v>2812</v>
      </c>
      <c r="F507" s="32" t="s">
        <v>2813</v>
      </c>
      <c r="G507" s="32" t="s">
        <v>2814</v>
      </c>
      <c r="H507" s="32"/>
      <c r="I507" s="32"/>
      <c r="J507" s="32"/>
      <c r="L507" s="25" t="s">
        <v>2815</v>
      </c>
      <c r="N507" s="24" t="s">
        <v>415</v>
      </c>
    </row>
    <row r="508" spans="1:14" x14ac:dyDescent="0.35">
      <c r="A508" s="25" t="s">
        <v>2816</v>
      </c>
      <c r="B508" s="25" t="s">
        <v>2817</v>
      </c>
      <c r="C508" s="25" t="s">
        <v>2818</v>
      </c>
      <c r="E508" s="25" t="s">
        <v>2819</v>
      </c>
      <c r="F508" s="25" t="s">
        <v>2820</v>
      </c>
      <c r="G508" s="25" t="s">
        <v>2821</v>
      </c>
      <c r="H508" s="25" t="s">
        <v>2822</v>
      </c>
      <c r="I508" s="25" t="s">
        <v>2823</v>
      </c>
      <c r="L508" s="25" t="s">
        <v>2824</v>
      </c>
      <c r="N508" s="24" t="s">
        <v>415</v>
      </c>
    </row>
    <row r="509" spans="1:14" x14ac:dyDescent="0.35">
      <c r="A509" s="25" t="s">
        <v>2825</v>
      </c>
      <c r="B509" s="25" t="s">
        <v>2826</v>
      </c>
      <c r="C509" s="25" t="s">
        <v>2827</v>
      </c>
      <c r="E509" s="32" t="s">
        <v>2828</v>
      </c>
      <c r="F509" s="32"/>
      <c r="G509" s="32"/>
      <c r="H509" s="32"/>
      <c r="I509" s="32"/>
      <c r="J509" s="32"/>
      <c r="L509" s="25" t="s">
        <v>2829</v>
      </c>
      <c r="N509" s="24" t="s">
        <v>415</v>
      </c>
    </row>
    <row r="510" spans="1:14" x14ac:dyDescent="0.35">
      <c r="A510" s="25" t="s">
        <v>2830</v>
      </c>
      <c r="B510" s="25" t="s">
        <v>2831</v>
      </c>
      <c r="C510" s="25" t="s">
        <v>2832</v>
      </c>
      <c r="E510" s="25" t="s">
        <v>2833</v>
      </c>
      <c r="F510" s="25" t="s">
        <v>2834</v>
      </c>
      <c r="G510" s="25" t="s">
        <v>2835</v>
      </c>
      <c r="H510" s="25" t="s">
        <v>2836</v>
      </c>
      <c r="I510" s="25" t="s">
        <v>2837</v>
      </c>
      <c r="L510" s="25" t="s">
        <v>2838</v>
      </c>
      <c r="N510" s="24" t="s">
        <v>415</v>
      </c>
    </row>
    <row r="511" spans="1:14" x14ac:dyDescent="0.35">
      <c r="A511" s="25" t="s">
        <v>2839</v>
      </c>
      <c r="B511" s="25" t="s">
        <v>2840</v>
      </c>
      <c r="C511" s="25" t="s">
        <v>2841</v>
      </c>
      <c r="E511" s="25" t="s">
        <v>2842</v>
      </c>
      <c r="F511" s="25" t="s">
        <v>2843</v>
      </c>
      <c r="G511" s="25" t="s">
        <v>2844</v>
      </c>
      <c r="H511" s="25" t="s">
        <v>2845</v>
      </c>
      <c r="I511" s="25" t="s">
        <v>2846</v>
      </c>
      <c r="L511" s="25" t="s">
        <v>2847</v>
      </c>
      <c r="M511" s="25">
        <v>1</v>
      </c>
      <c r="N511" s="24" t="s">
        <v>415</v>
      </c>
    </row>
    <row r="512" spans="1:14" x14ac:dyDescent="0.35">
      <c r="A512" s="25" t="s">
        <v>2848</v>
      </c>
      <c r="B512" s="25" t="s">
        <v>2849</v>
      </c>
      <c r="C512" s="25" t="s">
        <v>2850</v>
      </c>
      <c r="E512" s="25" t="s">
        <v>10191</v>
      </c>
      <c r="L512" s="25" t="s">
        <v>2848</v>
      </c>
      <c r="M512" s="25">
        <v>2</v>
      </c>
      <c r="N512" s="24" t="s">
        <v>415</v>
      </c>
    </row>
    <row r="513" spans="1:14" x14ac:dyDescent="0.35">
      <c r="A513" s="25" t="s">
        <v>2851</v>
      </c>
      <c r="B513" s="25" t="s">
        <v>2852</v>
      </c>
      <c r="C513" s="25" t="s">
        <v>2853</v>
      </c>
      <c r="E513" s="32" t="s">
        <v>63</v>
      </c>
      <c r="F513" s="32"/>
      <c r="G513" s="32"/>
      <c r="H513" s="32"/>
      <c r="I513" s="32"/>
      <c r="J513" s="32"/>
      <c r="L513" s="25" t="s">
        <v>2851</v>
      </c>
      <c r="M513" s="25">
        <v>3</v>
      </c>
      <c r="N513" s="24" t="s">
        <v>415</v>
      </c>
    </row>
    <row r="514" spans="1:14" x14ac:dyDescent="0.35">
      <c r="A514" s="25" t="s">
        <v>2854</v>
      </c>
      <c r="B514" s="25" t="s">
        <v>2855</v>
      </c>
      <c r="C514" s="25" t="s">
        <v>2856</v>
      </c>
      <c r="E514" s="25" t="s">
        <v>10192</v>
      </c>
      <c r="L514" s="25" t="s">
        <v>2855</v>
      </c>
      <c r="M514" s="25">
        <v>4</v>
      </c>
      <c r="N514" s="24" t="s">
        <v>415</v>
      </c>
    </row>
    <row r="515" spans="1:14" x14ac:dyDescent="0.35">
      <c r="A515" s="25" t="s">
        <v>2857</v>
      </c>
      <c r="B515" s="25" t="s">
        <v>2858</v>
      </c>
      <c r="C515" s="25" t="s">
        <v>2859</v>
      </c>
      <c r="E515" s="32" t="s">
        <v>9455</v>
      </c>
      <c r="F515" s="32"/>
      <c r="G515" s="32"/>
      <c r="H515" s="32"/>
      <c r="I515" s="32"/>
      <c r="J515" s="32"/>
      <c r="L515" s="25" t="s">
        <v>2860</v>
      </c>
      <c r="M515" s="25">
        <v>5</v>
      </c>
      <c r="N515" s="24" t="s">
        <v>415</v>
      </c>
    </row>
    <row r="516" spans="1:14" x14ac:dyDescent="0.35">
      <c r="A516" s="25" t="s">
        <v>2861</v>
      </c>
      <c r="B516" s="25" t="s">
        <v>2862</v>
      </c>
      <c r="C516" s="25" t="s">
        <v>2863</v>
      </c>
      <c r="E516" s="25" t="s">
        <v>10193</v>
      </c>
      <c r="L516" s="25" t="s">
        <v>2862</v>
      </c>
      <c r="M516" s="25">
        <v>6</v>
      </c>
      <c r="N516" s="24" t="s">
        <v>415</v>
      </c>
    </row>
    <row r="517" spans="1:14" x14ac:dyDescent="0.35">
      <c r="A517" s="25" t="s">
        <v>2864</v>
      </c>
      <c r="B517" s="25" t="s">
        <v>2865</v>
      </c>
      <c r="C517" s="25" t="s">
        <v>2866</v>
      </c>
      <c r="E517" s="25" t="s">
        <v>10194</v>
      </c>
      <c r="L517" s="25" t="s">
        <v>2864</v>
      </c>
      <c r="M517" s="25">
        <v>7</v>
      </c>
      <c r="N517" s="24" t="s">
        <v>415</v>
      </c>
    </row>
    <row r="518" spans="1:14" x14ac:dyDescent="0.35">
      <c r="A518" s="25" t="s">
        <v>2867</v>
      </c>
      <c r="B518" s="25" t="s">
        <v>2868</v>
      </c>
      <c r="C518" s="25" t="s">
        <v>2869</v>
      </c>
      <c r="E518" s="25" t="s">
        <v>2870</v>
      </c>
      <c r="F518" s="25" t="s">
        <v>2871</v>
      </c>
      <c r="G518" s="25" t="s">
        <v>2872</v>
      </c>
      <c r="H518" s="25" t="s">
        <v>2873</v>
      </c>
      <c r="I518" s="25" t="s">
        <v>2874</v>
      </c>
      <c r="L518" s="25" t="s">
        <v>2875</v>
      </c>
      <c r="M518" s="25">
        <v>8</v>
      </c>
      <c r="N518" s="24" t="s">
        <v>415</v>
      </c>
    </row>
    <row r="519" spans="1:14" x14ac:dyDescent="0.35">
      <c r="A519" s="25" t="s">
        <v>2876</v>
      </c>
      <c r="B519" s="25" t="s">
        <v>2877</v>
      </c>
      <c r="C519" s="25" t="s">
        <v>2878</v>
      </c>
      <c r="E519" s="32" t="s">
        <v>2879</v>
      </c>
      <c r="F519" s="32"/>
      <c r="G519" s="32"/>
      <c r="H519" s="32"/>
      <c r="I519" s="32"/>
      <c r="J519" s="32"/>
      <c r="L519" s="25" t="s">
        <v>2880</v>
      </c>
      <c r="M519" s="25">
        <v>9</v>
      </c>
      <c r="N519" s="24" t="s">
        <v>415</v>
      </c>
    </row>
    <row r="520" spans="1:14" x14ac:dyDescent="0.35">
      <c r="A520" s="25" t="s">
        <v>2881</v>
      </c>
      <c r="B520" s="25" t="s">
        <v>2882</v>
      </c>
      <c r="C520" s="25" t="s">
        <v>2883</v>
      </c>
      <c r="E520" s="25" t="s">
        <v>2884</v>
      </c>
      <c r="F520" s="25" t="s">
        <v>2885</v>
      </c>
      <c r="G520" s="25" t="s">
        <v>2886</v>
      </c>
      <c r="H520" s="25" t="s">
        <v>2887</v>
      </c>
      <c r="L520" s="25" t="s">
        <v>2888</v>
      </c>
      <c r="M520" s="25">
        <v>10</v>
      </c>
      <c r="N520" s="24" t="s">
        <v>415</v>
      </c>
    </row>
    <row r="521" spans="1:14" x14ac:dyDescent="0.35">
      <c r="A521" s="25" t="s">
        <v>2889</v>
      </c>
      <c r="B521" s="25" t="s">
        <v>2890</v>
      </c>
      <c r="C521" s="25" t="s">
        <v>2891</v>
      </c>
      <c r="E521" s="32" t="s">
        <v>2892</v>
      </c>
      <c r="F521" s="32"/>
      <c r="G521" s="32"/>
      <c r="H521" s="32"/>
      <c r="I521" s="32"/>
      <c r="J521" s="32"/>
      <c r="L521" s="25" t="s">
        <v>2893</v>
      </c>
      <c r="M521" s="25">
        <v>1</v>
      </c>
      <c r="N521" s="24" t="s">
        <v>415</v>
      </c>
    </row>
    <row r="522" spans="1:14" x14ac:dyDescent="0.35">
      <c r="A522" s="25" t="s">
        <v>2894</v>
      </c>
      <c r="B522" s="25" t="s">
        <v>2895</v>
      </c>
      <c r="C522" s="25" t="s">
        <v>2891</v>
      </c>
      <c r="E522" s="32" t="s">
        <v>2896</v>
      </c>
      <c r="F522" s="32"/>
      <c r="G522" s="32"/>
      <c r="H522" s="32"/>
      <c r="I522" s="32"/>
      <c r="J522" s="32"/>
      <c r="L522" s="25" t="s">
        <v>2897</v>
      </c>
      <c r="M522" s="25">
        <v>2</v>
      </c>
      <c r="N522" s="24" t="s">
        <v>415</v>
      </c>
    </row>
    <row r="523" spans="1:14" x14ac:dyDescent="0.35">
      <c r="A523" s="25" t="s">
        <v>2898</v>
      </c>
      <c r="B523" s="25" t="s">
        <v>2899</v>
      </c>
      <c r="C523" s="25" t="s">
        <v>2900</v>
      </c>
      <c r="E523" s="32" t="s">
        <v>2901</v>
      </c>
      <c r="F523" s="32" t="s">
        <v>2902</v>
      </c>
      <c r="G523" s="32" t="s">
        <v>2903</v>
      </c>
      <c r="H523" s="32" t="s">
        <v>2904</v>
      </c>
      <c r="I523" s="32" t="s">
        <v>2905</v>
      </c>
      <c r="J523" s="32"/>
      <c r="L523" s="25" t="s">
        <v>2899</v>
      </c>
      <c r="M523" s="25">
        <v>3</v>
      </c>
      <c r="N523" s="24" t="s">
        <v>415</v>
      </c>
    </row>
    <row r="524" spans="1:14" x14ac:dyDescent="0.35">
      <c r="A524" s="25" t="s">
        <v>2906</v>
      </c>
      <c r="B524" s="25" t="s">
        <v>2907</v>
      </c>
      <c r="C524" s="25" t="s">
        <v>10049</v>
      </c>
      <c r="E524" s="32" t="s">
        <v>9456</v>
      </c>
      <c r="F524" s="32"/>
      <c r="G524" s="32"/>
      <c r="H524" s="32"/>
      <c r="I524" s="32"/>
      <c r="J524" s="32"/>
      <c r="L524" s="25" t="s">
        <v>2907</v>
      </c>
      <c r="M524" s="25">
        <v>1</v>
      </c>
      <c r="N524" s="24" t="s">
        <v>415</v>
      </c>
    </row>
    <row r="525" spans="1:14" x14ac:dyDescent="0.35">
      <c r="A525" s="25" t="s">
        <v>2908</v>
      </c>
      <c r="B525" s="25" t="s">
        <v>2909</v>
      </c>
      <c r="C525" s="25" t="s">
        <v>2910</v>
      </c>
      <c r="E525" s="32" t="s">
        <v>1178</v>
      </c>
      <c r="F525" s="32"/>
      <c r="G525" s="32"/>
      <c r="H525" s="32"/>
      <c r="I525" s="32"/>
      <c r="J525" s="32"/>
      <c r="L525" s="25" t="s">
        <v>2911</v>
      </c>
      <c r="M525" s="25">
        <v>1</v>
      </c>
      <c r="N525" s="24" t="s">
        <v>415</v>
      </c>
    </row>
    <row r="526" spans="1:14" x14ac:dyDescent="0.35">
      <c r="A526" s="25" t="s">
        <v>2912</v>
      </c>
      <c r="B526" s="25" t="s">
        <v>2913</v>
      </c>
      <c r="C526" s="25" t="s">
        <v>2914</v>
      </c>
      <c r="E526" s="25" t="s">
        <v>10195</v>
      </c>
      <c r="L526" s="25" t="s">
        <v>2913</v>
      </c>
      <c r="M526" s="25">
        <v>2</v>
      </c>
      <c r="N526" s="24" t="s">
        <v>415</v>
      </c>
    </row>
    <row r="527" spans="1:14" x14ac:dyDescent="0.35">
      <c r="A527" s="25" t="s">
        <v>2915</v>
      </c>
      <c r="B527" s="25" t="s">
        <v>2916</v>
      </c>
      <c r="C527" s="25" t="s">
        <v>2917</v>
      </c>
      <c r="E527" s="25" t="s">
        <v>10196</v>
      </c>
      <c r="L527" s="25" t="s">
        <v>2918</v>
      </c>
      <c r="M527" s="25">
        <v>3</v>
      </c>
      <c r="N527" s="24" t="s">
        <v>415</v>
      </c>
    </row>
    <row r="528" spans="1:14" x14ac:dyDescent="0.35">
      <c r="A528" s="25" t="s">
        <v>2919</v>
      </c>
      <c r="B528" s="25" t="s">
        <v>2920</v>
      </c>
      <c r="C528" s="25" t="s">
        <v>2921</v>
      </c>
      <c r="E528" s="25" t="s">
        <v>10197</v>
      </c>
      <c r="F528" s="32" t="s">
        <v>2922</v>
      </c>
      <c r="L528" s="25" t="s">
        <v>2920</v>
      </c>
      <c r="M528" s="25">
        <v>4</v>
      </c>
      <c r="N528" s="24" t="s">
        <v>415</v>
      </c>
    </row>
    <row r="529" spans="1:14" x14ac:dyDescent="0.35">
      <c r="A529" s="25" t="s">
        <v>2923</v>
      </c>
      <c r="B529" s="25" t="s">
        <v>2924</v>
      </c>
      <c r="C529" s="25" t="s">
        <v>10050</v>
      </c>
      <c r="E529" s="25" t="s">
        <v>10198</v>
      </c>
      <c r="L529" s="25" t="s">
        <v>1516</v>
      </c>
      <c r="M529" s="25">
        <v>5</v>
      </c>
      <c r="N529" s="24" t="s">
        <v>415</v>
      </c>
    </row>
    <row r="530" spans="1:14" x14ac:dyDescent="0.35">
      <c r="A530" s="25" t="s">
        <v>2925</v>
      </c>
      <c r="B530" s="25" t="s">
        <v>2926</v>
      </c>
      <c r="C530" s="25" t="s">
        <v>2927</v>
      </c>
      <c r="E530" s="32" t="s">
        <v>2928</v>
      </c>
      <c r="F530" s="32"/>
      <c r="G530" s="32"/>
      <c r="H530" s="32"/>
      <c r="I530" s="32"/>
      <c r="J530" s="32"/>
      <c r="L530" s="25" t="s">
        <v>2926</v>
      </c>
      <c r="M530" s="25">
        <v>6</v>
      </c>
      <c r="N530" s="24" t="s">
        <v>415</v>
      </c>
    </row>
    <row r="531" spans="1:14" x14ac:dyDescent="0.35">
      <c r="A531" s="25" t="s">
        <v>2929</v>
      </c>
      <c r="B531" s="25" t="s">
        <v>2930</v>
      </c>
      <c r="C531" s="25" t="s">
        <v>2931</v>
      </c>
      <c r="E531" s="32" t="s">
        <v>2932</v>
      </c>
      <c r="F531" s="32" t="s">
        <v>2933</v>
      </c>
      <c r="G531" s="32"/>
      <c r="H531" s="32"/>
      <c r="I531" s="32"/>
      <c r="J531" s="32"/>
      <c r="L531" s="25" t="s">
        <v>2934</v>
      </c>
      <c r="M531" s="25">
        <v>7</v>
      </c>
      <c r="N531" s="24" t="s">
        <v>415</v>
      </c>
    </row>
    <row r="532" spans="1:14" x14ac:dyDescent="0.35">
      <c r="A532" s="25" t="s">
        <v>2935</v>
      </c>
      <c r="B532" s="25" t="s">
        <v>2936</v>
      </c>
      <c r="C532" s="25" t="s">
        <v>2937</v>
      </c>
      <c r="E532" s="32" t="s">
        <v>2938</v>
      </c>
      <c r="F532" s="32"/>
      <c r="G532" s="32"/>
      <c r="H532" s="32"/>
      <c r="I532" s="32"/>
      <c r="J532" s="32"/>
      <c r="L532" s="25" t="s">
        <v>2936</v>
      </c>
      <c r="M532" s="25">
        <v>8</v>
      </c>
      <c r="N532" s="24" t="s">
        <v>415</v>
      </c>
    </row>
    <row r="533" spans="1:14" x14ac:dyDescent="0.35">
      <c r="A533" s="25" t="s">
        <v>2939</v>
      </c>
      <c r="B533" s="25" t="s">
        <v>2940</v>
      </c>
      <c r="C533" s="25" t="s">
        <v>2941</v>
      </c>
      <c r="E533" s="32" t="s">
        <v>2942</v>
      </c>
      <c r="F533" s="32"/>
      <c r="G533" s="32"/>
      <c r="H533" s="32"/>
      <c r="I533" s="32"/>
      <c r="J533" s="32"/>
      <c r="L533" s="25" t="s">
        <v>2940</v>
      </c>
      <c r="M533" s="25">
        <v>9</v>
      </c>
      <c r="N533" s="24" t="s">
        <v>415</v>
      </c>
    </row>
    <row r="534" spans="1:14" x14ac:dyDescent="0.35">
      <c r="A534" s="25" t="s">
        <v>2943</v>
      </c>
      <c r="B534" s="25" t="s">
        <v>2944</v>
      </c>
      <c r="C534" s="25" t="s">
        <v>2945</v>
      </c>
      <c r="E534" s="25" t="s">
        <v>10199</v>
      </c>
      <c r="L534" s="25" t="s">
        <v>2944</v>
      </c>
      <c r="M534" s="25">
        <v>10</v>
      </c>
      <c r="N534" s="24" t="s">
        <v>415</v>
      </c>
    </row>
    <row r="535" spans="1:14" x14ac:dyDescent="0.35">
      <c r="A535" s="25" t="s">
        <v>2946</v>
      </c>
      <c r="B535" s="25" t="s">
        <v>2947</v>
      </c>
      <c r="C535" s="25" t="s">
        <v>2948</v>
      </c>
      <c r="E535" s="32" t="s">
        <v>63</v>
      </c>
      <c r="F535" s="32"/>
      <c r="G535" s="32"/>
      <c r="H535" s="32"/>
      <c r="I535" s="32"/>
      <c r="J535" s="32"/>
      <c r="L535" s="25" t="s">
        <v>2947</v>
      </c>
      <c r="M535" s="25">
        <v>1</v>
      </c>
      <c r="N535" s="24" t="s">
        <v>415</v>
      </c>
    </row>
    <row r="536" spans="1:14" x14ac:dyDescent="0.35">
      <c r="A536" s="25" t="s">
        <v>2949</v>
      </c>
      <c r="B536" s="25" t="s">
        <v>2950</v>
      </c>
      <c r="C536" s="25" t="s">
        <v>2951</v>
      </c>
      <c r="E536" s="32" t="s">
        <v>2952</v>
      </c>
      <c r="F536" s="32"/>
      <c r="G536" s="32"/>
      <c r="H536" s="32"/>
      <c r="I536" s="32"/>
      <c r="J536" s="32"/>
      <c r="L536" s="25" t="s">
        <v>2950</v>
      </c>
      <c r="M536" s="25">
        <v>2</v>
      </c>
      <c r="N536" s="24" t="s">
        <v>415</v>
      </c>
    </row>
    <row r="537" spans="1:14" x14ac:dyDescent="0.35">
      <c r="A537" s="25" t="s">
        <v>2953</v>
      </c>
      <c r="B537" s="25" t="s">
        <v>2954</v>
      </c>
      <c r="C537" s="25" t="s">
        <v>2955</v>
      </c>
      <c r="E537" s="25" t="s">
        <v>10200</v>
      </c>
      <c r="L537" s="25" t="s">
        <v>2954</v>
      </c>
      <c r="M537" s="25">
        <v>3</v>
      </c>
      <c r="N537" s="24" t="s">
        <v>415</v>
      </c>
    </row>
    <row r="538" spans="1:14" x14ac:dyDescent="0.35">
      <c r="A538" s="25" t="s">
        <v>2956</v>
      </c>
      <c r="B538" s="25" t="s">
        <v>2957</v>
      </c>
      <c r="C538" s="25" t="s">
        <v>2958</v>
      </c>
      <c r="E538" s="25" t="s">
        <v>10201</v>
      </c>
      <c r="L538" s="25" t="s">
        <v>2957</v>
      </c>
      <c r="M538" s="25">
        <v>4</v>
      </c>
      <c r="N538" s="24" t="s">
        <v>415</v>
      </c>
    </row>
    <row r="539" spans="1:14" x14ac:dyDescent="0.35">
      <c r="A539" s="25" t="s">
        <v>2959</v>
      </c>
      <c r="B539" s="25" t="s">
        <v>2960</v>
      </c>
      <c r="C539" s="25" t="s">
        <v>2961</v>
      </c>
      <c r="E539" s="25" t="s">
        <v>10202</v>
      </c>
      <c r="L539" s="25" t="s">
        <v>2960</v>
      </c>
      <c r="M539" s="25">
        <v>5</v>
      </c>
      <c r="N539" s="24" t="s">
        <v>415</v>
      </c>
    </row>
    <row r="540" spans="1:14" x14ac:dyDescent="0.35">
      <c r="A540" s="25" t="s">
        <v>2962</v>
      </c>
      <c r="B540" s="25" t="s">
        <v>2963</v>
      </c>
      <c r="C540" s="25" t="s">
        <v>2964</v>
      </c>
      <c r="E540" s="25" t="s">
        <v>10203</v>
      </c>
      <c r="L540" s="25" t="s">
        <v>2963</v>
      </c>
      <c r="M540" s="25">
        <v>6</v>
      </c>
      <c r="N540" s="24" t="s">
        <v>415</v>
      </c>
    </row>
    <row r="541" spans="1:14" x14ac:dyDescent="0.35">
      <c r="A541" s="25" t="s">
        <v>9653</v>
      </c>
      <c r="B541" s="25" t="s">
        <v>9654</v>
      </c>
      <c r="C541" s="25" t="s">
        <v>2965</v>
      </c>
      <c r="E541" s="25" t="s">
        <v>10204</v>
      </c>
      <c r="L541" s="25" t="s">
        <v>2966</v>
      </c>
      <c r="M541" s="25">
        <v>7</v>
      </c>
      <c r="N541" s="24" t="s">
        <v>415</v>
      </c>
    </row>
    <row r="542" spans="1:14" x14ac:dyDescent="0.35">
      <c r="A542" s="25" t="s">
        <v>9652</v>
      </c>
      <c r="B542" s="25" t="s">
        <v>9655</v>
      </c>
      <c r="C542" s="25" t="s">
        <v>2968</v>
      </c>
      <c r="E542" s="32" t="s">
        <v>2969</v>
      </c>
      <c r="F542" s="32"/>
      <c r="G542" s="32"/>
      <c r="H542" s="32"/>
      <c r="I542" s="32"/>
      <c r="J542" s="32"/>
      <c r="L542" s="25" t="s">
        <v>2967</v>
      </c>
      <c r="M542" s="25">
        <v>8</v>
      </c>
      <c r="N542" s="24" t="s">
        <v>415</v>
      </c>
    </row>
    <row r="543" spans="1:14" x14ac:dyDescent="0.35">
      <c r="A543" s="25" t="s">
        <v>2970</v>
      </c>
      <c r="B543" s="25" t="s">
        <v>2971</v>
      </c>
      <c r="C543" s="25" t="s">
        <v>2972</v>
      </c>
      <c r="E543" s="25" t="s">
        <v>2973</v>
      </c>
      <c r="F543" s="25" t="s">
        <v>2974</v>
      </c>
      <c r="G543" s="25" t="s">
        <v>2975</v>
      </c>
      <c r="H543" s="25" t="s">
        <v>2976</v>
      </c>
      <c r="I543" s="25" t="s">
        <v>2977</v>
      </c>
      <c r="N543" s="24" t="s">
        <v>415</v>
      </c>
    </row>
    <row r="544" spans="1:14" x14ac:dyDescent="0.35">
      <c r="A544" s="25" t="s">
        <v>2978</v>
      </c>
      <c r="B544" s="25" t="s">
        <v>2979</v>
      </c>
      <c r="C544" s="25" t="s">
        <v>2980</v>
      </c>
      <c r="E544" s="32" t="s">
        <v>2981</v>
      </c>
      <c r="F544" s="32"/>
      <c r="G544" s="32"/>
      <c r="H544" s="32"/>
      <c r="I544" s="32"/>
      <c r="J544" s="32"/>
      <c r="N544" s="24" t="s">
        <v>415</v>
      </c>
    </row>
    <row r="545" spans="1:14" x14ac:dyDescent="0.35">
      <c r="A545" s="25" t="s">
        <v>2982</v>
      </c>
      <c r="B545" s="25" t="s">
        <v>2983</v>
      </c>
      <c r="C545" s="25" t="s">
        <v>2984</v>
      </c>
      <c r="E545" s="25" t="s">
        <v>2985</v>
      </c>
      <c r="F545" s="25" t="s">
        <v>2986</v>
      </c>
      <c r="G545" s="25" t="s">
        <v>2987</v>
      </c>
      <c r="H545" s="25" t="s">
        <v>2988</v>
      </c>
      <c r="I545" s="25" t="s">
        <v>2989</v>
      </c>
      <c r="N545" s="24" t="s">
        <v>415</v>
      </c>
    </row>
    <row r="546" spans="1:14" x14ac:dyDescent="0.35">
      <c r="A546" s="25" t="s">
        <v>2990</v>
      </c>
      <c r="B546" s="25" t="s">
        <v>2991</v>
      </c>
      <c r="C546" s="25" t="s">
        <v>2992</v>
      </c>
      <c r="E546" s="25" t="s">
        <v>2993</v>
      </c>
      <c r="F546" s="25" t="s">
        <v>2994</v>
      </c>
      <c r="G546" s="25" t="s">
        <v>2995</v>
      </c>
      <c r="H546" s="25" t="s">
        <v>2996</v>
      </c>
      <c r="I546" s="25" t="s">
        <v>2997</v>
      </c>
      <c r="N546" s="24" t="s">
        <v>415</v>
      </c>
    </row>
    <row r="547" spans="1:14" x14ac:dyDescent="0.35">
      <c r="A547" s="25" t="s">
        <v>2998</v>
      </c>
      <c r="B547" s="25" t="s">
        <v>2999</v>
      </c>
      <c r="C547" s="25" t="s">
        <v>3000</v>
      </c>
      <c r="E547" s="25" t="s">
        <v>3001</v>
      </c>
      <c r="F547" s="25" t="s">
        <v>3002</v>
      </c>
      <c r="G547" s="25" t="s">
        <v>3003</v>
      </c>
      <c r="H547" s="25" t="s">
        <v>3004</v>
      </c>
      <c r="I547" s="25" t="s">
        <v>3005</v>
      </c>
      <c r="N547" s="24" t="s">
        <v>415</v>
      </c>
    </row>
    <row r="548" spans="1:14" x14ac:dyDescent="0.35">
      <c r="A548" s="25" t="s">
        <v>3006</v>
      </c>
      <c r="B548" s="25" t="s">
        <v>3007</v>
      </c>
      <c r="C548" s="25" t="s">
        <v>3008</v>
      </c>
      <c r="E548" s="25" t="s">
        <v>10205</v>
      </c>
      <c r="L548" s="25" t="s">
        <v>3007</v>
      </c>
      <c r="M548" s="25">
        <v>1</v>
      </c>
      <c r="N548" s="24" t="s">
        <v>415</v>
      </c>
    </row>
    <row r="549" spans="1:14" x14ac:dyDescent="0.35">
      <c r="A549" s="25" t="s">
        <v>3009</v>
      </c>
      <c r="B549" s="25" t="s">
        <v>3010</v>
      </c>
      <c r="C549" s="25" t="s">
        <v>3011</v>
      </c>
      <c r="E549" s="25" t="s">
        <v>3012</v>
      </c>
      <c r="F549" s="25" t="s">
        <v>3013</v>
      </c>
      <c r="G549" s="25" t="s">
        <v>3014</v>
      </c>
      <c r="H549" s="25" t="s">
        <v>3015</v>
      </c>
      <c r="I549" s="25" t="s">
        <v>3016</v>
      </c>
      <c r="L549" s="25" t="s">
        <v>3017</v>
      </c>
      <c r="M549" s="25">
        <v>2</v>
      </c>
      <c r="N549" s="24" t="s">
        <v>415</v>
      </c>
    </row>
    <row r="550" spans="1:14" x14ac:dyDescent="0.35">
      <c r="A550" s="25" t="s">
        <v>3018</v>
      </c>
      <c r="B550" s="25" t="s">
        <v>3019</v>
      </c>
      <c r="C550" s="25" t="s">
        <v>3020</v>
      </c>
      <c r="E550" s="32" t="s">
        <v>3021</v>
      </c>
      <c r="F550" s="32"/>
      <c r="G550" s="32"/>
      <c r="H550" s="32"/>
      <c r="I550" s="32"/>
      <c r="J550" s="32"/>
      <c r="L550" s="25" t="s">
        <v>3019</v>
      </c>
      <c r="M550" s="25">
        <v>3</v>
      </c>
      <c r="N550" s="24" t="s">
        <v>415</v>
      </c>
    </row>
    <row r="551" spans="1:14" x14ac:dyDescent="0.35">
      <c r="A551" s="25" t="s">
        <v>3022</v>
      </c>
      <c r="B551" s="25" t="s">
        <v>1132</v>
      </c>
      <c r="C551" s="25" t="s">
        <v>3023</v>
      </c>
      <c r="E551" s="32" t="s">
        <v>3024</v>
      </c>
      <c r="F551" s="32"/>
      <c r="G551" s="32"/>
      <c r="H551" s="32"/>
      <c r="I551" s="32"/>
      <c r="J551" s="32"/>
      <c r="L551" s="25" t="s">
        <v>1132</v>
      </c>
      <c r="M551" s="25">
        <v>4</v>
      </c>
      <c r="N551" s="24" t="s">
        <v>415</v>
      </c>
    </row>
    <row r="552" spans="1:14" x14ac:dyDescent="0.35">
      <c r="A552" s="25" t="s">
        <v>3025</v>
      </c>
      <c r="B552" s="25" t="s">
        <v>3026</v>
      </c>
      <c r="C552" s="25" t="s">
        <v>3027</v>
      </c>
      <c r="E552" s="25" t="s">
        <v>3028</v>
      </c>
      <c r="F552" s="25" t="s">
        <v>3029</v>
      </c>
      <c r="G552" s="25" t="s">
        <v>3030</v>
      </c>
      <c r="H552" s="25" t="s">
        <v>3031</v>
      </c>
      <c r="I552" s="25" t="s">
        <v>3032</v>
      </c>
      <c r="N552" s="24" t="s">
        <v>415</v>
      </c>
    </row>
    <row r="553" spans="1:14" x14ac:dyDescent="0.35">
      <c r="A553" s="25" t="s">
        <v>3033</v>
      </c>
      <c r="B553" s="25" t="s">
        <v>3034</v>
      </c>
      <c r="C553" s="25" t="s">
        <v>3035</v>
      </c>
      <c r="E553" s="32" t="s">
        <v>9457</v>
      </c>
      <c r="F553" s="32"/>
      <c r="G553" s="32"/>
      <c r="H553" s="32"/>
      <c r="I553" s="32"/>
      <c r="J553" s="32"/>
      <c r="L553" s="25" t="s">
        <v>3034</v>
      </c>
      <c r="M553" s="25">
        <v>1</v>
      </c>
      <c r="N553" s="24" t="s">
        <v>458</v>
      </c>
    </row>
    <row r="554" spans="1:14" x14ac:dyDescent="0.35">
      <c r="A554" s="25" t="s">
        <v>3036</v>
      </c>
      <c r="B554" s="25" t="s">
        <v>3037</v>
      </c>
      <c r="C554" s="25" t="s">
        <v>3038</v>
      </c>
      <c r="E554" s="32" t="s">
        <v>9448</v>
      </c>
      <c r="F554" s="32" t="s">
        <v>9449</v>
      </c>
      <c r="G554" s="32" t="s">
        <v>9450</v>
      </c>
      <c r="H554" s="32" t="s">
        <v>9451</v>
      </c>
      <c r="I554" s="32"/>
      <c r="J554" s="32"/>
      <c r="M554" s="25">
        <v>2</v>
      </c>
      <c r="N554" s="24" t="s">
        <v>458</v>
      </c>
    </row>
    <row r="555" spans="1:14" x14ac:dyDescent="0.35">
      <c r="A555" s="25" t="s">
        <v>3039</v>
      </c>
      <c r="B555" s="25" t="s">
        <v>3040</v>
      </c>
      <c r="C555" s="25" t="s">
        <v>3041</v>
      </c>
      <c r="E555" s="32" t="s">
        <v>3042</v>
      </c>
      <c r="F555" s="32"/>
      <c r="G555" s="32"/>
      <c r="H555" s="32"/>
      <c r="I555" s="32"/>
      <c r="J555" s="32"/>
      <c r="M555" s="25">
        <v>3</v>
      </c>
      <c r="N555" s="24" t="s">
        <v>458</v>
      </c>
    </row>
    <row r="556" spans="1:14" ht="16.2" x14ac:dyDescent="0.35">
      <c r="A556" s="25" t="s">
        <v>3043</v>
      </c>
      <c r="B556" s="25" t="s">
        <v>3044</v>
      </c>
      <c r="C556" s="25" t="s">
        <v>3045</v>
      </c>
      <c r="E556" s="32" t="s">
        <v>3046</v>
      </c>
      <c r="F556" s="7" t="s">
        <v>10055</v>
      </c>
      <c r="G556" s="32"/>
      <c r="H556" s="32"/>
      <c r="I556" s="32"/>
      <c r="J556" s="32"/>
      <c r="M556" s="25">
        <v>4</v>
      </c>
      <c r="N556" s="24" t="s">
        <v>458</v>
      </c>
    </row>
    <row r="557" spans="1:14" x14ac:dyDescent="0.35">
      <c r="A557" s="25" t="s">
        <v>3047</v>
      </c>
      <c r="B557" s="25" t="s">
        <v>3048</v>
      </c>
      <c r="C557" s="25" t="s">
        <v>3049</v>
      </c>
      <c r="E557" s="32" t="s">
        <v>9447</v>
      </c>
      <c r="F557" s="32" t="s">
        <v>3050</v>
      </c>
      <c r="G557" s="32"/>
      <c r="H557" s="32"/>
      <c r="I557" s="32"/>
      <c r="J557" s="32"/>
      <c r="M557" s="25">
        <v>5</v>
      </c>
      <c r="N557" s="24" t="s">
        <v>458</v>
      </c>
    </row>
    <row r="558" spans="1:14" x14ac:dyDescent="0.35">
      <c r="A558" s="25" t="s">
        <v>3051</v>
      </c>
      <c r="B558" s="25" t="s">
        <v>3052</v>
      </c>
      <c r="C558" s="25" t="s">
        <v>3053</v>
      </c>
      <c r="E558" s="32" t="s">
        <v>3054</v>
      </c>
      <c r="F558" s="32"/>
      <c r="G558" s="32"/>
      <c r="H558" s="32"/>
      <c r="I558" s="32"/>
      <c r="J558" s="32"/>
      <c r="M558" s="25">
        <v>6</v>
      </c>
      <c r="N558" s="24" t="s">
        <v>458</v>
      </c>
    </row>
    <row r="559" spans="1:14" x14ac:dyDescent="0.35">
      <c r="A559" s="25" t="s">
        <v>3055</v>
      </c>
      <c r="B559" s="25" t="s">
        <v>3056</v>
      </c>
      <c r="C559" s="25" t="s">
        <v>3057</v>
      </c>
      <c r="E559" s="32" t="s">
        <v>3058</v>
      </c>
      <c r="F559" s="32"/>
      <c r="G559" s="32"/>
      <c r="H559" s="32"/>
      <c r="I559" s="32"/>
      <c r="J559" s="32"/>
      <c r="M559" s="25">
        <v>6</v>
      </c>
      <c r="N559" s="24" t="s">
        <v>458</v>
      </c>
    </row>
    <row r="560" spans="1:14" x14ac:dyDescent="0.35">
      <c r="A560" s="25" t="s">
        <v>3059</v>
      </c>
      <c r="B560" s="25" t="s">
        <v>3060</v>
      </c>
      <c r="C560" s="25" t="s">
        <v>3061</v>
      </c>
      <c r="E560" s="32" t="s">
        <v>3062</v>
      </c>
      <c r="F560" s="32"/>
      <c r="G560" s="32"/>
      <c r="H560" s="32"/>
      <c r="I560" s="32"/>
      <c r="J560" s="32"/>
      <c r="M560" s="25">
        <v>7</v>
      </c>
      <c r="N560" s="24" t="s">
        <v>458</v>
      </c>
    </row>
    <row r="561" spans="1:14" x14ac:dyDescent="0.35">
      <c r="A561" s="25" t="s">
        <v>3063</v>
      </c>
      <c r="B561" s="25" t="s">
        <v>3064</v>
      </c>
      <c r="C561" s="25" t="s">
        <v>3065</v>
      </c>
      <c r="E561" s="32" t="s">
        <v>517</v>
      </c>
      <c r="F561" s="32"/>
      <c r="G561" s="32"/>
      <c r="H561" s="32"/>
      <c r="I561" s="32"/>
      <c r="J561" s="32"/>
      <c r="M561" s="25">
        <v>1</v>
      </c>
      <c r="N561" s="24" t="s">
        <v>458</v>
      </c>
    </row>
    <row r="562" spans="1:14" x14ac:dyDescent="0.35">
      <c r="A562" s="25" t="s">
        <v>3066</v>
      </c>
      <c r="B562" s="25" t="s">
        <v>3067</v>
      </c>
      <c r="C562" s="25" t="s">
        <v>3068</v>
      </c>
      <c r="E562" s="32" t="s">
        <v>3069</v>
      </c>
      <c r="F562" s="32"/>
      <c r="G562" s="32"/>
      <c r="H562" s="32"/>
      <c r="I562" s="32"/>
      <c r="J562" s="32"/>
      <c r="M562" s="25">
        <v>2</v>
      </c>
      <c r="N562" s="24" t="s">
        <v>458</v>
      </c>
    </row>
    <row r="563" spans="1:14" x14ac:dyDescent="0.35">
      <c r="A563" s="25" t="s">
        <v>3070</v>
      </c>
      <c r="B563" s="25" t="s">
        <v>3071</v>
      </c>
      <c r="C563" s="25" t="s">
        <v>3072</v>
      </c>
      <c r="E563" s="32" t="s">
        <v>524</v>
      </c>
      <c r="F563" s="32"/>
      <c r="G563" s="32"/>
      <c r="H563" s="32"/>
      <c r="I563" s="32"/>
      <c r="J563" s="32"/>
      <c r="M563" s="25">
        <v>3</v>
      </c>
      <c r="N563" s="24" t="s">
        <v>458</v>
      </c>
    </row>
    <row r="564" spans="1:14" x14ac:dyDescent="0.35">
      <c r="A564" s="25" t="s">
        <v>3073</v>
      </c>
      <c r="B564" s="25" t="s">
        <v>3074</v>
      </c>
      <c r="C564" s="25" t="s">
        <v>3075</v>
      </c>
      <c r="E564" s="32" t="s">
        <v>518</v>
      </c>
      <c r="F564" s="32"/>
      <c r="G564" s="32"/>
      <c r="H564" s="32"/>
      <c r="I564" s="32"/>
      <c r="J564" s="32"/>
      <c r="M564" s="25">
        <v>4</v>
      </c>
      <c r="N564" s="24" t="s">
        <v>458</v>
      </c>
    </row>
    <row r="565" spans="1:14" x14ac:dyDescent="0.35">
      <c r="A565" s="25" t="s">
        <v>3076</v>
      </c>
      <c r="B565" s="25" t="s">
        <v>3077</v>
      </c>
      <c r="C565" s="25" t="s">
        <v>3078</v>
      </c>
      <c r="E565" s="32" t="s">
        <v>519</v>
      </c>
      <c r="F565" s="32"/>
      <c r="G565" s="32"/>
      <c r="H565" s="32"/>
      <c r="I565" s="32"/>
      <c r="J565" s="32"/>
      <c r="M565" s="25">
        <v>5</v>
      </c>
      <c r="N565" s="24" t="s">
        <v>458</v>
      </c>
    </row>
    <row r="566" spans="1:14" x14ac:dyDescent="0.35">
      <c r="A566" s="25" t="s">
        <v>3079</v>
      </c>
      <c r="B566" s="25" t="s">
        <v>3080</v>
      </c>
      <c r="C566" s="25" t="s">
        <v>3081</v>
      </c>
      <c r="E566" s="32" t="s">
        <v>2172</v>
      </c>
      <c r="F566" s="32"/>
      <c r="G566" s="32"/>
      <c r="H566" s="32"/>
      <c r="I566" s="32"/>
      <c r="J566" s="32"/>
      <c r="N566" s="24" t="s">
        <v>458</v>
      </c>
    </row>
    <row r="567" spans="1:14" x14ac:dyDescent="0.35">
      <c r="A567" s="25" t="s">
        <v>3082</v>
      </c>
      <c r="B567" s="25" t="s">
        <v>3083</v>
      </c>
      <c r="C567" s="25" t="s">
        <v>3084</v>
      </c>
      <c r="E567" s="32" t="s">
        <v>3085</v>
      </c>
      <c r="F567" s="32"/>
      <c r="G567" s="32"/>
      <c r="H567" s="32"/>
      <c r="I567" s="32"/>
      <c r="J567" s="32"/>
      <c r="N567" s="24" t="s">
        <v>458</v>
      </c>
    </row>
    <row r="568" spans="1:14" x14ac:dyDescent="0.35">
      <c r="A568" s="25" t="s">
        <v>3086</v>
      </c>
      <c r="B568" s="25" t="s">
        <v>3087</v>
      </c>
      <c r="C568" s="25" t="s">
        <v>3088</v>
      </c>
      <c r="E568" s="32" t="s">
        <v>3089</v>
      </c>
      <c r="F568" s="32"/>
      <c r="G568" s="32"/>
      <c r="H568" s="32"/>
      <c r="I568" s="32"/>
      <c r="J568" s="32"/>
      <c r="M568" s="25">
        <v>1</v>
      </c>
      <c r="N568" s="24" t="s">
        <v>458</v>
      </c>
    </row>
    <row r="569" spans="1:14" x14ac:dyDescent="0.35">
      <c r="A569" s="25" t="s">
        <v>3090</v>
      </c>
      <c r="B569" s="25" t="s">
        <v>3091</v>
      </c>
      <c r="C569" s="25" t="s">
        <v>3092</v>
      </c>
      <c r="E569" s="32" t="s">
        <v>3093</v>
      </c>
      <c r="F569" s="32"/>
      <c r="G569" s="32"/>
      <c r="H569" s="32"/>
      <c r="I569" s="32"/>
      <c r="J569" s="32"/>
      <c r="M569" s="25">
        <v>2</v>
      </c>
      <c r="N569" s="24" t="s">
        <v>458</v>
      </c>
    </row>
    <row r="570" spans="1:14" x14ac:dyDescent="0.35">
      <c r="A570" s="25" t="s">
        <v>3094</v>
      </c>
      <c r="B570" s="25" t="s">
        <v>3095</v>
      </c>
      <c r="C570" s="25" t="s">
        <v>3096</v>
      </c>
      <c r="E570" s="32" t="s">
        <v>3097</v>
      </c>
      <c r="F570" s="32"/>
      <c r="G570" s="32"/>
      <c r="H570" s="32"/>
      <c r="I570" s="32"/>
      <c r="J570" s="32"/>
      <c r="M570" s="25">
        <v>3</v>
      </c>
      <c r="N570" s="24" t="s">
        <v>458</v>
      </c>
    </row>
    <row r="571" spans="1:14" x14ac:dyDescent="0.35">
      <c r="A571" s="25" t="s">
        <v>3098</v>
      </c>
      <c r="B571" s="25" t="s">
        <v>3099</v>
      </c>
      <c r="C571" s="25" t="s">
        <v>3100</v>
      </c>
      <c r="E571" s="32" t="s">
        <v>3101</v>
      </c>
      <c r="F571" s="32"/>
      <c r="G571" s="32"/>
      <c r="H571" s="32"/>
      <c r="I571" s="32"/>
      <c r="J571" s="32"/>
      <c r="M571" s="25">
        <v>4</v>
      </c>
      <c r="N571" s="24" t="s">
        <v>458</v>
      </c>
    </row>
    <row r="572" spans="1:14" x14ac:dyDescent="0.35">
      <c r="A572" s="25" t="s">
        <v>3102</v>
      </c>
      <c r="B572" s="25" t="s">
        <v>3103</v>
      </c>
      <c r="C572" s="25" t="s">
        <v>3104</v>
      </c>
      <c r="E572" s="32" t="s">
        <v>3105</v>
      </c>
      <c r="F572" s="32"/>
      <c r="G572" s="32"/>
      <c r="H572" s="32"/>
      <c r="I572" s="32"/>
      <c r="J572" s="32"/>
      <c r="M572" s="25">
        <v>5</v>
      </c>
      <c r="N572" s="24" t="s">
        <v>458</v>
      </c>
    </row>
    <row r="573" spans="1:14" x14ac:dyDescent="0.35">
      <c r="A573" s="25" t="s">
        <v>3106</v>
      </c>
      <c r="B573" s="25" t="s">
        <v>3107</v>
      </c>
      <c r="C573" s="25" t="s">
        <v>3108</v>
      </c>
      <c r="E573" s="32" t="s">
        <v>3109</v>
      </c>
      <c r="F573" s="32"/>
      <c r="G573" s="32"/>
      <c r="H573" s="32"/>
      <c r="I573" s="32"/>
      <c r="J573" s="32"/>
      <c r="N573" s="24" t="s">
        <v>458</v>
      </c>
    </row>
    <row r="574" spans="1:14" x14ac:dyDescent="0.35">
      <c r="A574" s="25" t="s">
        <v>3110</v>
      </c>
      <c r="B574" s="25" t="s">
        <v>3111</v>
      </c>
      <c r="C574" s="25" t="s">
        <v>3112</v>
      </c>
      <c r="E574" s="32" t="s">
        <v>3113</v>
      </c>
      <c r="F574" s="32"/>
      <c r="G574" s="32"/>
      <c r="H574" s="32"/>
      <c r="I574" s="32"/>
      <c r="J574" s="32"/>
      <c r="N574" s="24" t="s">
        <v>458</v>
      </c>
    </row>
    <row r="575" spans="1:14" x14ac:dyDescent="0.35">
      <c r="A575" s="25" t="s">
        <v>3114</v>
      </c>
      <c r="B575" s="25" t="s">
        <v>3115</v>
      </c>
      <c r="C575" s="25" t="s">
        <v>9406</v>
      </c>
      <c r="E575" s="32" t="s">
        <v>3116</v>
      </c>
      <c r="F575" s="32"/>
      <c r="G575" s="32"/>
      <c r="H575" s="32"/>
      <c r="I575" s="32"/>
      <c r="J575" s="32"/>
      <c r="N575" s="24" t="s">
        <v>415</v>
      </c>
    </row>
    <row r="576" spans="1:14" x14ac:dyDescent="0.35">
      <c r="A576" s="25" t="s">
        <v>3117</v>
      </c>
      <c r="B576" s="25" t="s">
        <v>3118</v>
      </c>
      <c r="C576" s="25" t="s">
        <v>3119</v>
      </c>
      <c r="E576" s="32" t="s">
        <v>3120</v>
      </c>
      <c r="F576" s="32"/>
      <c r="G576" s="32"/>
      <c r="H576" s="32"/>
      <c r="I576" s="32"/>
      <c r="J576" s="32"/>
      <c r="N576" s="24" t="s">
        <v>415</v>
      </c>
    </row>
    <row r="577" spans="1:14" x14ac:dyDescent="0.35">
      <c r="A577" s="25" t="s">
        <v>3121</v>
      </c>
      <c r="B577" s="25" t="s">
        <v>3122</v>
      </c>
      <c r="C577" s="25" t="s">
        <v>3123</v>
      </c>
      <c r="E577" s="32" t="s">
        <v>3124</v>
      </c>
      <c r="F577" s="32"/>
      <c r="G577" s="32"/>
      <c r="H577" s="32"/>
      <c r="I577" s="32"/>
      <c r="J577" s="32"/>
      <c r="N577" s="24" t="s">
        <v>415</v>
      </c>
    </row>
    <row r="578" spans="1:14" x14ac:dyDescent="0.35">
      <c r="A578" s="25" t="s">
        <v>3125</v>
      </c>
      <c r="B578" s="25" t="s">
        <v>3126</v>
      </c>
      <c r="C578" s="25" t="s">
        <v>3127</v>
      </c>
      <c r="E578" s="32" t="s">
        <v>3128</v>
      </c>
      <c r="F578" s="32"/>
      <c r="G578" s="32"/>
      <c r="H578" s="32"/>
      <c r="I578" s="32"/>
      <c r="J578" s="32"/>
      <c r="N578" s="24" t="s">
        <v>415</v>
      </c>
    </row>
    <row r="579" spans="1:14" x14ac:dyDescent="0.35">
      <c r="A579" s="25" t="s">
        <v>3129</v>
      </c>
      <c r="B579" s="25" t="s">
        <v>3130</v>
      </c>
      <c r="C579" s="25" t="s">
        <v>3131</v>
      </c>
      <c r="E579" s="32" t="s">
        <v>3132</v>
      </c>
      <c r="F579" s="32"/>
      <c r="G579" s="32"/>
      <c r="H579" s="32"/>
      <c r="I579" s="32"/>
      <c r="J579" s="32"/>
      <c r="N579" s="24" t="s">
        <v>415</v>
      </c>
    </row>
    <row r="580" spans="1:14" x14ac:dyDescent="0.35">
      <c r="A580" s="25" t="s">
        <v>3133</v>
      </c>
      <c r="B580" s="25" t="s">
        <v>3134</v>
      </c>
      <c r="C580" s="25" t="s">
        <v>3135</v>
      </c>
      <c r="E580" s="32" t="s">
        <v>3136</v>
      </c>
      <c r="F580" s="32"/>
      <c r="G580" s="32"/>
      <c r="H580" s="32"/>
      <c r="I580" s="32"/>
      <c r="J580" s="32"/>
      <c r="N580" s="24" t="s">
        <v>415</v>
      </c>
    </row>
    <row r="581" spans="1:14" x14ac:dyDescent="0.35">
      <c r="A581" s="25" t="s">
        <v>3137</v>
      </c>
      <c r="B581" s="25" t="s">
        <v>3138</v>
      </c>
      <c r="C581" s="25" t="s">
        <v>3139</v>
      </c>
      <c r="E581" s="32" t="s">
        <v>3140</v>
      </c>
      <c r="F581" s="32"/>
      <c r="G581" s="32"/>
      <c r="H581" s="32"/>
      <c r="I581" s="32"/>
      <c r="J581" s="32"/>
      <c r="N581" s="24" t="s">
        <v>415</v>
      </c>
    </row>
    <row r="582" spans="1:14" x14ac:dyDescent="0.35">
      <c r="A582" s="25" t="s">
        <v>3141</v>
      </c>
      <c r="B582" s="25" t="s">
        <v>3142</v>
      </c>
      <c r="C582" s="25" t="s">
        <v>3143</v>
      </c>
      <c r="E582" s="32" t="s">
        <v>3144</v>
      </c>
      <c r="F582" s="32"/>
      <c r="G582" s="32"/>
      <c r="H582" s="32"/>
      <c r="I582" s="32"/>
      <c r="J582" s="32"/>
      <c r="N582" s="24" t="s">
        <v>415</v>
      </c>
    </row>
    <row r="583" spans="1:14" x14ac:dyDescent="0.35">
      <c r="A583" s="25" t="s">
        <v>3145</v>
      </c>
      <c r="B583" s="25" t="s">
        <v>3146</v>
      </c>
      <c r="C583" s="25" t="s">
        <v>3147</v>
      </c>
      <c r="E583" s="32" t="s">
        <v>3148</v>
      </c>
      <c r="F583" s="32"/>
      <c r="G583" s="32"/>
      <c r="H583" s="32"/>
      <c r="I583" s="32"/>
      <c r="J583" s="32"/>
      <c r="N583" s="24" t="s">
        <v>415</v>
      </c>
    </row>
    <row r="584" spans="1:14" x14ac:dyDescent="0.35">
      <c r="A584" s="25" t="s">
        <v>3149</v>
      </c>
      <c r="B584" s="25" t="s">
        <v>3150</v>
      </c>
      <c r="C584" s="25" t="s">
        <v>3151</v>
      </c>
      <c r="E584" s="25" t="s">
        <v>10206</v>
      </c>
      <c r="L584" s="25" t="s">
        <v>3150</v>
      </c>
      <c r="N584" s="24" t="s">
        <v>415</v>
      </c>
    </row>
    <row r="585" spans="1:14" x14ac:dyDescent="0.35">
      <c r="A585" s="25" t="s">
        <v>3152</v>
      </c>
      <c r="B585" s="25" t="s">
        <v>3153</v>
      </c>
      <c r="C585" s="25" t="s">
        <v>3154</v>
      </c>
      <c r="E585" s="32" t="s">
        <v>3155</v>
      </c>
      <c r="F585" s="32"/>
      <c r="G585" s="32"/>
      <c r="H585" s="32"/>
      <c r="I585" s="32"/>
      <c r="J585" s="32"/>
      <c r="N585" s="24" t="s">
        <v>415</v>
      </c>
    </row>
    <row r="586" spans="1:14" x14ac:dyDescent="0.35">
      <c r="A586" s="25" t="s">
        <v>3156</v>
      </c>
      <c r="B586" s="25" t="s">
        <v>3157</v>
      </c>
      <c r="C586" s="25" t="s">
        <v>3158</v>
      </c>
      <c r="E586" s="25" t="s">
        <v>3159</v>
      </c>
      <c r="F586" s="25" t="s">
        <v>3160</v>
      </c>
      <c r="G586" s="25" t="s">
        <v>3161</v>
      </c>
      <c r="H586" s="25" t="s">
        <v>3162</v>
      </c>
      <c r="I586" s="25" t="s">
        <v>3163</v>
      </c>
      <c r="L586" s="25" t="s">
        <v>3157</v>
      </c>
      <c r="N586" s="24" t="s">
        <v>415</v>
      </c>
    </row>
    <row r="587" spans="1:14" x14ac:dyDescent="0.35">
      <c r="A587" s="25" t="s">
        <v>3164</v>
      </c>
      <c r="B587" s="25" t="s">
        <v>3165</v>
      </c>
      <c r="C587" s="25" t="s">
        <v>3166</v>
      </c>
      <c r="E587" s="32" t="s">
        <v>3167</v>
      </c>
      <c r="F587" s="32"/>
      <c r="G587" s="32"/>
      <c r="H587" s="32"/>
      <c r="I587" s="32"/>
      <c r="J587" s="32"/>
      <c r="N587" s="24" t="s">
        <v>415</v>
      </c>
    </row>
    <row r="588" spans="1:14" x14ac:dyDescent="0.35">
      <c r="A588" s="25" t="s">
        <v>3168</v>
      </c>
      <c r="B588" s="25" t="s">
        <v>3169</v>
      </c>
      <c r="C588" s="25" t="s">
        <v>3170</v>
      </c>
      <c r="E588" s="32" t="s">
        <v>3171</v>
      </c>
      <c r="L588" s="25" t="s">
        <v>3172</v>
      </c>
      <c r="N588" s="24" t="s">
        <v>415</v>
      </c>
    </row>
    <row r="589" spans="1:14" x14ac:dyDescent="0.35">
      <c r="A589" s="25" t="s">
        <v>3173</v>
      </c>
      <c r="B589" s="25" t="s">
        <v>3174</v>
      </c>
      <c r="C589" s="25" t="s">
        <v>3175</v>
      </c>
      <c r="E589" s="25" t="s">
        <v>10207</v>
      </c>
      <c r="L589" s="25" t="s">
        <v>3176</v>
      </c>
      <c r="N589" s="24" t="s">
        <v>415</v>
      </c>
    </row>
    <row r="590" spans="1:14" x14ac:dyDescent="0.35">
      <c r="A590" s="25" t="s">
        <v>3177</v>
      </c>
      <c r="B590" s="25" t="s">
        <v>3178</v>
      </c>
      <c r="C590" s="25" t="s">
        <v>3179</v>
      </c>
      <c r="E590" s="32" t="s">
        <v>3180</v>
      </c>
      <c r="F590" s="32"/>
      <c r="G590" s="32"/>
      <c r="H590" s="32"/>
      <c r="I590" s="32"/>
      <c r="J590" s="32"/>
      <c r="N590" s="24" t="s">
        <v>415</v>
      </c>
    </row>
    <row r="591" spans="1:14" x14ac:dyDescent="0.35">
      <c r="A591" s="25" t="s">
        <v>3181</v>
      </c>
      <c r="B591" s="25" t="s">
        <v>3182</v>
      </c>
      <c r="C591" s="25" t="s">
        <v>3183</v>
      </c>
      <c r="E591" s="32" t="s">
        <v>3184</v>
      </c>
      <c r="F591" s="32"/>
      <c r="G591" s="32"/>
      <c r="H591" s="32"/>
      <c r="I591" s="32"/>
      <c r="J591" s="32"/>
      <c r="L591" s="25" t="s">
        <v>3182</v>
      </c>
      <c r="M591" s="25">
        <v>1</v>
      </c>
      <c r="N591" s="24" t="s">
        <v>415</v>
      </c>
    </row>
    <row r="592" spans="1:14" x14ac:dyDescent="0.35">
      <c r="A592" s="25" t="s">
        <v>3185</v>
      </c>
      <c r="B592" s="25" t="s">
        <v>3186</v>
      </c>
      <c r="C592" s="25" t="s">
        <v>3187</v>
      </c>
      <c r="E592" s="25" t="s">
        <v>10208</v>
      </c>
      <c r="L592" s="25" t="s">
        <v>3186</v>
      </c>
      <c r="M592" s="25">
        <v>2</v>
      </c>
      <c r="N592" s="24" t="s">
        <v>415</v>
      </c>
    </row>
    <row r="593" spans="1:14" x14ac:dyDescent="0.35">
      <c r="A593" s="25" t="s">
        <v>3188</v>
      </c>
      <c r="B593" s="25" t="s">
        <v>3189</v>
      </c>
      <c r="C593" s="25" t="s">
        <v>3190</v>
      </c>
      <c r="E593" s="32" t="s">
        <v>3191</v>
      </c>
      <c r="F593" s="32"/>
      <c r="G593" s="32"/>
      <c r="H593" s="32"/>
      <c r="I593" s="32"/>
      <c r="J593" s="32"/>
      <c r="L593" s="25" t="s">
        <v>3192</v>
      </c>
      <c r="M593" s="25">
        <v>3</v>
      </c>
      <c r="N593" s="24" t="s">
        <v>415</v>
      </c>
    </row>
    <row r="594" spans="1:14" x14ac:dyDescent="0.35">
      <c r="A594" s="25" t="s">
        <v>3193</v>
      </c>
      <c r="B594" s="25" t="s">
        <v>3194</v>
      </c>
      <c r="C594" s="25" t="s">
        <v>3195</v>
      </c>
      <c r="E594" s="32" t="s">
        <v>3196</v>
      </c>
      <c r="F594" s="32"/>
      <c r="G594" s="32"/>
      <c r="H594" s="32"/>
      <c r="I594" s="32"/>
      <c r="J594" s="32"/>
      <c r="L594" s="25" t="s">
        <v>3194</v>
      </c>
      <c r="M594" s="25">
        <v>4</v>
      </c>
      <c r="N594" s="24" t="s">
        <v>415</v>
      </c>
    </row>
    <row r="595" spans="1:14" x14ac:dyDescent="0.35">
      <c r="A595" s="25" t="s">
        <v>3197</v>
      </c>
      <c r="B595" s="25" t="s">
        <v>3198</v>
      </c>
      <c r="C595" s="25" t="s">
        <v>3199</v>
      </c>
      <c r="E595" s="25" t="s">
        <v>10209</v>
      </c>
      <c r="L595" s="25" t="s">
        <v>3198</v>
      </c>
      <c r="M595" s="25">
        <v>5</v>
      </c>
      <c r="N595" s="24" t="s">
        <v>415</v>
      </c>
    </row>
    <row r="596" spans="1:14" x14ac:dyDescent="0.35">
      <c r="A596" s="25" t="s">
        <v>3200</v>
      </c>
      <c r="B596" s="25" t="s">
        <v>3201</v>
      </c>
      <c r="C596" s="25" t="s">
        <v>3202</v>
      </c>
      <c r="E596" s="32" t="s">
        <v>3203</v>
      </c>
      <c r="F596" s="32"/>
      <c r="G596" s="32"/>
      <c r="H596" s="32"/>
      <c r="I596" s="32"/>
      <c r="J596" s="32"/>
      <c r="L596" s="25" t="s">
        <v>3204</v>
      </c>
      <c r="M596" s="25">
        <v>6</v>
      </c>
      <c r="N596" s="24" t="s">
        <v>415</v>
      </c>
    </row>
    <row r="597" spans="1:14" x14ac:dyDescent="0.35">
      <c r="A597" s="25" t="s">
        <v>3205</v>
      </c>
      <c r="B597" s="25" t="s">
        <v>3206</v>
      </c>
      <c r="C597" s="25" t="s">
        <v>3207</v>
      </c>
      <c r="E597" s="25" t="s">
        <v>10210</v>
      </c>
      <c r="L597" s="25" t="s">
        <v>3206</v>
      </c>
      <c r="M597" s="25">
        <v>7</v>
      </c>
      <c r="N597" s="24" t="s">
        <v>415</v>
      </c>
    </row>
    <row r="598" spans="1:14" x14ac:dyDescent="0.35">
      <c r="A598" s="25" t="s">
        <v>3208</v>
      </c>
      <c r="B598" s="25" t="s">
        <v>3209</v>
      </c>
      <c r="C598" s="25" t="s">
        <v>3210</v>
      </c>
      <c r="E598" s="25" t="s">
        <v>10211</v>
      </c>
      <c r="L598" s="25" t="s">
        <v>3209</v>
      </c>
      <c r="M598" s="25">
        <v>0</v>
      </c>
      <c r="N598" s="24" t="s">
        <v>415</v>
      </c>
    </row>
    <row r="599" spans="1:14" x14ac:dyDescent="0.35">
      <c r="A599" s="25" t="s">
        <v>3211</v>
      </c>
      <c r="B599" s="25" t="s">
        <v>3212</v>
      </c>
      <c r="C599" s="25" t="s">
        <v>3213</v>
      </c>
      <c r="E599" s="25" t="s">
        <v>10212</v>
      </c>
      <c r="L599" s="25" t="s">
        <v>3214</v>
      </c>
      <c r="M599" s="25">
        <v>4</v>
      </c>
      <c r="N599" s="24" t="s">
        <v>415</v>
      </c>
    </row>
    <row r="600" spans="1:14" x14ac:dyDescent="0.35">
      <c r="A600" s="25" t="s">
        <v>3215</v>
      </c>
      <c r="B600" s="25" t="s">
        <v>3216</v>
      </c>
      <c r="C600" s="25" t="s">
        <v>3217</v>
      </c>
      <c r="E600" s="32" t="s">
        <v>3218</v>
      </c>
      <c r="F600" s="32"/>
      <c r="G600" s="32"/>
      <c r="H600" s="32"/>
      <c r="I600" s="32"/>
      <c r="J600" s="32"/>
      <c r="N600" s="24" t="s">
        <v>415</v>
      </c>
    </row>
    <row r="601" spans="1:14" x14ac:dyDescent="0.35">
      <c r="A601" s="25" t="s">
        <v>3219</v>
      </c>
      <c r="B601" s="25" t="s">
        <v>3220</v>
      </c>
      <c r="C601" s="25" t="s">
        <v>3221</v>
      </c>
      <c r="E601" s="32" t="s">
        <v>3222</v>
      </c>
      <c r="F601" s="32"/>
      <c r="G601" s="32"/>
      <c r="H601" s="32"/>
      <c r="I601" s="32"/>
      <c r="J601" s="32"/>
      <c r="N601" s="24" t="s">
        <v>415</v>
      </c>
    </row>
    <row r="602" spans="1:14" x14ac:dyDescent="0.35">
      <c r="A602" s="25" t="s">
        <v>3223</v>
      </c>
      <c r="B602" s="25" t="s">
        <v>3224</v>
      </c>
      <c r="C602" s="25" t="s">
        <v>3225</v>
      </c>
      <c r="E602" s="25" t="s">
        <v>10213</v>
      </c>
      <c r="L602" s="25" t="s">
        <v>3224</v>
      </c>
      <c r="M602" s="25">
        <v>1</v>
      </c>
      <c r="N602" s="24" t="s">
        <v>415</v>
      </c>
    </row>
    <row r="603" spans="1:14" x14ac:dyDescent="0.35">
      <c r="A603" s="25" t="s">
        <v>3226</v>
      </c>
      <c r="B603" s="25" t="s">
        <v>3227</v>
      </c>
      <c r="C603" s="25" t="s">
        <v>3228</v>
      </c>
      <c r="E603" s="25" t="s">
        <v>10214</v>
      </c>
      <c r="L603" s="25" t="s">
        <v>3227</v>
      </c>
      <c r="M603" s="25">
        <v>3</v>
      </c>
      <c r="N603" s="24" t="s">
        <v>415</v>
      </c>
    </row>
    <row r="604" spans="1:14" x14ac:dyDescent="0.35">
      <c r="A604" s="25" t="s">
        <v>3229</v>
      </c>
      <c r="B604" s="25" t="s">
        <v>3230</v>
      </c>
      <c r="C604" s="25" t="s">
        <v>3231</v>
      </c>
      <c r="E604" s="32" t="s">
        <v>3232</v>
      </c>
      <c r="F604" s="32"/>
      <c r="G604" s="32"/>
      <c r="H604" s="32"/>
      <c r="I604" s="32"/>
      <c r="J604" s="32"/>
      <c r="N604" s="24" t="s">
        <v>415</v>
      </c>
    </row>
    <row r="605" spans="1:14" x14ac:dyDescent="0.35">
      <c r="A605" s="25" t="s">
        <v>3233</v>
      </c>
      <c r="B605" s="25" t="s">
        <v>3234</v>
      </c>
      <c r="C605" s="25" t="s">
        <v>3235</v>
      </c>
      <c r="E605" s="32" t="s">
        <v>3236</v>
      </c>
      <c r="F605" s="32"/>
      <c r="G605" s="32"/>
      <c r="H605" s="32"/>
      <c r="I605" s="32"/>
      <c r="J605" s="32"/>
      <c r="L605" s="25" t="s">
        <v>3237</v>
      </c>
      <c r="M605" s="25">
        <v>2</v>
      </c>
      <c r="N605" s="24" t="s">
        <v>415</v>
      </c>
    </row>
    <row r="606" spans="1:14" x14ac:dyDescent="0.35">
      <c r="A606" s="25" t="s">
        <v>3238</v>
      </c>
      <c r="B606" s="25" t="s">
        <v>3239</v>
      </c>
      <c r="C606" s="25" t="s">
        <v>3240</v>
      </c>
      <c r="E606" s="32" t="s">
        <v>3241</v>
      </c>
      <c r="F606" s="32"/>
      <c r="G606" s="32"/>
      <c r="H606" s="32"/>
      <c r="I606" s="32"/>
      <c r="J606" s="32"/>
      <c r="L606" s="25" t="s">
        <v>3239</v>
      </c>
      <c r="M606" s="25">
        <v>1</v>
      </c>
      <c r="N606" s="24" t="s">
        <v>415</v>
      </c>
    </row>
    <row r="607" spans="1:14" x14ac:dyDescent="0.35">
      <c r="A607" s="25" t="s">
        <v>3242</v>
      </c>
      <c r="B607" s="25" t="s">
        <v>3243</v>
      </c>
      <c r="C607" s="25" t="s">
        <v>3244</v>
      </c>
      <c r="E607" s="25" t="s">
        <v>10215</v>
      </c>
      <c r="L607" s="25" t="s">
        <v>3243</v>
      </c>
      <c r="M607" s="25">
        <v>2</v>
      </c>
      <c r="N607" s="24" t="s">
        <v>415</v>
      </c>
    </row>
    <row r="608" spans="1:14" x14ac:dyDescent="0.35">
      <c r="A608" s="25" t="s">
        <v>3245</v>
      </c>
      <c r="B608" s="25" t="s">
        <v>3246</v>
      </c>
      <c r="C608" s="25" t="s">
        <v>3247</v>
      </c>
      <c r="E608" s="25" t="s">
        <v>10216</v>
      </c>
      <c r="L608" s="25" t="s">
        <v>3248</v>
      </c>
      <c r="M608" s="25">
        <v>3</v>
      </c>
      <c r="N608" s="24" t="s">
        <v>415</v>
      </c>
    </row>
    <row r="609" spans="1:14" x14ac:dyDescent="0.35">
      <c r="A609" s="25" t="s">
        <v>3249</v>
      </c>
      <c r="B609" s="25" t="s">
        <v>3250</v>
      </c>
      <c r="C609" s="25" t="s">
        <v>3251</v>
      </c>
      <c r="E609" s="32" t="s">
        <v>3252</v>
      </c>
      <c r="L609" s="25" t="s">
        <v>3253</v>
      </c>
      <c r="M609" s="25">
        <v>4</v>
      </c>
      <c r="N609" s="24" t="s">
        <v>415</v>
      </c>
    </row>
    <row r="610" spans="1:14" x14ac:dyDescent="0.35">
      <c r="A610" s="25" t="s">
        <v>3254</v>
      </c>
      <c r="B610" s="25" t="s">
        <v>3255</v>
      </c>
      <c r="C610" s="25" t="s">
        <v>3256</v>
      </c>
      <c r="E610" s="32" t="s">
        <v>3257</v>
      </c>
      <c r="F610" s="32"/>
      <c r="G610" s="32"/>
      <c r="H610" s="32"/>
      <c r="I610" s="32"/>
      <c r="J610" s="32"/>
      <c r="N610" s="24" t="s">
        <v>415</v>
      </c>
    </row>
    <row r="611" spans="1:14" x14ac:dyDescent="0.35">
      <c r="A611" s="25" t="s">
        <v>3258</v>
      </c>
      <c r="B611" s="25" t="s">
        <v>3259</v>
      </c>
      <c r="C611" s="25" t="s">
        <v>3260</v>
      </c>
      <c r="E611" s="25" t="s">
        <v>10217</v>
      </c>
      <c r="L611" s="25" t="s">
        <v>3261</v>
      </c>
      <c r="M611" s="25">
        <v>1</v>
      </c>
      <c r="N611" s="24" t="s">
        <v>415</v>
      </c>
    </row>
    <row r="612" spans="1:14" x14ac:dyDescent="0.35">
      <c r="A612" s="25" t="s">
        <v>3262</v>
      </c>
      <c r="B612" s="25" t="s">
        <v>3263</v>
      </c>
      <c r="C612" s="25" t="s">
        <v>3264</v>
      </c>
      <c r="E612" s="32" t="s">
        <v>3265</v>
      </c>
      <c r="F612" s="32"/>
      <c r="G612" s="32"/>
      <c r="H612" s="32"/>
      <c r="I612" s="32"/>
      <c r="J612" s="32"/>
      <c r="L612" s="25" t="s">
        <v>3266</v>
      </c>
      <c r="M612" s="25">
        <v>2</v>
      </c>
      <c r="N612" s="24" t="s">
        <v>415</v>
      </c>
    </row>
    <row r="613" spans="1:14" x14ac:dyDescent="0.35">
      <c r="A613" s="25" t="s">
        <v>3267</v>
      </c>
      <c r="B613" s="25" t="s">
        <v>3268</v>
      </c>
      <c r="C613" s="25" t="s">
        <v>3269</v>
      </c>
      <c r="E613" s="32" t="s">
        <v>3270</v>
      </c>
      <c r="F613" s="32"/>
      <c r="G613" s="32"/>
      <c r="H613" s="32"/>
      <c r="I613" s="32"/>
      <c r="J613" s="32"/>
      <c r="L613" s="25" t="s">
        <v>3271</v>
      </c>
      <c r="M613" s="25">
        <v>3</v>
      </c>
      <c r="N613" s="24" t="s">
        <v>415</v>
      </c>
    </row>
    <row r="614" spans="1:14" x14ac:dyDescent="0.35">
      <c r="A614" s="25" t="s">
        <v>3272</v>
      </c>
      <c r="B614" s="25" t="s">
        <v>3273</v>
      </c>
      <c r="C614" s="25" t="s">
        <v>3269</v>
      </c>
      <c r="E614" s="25" t="s">
        <v>10218</v>
      </c>
      <c r="L614" s="25" t="s">
        <v>3274</v>
      </c>
      <c r="M614" s="25">
        <v>4</v>
      </c>
      <c r="N614" s="24" t="s">
        <v>415</v>
      </c>
    </row>
    <row r="615" spans="1:14" x14ac:dyDescent="0.35">
      <c r="A615" s="25" t="s">
        <v>3275</v>
      </c>
      <c r="B615" s="25" t="s">
        <v>3276</v>
      </c>
      <c r="C615" s="25" t="s">
        <v>3277</v>
      </c>
      <c r="E615" s="32" t="s">
        <v>3278</v>
      </c>
      <c r="F615" s="32"/>
      <c r="G615" s="32"/>
      <c r="H615" s="32"/>
      <c r="I615" s="32"/>
      <c r="J615" s="32"/>
      <c r="L615" s="25" t="s">
        <v>3279</v>
      </c>
      <c r="M615" s="25">
        <v>5</v>
      </c>
      <c r="N615" s="24" t="s">
        <v>415</v>
      </c>
    </row>
    <row r="616" spans="1:14" x14ac:dyDescent="0.35">
      <c r="A616" s="25" t="s">
        <v>3280</v>
      </c>
      <c r="B616" s="25" t="s">
        <v>3281</v>
      </c>
      <c r="C616" s="25" t="s">
        <v>3282</v>
      </c>
      <c r="E616" s="32" t="s">
        <v>3283</v>
      </c>
      <c r="F616" s="32"/>
      <c r="G616" s="32"/>
      <c r="H616" s="32"/>
      <c r="I616" s="32"/>
      <c r="J616" s="32"/>
      <c r="N616" s="24" t="s">
        <v>415</v>
      </c>
    </row>
    <row r="617" spans="1:14" x14ac:dyDescent="0.35">
      <c r="A617" s="25" t="s">
        <v>3284</v>
      </c>
      <c r="B617" s="25" t="s">
        <v>3285</v>
      </c>
      <c r="C617" s="25" t="s">
        <v>3286</v>
      </c>
      <c r="E617" s="25" t="s">
        <v>10219</v>
      </c>
      <c r="L617" s="25" t="s">
        <v>3287</v>
      </c>
      <c r="M617" s="25">
        <v>1</v>
      </c>
      <c r="N617" s="24" t="s">
        <v>415</v>
      </c>
    </row>
    <row r="618" spans="1:14" x14ac:dyDescent="0.35">
      <c r="A618" s="25" t="s">
        <v>3288</v>
      </c>
      <c r="B618" s="25" t="s">
        <v>3289</v>
      </c>
      <c r="C618" s="25" t="s">
        <v>3290</v>
      </c>
      <c r="E618" s="25" t="s">
        <v>10220</v>
      </c>
      <c r="L618" s="25" t="s">
        <v>3291</v>
      </c>
      <c r="M618" s="25">
        <v>2</v>
      </c>
      <c r="N618" s="24" t="s">
        <v>415</v>
      </c>
    </row>
    <row r="619" spans="1:14" x14ac:dyDescent="0.35">
      <c r="A619" s="25" t="s">
        <v>3292</v>
      </c>
      <c r="B619" s="25" t="s">
        <v>3293</v>
      </c>
      <c r="C619" s="25" t="s">
        <v>3294</v>
      </c>
      <c r="E619" s="25" t="s">
        <v>3295</v>
      </c>
      <c r="F619" s="25" t="s">
        <v>3296</v>
      </c>
      <c r="G619" s="25" t="s">
        <v>3297</v>
      </c>
      <c r="H619" s="25" t="s">
        <v>3298</v>
      </c>
      <c r="I619" s="25" t="s">
        <v>3299</v>
      </c>
      <c r="L619" s="25" t="s">
        <v>3300</v>
      </c>
      <c r="M619" s="25">
        <v>3</v>
      </c>
      <c r="N619" s="24" t="s">
        <v>415</v>
      </c>
    </row>
    <row r="620" spans="1:14" x14ac:dyDescent="0.35">
      <c r="A620" s="25" t="s">
        <v>3301</v>
      </c>
      <c r="B620" s="25" t="s">
        <v>3302</v>
      </c>
      <c r="C620" s="25" t="s">
        <v>3303</v>
      </c>
      <c r="E620" s="25" t="s">
        <v>10221</v>
      </c>
      <c r="L620" s="25" t="s">
        <v>3304</v>
      </c>
      <c r="M620" s="25">
        <v>3</v>
      </c>
      <c r="N620" s="24" t="s">
        <v>415</v>
      </c>
    </row>
    <row r="621" spans="1:14" x14ac:dyDescent="0.35">
      <c r="A621" s="25" t="s">
        <v>9460</v>
      </c>
      <c r="B621" s="25" t="s">
        <v>3305</v>
      </c>
      <c r="C621" s="25" t="s">
        <v>3306</v>
      </c>
      <c r="E621" s="32" t="s">
        <v>3307</v>
      </c>
      <c r="F621" s="32"/>
      <c r="G621" s="32"/>
      <c r="H621" s="32"/>
      <c r="I621" s="32"/>
      <c r="J621" s="32"/>
      <c r="L621" s="25" t="s">
        <v>3308</v>
      </c>
      <c r="M621" s="25">
        <v>4</v>
      </c>
      <c r="N621" s="24" t="s">
        <v>415</v>
      </c>
    </row>
    <row r="622" spans="1:14" x14ac:dyDescent="0.35">
      <c r="A622" s="25" t="s">
        <v>3309</v>
      </c>
      <c r="B622" s="25" t="s">
        <v>3310</v>
      </c>
      <c r="C622" s="25" t="s">
        <v>3311</v>
      </c>
      <c r="E622" s="25" t="s">
        <v>10222</v>
      </c>
      <c r="L622" s="25" t="s">
        <v>3312</v>
      </c>
      <c r="M622" s="25">
        <v>5</v>
      </c>
      <c r="N622" s="24" t="s">
        <v>415</v>
      </c>
    </row>
    <row r="623" spans="1:14" x14ac:dyDescent="0.35">
      <c r="A623" s="25" t="s">
        <v>3313</v>
      </c>
      <c r="B623" s="25" t="s">
        <v>3314</v>
      </c>
      <c r="C623" s="25" t="s">
        <v>3315</v>
      </c>
      <c r="E623" s="25" t="s">
        <v>10223</v>
      </c>
      <c r="L623" s="25" t="s">
        <v>3316</v>
      </c>
      <c r="M623" s="25">
        <v>1</v>
      </c>
      <c r="N623" s="24" t="s">
        <v>415</v>
      </c>
    </row>
    <row r="624" spans="1:14" x14ac:dyDescent="0.35">
      <c r="A624" s="25" t="s">
        <v>3317</v>
      </c>
      <c r="B624" s="25" t="s">
        <v>3318</v>
      </c>
      <c r="C624" s="25" t="s">
        <v>3319</v>
      </c>
      <c r="E624" s="32" t="s">
        <v>3320</v>
      </c>
      <c r="F624" s="32"/>
      <c r="G624" s="32"/>
      <c r="H624" s="32"/>
      <c r="I624" s="32"/>
      <c r="J624" s="32"/>
      <c r="L624" s="25" t="s">
        <v>3321</v>
      </c>
      <c r="M624" s="25">
        <v>3</v>
      </c>
      <c r="N624" s="24" t="s">
        <v>415</v>
      </c>
    </row>
    <row r="625" spans="1:14" x14ac:dyDescent="0.35">
      <c r="A625" s="25" t="s">
        <v>3322</v>
      </c>
      <c r="B625" s="25" t="s">
        <v>3323</v>
      </c>
      <c r="C625" s="25" t="s">
        <v>3324</v>
      </c>
      <c r="E625" s="32" t="s">
        <v>3325</v>
      </c>
      <c r="F625" s="32"/>
      <c r="G625" s="32"/>
      <c r="H625" s="32"/>
      <c r="I625" s="32"/>
      <c r="J625" s="32"/>
      <c r="L625" s="25" t="s">
        <v>3323</v>
      </c>
      <c r="M625" s="25">
        <v>4</v>
      </c>
      <c r="N625" s="24" t="s">
        <v>415</v>
      </c>
    </row>
    <row r="626" spans="1:14" x14ac:dyDescent="0.35">
      <c r="A626" s="25" t="s">
        <v>3326</v>
      </c>
      <c r="B626" s="25" t="s">
        <v>3327</v>
      </c>
      <c r="C626" s="25" t="s">
        <v>3328</v>
      </c>
      <c r="E626" s="32" t="s">
        <v>3329</v>
      </c>
      <c r="F626" s="32" t="s">
        <v>3330</v>
      </c>
      <c r="G626" s="32"/>
      <c r="H626" s="32"/>
      <c r="I626" s="32"/>
      <c r="J626" s="32"/>
      <c r="L626" s="25" t="s">
        <v>3331</v>
      </c>
      <c r="M626" s="25">
        <v>5</v>
      </c>
      <c r="N626" s="24" t="s">
        <v>415</v>
      </c>
    </row>
    <row r="627" spans="1:14" x14ac:dyDescent="0.35">
      <c r="A627" s="25" t="s">
        <v>3332</v>
      </c>
      <c r="B627" s="25" t="s">
        <v>3333</v>
      </c>
      <c r="C627" s="25" t="s">
        <v>3334</v>
      </c>
      <c r="E627" s="25" t="s">
        <v>10224</v>
      </c>
      <c r="L627" s="25" t="s">
        <v>3335</v>
      </c>
      <c r="M627" s="25">
        <v>2</v>
      </c>
      <c r="N627" s="24" t="s">
        <v>415</v>
      </c>
    </row>
    <row r="628" spans="1:14" x14ac:dyDescent="0.35">
      <c r="A628" s="25" t="s">
        <v>34</v>
      </c>
      <c r="B628" s="25" t="s">
        <v>3336</v>
      </c>
      <c r="C628" s="25" t="s">
        <v>3337</v>
      </c>
      <c r="E628" s="25" t="s">
        <v>3338</v>
      </c>
      <c r="F628" s="25" t="s">
        <v>3339</v>
      </c>
      <c r="G628" s="25" t="s">
        <v>3340</v>
      </c>
      <c r="H628" s="25" t="s">
        <v>3341</v>
      </c>
      <c r="I628" s="25" t="s">
        <v>3342</v>
      </c>
      <c r="J628" s="32"/>
      <c r="L628" s="25" t="s">
        <v>3343</v>
      </c>
      <c r="M628" s="25">
        <v>1</v>
      </c>
      <c r="N628" s="24" t="s">
        <v>415</v>
      </c>
    </row>
    <row r="629" spans="1:14" x14ac:dyDescent="0.35">
      <c r="A629" s="25" t="s">
        <v>3344</v>
      </c>
      <c r="B629" s="25" t="s">
        <v>3345</v>
      </c>
      <c r="C629" s="25" t="s">
        <v>3346</v>
      </c>
      <c r="E629" s="25" t="s">
        <v>10225</v>
      </c>
      <c r="L629" s="25" t="s">
        <v>3345</v>
      </c>
      <c r="M629" s="25">
        <v>2</v>
      </c>
      <c r="N629" s="24" t="s">
        <v>415</v>
      </c>
    </row>
    <row r="630" spans="1:14" x14ac:dyDescent="0.35">
      <c r="A630" s="25" t="s">
        <v>3347</v>
      </c>
      <c r="B630" s="25" t="s">
        <v>3348</v>
      </c>
      <c r="C630" s="25" t="s">
        <v>3349</v>
      </c>
      <c r="E630" s="25" t="s">
        <v>10226</v>
      </c>
      <c r="L630" s="25" t="s">
        <v>3348</v>
      </c>
      <c r="M630" s="25">
        <v>3</v>
      </c>
      <c r="N630" s="24" t="s">
        <v>415</v>
      </c>
    </row>
    <row r="631" spans="1:14" x14ac:dyDescent="0.35">
      <c r="A631" s="25" t="s">
        <v>3350</v>
      </c>
      <c r="B631" s="25" t="s">
        <v>3351</v>
      </c>
      <c r="C631" s="25" t="s">
        <v>3352</v>
      </c>
      <c r="E631" s="32" t="s">
        <v>3353</v>
      </c>
      <c r="F631" s="32"/>
      <c r="G631" s="32"/>
      <c r="H631" s="32"/>
      <c r="I631" s="32"/>
      <c r="J631" s="32"/>
      <c r="L631" s="25" t="s">
        <v>3351</v>
      </c>
      <c r="M631" s="25">
        <v>4</v>
      </c>
      <c r="N631" s="24" t="s">
        <v>415</v>
      </c>
    </row>
    <row r="632" spans="1:14" ht="16.2" x14ac:dyDescent="0.35">
      <c r="A632" s="25" t="s">
        <v>3354</v>
      </c>
      <c r="B632" s="25" t="s">
        <v>3355</v>
      </c>
      <c r="C632" s="25" t="s">
        <v>3356</v>
      </c>
      <c r="E632" s="7" t="s">
        <v>3357</v>
      </c>
      <c r="F632" s="7" t="s">
        <v>3358</v>
      </c>
      <c r="G632" s="7" t="s">
        <v>10096</v>
      </c>
      <c r="H632" s="7" t="s">
        <v>10097</v>
      </c>
      <c r="I632" s="7" t="s">
        <v>10098</v>
      </c>
      <c r="J632" s="7" t="s">
        <v>10099</v>
      </c>
      <c r="L632" s="25" t="s">
        <v>3355</v>
      </c>
      <c r="M632" s="25">
        <v>5</v>
      </c>
      <c r="N632" s="24" t="s">
        <v>415</v>
      </c>
    </row>
    <row r="633" spans="1:14" ht="16.2" x14ac:dyDescent="0.35">
      <c r="A633" s="25" t="s">
        <v>10088</v>
      </c>
      <c r="B633" s="25" t="s">
        <v>10089</v>
      </c>
      <c r="C633" s="25" t="s">
        <v>3359</v>
      </c>
      <c r="E633" s="7" t="s">
        <v>10090</v>
      </c>
      <c r="F633" s="7" t="s">
        <v>10091</v>
      </c>
      <c r="G633" s="7" t="s">
        <v>10092</v>
      </c>
      <c r="H633" s="7" t="s">
        <v>10093</v>
      </c>
      <c r="I633" s="7" t="s">
        <v>10094</v>
      </c>
      <c r="J633" s="7" t="s">
        <v>10095</v>
      </c>
      <c r="M633" s="25">
        <v>6</v>
      </c>
      <c r="N633" s="24" t="s">
        <v>415</v>
      </c>
    </row>
    <row r="634" spans="1:14" x14ac:dyDescent="0.35">
      <c r="A634" s="25" t="s">
        <v>3360</v>
      </c>
      <c r="B634" s="25" t="s">
        <v>3361</v>
      </c>
      <c r="C634" s="25" t="s">
        <v>3362</v>
      </c>
      <c r="E634" s="32" t="s">
        <v>3363</v>
      </c>
      <c r="F634" s="32"/>
      <c r="G634" s="32"/>
      <c r="H634" s="32"/>
      <c r="I634" s="32"/>
      <c r="J634" s="32"/>
      <c r="M634" s="25">
        <v>7</v>
      </c>
      <c r="N634" s="24" t="s">
        <v>415</v>
      </c>
    </row>
    <row r="635" spans="1:14" x14ac:dyDescent="0.35">
      <c r="A635" s="25" t="s">
        <v>3364</v>
      </c>
      <c r="B635" s="25" t="s">
        <v>3365</v>
      </c>
      <c r="C635" s="25" t="s">
        <v>3366</v>
      </c>
      <c r="E635" s="32" t="s">
        <v>3367</v>
      </c>
      <c r="F635" s="32"/>
      <c r="G635" s="32"/>
      <c r="H635" s="32"/>
      <c r="I635" s="32"/>
      <c r="J635" s="32"/>
      <c r="L635" s="25" t="s">
        <v>3365</v>
      </c>
      <c r="M635" s="25">
        <v>8</v>
      </c>
      <c r="N635" s="24" t="s">
        <v>415</v>
      </c>
    </row>
    <row r="636" spans="1:14" x14ac:dyDescent="0.35">
      <c r="A636" s="25" t="s">
        <v>3368</v>
      </c>
      <c r="B636" s="25" t="s">
        <v>3369</v>
      </c>
      <c r="C636" s="25" t="s">
        <v>3370</v>
      </c>
      <c r="E636" s="25" t="s">
        <v>10227</v>
      </c>
      <c r="L636" s="25" t="s">
        <v>3369</v>
      </c>
      <c r="M636" s="25">
        <v>9</v>
      </c>
      <c r="N636" s="24" t="s">
        <v>415</v>
      </c>
    </row>
    <row r="637" spans="1:14" x14ac:dyDescent="0.35">
      <c r="A637" s="25" t="s">
        <v>3371</v>
      </c>
      <c r="B637" s="25" t="s">
        <v>3372</v>
      </c>
      <c r="C637" s="25" t="s">
        <v>3373</v>
      </c>
      <c r="E637" s="32" t="s">
        <v>10228</v>
      </c>
      <c r="F637" s="32"/>
      <c r="G637" s="32"/>
      <c r="H637" s="32"/>
      <c r="I637" s="32"/>
      <c r="J637" s="32"/>
      <c r="L637" s="25" t="s">
        <v>3372</v>
      </c>
      <c r="M637" s="25">
        <v>11</v>
      </c>
      <c r="N637" s="24" t="s">
        <v>415</v>
      </c>
    </row>
    <row r="638" spans="1:14" x14ac:dyDescent="0.35">
      <c r="A638" s="25" t="s">
        <v>3374</v>
      </c>
      <c r="B638" s="25" t="s">
        <v>3375</v>
      </c>
      <c r="C638" s="25" t="s">
        <v>3376</v>
      </c>
      <c r="E638" s="32" t="s">
        <v>3377</v>
      </c>
      <c r="F638" s="32"/>
      <c r="G638" s="32"/>
      <c r="H638" s="32"/>
      <c r="I638" s="32"/>
      <c r="J638" s="32"/>
      <c r="L638" s="25" t="s">
        <v>3375</v>
      </c>
      <c r="M638" s="25">
        <v>12</v>
      </c>
      <c r="N638" s="24" t="s">
        <v>415</v>
      </c>
    </row>
    <row r="639" spans="1:14" x14ac:dyDescent="0.35">
      <c r="A639" s="25" t="s">
        <v>3378</v>
      </c>
      <c r="B639" s="25" t="s">
        <v>3379</v>
      </c>
      <c r="C639" s="25" t="s">
        <v>3380</v>
      </c>
      <c r="E639" s="32" t="s">
        <v>3381</v>
      </c>
      <c r="F639" s="32"/>
      <c r="G639" s="32"/>
      <c r="H639" s="32"/>
      <c r="I639" s="32"/>
      <c r="J639" s="32"/>
      <c r="L639" s="25" t="s">
        <v>3382</v>
      </c>
      <c r="M639" s="25">
        <v>13</v>
      </c>
      <c r="N639" s="24" t="s">
        <v>415</v>
      </c>
    </row>
    <row r="640" spans="1:14" x14ac:dyDescent="0.35">
      <c r="A640" s="25" t="s">
        <v>3383</v>
      </c>
      <c r="B640" s="25" t="s">
        <v>3384</v>
      </c>
      <c r="C640" s="25" t="s">
        <v>3385</v>
      </c>
      <c r="E640" s="25" t="s">
        <v>10229</v>
      </c>
      <c r="L640" s="25" t="s">
        <v>3384</v>
      </c>
      <c r="M640" s="25">
        <v>14</v>
      </c>
      <c r="N640" s="24" t="s">
        <v>415</v>
      </c>
    </row>
    <row r="641" spans="1:14" x14ac:dyDescent="0.35">
      <c r="A641" s="25" t="s">
        <v>3386</v>
      </c>
      <c r="B641" s="25" t="s">
        <v>3387</v>
      </c>
      <c r="C641" s="25" t="s">
        <v>3388</v>
      </c>
      <c r="E641" s="25" t="s">
        <v>3389</v>
      </c>
      <c r="F641" s="25" t="s">
        <v>3390</v>
      </c>
      <c r="G641" s="25" t="s">
        <v>3391</v>
      </c>
      <c r="H641" s="25" t="s">
        <v>3392</v>
      </c>
      <c r="I641" s="25" t="s">
        <v>3393</v>
      </c>
      <c r="J641" s="32" t="s">
        <v>9489</v>
      </c>
      <c r="N641" s="24" t="s">
        <v>415</v>
      </c>
    </row>
    <row r="642" spans="1:14" x14ac:dyDescent="0.35">
      <c r="A642" s="25" t="s">
        <v>3394</v>
      </c>
      <c r="B642" s="25" t="s">
        <v>3395</v>
      </c>
      <c r="C642" s="25" t="s">
        <v>3396</v>
      </c>
      <c r="E642" s="32" t="s">
        <v>3397</v>
      </c>
      <c r="F642" s="32"/>
      <c r="G642" s="32"/>
      <c r="H642" s="32"/>
      <c r="I642" s="32"/>
      <c r="J642" s="32"/>
      <c r="N642" s="24" t="s">
        <v>415</v>
      </c>
    </row>
    <row r="643" spans="1:14" x14ac:dyDescent="0.35">
      <c r="A643" s="25" t="s">
        <v>3398</v>
      </c>
      <c r="B643" s="25" t="s">
        <v>3399</v>
      </c>
      <c r="C643" s="25" t="s">
        <v>3400</v>
      </c>
      <c r="E643" s="32" t="s">
        <v>3401</v>
      </c>
      <c r="F643" s="32"/>
      <c r="G643" s="32"/>
      <c r="H643" s="32"/>
      <c r="I643" s="32"/>
      <c r="J643" s="32"/>
      <c r="N643" s="24" t="s">
        <v>415</v>
      </c>
    </row>
    <row r="644" spans="1:14" x14ac:dyDescent="0.35">
      <c r="A644" s="25" t="s">
        <v>3402</v>
      </c>
      <c r="B644" s="25" t="s">
        <v>3403</v>
      </c>
      <c r="C644" s="25" t="s">
        <v>3404</v>
      </c>
      <c r="E644" s="32" t="s">
        <v>3405</v>
      </c>
      <c r="F644" s="32"/>
      <c r="G644" s="32"/>
      <c r="H644" s="32"/>
      <c r="I644" s="32"/>
      <c r="J644" s="32"/>
      <c r="N644" s="24" t="s">
        <v>415</v>
      </c>
    </row>
    <row r="645" spans="1:14" x14ac:dyDescent="0.35">
      <c r="A645" s="25" t="s">
        <v>3406</v>
      </c>
      <c r="B645" s="25" t="s">
        <v>3407</v>
      </c>
      <c r="C645" s="25" t="s">
        <v>3408</v>
      </c>
      <c r="E645" s="32" t="s">
        <v>3409</v>
      </c>
      <c r="F645" s="32"/>
      <c r="G645" s="32"/>
      <c r="H645" s="32"/>
      <c r="I645" s="32"/>
      <c r="J645" s="32"/>
      <c r="N645" s="24" t="s">
        <v>415</v>
      </c>
    </row>
    <row r="646" spans="1:14" x14ac:dyDescent="0.35">
      <c r="A646" s="25" t="s">
        <v>3410</v>
      </c>
      <c r="B646" s="25" t="s">
        <v>3411</v>
      </c>
      <c r="C646" s="25" t="s">
        <v>3412</v>
      </c>
      <c r="E646" s="25" t="s">
        <v>3413</v>
      </c>
      <c r="F646" s="25" t="s">
        <v>3414</v>
      </c>
      <c r="G646" s="25" t="s">
        <v>3415</v>
      </c>
      <c r="H646" s="25" t="s">
        <v>3416</v>
      </c>
      <c r="I646" s="25" t="s">
        <v>3417</v>
      </c>
      <c r="N646" s="24" t="s">
        <v>3418</v>
      </c>
    </row>
    <row r="647" spans="1:14" x14ac:dyDescent="0.35">
      <c r="A647" s="25" t="s">
        <v>3419</v>
      </c>
      <c r="B647" s="25" t="s">
        <v>3420</v>
      </c>
      <c r="C647" s="25" t="s">
        <v>3421</v>
      </c>
      <c r="E647" s="25" t="s">
        <v>3422</v>
      </c>
      <c r="F647" s="25" t="s">
        <v>3423</v>
      </c>
      <c r="G647" s="25" t="s">
        <v>3424</v>
      </c>
      <c r="H647" s="25" t="s">
        <v>3425</v>
      </c>
      <c r="I647" s="25" t="s">
        <v>3426</v>
      </c>
      <c r="N647" s="24" t="s">
        <v>3418</v>
      </c>
    </row>
    <row r="648" spans="1:14" x14ac:dyDescent="0.35">
      <c r="A648" s="25" t="s">
        <v>3427</v>
      </c>
      <c r="B648" s="25" t="s">
        <v>3427</v>
      </c>
      <c r="C648" s="25" t="s">
        <v>3428</v>
      </c>
      <c r="E648" s="25" t="s">
        <v>3429</v>
      </c>
      <c r="F648" s="25" t="s">
        <v>3430</v>
      </c>
      <c r="G648" s="25" t="s">
        <v>3431</v>
      </c>
      <c r="H648" s="25" t="s">
        <v>3432</v>
      </c>
      <c r="I648" s="25" t="s">
        <v>3433</v>
      </c>
      <c r="N648" s="24" t="s">
        <v>2308</v>
      </c>
    </row>
    <row r="649" spans="1:14" x14ac:dyDescent="0.35">
      <c r="A649" s="25" t="s">
        <v>3434</v>
      </c>
      <c r="B649" s="25" t="s">
        <v>3435</v>
      </c>
      <c r="C649" s="25" t="s">
        <v>3436</v>
      </c>
      <c r="E649" s="32" t="s">
        <v>3437</v>
      </c>
      <c r="F649" s="32" t="s">
        <v>3438</v>
      </c>
      <c r="G649" s="32"/>
      <c r="H649" s="32"/>
      <c r="I649" s="32"/>
      <c r="J649" s="32"/>
      <c r="N649" s="24" t="s">
        <v>2308</v>
      </c>
    </row>
    <row r="650" spans="1:14" x14ac:dyDescent="0.35">
      <c r="A650" s="25" t="s">
        <v>3439</v>
      </c>
      <c r="B650" s="25" t="s">
        <v>3440</v>
      </c>
      <c r="C650" s="25" t="s">
        <v>3441</v>
      </c>
      <c r="E650" s="25" t="s">
        <v>3442</v>
      </c>
      <c r="F650" s="25" t="s">
        <v>3443</v>
      </c>
      <c r="G650" s="25" t="s">
        <v>3444</v>
      </c>
      <c r="H650" s="25" t="s">
        <v>3445</v>
      </c>
      <c r="I650" s="25" t="s">
        <v>3446</v>
      </c>
      <c r="N650" s="24" t="s">
        <v>3418</v>
      </c>
    </row>
    <row r="651" spans="1:14" x14ac:dyDescent="0.35">
      <c r="A651" s="25" t="s">
        <v>3447</v>
      </c>
      <c r="B651" s="25" t="s">
        <v>3447</v>
      </c>
      <c r="C651" s="25" t="s">
        <v>3448</v>
      </c>
      <c r="E651" s="32" t="s">
        <v>3449</v>
      </c>
      <c r="F651" s="32" t="s">
        <v>3450</v>
      </c>
      <c r="G651" s="32" t="s">
        <v>3451</v>
      </c>
      <c r="H651" s="32"/>
      <c r="I651" s="32"/>
      <c r="J651" s="32"/>
      <c r="N651" s="24" t="s">
        <v>871</v>
      </c>
    </row>
    <row r="652" spans="1:14" x14ac:dyDescent="0.35">
      <c r="A652" s="25" t="s">
        <v>3452</v>
      </c>
      <c r="B652" s="25" t="s">
        <v>3452</v>
      </c>
      <c r="C652" s="25" t="s">
        <v>3453</v>
      </c>
      <c r="E652" s="32" t="s">
        <v>3454</v>
      </c>
      <c r="F652" s="32"/>
      <c r="G652" s="32"/>
      <c r="H652" s="32"/>
      <c r="I652" s="32"/>
      <c r="J652" s="32"/>
      <c r="N652" s="24" t="s">
        <v>2308</v>
      </c>
    </row>
    <row r="653" spans="1:14" x14ac:dyDescent="0.35">
      <c r="A653" s="25" t="s">
        <v>3455</v>
      </c>
      <c r="B653" s="25" t="s">
        <v>3456</v>
      </c>
      <c r="C653" s="25" t="s">
        <v>3457</v>
      </c>
      <c r="E653" s="25" t="s">
        <v>3458</v>
      </c>
      <c r="F653" s="25" t="s">
        <v>3459</v>
      </c>
      <c r="G653" s="25" t="s">
        <v>3460</v>
      </c>
      <c r="H653" s="25" t="s">
        <v>3461</v>
      </c>
      <c r="I653" s="25" t="s">
        <v>3462</v>
      </c>
      <c r="N653" s="24" t="s">
        <v>3418</v>
      </c>
    </row>
    <row r="654" spans="1:14" x14ac:dyDescent="0.35">
      <c r="A654" s="25" t="s">
        <v>3463</v>
      </c>
      <c r="B654" s="25" t="s">
        <v>3464</v>
      </c>
      <c r="C654" s="25" t="s">
        <v>3465</v>
      </c>
      <c r="E654" s="25" t="s">
        <v>3466</v>
      </c>
      <c r="F654" s="25" t="s">
        <v>3467</v>
      </c>
      <c r="G654" s="25" t="s">
        <v>3468</v>
      </c>
      <c r="H654" s="25" t="s">
        <v>3469</v>
      </c>
      <c r="I654" s="25" t="s">
        <v>3470</v>
      </c>
      <c r="N654" s="24" t="s">
        <v>3418</v>
      </c>
    </row>
    <row r="655" spans="1:14" x14ac:dyDescent="0.35">
      <c r="A655" s="25" t="s">
        <v>3471</v>
      </c>
      <c r="B655" s="25" t="s">
        <v>3472</v>
      </c>
      <c r="C655" s="25" t="s">
        <v>3473</v>
      </c>
      <c r="E655" s="25" t="s">
        <v>3474</v>
      </c>
      <c r="F655" s="25" t="s">
        <v>3475</v>
      </c>
      <c r="G655" s="25" t="s">
        <v>3476</v>
      </c>
      <c r="H655" s="25" t="s">
        <v>3477</v>
      </c>
      <c r="N655" s="24" t="s">
        <v>3418</v>
      </c>
    </row>
    <row r="656" spans="1:14" x14ac:dyDescent="0.35">
      <c r="A656" s="25" t="s">
        <v>3478</v>
      </c>
      <c r="B656" s="25" t="s">
        <v>3479</v>
      </c>
      <c r="C656" s="25" t="s">
        <v>3480</v>
      </c>
      <c r="E656" s="25" t="s">
        <v>3481</v>
      </c>
      <c r="F656" s="25" t="s">
        <v>3482</v>
      </c>
      <c r="G656" s="25" t="s">
        <v>3483</v>
      </c>
      <c r="H656" s="25" t="s">
        <v>3484</v>
      </c>
      <c r="I656" s="25" t="s">
        <v>3485</v>
      </c>
      <c r="N656" s="24" t="s">
        <v>3418</v>
      </c>
    </row>
    <row r="657" spans="1:14" x14ac:dyDescent="0.35">
      <c r="A657" s="25" t="s">
        <v>3486</v>
      </c>
      <c r="B657" s="25" t="s">
        <v>3487</v>
      </c>
      <c r="C657" s="25" t="s">
        <v>3488</v>
      </c>
      <c r="E657" s="32" t="s">
        <v>3489</v>
      </c>
      <c r="F657" s="32"/>
      <c r="G657" s="32"/>
      <c r="H657" s="32"/>
      <c r="I657" s="32"/>
      <c r="J657" s="32"/>
      <c r="N657" s="24" t="s">
        <v>3418</v>
      </c>
    </row>
    <row r="658" spans="1:14" x14ac:dyDescent="0.35">
      <c r="A658" s="25" t="s">
        <v>3490</v>
      </c>
      <c r="B658" s="25" t="s">
        <v>3491</v>
      </c>
      <c r="C658" s="25" t="s">
        <v>3492</v>
      </c>
      <c r="E658" s="25" t="s">
        <v>3493</v>
      </c>
      <c r="F658" s="25" t="s">
        <v>3494</v>
      </c>
      <c r="G658" s="25" t="s">
        <v>3495</v>
      </c>
      <c r="H658" s="25" t="s">
        <v>3496</v>
      </c>
      <c r="I658" s="25" t="s">
        <v>3497</v>
      </c>
      <c r="N658" s="24" t="s">
        <v>2308</v>
      </c>
    </row>
    <row r="659" spans="1:14" x14ac:dyDescent="0.35">
      <c r="A659" s="25" t="s">
        <v>3498</v>
      </c>
      <c r="B659" s="25" t="s">
        <v>3498</v>
      </c>
      <c r="C659" s="25" t="s">
        <v>3499</v>
      </c>
      <c r="E659" s="25" t="s">
        <v>3500</v>
      </c>
      <c r="F659" s="25" t="s">
        <v>3501</v>
      </c>
      <c r="G659" s="25" t="s">
        <v>3502</v>
      </c>
      <c r="H659" s="25" t="s">
        <v>3503</v>
      </c>
      <c r="I659" s="25" t="s">
        <v>3504</v>
      </c>
      <c r="N659" s="24" t="s">
        <v>2308</v>
      </c>
    </row>
    <row r="660" spans="1:14" x14ac:dyDescent="0.35">
      <c r="A660" s="25" t="s">
        <v>3505</v>
      </c>
      <c r="B660" s="25" t="s">
        <v>3505</v>
      </c>
      <c r="C660" s="25" t="s">
        <v>3506</v>
      </c>
      <c r="E660" s="32" t="s">
        <v>3507</v>
      </c>
      <c r="F660" s="32" t="s">
        <v>3508</v>
      </c>
      <c r="G660" s="32"/>
      <c r="H660" s="32"/>
      <c r="I660" s="32"/>
      <c r="J660" s="32"/>
      <c r="N660" s="24" t="s">
        <v>871</v>
      </c>
    </row>
    <row r="661" spans="1:14" x14ac:dyDescent="0.35">
      <c r="A661" s="25" t="s">
        <v>3509</v>
      </c>
      <c r="B661" s="25" t="s">
        <v>3510</v>
      </c>
      <c r="C661" s="25" t="s">
        <v>3511</v>
      </c>
      <c r="E661" s="25" t="s">
        <v>3512</v>
      </c>
      <c r="F661" s="25" t="s">
        <v>3513</v>
      </c>
      <c r="G661" s="25" t="s">
        <v>3514</v>
      </c>
      <c r="H661" s="25" t="s">
        <v>3515</v>
      </c>
      <c r="N661" s="24" t="s">
        <v>3418</v>
      </c>
    </row>
    <row r="662" spans="1:14" x14ac:dyDescent="0.35">
      <c r="A662" s="25" t="s">
        <v>3516</v>
      </c>
      <c r="B662" s="25" t="s">
        <v>3516</v>
      </c>
      <c r="C662" s="25" t="s">
        <v>3517</v>
      </c>
      <c r="E662" s="32" t="s">
        <v>3518</v>
      </c>
      <c r="F662" s="32" t="s">
        <v>3519</v>
      </c>
      <c r="G662" s="32"/>
      <c r="H662" s="32"/>
      <c r="I662" s="32"/>
      <c r="J662" s="32"/>
      <c r="N662" s="24" t="s">
        <v>871</v>
      </c>
    </row>
    <row r="663" spans="1:14" x14ac:dyDescent="0.35">
      <c r="A663" s="25" t="s">
        <v>3520</v>
      </c>
      <c r="B663" s="25" t="s">
        <v>3520</v>
      </c>
      <c r="C663" s="25" t="s">
        <v>3521</v>
      </c>
      <c r="E663" s="32" t="s">
        <v>3522</v>
      </c>
      <c r="F663" s="32" t="s">
        <v>3523</v>
      </c>
      <c r="G663" s="32"/>
      <c r="H663" s="32"/>
      <c r="I663" s="32"/>
      <c r="J663" s="32"/>
      <c r="N663" s="24" t="s">
        <v>871</v>
      </c>
    </row>
    <row r="664" spans="1:14" x14ac:dyDescent="0.35">
      <c r="A664" s="25" t="s">
        <v>3524</v>
      </c>
      <c r="B664" s="25" t="s">
        <v>3524</v>
      </c>
      <c r="C664" s="25" t="s">
        <v>3525</v>
      </c>
      <c r="E664" s="25" t="s">
        <v>3526</v>
      </c>
      <c r="F664" s="25" t="s">
        <v>3527</v>
      </c>
      <c r="G664" s="25" t="s">
        <v>3528</v>
      </c>
      <c r="N664" s="24" t="s">
        <v>871</v>
      </c>
    </row>
    <row r="665" spans="1:14" x14ac:dyDescent="0.35">
      <c r="A665" s="25" t="s">
        <v>3529</v>
      </c>
      <c r="B665" s="25" t="s">
        <v>3530</v>
      </c>
      <c r="C665" s="25" t="s">
        <v>3531</v>
      </c>
      <c r="E665" s="32" t="s">
        <v>3532</v>
      </c>
      <c r="F665" s="32"/>
      <c r="G665" s="32"/>
      <c r="H665" s="32"/>
      <c r="I665" s="32"/>
      <c r="J665" s="32"/>
      <c r="N665" s="24" t="s">
        <v>3418</v>
      </c>
    </row>
    <row r="666" spans="1:14" x14ac:dyDescent="0.35">
      <c r="A666" s="25" t="s">
        <v>3533</v>
      </c>
      <c r="B666" s="25" t="s">
        <v>3534</v>
      </c>
      <c r="C666" s="25" t="s">
        <v>3535</v>
      </c>
      <c r="E666" s="32" t="s">
        <v>3536</v>
      </c>
      <c r="F666" s="32"/>
      <c r="G666" s="32"/>
      <c r="H666" s="32"/>
      <c r="I666" s="32"/>
      <c r="J666" s="32"/>
      <c r="N666" s="24" t="s">
        <v>3418</v>
      </c>
    </row>
    <row r="667" spans="1:14" x14ac:dyDescent="0.35">
      <c r="A667" s="25" t="s">
        <v>3537</v>
      </c>
      <c r="B667" s="25" t="s">
        <v>3537</v>
      </c>
      <c r="C667" s="25" t="s">
        <v>3538</v>
      </c>
      <c r="E667" s="32" t="s">
        <v>3539</v>
      </c>
      <c r="F667" s="32" t="s">
        <v>3540</v>
      </c>
      <c r="G667" s="32"/>
      <c r="H667" s="32"/>
      <c r="I667" s="32"/>
      <c r="J667" s="32"/>
      <c r="N667" s="24" t="s">
        <v>871</v>
      </c>
    </row>
    <row r="668" spans="1:14" x14ac:dyDescent="0.35">
      <c r="A668" s="25" t="s">
        <v>3541</v>
      </c>
      <c r="B668" s="25" t="s">
        <v>3541</v>
      </c>
      <c r="C668" s="25" t="s">
        <v>3542</v>
      </c>
      <c r="E668" s="32" t="s">
        <v>3543</v>
      </c>
      <c r="F668" s="32" t="s">
        <v>3544</v>
      </c>
      <c r="G668" s="32" t="s">
        <v>3545</v>
      </c>
      <c r="H668" s="32" t="s">
        <v>3546</v>
      </c>
      <c r="I668" s="32" t="s">
        <v>3547</v>
      </c>
      <c r="J668" s="32"/>
      <c r="L668" s="32"/>
      <c r="N668" s="24" t="s">
        <v>871</v>
      </c>
    </row>
    <row r="669" spans="1:14" x14ac:dyDescent="0.35">
      <c r="A669" s="25" t="s">
        <v>3548</v>
      </c>
      <c r="B669" s="25" t="s">
        <v>3549</v>
      </c>
      <c r="C669" s="25" t="s">
        <v>3550</v>
      </c>
      <c r="E669" s="32" t="s">
        <v>3551</v>
      </c>
      <c r="F669" s="32" t="s">
        <v>3552</v>
      </c>
      <c r="G669" s="32"/>
      <c r="H669" s="32"/>
      <c r="I669" s="32"/>
      <c r="J669" s="32"/>
      <c r="N669" s="24" t="s">
        <v>871</v>
      </c>
    </row>
    <row r="670" spans="1:14" x14ac:dyDescent="0.35">
      <c r="A670" s="25" t="s">
        <v>3553</v>
      </c>
      <c r="B670" s="25" t="s">
        <v>3554</v>
      </c>
      <c r="C670" s="25" t="s">
        <v>3555</v>
      </c>
      <c r="E670" s="32" t="s">
        <v>3556</v>
      </c>
      <c r="F670" s="32" t="s">
        <v>3557</v>
      </c>
      <c r="G670" s="32" t="s">
        <v>3558</v>
      </c>
      <c r="H670" s="32" t="s">
        <v>3559</v>
      </c>
      <c r="I670" s="32" t="s">
        <v>3560</v>
      </c>
      <c r="J670" s="32"/>
      <c r="N670" s="24" t="s">
        <v>3418</v>
      </c>
    </row>
    <row r="671" spans="1:14" x14ac:dyDescent="0.35">
      <c r="A671" s="25" t="s">
        <v>9516</v>
      </c>
      <c r="B671" s="25" t="s">
        <v>3561</v>
      </c>
      <c r="C671" s="25" t="s">
        <v>3562</v>
      </c>
      <c r="E671" s="32" t="s">
        <v>3563</v>
      </c>
      <c r="F671" s="32"/>
      <c r="G671" s="32"/>
      <c r="H671" s="32"/>
      <c r="I671" s="32"/>
      <c r="J671" s="32"/>
      <c r="N671" s="24" t="s">
        <v>2308</v>
      </c>
    </row>
    <row r="672" spans="1:14" ht="16.2" x14ac:dyDescent="0.35">
      <c r="A672" s="25" t="s">
        <v>3564</v>
      </c>
      <c r="B672" s="25" t="s">
        <v>3564</v>
      </c>
      <c r="C672" s="25" t="s">
        <v>3565</v>
      </c>
      <c r="E672" s="7" t="s">
        <v>9688</v>
      </c>
      <c r="F672" s="7" t="s">
        <v>9689</v>
      </c>
      <c r="G672" s="32"/>
      <c r="H672" s="32"/>
      <c r="I672" s="32"/>
      <c r="J672" s="32"/>
      <c r="N672" s="24" t="s">
        <v>2308</v>
      </c>
    </row>
    <row r="673" spans="1:14" x14ac:dyDescent="0.35">
      <c r="A673" s="25" t="s">
        <v>3566</v>
      </c>
      <c r="B673" s="25" t="s">
        <v>3567</v>
      </c>
      <c r="C673" s="25" t="s">
        <v>3568</v>
      </c>
      <c r="E673" s="32" t="s">
        <v>3569</v>
      </c>
      <c r="F673" s="32" t="s">
        <v>3570</v>
      </c>
      <c r="G673" s="32" t="s">
        <v>3571</v>
      </c>
      <c r="H673" s="32" t="s">
        <v>3572</v>
      </c>
      <c r="I673" s="32" t="s">
        <v>3573</v>
      </c>
      <c r="J673" s="32"/>
      <c r="N673" s="24" t="s">
        <v>3418</v>
      </c>
    </row>
    <row r="674" spans="1:14" x14ac:dyDescent="0.35">
      <c r="A674" s="25" t="s">
        <v>9498</v>
      </c>
      <c r="B674" s="25" t="s">
        <v>3574</v>
      </c>
      <c r="C674" s="25" t="s">
        <v>3575</v>
      </c>
      <c r="E674" s="32" t="s">
        <v>9499</v>
      </c>
      <c r="F674" s="32" t="s">
        <v>9500</v>
      </c>
      <c r="G674" s="32" t="s">
        <v>9501</v>
      </c>
      <c r="H674" s="32" t="s">
        <v>9502</v>
      </c>
      <c r="I674" s="32" t="s">
        <v>9503</v>
      </c>
      <c r="J674" s="32"/>
      <c r="N674" s="24" t="s">
        <v>2308</v>
      </c>
    </row>
    <row r="675" spans="1:14" x14ac:dyDescent="0.35">
      <c r="A675" s="25" t="s">
        <v>3576</v>
      </c>
      <c r="B675" s="25" t="s">
        <v>3577</v>
      </c>
      <c r="C675" s="25" t="s">
        <v>3578</v>
      </c>
      <c r="E675" s="32" t="s">
        <v>3579</v>
      </c>
      <c r="F675" s="32" t="s">
        <v>3580</v>
      </c>
      <c r="G675" s="32" t="s">
        <v>3581</v>
      </c>
      <c r="H675" s="32" t="s">
        <v>3582</v>
      </c>
      <c r="I675" s="32" t="s">
        <v>3583</v>
      </c>
      <c r="J675" s="32"/>
      <c r="N675" s="24" t="s">
        <v>3418</v>
      </c>
    </row>
    <row r="676" spans="1:14" x14ac:dyDescent="0.35">
      <c r="A676" s="25" t="s">
        <v>3584</v>
      </c>
      <c r="B676" s="25" t="s">
        <v>3584</v>
      </c>
      <c r="C676" s="25" t="s">
        <v>3585</v>
      </c>
      <c r="E676" s="32" t="s">
        <v>3586</v>
      </c>
      <c r="F676" s="32"/>
      <c r="G676" s="32"/>
      <c r="H676" s="32"/>
      <c r="I676" s="32"/>
      <c r="J676" s="32"/>
      <c r="N676" s="24" t="s">
        <v>2308</v>
      </c>
    </row>
    <row r="677" spans="1:14" x14ac:dyDescent="0.35">
      <c r="A677" s="25" t="s">
        <v>3587</v>
      </c>
      <c r="B677" s="25" t="s">
        <v>3588</v>
      </c>
      <c r="C677" s="25" t="s">
        <v>3589</v>
      </c>
      <c r="E677" s="32" t="s">
        <v>3590</v>
      </c>
      <c r="F677" s="32" t="s">
        <v>3591</v>
      </c>
      <c r="G677" s="32" t="s">
        <v>3592</v>
      </c>
      <c r="H677" s="32"/>
      <c r="I677" s="32"/>
      <c r="J677" s="32"/>
      <c r="N677" s="24" t="s">
        <v>3418</v>
      </c>
    </row>
    <row r="678" spans="1:14" x14ac:dyDescent="0.35">
      <c r="A678" s="25" t="s">
        <v>3593</v>
      </c>
      <c r="B678" s="25" t="s">
        <v>3594</v>
      </c>
      <c r="C678" s="25" t="s">
        <v>3595</v>
      </c>
      <c r="E678" s="32" t="s">
        <v>3596</v>
      </c>
      <c r="F678" s="32" t="s">
        <v>3597</v>
      </c>
      <c r="G678" s="32" t="s">
        <v>3598</v>
      </c>
      <c r="H678" s="32" t="s">
        <v>3599</v>
      </c>
      <c r="I678" s="32" t="s">
        <v>3600</v>
      </c>
      <c r="J678" s="32"/>
      <c r="N678" s="24" t="s">
        <v>3418</v>
      </c>
    </row>
    <row r="679" spans="1:14" x14ac:dyDescent="0.35">
      <c r="A679" s="25" t="s">
        <v>3601</v>
      </c>
      <c r="B679" s="25" t="s">
        <v>3602</v>
      </c>
      <c r="C679" s="25" t="s">
        <v>3603</v>
      </c>
      <c r="E679" s="32" t="s">
        <v>3604</v>
      </c>
      <c r="F679" s="32" t="s">
        <v>3605</v>
      </c>
      <c r="G679" s="32" t="s">
        <v>3606</v>
      </c>
      <c r="H679" s="32" t="s">
        <v>3607</v>
      </c>
      <c r="I679" s="32"/>
      <c r="J679" s="32"/>
      <c r="N679" s="24" t="s">
        <v>3418</v>
      </c>
    </row>
    <row r="680" spans="1:14" x14ac:dyDescent="0.35">
      <c r="A680" s="25" t="s">
        <v>3608</v>
      </c>
      <c r="B680" s="25" t="s">
        <v>3609</v>
      </c>
      <c r="C680" s="25" t="s">
        <v>3610</v>
      </c>
      <c r="E680" s="32" t="s">
        <v>3611</v>
      </c>
      <c r="F680" s="32" t="s">
        <v>3612</v>
      </c>
      <c r="G680" s="32" t="s">
        <v>3613</v>
      </c>
      <c r="H680" s="32" t="s">
        <v>3614</v>
      </c>
      <c r="I680" s="32"/>
      <c r="J680" s="32"/>
      <c r="N680" s="24" t="s">
        <v>3418</v>
      </c>
    </row>
    <row r="681" spans="1:14" x14ac:dyDescent="0.35">
      <c r="A681" s="25" t="s">
        <v>3615</v>
      </c>
      <c r="B681" s="25" t="s">
        <v>3616</v>
      </c>
      <c r="C681" s="25" t="s">
        <v>3617</v>
      </c>
      <c r="E681" s="32" t="s">
        <v>3618</v>
      </c>
      <c r="F681" s="32"/>
      <c r="G681" s="32"/>
      <c r="H681" s="32"/>
      <c r="I681" s="32"/>
      <c r="J681" s="32"/>
      <c r="N681" s="24" t="s">
        <v>458</v>
      </c>
    </row>
    <row r="682" spans="1:14" x14ac:dyDescent="0.35">
      <c r="A682" s="25" t="s">
        <v>3619</v>
      </c>
      <c r="B682" s="25" t="s">
        <v>3620</v>
      </c>
      <c r="C682" s="25" t="s">
        <v>3621</v>
      </c>
      <c r="E682" s="32" t="s">
        <v>3622</v>
      </c>
      <c r="F682" s="32" t="s">
        <v>3623</v>
      </c>
      <c r="G682" s="32" t="s">
        <v>3624</v>
      </c>
      <c r="H682" s="32" t="s">
        <v>3625</v>
      </c>
      <c r="I682" s="32"/>
      <c r="J682" s="32"/>
      <c r="N682" s="24" t="s">
        <v>3418</v>
      </c>
    </row>
    <row r="683" spans="1:14" x14ac:dyDescent="0.35">
      <c r="A683" s="25" t="s">
        <v>3626</v>
      </c>
      <c r="B683" s="25" t="s">
        <v>3627</v>
      </c>
      <c r="C683" s="25" t="s">
        <v>3628</v>
      </c>
      <c r="E683" s="32" t="s">
        <v>3629</v>
      </c>
      <c r="F683" s="32"/>
      <c r="G683" s="32"/>
      <c r="H683" s="32"/>
      <c r="I683" s="32"/>
      <c r="J683" s="32"/>
      <c r="N683" s="24" t="s">
        <v>458</v>
      </c>
    </row>
    <row r="684" spans="1:14" x14ac:dyDescent="0.35">
      <c r="A684" s="25" t="s">
        <v>3630</v>
      </c>
      <c r="B684" s="25" t="s">
        <v>3630</v>
      </c>
      <c r="C684" s="25" t="s">
        <v>3631</v>
      </c>
      <c r="E684" s="32" t="s">
        <v>3632</v>
      </c>
      <c r="F684" s="32" t="s">
        <v>3633</v>
      </c>
      <c r="G684" s="32" t="s">
        <v>3634</v>
      </c>
      <c r="H684" s="32" t="s">
        <v>3635</v>
      </c>
      <c r="I684" s="32" t="s">
        <v>3636</v>
      </c>
      <c r="J684" s="32"/>
      <c r="N684" s="24" t="s">
        <v>2308</v>
      </c>
    </row>
    <row r="685" spans="1:14" x14ac:dyDescent="0.35">
      <c r="A685" s="25" t="s">
        <v>9484</v>
      </c>
      <c r="B685" s="25" t="s">
        <v>3637</v>
      </c>
      <c r="C685" s="25" t="s">
        <v>3638</v>
      </c>
      <c r="E685" s="32" t="s">
        <v>2328</v>
      </c>
      <c r="F685" s="32" t="s">
        <v>9485</v>
      </c>
      <c r="G685" s="32" t="s">
        <v>9486</v>
      </c>
      <c r="H685" s="32" t="s">
        <v>9487</v>
      </c>
      <c r="I685" s="32" t="s">
        <v>9488</v>
      </c>
      <c r="J685" s="32"/>
      <c r="N685" s="24" t="s">
        <v>2308</v>
      </c>
    </row>
    <row r="686" spans="1:14" x14ac:dyDescent="0.35">
      <c r="A686" s="25" t="s">
        <v>3639</v>
      </c>
      <c r="B686" s="25" t="s">
        <v>3640</v>
      </c>
      <c r="C686" s="25" t="s">
        <v>3641</v>
      </c>
      <c r="D686" s="25" t="s">
        <v>3642</v>
      </c>
      <c r="E686" s="32" t="s">
        <v>3643</v>
      </c>
      <c r="F686" s="32" t="s">
        <v>3644</v>
      </c>
      <c r="G686" s="32" t="s">
        <v>3645</v>
      </c>
      <c r="H686" s="32"/>
      <c r="I686" s="32"/>
      <c r="J686" s="32"/>
      <c r="N686" s="24" t="s">
        <v>3418</v>
      </c>
    </row>
    <row r="687" spans="1:14" x14ac:dyDescent="0.35">
      <c r="A687" s="25" t="s">
        <v>3646</v>
      </c>
      <c r="B687" s="25" t="s">
        <v>3647</v>
      </c>
      <c r="C687" s="25" t="s">
        <v>3648</v>
      </c>
      <c r="D687" s="25" t="s">
        <v>3649</v>
      </c>
      <c r="E687" s="32" t="s">
        <v>3650</v>
      </c>
      <c r="F687" s="32" t="s">
        <v>3651</v>
      </c>
      <c r="G687" s="32" t="s">
        <v>3652</v>
      </c>
      <c r="H687" s="32"/>
      <c r="I687" s="32"/>
      <c r="J687" s="32"/>
      <c r="N687" s="24" t="s">
        <v>3418</v>
      </c>
    </row>
    <row r="688" spans="1:14" x14ac:dyDescent="0.35">
      <c r="A688" s="25" t="s">
        <v>3653</v>
      </c>
      <c r="B688" s="25" t="s">
        <v>3653</v>
      </c>
      <c r="C688" s="25" t="s">
        <v>3654</v>
      </c>
      <c r="E688" s="32" t="s">
        <v>3655</v>
      </c>
      <c r="F688" s="32" t="s">
        <v>3656</v>
      </c>
      <c r="G688" s="32"/>
      <c r="H688" s="32"/>
      <c r="I688" s="32"/>
      <c r="J688" s="32"/>
      <c r="N688" s="24" t="s">
        <v>2308</v>
      </c>
    </row>
    <row r="689" spans="1:14" x14ac:dyDescent="0.35">
      <c r="A689" s="25" t="s">
        <v>3657</v>
      </c>
      <c r="B689" s="25" t="s">
        <v>3658</v>
      </c>
      <c r="C689" s="25" t="s">
        <v>3659</v>
      </c>
      <c r="E689" s="32" t="s">
        <v>3660</v>
      </c>
      <c r="F689" s="32" t="s">
        <v>3661</v>
      </c>
      <c r="G689" s="32" t="s">
        <v>3662</v>
      </c>
      <c r="H689" s="32"/>
      <c r="I689" s="32"/>
      <c r="J689" s="32"/>
      <c r="N689" s="24" t="s">
        <v>3418</v>
      </c>
    </row>
    <row r="690" spans="1:14" x14ac:dyDescent="0.35">
      <c r="A690" s="25" t="s">
        <v>3663</v>
      </c>
      <c r="B690" s="25" t="s">
        <v>3664</v>
      </c>
      <c r="C690" s="25" t="s">
        <v>3665</v>
      </c>
      <c r="E690" s="32" t="s">
        <v>3666</v>
      </c>
      <c r="F690" s="32" t="s">
        <v>3667</v>
      </c>
      <c r="G690" s="32" t="s">
        <v>3668</v>
      </c>
      <c r="H690" s="32" t="s">
        <v>3669</v>
      </c>
      <c r="I690" s="32" t="s">
        <v>3670</v>
      </c>
      <c r="J690" s="32"/>
      <c r="N690" s="24" t="s">
        <v>3418</v>
      </c>
    </row>
    <row r="691" spans="1:14" x14ac:dyDescent="0.35">
      <c r="A691" s="25" t="s">
        <v>3671</v>
      </c>
      <c r="B691" s="25" t="s">
        <v>3671</v>
      </c>
      <c r="C691" s="25" t="s">
        <v>3672</v>
      </c>
      <c r="E691" s="32" t="s">
        <v>3673</v>
      </c>
      <c r="F691" s="32" t="s">
        <v>3674</v>
      </c>
      <c r="G691" s="32" t="s">
        <v>3675</v>
      </c>
      <c r="H691" s="32" t="s">
        <v>3676</v>
      </c>
      <c r="I691" s="32"/>
      <c r="J691" s="32"/>
      <c r="N691" s="24" t="s">
        <v>2308</v>
      </c>
    </row>
    <row r="692" spans="1:14" x14ac:dyDescent="0.35">
      <c r="A692" s="25" t="s">
        <v>3677</v>
      </c>
      <c r="B692" s="25" t="s">
        <v>3678</v>
      </c>
      <c r="C692" s="25" t="s">
        <v>3679</v>
      </c>
      <c r="E692" s="32" t="s">
        <v>3680</v>
      </c>
      <c r="F692" s="32"/>
      <c r="G692" s="32"/>
      <c r="H692" s="32"/>
      <c r="I692" s="32"/>
      <c r="J692" s="32"/>
      <c r="N692" s="24" t="s">
        <v>3418</v>
      </c>
    </row>
    <row r="693" spans="1:14" x14ac:dyDescent="0.35">
      <c r="A693" s="25" t="s">
        <v>3681</v>
      </c>
      <c r="B693" s="25" t="s">
        <v>3682</v>
      </c>
      <c r="C693" s="25" t="s">
        <v>3683</v>
      </c>
      <c r="E693" s="32" t="s">
        <v>3684</v>
      </c>
      <c r="F693" s="32"/>
      <c r="G693" s="32"/>
      <c r="H693" s="32"/>
      <c r="I693" s="32"/>
      <c r="J693" s="32"/>
      <c r="N693" s="24" t="s">
        <v>3418</v>
      </c>
    </row>
    <row r="694" spans="1:14" x14ac:dyDescent="0.35">
      <c r="A694" s="25" t="s">
        <v>3685</v>
      </c>
      <c r="B694" s="25" t="s">
        <v>3685</v>
      </c>
      <c r="C694" s="25" t="s">
        <v>3686</v>
      </c>
      <c r="E694" s="32" t="s">
        <v>3687</v>
      </c>
      <c r="F694" s="32" t="s">
        <v>3688</v>
      </c>
      <c r="G694" s="32" t="s">
        <v>3689</v>
      </c>
      <c r="H694" s="32" t="s">
        <v>3690</v>
      </c>
      <c r="I694" s="32" t="s">
        <v>3691</v>
      </c>
      <c r="J694" s="32"/>
      <c r="N694" s="24" t="s">
        <v>3418</v>
      </c>
    </row>
    <row r="695" spans="1:14" x14ac:dyDescent="0.35">
      <c r="A695" s="25" t="s">
        <v>3692</v>
      </c>
      <c r="B695" s="25" t="s">
        <v>3692</v>
      </c>
      <c r="C695" s="25" t="s">
        <v>3693</v>
      </c>
      <c r="E695" s="32" t="s">
        <v>3694</v>
      </c>
      <c r="F695" s="32" t="s">
        <v>3695</v>
      </c>
      <c r="G695" s="32" t="s">
        <v>3696</v>
      </c>
      <c r="H695" s="32"/>
      <c r="I695" s="32"/>
      <c r="J695" s="32"/>
      <c r="N695" s="24" t="s">
        <v>2308</v>
      </c>
    </row>
    <row r="696" spans="1:14" x14ac:dyDescent="0.35">
      <c r="A696" s="25" t="s">
        <v>3697</v>
      </c>
      <c r="B696" s="25" t="s">
        <v>3697</v>
      </c>
      <c r="C696" s="25" t="s">
        <v>3698</v>
      </c>
      <c r="E696" s="32" t="s">
        <v>759</v>
      </c>
      <c r="F696" s="32" t="s">
        <v>3699</v>
      </c>
      <c r="G696" s="32" t="s">
        <v>3700</v>
      </c>
      <c r="H696" s="32" t="s">
        <v>3701</v>
      </c>
      <c r="I696" s="32"/>
      <c r="J696" s="32"/>
      <c r="N696" s="24" t="s">
        <v>871</v>
      </c>
    </row>
    <row r="697" spans="1:14" x14ac:dyDescent="0.35">
      <c r="A697" s="25" t="s">
        <v>3702</v>
      </c>
      <c r="B697" s="25" t="s">
        <v>3703</v>
      </c>
      <c r="C697" s="25" t="s">
        <v>3704</v>
      </c>
      <c r="E697" s="32" t="s">
        <v>3705</v>
      </c>
      <c r="F697" s="32" t="s">
        <v>3706</v>
      </c>
      <c r="G697" s="32" t="s">
        <v>3707</v>
      </c>
      <c r="H697" s="32" t="s">
        <v>3708</v>
      </c>
      <c r="I697" s="32" t="s">
        <v>3709</v>
      </c>
      <c r="J697" s="32"/>
      <c r="N697" s="24" t="s">
        <v>3418</v>
      </c>
    </row>
    <row r="698" spans="1:14" x14ac:dyDescent="0.35">
      <c r="A698" s="25" t="s">
        <v>3710</v>
      </c>
      <c r="B698" s="25" t="s">
        <v>3711</v>
      </c>
      <c r="C698" s="25" t="s">
        <v>3712</v>
      </c>
      <c r="E698" s="32" t="s">
        <v>3713</v>
      </c>
      <c r="F698" s="32" t="s">
        <v>3714</v>
      </c>
      <c r="G698" s="32" t="s">
        <v>3715</v>
      </c>
      <c r="H698" s="32" t="s">
        <v>3716</v>
      </c>
      <c r="I698" s="32" t="s">
        <v>3717</v>
      </c>
      <c r="J698" s="32"/>
      <c r="N698" s="24" t="s">
        <v>3418</v>
      </c>
    </row>
    <row r="699" spans="1:14" x14ac:dyDescent="0.35">
      <c r="A699" s="25" t="s">
        <v>3718</v>
      </c>
      <c r="B699" s="25" t="s">
        <v>3718</v>
      </c>
      <c r="C699" s="25" t="s">
        <v>3719</v>
      </c>
      <c r="E699" s="32" t="s">
        <v>3720</v>
      </c>
      <c r="F699" s="32" t="s">
        <v>3721</v>
      </c>
      <c r="G699" s="32" t="s">
        <v>3722</v>
      </c>
      <c r="H699" s="32" t="s">
        <v>3723</v>
      </c>
      <c r="I699" s="32" t="s">
        <v>3724</v>
      </c>
      <c r="J699" s="32"/>
      <c r="N699" s="24" t="s">
        <v>2308</v>
      </c>
    </row>
    <row r="700" spans="1:14" x14ac:dyDescent="0.35">
      <c r="A700" s="25" t="s">
        <v>3725</v>
      </c>
      <c r="B700" s="25" t="s">
        <v>3726</v>
      </c>
      <c r="C700" s="25" t="s">
        <v>3727</v>
      </c>
      <c r="E700" s="32" t="s">
        <v>3728</v>
      </c>
      <c r="F700" s="32" t="s">
        <v>3729</v>
      </c>
      <c r="G700" s="32" t="s">
        <v>3730</v>
      </c>
      <c r="H700" s="32" t="s">
        <v>3731</v>
      </c>
      <c r="I700" s="32" t="s">
        <v>3732</v>
      </c>
      <c r="J700" s="32"/>
      <c r="N700" s="24" t="s">
        <v>3418</v>
      </c>
    </row>
    <row r="701" spans="1:14" x14ac:dyDescent="0.35">
      <c r="A701" s="25" t="s">
        <v>3733</v>
      </c>
      <c r="B701" s="25" t="s">
        <v>3734</v>
      </c>
      <c r="C701" s="25" t="s">
        <v>3735</v>
      </c>
      <c r="E701" s="32" t="s">
        <v>3736</v>
      </c>
      <c r="F701" s="32" t="s">
        <v>3737</v>
      </c>
      <c r="G701" s="32" t="s">
        <v>3738</v>
      </c>
      <c r="H701" s="32"/>
      <c r="I701" s="32"/>
      <c r="J701" s="32"/>
      <c r="N701" s="24" t="s">
        <v>3418</v>
      </c>
    </row>
    <row r="702" spans="1:14" x14ac:dyDescent="0.35">
      <c r="A702" s="25" t="s">
        <v>3739</v>
      </c>
      <c r="B702" s="25" t="s">
        <v>3740</v>
      </c>
      <c r="C702" s="25" t="s">
        <v>3741</v>
      </c>
      <c r="E702" s="32" t="s">
        <v>3742</v>
      </c>
      <c r="F702" s="32" t="s">
        <v>3743</v>
      </c>
      <c r="G702" s="32" t="s">
        <v>3744</v>
      </c>
      <c r="H702" s="32" t="s">
        <v>3745</v>
      </c>
      <c r="I702" s="32" t="s">
        <v>3746</v>
      </c>
      <c r="J702" s="32"/>
      <c r="N702" s="24" t="s">
        <v>3418</v>
      </c>
    </row>
    <row r="703" spans="1:14" x14ac:dyDescent="0.35">
      <c r="A703" s="25" t="s">
        <v>3747</v>
      </c>
      <c r="B703" s="25" t="s">
        <v>3748</v>
      </c>
      <c r="C703" s="25" t="s">
        <v>3749</v>
      </c>
      <c r="E703" s="32" t="s">
        <v>3750</v>
      </c>
      <c r="F703" s="32" t="s">
        <v>3751</v>
      </c>
      <c r="G703" s="32" t="s">
        <v>3752</v>
      </c>
      <c r="H703" s="32" t="s">
        <v>3753</v>
      </c>
      <c r="I703" s="32"/>
      <c r="J703" s="32"/>
      <c r="N703" s="24" t="s">
        <v>871</v>
      </c>
    </row>
    <row r="704" spans="1:14" ht="16.2" x14ac:dyDescent="0.35">
      <c r="A704" s="25" t="s">
        <v>3754</v>
      </c>
      <c r="B704" s="25" t="s">
        <v>3755</v>
      </c>
      <c r="C704" s="25" t="s">
        <v>3756</v>
      </c>
      <c r="E704" s="32" t="s">
        <v>3757</v>
      </c>
      <c r="F704" s="7" t="s">
        <v>10231</v>
      </c>
      <c r="G704" s="7" t="s">
        <v>10232</v>
      </c>
      <c r="H704" s="32"/>
      <c r="I704" s="32"/>
      <c r="J704" s="32"/>
      <c r="N704" s="24" t="s">
        <v>458</v>
      </c>
    </row>
    <row r="705" spans="1:14" x14ac:dyDescent="0.35">
      <c r="A705" s="25" t="s">
        <v>3758</v>
      </c>
      <c r="B705" s="25" t="s">
        <v>3758</v>
      </c>
      <c r="C705" s="25" t="s">
        <v>3759</v>
      </c>
      <c r="E705" s="32" t="s">
        <v>3760</v>
      </c>
      <c r="F705" s="32" t="s">
        <v>3761</v>
      </c>
      <c r="G705" s="32" t="s">
        <v>3762</v>
      </c>
      <c r="H705" s="32" t="s">
        <v>1301</v>
      </c>
      <c r="I705" s="32" t="s">
        <v>3763</v>
      </c>
      <c r="J705" s="32"/>
      <c r="N705" s="24" t="s">
        <v>2308</v>
      </c>
    </row>
    <row r="706" spans="1:14" x14ac:dyDescent="0.35">
      <c r="A706" s="25" t="s">
        <v>3764</v>
      </c>
      <c r="B706" s="25" t="s">
        <v>3765</v>
      </c>
      <c r="C706" s="25" t="s">
        <v>3766</v>
      </c>
      <c r="E706" s="32" t="s">
        <v>3767</v>
      </c>
      <c r="F706" s="32" t="s">
        <v>3768</v>
      </c>
      <c r="G706" s="32" t="s">
        <v>3769</v>
      </c>
      <c r="H706" s="32" t="s">
        <v>3770</v>
      </c>
      <c r="I706" s="32" t="s">
        <v>3771</v>
      </c>
      <c r="J706" s="32"/>
      <c r="N706" s="24" t="s">
        <v>3418</v>
      </c>
    </row>
    <row r="707" spans="1:14" x14ac:dyDescent="0.35">
      <c r="A707" s="25" t="s">
        <v>3772</v>
      </c>
      <c r="B707" s="25" t="s">
        <v>3773</v>
      </c>
      <c r="C707" s="25" t="s">
        <v>3774</v>
      </c>
      <c r="E707" s="32" t="s">
        <v>3775</v>
      </c>
      <c r="F707" s="32" t="s">
        <v>3776</v>
      </c>
      <c r="G707" s="32" t="s">
        <v>3777</v>
      </c>
      <c r="H707" s="32" t="s">
        <v>3778</v>
      </c>
      <c r="I707" s="32" t="s">
        <v>3779</v>
      </c>
      <c r="J707" s="32"/>
      <c r="L707" s="32"/>
      <c r="N707" s="24" t="s">
        <v>3418</v>
      </c>
    </row>
    <row r="708" spans="1:14" x14ac:dyDescent="0.35">
      <c r="A708" s="25" t="s">
        <v>3780</v>
      </c>
      <c r="B708" s="25" t="s">
        <v>3780</v>
      </c>
      <c r="C708" s="25" t="s">
        <v>3781</v>
      </c>
      <c r="E708" s="32" t="s">
        <v>3782</v>
      </c>
      <c r="F708" s="32" t="s">
        <v>3783</v>
      </c>
      <c r="G708" s="32" t="s">
        <v>3784</v>
      </c>
      <c r="H708" s="32"/>
      <c r="I708" s="32"/>
      <c r="J708" s="32"/>
      <c r="N708" s="24" t="s">
        <v>871</v>
      </c>
    </row>
    <row r="709" spans="1:14" x14ac:dyDescent="0.35">
      <c r="A709" s="25" t="s">
        <v>3785</v>
      </c>
      <c r="B709" s="25" t="s">
        <v>3785</v>
      </c>
      <c r="C709" s="25" t="s">
        <v>3786</v>
      </c>
      <c r="E709" s="32" t="s">
        <v>3787</v>
      </c>
      <c r="F709" s="32" t="s">
        <v>3788</v>
      </c>
      <c r="G709" s="32"/>
      <c r="H709" s="32"/>
      <c r="I709" s="32"/>
      <c r="J709" s="32"/>
      <c r="N709" s="24" t="s">
        <v>871</v>
      </c>
    </row>
    <row r="710" spans="1:14" x14ac:dyDescent="0.35">
      <c r="A710" s="33" t="s">
        <v>3789</v>
      </c>
      <c r="B710" s="25" t="s">
        <v>3790</v>
      </c>
      <c r="C710" s="25" t="s">
        <v>3791</v>
      </c>
      <c r="E710" s="32" t="s">
        <v>3792</v>
      </c>
      <c r="F710" s="32" t="s">
        <v>3793</v>
      </c>
      <c r="G710" s="32"/>
      <c r="H710" s="32"/>
      <c r="I710" s="32"/>
      <c r="J710" s="32"/>
      <c r="N710" s="24" t="s">
        <v>871</v>
      </c>
    </row>
    <row r="711" spans="1:14" x14ac:dyDescent="0.35">
      <c r="A711" s="25" t="s">
        <v>3794</v>
      </c>
      <c r="B711" s="25" t="s">
        <v>3795</v>
      </c>
      <c r="C711" s="25" t="s">
        <v>3796</v>
      </c>
      <c r="E711" s="32" t="s">
        <v>3797</v>
      </c>
      <c r="F711" s="32" t="s">
        <v>3798</v>
      </c>
      <c r="G711" s="32" t="s">
        <v>3799</v>
      </c>
      <c r="H711" s="32" t="s">
        <v>3800</v>
      </c>
      <c r="I711" s="32"/>
      <c r="J711" s="32"/>
      <c r="N711" s="24" t="s">
        <v>3418</v>
      </c>
    </row>
    <row r="712" spans="1:14" ht="16.2" x14ac:dyDescent="0.35">
      <c r="A712" s="25" t="s">
        <v>3801</v>
      </c>
      <c r="B712" s="25" t="s">
        <v>3802</v>
      </c>
      <c r="C712" s="25" t="s">
        <v>3803</v>
      </c>
      <c r="E712" s="32" t="s">
        <v>3804</v>
      </c>
      <c r="F712" s="32" t="s">
        <v>3805</v>
      </c>
      <c r="G712" s="32" t="s">
        <v>3806</v>
      </c>
      <c r="H712" s="32" t="s">
        <v>3807</v>
      </c>
      <c r="I712" s="32" t="s">
        <v>3808</v>
      </c>
      <c r="J712" s="7" t="s">
        <v>10142</v>
      </c>
      <c r="N712" s="24" t="s">
        <v>3418</v>
      </c>
    </row>
    <row r="713" spans="1:14" x14ac:dyDescent="0.35">
      <c r="A713" s="25" t="s">
        <v>3809</v>
      </c>
      <c r="B713" s="25" t="s">
        <v>3810</v>
      </c>
      <c r="C713" s="25" t="s">
        <v>3811</v>
      </c>
      <c r="E713" s="32" t="s">
        <v>3812</v>
      </c>
      <c r="F713" s="32" t="s">
        <v>3813</v>
      </c>
      <c r="G713" s="32"/>
      <c r="H713" s="32"/>
      <c r="I713" s="32"/>
      <c r="J713" s="32"/>
      <c r="N713" s="24" t="s">
        <v>3418</v>
      </c>
    </row>
    <row r="714" spans="1:14" x14ac:dyDescent="0.35">
      <c r="A714" s="25" t="s">
        <v>9526</v>
      </c>
      <c r="B714" s="25" t="s">
        <v>3814</v>
      </c>
      <c r="C714" s="25" t="s">
        <v>3815</v>
      </c>
      <c r="E714" s="32" t="s">
        <v>3816</v>
      </c>
      <c r="F714" s="32" t="s">
        <v>3817</v>
      </c>
      <c r="G714" s="32"/>
      <c r="H714" s="32"/>
      <c r="I714" s="32"/>
      <c r="J714" s="32"/>
      <c r="N714" s="24" t="s">
        <v>2308</v>
      </c>
    </row>
    <row r="715" spans="1:14" x14ac:dyDescent="0.35">
      <c r="A715" s="25" t="s">
        <v>3818</v>
      </c>
      <c r="B715" s="25" t="s">
        <v>3819</v>
      </c>
      <c r="C715" s="25" t="s">
        <v>3820</v>
      </c>
      <c r="E715" s="32" t="s">
        <v>3821</v>
      </c>
      <c r="F715" s="32" t="s">
        <v>3822</v>
      </c>
      <c r="G715" s="32"/>
      <c r="H715" s="32"/>
      <c r="I715" s="32"/>
      <c r="J715" s="32"/>
      <c r="N715" s="24" t="s">
        <v>3418</v>
      </c>
    </row>
    <row r="716" spans="1:14" x14ac:dyDescent="0.35">
      <c r="A716" s="25" t="s">
        <v>3823</v>
      </c>
      <c r="B716" s="25" t="s">
        <v>3823</v>
      </c>
      <c r="C716" s="25" t="s">
        <v>3824</v>
      </c>
      <c r="E716" s="32" t="s">
        <v>3825</v>
      </c>
      <c r="F716" s="32" t="s">
        <v>3826</v>
      </c>
      <c r="G716" s="32"/>
      <c r="H716" s="32"/>
      <c r="I716" s="32"/>
      <c r="J716" s="32"/>
      <c r="N716" s="24" t="s">
        <v>2308</v>
      </c>
    </row>
    <row r="717" spans="1:14" x14ac:dyDescent="0.35">
      <c r="A717" s="25" t="s">
        <v>3827</v>
      </c>
      <c r="B717" s="25" t="s">
        <v>3827</v>
      </c>
      <c r="C717" s="25" t="s">
        <v>3828</v>
      </c>
      <c r="E717" s="32" t="s">
        <v>3829</v>
      </c>
      <c r="F717" s="32"/>
      <c r="G717" s="32"/>
      <c r="H717" s="32"/>
      <c r="I717" s="32"/>
      <c r="J717" s="32"/>
      <c r="N717" s="24" t="s">
        <v>1169</v>
      </c>
    </row>
    <row r="718" spans="1:14" x14ac:dyDescent="0.35">
      <c r="A718" s="25" t="s">
        <v>3830</v>
      </c>
      <c r="B718" s="25" t="s">
        <v>3831</v>
      </c>
      <c r="C718" s="25" t="s">
        <v>3832</v>
      </c>
      <c r="E718" s="32" t="s">
        <v>3833</v>
      </c>
      <c r="F718" s="32" t="s">
        <v>3834</v>
      </c>
      <c r="G718" s="32" t="s">
        <v>3835</v>
      </c>
      <c r="H718" s="32"/>
      <c r="I718" s="32"/>
      <c r="J718" s="32"/>
      <c r="N718" s="24" t="s">
        <v>3418</v>
      </c>
    </row>
    <row r="719" spans="1:14" x14ac:dyDescent="0.35">
      <c r="A719" s="25" t="s">
        <v>3836</v>
      </c>
      <c r="B719" s="25" t="s">
        <v>3837</v>
      </c>
      <c r="C719" s="25" t="s">
        <v>3838</v>
      </c>
      <c r="E719" s="32" t="s">
        <v>3839</v>
      </c>
      <c r="F719" s="32" t="s">
        <v>3840</v>
      </c>
      <c r="G719" s="32" t="s">
        <v>3841</v>
      </c>
      <c r="H719" s="32" t="s">
        <v>3842</v>
      </c>
      <c r="I719" s="32" t="s">
        <v>3843</v>
      </c>
      <c r="J719" s="32"/>
      <c r="N719" s="24" t="s">
        <v>3418</v>
      </c>
    </row>
    <row r="720" spans="1:14" x14ac:dyDescent="0.35">
      <c r="A720" s="25" t="s">
        <v>3844</v>
      </c>
      <c r="B720" s="25" t="s">
        <v>3845</v>
      </c>
      <c r="C720" s="25" t="s">
        <v>3846</v>
      </c>
      <c r="E720" s="32" t="s">
        <v>3847</v>
      </c>
      <c r="F720" s="32" t="s">
        <v>3848</v>
      </c>
      <c r="G720" s="32" t="s">
        <v>3849</v>
      </c>
      <c r="H720" s="32" t="s">
        <v>3850</v>
      </c>
      <c r="I720" s="32"/>
      <c r="J720" s="32"/>
      <c r="N720" s="24" t="s">
        <v>2308</v>
      </c>
    </row>
    <row r="721" spans="1:14" x14ac:dyDescent="0.35">
      <c r="A721" s="25" t="s">
        <v>3851</v>
      </c>
      <c r="B721" s="25" t="s">
        <v>3851</v>
      </c>
      <c r="C721" s="25" t="s">
        <v>3852</v>
      </c>
      <c r="E721" s="32" t="s">
        <v>3853</v>
      </c>
      <c r="F721" s="32" t="s">
        <v>3854</v>
      </c>
      <c r="G721" s="32" t="s">
        <v>3855</v>
      </c>
      <c r="H721" s="32" t="s">
        <v>3856</v>
      </c>
      <c r="N721" s="24" t="s">
        <v>871</v>
      </c>
    </row>
    <row r="722" spans="1:14" x14ac:dyDescent="0.35">
      <c r="A722" s="25" t="s">
        <v>3857</v>
      </c>
      <c r="B722" s="25" t="s">
        <v>3858</v>
      </c>
      <c r="C722" s="25" t="s">
        <v>3859</v>
      </c>
      <c r="E722" s="32" t="s">
        <v>3860</v>
      </c>
      <c r="F722" s="32" t="s">
        <v>3861</v>
      </c>
      <c r="G722" s="32"/>
      <c r="H722" s="32"/>
      <c r="I722" s="32"/>
      <c r="J722" s="32"/>
      <c r="N722" s="24" t="s">
        <v>3418</v>
      </c>
    </row>
    <row r="723" spans="1:14" x14ac:dyDescent="0.35">
      <c r="A723" s="25" t="s">
        <v>3862</v>
      </c>
      <c r="B723" s="25" t="s">
        <v>3863</v>
      </c>
      <c r="C723" s="25" t="s">
        <v>3864</v>
      </c>
      <c r="E723" s="32" t="s">
        <v>3865</v>
      </c>
      <c r="F723" s="32" t="s">
        <v>3866</v>
      </c>
      <c r="G723" s="32" t="s">
        <v>3867</v>
      </c>
      <c r="H723" s="32" t="s">
        <v>3868</v>
      </c>
      <c r="I723" s="32" t="s">
        <v>3869</v>
      </c>
      <c r="J723" s="32"/>
      <c r="N723" s="24" t="s">
        <v>3418</v>
      </c>
    </row>
    <row r="724" spans="1:14" x14ac:dyDescent="0.35">
      <c r="A724" s="25" t="s">
        <v>3870</v>
      </c>
      <c r="B724" s="25" t="s">
        <v>3871</v>
      </c>
      <c r="C724" s="25" t="s">
        <v>3872</v>
      </c>
      <c r="E724" s="32" t="s">
        <v>3873</v>
      </c>
      <c r="F724" s="32" t="s">
        <v>3874</v>
      </c>
      <c r="G724" s="32" t="s">
        <v>3875</v>
      </c>
      <c r="H724" s="32" t="s">
        <v>3876</v>
      </c>
      <c r="I724" s="32" t="s">
        <v>3877</v>
      </c>
      <c r="J724" s="32"/>
      <c r="N724" s="24" t="s">
        <v>3418</v>
      </c>
    </row>
    <row r="725" spans="1:14" x14ac:dyDescent="0.35">
      <c r="A725" s="25" t="s">
        <v>3878</v>
      </c>
      <c r="B725" s="25" t="s">
        <v>3879</v>
      </c>
      <c r="C725" s="25" t="s">
        <v>3880</v>
      </c>
      <c r="E725" s="32" t="s">
        <v>3881</v>
      </c>
      <c r="F725" s="32" t="s">
        <v>3882</v>
      </c>
      <c r="G725" s="32" t="s">
        <v>3883</v>
      </c>
      <c r="H725" s="32" t="s">
        <v>3884</v>
      </c>
      <c r="I725" s="32" t="s">
        <v>3885</v>
      </c>
      <c r="J725" s="32"/>
      <c r="N725" s="24" t="s">
        <v>2308</v>
      </c>
    </row>
    <row r="726" spans="1:14" x14ac:dyDescent="0.35">
      <c r="A726" s="25" t="s">
        <v>3886</v>
      </c>
      <c r="B726" s="25" t="s">
        <v>3887</v>
      </c>
      <c r="C726" s="25" t="s">
        <v>3888</v>
      </c>
      <c r="E726" s="32" t="s">
        <v>3889</v>
      </c>
      <c r="F726" s="32" t="s">
        <v>3890</v>
      </c>
      <c r="G726" s="32"/>
      <c r="H726" s="32"/>
      <c r="I726" s="32"/>
      <c r="J726" s="32"/>
      <c r="N726" s="24" t="s">
        <v>2308</v>
      </c>
    </row>
    <row r="727" spans="1:14" x14ac:dyDescent="0.35">
      <c r="A727" s="25" t="s">
        <v>3891</v>
      </c>
      <c r="B727" s="25" t="s">
        <v>3891</v>
      </c>
      <c r="C727" s="25" t="s">
        <v>3892</v>
      </c>
      <c r="E727" s="32" t="s">
        <v>3893</v>
      </c>
      <c r="F727" s="32"/>
      <c r="G727" s="32"/>
      <c r="H727" s="32"/>
      <c r="I727" s="32"/>
      <c r="J727" s="32"/>
      <c r="N727" s="24" t="s">
        <v>3418</v>
      </c>
    </row>
    <row r="728" spans="1:14" x14ac:dyDescent="0.35">
      <c r="A728" s="25" t="s">
        <v>3894</v>
      </c>
      <c r="B728" s="25" t="s">
        <v>3894</v>
      </c>
      <c r="C728" s="25" t="s">
        <v>3895</v>
      </c>
      <c r="E728" s="32" t="s">
        <v>3753</v>
      </c>
      <c r="F728" s="32"/>
      <c r="G728" s="32"/>
      <c r="H728" s="32"/>
      <c r="I728" s="32"/>
      <c r="J728" s="32"/>
      <c r="N728" s="24" t="s">
        <v>871</v>
      </c>
    </row>
    <row r="729" spans="1:14" x14ac:dyDescent="0.35">
      <c r="A729" s="25" t="s">
        <v>3896</v>
      </c>
      <c r="B729" s="25" t="s">
        <v>3897</v>
      </c>
      <c r="C729" s="25" t="s">
        <v>3898</v>
      </c>
      <c r="E729" s="32" t="s">
        <v>3899</v>
      </c>
      <c r="F729" s="32" t="s">
        <v>3900</v>
      </c>
      <c r="G729" s="32" t="s">
        <v>3901</v>
      </c>
      <c r="H729" s="32"/>
      <c r="I729" s="32"/>
      <c r="J729" s="32"/>
      <c r="N729" s="24" t="s">
        <v>2308</v>
      </c>
    </row>
    <row r="730" spans="1:14" x14ac:dyDescent="0.35">
      <c r="A730" s="25" t="s">
        <v>3902</v>
      </c>
      <c r="B730" s="25" t="s">
        <v>3902</v>
      </c>
      <c r="C730" s="25" t="s">
        <v>3903</v>
      </c>
      <c r="E730" s="32" t="s">
        <v>3904</v>
      </c>
      <c r="F730" s="32" t="s">
        <v>3905</v>
      </c>
      <c r="G730" s="32"/>
      <c r="H730" s="32"/>
      <c r="I730" s="32"/>
      <c r="J730" s="32"/>
      <c r="N730" s="24" t="s">
        <v>871</v>
      </c>
    </row>
    <row r="731" spans="1:14" x14ac:dyDescent="0.35">
      <c r="A731" s="25" t="s">
        <v>3906</v>
      </c>
      <c r="B731" s="25" t="s">
        <v>3906</v>
      </c>
      <c r="C731" s="25" t="s">
        <v>3907</v>
      </c>
      <c r="E731" s="32" t="s">
        <v>3750</v>
      </c>
      <c r="F731" s="32" t="s">
        <v>3753</v>
      </c>
      <c r="G731" s="32"/>
      <c r="H731" s="32"/>
      <c r="I731" s="32"/>
      <c r="J731" s="32"/>
      <c r="N731" s="24" t="s">
        <v>871</v>
      </c>
    </row>
    <row r="732" spans="1:14" x14ac:dyDescent="0.35">
      <c r="A732" s="25" t="s">
        <v>3908</v>
      </c>
      <c r="B732" s="25" t="s">
        <v>3909</v>
      </c>
      <c r="C732" s="25" t="s">
        <v>3910</v>
      </c>
      <c r="E732" s="32" t="s">
        <v>3911</v>
      </c>
      <c r="F732" s="32" t="s">
        <v>3912</v>
      </c>
      <c r="G732" s="32"/>
      <c r="H732" s="32"/>
      <c r="I732" s="32"/>
      <c r="J732" s="32"/>
      <c r="N732" s="24" t="s">
        <v>3418</v>
      </c>
    </row>
    <row r="733" spans="1:14" x14ac:dyDescent="0.35">
      <c r="A733" s="25" t="s">
        <v>3913</v>
      </c>
      <c r="B733" s="25" t="s">
        <v>3913</v>
      </c>
      <c r="C733" s="25" t="s">
        <v>3914</v>
      </c>
      <c r="E733" s="32" t="s">
        <v>3915</v>
      </c>
      <c r="F733" s="32"/>
      <c r="G733" s="32"/>
      <c r="H733" s="32"/>
      <c r="I733" s="32"/>
      <c r="J733" s="32"/>
      <c r="N733" s="24" t="s">
        <v>2308</v>
      </c>
    </row>
    <row r="734" spans="1:14" x14ac:dyDescent="0.35">
      <c r="A734" s="25" t="s">
        <v>3916</v>
      </c>
      <c r="B734" s="25" t="s">
        <v>3917</v>
      </c>
      <c r="C734" s="25" t="s">
        <v>3918</v>
      </c>
      <c r="E734" s="32" t="s">
        <v>3919</v>
      </c>
      <c r="F734" s="32" t="s">
        <v>3920</v>
      </c>
      <c r="G734" s="32" t="s">
        <v>3921</v>
      </c>
      <c r="H734" s="32" t="s">
        <v>3922</v>
      </c>
      <c r="I734" s="32"/>
      <c r="J734" s="32"/>
      <c r="N734" s="24" t="s">
        <v>3418</v>
      </c>
    </row>
    <row r="735" spans="1:14" x14ac:dyDescent="0.35">
      <c r="A735" s="25" t="s">
        <v>9596</v>
      </c>
      <c r="B735" s="25" t="s">
        <v>3923</v>
      </c>
      <c r="C735" s="25" t="s">
        <v>3924</v>
      </c>
      <c r="E735" s="32" t="s">
        <v>10137</v>
      </c>
      <c r="F735" s="32" t="s">
        <v>10138</v>
      </c>
      <c r="G735" s="32"/>
      <c r="H735" s="32"/>
      <c r="I735" s="32"/>
      <c r="J735" s="32"/>
      <c r="N735" s="24" t="s">
        <v>871</v>
      </c>
    </row>
    <row r="736" spans="1:14" x14ac:dyDescent="0.35">
      <c r="A736" s="25" t="s">
        <v>3925</v>
      </c>
      <c r="B736" s="25" t="s">
        <v>3926</v>
      </c>
      <c r="C736" s="25" t="s">
        <v>3927</v>
      </c>
      <c r="E736" s="32" t="s">
        <v>3928</v>
      </c>
      <c r="F736" s="32" t="s">
        <v>10135</v>
      </c>
      <c r="G736" s="32" t="s">
        <v>10136</v>
      </c>
      <c r="H736" s="32"/>
      <c r="I736" s="32"/>
      <c r="J736" s="32"/>
      <c r="N736" s="24" t="s">
        <v>2308</v>
      </c>
    </row>
    <row r="737" spans="1:14" x14ac:dyDescent="0.35">
      <c r="A737" s="25" t="s">
        <v>3929</v>
      </c>
      <c r="B737" s="25" t="s">
        <v>3930</v>
      </c>
      <c r="C737" s="25" t="s">
        <v>3931</v>
      </c>
      <c r="E737" s="32" t="s">
        <v>3932</v>
      </c>
      <c r="F737" s="32" t="s">
        <v>3933</v>
      </c>
      <c r="G737" s="32" t="s">
        <v>3934</v>
      </c>
      <c r="H737" s="32"/>
      <c r="I737" s="32"/>
      <c r="J737" s="32"/>
      <c r="N737" s="24" t="s">
        <v>3418</v>
      </c>
    </row>
    <row r="738" spans="1:14" x14ac:dyDescent="0.35">
      <c r="A738" s="25" t="s">
        <v>3935</v>
      </c>
      <c r="B738" s="25" t="s">
        <v>3935</v>
      </c>
      <c r="C738" s="25" t="s">
        <v>3936</v>
      </c>
      <c r="E738" s="32" t="s">
        <v>3694</v>
      </c>
      <c r="F738" s="32" t="s">
        <v>3695</v>
      </c>
      <c r="G738" s="32" t="s">
        <v>3696</v>
      </c>
      <c r="H738" s="32"/>
      <c r="I738" s="32"/>
      <c r="J738" s="32"/>
      <c r="N738" s="24" t="s">
        <v>2308</v>
      </c>
    </row>
    <row r="739" spans="1:14" x14ac:dyDescent="0.35">
      <c r="A739" s="25" t="s">
        <v>3937</v>
      </c>
      <c r="B739" s="25" t="s">
        <v>3938</v>
      </c>
      <c r="C739" s="25" t="s">
        <v>3939</v>
      </c>
      <c r="E739" s="32" t="s">
        <v>3940</v>
      </c>
      <c r="F739" s="32"/>
      <c r="G739" s="32"/>
      <c r="H739" s="32"/>
      <c r="I739" s="32"/>
      <c r="J739" s="32"/>
      <c r="N739" s="24" t="s">
        <v>3418</v>
      </c>
    </row>
    <row r="740" spans="1:14" x14ac:dyDescent="0.35">
      <c r="A740" s="25" t="s">
        <v>3941</v>
      </c>
      <c r="B740" s="25" t="s">
        <v>3942</v>
      </c>
      <c r="C740" s="25" t="s">
        <v>3943</v>
      </c>
      <c r="E740" s="32"/>
      <c r="F740" s="32"/>
      <c r="G740" s="32"/>
      <c r="H740" s="32"/>
      <c r="I740" s="32"/>
      <c r="J740" s="32"/>
      <c r="N740" s="24" t="s">
        <v>871</v>
      </c>
    </row>
    <row r="741" spans="1:14" x14ac:dyDescent="0.35">
      <c r="A741" s="25" t="s">
        <v>3944</v>
      </c>
      <c r="B741" s="25" t="s">
        <v>3945</v>
      </c>
      <c r="C741" s="25" t="s">
        <v>9536</v>
      </c>
      <c r="E741" s="32" t="s">
        <v>3946</v>
      </c>
      <c r="F741" s="32"/>
      <c r="G741" s="32"/>
      <c r="H741" s="32"/>
      <c r="I741" s="32"/>
      <c r="J741" s="32"/>
      <c r="N741" s="24" t="s">
        <v>2308</v>
      </c>
    </row>
    <row r="742" spans="1:14" x14ac:dyDescent="0.35">
      <c r="A742" s="25" t="s">
        <v>3947</v>
      </c>
      <c r="B742" s="25" t="s">
        <v>3948</v>
      </c>
      <c r="C742" s="25" t="s">
        <v>3949</v>
      </c>
      <c r="E742" s="32" t="s">
        <v>3950</v>
      </c>
      <c r="F742" s="32"/>
      <c r="G742" s="32"/>
      <c r="H742" s="32"/>
      <c r="I742" s="32"/>
      <c r="J742" s="32"/>
      <c r="N742" s="24" t="s">
        <v>3418</v>
      </c>
    </row>
    <row r="743" spans="1:14" x14ac:dyDescent="0.35">
      <c r="A743" s="25" t="s">
        <v>3951</v>
      </c>
      <c r="B743" s="25" t="s">
        <v>3952</v>
      </c>
      <c r="C743" s="25" t="s">
        <v>3953</v>
      </c>
      <c r="E743" s="32" t="s">
        <v>3954</v>
      </c>
      <c r="F743" s="32" t="s">
        <v>3955</v>
      </c>
      <c r="G743" s="32" t="s">
        <v>3956</v>
      </c>
      <c r="H743" s="32" t="s">
        <v>3957</v>
      </c>
      <c r="I743" s="32" t="s">
        <v>3958</v>
      </c>
      <c r="J743" s="32"/>
      <c r="N743" s="24" t="s">
        <v>2308</v>
      </c>
    </row>
    <row r="744" spans="1:14" x14ac:dyDescent="0.35">
      <c r="A744" s="25" t="s">
        <v>3959</v>
      </c>
      <c r="B744" s="25" t="s">
        <v>3960</v>
      </c>
      <c r="C744" s="25" t="s">
        <v>3961</v>
      </c>
      <c r="E744" s="32" t="s">
        <v>3962</v>
      </c>
      <c r="F744" s="32" t="s">
        <v>3963</v>
      </c>
      <c r="G744" s="32" t="s">
        <v>3964</v>
      </c>
      <c r="H744" s="32" t="s">
        <v>3965</v>
      </c>
      <c r="I744" s="32" t="s">
        <v>3966</v>
      </c>
      <c r="J744" s="32"/>
      <c r="N744" s="24" t="s">
        <v>3418</v>
      </c>
    </row>
    <row r="745" spans="1:14" x14ac:dyDescent="0.35">
      <c r="A745" s="25" t="s">
        <v>3967</v>
      </c>
      <c r="B745" s="25" t="s">
        <v>3968</v>
      </c>
      <c r="C745" s="25" t="s">
        <v>3969</v>
      </c>
      <c r="E745" s="32" t="s">
        <v>3970</v>
      </c>
      <c r="F745" s="32"/>
      <c r="G745" s="32"/>
      <c r="H745" s="32"/>
      <c r="I745" s="32"/>
      <c r="J745" s="32"/>
      <c r="N745" s="24" t="s">
        <v>2308</v>
      </c>
    </row>
    <row r="746" spans="1:14" x14ac:dyDescent="0.35">
      <c r="A746" s="25" t="s">
        <v>3971</v>
      </c>
      <c r="B746" s="25" t="s">
        <v>3972</v>
      </c>
      <c r="C746" s="25" t="s">
        <v>3973</v>
      </c>
      <c r="E746" s="32" t="s">
        <v>3974</v>
      </c>
      <c r="F746" s="32" t="s">
        <v>3975</v>
      </c>
      <c r="G746" s="32" t="s">
        <v>3976</v>
      </c>
      <c r="H746" s="32" t="s">
        <v>3977</v>
      </c>
      <c r="I746" s="32"/>
      <c r="J746" s="32"/>
      <c r="N746" s="24" t="s">
        <v>3418</v>
      </c>
    </row>
    <row r="747" spans="1:14" x14ac:dyDescent="0.35">
      <c r="A747" s="25" t="s">
        <v>3978</v>
      </c>
      <c r="B747" s="25" t="s">
        <v>3979</v>
      </c>
      <c r="C747" s="25" t="s">
        <v>3980</v>
      </c>
      <c r="E747" s="32" t="s">
        <v>3981</v>
      </c>
      <c r="F747" s="32"/>
      <c r="G747" s="32"/>
      <c r="H747" s="32"/>
      <c r="I747" s="32"/>
      <c r="J747" s="32"/>
      <c r="N747" s="24" t="s">
        <v>3418</v>
      </c>
    </row>
    <row r="748" spans="1:14" x14ac:dyDescent="0.35">
      <c r="A748" s="25" t="s">
        <v>3982</v>
      </c>
      <c r="B748" s="25" t="s">
        <v>3983</v>
      </c>
      <c r="C748" s="25" t="s">
        <v>3984</v>
      </c>
      <c r="E748" s="32" t="s">
        <v>3985</v>
      </c>
      <c r="F748" s="32" t="s">
        <v>3986</v>
      </c>
      <c r="G748" s="32"/>
      <c r="H748" s="32"/>
      <c r="I748" s="32"/>
      <c r="J748" s="32"/>
      <c r="N748" s="24" t="s">
        <v>2308</v>
      </c>
    </row>
    <row r="749" spans="1:14" x14ac:dyDescent="0.35">
      <c r="A749" s="25" t="s">
        <v>3987</v>
      </c>
      <c r="B749" s="25" t="s">
        <v>3988</v>
      </c>
      <c r="C749" s="25" t="s">
        <v>3989</v>
      </c>
      <c r="E749" s="32" t="s">
        <v>3990</v>
      </c>
      <c r="F749" s="32" t="s">
        <v>3991</v>
      </c>
      <c r="G749" s="32" t="s">
        <v>3992</v>
      </c>
      <c r="H749" s="32" t="s">
        <v>3993</v>
      </c>
      <c r="I749" s="32" t="s">
        <v>3994</v>
      </c>
      <c r="J749" s="32"/>
      <c r="N749" s="24" t="s">
        <v>3418</v>
      </c>
    </row>
    <row r="750" spans="1:14" x14ac:dyDescent="0.35">
      <c r="A750" s="25" t="s">
        <v>3995</v>
      </c>
      <c r="B750" s="25" t="s">
        <v>3996</v>
      </c>
      <c r="C750" s="25" t="s">
        <v>3997</v>
      </c>
      <c r="E750" s="32" t="s">
        <v>3998</v>
      </c>
      <c r="F750" s="32" t="s">
        <v>3999</v>
      </c>
      <c r="G750" s="32" t="s">
        <v>4000</v>
      </c>
      <c r="H750" s="32" t="s">
        <v>4001</v>
      </c>
      <c r="I750" s="32" t="s">
        <v>4002</v>
      </c>
      <c r="J750" s="32"/>
      <c r="N750" s="24" t="s">
        <v>3418</v>
      </c>
    </row>
    <row r="751" spans="1:14" x14ac:dyDescent="0.35">
      <c r="A751" s="25" t="s">
        <v>4003</v>
      </c>
      <c r="B751" s="25" t="s">
        <v>4004</v>
      </c>
      <c r="C751" s="25" t="s">
        <v>4005</v>
      </c>
      <c r="E751" s="32" t="s">
        <v>4006</v>
      </c>
      <c r="F751" s="32"/>
      <c r="G751" s="32"/>
      <c r="H751" s="32"/>
      <c r="I751" s="32"/>
      <c r="J751" s="32"/>
      <c r="N751" s="24" t="s">
        <v>415</v>
      </c>
    </row>
    <row r="752" spans="1:14" x14ac:dyDescent="0.35">
      <c r="A752" s="25" t="s">
        <v>4007</v>
      </c>
      <c r="B752" s="25" t="s">
        <v>4007</v>
      </c>
      <c r="C752" s="25" t="s">
        <v>4008</v>
      </c>
      <c r="E752" s="32"/>
      <c r="F752" s="32"/>
      <c r="G752" s="32"/>
      <c r="H752" s="32"/>
      <c r="I752" s="32"/>
      <c r="J752" s="32"/>
      <c r="N752" s="24" t="s">
        <v>871</v>
      </c>
    </row>
    <row r="753" spans="1:14" x14ac:dyDescent="0.35">
      <c r="A753" s="25" t="s">
        <v>4009</v>
      </c>
      <c r="B753" s="25" t="s">
        <v>4010</v>
      </c>
      <c r="C753" s="25" t="s">
        <v>4011</v>
      </c>
      <c r="E753" s="32" t="s">
        <v>4012</v>
      </c>
      <c r="F753" s="32" t="s">
        <v>4013</v>
      </c>
      <c r="G753" s="32" t="s">
        <v>4014</v>
      </c>
      <c r="H753" s="32" t="s">
        <v>4015</v>
      </c>
      <c r="I753" s="32" t="s">
        <v>4016</v>
      </c>
      <c r="J753" s="32"/>
      <c r="N753" s="24" t="s">
        <v>3418</v>
      </c>
    </row>
    <row r="754" spans="1:14" x14ac:dyDescent="0.35">
      <c r="A754" s="25" t="s">
        <v>4017</v>
      </c>
      <c r="B754" s="25" t="s">
        <v>4018</v>
      </c>
      <c r="C754" s="25" t="s">
        <v>4019</v>
      </c>
      <c r="E754" s="32" t="s">
        <v>4020</v>
      </c>
      <c r="F754" s="32"/>
      <c r="G754" s="32"/>
      <c r="H754" s="32"/>
      <c r="I754" s="32"/>
      <c r="J754" s="32"/>
      <c r="N754" s="24" t="s">
        <v>458</v>
      </c>
    </row>
    <row r="755" spans="1:14" x14ac:dyDescent="0.35">
      <c r="A755" s="25" t="s">
        <v>4021</v>
      </c>
      <c r="B755" s="25" t="s">
        <v>4022</v>
      </c>
      <c r="C755" s="25" t="s">
        <v>4023</v>
      </c>
      <c r="E755" s="32" t="s">
        <v>4024</v>
      </c>
      <c r="F755" s="32" t="s">
        <v>4025</v>
      </c>
      <c r="G755" s="32"/>
      <c r="H755" s="32"/>
      <c r="I755" s="32"/>
      <c r="J755" s="32"/>
      <c r="N755" s="24" t="s">
        <v>2308</v>
      </c>
    </row>
    <row r="756" spans="1:14" x14ac:dyDescent="0.35">
      <c r="A756" s="25" t="s">
        <v>4026</v>
      </c>
      <c r="B756" s="25" t="s">
        <v>4026</v>
      </c>
      <c r="C756" s="25" t="s">
        <v>4027</v>
      </c>
      <c r="E756" s="32" t="s">
        <v>4028</v>
      </c>
      <c r="F756" s="32"/>
      <c r="G756" s="32"/>
      <c r="H756" s="32"/>
      <c r="I756" s="32"/>
      <c r="J756" s="32"/>
      <c r="N756" s="24" t="s">
        <v>2308</v>
      </c>
    </row>
    <row r="757" spans="1:14" x14ac:dyDescent="0.35">
      <c r="A757" s="25" t="s">
        <v>4029</v>
      </c>
      <c r="B757" s="25" t="s">
        <v>4030</v>
      </c>
      <c r="C757" s="25" t="s">
        <v>4031</v>
      </c>
      <c r="E757" s="32"/>
      <c r="F757" s="32"/>
      <c r="G757" s="32"/>
      <c r="H757" s="32"/>
      <c r="I757" s="32"/>
      <c r="J757" s="32"/>
      <c r="N757" s="24" t="s">
        <v>2308</v>
      </c>
    </row>
    <row r="758" spans="1:14" x14ac:dyDescent="0.35">
      <c r="A758" s="25" t="s">
        <v>9625</v>
      </c>
      <c r="B758" s="25" t="s">
        <v>4032</v>
      </c>
      <c r="C758" s="25" t="s">
        <v>4033</v>
      </c>
      <c r="E758" s="32" t="s">
        <v>1739</v>
      </c>
      <c r="F758" s="32" t="s">
        <v>1740</v>
      </c>
      <c r="G758" s="32" t="s">
        <v>1741</v>
      </c>
      <c r="H758" s="32" t="s">
        <v>1742</v>
      </c>
      <c r="I758" s="32"/>
      <c r="J758" s="32"/>
      <c r="N758" s="24" t="s">
        <v>2308</v>
      </c>
    </row>
    <row r="759" spans="1:14" x14ac:dyDescent="0.35">
      <c r="A759" s="25" t="s">
        <v>4034</v>
      </c>
      <c r="B759" s="25" t="s">
        <v>4035</v>
      </c>
      <c r="C759" s="25" t="s">
        <v>4036</v>
      </c>
      <c r="E759" s="32" t="s">
        <v>4037</v>
      </c>
      <c r="H759" s="32"/>
      <c r="I759" s="32"/>
      <c r="J759" s="32"/>
      <c r="N759" s="24" t="s">
        <v>2308</v>
      </c>
    </row>
    <row r="760" spans="1:14" x14ac:dyDescent="0.35">
      <c r="A760" s="25" t="s">
        <v>4038</v>
      </c>
      <c r="B760" s="25" t="s">
        <v>4038</v>
      </c>
      <c r="C760" s="25" t="s">
        <v>4039</v>
      </c>
      <c r="E760" s="32" t="s">
        <v>4040</v>
      </c>
      <c r="F760" s="32" t="s">
        <v>4041</v>
      </c>
      <c r="G760" s="32" t="s">
        <v>4042</v>
      </c>
      <c r="H760" s="32" t="s">
        <v>4043</v>
      </c>
      <c r="I760" s="32"/>
      <c r="J760" s="32"/>
      <c r="N760" s="24" t="s">
        <v>871</v>
      </c>
    </row>
    <row r="761" spans="1:14" x14ac:dyDescent="0.35">
      <c r="A761" s="25" t="s">
        <v>4044</v>
      </c>
      <c r="B761" s="25" t="s">
        <v>4045</v>
      </c>
      <c r="C761" s="25" t="s">
        <v>4046</v>
      </c>
      <c r="E761" s="32" t="s">
        <v>4047</v>
      </c>
      <c r="F761" s="32" t="s">
        <v>4048</v>
      </c>
      <c r="G761" s="32"/>
      <c r="H761" s="32"/>
      <c r="I761" s="32"/>
      <c r="J761" s="32"/>
      <c r="N761" s="24" t="s">
        <v>3418</v>
      </c>
    </row>
    <row r="762" spans="1:14" x14ac:dyDescent="0.35">
      <c r="A762" s="25" t="s">
        <v>4049</v>
      </c>
      <c r="B762" s="25" t="s">
        <v>4050</v>
      </c>
      <c r="C762" s="25" t="s">
        <v>4051</v>
      </c>
      <c r="E762" s="32" t="s">
        <v>4052</v>
      </c>
      <c r="F762" s="32" t="s">
        <v>4053</v>
      </c>
      <c r="G762" s="32"/>
      <c r="H762" s="32"/>
      <c r="I762" s="32"/>
      <c r="J762" s="32"/>
      <c r="N762" s="24" t="s">
        <v>2308</v>
      </c>
    </row>
    <row r="763" spans="1:14" x14ac:dyDescent="0.35">
      <c r="A763" s="25" t="s">
        <v>4054</v>
      </c>
      <c r="B763" s="25" t="s">
        <v>4055</v>
      </c>
      <c r="C763" s="25" t="s">
        <v>4056</v>
      </c>
      <c r="E763" s="32" t="s">
        <v>3946</v>
      </c>
      <c r="F763" s="32"/>
      <c r="G763" s="32"/>
      <c r="H763" s="32"/>
      <c r="I763" s="32"/>
      <c r="J763" s="32"/>
      <c r="N763" s="24" t="s">
        <v>2308</v>
      </c>
    </row>
    <row r="764" spans="1:14" x14ac:dyDescent="0.35">
      <c r="A764" s="25" t="s">
        <v>4057</v>
      </c>
      <c r="B764" s="25" t="s">
        <v>4057</v>
      </c>
      <c r="C764" s="25" t="s">
        <v>4058</v>
      </c>
      <c r="E764" s="32" t="s">
        <v>4059</v>
      </c>
      <c r="F764" s="32"/>
      <c r="G764" s="32"/>
      <c r="H764" s="32"/>
      <c r="I764" s="32"/>
      <c r="J764" s="32"/>
      <c r="N764" s="24" t="s">
        <v>2308</v>
      </c>
    </row>
    <row r="765" spans="1:14" x14ac:dyDescent="0.35">
      <c r="A765" s="25" t="s">
        <v>4060</v>
      </c>
      <c r="B765" s="25" t="s">
        <v>4061</v>
      </c>
      <c r="C765" s="25" t="s">
        <v>4062</v>
      </c>
      <c r="E765" s="32" t="s">
        <v>4063</v>
      </c>
      <c r="F765" s="32"/>
      <c r="G765" s="32"/>
      <c r="H765" s="32"/>
      <c r="I765" s="32"/>
      <c r="J765" s="32"/>
      <c r="N765" s="24" t="s">
        <v>2308</v>
      </c>
    </row>
    <row r="766" spans="1:14" x14ac:dyDescent="0.35">
      <c r="A766" s="25" t="s">
        <v>4064</v>
      </c>
      <c r="B766" s="25" t="s">
        <v>4065</v>
      </c>
      <c r="C766" s="25" t="s">
        <v>4066</v>
      </c>
      <c r="E766" s="32" t="s">
        <v>4067</v>
      </c>
      <c r="F766" s="32" t="s">
        <v>4068</v>
      </c>
      <c r="G766" s="32" t="s">
        <v>4069</v>
      </c>
      <c r="H766" s="32"/>
      <c r="I766" s="32"/>
      <c r="J766" s="32"/>
      <c r="N766" s="24" t="s">
        <v>3418</v>
      </c>
    </row>
    <row r="767" spans="1:14" x14ac:dyDescent="0.35">
      <c r="A767" s="25" t="s">
        <v>4070</v>
      </c>
      <c r="B767" s="25" t="s">
        <v>4071</v>
      </c>
      <c r="C767" s="25" t="s">
        <v>4072</v>
      </c>
      <c r="E767" s="32" t="s">
        <v>4073</v>
      </c>
      <c r="F767" s="32" t="s">
        <v>4074</v>
      </c>
      <c r="G767" s="32" t="s">
        <v>4075</v>
      </c>
      <c r="H767" s="32" t="s">
        <v>4076</v>
      </c>
      <c r="I767" s="32" t="s">
        <v>4077</v>
      </c>
      <c r="J767" s="32"/>
      <c r="N767" s="24" t="s">
        <v>3418</v>
      </c>
    </row>
    <row r="768" spans="1:14" x14ac:dyDescent="0.35">
      <c r="A768" s="25" t="s">
        <v>9546</v>
      </c>
      <c r="B768" s="25" t="s">
        <v>4078</v>
      </c>
      <c r="C768" s="25" t="s">
        <v>4079</v>
      </c>
      <c r="E768" s="32" t="s">
        <v>1739</v>
      </c>
      <c r="F768" s="32" t="s">
        <v>1740</v>
      </c>
      <c r="G768" s="32" t="s">
        <v>1741</v>
      </c>
      <c r="H768" s="32" t="s">
        <v>1742</v>
      </c>
      <c r="I768" s="32"/>
      <c r="J768" s="32"/>
      <c r="N768" s="24" t="s">
        <v>2308</v>
      </c>
    </row>
    <row r="769" spans="1:14" x14ac:dyDescent="0.35">
      <c r="A769" s="25" t="s">
        <v>4080</v>
      </c>
      <c r="B769" s="25" t="s">
        <v>4080</v>
      </c>
      <c r="C769" s="25" t="s">
        <v>4081</v>
      </c>
      <c r="D769" s="25" t="s">
        <v>4082</v>
      </c>
      <c r="E769" s="32" t="s">
        <v>3694</v>
      </c>
      <c r="F769" s="32" t="s">
        <v>3695</v>
      </c>
      <c r="G769" s="32" t="s">
        <v>3696</v>
      </c>
      <c r="H769" s="32"/>
      <c r="I769" s="32"/>
      <c r="J769" s="32"/>
      <c r="N769" s="24" t="s">
        <v>2308</v>
      </c>
    </row>
    <row r="770" spans="1:14" x14ac:dyDescent="0.35">
      <c r="A770" s="25" t="s">
        <v>4083</v>
      </c>
      <c r="B770" s="25" t="s">
        <v>4084</v>
      </c>
      <c r="C770" s="25" t="s">
        <v>4085</v>
      </c>
      <c r="E770" s="32" t="s">
        <v>4086</v>
      </c>
      <c r="F770" s="32"/>
      <c r="G770" s="32"/>
      <c r="H770" s="32"/>
      <c r="I770" s="32"/>
      <c r="J770" s="32"/>
      <c r="N770" s="24" t="s">
        <v>871</v>
      </c>
    </row>
    <row r="771" spans="1:14" x14ac:dyDescent="0.35">
      <c r="A771" s="25" t="s">
        <v>4087</v>
      </c>
      <c r="B771" s="25" t="s">
        <v>4088</v>
      </c>
      <c r="C771" s="25" t="s">
        <v>4089</v>
      </c>
      <c r="E771" s="32" t="s">
        <v>4090</v>
      </c>
      <c r="F771" s="32" t="s">
        <v>4091</v>
      </c>
      <c r="G771" s="32" t="s">
        <v>4092</v>
      </c>
      <c r="H771" s="32" t="s">
        <v>4093</v>
      </c>
      <c r="I771" s="32" t="s">
        <v>4094</v>
      </c>
      <c r="J771" s="32"/>
      <c r="N771" s="24" t="s">
        <v>415</v>
      </c>
    </row>
    <row r="772" spans="1:14" x14ac:dyDescent="0.35">
      <c r="A772" s="25" t="s">
        <v>4095</v>
      </c>
      <c r="B772" s="25" t="s">
        <v>4096</v>
      </c>
      <c r="C772" s="25" t="s">
        <v>4097</v>
      </c>
      <c r="E772" s="32" t="s">
        <v>4098</v>
      </c>
      <c r="F772" s="32" t="s">
        <v>4099</v>
      </c>
      <c r="G772" s="32" t="s">
        <v>4100</v>
      </c>
      <c r="H772" s="32" t="s">
        <v>4101</v>
      </c>
      <c r="I772" s="32" t="s">
        <v>4102</v>
      </c>
      <c r="J772" s="32"/>
      <c r="N772" s="24" t="s">
        <v>415</v>
      </c>
    </row>
    <row r="773" spans="1:14" x14ac:dyDescent="0.35">
      <c r="A773" s="25" t="s">
        <v>4103</v>
      </c>
      <c r="B773" s="25" t="s">
        <v>4104</v>
      </c>
      <c r="C773" s="25" t="s">
        <v>4105</v>
      </c>
      <c r="E773" s="32" t="s">
        <v>4106</v>
      </c>
      <c r="F773" s="32" t="s">
        <v>4107</v>
      </c>
      <c r="G773" s="32" t="s">
        <v>4108</v>
      </c>
      <c r="H773" s="32" t="s">
        <v>4109</v>
      </c>
      <c r="I773" s="32" t="s">
        <v>4110</v>
      </c>
      <c r="J773" s="32"/>
      <c r="N773" s="24" t="s">
        <v>415</v>
      </c>
    </row>
    <row r="774" spans="1:14" x14ac:dyDescent="0.35">
      <c r="A774" s="25" t="s">
        <v>4111</v>
      </c>
      <c r="B774" s="25" t="s">
        <v>4112</v>
      </c>
      <c r="C774" s="25" t="s">
        <v>4113</v>
      </c>
      <c r="E774" s="32" t="s">
        <v>4114</v>
      </c>
      <c r="F774" s="32" t="s">
        <v>4115</v>
      </c>
      <c r="G774" s="32" t="s">
        <v>4116</v>
      </c>
      <c r="H774" s="32" t="s">
        <v>4117</v>
      </c>
      <c r="I774" s="32" t="s">
        <v>4118</v>
      </c>
      <c r="J774" s="32"/>
      <c r="N774" s="24" t="s">
        <v>415</v>
      </c>
    </row>
    <row r="775" spans="1:14" x14ac:dyDescent="0.35">
      <c r="A775" s="25" t="s">
        <v>4119</v>
      </c>
      <c r="B775" s="25" t="s">
        <v>4120</v>
      </c>
      <c r="C775" s="25" t="s">
        <v>4121</v>
      </c>
      <c r="E775" s="32" t="s">
        <v>4122</v>
      </c>
      <c r="F775" s="32" t="s">
        <v>4123</v>
      </c>
      <c r="G775" s="32" t="s">
        <v>4124</v>
      </c>
      <c r="H775" s="32" t="s">
        <v>4125</v>
      </c>
      <c r="I775" s="32"/>
      <c r="J775" s="32"/>
      <c r="N775" s="24" t="s">
        <v>415</v>
      </c>
    </row>
    <row r="776" spans="1:14" x14ac:dyDescent="0.35">
      <c r="A776" s="25" t="s">
        <v>4126</v>
      </c>
      <c r="B776" s="25" t="s">
        <v>4127</v>
      </c>
      <c r="C776" s="25" t="s">
        <v>4128</v>
      </c>
      <c r="E776" s="32" t="s">
        <v>4129</v>
      </c>
      <c r="F776" s="32" t="s">
        <v>4130</v>
      </c>
      <c r="G776" s="32" t="s">
        <v>4131</v>
      </c>
      <c r="H776" s="32" t="s">
        <v>4132</v>
      </c>
      <c r="I776" s="32" t="s">
        <v>4133</v>
      </c>
      <c r="J776" s="32"/>
      <c r="N776" s="24" t="s">
        <v>1434</v>
      </c>
    </row>
    <row r="777" spans="1:14" x14ac:dyDescent="0.35">
      <c r="A777" s="25" t="s">
        <v>4134</v>
      </c>
      <c r="B777" s="25" t="s">
        <v>4135</v>
      </c>
      <c r="C777" s="25" t="s">
        <v>4136</v>
      </c>
      <c r="E777" s="32" t="s">
        <v>4137</v>
      </c>
      <c r="F777" s="32" t="s">
        <v>4138</v>
      </c>
      <c r="G777" s="32" t="s">
        <v>4139</v>
      </c>
      <c r="H777" s="32" t="s">
        <v>4140</v>
      </c>
      <c r="I777" s="32" t="s">
        <v>4141</v>
      </c>
      <c r="J777" s="32"/>
      <c r="N777" s="24" t="s">
        <v>1434</v>
      </c>
    </row>
    <row r="778" spans="1:14" x14ac:dyDescent="0.35">
      <c r="A778" s="25" t="s">
        <v>4142</v>
      </c>
      <c r="B778" s="25" t="s">
        <v>4143</v>
      </c>
      <c r="C778" s="25" t="s">
        <v>4144</v>
      </c>
      <c r="E778" s="32" t="s">
        <v>4145</v>
      </c>
      <c r="F778" s="32" t="s">
        <v>4146</v>
      </c>
      <c r="G778" s="32" t="s">
        <v>4147</v>
      </c>
      <c r="H778" s="32" t="s">
        <v>4148</v>
      </c>
      <c r="I778" s="32" t="s">
        <v>4149</v>
      </c>
      <c r="J778" s="32"/>
      <c r="N778" s="24" t="s">
        <v>415</v>
      </c>
    </row>
    <row r="779" spans="1:14" x14ac:dyDescent="0.35">
      <c r="A779" s="25" t="s">
        <v>4150</v>
      </c>
      <c r="B779" s="25" t="s">
        <v>4151</v>
      </c>
      <c r="C779" s="25" t="s">
        <v>4152</v>
      </c>
      <c r="E779" s="32" t="s">
        <v>4153</v>
      </c>
      <c r="F779" s="32" t="s">
        <v>4154</v>
      </c>
      <c r="G779" s="32" t="s">
        <v>4155</v>
      </c>
      <c r="H779" s="32" t="s">
        <v>4156</v>
      </c>
      <c r="I779" s="32" t="s">
        <v>4157</v>
      </c>
      <c r="J779" s="32"/>
      <c r="N779" s="24" t="s">
        <v>415</v>
      </c>
    </row>
    <row r="780" spans="1:14" x14ac:dyDescent="0.35">
      <c r="A780" s="25" t="s">
        <v>4158</v>
      </c>
      <c r="B780" s="25" t="s">
        <v>4159</v>
      </c>
      <c r="C780" s="25" t="s">
        <v>4160</v>
      </c>
      <c r="E780" s="32" t="s">
        <v>4161</v>
      </c>
      <c r="F780" s="32" t="s">
        <v>4162</v>
      </c>
      <c r="G780" s="32" t="s">
        <v>4163</v>
      </c>
      <c r="H780" s="32" t="s">
        <v>4164</v>
      </c>
      <c r="I780" s="32" t="s">
        <v>4165</v>
      </c>
      <c r="J780" s="32"/>
      <c r="N780" s="24" t="s">
        <v>415</v>
      </c>
    </row>
    <row r="781" spans="1:14" x14ac:dyDescent="0.35">
      <c r="A781" s="25" t="s">
        <v>4166</v>
      </c>
      <c r="B781" s="25" t="s">
        <v>4167</v>
      </c>
      <c r="C781" s="25" t="s">
        <v>4168</v>
      </c>
      <c r="E781" s="32" t="s">
        <v>4169</v>
      </c>
      <c r="F781" s="32" t="s">
        <v>4170</v>
      </c>
      <c r="G781" s="32" t="s">
        <v>4171</v>
      </c>
      <c r="H781" s="32" t="s">
        <v>4172</v>
      </c>
      <c r="I781" s="32"/>
      <c r="J781" s="32"/>
      <c r="N781" s="24" t="s">
        <v>1434</v>
      </c>
    </row>
    <row r="782" spans="1:14" x14ac:dyDescent="0.35">
      <c r="A782" s="25" t="s">
        <v>4173</v>
      </c>
      <c r="B782" s="25" t="s">
        <v>4174</v>
      </c>
      <c r="C782" s="25" t="s">
        <v>4175</v>
      </c>
      <c r="E782" s="32" t="s">
        <v>4176</v>
      </c>
      <c r="F782" s="32"/>
      <c r="G782" s="32"/>
      <c r="H782" s="32"/>
      <c r="I782" s="32"/>
      <c r="J782" s="32"/>
      <c r="N782" s="24" t="s">
        <v>415</v>
      </c>
    </row>
    <row r="783" spans="1:14" x14ac:dyDescent="0.35">
      <c r="A783" s="25" t="s">
        <v>4177</v>
      </c>
      <c r="B783" s="25" t="s">
        <v>4178</v>
      </c>
      <c r="C783" s="25" t="s">
        <v>4179</v>
      </c>
      <c r="E783" s="32" t="s">
        <v>4180</v>
      </c>
      <c r="F783" s="32" t="s">
        <v>4181</v>
      </c>
      <c r="G783" s="32" t="s">
        <v>4182</v>
      </c>
      <c r="H783" s="32" t="s">
        <v>4183</v>
      </c>
      <c r="I783" s="32" t="s">
        <v>4184</v>
      </c>
      <c r="J783" s="32"/>
      <c r="N783" s="24" t="s">
        <v>1434</v>
      </c>
    </row>
    <row r="784" spans="1:14" x14ac:dyDescent="0.35">
      <c r="A784" s="25" t="s">
        <v>4185</v>
      </c>
      <c r="B784" s="25" t="s">
        <v>4186</v>
      </c>
      <c r="C784" s="25" t="s">
        <v>4187</v>
      </c>
      <c r="E784" s="32" t="s">
        <v>4188</v>
      </c>
      <c r="F784" s="32"/>
      <c r="G784" s="32"/>
      <c r="H784" s="32"/>
      <c r="I784" s="32"/>
      <c r="J784" s="32"/>
      <c r="N784" s="24" t="s">
        <v>415</v>
      </c>
    </row>
    <row r="785" spans="1:14" x14ac:dyDescent="0.35">
      <c r="A785" s="25" t="s">
        <v>4189</v>
      </c>
      <c r="B785" s="25" t="s">
        <v>4190</v>
      </c>
      <c r="C785" s="25" t="s">
        <v>4191</v>
      </c>
      <c r="E785" s="32" t="s">
        <v>4192</v>
      </c>
      <c r="F785" s="32" t="s">
        <v>4193</v>
      </c>
      <c r="G785" s="32" t="s">
        <v>4194</v>
      </c>
      <c r="H785" s="32" t="s">
        <v>4195</v>
      </c>
      <c r="I785" s="32" t="s">
        <v>4196</v>
      </c>
      <c r="J785" s="32"/>
      <c r="N785" s="24" t="s">
        <v>415</v>
      </c>
    </row>
    <row r="786" spans="1:14" x14ac:dyDescent="0.35">
      <c r="A786" s="25" t="s">
        <v>89</v>
      </c>
      <c r="B786" s="25" t="s">
        <v>4197</v>
      </c>
      <c r="C786" s="25" t="s">
        <v>4198</v>
      </c>
      <c r="E786" s="32" t="s">
        <v>4199</v>
      </c>
      <c r="F786" s="32" t="s">
        <v>4200</v>
      </c>
      <c r="G786" s="32" t="s">
        <v>4201</v>
      </c>
      <c r="H786" s="32" t="s">
        <v>4202</v>
      </c>
      <c r="I786" s="32"/>
      <c r="J786" s="32"/>
      <c r="N786" s="24" t="s">
        <v>415</v>
      </c>
    </row>
    <row r="787" spans="1:14" x14ac:dyDescent="0.35">
      <c r="A787" s="25" t="s">
        <v>4206</v>
      </c>
      <c r="B787" s="25" t="s">
        <v>4207</v>
      </c>
      <c r="C787" s="25" t="s">
        <v>4208</v>
      </c>
      <c r="E787" s="32" t="s">
        <v>4209</v>
      </c>
      <c r="F787" s="32"/>
      <c r="G787" s="32"/>
      <c r="H787" s="32"/>
      <c r="I787" s="32"/>
      <c r="J787" s="32"/>
      <c r="N787" s="24" t="s">
        <v>415</v>
      </c>
    </row>
    <row r="788" spans="1:14" x14ac:dyDescent="0.35">
      <c r="A788" s="25" t="s">
        <v>4210</v>
      </c>
      <c r="B788" s="25" t="s">
        <v>4211</v>
      </c>
      <c r="C788" s="25" t="s">
        <v>4212</v>
      </c>
      <c r="E788" s="32" t="s">
        <v>4213</v>
      </c>
      <c r="F788" s="32" t="s">
        <v>4214</v>
      </c>
      <c r="G788" s="32" t="s">
        <v>4215</v>
      </c>
      <c r="H788" s="32"/>
      <c r="I788" s="32"/>
      <c r="J788" s="32"/>
      <c r="N788" s="24" t="s">
        <v>415</v>
      </c>
    </row>
    <row r="789" spans="1:14" x14ac:dyDescent="0.35">
      <c r="A789" s="25" t="s">
        <v>4216</v>
      </c>
      <c r="B789" s="25" t="s">
        <v>4217</v>
      </c>
      <c r="C789" s="25" t="s">
        <v>4218</v>
      </c>
      <c r="E789" s="32" t="s">
        <v>4219</v>
      </c>
      <c r="F789" s="32" t="s">
        <v>4220</v>
      </c>
      <c r="G789" s="32"/>
      <c r="H789" s="32"/>
      <c r="I789" s="32"/>
      <c r="J789" s="32"/>
      <c r="N789" s="24" t="s">
        <v>415</v>
      </c>
    </row>
    <row r="790" spans="1:14" x14ac:dyDescent="0.35">
      <c r="A790" s="25" t="s">
        <v>415</v>
      </c>
      <c r="B790" s="25" t="s">
        <v>4221</v>
      </c>
      <c r="C790" s="25" t="s">
        <v>4222</v>
      </c>
      <c r="E790" s="32" t="s">
        <v>4223</v>
      </c>
      <c r="F790" s="32" t="s">
        <v>4224</v>
      </c>
      <c r="G790" s="32" t="s">
        <v>4225</v>
      </c>
      <c r="H790" s="32"/>
      <c r="I790" s="32"/>
      <c r="J790" s="32"/>
      <c r="N790" s="24" t="s">
        <v>415</v>
      </c>
    </row>
    <row r="791" spans="1:14" x14ac:dyDescent="0.35">
      <c r="A791" s="25" t="s">
        <v>4226</v>
      </c>
      <c r="B791" s="25" t="s">
        <v>4227</v>
      </c>
      <c r="C791" s="25" t="s">
        <v>4228</v>
      </c>
      <c r="E791" s="32" t="s">
        <v>4229</v>
      </c>
      <c r="F791" s="32" t="s">
        <v>4230</v>
      </c>
      <c r="G791" s="32" t="s">
        <v>4231</v>
      </c>
      <c r="H791" s="32" t="s">
        <v>4232</v>
      </c>
      <c r="I791" s="32" t="s">
        <v>4233</v>
      </c>
      <c r="J791" s="32"/>
      <c r="N791" s="24" t="s">
        <v>415</v>
      </c>
    </row>
    <row r="792" spans="1:14" x14ac:dyDescent="0.35">
      <c r="A792" s="25" t="s">
        <v>4234</v>
      </c>
      <c r="B792" s="25" t="s">
        <v>4235</v>
      </c>
      <c r="C792" s="25" t="s">
        <v>4236</v>
      </c>
      <c r="E792" s="32" t="s">
        <v>4237</v>
      </c>
      <c r="F792" s="32" t="s">
        <v>4238</v>
      </c>
      <c r="G792" s="32" t="s">
        <v>4239</v>
      </c>
      <c r="H792" s="32" t="s">
        <v>4240</v>
      </c>
      <c r="I792" s="32" t="s">
        <v>4241</v>
      </c>
      <c r="J792" s="32"/>
      <c r="N792" s="24" t="s">
        <v>1434</v>
      </c>
    </row>
    <row r="793" spans="1:14" x14ac:dyDescent="0.35">
      <c r="A793" s="25" t="s">
        <v>4242</v>
      </c>
      <c r="B793" s="25" t="s">
        <v>4243</v>
      </c>
      <c r="C793" s="25" t="s">
        <v>4244</v>
      </c>
      <c r="E793" s="32" t="s">
        <v>4245</v>
      </c>
      <c r="F793" s="32" t="s">
        <v>4246</v>
      </c>
      <c r="G793" s="32" t="s">
        <v>4247</v>
      </c>
      <c r="H793" s="32" t="s">
        <v>4248</v>
      </c>
      <c r="I793" s="32" t="s">
        <v>4249</v>
      </c>
      <c r="J793" s="32"/>
      <c r="N793" s="24" t="s">
        <v>1434</v>
      </c>
    </row>
    <row r="794" spans="1:14" x14ac:dyDescent="0.35">
      <c r="A794" s="25" t="s">
        <v>4250</v>
      </c>
      <c r="B794" s="25" t="s">
        <v>4251</v>
      </c>
      <c r="C794" s="25" t="s">
        <v>4252</v>
      </c>
      <c r="E794" s="32" t="s">
        <v>4253</v>
      </c>
      <c r="F794" s="32" t="s">
        <v>4254</v>
      </c>
      <c r="G794" s="32" t="s">
        <v>4255</v>
      </c>
      <c r="H794" s="32" t="s">
        <v>4256</v>
      </c>
      <c r="I794" s="32" t="s">
        <v>4257</v>
      </c>
      <c r="J794" s="32"/>
      <c r="N794" s="24" t="s">
        <v>415</v>
      </c>
    </row>
    <row r="795" spans="1:14" x14ac:dyDescent="0.35">
      <c r="A795" s="25" t="s">
        <v>4258</v>
      </c>
      <c r="B795" s="25" t="s">
        <v>4259</v>
      </c>
      <c r="C795" s="25" t="s">
        <v>4260</v>
      </c>
      <c r="E795" s="32" t="s">
        <v>4261</v>
      </c>
      <c r="F795" s="32" t="s">
        <v>4262</v>
      </c>
      <c r="G795" s="32"/>
      <c r="H795" s="32"/>
      <c r="I795" s="32"/>
      <c r="J795" s="32"/>
      <c r="N795" s="24" t="s">
        <v>415</v>
      </c>
    </row>
    <row r="796" spans="1:14" x14ac:dyDescent="0.35">
      <c r="A796" s="25" t="s">
        <v>4263</v>
      </c>
      <c r="B796" s="25" t="s">
        <v>4264</v>
      </c>
      <c r="C796" s="25" t="s">
        <v>4265</v>
      </c>
      <c r="E796" s="32" t="s">
        <v>4266</v>
      </c>
      <c r="F796" s="32" t="s">
        <v>4267</v>
      </c>
      <c r="G796" s="32" t="s">
        <v>4268</v>
      </c>
      <c r="H796" s="32" t="s">
        <v>4269</v>
      </c>
      <c r="I796" s="32" t="s">
        <v>4270</v>
      </c>
      <c r="J796" s="32"/>
      <c r="N796" s="24" t="s">
        <v>415</v>
      </c>
    </row>
    <row r="797" spans="1:14" x14ac:dyDescent="0.35">
      <c r="A797" s="25" t="s">
        <v>4271</v>
      </c>
      <c r="B797" s="25" t="s">
        <v>4272</v>
      </c>
      <c r="C797" s="25" t="s">
        <v>4273</v>
      </c>
      <c r="E797" s="32" t="s">
        <v>4274</v>
      </c>
      <c r="F797" s="32" t="s">
        <v>4275</v>
      </c>
      <c r="G797" s="32" t="s">
        <v>4276</v>
      </c>
      <c r="H797" s="32" t="s">
        <v>4277</v>
      </c>
      <c r="I797" s="32" t="s">
        <v>4278</v>
      </c>
      <c r="J797" s="32"/>
      <c r="N797" s="24" t="s">
        <v>415</v>
      </c>
    </row>
    <row r="798" spans="1:14" x14ac:dyDescent="0.35">
      <c r="A798" s="25" t="s">
        <v>4279</v>
      </c>
      <c r="B798" s="25" t="s">
        <v>4280</v>
      </c>
      <c r="C798" s="25" t="s">
        <v>4281</v>
      </c>
      <c r="E798" s="32" t="s">
        <v>4282</v>
      </c>
      <c r="F798" s="32"/>
      <c r="G798" s="32"/>
      <c r="H798" s="32"/>
      <c r="I798" s="32"/>
      <c r="J798" s="32"/>
      <c r="N798" s="24" t="s">
        <v>415</v>
      </c>
    </row>
    <row r="799" spans="1:14" x14ac:dyDescent="0.35">
      <c r="A799" s="25" t="s">
        <v>4283</v>
      </c>
      <c r="B799" s="25" t="s">
        <v>4284</v>
      </c>
      <c r="C799" s="25" t="s">
        <v>4285</v>
      </c>
      <c r="E799" s="32" t="s">
        <v>4286</v>
      </c>
      <c r="F799" s="32" t="s">
        <v>4287</v>
      </c>
      <c r="G799" s="32" t="s">
        <v>4288</v>
      </c>
      <c r="H799" s="32" t="s">
        <v>4289</v>
      </c>
      <c r="I799" s="32" t="s">
        <v>4290</v>
      </c>
      <c r="J799" s="32"/>
      <c r="N799" s="24" t="s">
        <v>415</v>
      </c>
    </row>
    <row r="800" spans="1:14" x14ac:dyDescent="0.35">
      <c r="A800" s="25" t="s">
        <v>4291</v>
      </c>
      <c r="B800" s="25" t="s">
        <v>4292</v>
      </c>
      <c r="C800" s="25" t="s">
        <v>4293</v>
      </c>
      <c r="E800" s="32" t="s">
        <v>4294</v>
      </c>
      <c r="F800" s="32"/>
      <c r="G800" s="32"/>
      <c r="H800" s="32"/>
      <c r="I800" s="32"/>
      <c r="J800" s="32"/>
      <c r="N800" s="24" t="s">
        <v>415</v>
      </c>
    </row>
    <row r="801" spans="1:14" x14ac:dyDescent="0.35">
      <c r="A801" s="25" t="s">
        <v>4295</v>
      </c>
      <c r="B801" s="25" t="s">
        <v>4296</v>
      </c>
      <c r="C801" s="25" t="s">
        <v>4297</v>
      </c>
      <c r="E801" s="32" t="s">
        <v>4298</v>
      </c>
      <c r="F801" s="32" t="s">
        <v>4299</v>
      </c>
      <c r="G801" s="32" t="s">
        <v>4300</v>
      </c>
      <c r="H801" s="32" t="s">
        <v>4301</v>
      </c>
      <c r="I801" s="32" t="s">
        <v>4302</v>
      </c>
      <c r="J801" s="32"/>
      <c r="N801" s="24" t="s">
        <v>415</v>
      </c>
    </row>
    <row r="802" spans="1:14" x14ac:dyDescent="0.35">
      <c r="A802" s="25" t="s">
        <v>4303</v>
      </c>
      <c r="B802" s="25" t="s">
        <v>4304</v>
      </c>
      <c r="C802" s="25" t="s">
        <v>4305</v>
      </c>
      <c r="E802" s="32" t="s">
        <v>4306</v>
      </c>
      <c r="F802" s="32"/>
      <c r="G802" s="32"/>
      <c r="H802" s="32"/>
      <c r="I802" s="32"/>
      <c r="J802" s="32"/>
      <c r="N802" s="24" t="s">
        <v>871</v>
      </c>
    </row>
    <row r="803" spans="1:14" x14ac:dyDescent="0.35">
      <c r="A803" s="25" t="s">
        <v>4307</v>
      </c>
      <c r="B803" s="25" t="s">
        <v>4308</v>
      </c>
      <c r="C803" s="25" t="s">
        <v>4309</v>
      </c>
      <c r="E803" s="32" t="s">
        <v>4310</v>
      </c>
      <c r="F803" s="32" t="s">
        <v>4311</v>
      </c>
      <c r="G803" s="32" t="s">
        <v>4312</v>
      </c>
      <c r="H803" s="32" t="s">
        <v>4313</v>
      </c>
      <c r="I803" s="32" t="s">
        <v>4314</v>
      </c>
      <c r="J803" s="32"/>
      <c r="N803" s="24" t="s">
        <v>415</v>
      </c>
    </row>
    <row r="804" spans="1:14" x14ac:dyDescent="0.35">
      <c r="A804" s="25" t="s">
        <v>4315</v>
      </c>
      <c r="B804" s="25" t="s">
        <v>4316</v>
      </c>
      <c r="C804" s="25" t="s">
        <v>4317</v>
      </c>
      <c r="E804" s="32" t="s">
        <v>4318</v>
      </c>
      <c r="F804" s="32" t="s">
        <v>4319</v>
      </c>
      <c r="G804" s="32" t="s">
        <v>4320</v>
      </c>
      <c r="H804" s="32" t="s">
        <v>4321</v>
      </c>
      <c r="I804" s="32" t="s">
        <v>4322</v>
      </c>
      <c r="J804" s="32"/>
      <c r="N804" s="24" t="s">
        <v>415</v>
      </c>
    </row>
    <row r="805" spans="1:14" x14ac:dyDescent="0.35">
      <c r="A805" s="25" t="s">
        <v>4323</v>
      </c>
      <c r="B805" s="25" t="s">
        <v>4324</v>
      </c>
      <c r="C805" s="25" t="s">
        <v>4325</v>
      </c>
      <c r="E805" s="32" t="s">
        <v>4326</v>
      </c>
      <c r="F805" s="32" t="s">
        <v>4327</v>
      </c>
      <c r="G805" s="32" t="s">
        <v>4328</v>
      </c>
      <c r="H805" s="32" t="s">
        <v>4329</v>
      </c>
      <c r="I805" s="32" t="s">
        <v>4330</v>
      </c>
      <c r="J805" s="32"/>
      <c r="N805" s="24" t="s">
        <v>415</v>
      </c>
    </row>
    <row r="806" spans="1:14" x14ac:dyDescent="0.35">
      <c r="A806" s="25" t="s">
        <v>4331</v>
      </c>
      <c r="B806" s="25" t="s">
        <v>4332</v>
      </c>
      <c r="C806" s="25" t="s">
        <v>4333</v>
      </c>
      <c r="E806" s="32" t="s">
        <v>4334</v>
      </c>
      <c r="F806" s="32" t="s">
        <v>4335</v>
      </c>
      <c r="G806" s="32" t="s">
        <v>4336</v>
      </c>
      <c r="H806" s="32" t="s">
        <v>4337</v>
      </c>
      <c r="I806" s="32" t="s">
        <v>4338</v>
      </c>
      <c r="J806" s="32"/>
      <c r="N806" s="24" t="s">
        <v>415</v>
      </c>
    </row>
    <row r="807" spans="1:14" x14ac:dyDescent="0.35">
      <c r="A807" s="25" t="s">
        <v>4339</v>
      </c>
      <c r="B807" s="25" t="s">
        <v>4340</v>
      </c>
      <c r="C807" s="25" t="s">
        <v>4341</v>
      </c>
      <c r="E807" s="32" t="s">
        <v>4342</v>
      </c>
      <c r="F807" s="32"/>
      <c r="G807" s="32"/>
      <c r="H807" s="32"/>
      <c r="I807" s="32"/>
      <c r="J807" s="32"/>
      <c r="N807" s="24" t="s">
        <v>415</v>
      </c>
    </row>
    <row r="808" spans="1:14" x14ac:dyDescent="0.35">
      <c r="A808" s="25" t="s">
        <v>4343</v>
      </c>
      <c r="B808" s="25" t="s">
        <v>4344</v>
      </c>
      <c r="C808" s="25" t="s">
        <v>4345</v>
      </c>
      <c r="E808" s="32" t="s">
        <v>4346</v>
      </c>
      <c r="F808" s="32"/>
      <c r="G808" s="32"/>
      <c r="H808" s="32"/>
      <c r="I808" s="32"/>
      <c r="J808" s="32"/>
      <c r="N808" s="24" t="s">
        <v>415</v>
      </c>
    </row>
    <row r="809" spans="1:14" x14ac:dyDescent="0.35">
      <c r="A809" s="25" t="s">
        <v>4347</v>
      </c>
      <c r="B809" s="25" t="s">
        <v>4348</v>
      </c>
      <c r="C809" s="25" t="s">
        <v>4349</v>
      </c>
      <c r="E809" s="32" t="s">
        <v>4350</v>
      </c>
      <c r="F809" s="32" t="s">
        <v>3424</v>
      </c>
      <c r="G809" s="32" t="s">
        <v>3426</v>
      </c>
      <c r="H809" s="32" t="s">
        <v>4351</v>
      </c>
      <c r="I809" s="32"/>
      <c r="J809" s="32"/>
      <c r="N809" s="24" t="s">
        <v>3418</v>
      </c>
    </row>
    <row r="810" spans="1:14" x14ac:dyDescent="0.35">
      <c r="A810" s="25" t="s">
        <v>4352</v>
      </c>
      <c r="B810" s="25" t="s">
        <v>4353</v>
      </c>
      <c r="C810" s="25" t="s">
        <v>4354</v>
      </c>
      <c r="E810" s="32" t="s">
        <v>4355</v>
      </c>
      <c r="F810" s="32" t="s">
        <v>4356</v>
      </c>
      <c r="G810" s="32"/>
      <c r="H810" s="32"/>
      <c r="I810" s="32"/>
      <c r="J810" s="32"/>
      <c r="N810" s="24" t="s">
        <v>3418</v>
      </c>
    </row>
    <row r="811" spans="1:14" x14ac:dyDescent="0.35">
      <c r="A811" s="25" t="s">
        <v>4357</v>
      </c>
      <c r="B811" s="25" t="s">
        <v>4358</v>
      </c>
      <c r="C811" s="25" t="s">
        <v>4359</v>
      </c>
      <c r="E811" s="32" t="s">
        <v>4360</v>
      </c>
      <c r="F811" s="32" t="s">
        <v>4361</v>
      </c>
      <c r="G811" s="32"/>
      <c r="H811" s="32"/>
      <c r="I811" s="32"/>
      <c r="J811" s="32"/>
      <c r="N811" s="24" t="s">
        <v>415</v>
      </c>
    </row>
    <row r="812" spans="1:14" x14ac:dyDescent="0.35">
      <c r="A812" s="25" t="s">
        <v>4362</v>
      </c>
      <c r="B812" s="25" t="s">
        <v>4363</v>
      </c>
      <c r="C812" s="25" t="s">
        <v>4364</v>
      </c>
      <c r="E812" s="32" t="s">
        <v>4365</v>
      </c>
      <c r="F812" s="32" t="s">
        <v>4366</v>
      </c>
      <c r="G812" s="32" t="s">
        <v>4367</v>
      </c>
      <c r="H812" s="32" t="s">
        <v>4368</v>
      </c>
      <c r="I812" s="32" t="s">
        <v>4369</v>
      </c>
      <c r="J812" s="32"/>
      <c r="N812" s="24" t="s">
        <v>871</v>
      </c>
    </row>
    <row r="813" spans="1:14" x14ac:dyDescent="0.35">
      <c r="A813" s="25" t="s">
        <v>4370</v>
      </c>
      <c r="B813" s="25" t="s">
        <v>4371</v>
      </c>
      <c r="C813" s="25" t="s">
        <v>4372</v>
      </c>
      <c r="E813" s="32" t="s">
        <v>4373</v>
      </c>
      <c r="F813" s="32"/>
      <c r="G813" s="32"/>
      <c r="H813" s="32"/>
      <c r="I813" s="32"/>
      <c r="J813" s="32"/>
      <c r="N813" s="24" t="s">
        <v>1434</v>
      </c>
    </row>
    <row r="814" spans="1:14" x14ac:dyDescent="0.35">
      <c r="A814" s="25" t="s">
        <v>4374</v>
      </c>
      <c r="B814" s="25" t="s">
        <v>4375</v>
      </c>
      <c r="C814" s="25" t="s">
        <v>4376</v>
      </c>
      <c r="E814" s="32" t="s">
        <v>4377</v>
      </c>
      <c r="F814" s="32"/>
      <c r="G814" s="32"/>
      <c r="H814" s="32"/>
      <c r="I814" s="32"/>
      <c r="J814" s="32"/>
      <c r="N814" s="24" t="s">
        <v>415</v>
      </c>
    </row>
    <row r="815" spans="1:14" x14ac:dyDescent="0.35">
      <c r="A815" s="25" t="s">
        <v>4378</v>
      </c>
      <c r="B815" s="25" t="s">
        <v>4379</v>
      </c>
      <c r="C815" s="25" t="s">
        <v>4380</v>
      </c>
      <c r="E815" s="32" t="s">
        <v>4381</v>
      </c>
      <c r="F815" s="32" t="s">
        <v>4382</v>
      </c>
      <c r="G815" s="32" t="s">
        <v>4383</v>
      </c>
      <c r="H815" s="32"/>
      <c r="I815" s="32"/>
      <c r="J815" s="32"/>
      <c r="N815" s="24" t="s">
        <v>415</v>
      </c>
    </row>
    <row r="816" spans="1:14" x14ac:dyDescent="0.35">
      <c r="A816" s="25" t="s">
        <v>4384</v>
      </c>
      <c r="B816" s="25" t="s">
        <v>4385</v>
      </c>
      <c r="C816" s="25" t="s">
        <v>4386</v>
      </c>
      <c r="E816" s="32" t="s">
        <v>4387</v>
      </c>
      <c r="F816" s="32"/>
      <c r="G816" s="32"/>
      <c r="H816" s="32"/>
      <c r="I816" s="32"/>
      <c r="J816" s="32"/>
      <c r="N816" s="24" t="s">
        <v>415</v>
      </c>
    </row>
    <row r="817" spans="1:14" x14ac:dyDescent="0.35">
      <c r="A817" s="25" t="s">
        <v>4388</v>
      </c>
      <c r="B817" s="25" t="s">
        <v>4389</v>
      </c>
      <c r="C817" s="25" t="s">
        <v>4390</v>
      </c>
      <c r="E817" s="32" t="s">
        <v>4391</v>
      </c>
      <c r="F817" s="32"/>
      <c r="G817" s="32"/>
      <c r="H817" s="32"/>
      <c r="I817" s="32"/>
      <c r="J817" s="32"/>
      <c r="N817" s="24" t="s">
        <v>415</v>
      </c>
    </row>
    <row r="818" spans="1:14" x14ac:dyDescent="0.35">
      <c r="A818" s="25" t="s">
        <v>4392</v>
      </c>
      <c r="B818" s="25" t="s">
        <v>4393</v>
      </c>
      <c r="C818" s="25" t="s">
        <v>4394</v>
      </c>
      <c r="E818" s="32" t="s">
        <v>4395</v>
      </c>
      <c r="F818" s="32" t="s">
        <v>4396</v>
      </c>
      <c r="G818" s="32" t="s">
        <v>4397</v>
      </c>
      <c r="H818" s="32" t="s">
        <v>4398</v>
      </c>
      <c r="I818" s="32" t="s">
        <v>4399</v>
      </c>
      <c r="J818" s="32"/>
      <c r="N818" s="24" t="s">
        <v>415</v>
      </c>
    </row>
    <row r="819" spans="1:14" x14ac:dyDescent="0.35">
      <c r="A819" s="25" t="s">
        <v>4400</v>
      </c>
      <c r="B819" s="25" t="s">
        <v>4401</v>
      </c>
      <c r="C819" s="25" t="s">
        <v>4402</v>
      </c>
      <c r="E819" s="32" t="s">
        <v>4403</v>
      </c>
      <c r="F819" s="32" t="s">
        <v>4404</v>
      </c>
      <c r="G819" s="32"/>
      <c r="H819" s="32"/>
      <c r="I819" s="32"/>
      <c r="J819" s="32"/>
      <c r="N819" s="24" t="s">
        <v>415</v>
      </c>
    </row>
    <row r="820" spans="1:14" x14ac:dyDescent="0.35">
      <c r="A820" s="25" t="s">
        <v>278</v>
      </c>
      <c r="B820" s="25" t="s">
        <v>4405</v>
      </c>
      <c r="C820" s="25" t="s">
        <v>4406</v>
      </c>
      <c r="E820" s="32" t="s">
        <v>4407</v>
      </c>
      <c r="F820" s="32" t="s">
        <v>4408</v>
      </c>
      <c r="G820" s="32" t="s">
        <v>4409</v>
      </c>
      <c r="H820" s="32" t="s">
        <v>4410</v>
      </c>
      <c r="I820" s="32" t="s">
        <v>4411</v>
      </c>
      <c r="J820" s="32"/>
      <c r="N820" s="24" t="s">
        <v>1434</v>
      </c>
    </row>
    <row r="821" spans="1:14" x14ac:dyDescent="0.35">
      <c r="A821" s="25" t="s">
        <v>4412</v>
      </c>
      <c r="B821" s="25" t="s">
        <v>4413</v>
      </c>
      <c r="C821" s="25" t="s">
        <v>4414</v>
      </c>
      <c r="E821" s="32" t="s">
        <v>4415</v>
      </c>
      <c r="F821" s="32" t="s">
        <v>4416</v>
      </c>
      <c r="G821" s="32" t="s">
        <v>4417</v>
      </c>
      <c r="H821" s="32" t="s">
        <v>4418</v>
      </c>
      <c r="I821" s="32" t="s">
        <v>4419</v>
      </c>
      <c r="J821" s="32"/>
      <c r="N821" s="24" t="s">
        <v>871</v>
      </c>
    </row>
    <row r="822" spans="1:14" x14ac:dyDescent="0.35">
      <c r="A822" s="25" t="s">
        <v>9411</v>
      </c>
      <c r="B822" s="25" t="s">
        <v>9410</v>
      </c>
      <c r="C822" s="25" t="s">
        <v>4420</v>
      </c>
      <c r="E822" s="32" t="s">
        <v>9412</v>
      </c>
      <c r="F822" s="32" t="s">
        <v>9413</v>
      </c>
      <c r="G822" s="32" t="s">
        <v>9414</v>
      </c>
      <c r="H822" s="32" t="s">
        <v>9415</v>
      </c>
      <c r="I822" s="32" t="s">
        <v>9416</v>
      </c>
      <c r="J822" s="32"/>
      <c r="N822" s="24" t="s">
        <v>415</v>
      </c>
    </row>
    <row r="823" spans="1:14" x14ac:dyDescent="0.35">
      <c r="A823" s="25" t="s">
        <v>4421</v>
      </c>
      <c r="B823" s="25" t="s">
        <v>4422</v>
      </c>
      <c r="C823" s="25" t="s">
        <v>4423</v>
      </c>
      <c r="E823" s="32" t="s">
        <v>4424</v>
      </c>
      <c r="F823" s="32"/>
      <c r="G823" s="32"/>
      <c r="H823" s="32"/>
      <c r="I823" s="32"/>
      <c r="J823" s="32"/>
      <c r="N823" s="24" t="s">
        <v>415</v>
      </c>
    </row>
    <row r="824" spans="1:14" x14ac:dyDescent="0.35">
      <c r="A824" s="25" t="s">
        <v>4425</v>
      </c>
      <c r="B824" s="25" t="s">
        <v>4426</v>
      </c>
      <c r="C824" s="25" t="s">
        <v>4427</v>
      </c>
      <c r="E824" s="32" t="s">
        <v>4428</v>
      </c>
      <c r="F824" s="32"/>
      <c r="G824" s="32"/>
      <c r="H824" s="32"/>
      <c r="I824" s="32"/>
      <c r="J824" s="32"/>
      <c r="N824" s="24" t="s">
        <v>1434</v>
      </c>
    </row>
    <row r="825" spans="1:14" x14ac:dyDescent="0.35">
      <c r="A825" s="25" t="s">
        <v>4429</v>
      </c>
      <c r="B825" s="25" t="s">
        <v>4430</v>
      </c>
      <c r="C825" s="25" t="s">
        <v>4431</v>
      </c>
      <c r="E825" s="32" t="s">
        <v>4432</v>
      </c>
      <c r="F825" s="32"/>
      <c r="G825" s="32"/>
      <c r="H825" s="32"/>
      <c r="I825" s="32"/>
      <c r="J825" s="32"/>
      <c r="N825" s="24" t="s">
        <v>415</v>
      </c>
    </row>
    <row r="826" spans="1:14" x14ac:dyDescent="0.35">
      <c r="A826" s="25" t="s">
        <v>4433</v>
      </c>
      <c r="B826" s="25" t="s">
        <v>4434</v>
      </c>
      <c r="C826" s="25" t="s">
        <v>4435</v>
      </c>
      <c r="E826" s="32" t="s">
        <v>4436</v>
      </c>
      <c r="F826" s="32" t="s">
        <v>4437</v>
      </c>
      <c r="G826" s="32"/>
      <c r="H826" s="32"/>
      <c r="I826" s="32"/>
      <c r="J826" s="32"/>
      <c r="N826" s="24" t="s">
        <v>415</v>
      </c>
    </row>
    <row r="827" spans="1:14" x14ac:dyDescent="0.35">
      <c r="A827" s="25" t="s">
        <v>4438</v>
      </c>
      <c r="B827" s="25" t="s">
        <v>4439</v>
      </c>
      <c r="C827" s="25" t="s">
        <v>4440</v>
      </c>
      <c r="E827" s="32" t="s">
        <v>4441</v>
      </c>
      <c r="F827" s="32" t="s">
        <v>4442</v>
      </c>
      <c r="G827" s="32" t="s">
        <v>4443</v>
      </c>
      <c r="H827" s="32" t="s">
        <v>4444</v>
      </c>
      <c r="I827" s="32" t="s">
        <v>4445</v>
      </c>
      <c r="J827" s="32"/>
      <c r="N827" s="24" t="s">
        <v>415</v>
      </c>
    </row>
    <row r="828" spans="1:14" x14ac:dyDescent="0.35">
      <c r="A828" s="25" t="s">
        <v>4446</v>
      </c>
      <c r="B828" s="25" t="s">
        <v>4447</v>
      </c>
      <c r="C828" s="25" t="s">
        <v>4448</v>
      </c>
      <c r="E828" s="32" t="s">
        <v>4449</v>
      </c>
      <c r="F828" s="32"/>
      <c r="G828" s="32"/>
      <c r="H828" s="32"/>
      <c r="I828" s="32"/>
      <c r="J828" s="32"/>
      <c r="N828" s="24" t="s">
        <v>415</v>
      </c>
    </row>
    <row r="829" spans="1:14" x14ac:dyDescent="0.35">
      <c r="A829" s="25" t="s">
        <v>4450</v>
      </c>
      <c r="B829" s="25" t="s">
        <v>4451</v>
      </c>
      <c r="C829" s="25" t="s">
        <v>4452</v>
      </c>
      <c r="E829" s="32" t="s">
        <v>4453</v>
      </c>
      <c r="F829" s="32" t="s">
        <v>2642</v>
      </c>
      <c r="G829" s="32" t="s">
        <v>2603</v>
      </c>
      <c r="H829" s="32" t="s">
        <v>2607</v>
      </c>
      <c r="I829" s="32" t="s">
        <v>4454</v>
      </c>
      <c r="J829" s="32"/>
      <c r="N829" s="24" t="s">
        <v>415</v>
      </c>
    </row>
    <row r="830" spans="1:14" x14ac:dyDescent="0.35">
      <c r="A830" s="25" t="s">
        <v>4455</v>
      </c>
      <c r="B830" s="25" t="s">
        <v>4456</v>
      </c>
      <c r="C830" s="25" t="s">
        <v>4457</v>
      </c>
      <c r="E830" s="32" t="s">
        <v>4458</v>
      </c>
      <c r="F830" s="32"/>
      <c r="G830" s="32"/>
      <c r="H830" s="32"/>
      <c r="I830" s="32"/>
      <c r="J830" s="32"/>
      <c r="N830" s="24" t="s">
        <v>871</v>
      </c>
    </row>
    <row r="831" spans="1:14" x14ac:dyDescent="0.35">
      <c r="A831" s="25" t="s">
        <v>4459</v>
      </c>
      <c r="B831" s="25" t="s">
        <v>4460</v>
      </c>
      <c r="C831" s="25" t="s">
        <v>4461</v>
      </c>
      <c r="E831" s="32" t="s">
        <v>4462</v>
      </c>
      <c r="F831" s="32" t="s">
        <v>4463</v>
      </c>
      <c r="G831" s="32" t="s">
        <v>4464</v>
      </c>
      <c r="H831" s="32" t="s">
        <v>4465</v>
      </c>
      <c r="I831" s="32" t="s">
        <v>4466</v>
      </c>
      <c r="J831" s="32"/>
      <c r="N831" s="24" t="s">
        <v>415</v>
      </c>
    </row>
    <row r="832" spans="1:14" x14ac:dyDescent="0.35">
      <c r="A832" s="25" t="s">
        <v>4467</v>
      </c>
      <c r="B832" s="25" t="s">
        <v>4468</v>
      </c>
      <c r="C832" s="25" t="s">
        <v>4469</v>
      </c>
      <c r="E832" s="32" t="s">
        <v>1739</v>
      </c>
      <c r="F832" s="32" t="s">
        <v>1740</v>
      </c>
      <c r="G832" s="32" t="s">
        <v>1741</v>
      </c>
      <c r="H832" s="32" t="s">
        <v>1742</v>
      </c>
      <c r="I832" s="32"/>
      <c r="J832" s="32"/>
      <c r="N832" s="24" t="s">
        <v>415</v>
      </c>
    </row>
    <row r="833" spans="1:14" x14ac:dyDescent="0.35">
      <c r="A833" s="25" t="s">
        <v>4470</v>
      </c>
      <c r="B833" s="25" t="s">
        <v>4471</v>
      </c>
      <c r="C833" s="25" t="s">
        <v>4472</v>
      </c>
      <c r="E833" s="32" t="s">
        <v>4473</v>
      </c>
      <c r="F833" s="32" t="s">
        <v>4474</v>
      </c>
      <c r="G833" s="32" t="s">
        <v>4475</v>
      </c>
      <c r="H833" s="32" t="s">
        <v>4476</v>
      </c>
      <c r="I833" s="32"/>
      <c r="J833" s="32"/>
      <c r="N833" s="24" t="s">
        <v>415</v>
      </c>
    </row>
    <row r="834" spans="1:14" x14ac:dyDescent="0.35">
      <c r="A834" s="25" t="s">
        <v>4477</v>
      </c>
      <c r="B834" s="25" t="s">
        <v>4478</v>
      </c>
      <c r="C834" s="25" t="s">
        <v>4479</v>
      </c>
      <c r="E834" s="32" t="s">
        <v>4480</v>
      </c>
      <c r="F834" s="32"/>
      <c r="G834" s="32"/>
      <c r="H834" s="32"/>
      <c r="I834" s="32"/>
      <c r="J834" s="32"/>
      <c r="N834" s="24" t="s">
        <v>415</v>
      </c>
    </row>
    <row r="835" spans="1:14" x14ac:dyDescent="0.35">
      <c r="A835" s="25" t="s">
        <v>4481</v>
      </c>
      <c r="B835" s="25" t="s">
        <v>4482</v>
      </c>
      <c r="C835" s="25" t="s">
        <v>4483</v>
      </c>
      <c r="E835" s="32" t="s">
        <v>4484</v>
      </c>
      <c r="F835" s="32" t="s">
        <v>4485</v>
      </c>
      <c r="G835" s="32" t="s">
        <v>4486</v>
      </c>
      <c r="H835" s="32" t="s">
        <v>4487</v>
      </c>
      <c r="I835" s="32" t="s">
        <v>4488</v>
      </c>
      <c r="J835" s="32"/>
      <c r="N835" s="24" t="s">
        <v>415</v>
      </c>
    </row>
    <row r="836" spans="1:14" x14ac:dyDescent="0.35">
      <c r="A836" s="25" t="s">
        <v>4489</v>
      </c>
      <c r="B836" s="25" t="s">
        <v>4490</v>
      </c>
      <c r="C836" s="25" t="s">
        <v>4491</v>
      </c>
      <c r="E836" s="32" t="s">
        <v>4492</v>
      </c>
      <c r="F836" s="32" t="s">
        <v>4493</v>
      </c>
      <c r="G836" s="32" t="s">
        <v>4494</v>
      </c>
      <c r="H836" s="32" t="s">
        <v>4495</v>
      </c>
      <c r="I836" s="32" t="s">
        <v>4496</v>
      </c>
      <c r="J836" s="32" t="s">
        <v>4497</v>
      </c>
      <c r="N836" s="24" t="s">
        <v>415</v>
      </c>
    </row>
    <row r="837" spans="1:14" x14ac:dyDescent="0.35">
      <c r="A837" s="25" t="s">
        <v>4498</v>
      </c>
      <c r="B837" s="25" t="s">
        <v>4499</v>
      </c>
      <c r="C837" s="25" t="s">
        <v>4500</v>
      </c>
      <c r="E837" s="32" t="s">
        <v>4501</v>
      </c>
      <c r="F837" s="32"/>
      <c r="G837" s="32"/>
      <c r="H837" s="32"/>
      <c r="I837" s="32"/>
      <c r="J837" s="32"/>
      <c r="N837" s="24" t="s">
        <v>415</v>
      </c>
    </row>
    <row r="838" spans="1:14" x14ac:dyDescent="0.35">
      <c r="A838" s="25" t="s">
        <v>4502</v>
      </c>
      <c r="B838" s="25" t="s">
        <v>4503</v>
      </c>
      <c r="C838" s="25" t="s">
        <v>4504</v>
      </c>
      <c r="E838" s="32" t="s">
        <v>4505</v>
      </c>
      <c r="F838" s="32" t="s">
        <v>4506</v>
      </c>
      <c r="G838" s="32" t="s">
        <v>4507</v>
      </c>
      <c r="H838" s="32" t="s">
        <v>4508</v>
      </c>
      <c r="I838" s="32" t="s">
        <v>4509</v>
      </c>
      <c r="J838" s="32"/>
      <c r="N838" s="24" t="s">
        <v>415</v>
      </c>
    </row>
    <row r="839" spans="1:14" x14ac:dyDescent="0.35">
      <c r="A839" s="25" t="s">
        <v>4510</v>
      </c>
      <c r="B839" s="25" t="s">
        <v>1140</v>
      </c>
      <c r="C839" s="25" t="s">
        <v>4511</v>
      </c>
      <c r="E839" s="32" t="s">
        <v>4024</v>
      </c>
      <c r="F839" s="32" t="s">
        <v>4025</v>
      </c>
      <c r="G839" s="32"/>
      <c r="H839" s="32"/>
      <c r="I839" s="32"/>
      <c r="J839" s="32"/>
      <c r="N839" s="24" t="s">
        <v>415</v>
      </c>
    </row>
    <row r="840" spans="1:14" x14ac:dyDescent="0.35">
      <c r="A840" s="25" t="s">
        <v>4512</v>
      </c>
      <c r="B840" s="25" t="s">
        <v>4513</v>
      </c>
      <c r="C840" s="25" t="s">
        <v>4514</v>
      </c>
      <c r="E840" s="32" t="s">
        <v>4515</v>
      </c>
      <c r="F840" s="32" t="s">
        <v>4516</v>
      </c>
      <c r="G840" s="32" t="s">
        <v>4517</v>
      </c>
      <c r="H840" s="32" t="s">
        <v>4518</v>
      </c>
      <c r="I840" s="32" t="s">
        <v>4519</v>
      </c>
      <c r="J840" s="32"/>
      <c r="N840" s="24" t="s">
        <v>415</v>
      </c>
    </row>
    <row r="841" spans="1:14" x14ac:dyDescent="0.35">
      <c r="A841" s="25" t="s">
        <v>4520</v>
      </c>
      <c r="B841" s="25" t="s">
        <v>4521</v>
      </c>
      <c r="C841" s="25" t="s">
        <v>4522</v>
      </c>
      <c r="E841" s="32" t="s">
        <v>4523</v>
      </c>
      <c r="F841" s="32" t="s">
        <v>4524</v>
      </c>
      <c r="G841" s="32" t="s">
        <v>4525</v>
      </c>
      <c r="H841" s="32" t="s">
        <v>4526</v>
      </c>
      <c r="I841" s="32" t="s">
        <v>4527</v>
      </c>
      <c r="J841" s="32"/>
      <c r="N841" s="24" t="s">
        <v>415</v>
      </c>
    </row>
    <row r="842" spans="1:14" x14ac:dyDescent="0.35">
      <c r="A842" s="25" t="s">
        <v>4528</v>
      </c>
      <c r="B842" s="25" t="s">
        <v>4529</v>
      </c>
      <c r="C842" s="25" t="s">
        <v>4530</v>
      </c>
      <c r="E842" s="32" t="s">
        <v>4531</v>
      </c>
      <c r="F842" s="32"/>
      <c r="G842" s="32"/>
      <c r="H842" s="32"/>
      <c r="I842" s="32"/>
      <c r="J842" s="32"/>
      <c r="N842" s="24" t="s">
        <v>1169</v>
      </c>
    </row>
    <row r="843" spans="1:14" x14ac:dyDescent="0.35">
      <c r="A843" s="25" t="s">
        <v>4532</v>
      </c>
      <c r="B843" s="25" t="s">
        <v>4533</v>
      </c>
      <c r="C843" s="25" t="s">
        <v>4534</v>
      </c>
      <c r="E843" s="32" t="s">
        <v>4535</v>
      </c>
      <c r="F843" s="32"/>
      <c r="G843" s="32"/>
      <c r="H843" s="32"/>
      <c r="I843" s="32"/>
      <c r="J843" s="32"/>
      <c r="N843" s="24" t="s">
        <v>871</v>
      </c>
    </row>
    <row r="844" spans="1:14" x14ac:dyDescent="0.35">
      <c r="A844" s="25" t="s">
        <v>4536</v>
      </c>
      <c r="B844" s="25" t="s">
        <v>4537</v>
      </c>
      <c r="C844" s="25" t="s">
        <v>4538</v>
      </c>
      <c r="E844" s="32" t="s">
        <v>4539</v>
      </c>
      <c r="F844" s="32"/>
      <c r="G844" s="32"/>
      <c r="H844" s="32"/>
      <c r="I844" s="32"/>
      <c r="J844" s="32"/>
      <c r="N844" s="24" t="s">
        <v>415</v>
      </c>
    </row>
    <row r="845" spans="1:14" x14ac:dyDescent="0.35">
      <c r="A845" s="25" t="s">
        <v>4540</v>
      </c>
      <c r="B845" s="25" t="s">
        <v>4541</v>
      </c>
      <c r="C845" s="25" t="s">
        <v>4542</v>
      </c>
      <c r="E845" s="32" t="s">
        <v>4543</v>
      </c>
      <c r="F845" s="32" t="s">
        <v>4544</v>
      </c>
      <c r="G845" s="32" t="s">
        <v>4545</v>
      </c>
      <c r="H845" s="32" t="s">
        <v>4546</v>
      </c>
      <c r="I845" s="32" t="s">
        <v>4547</v>
      </c>
      <c r="J845" s="32"/>
      <c r="N845" s="24" t="s">
        <v>1696</v>
      </c>
    </row>
    <row r="846" spans="1:14" x14ac:dyDescent="0.35">
      <c r="A846" s="25" t="s">
        <v>4548</v>
      </c>
      <c r="B846" s="25" t="s">
        <v>4549</v>
      </c>
      <c r="C846" s="25" t="s">
        <v>4550</v>
      </c>
      <c r="E846" s="32" t="s">
        <v>4551</v>
      </c>
      <c r="F846" s="32"/>
      <c r="G846" s="32"/>
      <c r="H846" s="32"/>
      <c r="I846" s="32"/>
      <c r="J846" s="32"/>
      <c r="N846" s="24" t="s">
        <v>1696</v>
      </c>
    </row>
    <row r="847" spans="1:14" x14ac:dyDescent="0.35">
      <c r="A847" s="25" t="s">
        <v>4552</v>
      </c>
      <c r="B847" s="25" t="s">
        <v>4553</v>
      </c>
      <c r="C847" s="25" t="s">
        <v>4554</v>
      </c>
      <c r="E847" s="32" t="s">
        <v>4555</v>
      </c>
      <c r="F847" s="32"/>
      <c r="G847" s="32"/>
      <c r="H847" s="32"/>
      <c r="I847" s="32"/>
      <c r="J847" s="32"/>
      <c r="N847" s="24" t="s">
        <v>415</v>
      </c>
    </row>
    <row r="848" spans="1:14" x14ac:dyDescent="0.35">
      <c r="A848" s="25" t="s">
        <v>4556</v>
      </c>
      <c r="B848" s="25" t="s">
        <v>4557</v>
      </c>
      <c r="C848" s="25" t="s">
        <v>4558</v>
      </c>
      <c r="E848" s="32" t="s">
        <v>4559</v>
      </c>
      <c r="F848" s="32" t="s">
        <v>4560</v>
      </c>
      <c r="G848" s="32" t="s">
        <v>4561</v>
      </c>
      <c r="H848" s="32" t="s">
        <v>4562</v>
      </c>
      <c r="I848" s="32" t="s">
        <v>4563</v>
      </c>
      <c r="N848" s="24" t="s">
        <v>415</v>
      </c>
    </row>
    <row r="849" spans="1:14" x14ac:dyDescent="0.35">
      <c r="A849" s="25" t="s">
        <v>4564</v>
      </c>
      <c r="B849" s="25" t="s">
        <v>4565</v>
      </c>
      <c r="C849" s="25" t="s">
        <v>4566</v>
      </c>
      <c r="E849" s="32" t="s">
        <v>4567</v>
      </c>
      <c r="F849" s="32" t="s">
        <v>4568</v>
      </c>
      <c r="G849" s="32" t="s">
        <v>4569</v>
      </c>
      <c r="H849" s="32" t="s">
        <v>4570</v>
      </c>
      <c r="I849" s="32" t="s">
        <v>4571</v>
      </c>
      <c r="J849" s="32"/>
      <c r="N849" s="24" t="s">
        <v>415</v>
      </c>
    </row>
    <row r="850" spans="1:14" x14ac:dyDescent="0.35">
      <c r="A850" s="25" t="s">
        <v>4572</v>
      </c>
      <c r="B850" s="25" t="s">
        <v>4573</v>
      </c>
      <c r="C850" s="25" t="s">
        <v>4574</v>
      </c>
      <c r="E850" s="32" t="s">
        <v>4575</v>
      </c>
      <c r="F850" s="32" t="s">
        <v>4576</v>
      </c>
      <c r="G850" s="32" t="s">
        <v>4577</v>
      </c>
      <c r="H850" s="32" t="s">
        <v>4578</v>
      </c>
      <c r="I850" s="32" t="s">
        <v>4579</v>
      </c>
      <c r="J850" s="32"/>
      <c r="N850" s="24" t="s">
        <v>415</v>
      </c>
    </row>
    <row r="851" spans="1:14" x14ac:dyDescent="0.35">
      <c r="A851" s="25" t="s">
        <v>4580</v>
      </c>
      <c r="B851" s="25" t="s">
        <v>4581</v>
      </c>
      <c r="C851" s="25" t="s">
        <v>4582</v>
      </c>
      <c r="E851" s="32" t="s">
        <v>4583</v>
      </c>
      <c r="F851" s="32" t="s">
        <v>4584</v>
      </c>
      <c r="G851" s="32" t="s">
        <v>4585</v>
      </c>
      <c r="H851" s="32" t="s">
        <v>4586</v>
      </c>
      <c r="I851" s="32" t="s">
        <v>4587</v>
      </c>
      <c r="J851" s="32"/>
      <c r="N851" s="24" t="s">
        <v>415</v>
      </c>
    </row>
    <row r="852" spans="1:14" x14ac:dyDescent="0.35">
      <c r="A852" s="25" t="s">
        <v>4588</v>
      </c>
      <c r="B852" s="25" t="s">
        <v>4589</v>
      </c>
      <c r="C852" s="25" t="s">
        <v>4590</v>
      </c>
      <c r="E852" s="32" t="s">
        <v>4591</v>
      </c>
      <c r="F852" s="32"/>
      <c r="G852" s="32"/>
      <c r="H852" s="32"/>
      <c r="I852" s="32"/>
      <c r="J852" s="32"/>
      <c r="N852" s="24" t="s">
        <v>1434</v>
      </c>
    </row>
    <row r="853" spans="1:14" x14ac:dyDescent="0.35">
      <c r="A853" s="25" t="s">
        <v>4592</v>
      </c>
      <c r="B853" s="25" t="s">
        <v>4593</v>
      </c>
      <c r="C853" s="25" t="s">
        <v>4594</v>
      </c>
      <c r="E853" s="32" t="s">
        <v>4595</v>
      </c>
      <c r="F853" s="32" t="s">
        <v>4596</v>
      </c>
      <c r="G853" s="32"/>
      <c r="H853" s="32"/>
      <c r="I853" s="32"/>
      <c r="J853" s="32"/>
      <c r="N853" s="24" t="s">
        <v>415</v>
      </c>
    </row>
    <row r="854" spans="1:14" x14ac:dyDescent="0.35">
      <c r="A854" s="25" t="s">
        <v>4597</v>
      </c>
      <c r="B854" s="25" t="s">
        <v>4598</v>
      </c>
      <c r="C854" s="25" t="s">
        <v>4599</v>
      </c>
      <c r="E854" s="32" t="s">
        <v>4600</v>
      </c>
      <c r="F854" s="32"/>
      <c r="G854" s="32"/>
      <c r="H854" s="32"/>
      <c r="I854" s="32"/>
      <c r="J854" s="32"/>
      <c r="N854" s="24" t="s">
        <v>415</v>
      </c>
    </row>
    <row r="855" spans="1:14" x14ac:dyDescent="0.35">
      <c r="A855" s="25" t="s">
        <v>4601</v>
      </c>
      <c r="B855" s="25" t="s">
        <v>4602</v>
      </c>
      <c r="C855" s="25" t="s">
        <v>4603</v>
      </c>
      <c r="E855" s="32" t="s">
        <v>4604</v>
      </c>
      <c r="F855" s="32"/>
      <c r="G855" s="32"/>
      <c r="H855" s="32"/>
      <c r="I855" s="32"/>
      <c r="J855" s="32"/>
      <c r="N855" s="24" t="s">
        <v>415</v>
      </c>
    </row>
    <row r="856" spans="1:14" x14ac:dyDescent="0.35">
      <c r="A856" s="25" t="s">
        <v>4605</v>
      </c>
      <c r="B856" s="25" t="s">
        <v>4606</v>
      </c>
      <c r="C856" s="25" t="s">
        <v>4607</v>
      </c>
      <c r="E856" s="32" t="s">
        <v>4608</v>
      </c>
      <c r="F856" s="32" t="s">
        <v>4609</v>
      </c>
      <c r="G856" s="32" t="s">
        <v>4610</v>
      </c>
      <c r="H856" s="32" t="s">
        <v>4611</v>
      </c>
      <c r="I856" s="32" t="s">
        <v>4612</v>
      </c>
      <c r="J856" s="32"/>
      <c r="N856" s="24" t="s">
        <v>415</v>
      </c>
    </row>
    <row r="857" spans="1:14" x14ac:dyDescent="0.35">
      <c r="A857" s="25" t="s">
        <v>4613</v>
      </c>
      <c r="B857" s="25" t="s">
        <v>4614</v>
      </c>
      <c r="C857" s="25" t="s">
        <v>4615</v>
      </c>
      <c r="E857" s="32" t="s">
        <v>4616</v>
      </c>
      <c r="F857" s="32" t="s">
        <v>4617</v>
      </c>
      <c r="G857" s="32" t="s">
        <v>4618</v>
      </c>
      <c r="H857" s="32" t="s">
        <v>4619</v>
      </c>
      <c r="I857" s="32" t="s">
        <v>4620</v>
      </c>
      <c r="J857" s="32"/>
      <c r="N857" s="24" t="s">
        <v>415</v>
      </c>
    </row>
    <row r="858" spans="1:14" x14ac:dyDescent="0.35">
      <c r="A858" s="25" t="s">
        <v>4621</v>
      </c>
      <c r="B858" s="25" t="s">
        <v>4622</v>
      </c>
      <c r="C858" s="25" t="s">
        <v>4623</v>
      </c>
      <c r="E858" s="32" t="s">
        <v>4624</v>
      </c>
      <c r="F858" s="32" t="s">
        <v>4625</v>
      </c>
      <c r="G858" s="32" t="s">
        <v>4626</v>
      </c>
      <c r="H858" s="32" t="s">
        <v>731</v>
      </c>
      <c r="I858" s="32" t="s">
        <v>805</v>
      </c>
      <c r="J858" s="32"/>
      <c r="N858" s="24" t="s">
        <v>415</v>
      </c>
    </row>
    <row r="859" spans="1:14" x14ac:dyDescent="0.35">
      <c r="A859" s="25" t="s">
        <v>4627</v>
      </c>
      <c r="B859" s="25" t="s">
        <v>4628</v>
      </c>
      <c r="C859" s="25" t="s">
        <v>4629</v>
      </c>
      <c r="E859" s="32" t="s">
        <v>4630</v>
      </c>
      <c r="F859" s="32"/>
      <c r="G859" s="32"/>
      <c r="H859" s="32"/>
      <c r="I859" s="32"/>
      <c r="J859" s="32"/>
      <c r="N859" s="24" t="s">
        <v>415</v>
      </c>
    </row>
    <row r="860" spans="1:14" x14ac:dyDescent="0.35">
      <c r="A860" s="25" t="s">
        <v>4631</v>
      </c>
      <c r="B860" s="25" t="s">
        <v>4632</v>
      </c>
      <c r="C860" s="25" t="s">
        <v>4633</v>
      </c>
      <c r="E860" s="32" t="s">
        <v>4634</v>
      </c>
      <c r="F860" s="32"/>
      <c r="G860" s="32"/>
      <c r="H860" s="32"/>
      <c r="I860" s="32"/>
      <c r="J860" s="32"/>
      <c r="N860" s="24" t="s">
        <v>415</v>
      </c>
    </row>
    <row r="861" spans="1:14" x14ac:dyDescent="0.35">
      <c r="A861" s="25" t="s">
        <v>4635</v>
      </c>
      <c r="B861" s="25" t="s">
        <v>4636</v>
      </c>
      <c r="C861" s="25" t="s">
        <v>4637</v>
      </c>
      <c r="E861" s="32" t="s">
        <v>4638</v>
      </c>
      <c r="F861" s="32" t="s">
        <v>4639</v>
      </c>
      <c r="G861" s="32"/>
      <c r="H861" s="32"/>
      <c r="I861" s="32"/>
      <c r="J861" s="32"/>
      <c r="N861" s="24" t="s">
        <v>415</v>
      </c>
    </row>
    <row r="862" spans="1:14" x14ac:dyDescent="0.35">
      <c r="A862" s="25" t="s">
        <v>4642</v>
      </c>
      <c r="B862" s="25" t="s">
        <v>4643</v>
      </c>
      <c r="C862" s="25" t="s">
        <v>4644</v>
      </c>
      <c r="E862" s="32" t="s">
        <v>4645</v>
      </c>
      <c r="F862" s="32"/>
      <c r="G862" s="32"/>
      <c r="H862" s="32"/>
      <c r="I862" s="32"/>
      <c r="J862" s="32"/>
      <c r="N862" s="24" t="s">
        <v>415</v>
      </c>
    </row>
    <row r="863" spans="1:14" x14ac:dyDescent="0.35">
      <c r="A863" s="25" t="s">
        <v>4646</v>
      </c>
      <c r="B863" s="25" t="s">
        <v>4647</v>
      </c>
      <c r="C863" s="25" t="s">
        <v>4648</v>
      </c>
      <c r="E863" s="32" t="s">
        <v>4649</v>
      </c>
      <c r="F863" s="32"/>
      <c r="G863" s="32"/>
      <c r="H863" s="32"/>
      <c r="I863" s="32"/>
      <c r="J863" s="32"/>
      <c r="N863" s="24" t="s">
        <v>415</v>
      </c>
    </row>
    <row r="864" spans="1:14" x14ac:dyDescent="0.35">
      <c r="A864" s="25" t="s">
        <v>4650</v>
      </c>
      <c r="B864" s="25" t="s">
        <v>4651</v>
      </c>
      <c r="C864" s="25" t="s">
        <v>4652</v>
      </c>
      <c r="E864" s="32" t="s">
        <v>4653</v>
      </c>
      <c r="F864" s="32"/>
      <c r="G864" s="32"/>
      <c r="H864" s="32"/>
      <c r="I864" s="32"/>
      <c r="J864" s="32"/>
      <c r="N864" s="24" t="s">
        <v>415</v>
      </c>
    </row>
    <row r="865" spans="1:14" x14ac:dyDescent="0.35">
      <c r="A865" s="25" t="s">
        <v>4654</v>
      </c>
      <c r="B865" s="25" t="s">
        <v>4655</v>
      </c>
      <c r="C865" s="25" t="s">
        <v>4656</v>
      </c>
      <c r="E865" s="32" t="s">
        <v>4657</v>
      </c>
      <c r="F865" s="32"/>
      <c r="G865" s="32"/>
      <c r="H865" s="32"/>
      <c r="I865" s="32"/>
      <c r="J865" s="32"/>
      <c r="N865" s="24" t="s">
        <v>415</v>
      </c>
    </row>
    <row r="866" spans="1:14" x14ac:dyDescent="0.35">
      <c r="A866" s="25" t="s">
        <v>4658</v>
      </c>
      <c r="B866" s="25" t="s">
        <v>4659</v>
      </c>
      <c r="C866" s="25" t="s">
        <v>4660</v>
      </c>
      <c r="E866" s="32" t="s">
        <v>4661</v>
      </c>
      <c r="F866" s="32"/>
      <c r="G866" s="32"/>
      <c r="H866" s="32"/>
      <c r="I866" s="32"/>
      <c r="J866" s="32"/>
      <c r="N866" s="24" t="s">
        <v>415</v>
      </c>
    </row>
    <row r="867" spans="1:14" x14ac:dyDescent="0.35">
      <c r="A867" s="25" t="s">
        <v>4662</v>
      </c>
      <c r="B867" s="25" t="s">
        <v>4663</v>
      </c>
      <c r="C867" s="25" t="s">
        <v>4664</v>
      </c>
      <c r="E867" s="32" t="s">
        <v>4665</v>
      </c>
      <c r="F867" s="32" t="s">
        <v>4666</v>
      </c>
      <c r="G867" s="32" t="s">
        <v>4667</v>
      </c>
      <c r="H867" s="32" t="s">
        <v>4668</v>
      </c>
      <c r="I867" s="32"/>
      <c r="J867" s="32"/>
      <c r="N867" s="24" t="s">
        <v>415</v>
      </c>
    </row>
    <row r="868" spans="1:14" x14ac:dyDescent="0.35">
      <c r="A868" s="25" t="s">
        <v>4669</v>
      </c>
      <c r="B868" s="25" t="s">
        <v>4670</v>
      </c>
      <c r="C868" s="25" t="s">
        <v>4671</v>
      </c>
      <c r="E868" s="32" t="s">
        <v>4672</v>
      </c>
      <c r="F868" s="32" t="s">
        <v>4673</v>
      </c>
      <c r="G868" s="32" t="s">
        <v>4674</v>
      </c>
      <c r="H868" s="32"/>
      <c r="I868" s="32"/>
      <c r="J868" s="32"/>
      <c r="N868" s="24" t="s">
        <v>415</v>
      </c>
    </row>
    <row r="869" spans="1:14" x14ac:dyDescent="0.35">
      <c r="A869" s="25" t="s">
        <v>4675</v>
      </c>
      <c r="B869" s="25" t="s">
        <v>4676</v>
      </c>
      <c r="C869" s="25" t="s">
        <v>4677</v>
      </c>
      <c r="E869" s="32" t="s">
        <v>4678</v>
      </c>
      <c r="F869" s="32" t="s">
        <v>4679</v>
      </c>
      <c r="G869" s="32" t="s">
        <v>4680</v>
      </c>
      <c r="H869" s="32" t="s">
        <v>4681</v>
      </c>
      <c r="I869" s="32" t="s">
        <v>4682</v>
      </c>
      <c r="J869" s="32"/>
      <c r="N869" s="24" t="s">
        <v>415</v>
      </c>
    </row>
    <row r="870" spans="1:14" x14ac:dyDescent="0.35">
      <c r="A870" s="25" t="s">
        <v>4683</v>
      </c>
      <c r="B870" s="25" t="s">
        <v>4684</v>
      </c>
      <c r="C870" s="25" t="s">
        <v>4685</v>
      </c>
      <c r="E870" s="32" t="s">
        <v>4686</v>
      </c>
      <c r="F870" s="32" t="s">
        <v>4687</v>
      </c>
      <c r="G870" s="32" t="s">
        <v>4688</v>
      </c>
      <c r="H870" s="32" t="s">
        <v>4689</v>
      </c>
      <c r="I870" s="32" t="s">
        <v>4690</v>
      </c>
      <c r="J870" s="32"/>
      <c r="N870" s="24" t="s">
        <v>415</v>
      </c>
    </row>
    <row r="871" spans="1:14" x14ac:dyDescent="0.35">
      <c r="A871" s="25" t="s">
        <v>4691</v>
      </c>
      <c r="B871" s="25" t="s">
        <v>4692</v>
      </c>
      <c r="C871" s="25" t="s">
        <v>4693</v>
      </c>
      <c r="E871" s="32" t="s">
        <v>4694</v>
      </c>
      <c r="F871" s="32"/>
      <c r="G871" s="32"/>
      <c r="H871" s="32"/>
      <c r="I871" s="32"/>
      <c r="J871" s="32"/>
      <c r="N871" s="24" t="s">
        <v>871</v>
      </c>
    </row>
    <row r="872" spans="1:14" x14ac:dyDescent="0.35">
      <c r="A872" s="25" t="s">
        <v>69</v>
      </c>
      <c r="B872" s="25" t="s">
        <v>4695</v>
      </c>
      <c r="C872" s="25" t="s">
        <v>4696</v>
      </c>
      <c r="E872" s="32" t="s">
        <v>4697</v>
      </c>
      <c r="F872" s="32"/>
      <c r="G872" s="32"/>
      <c r="H872" s="32"/>
      <c r="I872" s="32"/>
      <c r="J872" s="32"/>
      <c r="N872" s="24" t="s">
        <v>415</v>
      </c>
    </row>
    <row r="873" spans="1:14" x14ac:dyDescent="0.35">
      <c r="A873" s="25" t="s">
        <v>4698</v>
      </c>
      <c r="B873" s="25" t="s">
        <v>4699</v>
      </c>
      <c r="C873" s="25" t="s">
        <v>4700</v>
      </c>
      <c r="E873" s="32" t="s">
        <v>4701</v>
      </c>
      <c r="F873" s="32"/>
      <c r="G873" s="32"/>
      <c r="H873" s="32"/>
      <c r="I873" s="32"/>
      <c r="J873" s="32"/>
      <c r="N873" s="24" t="s">
        <v>415</v>
      </c>
    </row>
    <row r="874" spans="1:14" x14ac:dyDescent="0.35">
      <c r="A874" s="25" t="s">
        <v>4702</v>
      </c>
      <c r="B874" s="25" t="s">
        <v>4703</v>
      </c>
      <c r="C874" s="25" t="s">
        <v>4704</v>
      </c>
      <c r="E874" s="32" t="s">
        <v>4705</v>
      </c>
      <c r="F874" s="32" t="s">
        <v>4706</v>
      </c>
      <c r="G874" s="32" t="s">
        <v>4707</v>
      </c>
      <c r="H874" s="32" t="s">
        <v>4708</v>
      </c>
      <c r="I874" s="32" t="s">
        <v>4709</v>
      </c>
      <c r="J874" s="32"/>
      <c r="N874" s="24" t="s">
        <v>415</v>
      </c>
    </row>
    <row r="875" spans="1:14" x14ac:dyDescent="0.35">
      <c r="A875" s="25" t="s">
        <v>4710</v>
      </c>
      <c r="B875" s="25" t="s">
        <v>4711</v>
      </c>
      <c r="C875" s="25" t="s">
        <v>4712</v>
      </c>
      <c r="E875" s="32" t="s">
        <v>4713</v>
      </c>
      <c r="F875" s="32" t="s">
        <v>4714</v>
      </c>
      <c r="G875" s="32" t="s">
        <v>4715</v>
      </c>
      <c r="H875" s="32"/>
      <c r="I875" s="32"/>
      <c r="J875" s="32"/>
      <c r="N875" s="24" t="s">
        <v>415</v>
      </c>
    </row>
    <row r="876" spans="1:14" x14ac:dyDescent="0.35">
      <c r="A876" s="25" t="s">
        <v>4716</v>
      </c>
      <c r="B876" s="25" t="s">
        <v>4717</v>
      </c>
      <c r="C876" s="25" t="s">
        <v>4718</v>
      </c>
      <c r="E876" s="32" t="s">
        <v>4719</v>
      </c>
      <c r="F876" s="32"/>
      <c r="G876" s="32"/>
      <c r="H876" s="32"/>
      <c r="I876" s="32"/>
      <c r="J876" s="32"/>
      <c r="N876" s="24" t="s">
        <v>415</v>
      </c>
    </row>
    <row r="877" spans="1:14" x14ac:dyDescent="0.35">
      <c r="A877" s="25" t="s">
        <v>4720</v>
      </c>
      <c r="B877" s="25" t="s">
        <v>4721</v>
      </c>
      <c r="C877" s="25" t="s">
        <v>4722</v>
      </c>
      <c r="E877" s="32" t="s">
        <v>4723</v>
      </c>
      <c r="F877" s="32"/>
      <c r="G877" s="32"/>
      <c r="H877" s="32"/>
      <c r="I877" s="32"/>
      <c r="J877" s="32"/>
      <c r="N877" s="24" t="s">
        <v>415</v>
      </c>
    </row>
    <row r="878" spans="1:14" x14ac:dyDescent="0.35">
      <c r="A878" s="25" t="s">
        <v>4724</v>
      </c>
      <c r="B878" s="25" t="s">
        <v>4725</v>
      </c>
      <c r="C878" s="25" t="s">
        <v>4726</v>
      </c>
      <c r="E878" s="32" t="s">
        <v>4727</v>
      </c>
      <c r="F878" s="32" t="s">
        <v>4728</v>
      </c>
      <c r="G878" s="32" t="s">
        <v>4729</v>
      </c>
      <c r="H878" s="32" t="s">
        <v>4730</v>
      </c>
      <c r="I878" s="32" t="s">
        <v>4731</v>
      </c>
      <c r="J878" s="32"/>
      <c r="N878" s="24" t="s">
        <v>871</v>
      </c>
    </row>
    <row r="879" spans="1:14" x14ac:dyDescent="0.35">
      <c r="A879" s="25" t="s">
        <v>4732</v>
      </c>
      <c r="B879" s="25" t="s">
        <v>4733</v>
      </c>
      <c r="C879" s="25" t="s">
        <v>4734</v>
      </c>
      <c r="E879" s="32" t="s">
        <v>4735</v>
      </c>
      <c r="F879" s="32" t="s">
        <v>4736</v>
      </c>
      <c r="G879" s="32" t="s">
        <v>4737</v>
      </c>
      <c r="H879" s="32"/>
      <c r="I879" s="32"/>
      <c r="J879" s="32"/>
      <c r="N879" s="24" t="s">
        <v>415</v>
      </c>
    </row>
    <row r="880" spans="1:14" x14ac:dyDescent="0.35">
      <c r="A880" s="25" t="s">
        <v>4738</v>
      </c>
      <c r="B880" s="25" t="s">
        <v>4739</v>
      </c>
      <c r="C880" s="25" t="s">
        <v>4740</v>
      </c>
      <c r="E880" s="32" t="s">
        <v>4741</v>
      </c>
      <c r="F880" s="32" t="s">
        <v>4742</v>
      </c>
      <c r="G880" s="32"/>
      <c r="H880" s="32"/>
      <c r="I880" s="32"/>
      <c r="J880" s="32"/>
      <c r="N880" s="24" t="s">
        <v>415</v>
      </c>
    </row>
    <row r="881" spans="1:14" x14ac:dyDescent="0.35">
      <c r="A881" s="25" t="s">
        <v>4743</v>
      </c>
      <c r="B881" s="25" t="s">
        <v>4744</v>
      </c>
      <c r="C881" s="25" t="s">
        <v>9419</v>
      </c>
      <c r="E881" s="32" t="s">
        <v>4745</v>
      </c>
      <c r="F881" s="32"/>
      <c r="G881" s="32"/>
      <c r="H881" s="32"/>
      <c r="I881" s="32"/>
      <c r="J881" s="32"/>
      <c r="N881" s="24" t="s">
        <v>415</v>
      </c>
    </row>
    <row r="882" spans="1:14" x14ac:dyDescent="0.35">
      <c r="A882" s="25" t="s">
        <v>4746</v>
      </c>
      <c r="B882" s="25" t="s">
        <v>4747</v>
      </c>
      <c r="C882" s="25" t="s">
        <v>4748</v>
      </c>
      <c r="E882" s="32" t="s">
        <v>4749</v>
      </c>
      <c r="F882" s="32"/>
      <c r="G882" s="32"/>
      <c r="H882" s="32"/>
      <c r="I882" s="32"/>
      <c r="J882" s="32"/>
      <c r="N882" s="24" t="s">
        <v>458</v>
      </c>
    </row>
    <row r="883" spans="1:14" x14ac:dyDescent="0.35">
      <c r="A883" s="25" t="s">
        <v>4750</v>
      </c>
      <c r="B883" s="25" t="s">
        <v>4751</v>
      </c>
      <c r="C883" s="25" t="s">
        <v>4752</v>
      </c>
      <c r="E883" s="32" t="s">
        <v>4753</v>
      </c>
      <c r="F883" s="32" t="s">
        <v>4754</v>
      </c>
      <c r="G883" s="32" t="s">
        <v>4755</v>
      </c>
      <c r="H883" s="32"/>
      <c r="I883" s="32"/>
      <c r="J883" s="32"/>
      <c r="N883" s="24" t="s">
        <v>1169</v>
      </c>
    </row>
    <row r="884" spans="1:14" x14ac:dyDescent="0.35">
      <c r="A884" s="25" t="s">
        <v>4756</v>
      </c>
      <c r="B884" s="25" t="s">
        <v>4757</v>
      </c>
      <c r="C884" s="25" t="s">
        <v>4758</v>
      </c>
      <c r="E884" s="32" t="s">
        <v>4759</v>
      </c>
      <c r="F884" s="32" t="s">
        <v>4760</v>
      </c>
      <c r="G884" s="32" t="s">
        <v>4761</v>
      </c>
      <c r="H884" s="32"/>
      <c r="I884" s="32"/>
      <c r="J884" s="32"/>
      <c r="N884" s="24" t="s">
        <v>1696</v>
      </c>
    </row>
    <row r="885" spans="1:14" x14ac:dyDescent="0.35">
      <c r="A885" s="25" t="s">
        <v>4762</v>
      </c>
      <c r="B885" s="25" t="s">
        <v>4763</v>
      </c>
      <c r="C885" s="25" t="s">
        <v>4764</v>
      </c>
      <c r="E885" s="32" t="s">
        <v>4765</v>
      </c>
      <c r="F885" s="32" t="s">
        <v>4766</v>
      </c>
      <c r="G885" s="32" t="s">
        <v>4767</v>
      </c>
      <c r="H885" s="32" t="s">
        <v>4768</v>
      </c>
      <c r="I885" s="32" t="s">
        <v>4769</v>
      </c>
      <c r="J885" s="32"/>
      <c r="N885" s="24" t="s">
        <v>415</v>
      </c>
    </row>
    <row r="886" spans="1:14" x14ac:dyDescent="0.35">
      <c r="A886" s="25" t="s">
        <v>4770</v>
      </c>
      <c r="B886" s="25" t="s">
        <v>4771</v>
      </c>
      <c r="C886" s="25" t="s">
        <v>4772</v>
      </c>
      <c r="E886" s="32" t="s">
        <v>4773</v>
      </c>
      <c r="F886" s="32" t="s">
        <v>4774</v>
      </c>
      <c r="G886" s="32"/>
      <c r="H886" s="32"/>
      <c r="I886" s="32"/>
      <c r="J886" s="32"/>
      <c r="N886" s="24" t="s">
        <v>415</v>
      </c>
    </row>
    <row r="887" spans="1:14" x14ac:dyDescent="0.35">
      <c r="A887" s="25" t="s">
        <v>4775</v>
      </c>
      <c r="B887" s="25" t="s">
        <v>4776</v>
      </c>
      <c r="C887" s="25" t="s">
        <v>4777</v>
      </c>
      <c r="E887" s="32" t="s">
        <v>4778</v>
      </c>
      <c r="F887" s="32"/>
      <c r="G887" s="32"/>
      <c r="H887" s="32"/>
      <c r="I887" s="32"/>
      <c r="J887" s="32"/>
      <c r="N887" s="24" t="s">
        <v>415</v>
      </c>
    </row>
    <row r="888" spans="1:14" x14ac:dyDescent="0.35">
      <c r="A888" s="25" t="s">
        <v>458</v>
      </c>
      <c r="B888" s="25" t="s">
        <v>4779</v>
      </c>
      <c r="C888" s="25" t="s">
        <v>4780</v>
      </c>
      <c r="E888" s="32" t="s">
        <v>4781</v>
      </c>
      <c r="F888" s="32"/>
      <c r="G888" s="32"/>
      <c r="H888" s="32"/>
      <c r="I888" s="32"/>
      <c r="J888" s="32"/>
      <c r="N888" s="24" t="s">
        <v>415</v>
      </c>
    </row>
    <row r="889" spans="1:14" x14ac:dyDescent="0.35">
      <c r="A889" s="25" t="s">
        <v>4782</v>
      </c>
      <c r="B889" s="25" t="s">
        <v>4783</v>
      </c>
      <c r="C889" s="25" t="s">
        <v>4784</v>
      </c>
      <c r="E889" s="32" t="s">
        <v>4785</v>
      </c>
      <c r="F889" s="32" t="s">
        <v>4786</v>
      </c>
      <c r="G889" s="32" t="s">
        <v>4787</v>
      </c>
      <c r="H889" s="32" t="s">
        <v>4788</v>
      </c>
      <c r="I889" s="32"/>
      <c r="J889" s="32"/>
      <c r="N889" s="24" t="s">
        <v>415</v>
      </c>
    </row>
    <row r="890" spans="1:14" x14ac:dyDescent="0.35">
      <c r="A890" s="25" t="s">
        <v>4789</v>
      </c>
      <c r="B890" s="25" t="s">
        <v>4790</v>
      </c>
      <c r="C890" s="25" t="s">
        <v>4791</v>
      </c>
      <c r="E890" s="32" t="s">
        <v>4792</v>
      </c>
      <c r="F890" s="32" t="s">
        <v>4793</v>
      </c>
      <c r="G890" s="32" t="s">
        <v>4794</v>
      </c>
      <c r="H890" s="32" t="s">
        <v>4795</v>
      </c>
      <c r="I890" s="32" t="s">
        <v>4796</v>
      </c>
      <c r="J890" s="32"/>
      <c r="N890" s="24" t="s">
        <v>1434</v>
      </c>
    </row>
    <row r="891" spans="1:14" x14ac:dyDescent="0.35">
      <c r="A891" s="25" t="s">
        <v>4797</v>
      </c>
      <c r="B891" s="25" t="s">
        <v>4798</v>
      </c>
      <c r="C891" s="25" t="s">
        <v>4799</v>
      </c>
      <c r="E891" s="32" t="s">
        <v>4800</v>
      </c>
      <c r="F891" s="32" t="s">
        <v>4801</v>
      </c>
      <c r="G891" s="32" t="s">
        <v>4802</v>
      </c>
      <c r="H891" s="32" t="s">
        <v>4803</v>
      </c>
      <c r="I891" s="32" t="s">
        <v>4804</v>
      </c>
      <c r="J891" s="32"/>
      <c r="N891" s="24" t="s">
        <v>415</v>
      </c>
    </row>
    <row r="892" spans="1:14" x14ac:dyDescent="0.35">
      <c r="A892" s="25" t="s">
        <v>4805</v>
      </c>
      <c r="B892" s="25" t="s">
        <v>4806</v>
      </c>
      <c r="C892" s="25" t="s">
        <v>4807</v>
      </c>
      <c r="E892" s="32" t="s">
        <v>4808</v>
      </c>
      <c r="F892" s="32" t="s">
        <v>4809</v>
      </c>
      <c r="G892" s="32" t="s">
        <v>4810</v>
      </c>
      <c r="H892" s="32" t="s">
        <v>4811</v>
      </c>
      <c r="I892" s="32" t="s">
        <v>4812</v>
      </c>
      <c r="J892" s="32"/>
      <c r="N892" s="24" t="s">
        <v>415</v>
      </c>
    </row>
    <row r="893" spans="1:14" x14ac:dyDescent="0.35">
      <c r="A893" s="25" t="s">
        <v>4813</v>
      </c>
      <c r="B893" s="25" t="s">
        <v>4814</v>
      </c>
      <c r="C893" s="25" t="s">
        <v>4815</v>
      </c>
      <c r="E893" s="32" t="s">
        <v>4816</v>
      </c>
      <c r="F893" s="32" t="s">
        <v>4817</v>
      </c>
      <c r="G893" s="32" t="s">
        <v>4818</v>
      </c>
      <c r="H893" s="32" t="s">
        <v>4819</v>
      </c>
      <c r="I893" s="32" t="s">
        <v>4820</v>
      </c>
      <c r="J893" s="32"/>
      <c r="N893" s="24" t="s">
        <v>415</v>
      </c>
    </row>
    <row r="894" spans="1:14" x14ac:dyDescent="0.35">
      <c r="A894" s="25" t="s">
        <v>4821</v>
      </c>
      <c r="B894" s="25" t="s">
        <v>4822</v>
      </c>
      <c r="C894" s="25" t="s">
        <v>4823</v>
      </c>
      <c r="E894" s="32" t="s">
        <v>4824</v>
      </c>
      <c r="F894" s="32" t="s">
        <v>4825</v>
      </c>
      <c r="G894" s="32" t="s">
        <v>4826</v>
      </c>
      <c r="H894" s="32" t="s">
        <v>4827</v>
      </c>
      <c r="I894" s="32" t="s">
        <v>4828</v>
      </c>
      <c r="J894" s="32"/>
      <c r="N894" s="24" t="s">
        <v>1169</v>
      </c>
    </row>
    <row r="895" spans="1:14" x14ac:dyDescent="0.35">
      <c r="A895" s="25" t="s">
        <v>4829</v>
      </c>
      <c r="B895" s="25" t="s">
        <v>4830</v>
      </c>
      <c r="C895" s="25" t="s">
        <v>4831</v>
      </c>
      <c r="E895" s="32" t="s">
        <v>4832</v>
      </c>
      <c r="F895" s="32" t="s">
        <v>4833</v>
      </c>
      <c r="G895" s="32" t="s">
        <v>4834</v>
      </c>
      <c r="H895" s="32" t="s">
        <v>4835</v>
      </c>
      <c r="I895" s="32" t="s">
        <v>4836</v>
      </c>
      <c r="J895" s="32"/>
      <c r="N895" s="24" t="s">
        <v>415</v>
      </c>
    </row>
    <row r="896" spans="1:14" x14ac:dyDescent="0.35">
      <c r="A896" s="25" t="s">
        <v>4837</v>
      </c>
      <c r="B896" s="25" t="s">
        <v>4838</v>
      </c>
      <c r="C896" s="25" t="s">
        <v>4839</v>
      </c>
      <c r="E896" s="32" t="s">
        <v>4840</v>
      </c>
      <c r="F896" s="32" t="s">
        <v>4841</v>
      </c>
      <c r="G896" s="32"/>
      <c r="H896" s="32"/>
      <c r="I896" s="32"/>
      <c r="J896" s="32"/>
      <c r="N896" s="24" t="s">
        <v>415</v>
      </c>
    </row>
    <row r="897" spans="1:14" x14ac:dyDescent="0.35">
      <c r="A897" s="25" t="s">
        <v>4842</v>
      </c>
      <c r="B897" s="25" t="s">
        <v>4843</v>
      </c>
      <c r="C897" s="25" t="s">
        <v>4844</v>
      </c>
      <c r="E897" s="32" t="s">
        <v>4845</v>
      </c>
      <c r="F897" s="32"/>
      <c r="G897" s="32"/>
      <c r="H897" s="32"/>
      <c r="I897" s="32"/>
      <c r="J897" s="32"/>
      <c r="N897" s="24" t="s">
        <v>1434</v>
      </c>
    </row>
    <row r="898" spans="1:14" x14ac:dyDescent="0.35">
      <c r="A898" s="25" t="s">
        <v>4846</v>
      </c>
      <c r="B898" s="25" t="s">
        <v>4847</v>
      </c>
      <c r="C898" s="25" t="s">
        <v>4848</v>
      </c>
      <c r="E898" s="32" t="s">
        <v>4849</v>
      </c>
      <c r="F898" s="32" t="s">
        <v>4850</v>
      </c>
      <c r="G898" s="32" t="s">
        <v>4851</v>
      </c>
      <c r="H898" s="32" t="s">
        <v>4852</v>
      </c>
      <c r="I898" s="32" t="s">
        <v>4853</v>
      </c>
      <c r="J898" s="32"/>
      <c r="N898" s="24" t="s">
        <v>415</v>
      </c>
    </row>
    <row r="899" spans="1:14" x14ac:dyDescent="0.35">
      <c r="A899" s="25" t="s">
        <v>4854</v>
      </c>
      <c r="B899" s="25" t="s">
        <v>4855</v>
      </c>
      <c r="C899" s="25" t="s">
        <v>4856</v>
      </c>
      <c r="E899" s="32" t="s">
        <v>4857</v>
      </c>
      <c r="F899" s="32" t="s">
        <v>4858</v>
      </c>
      <c r="G899" s="32" t="s">
        <v>4859</v>
      </c>
      <c r="H899" s="32" t="s">
        <v>4860</v>
      </c>
      <c r="I899" s="32" t="s">
        <v>4861</v>
      </c>
      <c r="J899" s="32"/>
      <c r="N899" s="24" t="s">
        <v>415</v>
      </c>
    </row>
    <row r="900" spans="1:14" x14ac:dyDescent="0.35">
      <c r="A900" s="25" t="s">
        <v>4862</v>
      </c>
      <c r="B900" s="25" t="s">
        <v>4863</v>
      </c>
      <c r="C900" s="25" t="s">
        <v>4864</v>
      </c>
      <c r="E900" s="32" t="s">
        <v>4865</v>
      </c>
      <c r="F900" s="32" t="s">
        <v>4866</v>
      </c>
      <c r="G900" s="32" t="s">
        <v>4867</v>
      </c>
      <c r="H900" s="32" t="s">
        <v>4868</v>
      </c>
      <c r="I900" s="32" t="s">
        <v>4869</v>
      </c>
      <c r="J900" s="32"/>
      <c r="N900" s="24" t="s">
        <v>415</v>
      </c>
    </row>
    <row r="901" spans="1:14" x14ac:dyDescent="0.35">
      <c r="A901" s="25" t="s">
        <v>4870</v>
      </c>
      <c r="B901" s="25" t="s">
        <v>4871</v>
      </c>
      <c r="C901" s="25" t="s">
        <v>4872</v>
      </c>
      <c r="E901" s="32" t="s">
        <v>4873</v>
      </c>
      <c r="F901" s="32" t="s">
        <v>4874</v>
      </c>
      <c r="G901" s="32" t="s">
        <v>4875</v>
      </c>
      <c r="H901" s="32" t="s">
        <v>4876</v>
      </c>
      <c r="I901" s="32" t="s">
        <v>4877</v>
      </c>
      <c r="J901" s="32"/>
      <c r="N901" s="24" t="s">
        <v>1169</v>
      </c>
    </row>
    <row r="902" spans="1:14" x14ac:dyDescent="0.35">
      <c r="A902" s="25" t="s">
        <v>4878</v>
      </c>
      <c r="B902" s="25" t="s">
        <v>4879</v>
      </c>
      <c r="C902" s="25" t="s">
        <v>4880</v>
      </c>
      <c r="E902" s="32" t="s">
        <v>4881</v>
      </c>
      <c r="F902" s="32"/>
      <c r="G902" s="32"/>
      <c r="H902" s="32"/>
      <c r="I902" s="32"/>
      <c r="J902" s="32"/>
      <c r="N902" s="24" t="s">
        <v>415</v>
      </c>
    </row>
    <row r="903" spans="1:14" x14ac:dyDescent="0.35">
      <c r="A903" s="25" t="s">
        <v>4882</v>
      </c>
      <c r="B903" s="25" t="s">
        <v>4883</v>
      </c>
      <c r="C903" s="25" t="s">
        <v>4884</v>
      </c>
      <c r="E903" s="32"/>
      <c r="F903" s="32"/>
      <c r="G903" s="32"/>
      <c r="H903" s="32"/>
      <c r="I903" s="32"/>
      <c r="J903" s="32"/>
      <c r="N903" s="24" t="s">
        <v>415</v>
      </c>
    </row>
    <row r="904" spans="1:14" x14ac:dyDescent="0.35">
      <c r="A904" s="25" t="s">
        <v>4885</v>
      </c>
      <c r="B904" s="25" t="s">
        <v>4886</v>
      </c>
      <c r="C904" s="25" t="s">
        <v>4887</v>
      </c>
      <c r="E904" s="32" t="s">
        <v>4888</v>
      </c>
      <c r="F904" s="32" t="s">
        <v>4889</v>
      </c>
      <c r="G904" s="32" t="s">
        <v>4890</v>
      </c>
      <c r="H904" s="32" t="s">
        <v>4891</v>
      </c>
      <c r="I904" s="32" t="s">
        <v>4892</v>
      </c>
      <c r="J904" s="32"/>
      <c r="N904" s="24" t="s">
        <v>415</v>
      </c>
    </row>
    <row r="905" spans="1:14" x14ac:dyDescent="0.35">
      <c r="A905" s="25" t="s">
        <v>4893</v>
      </c>
      <c r="B905" s="25" t="s">
        <v>4894</v>
      </c>
      <c r="C905" s="25" t="s">
        <v>4895</v>
      </c>
      <c r="E905" s="32" t="s">
        <v>4896</v>
      </c>
      <c r="F905" s="32" t="s">
        <v>4897</v>
      </c>
      <c r="G905" s="32" t="s">
        <v>4898</v>
      </c>
      <c r="H905" s="32"/>
      <c r="I905" s="32"/>
      <c r="J905" s="32"/>
      <c r="N905" s="24" t="s">
        <v>415</v>
      </c>
    </row>
    <row r="906" spans="1:14" x14ac:dyDescent="0.35">
      <c r="A906" s="25" t="s">
        <v>4899</v>
      </c>
      <c r="B906" s="25" t="s">
        <v>4900</v>
      </c>
      <c r="C906" s="25" t="s">
        <v>9517</v>
      </c>
      <c r="E906" s="32" t="s">
        <v>4901</v>
      </c>
      <c r="F906" s="32" t="s">
        <v>4902</v>
      </c>
      <c r="G906" s="32" t="s">
        <v>4903</v>
      </c>
      <c r="H906" s="32" t="s">
        <v>4904</v>
      </c>
      <c r="I906" s="32" t="s">
        <v>4905</v>
      </c>
      <c r="J906" s="32"/>
      <c r="N906" s="24" t="s">
        <v>1434</v>
      </c>
    </row>
    <row r="907" spans="1:14" x14ac:dyDescent="0.35">
      <c r="A907" s="25" t="s">
        <v>4906</v>
      </c>
      <c r="B907" s="25" t="s">
        <v>4907</v>
      </c>
      <c r="C907" s="25" t="s">
        <v>4908</v>
      </c>
      <c r="E907" s="32" t="s">
        <v>4909</v>
      </c>
      <c r="F907" s="32" t="s">
        <v>4910</v>
      </c>
      <c r="G907" s="32" t="s">
        <v>4911</v>
      </c>
      <c r="H907" s="32" t="s">
        <v>4912</v>
      </c>
      <c r="I907" s="32" t="s">
        <v>4913</v>
      </c>
      <c r="J907" s="32"/>
      <c r="N907" s="24" t="s">
        <v>415</v>
      </c>
    </row>
    <row r="908" spans="1:14" x14ac:dyDescent="0.35">
      <c r="A908" s="25" t="s">
        <v>4914</v>
      </c>
      <c r="B908" s="25" t="s">
        <v>4915</v>
      </c>
      <c r="C908" s="25" t="s">
        <v>4916</v>
      </c>
      <c r="E908" s="32" t="s">
        <v>4917</v>
      </c>
      <c r="F908" s="32"/>
      <c r="G908" s="32"/>
      <c r="H908" s="32"/>
      <c r="I908" s="32"/>
      <c r="J908" s="32"/>
      <c r="N908" s="24" t="s">
        <v>415</v>
      </c>
    </row>
    <row r="909" spans="1:14" x14ac:dyDescent="0.35">
      <c r="A909" s="25" t="s">
        <v>4918</v>
      </c>
      <c r="B909" s="25" t="s">
        <v>4919</v>
      </c>
      <c r="C909" s="25" t="s">
        <v>4920</v>
      </c>
      <c r="E909" s="32" t="s">
        <v>4921</v>
      </c>
      <c r="F909" s="32" t="s">
        <v>4922</v>
      </c>
      <c r="G909" s="32" t="s">
        <v>4923</v>
      </c>
      <c r="H909" s="32" t="s">
        <v>4924</v>
      </c>
      <c r="I909" s="32" t="s">
        <v>4925</v>
      </c>
      <c r="J909" s="32"/>
      <c r="N909" s="24" t="s">
        <v>415</v>
      </c>
    </row>
    <row r="910" spans="1:14" x14ac:dyDescent="0.35">
      <c r="A910" s="25" t="s">
        <v>4926</v>
      </c>
      <c r="B910" s="25" t="s">
        <v>4927</v>
      </c>
      <c r="C910" s="25" t="s">
        <v>4928</v>
      </c>
      <c r="E910" s="32" t="s">
        <v>4929</v>
      </c>
      <c r="F910" s="32" t="s">
        <v>4930</v>
      </c>
      <c r="G910" s="32" t="s">
        <v>4931</v>
      </c>
      <c r="H910" s="32" t="s">
        <v>4932</v>
      </c>
      <c r="I910" s="32" t="s">
        <v>4933</v>
      </c>
      <c r="J910" s="32"/>
      <c r="N910" s="24" t="s">
        <v>415</v>
      </c>
    </row>
    <row r="911" spans="1:14" x14ac:dyDescent="0.35">
      <c r="A911" s="25" t="s">
        <v>4934</v>
      </c>
      <c r="B911" s="25" t="s">
        <v>4935</v>
      </c>
      <c r="C911" s="25" t="s">
        <v>4936</v>
      </c>
      <c r="E911" s="32" t="s">
        <v>4937</v>
      </c>
      <c r="F911" s="32" t="s">
        <v>4938</v>
      </c>
      <c r="G911" s="32" t="s">
        <v>4939</v>
      </c>
      <c r="H911" s="32" t="s">
        <v>4940</v>
      </c>
      <c r="I911" s="32"/>
      <c r="J911" s="32"/>
      <c r="N911" s="24" t="s">
        <v>415</v>
      </c>
    </row>
    <row r="912" spans="1:14" x14ac:dyDescent="0.35">
      <c r="A912" s="25" t="s">
        <v>4941</v>
      </c>
      <c r="B912" s="25" t="s">
        <v>4942</v>
      </c>
      <c r="C912" s="25" t="s">
        <v>4943</v>
      </c>
      <c r="E912" s="32" t="s">
        <v>4944</v>
      </c>
      <c r="F912" s="32" t="s">
        <v>4945</v>
      </c>
      <c r="G912" s="32" t="s">
        <v>4946</v>
      </c>
      <c r="H912" s="32" t="s">
        <v>4947</v>
      </c>
      <c r="I912" s="32" t="s">
        <v>4948</v>
      </c>
      <c r="J912" s="32"/>
      <c r="N912" s="24" t="s">
        <v>415</v>
      </c>
    </row>
    <row r="913" spans="1:14" x14ac:dyDescent="0.35">
      <c r="A913" s="25" t="s">
        <v>4949</v>
      </c>
      <c r="B913" s="25" t="s">
        <v>4950</v>
      </c>
      <c r="C913" s="25" t="s">
        <v>4951</v>
      </c>
      <c r="E913" s="32" t="s">
        <v>4952</v>
      </c>
      <c r="F913" s="32"/>
      <c r="G913" s="32"/>
      <c r="H913" s="32"/>
      <c r="I913" s="32"/>
      <c r="J913" s="32"/>
      <c r="N913" s="24" t="s">
        <v>415</v>
      </c>
    </row>
    <row r="914" spans="1:14" x14ac:dyDescent="0.35">
      <c r="A914" s="25" t="s">
        <v>4953</v>
      </c>
      <c r="B914" s="25" t="s">
        <v>4954</v>
      </c>
      <c r="C914" s="25" t="s">
        <v>4955</v>
      </c>
      <c r="E914" s="32" t="s">
        <v>4956</v>
      </c>
      <c r="F914" s="32"/>
      <c r="G914" s="32"/>
      <c r="H914" s="32"/>
      <c r="I914" s="32"/>
      <c r="J914" s="32"/>
      <c r="N914" s="24" t="s">
        <v>415</v>
      </c>
    </row>
    <row r="915" spans="1:14" x14ac:dyDescent="0.35">
      <c r="A915" s="25" t="s">
        <v>4957</v>
      </c>
      <c r="B915" s="25" t="s">
        <v>4958</v>
      </c>
      <c r="C915" s="25" t="s">
        <v>4959</v>
      </c>
      <c r="E915" s="32" t="s">
        <v>4960</v>
      </c>
      <c r="F915" s="32"/>
      <c r="G915" s="32"/>
      <c r="H915" s="32"/>
      <c r="I915" s="32"/>
      <c r="J915" s="32"/>
      <c r="N915" s="24" t="s">
        <v>415</v>
      </c>
    </row>
    <row r="916" spans="1:14" x14ac:dyDescent="0.35">
      <c r="A916" s="25" t="s">
        <v>4961</v>
      </c>
      <c r="B916" s="25" t="s">
        <v>4962</v>
      </c>
      <c r="C916" s="25" t="s">
        <v>4963</v>
      </c>
      <c r="E916" s="32" t="s">
        <v>4964</v>
      </c>
      <c r="F916" s="32"/>
      <c r="G916" s="32"/>
      <c r="H916" s="32"/>
      <c r="I916" s="32"/>
      <c r="J916" s="32"/>
      <c r="N916" s="24" t="s">
        <v>871</v>
      </c>
    </row>
    <row r="917" spans="1:14" x14ac:dyDescent="0.35">
      <c r="A917" s="25" t="s">
        <v>4965</v>
      </c>
      <c r="B917" s="25" t="s">
        <v>4966</v>
      </c>
      <c r="C917" s="25" t="s">
        <v>4967</v>
      </c>
      <c r="D917" s="25" t="s">
        <v>9465</v>
      </c>
      <c r="E917" s="32" t="s">
        <v>4968</v>
      </c>
      <c r="F917" s="32"/>
      <c r="G917" s="32"/>
      <c r="H917" s="32"/>
      <c r="I917" s="32"/>
      <c r="J917" s="32"/>
      <c r="N917" s="24" t="s">
        <v>415</v>
      </c>
    </row>
    <row r="918" spans="1:14" x14ac:dyDescent="0.35">
      <c r="A918" s="25" t="s">
        <v>4969</v>
      </c>
      <c r="B918" s="25" t="s">
        <v>4970</v>
      </c>
      <c r="C918" s="25" t="s">
        <v>4971</v>
      </c>
      <c r="E918" s="32" t="s">
        <v>4972</v>
      </c>
      <c r="F918" s="32" t="s">
        <v>4973</v>
      </c>
      <c r="G918" s="32" t="s">
        <v>4974</v>
      </c>
      <c r="H918" s="32" t="s">
        <v>4975</v>
      </c>
      <c r="I918" s="32" t="s">
        <v>4976</v>
      </c>
      <c r="J918" s="32"/>
      <c r="N918" s="24" t="s">
        <v>415</v>
      </c>
    </row>
    <row r="919" spans="1:14" x14ac:dyDescent="0.35">
      <c r="A919" s="25" t="s">
        <v>4977</v>
      </c>
      <c r="B919" s="25" t="s">
        <v>4978</v>
      </c>
      <c r="C919" s="25" t="s">
        <v>4979</v>
      </c>
      <c r="E919" s="32" t="s">
        <v>4980</v>
      </c>
      <c r="F919" s="32" t="s">
        <v>4981</v>
      </c>
      <c r="G919" s="32" t="s">
        <v>4982</v>
      </c>
      <c r="H919" s="32" t="s">
        <v>4983</v>
      </c>
      <c r="I919" s="32" t="s">
        <v>4984</v>
      </c>
      <c r="J919" s="32"/>
      <c r="N919" s="24" t="s">
        <v>415</v>
      </c>
    </row>
    <row r="920" spans="1:14" x14ac:dyDescent="0.35">
      <c r="A920" s="25" t="s">
        <v>4985</v>
      </c>
      <c r="B920" s="25" t="s">
        <v>4986</v>
      </c>
      <c r="C920" s="25" t="s">
        <v>4987</v>
      </c>
      <c r="E920" s="32" t="s">
        <v>4988</v>
      </c>
      <c r="F920" s="32" t="s">
        <v>4989</v>
      </c>
      <c r="G920" s="32" t="s">
        <v>4990</v>
      </c>
      <c r="H920" s="32" t="s">
        <v>4991</v>
      </c>
      <c r="I920" s="32" t="s">
        <v>4992</v>
      </c>
      <c r="J920" s="32"/>
      <c r="N920" s="24" t="s">
        <v>415</v>
      </c>
    </row>
    <row r="921" spans="1:14" x14ac:dyDescent="0.35">
      <c r="A921" s="25" t="s">
        <v>4993</v>
      </c>
      <c r="B921" s="25" t="s">
        <v>4994</v>
      </c>
      <c r="C921" s="25" t="s">
        <v>4995</v>
      </c>
      <c r="E921" s="32" t="s">
        <v>4996</v>
      </c>
      <c r="F921" s="32" t="s">
        <v>4997</v>
      </c>
      <c r="G921" s="32" t="s">
        <v>4998</v>
      </c>
      <c r="H921" s="32" t="s">
        <v>4999</v>
      </c>
      <c r="I921" s="32"/>
      <c r="J921" s="32"/>
      <c r="N921" s="24" t="s">
        <v>415</v>
      </c>
    </row>
    <row r="922" spans="1:14" x14ac:dyDescent="0.35">
      <c r="A922" s="25" t="s">
        <v>5000</v>
      </c>
      <c r="B922" s="25" t="s">
        <v>5001</v>
      </c>
      <c r="C922" s="25" t="s">
        <v>5002</v>
      </c>
      <c r="E922" s="32" t="s">
        <v>5003</v>
      </c>
      <c r="F922" s="32" t="s">
        <v>5004</v>
      </c>
      <c r="G922" s="32"/>
      <c r="H922" s="32"/>
      <c r="I922" s="32"/>
      <c r="J922" s="32"/>
      <c r="N922" s="24" t="s">
        <v>415</v>
      </c>
    </row>
    <row r="923" spans="1:14" x14ac:dyDescent="0.35">
      <c r="A923" s="25" t="s">
        <v>5005</v>
      </c>
      <c r="B923" s="25" t="s">
        <v>5006</v>
      </c>
      <c r="C923" s="25" t="s">
        <v>5007</v>
      </c>
      <c r="E923" s="32" t="s">
        <v>5008</v>
      </c>
      <c r="F923" s="32" t="s">
        <v>5009</v>
      </c>
      <c r="G923" s="32" t="s">
        <v>5010</v>
      </c>
      <c r="H923" s="32" t="s">
        <v>5011</v>
      </c>
      <c r="I923" s="32" t="s">
        <v>5012</v>
      </c>
      <c r="J923" s="32"/>
      <c r="N923" s="24" t="s">
        <v>415</v>
      </c>
    </row>
    <row r="924" spans="1:14" x14ac:dyDescent="0.35">
      <c r="A924" s="25" t="s">
        <v>5013</v>
      </c>
      <c r="B924" s="25" t="s">
        <v>5014</v>
      </c>
      <c r="C924" s="25" t="s">
        <v>5015</v>
      </c>
      <c r="E924" s="32" t="s">
        <v>5016</v>
      </c>
      <c r="F924" s="32"/>
      <c r="G924" s="32"/>
      <c r="H924" s="32"/>
      <c r="I924" s="32"/>
      <c r="J924" s="32"/>
      <c r="N924" s="24" t="s">
        <v>415</v>
      </c>
    </row>
    <row r="925" spans="1:14" x14ac:dyDescent="0.35">
      <c r="A925" s="25" t="s">
        <v>5017</v>
      </c>
      <c r="B925" s="25" t="s">
        <v>5018</v>
      </c>
      <c r="C925" s="25" t="s">
        <v>5019</v>
      </c>
      <c r="E925" s="32" t="s">
        <v>5020</v>
      </c>
      <c r="F925" s="32"/>
      <c r="G925" s="32"/>
      <c r="H925" s="32"/>
      <c r="I925" s="32"/>
      <c r="J925" s="32"/>
      <c r="N925" s="24" t="s">
        <v>871</v>
      </c>
    </row>
    <row r="926" spans="1:14" x14ac:dyDescent="0.35">
      <c r="A926" s="25" t="s">
        <v>5021</v>
      </c>
      <c r="B926" s="25" t="s">
        <v>5022</v>
      </c>
      <c r="C926" s="25" t="s">
        <v>5023</v>
      </c>
      <c r="E926" s="32" t="s">
        <v>5024</v>
      </c>
      <c r="F926" s="32"/>
      <c r="G926" s="32"/>
      <c r="H926" s="32"/>
      <c r="I926" s="32"/>
      <c r="J926" s="32"/>
      <c r="N926" s="24" t="s">
        <v>415</v>
      </c>
    </row>
    <row r="927" spans="1:14" x14ac:dyDescent="0.35">
      <c r="A927" s="25" t="s">
        <v>5025</v>
      </c>
      <c r="B927" s="25" t="s">
        <v>5026</v>
      </c>
      <c r="C927" s="25" t="s">
        <v>5027</v>
      </c>
      <c r="E927" s="32" t="s">
        <v>5028</v>
      </c>
      <c r="F927" s="32"/>
      <c r="G927" s="32"/>
      <c r="H927" s="32"/>
      <c r="I927" s="32"/>
      <c r="J927" s="32"/>
      <c r="N927" s="24" t="s">
        <v>415</v>
      </c>
    </row>
    <row r="928" spans="1:14" x14ac:dyDescent="0.35">
      <c r="A928" s="25" t="s">
        <v>5029</v>
      </c>
      <c r="B928" s="25" t="s">
        <v>5030</v>
      </c>
      <c r="C928" s="25" t="s">
        <v>5031</v>
      </c>
      <c r="E928" s="32" t="s">
        <v>5032</v>
      </c>
      <c r="F928" s="32"/>
      <c r="G928" s="32"/>
      <c r="H928" s="32"/>
      <c r="I928" s="32"/>
      <c r="J928" s="32"/>
      <c r="N928" s="24" t="s">
        <v>415</v>
      </c>
    </row>
    <row r="929" spans="1:14" x14ac:dyDescent="0.35">
      <c r="A929" s="25" t="s">
        <v>5033</v>
      </c>
      <c r="B929" s="25" t="s">
        <v>5034</v>
      </c>
      <c r="C929" s="25" t="s">
        <v>5035</v>
      </c>
      <c r="E929" s="32" t="s">
        <v>5036</v>
      </c>
      <c r="F929" s="32" t="s">
        <v>5037</v>
      </c>
      <c r="G929" s="32" t="s">
        <v>5038</v>
      </c>
      <c r="H929" s="32" t="s">
        <v>5039</v>
      </c>
      <c r="I929" s="32" t="s">
        <v>5040</v>
      </c>
      <c r="J929" s="32"/>
      <c r="N929" s="24" t="s">
        <v>415</v>
      </c>
    </row>
    <row r="930" spans="1:14" x14ac:dyDescent="0.35">
      <c r="A930" s="25" t="s">
        <v>5041</v>
      </c>
      <c r="B930" s="25" t="s">
        <v>5042</v>
      </c>
      <c r="C930" s="25" t="s">
        <v>5043</v>
      </c>
      <c r="E930" s="32" t="s">
        <v>4203</v>
      </c>
      <c r="F930" s="32" t="s">
        <v>4204</v>
      </c>
      <c r="G930" s="32" t="s">
        <v>4205</v>
      </c>
      <c r="H930" s="32" t="s">
        <v>5044</v>
      </c>
      <c r="I930" s="32" t="s">
        <v>5045</v>
      </c>
      <c r="J930" s="32"/>
      <c r="N930" s="24" t="s">
        <v>415</v>
      </c>
    </row>
    <row r="931" spans="1:14" x14ac:dyDescent="0.35">
      <c r="A931" s="25" t="s">
        <v>5046</v>
      </c>
      <c r="B931" s="25" t="s">
        <v>5047</v>
      </c>
      <c r="C931" s="25" t="s">
        <v>5048</v>
      </c>
      <c r="E931" s="32" t="s">
        <v>5049</v>
      </c>
      <c r="F931" s="32" t="s">
        <v>5050</v>
      </c>
      <c r="G931" s="32" t="s">
        <v>5051</v>
      </c>
      <c r="H931" s="32" t="s">
        <v>5052</v>
      </c>
      <c r="I931" s="32" t="s">
        <v>5053</v>
      </c>
      <c r="J931" s="32"/>
      <c r="N931" s="24" t="s">
        <v>415</v>
      </c>
    </row>
    <row r="932" spans="1:14" x14ac:dyDescent="0.35">
      <c r="A932" s="25" t="s">
        <v>5054</v>
      </c>
      <c r="B932" s="25" t="s">
        <v>5055</v>
      </c>
      <c r="C932" s="25" t="s">
        <v>5056</v>
      </c>
      <c r="E932" s="32" t="s">
        <v>5057</v>
      </c>
      <c r="F932" s="32" t="s">
        <v>5058</v>
      </c>
      <c r="G932" s="32" t="s">
        <v>5059</v>
      </c>
      <c r="H932" s="32" t="s">
        <v>5060</v>
      </c>
      <c r="I932" s="32" t="s">
        <v>5061</v>
      </c>
      <c r="J932" s="32"/>
      <c r="N932" s="24" t="s">
        <v>415</v>
      </c>
    </row>
    <row r="933" spans="1:14" x14ac:dyDescent="0.35">
      <c r="A933" s="25" t="s">
        <v>5062</v>
      </c>
      <c r="B933" s="25" t="s">
        <v>5063</v>
      </c>
      <c r="C933" s="25" t="s">
        <v>5064</v>
      </c>
      <c r="E933" s="32" t="s">
        <v>5065</v>
      </c>
      <c r="F933" s="32"/>
      <c r="G933" s="32"/>
      <c r="H933" s="32"/>
      <c r="I933" s="32"/>
      <c r="J933" s="32"/>
      <c r="N933" s="24" t="s">
        <v>415</v>
      </c>
    </row>
    <row r="934" spans="1:14" x14ac:dyDescent="0.35">
      <c r="A934" s="25" t="s">
        <v>5066</v>
      </c>
      <c r="B934" s="25" t="s">
        <v>5067</v>
      </c>
      <c r="C934" s="25" t="s">
        <v>5068</v>
      </c>
      <c r="E934" s="32" t="s">
        <v>5069</v>
      </c>
      <c r="F934" s="32"/>
      <c r="G934" s="32"/>
      <c r="H934" s="32"/>
      <c r="I934" s="32"/>
      <c r="J934" s="32"/>
      <c r="N934" s="24" t="s">
        <v>415</v>
      </c>
    </row>
    <row r="935" spans="1:14" x14ac:dyDescent="0.35">
      <c r="A935" s="25" t="s">
        <v>5070</v>
      </c>
      <c r="B935" s="25" t="s">
        <v>5071</v>
      </c>
      <c r="C935" s="25" t="s">
        <v>5072</v>
      </c>
      <c r="E935" s="32" t="s">
        <v>5073</v>
      </c>
      <c r="F935" s="32" t="s">
        <v>5074</v>
      </c>
      <c r="G935" s="32" t="s">
        <v>5075</v>
      </c>
      <c r="H935" s="32"/>
      <c r="I935" s="32"/>
      <c r="J935" s="32"/>
      <c r="N935" s="24" t="s">
        <v>1696</v>
      </c>
    </row>
    <row r="936" spans="1:14" x14ac:dyDescent="0.35">
      <c r="A936" s="25" t="s">
        <v>5076</v>
      </c>
      <c r="B936" s="25" t="s">
        <v>5077</v>
      </c>
      <c r="C936" s="25" t="s">
        <v>5078</v>
      </c>
      <c r="E936" s="32" t="s">
        <v>5079</v>
      </c>
      <c r="F936" s="32"/>
      <c r="G936" s="32"/>
      <c r="H936" s="32"/>
      <c r="I936" s="32"/>
      <c r="J936" s="32"/>
      <c r="N936" s="24" t="s">
        <v>415</v>
      </c>
    </row>
    <row r="937" spans="1:14" x14ac:dyDescent="0.35">
      <c r="A937" s="25" t="s">
        <v>5080</v>
      </c>
      <c r="B937" s="25" t="s">
        <v>5081</v>
      </c>
      <c r="C937" s="25" t="s">
        <v>5082</v>
      </c>
      <c r="E937" s="32" t="s">
        <v>5083</v>
      </c>
      <c r="F937" s="32"/>
      <c r="G937" s="32"/>
      <c r="H937" s="32"/>
      <c r="I937" s="32"/>
      <c r="J937" s="32"/>
      <c r="N937" s="24" t="s">
        <v>415</v>
      </c>
    </row>
    <row r="938" spans="1:14" x14ac:dyDescent="0.35">
      <c r="A938" s="25" t="s">
        <v>5084</v>
      </c>
      <c r="B938" s="25" t="s">
        <v>5085</v>
      </c>
      <c r="C938" s="25" t="s">
        <v>5086</v>
      </c>
      <c r="E938" s="32" t="s">
        <v>5087</v>
      </c>
      <c r="F938" s="32"/>
      <c r="G938" s="32"/>
      <c r="H938" s="32"/>
      <c r="I938" s="32"/>
      <c r="J938" s="32"/>
      <c r="N938" s="24" t="s">
        <v>415</v>
      </c>
    </row>
    <row r="939" spans="1:14" x14ac:dyDescent="0.35">
      <c r="A939" s="25" t="s">
        <v>5088</v>
      </c>
      <c r="B939" s="25" t="s">
        <v>5089</v>
      </c>
      <c r="C939" s="25" t="s">
        <v>5090</v>
      </c>
      <c r="E939" s="32" t="s">
        <v>5091</v>
      </c>
      <c r="F939" s="32"/>
      <c r="G939" s="32"/>
      <c r="H939" s="32"/>
      <c r="I939" s="32"/>
      <c r="J939" s="32"/>
      <c r="N939" s="24" t="s">
        <v>415</v>
      </c>
    </row>
    <row r="940" spans="1:14" x14ac:dyDescent="0.35">
      <c r="A940" s="25" t="s">
        <v>5092</v>
      </c>
      <c r="B940" s="25" t="s">
        <v>5093</v>
      </c>
      <c r="C940" s="25" t="s">
        <v>5094</v>
      </c>
      <c r="E940" s="32" t="s">
        <v>5095</v>
      </c>
      <c r="F940" s="32"/>
      <c r="G940" s="32"/>
      <c r="H940" s="32"/>
      <c r="I940" s="32"/>
      <c r="J940" s="32"/>
      <c r="N940" s="24" t="s">
        <v>415</v>
      </c>
    </row>
    <row r="941" spans="1:14" x14ac:dyDescent="0.35">
      <c r="A941" s="25" t="s">
        <v>5096</v>
      </c>
      <c r="B941" s="25" t="s">
        <v>5097</v>
      </c>
      <c r="C941" s="25" t="s">
        <v>5098</v>
      </c>
      <c r="E941" s="32" t="s">
        <v>4640</v>
      </c>
      <c r="F941" s="32" t="s">
        <v>4641</v>
      </c>
      <c r="G941" s="32"/>
      <c r="H941" s="32"/>
      <c r="I941" s="32"/>
      <c r="J941" s="32"/>
      <c r="N941" s="24" t="s">
        <v>415</v>
      </c>
    </row>
    <row r="942" spans="1:14" x14ac:dyDescent="0.35">
      <c r="A942" s="25" t="s">
        <v>5099</v>
      </c>
      <c r="B942" s="25" t="s">
        <v>5100</v>
      </c>
      <c r="C942" s="25" t="s">
        <v>5101</v>
      </c>
      <c r="E942" s="32" t="s">
        <v>5102</v>
      </c>
      <c r="F942" s="32" t="s">
        <v>5103</v>
      </c>
      <c r="G942" s="32" t="s">
        <v>5104</v>
      </c>
      <c r="H942" s="32" t="s">
        <v>5105</v>
      </c>
      <c r="I942" s="32"/>
      <c r="J942" s="32"/>
      <c r="N942" s="24" t="s">
        <v>1434</v>
      </c>
    </row>
    <row r="943" spans="1:14" ht="16.2" x14ac:dyDescent="0.35">
      <c r="A943" s="25" t="s">
        <v>5106</v>
      </c>
      <c r="B943" s="25" t="s">
        <v>5107</v>
      </c>
      <c r="C943" s="25" t="s">
        <v>5108</v>
      </c>
      <c r="E943" s="32" t="s">
        <v>5109</v>
      </c>
      <c r="F943" s="7" t="s">
        <v>9684</v>
      </c>
      <c r="G943" s="7" t="s">
        <v>9686</v>
      </c>
      <c r="H943" s="32"/>
      <c r="I943" s="32"/>
      <c r="J943" s="32"/>
      <c r="N943" s="24" t="s">
        <v>1434</v>
      </c>
    </row>
    <row r="944" spans="1:14" x14ac:dyDescent="0.35">
      <c r="A944" s="25" t="s">
        <v>5110</v>
      </c>
      <c r="B944" s="25" t="s">
        <v>5111</v>
      </c>
      <c r="C944" s="25" t="s">
        <v>5112</v>
      </c>
      <c r="E944" s="32" t="s">
        <v>4462</v>
      </c>
      <c r="F944" s="32" t="s">
        <v>4463</v>
      </c>
      <c r="G944" s="32" t="s">
        <v>4464</v>
      </c>
      <c r="H944" s="32" t="s">
        <v>4465</v>
      </c>
      <c r="I944" s="32" t="s">
        <v>4466</v>
      </c>
      <c r="J944" s="32"/>
      <c r="N944" s="24" t="s">
        <v>415</v>
      </c>
    </row>
    <row r="945" spans="1:14" x14ac:dyDescent="0.35">
      <c r="A945" s="25" t="s">
        <v>5113</v>
      </c>
      <c r="B945" s="25" t="s">
        <v>5114</v>
      </c>
      <c r="C945" s="25" t="s">
        <v>5115</v>
      </c>
      <c r="E945" s="32" t="s">
        <v>5116</v>
      </c>
      <c r="F945" s="32"/>
      <c r="G945" s="32"/>
      <c r="H945" s="32"/>
      <c r="I945" s="32"/>
      <c r="J945" s="32"/>
      <c r="N945" s="24" t="s">
        <v>415</v>
      </c>
    </row>
    <row r="946" spans="1:14" x14ac:dyDescent="0.35">
      <c r="A946" s="25" t="s">
        <v>5117</v>
      </c>
      <c r="B946" s="25" t="s">
        <v>5118</v>
      </c>
      <c r="C946" s="25" t="s">
        <v>5119</v>
      </c>
      <c r="E946" s="32" t="s">
        <v>5120</v>
      </c>
      <c r="F946" s="32"/>
      <c r="G946" s="32"/>
      <c r="H946" s="32"/>
      <c r="I946" s="32"/>
      <c r="J946" s="32"/>
      <c r="N946" s="24" t="s">
        <v>415</v>
      </c>
    </row>
    <row r="947" spans="1:14" x14ac:dyDescent="0.35">
      <c r="A947" s="25" t="s">
        <v>5121</v>
      </c>
      <c r="B947" s="25" t="s">
        <v>5122</v>
      </c>
      <c r="C947" s="25" t="s">
        <v>5123</v>
      </c>
      <c r="E947" s="32" t="s">
        <v>5124</v>
      </c>
      <c r="F947" s="32" t="s">
        <v>5125</v>
      </c>
      <c r="G947" s="32" t="s">
        <v>5126</v>
      </c>
      <c r="H947" s="32" t="s">
        <v>5127</v>
      </c>
      <c r="I947" s="32" t="s">
        <v>5128</v>
      </c>
      <c r="J947" s="32"/>
      <c r="N947" s="24" t="s">
        <v>415</v>
      </c>
    </row>
    <row r="948" spans="1:14" x14ac:dyDescent="0.35">
      <c r="A948" s="25" t="s">
        <v>5129</v>
      </c>
      <c r="B948" s="25" t="s">
        <v>5130</v>
      </c>
      <c r="C948" s="25" t="s">
        <v>5131</v>
      </c>
      <c r="E948" s="32" t="s">
        <v>5132</v>
      </c>
      <c r="F948" s="32" t="s">
        <v>5133</v>
      </c>
      <c r="G948" s="32" t="s">
        <v>5134</v>
      </c>
      <c r="H948" s="32" t="s">
        <v>5135</v>
      </c>
      <c r="I948" s="32" t="s">
        <v>5136</v>
      </c>
      <c r="J948" s="32"/>
      <c r="N948" s="24" t="s">
        <v>415</v>
      </c>
    </row>
    <row r="949" spans="1:14" x14ac:dyDescent="0.35">
      <c r="A949" s="25" t="s">
        <v>5137</v>
      </c>
      <c r="B949" s="25" t="s">
        <v>5138</v>
      </c>
      <c r="C949" s="25" t="s">
        <v>5139</v>
      </c>
      <c r="E949" s="32" t="s">
        <v>5140</v>
      </c>
      <c r="F949" s="32" t="s">
        <v>5141</v>
      </c>
      <c r="G949" s="32" t="s">
        <v>5142</v>
      </c>
      <c r="H949" s="32" t="s">
        <v>5143</v>
      </c>
      <c r="I949" s="32" t="s">
        <v>5144</v>
      </c>
      <c r="J949" s="32"/>
      <c r="N949" s="24" t="s">
        <v>415</v>
      </c>
    </row>
    <row r="950" spans="1:14" x14ac:dyDescent="0.35">
      <c r="A950" s="25" t="s">
        <v>5145</v>
      </c>
      <c r="B950" s="25" t="s">
        <v>5146</v>
      </c>
      <c r="C950" s="25" t="s">
        <v>5147</v>
      </c>
      <c r="E950" s="32" t="s">
        <v>5148</v>
      </c>
      <c r="F950" s="32" t="s">
        <v>5149</v>
      </c>
      <c r="G950" s="32" t="s">
        <v>5150</v>
      </c>
      <c r="H950" s="32" t="s">
        <v>5151</v>
      </c>
      <c r="I950" s="32"/>
      <c r="J950" s="32"/>
      <c r="N950" s="24" t="s">
        <v>1696</v>
      </c>
    </row>
    <row r="951" spans="1:14" x14ac:dyDescent="0.35">
      <c r="A951" s="25" t="s">
        <v>5152</v>
      </c>
      <c r="B951" s="25" t="s">
        <v>5153</v>
      </c>
      <c r="C951" s="25" t="s">
        <v>5154</v>
      </c>
      <c r="E951" s="32" t="s">
        <v>5155</v>
      </c>
      <c r="F951" s="32" t="s">
        <v>5156</v>
      </c>
      <c r="G951" s="32" t="s">
        <v>5157</v>
      </c>
      <c r="H951" s="32"/>
      <c r="I951" s="32"/>
      <c r="J951" s="32"/>
      <c r="N951" s="24" t="s">
        <v>415</v>
      </c>
    </row>
    <row r="952" spans="1:14" x14ac:dyDescent="0.35">
      <c r="A952" s="25" t="s">
        <v>5158</v>
      </c>
      <c r="B952" s="25" t="s">
        <v>5159</v>
      </c>
      <c r="C952" s="25" t="s">
        <v>5160</v>
      </c>
      <c r="E952" s="32" t="s">
        <v>5161</v>
      </c>
      <c r="F952" s="32" t="s">
        <v>5162</v>
      </c>
      <c r="G952" s="32" t="s">
        <v>5163</v>
      </c>
      <c r="H952" s="32" t="s">
        <v>5164</v>
      </c>
      <c r="I952" s="32" t="s">
        <v>5165</v>
      </c>
      <c r="J952" s="32"/>
      <c r="N952" s="24" t="s">
        <v>415</v>
      </c>
    </row>
    <row r="953" spans="1:14" x14ac:dyDescent="0.35">
      <c r="A953" s="25" t="s">
        <v>5166</v>
      </c>
      <c r="B953" s="25" t="s">
        <v>5167</v>
      </c>
      <c r="C953" s="25" t="s">
        <v>5168</v>
      </c>
      <c r="E953" s="32" t="s">
        <v>5169</v>
      </c>
      <c r="F953" s="32" t="s">
        <v>5170</v>
      </c>
      <c r="G953" s="32" t="s">
        <v>5171</v>
      </c>
      <c r="H953" s="32" t="s">
        <v>5172</v>
      </c>
      <c r="I953" s="32" t="s">
        <v>5173</v>
      </c>
      <c r="J953" s="32"/>
      <c r="N953" s="24" t="s">
        <v>415</v>
      </c>
    </row>
    <row r="954" spans="1:14" ht="16.2" x14ac:dyDescent="0.35">
      <c r="A954" s="25" t="s">
        <v>5174</v>
      </c>
      <c r="B954" s="25" t="s">
        <v>5175</v>
      </c>
      <c r="C954" s="25" t="s">
        <v>5176</v>
      </c>
      <c r="E954" s="32" t="s">
        <v>5177</v>
      </c>
      <c r="F954" s="7" t="s">
        <v>9685</v>
      </c>
      <c r="G954" s="7" t="s">
        <v>9713</v>
      </c>
      <c r="H954" s="7" t="s">
        <v>9714</v>
      </c>
      <c r="I954" s="7"/>
      <c r="J954" s="32"/>
      <c r="N954" s="24" t="s">
        <v>415</v>
      </c>
    </row>
    <row r="955" spans="1:14" x14ac:dyDescent="0.35">
      <c r="A955" s="25" t="s">
        <v>5178</v>
      </c>
      <c r="B955" s="25" t="s">
        <v>5179</v>
      </c>
      <c r="C955" s="25" t="s">
        <v>5180</v>
      </c>
      <c r="E955" s="32" t="s">
        <v>5181</v>
      </c>
      <c r="F955" s="32"/>
      <c r="G955" s="32"/>
      <c r="H955" s="32"/>
      <c r="I955" s="32"/>
      <c r="J955" s="32"/>
      <c r="N955" s="24" t="s">
        <v>415</v>
      </c>
    </row>
    <row r="956" spans="1:14" x14ac:dyDescent="0.35">
      <c r="A956" s="25" t="s">
        <v>5182</v>
      </c>
      <c r="B956" s="25" t="s">
        <v>5183</v>
      </c>
      <c r="C956" s="25" t="s">
        <v>5184</v>
      </c>
      <c r="E956" s="32" t="s">
        <v>5185</v>
      </c>
      <c r="F956" s="32" t="s">
        <v>5186</v>
      </c>
      <c r="G956" s="32"/>
      <c r="H956" s="32"/>
      <c r="I956" s="32"/>
      <c r="J956" s="32"/>
      <c r="N956" s="24" t="s">
        <v>415</v>
      </c>
    </row>
    <row r="957" spans="1:14" x14ac:dyDescent="0.35">
      <c r="A957" s="25" t="s">
        <v>5187</v>
      </c>
      <c r="B957" s="25" t="s">
        <v>5188</v>
      </c>
      <c r="C957" s="25" t="s">
        <v>5189</v>
      </c>
      <c r="E957" s="32" t="s">
        <v>5190</v>
      </c>
      <c r="F957" s="32"/>
      <c r="G957" s="32"/>
      <c r="H957" s="32"/>
      <c r="I957" s="32"/>
      <c r="J957" s="32"/>
      <c r="N957" s="24" t="s">
        <v>458</v>
      </c>
    </row>
    <row r="958" spans="1:14" x14ac:dyDescent="0.35">
      <c r="A958" s="25" t="s">
        <v>5191</v>
      </c>
      <c r="B958" s="25" t="s">
        <v>5192</v>
      </c>
      <c r="C958" s="25" t="s">
        <v>5193</v>
      </c>
      <c r="E958" s="32" t="s">
        <v>5194</v>
      </c>
      <c r="F958" s="32"/>
      <c r="G958" s="32"/>
      <c r="H958" s="32"/>
      <c r="I958" s="32"/>
      <c r="J958" s="32"/>
      <c r="N958" s="24" t="s">
        <v>415</v>
      </c>
    </row>
    <row r="959" spans="1:14" x14ac:dyDescent="0.35">
      <c r="A959" s="25" t="s">
        <v>5195</v>
      </c>
      <c r="B959" s="25" t="s">
        <v>5196</v>
      </c>
      <c r="C959" s="25" t="s">
        <v>5197</v>
      </c>
      <c r="E959" s="32" t="s">
        <v>5198</v>
      </c>
      <c r="F959" s="32" t="s">
        <v>9433</v>
      </c>
      <c r="G959" s="32" t="s">
        <v>9434</v>
      </c>
      <c r="H959" s="32" t="s">
        <v>9435</v>
      </c>
      <c r="I959" s="32" t="s">
        <v>9436</v>
      </c>
      <c r="J959" s="32" t="s">
        <v>9437</v>
      </c>
      <c r="N959" s="24" t="s">
        <v>415</v>
      </c>
    </row>
    <row r="960" spans="1:14" x14ac:dyDescent="0.35">
      <c r="A960" s="25" t="s">
        <v>5199</v>
      </c>
      <c r="B960" s="25" t="s">
        <v>5200</v>
      </c>
      <c r="C960" s="25" t="s">
        <v>5201</v>
      </c>
      <c r="E960" s="32" t="s">
        <v>5202</v>
      </c>
      <c r="F960" s="32" t="s">
        <v>5203</v>
      </c>
      <c r="G960" s="32" t="s">
        <v>5204</v>
      </c>
      <c r="H960" s="32" t="s">
        <v>5205</v>
      </c>
      <c r="I960" s="32"/>
      <c r="J960" s="32"/>
      <c r="N960" s="24" t="s">
        <v>415</v>
      </c>
    </row>
    <row r="961" spans="1:14" x14ac:dyDescent="0.35">
      <c r="A961" s="25" t="s">
        <v>5206</v>
      </c>
      <c r="B961" s="25" t="s">
        <v>5207</v>
      </c>
      <c r="C961" s="25" t="s">
        <v>9535</v>
      </c>
      <c r="E961" s="32" t="s">
        <v>5208</v>
      </c>
      <c r="F961" s="32"/>
      <c r="G961" s="32"/>
      <c r="H961" s="32"/>
      <c r="I961" s="32"/>
      <c r="J961" s="32"/>
      <c r="N961" s="24" t="s">
        <v>415</v>
      </c>
    </row>
    <row r="962" spans="1:14" x14ac:dyDescent="0.35">
      <c r="A962" s="25" t="s">
        <v>5209</v>
      </c>
      <c r="B962" s="25" t="s">
        <v>5210</v>
      </c>
      <c r="C962" s="25" t="s">
        <v>5211</v>
      </c>
      <c r="E962" s="32" t="s">
        <v>5212</v>
      </c>
      <c r="F962" s="32"/>
      <c r="G962" s="32"/>
      <c r="H962" s="32"/>
      <c r="I962" s="32"/>
      <c r="J962" s="32"/>
      <c r="N962" s="24" t="s">
        <v>415</v>
      </c>
    </row>
    <row r="963" spans="1:14" x14ac:dyDescent="0.35">
      <c r="A963" s="25" t="s">
        <v>5213</v>
      </c>
      <c r="B963" s="25" t="s">
        <v>5214</v>
      </c>
      <c r="C963" s="25" t="s">
        <v>5215</v>
      </c>
      <c r="E963" s="32" t="s">
        <v>5216</v>
      </c>
      <c r="F963" s="32" t="s">
        <v>5217</v>
      </c>
      <c r="G963" s="32" t="s">
        <v>5218</v>
      </c>
      <c r="H963" s="32" t="s">
        <v>5219</v>
      </c>
      <c r="I963" s="32" t="s">
        <v>5220</v>
      </c>
      <c r="J963" s="32"/>
      <c r="N963" s="24" t="s">
        <v>415</v>
      </c>
    </row>
    <row r="964" spans="1:14" x14ac:dyDescent="0.35">
      <c r="A964" s="25" t="s">
        <v>5221</v>
      </c>
      <c r="B964" s="25" t="s">
        <v>5222</v>
      </c>
      <c r="C964" s="25" t="s">
        <v>5223</v>
      </c>
      <c r="E964" s="32" t="s">
        <v>5224</v>
      </c>
      <c r="F964" s="32" t="s">
        <v>5225</v>
      </c>
      <c r="G964" s="32" t="s">
        <v>5226</v>
      </c>
      <c r="H964" s="32" t="s">
        <v>5227</v>
      </c>
      <c r="I964" s="32" t="s">
        <v>5228</v>
      </c>
      <c r="J964" s="32"/>
      <c r="N964" s="24" t="s">
        <v>415</v>
      </c>
    </row>
    <row r="965" spans="1:14" x14ac:dyDescent="0.35">
      <c r="A965" s="25" t="s">
        <v>5229</v>
      </c>
      <c r="B965" s="25" t="s">
        <v>5230</v>
      </c>
      <c r="C965" s="25" t="s">
        <v>5231</v>
      </c>
      <c r="E965" s="32" t="s">
        <v>3422</v>
      </c>
      <c r="F965" s="32" t="s">
        <v>3423</v>
      </c>
      <c r="G965" s="32" t="s">
        <v>3424</v>
      </c>
      <c r="H965" s="32" t="s">
        <v>3425</v>
      </c>
      <c r="I965" s="32" t="s">
        <v>3426</v>
      </c>
      <c r="J965" s="32"/>
      <c r="N965" s="24" t="s">
        <v>415</v>
      </c>
    </row>
    <row r="966" spans="1:14" x14ac:dyDescent="0.35">
      <c r="A966" s="25" t="s">
        <v>5232</v>
      </c>
      <c r="B966" s="25" t="s">
        <v>5233</v>
      </c>
      <c r="C966" s="25" t="s">
        <v>5234</v>
      </c>
      <c r="E966" s="32" t="s">
        <v>16</v>
      </c>
      <c r="F966" s="32" t="s">
        <v>5235</v>
      </c>
      <c r="G966" s="32" t="s">
        <v>5236</v>
      </c>
      <c r="H966" s="32"/>
      <c r="I966" s="32"/>
      <c r="J966" s="32"/>
      <c r="N966" s="24" t="s">
        <v>415</v>
      </c>
    </row>
    <row r="967" spans="1:14" x14ac:dyDescent="0.35">
      <c r="A967" s="25" t="s">
        <v>5237</v>
      </c>
      <c r="B967" s="25" t="s">
        <v>5238</v>
      </c>
      <c r="C967" s="25" t="s">
        <v>5239</v>
      </c>
      <c r="E967" s="32" t="s">
        <v>5240</v>
      </c>
      <c r="F967" s="32" t="s">
        <v>5241</v>
      </c>
      <c r="G967" s="32" t="s">
        <v>5242</v>
      </c>
      <c r="H967" s="32" t="s">
        <v>5243</v>
      </c>
      <c r="I967" s="32" t="s">
        <v>5244</v>
      </c>
      <c r="J967" s="32"/>
      <c r="N967" s="24" t="s">
        <v>871</v>
      </c>
    </row>
    <row r="968" spans="1:14" x14ac:dyDescent="0.35">
      <c r="A968" s="25" t="s">
        <v>5245</v>
      </c>
      <c r="B968" s="25" t="s">
        <v>5246</v>
      </c>
      <c r="C968" s="25" t="s">
        <v>5247</v>
      </c>
      <c r="E968" s="32" t="s">
        <v>5248</v>
      </c>
      <c r="F968" s="32"/>
      <c r="G968" s="32"/>
      <c r="H968" s="32"/>
      <c r="I968" s="32"/>
      <c r="J968" s="32"/>
      <c r="N968" s="24" t="s">
        <v>415</v>
      </c>
    </row>
    <row r="969" spans="1:14" ht="16.2" x14ac:dyDescent="0.35">
      <c r="A969" s="25" t="s">
        <v>5249</v>
      </c>
      <c r="B969" s="25" t="s">
        <v>5250</v>
      </c>
      <c r="C969" s="25" t="s">
        <v>5251</v>
      </c>
      <c r="E969" s="32" t="s">
        <v>5252</v>
      </c>
      <c r="F969" s="32" t="s">
        <v>5253</v>
      </c>
      <c r="G969" s="32" t="s">
        <v>5254</v>
      </c>
      <c r="H969" s="32" t="s">
        <v>5255</v>
      </c>
      <c r="I969" s="7" t="s">
        <v>3446</v>
      </c>
      <c r="J969" s="32"/>
      <c r="N969" s="24" t="s">
        <v>415</v>
      </c>
    </row>
    <row r="970" spans="1:14" x14ac:dyDescent="0.35">
      <c r="A970" s="25" t="s">
        <v>5256</v>
      </c>
      <c r="B970" s="25" t="s">
        <v>5257</v>
      </c>
      <c r="C970" s="25" t="s">
        <v>5258</v>
      </c>
      <c r="E970" s="32" t="s">
        <v>5259</v>
      </c>
      <c r="F970" s="32" t="s">
        <v>5260</v>
      </c>
      <c r="G970" s="32" t="s">
        <v>5261</v>
      </c>
      <c r="H970" s="32" t="s">
        <v>5262</v>
      </c>
      <c r="I970" s="32" t="s">
        <v>5263</v>
      </c>
      <c r="J970" s="32"/>
      <c r="N970" s="24" t="s">
        <v>415</v>
      </c>
    </row>
    <row r="971" spans="1:14" x14ac:dyDescent="0.35">
      <c r="A971" s="25" t="s">
        <v>5264</v>
      </c>
      <c r="B971" s="25" t="s">
        <v>5265</v>
      </c>
      <c r="C971" s="25" t="s">
        <v>5266</v>
      </c>
      <c r="E971" s="32" t="s">
        <v>5267</v>
      </c>
      <c r="F971" s="32"/>
      <c r="G971" s="32"/>
      <c r="H971" s="32"/>
      <c r="I971" s="32"/>
      <c r="J971" s="32"/>
      <c r="N971" s="24" t="s">
        <v>415</v>
      </c>
    </row>
    <row r="972" spans="1:14" x14ac:dyDescent="0.35">
      <c r="A972" s="25" t="s">
        <v>5268</v>
      </c>
      <c r="B972" s="25" t="s">
        <v>5269</v>
      </c>
      <c r="C972" s="25" t="s">
        <v>5270</v>
      </c>
      <c r="E972" s="32" t="s">
        <v>5271</v>
      </c>
      <c r="F972" s="32"/>
      <c r="G972" s="32"/>
      <c r="H972" s="32"/>
      <c r="I972" s="32"/>
      <c r="J972" s="32"/>
      <c r="N972" s="24" t="s">
        <v>415</v>
      </c>
    </row>
    <row r="973" spans="1:14" x14ac:dyDescent="0.35">
      <c r="A973" s="25" t="s">
        <v>5272</v>
      </c>
      <c r="B973" s="25" t="s">
        <v>5273</v>
      </c>
      <c r="C973" s="25" t="s">
        <v>5274</v>
      </c>
      <c r="E973" s="32" t="s">
        <v>5275</v>
      </c>
      <c r="F973" s="32"/>
      <c r="G973" s="32"/>
      <c r="H973" s="32"/>
      <c r="I973" s="32"/>
      <c r="J973" s="32"/>
      <c r="N973" s="24" t="s">
        <v>415</v>
      </c>
    </row>
    <row r="974" spans="1:14" x14ac:dyDescent="0.35">
      <c r="A974" s="25" t="s">
        <v>9513</v>
      </c>
      <c r="B974" s="25" t="s">
        <v>5276</v>
      </c>
      <c r="C974" s="25" t="s">
        <v>5277</v>
      </c>
      <c r="E974" s="32" t="s">
        <v>5278</v>
      </c>
      <c r="F974" s="32"/>
      <c r="G974" s="32"/>
      <c r="H974" s="32"/>
      <c r="I974" s="32"/>
      <c r="J974" s="32"/>
      <c r="N974" s="24" t="s">
        <v>415</v>
      </c>
    </row>
    <row r="975" spans="1:14" x14ac:dyDescent="0.35">
      <c r="A975" s="25" t="s">
        <v>5279</v>
      </c>
      <c r="B975" s="25" t="s">
        <v>5280</v>
      </c>
      <c r="C975" s="25" t="s">
        <v>5281</v>
      </c>
      <c r="E975" s="32" t="s">
        <v>5282</v>
      </c>
      <c r="F975" s="32" t="s">
        <v>5283</v>
      </c>
      <c r="G975" s="32" t="s">
        <v>5284</v>
      </c>
      <c r="H975" s="32" t="s">
        <v>5285</v>
      </c>
      <c r="I975" s="32" t="s">
        <v>5286</v>
      </c>
      <c r="J975" s="32"/>
      <c r="N975" s="24" t="s">
        <v>3418</v>
      </c>
    </row>
    <row r="976" spans="1:14" x14ac:dyDescent="0.35">
      <c r="A976" s="25" t="s">
        <v>5287</v>
      </c>
      <c r="B976" s="25" t="s">
        <v>5288</v>
      </c>
      <c r="C976" s="25" t="s">
        <v>5289</v>
      </c>
      <c r="E976" s="32" t="s">
        <v>5290</v>
      </c>
      <c r="F976" s="32" t="s">
        <v>5291</v>
      </c>
      <c r="G976" s="32" t="s">
        <v>5292</v>
      </c>
      <c r="H976" s="32"/>
      <c r="I976" s="32"/>
      <c r="J976" s="32"/>
      <c r="N976" s="24" t="s">
        <v>415</v>
      </c>
    </row>
    <row r="977" spans="1:14" x14ac:dyDescent="0.35">
      <c r="A977" s="25" t="s">
        <v>5293</v>
      </c>
      <c r="B977" s="25" t="s">
        <v>5294</v>
      </c>
      <c r="C977" s="25" t="s">
        <v>5295</v>
      </c>
      <c r="E977" s="32" t="s">
        <v>805</v>
      </c>
      <c r="F977" s="32" t="s">
        <v>3159</v>
      </c>
      <c r="G977" s="32" t="s">
        <v>815</v>
      </c>
      <c r="H977" s="32" t="s">
        <v>5296</v>
      </c>
      <c r="I977" s="32" t="s">
        <v>720</v>
      </c>
      <c r="J977" s="32"/>
      <c r="N977" s="24" t="s">
        <v>415</v>
      </c>
    </row>
    <row r="978" spans="1:14" x14ac:dyDescent="0.35">
      <c r="A978" s="25" t="s">
        <v>5297</v>
      </c>
      <c r="B978" s="25" t="s">
        <v>5298</v>
      </c>
      <c r="C978" s="25" t="s">
        <v>5299</v>
      </c>
      <c r="E978" s="32" t="s">
        <v>5300</v>
      </c>
      <c r="F978" s="32" t="s">
        <v>5301</v>
      </c>
      <c r="G978" s="32" t="s">
        <v>5302</v>
      </c>
      <c r="H978" s="32" t="s">
        <v>5303</v>
      </c>
      <c r="I978" s="32" t="s">
        <v>5304</v>
      </c>
      <c r="J978" s="32"/>
      <c r="N978" s="24" t="s">
        <v>415</v>
      </c>
    </row>
    <row r="979" spans="1:14" x14ac:dyDescent="0.35">
      <c r="A979" s="25" t="s">
        <v>5305</v>
      </c>
      <c r="B979" s="25" t="s">
        <v>5306</v>
      </c>
      <c r="C979" s="25" t="s">
        <v>5307</v>
      </c>
      <c r="E979" s="32" t="s">
        <v>5308</v>
      </c>
      <c r="F979" s="32"/>
      <c r="G979" s="32"/>
      <c r="H979" s="32"/>
      <c r="I979" s="32"/>
      <c r="J979" s="32"/>
      <c r="N979" s="24" t="s">
        <v>415</v>
      </c>
    </row>
    <row r="980" spans="1:14" x14ac:dyDescent="0.35">
      <c r="A980" s="25" t="s">
        <v>5309</v>
      </c>
      <c r="B980" s="25" t="s">
        <v>5310</v>
      </c>
      <c r="C980" s="25" t="s">
        <v>5311</v>
      </c>
      <c r="E980" s="32" t="s">
        <v>5312</v>
      </c>
      <c r="F980" s="32"/>
      <c r="G980" s="32"/>
      <c r="H980" s="32"/>
      <c r="I980" s="32"/>
      <c r="J980" s="32"/>
      <c r="N980" s="24" t="s">
        <v>415</v>
      </c>
    </row>
    <row r="981" spans="1:14" x14ac:dyDescent="0.35">
      <c r="A981" s="25" t="s">
        <v>5313</v>
      </c>
      <c r="B981" s="25" t="s">
        <v>5314</v>
      </c>
      <c r="C981" s="25" t="s">
        <v>5315</v>
      </c>
      <c r="E981" s="32" t="s">
        <v>5316</v>
      </c>
      <c r="F981" s="32" t="s">
        <v>5317</v>
      </c>
      <c r="G981" s="32" t="s">
        <v>5318</v>
      </c>
      <c r="H981" s="32" t="s">
        <v>5319</v>
      </c>
      <c r="I981" s="32" t="s">
        <v>5320</v>
      </c>
      <c r="J981" s="32"/>
      <c r="N981" s="24" t="s">
        <v>415</v>
      </c>
    </row>
    <row r="982" spans="1:14" x14ac:dyDescent="0.35">
      <c r="A982" s="25" t="s">
        <v>5321</v>
      </c>
      <c r="B982" s="25" t="s">
        <v>5322</v>
      </c>
      <c r="C982" s="25" t="s">
        <v>5323</v>
      </c>
      <c r="E982" s="32" t="s">
        <v>5324</v>
      </c>
      <c r="F982" s="32" t="s">
        <v>5325</v>
      </c>
      <c r="G982" s="32" t="s">
        <v>5326</v>
      </c>
      <c r="H982" s="32" t="s">
        <v>5327</v>
      </c>
      <c r="I982" s="32" t="s">
        <v>5328</v>
      </c>
      <c r="J982" s="32"/>
      <c r="N982" s="24" t="s">
        <v>415</v>
      </c>
    </row>
    <row r="983" spans="1:14" x14ac:dyDescent="0.35">
      <c r="A983" s="25" t="s">
        <v>5331</v>
      </c>
      <c r="B983" s="25" t="s">
        <v>5332</v>
      </c>
      <c r="C983" s="25" t="s">
        <v>5333</v>
      </c>
      <c r="E983" s="32" t="s">
        <v>5334</v>
      </c>
      <c r="F983" s="32" t="s">
        <v>5335</v>
      </c>
      <c r="G983" s="32" t="s">
        <v>5336</v>
      </c>
      <c r="H983" s="32" t="s">
        <v>5337</v>
      </c>
      <c r="I983" s="32" t="s">
        <v>5338</v>
      </c>
      <c r="J983" s="32"/>
      <c r="N983" s="24" t="s">
        <v>3418</v>
      </c>
    </row>
    <row r="984" spans="1:14" x14ac:dyDescent="0.35">
      <c r="A984" s="25" t="s">
        <v>5343</v>
      </c>
      <c r="B984" s="25" t="s">
        <v>5344</v>
      </c>
      <c r="C984" s="25" t="s">
        <v>5345</v>
      </c>
      <c r="E984" s="32" t="s">
        <v>5346</v>
      </c>
      <c r="F984" s="32" t="s">
        <v>5347</v>
      </c>
      <c r="G984" s="32" t="s">
        <v>5348</v>
      </c>
      <c r="H984" s="32"/>
      <c r="I984" s="32"/>
      <c r="J984" s="32"/>
      <c r="N984" s="24" t="s">
        <v>415</v>
      </c>
    </row>
    <row r="985" spans="1:14" x14ac:dyDescent="0.35">
      <c r="A985" s="25" t="s">
        <v>5349</v>
      </c>
      <c r="B985" s="25" t="s">
        <v>5350</v>
      </c>
      <c r="C985" s="25" t="s">
        <v>5351</v>
      </c>
      <c r="E985" s="32" t="s">
        <v>5352</v>
      </c>
      <c r="F985" s="32"/>
      <c r="G985" s="32"/>
      <c r="H985" s="32"/>
      <c r="I985" s="32"/>
      <c r="J985" s="32"/>
      <c r="N985" s="24" t="s">
        <v>415</v>
      </c>
    </row>
    <row r="986" spans="1:14" x14ac:dyDescent="0.35">
      <c r="A986" s="25" t="s">
        <v>5353</v>
      </c>
      <c r="B986" s="25" t="s">
        <v>5354</v>
      </c>
      <c r="C986" s="25" t="s">
        <v>5355</v>
      </c>
      <c r="E986" s="32" t="s">
        <v>5356</v>
      </c>
      <c r="F986" s="32" t="s">
        <v>5357</v>
      </c>
      <c r="G986" s="32" t="s">
        <v>5358</v>
      </c>
      <c r="H986" s="32" t="s">
        <v>5359</v>
      </c>
      <c r="I986" s="32" t="s">
        <v>5360</v>
      </c>
      <c r="J986" s="32"/>
      <c r="N986" s="24" t="s">
        <v>415</v>
      </c>
    </row>
    <row r="987" spans="1:14" x14ac:dyDescent="0.35">
      <c r="A987" s="25" t="s">
        <v>5361</v>
      </c>
      <c r="B987" s="25" t="s">
        <v>5362</v>
      </c>
      <c r="C987" s="25" t="s">
        <v>5363</v>
      </c>
      <c r="E987" s="32" t="s">
        <v>5364</v>
      </c>
      <c r="F987" s="32" t="s">
        <v>5365</v>
      </c>
      <c r="G987" s="32" t="s">
        <v>5366</v>
      </c>
      <c r="H987" s="32" t="s">
        <v>5367</v>
      </c>
      <c r="I987" s="32" t="s">
        <v>5368</v>
      </c>
      <c r="J987" s="32"/>
      <c r="N987" s="24" t="s">
        <v>415</v>
      </c>
    </row>
    <row r="988" spans="1:14" x14ac:dyDescent="0.35">
      <c r="A988" s="25" t="s">
        <v>5369</v>
      </c>
      <c r="B988" s="25" t="s">
        <v>5370</v>
      </c>
      <c r="C988" s="25" t="s">
        <v>5371</v>
      </c>
      <c r="E988" s="32" t="s">
        <v>5372</v>
      </c>
      <c r="F988" s="32" t="s">
        <v>5373</v>
      </c>
      <c r="G988" s="32" t="s">
        <v>5374</v>
      </c>
      <c r="H988" s="32" t="s">
        <v>5375</v>
      </c>
      <c r="I988" s="32" t="s">
        <v>5376</v>
      </c>
      <c r="J988" s="32"/>
      <c r="N988" s="24" t="s">
        <v>415</v>
      </c>
    </row>
    <row r="989" spans="1:14" x14ac:dyDescent="0.35">
      <c r="A989" s="25" t="s">
        <v>5377</v>
      </c>
      <c r="B989" s="25" t="s">
        <v>5378</v>
      </c>
      <c r="C989" s="25" t="s">
        <v>5379</v>
      </c>
      <c r="E989" s="32" t="s">
        <v>5380</v>
      </c>
      <c r="F989" s="32" t="s">
        <v>5381</v>
      </c>
      <c r="G989" s="32" t="s">
        <v>5382</v>
      </c>
      <c r="H989" s="32" t="s">
        <v>5383</v>
      </c>
      <c r="I989" s="32" t="s">
        <v>5384</v>
      </c>
      <c r="J989" s="32"/>
      <c r="N989" s="24" t="s">
        <v>415</v>
      </c>
    </row>
    <row r="990" spans="1:14" x14ac:dyDescent="0.35">
      <c r="A990" s="25" t="s">
        <v>5385</v>
      </c>
      <c r="B990" s="25" t="s">
        <v>5386</v>
      </c>
      <c r="C990" s="25" t="s">
        <v>5387</v>
      </c>
      <c r="E990" s="32" t="s">
        <v>5388</v>
      </c>
      <c r="F990" s="32" t="s">
        <v>5389</v>
      </c>
      <c r="G990" s="32" t="s">
        <v>5390</v>
      </c>
      <c r="H990" s="32" t="s">
        <v>5391</v>
      </c>
      <c r="I990" s="32" t="s">
        <v>5392</v>
      </c>
      <c r="J990" s="32"/>
      <c r="N990" s="24" t="s">
        <v>415</v>
      </c>
    </row>
    <row r="991" spans="1:14" x14ac:dyDescent="0.35">
      <c r="A991" s="25" t="s">
        <v>5393</v>
      </c>
      <c r="B991" s="25" t="s">
        <v>5394</v>
      </c>
      <c r="C991" s="25" t="s">
        <v>5395</v>
      </c>
      <c r="E991" s="32" t="s">
        <v>5396</v>
      </c>
      <c r="F991" s="32" t="s">
        <v>5397</v>
      </c>
      <c r="G991" s="32" t="s">
        <v>5398</v>
      </c>
      <c r="H991" s="32" t="s">
        <v>5399</v>
      </c>
      <c r="I991" s="32" t="s">
        <v>5400</v>
      </c>
      <c r="J991" s="32"/>
      <c r="N991" s="24" t="s">
        <v>415</v>
      </c>
    </row>
    <row r="992" spans="1:14" x14ac:dyDescent="0.35">
      <c r="A992" s="25" t="s">
        <v>5401</v>
      </c>
      <c r="B992" s="25" t="s">
        <v>5402</v>
      </c>
      <c r="C992" s="25" t="s">
        <v>5403</v>
      </c>
      <c r="E992" s="32" t="s">
        <v>5404</v>
      </c>
      <c r="F992" s="32" t="s">
        <v>5405</v>
      </c>
      <c r="G992" s="32"/>
      <c r="H992" s="32"/>
      <c r="I992" s="32"/>
      <c r="J992" s="32"/>
      <c r="N992" s="24" t="s">
        <v>415</v>
      </c>
    </row>
    <row r="993" spans="1:14" x14ac:dyDescent="0.35">
      <c r="A993" s="25" t="s">
        <v>5406</v>
      </c>
      <c r="B993" s="25" t="s">
        <v>5407</v>
      </c>
      <c r="C993" s="25" t="s">
        <v>5408</v>
      </c>
      <c r="E993" s="32" t="s">
        <v>5409</v>
      </c>
      <c r="F993" s="32" t="s">
        <v>5410</v>
      </c>
      <c r="G993" s="32" t="s">
        <v>5411</v>
      </c>
      <c r="H993" s="32"/>
      <c r="I993" s="32"/>
      <c r="J993" s="32"/>
      <c r="N993" s="24" t="s">
        <v>415</v>
      </c>
    </row>
    <row r="994" spans="1:14" x14ac:dyDescent="0.35">
      <c r="A994" s="25" t="s">
        <v>5412</v>
      </c>
      <c r="B994" s="25" t="s">
        <v>5413</v>
      </c>
      <c r="C994" s="25" t="s">
        <v>5414</v>
      </c>
      <c r="E994" s="32" t="s">
        <v>5415</v>
      </c>
      <c r="F994" s="32" t="s">
        <v>5416</v>
      </c>
      <c r="G994" s="32" t="s">
        <v>5417</v>
      </c>
      <c r="H994" s="32"/>
      <c r="I994" s="32"/>
      <c r="J994" s="32"/>
      <c r="N994" s="24" t="s">
        <v>415</v>
      </c>
    </row>
    <row r="995" spans="1:14" x14ac:dyDescent="0.35">
      <c r="A995" s="25" t="s">
        <v>5418</v>
      </c>
      <c r="B995" s="25" t="s">
        <v>5419</v>
      </c>
      <c r="C995" s="25" t="s">
        <v>5420</v>
      </c>
      <c r="E995" s="32" t="s">
        <v>5421</v>
      </c>
      <c r="F995" s="32" t="s">
        <v>5422</v>
      </c>
      <c r="G995" s="32" t="s">
        <v>5423</v>
      </c>
      <c r="H995" s="32" t="s">
        <v>5424</v>
      </c>
      <c r="I995" s="32" t="s">
        <v>5425</v>
      </c>
      <c r="J995" s="32"/>
      <c r="N995" s="24" t="s">
        <v>415</v>
      </c>
    </row>
    <row r="996" spans="1:14" x14ac:dyDescent="0.35">
      <c r="A996" s="25" t="s">
        <v>5426</v>
      </c>
      <c r="B996" s="25" t="s">
        <v>5427</v>
      </c>
      <c r="C996" s="25" t="s">
        <v>5428</v>
      </c>
      <c r="E996" s="32" t="s">
        <v>5429</v>
      </c>
      <c r="F996" s="32" t="s">
        <v>5430</v>
      </c>
      <c r="G996" s="32" t="s">
        <v>5431</v>
      </c>
      <c r="H996" s="32" t="s">
        <v>5432</v>
      </c>
      <c r="I996" s="32" t="s">
        <v>5433</v>
      </c>
      <c r="J996" s="32"/>
      <c r="N996" s="24" t="s">
        <v>415</v>
      </c>
    </row>
    <row r="997" spans="1:14" x14ac:dyDescent="0.35">
      <c r="A997" s="25" t="s">
        <v>5434</v>
      </c>
      <c r="B997" s="25" t="s">
        <v>5435</v>
      </c>
      <c r="C997" s="25" t="s">
        <v>5436</v>
      </c>
      <c r="E997" s="32" t="s">
        <v>5437</v>
      </c>
      <c r="F997" s="32" t="s">
        <v>5438</v>
      </c>
      <c r="G997" s="32" t="s">
        <v>5439</v>
      </c>
      <c r="H997" s="32" t="s">
        <v>5440</v>
      </c>
      <c r="I997" s="32" t="s">
        <v>5441</v>
      </c>
      <c r="J997" s="32"/>
      <c r="N997" s="24" t="s">
        <v>415</v>
      </c>
    </row>
    <row r="998" spans="1:14" x14ac:dyDescent="0.35">
      <c r="A998" s="25" t="s">
        <v>5442</v>
      </c>
      <c r="B998" s="25" t="s">
        <v>5443</v>
      </c>
      <c r="C998" s="25" t="s">
        <v>5444</v>
      </c>
      <c r="E998" s="32" t="s">
        <v>5445</v>
      </c>
      <c r="F998" s="32" t="s">
        <v>5446</v>
      </c>
      <c r="G998" s="32" t="s">
        <v>5447</v>
      </c>
      <c r="H998" s="32" t="s">
        <v>5448</v>
      </c>
      <c r="I998" s="32" t="s">
        <v>5449</v>
      </c>
      <c r="J998" s="32"/>
      <c r="L998" s="32"/>
      <c r="N998" s="24" t="s">
        <v>415</v>
      </c>
    </row>
    <row r="999" spans="1:14" x14ac:dyDescent="0.35">
      <c r="A999" s="25" t="s">
        <v>5450</v>
      </c>
      <c r="B999" s="25" t="s">
        <v>5451</v>
      </c>
      <c r="C999" s="25" t="s">
        <v>5452</v>
      </c>
      <c r="E999" s="32" t="s">
        <v>5453</v>
      </c>
      <c r="F999" s="32" t="s">
        <v>5454</v>
      </c>
      <c r="G999" s="32"/>
      <c r="H999" s="32"/>
      <c r="I999" s="32"/>
      <c r="J999" s="32"/>
      <c r="N999" s="24" t="s">
        <v>1434</v>
      </c>
    </row>
    <row r="1000" spans="1:14" x14ac:dyDescent="0.35">
      <c r="A1000" s="25" t="s">
        <v>5455</v>
      </c>
      <c r="B1000" s="25" t="s">
        <v>5456</v>
      </c>
      <c r="C1000" s="25" t="s">
        <v>5457</v>
      </c>
      <c r="E1000" s="32" t="s">
        <v>5458</v>
      </c>
      <c r="F1000" s="32" t="s">
        <v>5459</v>
      </c>
      <c r="G1000" s="32" t="s">
        <v>5460</v>
      </c>
      <c r="H1000" s="32" t="s">
        <v>5461</v>
      </c>
      <c r="I1000" s="32" t="s">
        <v>5462</v>
      </c>
      <c r="J1000" s="32"/>
      <c r="L1000" s="32"/>
      <c r="N1000" s="24" t="s">
        <v>415</v>
      </c>
    </row>
    <row r="1001" spans="1:14" x14ac:dyDescent="0.35">
      <c r="A1001" s="25" t="s">
        <v>5463</v>
      </c>
      <c r="B1001" s="25" t="s">
        <v>5464</v>
      </c>
      <c r="C1001" s="25" t="s">
        <v>5465</v>
      </c>
      <c r="E1001" s="32" t="s">
        <v>5466</v>
      </c>
      <c r="F1001" s="32"/>
      <c r="G1001" s="32"/>
      <c r="H1001" s="32"/>
      <c r="I1001" s="32"/>
      <c r="J1001" s="32"/>
      <c r="N1001" s="24" t="s">
        <v>415</v>
      </c>
    </row>
    <row r="1002" spans="1:14" x14ac:dyDescent="0.35">
      <c r="A1002" s="25" t="s">
        <v>5467</v>
      </c>
      <c r="B1002" s="25" t="s">
        <v>5468</v>
      </c>
      <c r="C1002" s="25" t="s">
        <v>5469</v>
      </c>
      <c r="E1002" s="32" t="s">
        <v>5470</v>
      </c>
      <c r="F1002" s="32"/>
      <c r="G1002" s="32"/>
      <c r="H1002" s="32"/>
      <c r="I1002" s="32"/>
      <c r="J1002" s="32"/>
      <c r="N1002" s="24" t="s">
        <v>415</v>
      </c>
    </row>
    <row r="1003" spans="1:14" x14ac:dyDescent="0.35">
      <c r="A1003" s="25" t="s">
        <v>5471</v>
      </c>
      <c r="B1003" s="25" t="s">
        <v>5472</v>
      </c>
      <c r="C1003" s="25" t="s">
        <v>5473</v>
      </c>
      <c r="E1003" s="32" t="s">
        <v>5474</v>
      </c>
      <c r="F1003" s="32" t="s">
        <v>5475</v>
      </c>
      <c r="G1003" s="32" t="s">
        <v>5476</v>
      </c>
      <c r="H1003" s="32" t="s">
        <v>5477</v>
      </c>
      <c r="I1003" s="32" t="s">
        <v>5478</v>
      </c>
      <c r="J1003" s="32"/>
      <c r="N1003" s="24" t="s">
        <v>415</v>
      </c>
    </row>
    <row r="1004" spans="1:14" x14ac:dyDescent="0.35">
      <c r="A1004" s="25" t="s">
        <v>5479</v>
      </c>
      <c r="B1004" s="25" t="s">
        <v>5480</v>
      </c>
      <c r="C1004" s="25" t="s">
        <v>5481</v>
      </c>
      <c r="E1004" s="32" t="s">
        <v>5482</v>
      </c>
      <c r="F1004" s="32" t="s">
        <v>5483</v>
      </c>
      <c r="G1004" s="32" t="s">
        <v>5484</v>
      </c>
      <c r="H1004" s="32" t="s">
        <v>5485</v>
      </c>
      <c r="I1004" s="32" t="s">
        <v>5486</v>
      </c>
      <c r="J1004" s="32"/>
      <c r="N1004" s="24" t="s">
        <v>415</v>
      </c>
    </row>
    <row r="1005" spans="1:14" x14ac:dyDescent="0.35">
      <c r="A1005" s="25" t="s">
        <v>5487</v>
      </c>
      <c r="B1005" s="25" t="s">
        <v>5488</v>
      </c>
      <c r="C1005" s="25" t="s">
        <v>5489</v>
      </c>
      <c r="E1005" s="32" t="s">
        <v>5490</v>
      </c>
      <c r="F1005" s="32" t="s">
        <v>5491</v>
      </c>
      <c r="G1005" s="32" t="s">
        <v>5492</v>
      </c>
      <c r="H1005" s="32" t="s">
        <v>5493</v>
      </c>
      <c r="I1005" s="32" t="s">
        <v>5494</v>
      </c>
      <c r="J1005" s="32"/>
      <c r="N1005" s="24" t="s">
        <v>415</v>
      </c>
    </row>
    <row r="1006" spans="1:14" x14ac:dyDescent="0.35">
      <c r="A1006" s="25" t="s">
        <v>5495</v>
      </c>
      <c r="B1006" s="25" t="s">
        <v>5496</v>
      </c>
      <c r="C1006" s="25" t="s">
        <v>5497</v>
      </c>
      <c r="E1006" s="32" t="s">
        <v>5498</v>
      </c>
      <c r="F1006" s="32" t="s">
        <v>5499</v>
      </c>
      <c r="G1006" s="32" t="s">
        <v>5500</v>
      </c>
      <c r="H1006" s="32"/>
      <c r="I1006" s="32"/>
      <c r="J1006" s="32"/>
      <c r="N1006" s="24" t="s">
        <v>415</v>
      </c>
    </row>
    <row r="1007" spans="1:14" x14ac:dyDescent="0.35">
      <c r="A1007" s="25" t="s">
        <v>5501</v>
      </c>
      <c r="B1007" s="25" t="s">
        <v>5502</v>
      </c>
      <c r="C1007" s="25" t="s">
        <v>5503</v>
      </c>
      <c r="E1007" s="32" t="s">
        <v>5504</v>
      </c>
      <c r="F1007" s="32" t="s">
        <v>5505</v>
      </c>
      <c r="G1007" s="32" t="s">
        <v>5506</v>
      </c>
      <c r="H1007" s="32" t="s">
        <v>5507</v>
      </c>
      <c r="I1007" s="32" t="s">
        <v>5508</v>
      </c>
      <c r="J1007" s="32"/>
      <c r="N1007" s="24" t="s">
        <v>415</v>
      </c>
    </row>
    <row r="1008" spans="1:14" x14ac:dyDescent="0.35">
      <c r="A1008" s="25" t="s">
        <v>5509</v>
      </c>
      <c r="B1008" s="25" t="s">
        <v>5510</v>
      </c>
      <c r="C1008" s="25" t="s">
        <v>5511</v>
      </c>
      <c r="E1008" s="32" t="s">
        <v>5512</v>
      </c>
      <c r="F1008" s="32" t="s">
        <v>5513</v>
      </c>
      <c r="G1008" s="32" t="s">
        <v>5514</v>
      </c>
      <c r="H1008" s="32" t="s">
        <v>5515</v>
      </c>
      <c r="I1008" s="32" t="s">
        <v>5516</v>
      </c>
      <c r="J1008" s="32"/>
      <c r="N1008" s="24" t="s">
        <v>1434</v>
      </c>
    </row>
    <row r="1009" spans="1:14" x14ac:dyDescent="0.35">
      <c r="A1009" s="25" t="s">
        <v>5517</v>
      </c>
      <c r="B1009" s="25" t="s">
        <v>5518</v>
      </c>
      <c r="C1009" s="25" t="s">
        <v>5519</v>
      </c>
      <c r="E1009" s="32" t="s">
        <v>5520</v>
      </c>
      <c r="F1009" s="32" t="s">
        <v>5521</v>
      </c>
      <c r="G1009" s="32" t="s">
        <v>5522</v>
      </c>
      <c r="H1009" s="32" t="s">
        <v>5523</v>
      </c>
      <c r="I1009" s="32" t="s">
        <v>5524</v>
      </c>
      <c r="J1009" s="32"/>
      <c r="N1009" s="24" t="s">
        <v>415</v>
      </c>
    </row>
    <row r="1010" spans="1:14" x14ac:dyDescent="0.35">
      <c r="A1010" s="25" t="s">
        <v>5525</v>
      </c>
      <c r="B1010" s="25" t="s">
        <v>5526</v>
      </c>
      <c r="C1010" s="25" t="s">
        <v>5527</v>
      </c>
      <c r="E1010" s="32" t="s">
        <v>5528</v>
      </c>
      <c r="F1010" s="32" t="s">
        <v>5529</v>
      </c>
      <c r="G1010" s="32" t="s">
        <v>5530</v>
      </c>
      <c r="H1010" s="32" t="s">
        <v>5531</v>
      </c>
      <c r="I1010" s="32" t="s">
        <v>5532</v>
      </c>
      <c r="J1010" s="32"/>
      <c r="N1010" s="24" t="s">
        <v>415</v>
      </c>
    </row>
    <row r="1011" spans="1:14" x14ac:dyDescent="0.35">
      <c r="A1011" s="25" t="s">
        <v>5533</v>
      </c>
      <c r="B1011" s="25" t="s">
        <v>5534</v>
      </c>
      <c r="C1011" s="25" t="s">
        <v>5535</v>
      </c>
      <c r="E1011" s="32" t="s">
        <v>5536</v>
      </c>
      <c r="F1011" s="32"/>
      <c r="G1011" s="32"/>
      <c r="H1011" s="32"/>
      <c r="I1011" s="32"/>
      <c r="J1011" s="32"/>
      <c r="N1011" s="24" t="s">
        <v>871</v>
      </c>
    </row>
    <row r="1012" spans="1:14" x14ac:dyDescent="0.35">
      <c r="A1012" s="25" t="s">
        <v>5537</v>
      </c>
      <c r="B1012" s="25" t="s">
        <v>5538</v>
      </c>
      <c r="C1012" s="25" t="s">
        <v>5539</v>
      </c>
      <c r="E1012" s="32" t="s">
        <v>5540</v>
      </c>
      <c r="F1012" s="32"/>
      <c r="G1012" s="32"/>
      <c r="H1012" s="32"/>
      <c r="I1012" s="32"/>
      <c r="J1012" s="32"/>
      <c r="N1012" s="24" t="s">
        <v>415</v>
      </c>
    </row>
    <row r="1013" spans="1:14" x14ac:dyDescent="0.35">
      <c r="A1013" s="25" t="s">
        <v>5541</v>
      </c>
      <c r="B1013" s="25" t="s">
        <v>5542</v>
      </c>
      <c r="C1013" s="25" t="s">
        <v>5543</v>
      </c>
      <c r="E1013" s="32" t="s">
        <v>5544</v>
      </c>
      <c r="F1013" s="32" t="s">
        <v>5545</v>
      </c>
      <c r="G1013" s="32" t="s">
        <v>5546</v>
      </c>
      <c r="H1013" s="32" t="s">
        <v>5547</v>
      </c>
      <c r="I1013" s="32" t="s">
        <v>5548</v>
      </c>
      <c r="J1013" s="32"/>
      <c r="N1013" s="24" t="s">
        <v>1434</v>
      </c>
    </row>
    <row r="1014" spans="1:14" x14ac:dyDescent="0.35">
      <c r="A1014" s="25" t="s">
        <v>5549</v>
      </c>
      <c r="B1014" s="25" t="s">
        <v>5550</v>
      </c>
      <c r="C1014" s="25" t="s">
        <v>5551</v>
      </c>
      <c r="E1014" s="32" t="s">
        <v>5552</v>
      </c>
      <c r="F1014" s="32" t="s">
        <v>5553</v>
      </c>
      <c r="G1014" s="32"/>
      <c r="H1014" s="32"/>
      <c r="I1014" s="32"/>
      <c r="J1014" s="32"/>
      <c r="N1014" s="24" t="s">
        <v>415</v>
      </c>
    </row>
    <row r="1015" spans="1:14" x14ac:dyDescent="0.35">
      <c r="A1015" s="25" t="s">
        <v>5554</v>
      </c>
      <c r="B1015" s="25" t="s">
        <v>5555</v>
      </c>
      <c r="C1015" s="25" t="s">
        <v>5556</v>
      </c>
      <c r="E1015" s="32" t="s">
        <v>5557</v>
      </c>
      <c r="F1015" s="32" t="s">
        <v>5558</v>
      </c>
      <c r="G1015" s="32" t="s">
        <v>5559</v>
      </c>
      <c r="H1015" s="32" t="s">
        <v>5560</v>
      </c>
      <c r="I1015" s="32" t="s">
        <v>5561</v>
      </c>
      <c r="J1015" s="32"/>
      <c r="N1015" s="24" t="s">
        <v>415</v>
      </c>
    </row>
    <row r="1016" spans="1:14" x14ac:dyDescent="0.35">
      <c r="A1016" s="25" t="s">
        <v>5562</v>
      </c>
      <c r="B1016" s="25" t="s">
        <v>5563</v>
      </c>
      <c r="C1016" s="25" t="s">
        <v>5564</v>
      </c>
      <c r="E1016" s="32" t="s">
        <v>5565</v>
      </c>
      <c r="F1016" s="32" t="s">
        <v>5566</v>
      </c>
      <c r="G1016" s="32"/>
      <c r="H1016" s="32"/>
      <c r="I1016" s="32"/>
      <c r="J1016" s="32"/>
      <c r="N1016" s="24" t="s">
        <v>415</v>
      </c>
    </row>
    <row r="1017" spans="1:14" x14ac:dyDescent="0.35">
      <c r="A1017" s="25" t="s">
        <v>5567</v>
      </c>
      <c r="B1017" s="25" t="s">
        <v>5568</v>
      </c>
      <c r="C1017" s="25" t="s">
        <v>5569</v>
      </c>
      <c r="E1017" s="32" t="s">
        <v>5570</v>
      </c>
      <c r="F1017" s="32"/>
      <c r="G1017" s="32"/>
      <c r="H1017" s="32"/>
      <c r="I1017" s="32"/>
      <c r="J1017" s="32"/>
      <c r="N1017" s="24" t="s">
        <v>1434</v>
      </c>
    </row>
    <row r="1018" spans="1:14" x14ac:dyDescent="0.35">
      <c r="A1018" s="25" t="s">
        <v>5571</v>
      </c>
      <c r="B1018" s="25" t="s">
        <v>5572</v>
      </c>
      <c r="C1018" s="25" t="s">
        <v>5573</v>
      </c>
      <c r="E1018" s="32" t="s">
        <v>5574</v>
      </c>
      <c r="F1018" s="32" t="s">
        <v>5575</v>
      </c>
      <c r="G1018" s="32" t="s">
        <v>5576</v>
      </c>
      <c r="H1018" s="32" t="s">
        <v>5577</v>
      </c>
      <c r="I1018" s="32"/>
      <c r="J1018" s="32"/>
      <c r="N1018" s="24" t="s">
        <v>1696</v>
      </c>
    </row>
    <row r="1019" spans="1:14" x14ac:dyDescent="0.35">
      <c r="A1019" s="25" t="s">
        <v>5580</v>
      </c>
      <c r="B1019" s="25" t="s">
        <v>5581</v>
      </c>
      <c r="C1019" s="25" t="s">
        <v>5582</v>
      </c>
      <c r="E1019" s="32" t="s">
        <v>5583</v>
      </c>
      <c r="F1019" s="32" t="s">
        <v>5584</v>
      </c>
      <c r="G1019" s="32" t="s">
        <v>5585</v>
      </c>
      <c r="H1019" s="32" t="s">
        <v>5586</v>
      </c>
      <c r="I1019" s="32" t="s">
        <v>5587</v>
      </c>
      <c r="J1019" s="32"/>
      <c r="N1019" s="24" t="s">
        <v>415</v>
      </c>
    </row>
    <row r="1020" spans="1:14" x14ac:dyDescent="0.35">
      <c r="A1020" s="25" t="s">
        <v>5588</v>
      </c>
      <c r="B1020" s="25" t="s">
        <v>5589</v>
      </c>
      <c r="C1020" s="25" t="s">
        <v>5590</v>
      </c>
      <c r="E1020" s="32" t="s">
        <v>5591</v>
      </c>
      <c r="F1020" s="32" t="s">
        <v>5592</v>
      </c>
      <c r="G1020" s="32" t="s">
        <v>5593</v>
      </c>
      <c r="H1020" s="32" t="s">
        <v>5594</v>
      </c>
      <c r="I1020" s="32" t="s">
        <v>5595</v>
      </c>
      <c r="J1020" s="32"/>
      <c r="N1020" s="24" t="s">
        <v>415</v>
      </c>
    </row>
    <row r="1021" spans="1:14" x14ac:dyDescent="0.35">
      <c r="A1021" s="25" t="s">
        <v>5596</v>
      </c>
      <c r="B1021" s="25" t="s">
        <v>5597</v>
      </c>
      <c r="C1021" s="25" t="s">
        <v>5598</v>
      </c>
      <c r="E1021" s="32" t="s">
        <v>5599</v>
      </c>
      <c r="F1021" s="32" t="s">
        <v>5600</v>
      </c>
      <c r="G1021" s="32" t="s">
        <v>5601</v>
      </c>
      <c r="H1021" s="32" t="s">
        <v>5602</v>
      </c>
      <c r="I1021" s="32" t="s">
        <v>5603</v>
      </c>
      <c r="J1021" s="32"/>
      <c r="N1021" s="24" t="s">
        <v>415</v>
      </c>
    </row>
    <row r="1022" spans="1:14" x14ac:dyDescent="0.35">
      <c r="A1022" s="25" t="s">
        <v>5604</v>
      </c>
      <c r="B1022" s="25" t="s">
        <v>5605</v>
      </c>
      <c r="C1022" s="25" t="s">
        <v>5606</v>
      </c>
      <c r="E1022" s="32" t="s">
        <v>5607</v>
      </c>
      <c r="F1022" s="32"/>
      <c r="G1022" s="32"/>
      <c r="H1022" s="32"/>
      <c r="I1022" s="32"/>
      <c r="J1022" s="32"/>
      <c r="N1022" s="24" t="s">
        <v>415</v>
      </c>
    </row>
    <row r="1023" spans="1:14" x14ac:dyDescent="0.35">
      <c r="A1023" s="25" t="s">
        <v>5608</v>
      </c>
      <c r="B1023" s="25" t="s">
        <v>5609</v>
      </c>
      <c r="C1023" s="25" t="s">
        <v>5610</v>
      </c>
      <c r="E1023" s="32" t="s">
        <v>5611</v>
      </c>
      <c r="F1023" s="32" t="s">
        <v>5612</v>
      </c>
      <c r="G1023" s="32"/>
      <c r="H1023" s="32"/>
      <c r="I1023" s="32"/>
      <c r="J1023" s="32"/>
      <c r="N1023" s="24" t="s">
        <v>415</v>
      </c>
    </row>
    <row r="1024" spans="1:14" x14ac:dyDescent="0.35">
      <c r="A1024" s="25" t="s">
        <v>5613</v>
      </c>
      <c r="B1024" s="25" t="s">
        <v>5614</v>
      </c>
      <c r="C1024" s="25" t="s">
        <v>5615</v>
      </c>
      <c r="E1024" s="32" t="s">
        <v>5616</v>
      </c>
      <c r="F1024" s="32" t="s">
        <v>5617</v>
      </c>
      <c r="G1024" s="32" t="s">
        <v>5618</v>
      </c>
      <c r="H1024" s="32" t="s">
        <v>5619</v>
      </c>
      <c r="I1024" s="32"/>
      <c r="J1024" s="32"/>
      <c r="N1024" s="24" t="s">
        <v>415</v>
      </c>
    </row>
    <row r="1025" spans="1:14" x14ac:dyDescent="0.35">
      <c r="A1025" s="25" t="s">
        <v>5620</v>
      </c>
      <c r="B1025" s="25" t="s">
        <v>5621</v>
      </c>
      <c r="C1025" s="25" t="s">
        <v>5622</v>
      </c>
      <c r="E1025" s="32" t="s">
        <v>5623</v>
      </c>
      <c r="F1025" s="32" t="s">
        <v>5624</v>
      </c>
      <c r="G1025" s="32" t="s">
        <v>5625</v>
      </c>
      <c r="H1025" s="32" t="s">
        <v>5626</v>
      </c>
      <c r="I1025" s="32" t="s">
        <v>5627</v>
      </c>
      <c r="J1025" s="32"/>
      <c r="N1025" s="24" t="s">
        <v>415</v>
      </c>
    </row>
    <row r="1026" spans="1:14" x14ac:dyDescent="0.35">
      <c r="A1026" s="25" t="s">
        <v>5628</v>
      </c>
      <c r="B1026" s="25" t="s">
        <v>5629</v>
      </c>
      <c r="C1026" s="25" t="s">
        <v>5630</v>
      </c>
      <c r="E1026" s="32" t="s">
        <v>5631</v>
      </c>
      <c r="F1026" s="32" t="s">
        <v>5632</v>
      </c>
      <c r="G1026" s="32" t="s">
        <v>5633</v>
      </c>
      <c r="H1026" s="32" t="s">
        <v>5634</v>
      </c>
      <c r="I1026" s="32" t="s">
        <v>5635</v>
      </c>
      <c r="J1026" s="32"/>
      <c r="N1026" s="24" t="s">
        <v>415</v>
      </c>
    </row>
    <row r="1027" spans="1:14" x14ac:dyDescent="0.35">
      <c r="A1027" s="25" t="s">
        <v>5636</v>
      </c>
      <c r="B1027" s="25" t="s">
        <v>5637</v>
      </c>
      <c r="C1027" s="25" t="s">
        <v>5638</v>
      </c>
      <c r="E1027" s="32" t="s">
        <v>5639</v>
      </c>
      <c r="F1027" s="32" t="s">
        <v>5640</v>
      </c>
      <c r="G1027" s="32" t="s">
        <v>5641</v>
      </c>
      <c r="H1027" s="32" t="s">
        <v>5642</v>
      </c>
      <c r="I1027" s="32" t="s">
        <v>5643</v>
      </c>
      <c r="J1027" s="32"/>
      <c r="N1027" s="24" t="s">
        <v>415</v>
      </c>
    </row>
    <row r="1028" spans="1:14" x14ac:dyDescent="0.35">
      <c r="A1028" s="25" t="s">
        <v>5644</v>
      </c>
      <c r="B1028" s="25" t="s">
        <v>5645</v>
      </c>
      <c r="C1028" s="25" t="s">
        <v>5646</v>
      </c>
      <c r="E1028" s="32" t="s">
        <v>5647</v>
      </c>
      <c r="F1028" s="32"/>
      <c r="G1028" s="32"/>
      <c r="H1028" s="32"/>
      <c r="I1028" s="32"/>
      <c r="J1028" s="32"/>
      <c r="N1028" s="24" t="s">
        <v>415</v>
      </c>
    </row>
    <row r="1029" spans="1:14" x14ac:dyDescent="0.35">
      <c r="A1029" s="25" t="s">
        <v>5648</v>
      </c>
      <c r="B1029" s="25" t="s">
        <v>5649</v>
      </c>
      <c r="C1029" s="25" t="s">
        <v>5650</v>
      </c>
      <c r="E1029" s="32" t="s">
        <v>4616</v>
      </c>
      <c r="F1029" s="32" t="s">
        <v>4617</v>
      </c>
      <c r="G1029" s="32" t="s">
        <v>4618</v>
      </c>
      <c r="H1029" s="32" t="s">
        <v>4619</v>
      </c>
      <c r="I1029" s="32" t="s">
        <v>4620</v>
      </c>
      <c r="J1029" s="32"/>
      <c r="N1029" s="24" t="s">
        <v>415</v>
      </c>
    </row>
    <row r="1030" spans="1:14" x14ac:dyDescent="0.35">
      <c r="A1030" s="25" t="s">
        <v>5651</v>
      </c>
      <c r="B1030" s="25" t="s">
        <v>5652</v>
      </c>
      <c r="C1030" s="25" t="s">
        <v>5653</v>
      </c>
      <c r="E1030" s="32" t="s">
        <v>5654</v>
      </c>
      <c r="F1030" s="32"/>
      <c r="G1030" s="32"/>
      <c r="H1030" s="32"/>
      <c r="I1030" s="32"/>
      <c r="J1030" s="32"/>
      <c r="N1030" s="24" t="s">
        <v>415</v>
      </c>
    </row>
    <row r="1031" spans="1:14" x14ac:dyDescent="0.35">
      <c r="A1031" s="25" t="s">
        <v>5655</v>
      </c>
      <c r="B1031" s="25" t="s">
        <v>5656</v>
      </c>
      <c r="C1031" s="25" t="s">
        <v>5657</v>
      </c>
      <c r="E1031" s="32" t="s">
        <v>5658</v>
      </c>
      <c r="F1031" s="32" t="s">
        <v>5659</v>
      </c>
      <c r="G1031" s="32" t="s">
        <v>5329</v>
      </c>
      <c r="H1031" s="32" t="s">
        <v>5330</v>
      </c>
      <c r="I1031" s="32"/>
      <c r="J1031" s="32"/>
      <c r="N1031" s="24" t="s">
        <v>415</v>
      </c>
    </row>
    <row r="1032" spans="1:14" x14ac:dyDescent="0.35">
      <c r="A1032" s="25" t="s">
        <v>5660</v>
      </c>
      <c r="B1032" s="25" t="s">
        <v>5661</v>
      </c>
      <c r="C1032" s="25" t="s">
        <v>5662</v>
      </c>
      <c r="E1032" s="32" t="s">
        <v>5663</v>
      </c>
      <c r="F1032" s="32" t="s">
        <v>5664</v>
      </c>
      <c r="G1032" s="32" t="s">
        <v>5665</v>
      </c>
      <c r="H1032" s="32" t="s">
        <v>5666</v>
      </c>
      <c r="I1032" s="32" t="s">
        <v>5667</v>
      </c>
      <c r="J1032" s="32"/>
      <c r="N1032" s="24" t="s">
        <v>415</v>
      </c>
    </row>
    <row r="1033" spans="1:14" x14ac:dyDescent="0.35">
      <c r="A1033" s="25" t="s">
        <v>5668</v>
      </c>
      <c r="B1033" s="25" t="s">
        <v>5669</v>
      </c>
      <c r="C1033" s="25" t="s">
        <v>5670</v>
      </c>
      <c r="E1033" s="32" t="s">
        <v>5671</v>
      </c>
      <c r="F1033" s="32"/>
      <c r="G1033" s="32"/>
      <c r="H1033" s="32"/>
      <c r="I1033" s="32"/>
      <c r="J1033" s="32"/>
      <c r="N1033" s="24" t="s">
        <v>415</v>
      </c>
    </row>
    <row r="1034" spans="1:14" x14ac:dyDescent="0.35">
      <c r="A1034" s="25" t="s">
        <v>5672</v>
      </c>
      <c r="B1034" s="25" t="s">
        <v>5673</v>
      </c>
      <c r="C1034" s="25" t="s">
        <v>5674</v>
      </c>
      <c r="E1034" s="32" t="s">
        <v>5675</v>
      </c>
      <c r="F1034" s="32" t="s">
        <v>5676</v>
      </c>
      <c r="G1034" s="32" t="s">
        <v>5677</v>
      </c>
      <c r="H1034" s="32" t="s">
        <v>5678</v>
      </c>
      <c r="I1034" s="32" t="s">
        <v>5679</v>
      </c>
      <c r="J1034" s="32"/>
      <c r="N1034" s="24" t="s">
        <v>415</v>
      </c>
    </row>
    <row r="1035" spans="1:14" x14ac:dyDescent="0.35">
      <c r="A1035" s="25" t="s">
        <v>5680</v>
      </c>
      <c r="B1035" s="25" t="s">
        <v>5681</v>
      </c>
      <c r="C1035" s="25" t="s">
        <v>5682</v>
      </c>
      <c r="E1035" s="32" t="s">
        <v>5683</v>
      </c>
      <c r="F1035" s="32"/>
      <c r="G1035" s="32"/>
      <c r="H1035" s="32"/>
      <c r="I1035" s="32"/>
      <c r="J1035" s="32"/>
      <c r="N1035" s="24" t="s">
        <v>415</v>
      </c>
    </row>
    <row r="1036" spans="1:14" x14ac:dyDescent="0.35">
      <c r="A1036" s="25" t="s">
        <v>5684</v>
      </c>
      <c r="B1036" s="25" t="s">
        <v>5685</v>
      </c>
      <c r="C1036" s="25" t="s">
        <v>5686</v>
      </c>
      <c r="E1036" s="32" t="s">
        <v>5687</v>
      </c>
      <c r="F1036" s="32" t="s">
        <v>5688</v>
      </c>
      <c r="G1036" s="32" t="s">
        <v>5689</v>
      </c>
      <c r="H1036" s="32"/>
      <c r="I1036" s="32"/>
      <c r="J1036" s="32"/>
      <c r="N1036" s="24" t="s">
        <v>415</v>
      </c>
    </row>
    <row r="1037" spans="1:14" x14ac:dyDescent="0.35">
      <c r="A1037" s="25" t="s">
        <v>5690</v>
      </c>
      <c r="B1037" s="25" t="s">
        <v>5691</v>
      </c>
      <c r="C1037" s="25" t="s">
        <v>5692</v>
      </c>
      <c r="E1037" s="32" t="s">
        <v>5693</v>
      </c>
      <c r="F1037" s="32" t="s">
        <v>5694</v>
      </c>
      <c r="G1037" s="32" t="s">
        <v>5695</v>
      </c>
      <c r="H1037" s="32" t="s">
        <v>5696</v>
      </c>
      <c r="I1037" s="32" t="s">
        <v>5697</v>
      </c>
      <c r="J1037" s="32"/>
      <c r="N1037" s="24" t="s">
        <v>415</v>
      </c>
    </row>
    <row r="1038" spans="1:14" x14ac:dyDescent="0.35">
      <c r="A1038" s="25" t="s">
        <v>5698</v>
      </c>
      <c r="B1038" s="25" t="s">
        <v>5699</v>
      </c>
      <c r="C1038" s="25" t="s">
        <v>5700</v>
      </c>
      <c r="E1038" s="32" t="s">
        <v>5701</v>
      </c>
      <c r="F1038" s="32" t="s">
        <v>5702</v>
      </c>
      <c r="G1038" s="32"/>
      <c r="H1038" s="32"/>
      <c r="I1038" s="32"/>
      <c r="J1038" s="32"/>
      <c r="N1038" s="24" t="s">
        <v>415</v>
      </c>
    </row>
    <row r="1039" spans="1:14" x14ac:dyDescent="0.35">
      <c r="A1039" s="25" t="s">
        <v>5703</v>
      </c>
      <c r="B1039" s="25" t="s">
        <v>5704</v>
      </c>
      <c r="C1039" s="25" t="s">
        <v>5705</v>
      </c>
      <c r="E1039" s="32"/>
      <c r="F1039" s="32"/>
      <c r="G1039" s="32"/>
      <c r="H1039" s="32"/>
      <c r="I1039" s="32"/>
      <c r="J1039" s="32"/>
      <c r="N1039" s="24" t="s">
        <v>415</v>
      </c>
    </row>
    <row r="1040" spans="1:14" x14ac:dyDescent="0.35">
      <c r="A1040" s="25" t="s">
        <v>5706</v>
      </c>
      <c r="B1040" s="25" t="s">
        <v>5707</v>
      </c>
      <c r="C1040" s="25" t="s">
        <v>5708</v>
      </c>
      <c r="E1040" s="32" t="s">
        <v>5709</v>
      </c>
      <c r="F1040" s="32" t="s">
        <v>5710</v>
      </c>
      <c r="G1040" s="32"/>
      <c r="H1040" s="32"/>
      <c r="I1040" s="32"/>
      <c r="J1040" s="32"/>
      <c r="N1040" s="24" t="s">
        <v>415</v>
      </c>
    </row>
    <row r="1041" spans="1:14" x14ac:dyDescent="0.35">
      <c r="A1041" s="25" t="s">
        <v>5711</v>
      </c>
      <c r="B1041" s="25" t="s">
        <v>5712</v>
      </c>
      <c r="C1041" s="25" t="s">
        <v>5713</v>
      </c>
      <c r="E1041" s="32" t="s">
        <v>5714</v>
      </c>
      <c r="F1041" s="32" t="s">
        <v>5715</v>
      </c>
      <c r="G1041" s="32" t="s">
        <v>5716</v>
      </c>
      <c r="H1041" s="32" t="s">
        <v>5717</v>
      </c>
      <c r="I1041" s="32" t="s">
        <v>5718</v>
      </c>
      <c r="J1041" s="32"/>
      <c r="N1041" s="24" t="s">
        <v>415</v>
      </c>
    </row>
    <row r="1042" spans="1:14" x14ac:dyDescent="0.35">
      <c r="A1042" s="25" t="s">
        <v>5719</v>
      </c>
      <c r="B1042" s="25" t="s">
        <v>5720</v>
      </c>
      <c r="C1042" s="25" t="s">
        <v>5721</v>
      </c>
      <c r="E1042" s="32" t="s">
        <v>5722</v>
      </c>
      <c r="F1042" s="32" t="s">
        <v>5723</v>
      </c>
      <c r="G1042" s="32" t="s">
        <v>5724</v>
      </c>
      <c r="H1042" s="32"/>
      <c r="I1042" s="32"/>
      <c r="J1042" s="32"/>
      <c r="N1042" s="24" t="s">
        <v>415</v>
      </c>
    </row>
    <row r="1043" spans="1:14" x14ac:dyDescent="0.35">
      <c r="A1043" s="25" t="s">
        <v>5725</v>
      </c>
      <c r="B1043" s="25" t="s">
        <v>5726</v>
      </c>
      <c r="C1043" s="25" t="s">
        <v>5727</v>
      </c>
      <c r="E1043" s="32" t="s">
        <v>5728</v>
      </c>
      <c r="F1043" s="32" t="s">
        <v>5729</v>
      </c>
      <c r="G1043" s="32" t="s">
        <v>5730</v>
      </c>
      <c r="H1043" s="32" t="s">
        <v>5731</v>
      </c>
      <c r="I1043" s="32"/>
      <c r="J1043" s="32"/>
      <c r="N1043" s="24" t="s">
        <v>415</v>
      </c>
    </row>
    <row r="1044" spans="1:14" x14ac:dyDescent="0.35">
      <c r="A1044" s="25" t="s">
        <v>5732</v>
      </c>
      <c r="B1044" s="25" t="s">
        <v>5733</v>
      </c>
      <c r="C1044" s="25" t="s">
        <v>5734</v>
      </c>
      <c r="E1044" s="32" t="s">
        <v>3760</v>
      </c>
      <c r="F1044" s="32" t="s">
        <v>3761</v>
      </c>
      <c r="G1044" s="32" t="s">
        <v>3762</v>
      </c>
      <c r="H1044" s="32"/>
      <c r="I1044" s="32"/>
      <c r="J1044" s="32"/>
      <c r="N1044" s="24" t="s">
        <v>415</v>
      </c>
    </row>
    <row r="1045" spans="1:14" x14ac:dyDescent="0.35">
      <c r="A1045" s="25" t="s">
        <v>5735</v>
      </c>
      <c r="B1045" s="25" t="s">
        <v>5736</v>
      </c>
      <c r="C1045" s="25" t="s">
        <v>5737</v>
      </c>
      <c r="E1045" s="32" t="s">
        <v>5738</v>
      </c>
      <c r="F1045" s="32" t="s">
        <v>5739</v>
      </c>
      <c r="G1045" s="32" t="s">
        <v>5740</v>
      </c>
      <c r="H1045" s="32" t="s">
        <v>5741</v>
      </c>
      <c r="I1045" s="32" t="s">
        <v>5742</v>
      </c>
      <c r="J1045" s="32"/>
      <c r="N1045" s="24" t="s">
        <v>415</v>
      </c>
    </row>
    <row r="1046" spans="1:14" x14ac:dyDescent="0.35">
      <c r="A1046" s="25" t="s">
        <v>5743</v>
      </c>
      <c r="B1046" s="25" t="s">
        <v>5744</v>
      </c>
      <c r="C1046" s="25" t="s">
        <v>5745</v>
      </c>
      <c r="E1046" s="32" t="s">
        <v>5746</v>
      </c>
      <c r="F1046" s="32" t="s">
        <v>5747</v>
      </c>
      <c r="G1046" s="32" t="s">
        <v>5748</v>
      </c>
      <c r="H1046" s="32" t="s">
        <v>5749</v>
      </c>
      <c r="I1046" s="32" t="s">
        <v>5750</v>
      </c>
      <c r="J1046" s="32"/>
      <c r="N1046" s="24" t="s">
        <v>415</v>
      </c>
    </row>
    <row r="1047" spans="1:14" x14ac:dyDescent="0.35">
      <c r="A1047" s="25" t="s">
        <v>5751</v>
      </c>
      <c r="B1047" s="25" t="s">
        <v>5752</v>
      </c>
      <c r="C1047" s="25" t="s">
        <v>5753</v>
      </c>
      <c r="E1047" s="32" t="s">
        <v>5754</v>
      </c>
      <c r="F1047" s="32" t="s">
        <v>5755</v>
      </c>
      <c r="G1047" s="32" t="s">
        <v>5756</v>
      </c>
      <c r="H1047" s="32" t="s">
        <v>5757</v>
      </c>
      <c r="I1047" s="32" t="s">
        <v>5758</v>
      </c>
      <c r="J1047" s="32"/>
      <c r="N1047" s="24" t="s">
        <v>415</v>
      </c>
    </row>
    <row r="1048" spans="1:14" x14ac:dyDescent="0.35">
      <c r="A1048" s="25" t="s">
        <v>5759</v>
      </c>
      <c r="B1048" s="25" t="s">
        <v>5760</v>
      </c>
      <c r="C1048" s="25" t="s">
        <v>5761</v>
      </c>
      <c r="E1048" s="32" t="s">
        <v>5762</v>
      </c>
      <c r="F1048" s="32" t="s">
        <v>5763</v>
      </c>
      <c r="G1048" s="32" t="s">
        <v>5764</v>
      </c>
      <c r="H1048" s="32" t="s">
        <v>5765</v>
      </c>
      <c r="I1048" s="32" t="s">
        <v>5766</v>
      </c>
      <c r="J1048" s="32"/>
      <c r="N1048" s="24" t="s">
        <v>415</v>
      </c>
    </row>
    <row r="1049" spans="1:14" x14ac:dyDescent="0.35">
      <c r="A1049" s="25" t="s">
        <v>5767</v>
      </c>
      <c r="B1049" s="25" t="s">
        <v>5768</v>
      </c>
      <c r="C1049" s="25" t="s">
        <v>5769</v>
      </c>
      <c r="E1049" s="32" t="s">
        <v>5770</v>
      </c>
      <c r="F1049" s="32" t="s">
        <v>5771</v>
      </c>
      <c r="G1049" s="32" t="s">
        <v>5772</v>
      </c>
      <c r="H1049" s="32" t="s">
        <v>5773</v>
      </c>
      <c r="I1049" s="32"/>
      <c r="J1049" s="32"/>
      <c r="N1049" s="24" t="s">
        <v>415</v>
      </c>
    </row>
    <row r="1050" spans="1:14" x14ac:dyDescent="0.35">
      <c r="A1050" s="25" t="s">
        <v>5774</v>
      </c>
      <c r="B1050" s="25" t="s">
        <v>5775</v>
      </c>
      <c r="C1050" s="25" t="s">
        <v>5776</v>
      </c>
      <c r="E1050" s="32" t="s">
        <v>5777</v>
      </c>
      <c r="F1050" s="32"/>
      <c r="G1050" s="32"/>
      <c r="H1050" s="32"/>
      <c r="I1050" s="32"/>
      <c r="J1050" s="32"/>
      <c r="N1050" s="24" t="s">
        <v>415</v>
      </c>
    </row>
    <row r="1051" spans="1:14" x14ac:dyDescent="0.35">
      <c r="A1051" s="25" t="s">
        <v>5778</v>
      </c>
      <c r="B1051" s="25" t="s">
        <v>5779</v>
      </c>
      <c r="C1051" s="25" t="s">
        <v>5780</v>
      </c>
      <c r="E1051" s="32" t="s">
        <v>248</v>
      </c>
      <c r="F1051" s="32" t="s">
        <v>5781</v>
      </c>
      <c r="G1051" s="32" t="s">
        <v>5782</v>
      </c>
      <c r="H1051" s="32" t="s">
        <v>5783</v>
      </c>
      <c r="I1051" s="32" t="s">
        <v>5784</v>
      </c>
      <c r="J1051" s="32"/>
      <c r="N1051" s="24" t="s">
        <v>415</v>
      </c>
    </row>
    <row r="1052" spans="1:14" x14ac:dyDescent="0.35">
      <c r="A1052" s="25" t="s">
        <v>5785</v>
      </c>
      <c r="B1052" s="25" t="s">
        <v>5786</v>
      </c>
      <c r="C1052" s="25" t="s">
        <v>5787</v>
      </c>
      <c r="E1052" s="32" t="s">
        <v>5788</v>
      </c>
      <c r="F1052" s="32"/>
      <c r="G1052" s="32"/>
      <c r="H1052" s="32"/>
      <c r="I1052" s="32"/>
      <c r="J1052" s="32"/>
      <c r="N1052" s="24" t="s">
        <v>415</v>
      </c>
    </row>
    <row r="1053" spans="1:14" x14ac:dyDescent="0.35">
      <c r="A1053" s="25" t="s">
        <v>5789</v>
      </c>
      <c r="B1053" s="25" t="s">
        <v>5790</v>
      </c>
      <c r="C1053" s="25" t="s">
        <v>5791</v>
      </c>
      <c r="E1053" s="32" t="s">
        <v>5792</v>
      </c>
      <c r="F1053" s="32"/>
      <c r="G1053" s="32"/>
      <c r="H1053" s="32"/>
      <c r="I1053" s="32"/>
      <c r="J1053" s="32"/>
      <c r="N1053" s="24" t="s">
        <v>415</v>
      </c>
    </row>
    <row r="1054" spans="1:14" x14ac:dyDescent="0.35">
      <c r="A1054" s="25" t="s">
        <v>5793</v>
      </c>
      <c r="B1054" s="25" t="s">
        <v>5794</v>
      </c>
      <c r="C1054" s="25" t="s">
        <v>5795</v>
      </c>
      <c r="E1054" s="32" t="s">
        <v>5796</v>
      </c>
      <c r="F1054" s="32"/>
      <c r="G1054" s="32"/>
      <c r="H1054" s="32"/>
      <c r="I1054" s="32"/>
      <c r="J1054" s="32"/>
      <c r="N1054" s="24" t="s">
        <v>415</v>
      </c>
    </row>
    <row r="1055" spans="1:14" x14ac:dyDescent="0.35">
      <c r="A1055" s="25" t="s">
        <v>5797</v>
      </c>
      <c r="B1055" s="25" t="s">
        <v>5798</v>
      </c>
      <c r="C1055" s="25" t="s">
        <v>5799</v>
      </c>
      <c r="E1055" s="32" t="s">
        <v>5800</v>
      </c>
      <c r="F1055" s="32"/>
      <c r="G1055" s="32"/>
      <c r="H1055" s="32"/>
      <c r="I1055" s="32"/>
      <c r="J1055" s="32"/>
      <c r="N1055" s="24" t="s">
        <v>415</v>
      </c>
    </row>
    <row r="1056" spans="1:14" x14ac:dyDescent="0.35">
      <c r="A1056" s="25" t="s">
        <v>5801</v>
      </c>
      <c r="B1056" s="25" t="s">
        <v>5802</v>
      </c>
      <c r="C1056" s="25" t="s">
        <v>5803</v>
      </c>
      <c r="E1056" s="32" t="s">
        <v>5804</v>
      </c>
      <c r="F1056" s="32"/>
      <c r="G1056" s="32"/>
      <c r="H1056" s="32"/>
      <c r="I1056" s="32"/>
      <c r="J1056" s="32"/>
      <c r="N1056" s="24" t="s">
        <v>415</v>
      </c>
    </row>
    <row r="1057" spans="1:14" x14ac:dyDescent="0.35">
      <c r="A1057" s="25" t="s">
        <v>5805</v>
      </c>
      <c r="B1057" s="25" t="s">
        <v>5806</v>
      </c>
      <c r="C1057" s="25" t="s">
        <v>5807</v>
      </c>
      <c r="E1057" s="32" t="s">
        <v>5808</v>
      </c>
      <c r="F1057" s="32" t="s">
        <v>5809</v>
      </c>
      <c r="G1057" s="32" t="s">
        <v>5810</v>
      </c>
      <c r="H1057" s="32" t="s">
        <v>5811</v>
      </c>
      <c r="I1057" s="32" t="s">
        <v>5812</v>
      </c>
      <c r="J1057" s="32"/>
      <c r="N1057" s="24" t="s">
        <v>415</v>
      </c>
    </row>
    <row r="1058" spans="1:14" x14ac:dyDescent="0.35">
      <c r="A1058" s="25" t="s">
        <v>5813</v>
      </c>
      <c r="B1058" s="25" t="s">
        <v>5814</v>
      </c>
      <c r="C1058" s="25" t="s">
        <v>5815</v>
      </c>
      <c r="E1058" s="32" t="s">
        <v>5816</v>
      </c>
      <c r="F1058" s="32"/>
      <c r="G1058" s="32"/>
      <c r="H1058" s="32"/>
      <c r="I1058" s="32"/>
      <c r="J1058" s="32"/>
      <c r="N1058" s="24" t="s">
        <v>415</v>
      </c>
    </row>
    <row r="1059" spans="1:14" x14ac:dyDescent="0.35">
      <c r="A1059" s="25" t="s">
        <v>5817</v>
      </c>
      <c r="B1059" s="25" t="s">
        <v>5818</v>
      </c>
      <c r="C1059" s="25" t="s">
        <v>5819</v>
      </c>
      <c r="E1059" s="32" t="s">
        <v>5820</v>
      </c>
      <c r="F1059" s="32"/>
      <c r="G1059" s="32"/>
      <c r="H1059" s="32"/>
      <c r="I1059" s="32"/>
      <c r="J1059" s="32"/>
      <c r="N1059" s="24" t="s">
        <v>415</v>
      </c>
    </row>
    <row r="1060" spans="1:14" x14ac:dyDescent="0.35">
      <c r="A1060" s="25" t="s">
        <v>5821</v>
      </c>
      <c r="B1060" s="25" t="s">
        <v>5822</v>
      </c>
      <c r="C1060" s="25" t="s">
        <v>5823</v>
      </c>
      <c r="E1060" s="32" t="s">
        <v>5824</v>
      </c>
      <c r="F1060" s="32"/>
      <c r="G1060" s="32"/>
      <c r="H1060" s="32"/>
      <c r="I1060" s="32"/>
      <c r="J1060" s="32"/>
      <c r="N1060" s="24" t="s">
        <v>415</v>
      </c>
    </row>
    <row r="1061" spans="1:14" x14ac:dyDescent="0.35">
      <c r="A1061" s="25" t="s">
        <v>5825</v>
      </c>
      <c r="B1061" s="25" t="s">
        <v>5826</v>
      </c>
      <c r="C1061" s="25" t="s">
        <v>5827</v>
      </c>
      <c r="E1061" s="32" t="s">
        <v>5828</v>
      </c>
      <c r="F1061" s="32" t="s">
        <v>5829</v>
      </c>
      <c r="G1061" s="32" t="s">
        <v>5830</v>
      </c>
      <c r="H1061" s="32" t="s">
        <v>5831</v>
      </c>
      <c r="I1061" s="32" t="s">
        <v>5832</v>
      </c>
      <c r="J1061" s="32"/>
      <c r="N1061" s="24" t="s">
        <v>415</v>
      </c>
    </row>
    <row r="1062" spans="1:14" x14ac:dyDescent="0.35">
      <c r="A1062" s="25" t="s">
        <v>5835</v>
      </c>
      <c r="B1062" s="25" t="s">
        <v>5836</v>
      </c>
      <c r="C1062" s="25" t="s">
        <v>5837</v>
      </c>
      <c r="E1062" s="32" t="s">
        <v>5838</v>
      </c>
      <c r="F1062" s="32"/>
      <c r="G1062" s="32"/>
      <c r="H1062" s="32"/>
      <c r="I1062" s="32"/>
      <c r="J1062" s="32"/>
      <c r="N1062" s="24" t="s">
        <v>415</v>
      </c>
    </row>
    <row r="1063" spans="1:14" x14ac:dyDescent="0.35">
      <c r="A1063" s="25" t="s">
        <v>5839</v>
      </c>
      <c r="B1063" s="25" t="s">
        <v>5840</v>
      </c>
      <c r="C1063" s="25" t="s">
        <v>5841</v>
      </c>
      <c r="E1063" s="32" t="s">
        <v>5842</v>
      </c>
      <c r="F1063" s="32"/>
      <c r="G1063" s="32"/>
      <c r="H1063" s="32"/>
      <c r="I1063" s="32"/>
      <c r="J1063" s="32"/>
      <c r="N1063" s="24" t="s">
        <v>415</v>
      </c>
    </row>
    <row r="1064" spans="1:14" x14ac:dyDescent="0.35">
      <c r="A1064" s="25" t="s">
        <v>5843</v>
      </c>
      <c r="B1064" s="25" t="s">
        <v>5844</v>
      </c>
      <c r="C1064" s="25" t="s">
        <v>5845</v>
      </c>
      <c r="E1064" s="32" t="s">
        <v>5846</v>
      </c>
      <c r="F1064" s="32" t="s">
        <v>5847</v>
      </c>
      <c r="G1064" s="32" t="s">
        <v>5848</v>
      </c>
      <c r="H1064" s="32"/>
      <c r="I1064" s="32"/>
      <c r="J1064" s="32"/>
      <c r="N1064" s="24" t="s">
        <v>415</v>
      </c>
    </row>
    <row r="1065" spans="1:14" x14ac:dyDescent="0.35">
      <c r="A1065" s="25" t="s">
        <v>5849</v>
      </c>
      <c r="B1065" s="25" t="s">
        <v>5850</v>
      </c>
      <c r="C1065" s="25" t="s">
        <v>5851</v>
      </c>
      <c r="E1065" s="32" t="s">
        <v>5852</v>
      </c>
      <c r="F1065" s="32"/>
      <c r="G1065" s="32"/>
      <c r="H1065" s="32"/>
      <c r="I1065" s="32"/>
      <c r="J1065" s="32"/>
      <c r="N1065" s="24" t="s">
        <v>415</v>
      </c>
    </row>
    <row r="1066" spans="1:14" x14ac:dyDescent="0.35">
      <c r="A1066" s="25" t="s">
        <v>5853</v>
      </c>
      <c r="B1066" s="25" t="s">
        <v>5854</v>
      </c>
      <c r="C1066" s="25" t="s">
        <v>5855</v>
      </c>
      <c r="E1066" s="32" t="s">
        <v>5856</v>
      </c>
      <c r="F1066" s="32" t="s">
        <v>5857</v>
      </c>
      <c r="G1066" s="32" t="s">
        <v>5858</v>
      </c>
      <c r="H1066" s="32" t="s">
        <v>5859</v>
      </c>
      <c r="I1066" s="32" t="s">
        <v>5860</v>
      </c>
      <c r="J1066" s="32"/>
      <c r="N1066" s="24" t="s">
        <v>415</v>
      </c>
    </row>
    <row r="1067" spans="1:14" x14ac:dyDescent="0.35">
      <c r="A1067" s="25" t="s">
        <v>5861</v>
      </c>
      <c r="B1067" s="25" t="s">
        <v>5862</v>
      </c>
      <c r="C1067" s="25" t="s">
        <v>5863</v>
      </c>
      <c r="E1067" s="32" t="s">
        <v>5864</v>
      </c>
      <c r="F1067" s="32"/>
      <c r="G1067" s="32"/>
      <c r="H1067" s="32"/>
      <c r="I1067" s="32"/>
      <c r="J1067" s="32"/>
      <c r="N1067" s="24" t="s">
        <v>415</v>
      </c>
    </row>
    <row r="1068" spans="1:14" x14ac:dyDescent="0.35">
      <c r="A1068" s="25" t="s">
        <v>5865</v>
      </c>
      <c r="B1068" s="25" t="s">
        <v>5866</v>
      </c>
      <c r="C1068" s="25" t="s">
        <v>5867</v>
      </c>
      <c r="E1068" s="32" t="s">
        <v>5868</v>
      </c>
      <c r="F1068" s="32"/>
      <c r="G1068" s="32"/>
      <c r="H1068" s="32"/>
      <c r="I1068" s="32"/>
      <c r="J1068" s="32"/>
      <c r="N1068" s="24" t="s">
        <v>415</v>
      </c>
    </row>
    <row r="1069" spans="1:14" x14ac:dyDescent="0.35">
      <c r="A1069" s="25" t="s">
        <v>5869</v>
      </c>
      <c r="B1069" s="25" t="s">
        <v>5870</v>
      </c>
      <c r="C1069" s="25" t="s">
        <v>5871</v>
      </c>
      <c r="E1069" s="32" t="s">
        <v>649</v>
      </c>
      <c r="F1069" s="32" t="s">
        <v>650</v>
      </c>
      <c r="G1069" s="32" t="s">
        <v>651</v>
      </c>
      <c r="H1069" s="32" t="s">
        <v>652</v>
      </c>
      <c r="I1069" s="32"/>
      <c r="J1069" s="32"/>
      <c r="N1069" s="24" t="s">
        <v>415</v>
      </c>
    </row>
    <row r="1070" spans="1:14" x14ac:dyDescent="0.35">
      <c r="A1070" s="25" t="s">
        <v>5872</v>
      </c>
      <c r="B1070" s="25" t="s">
        <v>5873</v>
      </c>
      <c r="C1070" s="25" t="s">
        <v>5874</v>
      </c>
      <c r="E1070" s="32" t="s">
        <v>5875</v>
      </c>
      <c r="F1070" s="32"/>
      <c r="G1070" s="32"/>
      <c r="H1070" s="32"/>
      <c r="I1070" s="32"/>
      <c r="J1070" s="32"/>
      <c r="N1070" s="24" t="s">
        <v>415</v>
      </c>
    </row>
    <row r="1071" spans="1:14" x14ac:dyDescent="0.35">
      <c r="A1071" s="25" t="s">
        <v>5876</v>
      </c>
      <c r="B1071" s="25" t="s">
        <v>5877</v>
      </c>
      <c r="C1071" s="25" t="s">
        <v>5878</v>
      </c>
      <c r="E1071" s="32" t="s">
        <v>5879</v>
      </c>
      <c r="F1071" s="32" t="s">
        <v>5880</v>
      </c>
      <c r="G1071" s="32" t="s">
        <v>5833</v>
      </c>
      <c r="H1071" s="32" t="s">
        <v>5834</v>
      </c>
      <c r="I1071" s="32" t="s">
        <v>5881</v>
      </c>
      <c r="J1071" s="32"/>
      <c r="N1071" s="24" t="s">
        <v>415</v>
      </c>
    </row>
    <row r="1072" spans="1:14" ht="16.2" x14ac:dyDescent="0.35">
      <c r="A1072" s="25" t="s">
        <v>5882</v>
      </c>
      <c r="B1072" s="25" t="s">
        <v>5883</v>
      </c>
      <c r="C1072" s="25" t="s">
        <v>5884</v>
      </c>
      <c r="E1072" s="32" t="s">
        <v>5885</v>
      </c>
      <c r="F1072" s="32" t="s">
        <v>5886</v>
      </c>
      <c r="G1072" s="7" t="s">
        <v>9626</v>
      </c>
      <c r="H1072" s="7" t="s">
        <v>9627</v>
      </c>
      <c r="I1072" s="32"/>
      <c r="J1072" s="32"/>
      <c r="N1072" s="24" t="s">
        <v>415</v>
      </c>
    </row>
    <row r="1073" spans="1:14" x14ac:dyDescent="0.35">
      <c r="A1073" s="25" t="s">
        <v>5887</v>
      </c>
      <c r="B1073" s="25" t="s">
        <v>5888</v>
      </c>
      <c r="C1073" s="25" t="s">
        <v>5889</v>
      </c>
      <c r="E1073" s="32" t="s">
        <v>5890</v>
      </c>
      <c r="F1073" s="32"/>
      <c r="G1073" s="32"/>
      <c r="H1073" s="32"/>
      <c r="I1073" s="32"/>
      <c r="J1073" s="32"/>
      <c r="N1073" s="24" t="s">
        <v>415</v>
      </c>
    </row>
    <row r="1074" spans="1:14" x14ac:dyDescent="0.35">
      <c r="A1074" s="25" t="s">
        <v>5891</v>
      </c>
      <c r="B1074" s="25" t="s">
        <v>5892</v>
      </c>
      <c r="C1074" s="25" t="s">
        <v>5893</v>
      </c>
      <c r="E1074" s="32" t="s">
        <v>5894</v>
      </c>
      <c r="F1074" s="32" t="s">
        <v>5895</v>
      </c>
      <c r="G1074" s="32" t="s">
        <v>5896</v>
      </c>
      <c r="H1074" s="32" t="s">
        <v>5897</v>
      </c>
      <c r="I1074" s="32" t="s">
        <v>5898</v>
      </c>
      <c r="J1074" s="32"/>
      <c r="N1074" s="24" t="s">
        <v>415</v>
      </c>
    </row>
    <row r="1075" spans="1:14" x14ac:dyDescent="0.35">
      <c r="A1075" s="25" t="s">
        <v>5899</v>
      </c>
      <c r="B1075" s="25" t="s">
        <v>5900</v>
      </c>
      <c r="C1075" s="25" t="s">
        <v>5901</v>
      </c>
      <c r="E1075" s="32" t="s">
        <v>5902</v>
      </c>
      <c r="F1075" s="32"/>
      <c r="G1075" s="32"/>
      <c r="H1075" s="32"/>
      <c r="I1075" s="32"/>
      <c r="J1075" s="32"/>
      <c r="N1075" s="24" t="s">
        <v>415</v>
      </c>
    </row>
    <row r="1076" spans="1:14" x14ac:dyDescent="0.35">
      <c r="A1076" s="25" t="s">
        <v>5903</v>
      </c>
      <c r="B1076" s="25" t="s">
        <v>5904</v>
      </c>
      <c r="C1076" s="25" t="s">
        <v>5905</v>
      </c>
      <c r="E1076" s="32" t="s">
        <v>5906</v>
      </c>
      <c r="F1076" s="32" t="s">
        <v>5907</v>
      </c>
      <c r="G1076" s="32"/>
      <c r="H1076" s="32"/>
      <c r="I1076" s="32"/>
      <c r="J1076" s="32"/>
      <c r="N1076" s="24" t="s">
        <v>415</v>
      </c>
    </row>
    <row r="1077" spans="1:14" x14ac:dyDescent="0.35">
      <c r="A1077" s="25" t="s">
        <v>5908</v>
      </c>
      <c r="B1077" s="25" t="s">
        <v>5909</v>
      </c>
      <c r="C1077" s="25" t="s">
        <v>9481</v>
      </c>
      <c r="E1077" s="34" t="s">
        <v>5910</v>
      </c>
      <c r="F1077" s="32"/>
      <c r="G1077" s="32"/>
      <c r="H1077" s="32"/>
      <c r="I1077" s="32"/>
      <c r="J1077" s="32"/>
      <c r="N1077" s="24" t="s">
        <v>415</v>
      </c>
    </row>
    <row r="1078" spans="1:14" x14ac:dyDescent="0.35">
      <c r="A1078" s="25" t="s">
        <v>5911</v>
      </c>
      <c r="B1078" s="25" t="s">
        <v>5912</v>
      </c>
      <c r="C1078" s="25" t="s">
        <v>5913</v>
      </c>
      <c r="E1078" s="32" t="s">
        <v>5914</v>
      </c>
      <c r="F1078" s="32" t="s">
        <v>5915</v>
      </c>
      <c r="G1078" s="32" t="s">
        <v>5916</v>
      </c>
      <c r="H1078" s="32" t="s">
        <v>5917</v>
      </c>
      <c r="I1078" s="32"/>
      <c r="J1078" s="32"/>
      <c r="N1078" s="24" t="s">
        <v>415</v>
      </c>
    </row>
    <row r="1079" spans="1:14" x14ac:dyDescent="0.35">
      <c r="A1079" s="25" t="s">
        <v>5918</v>
      </c>
      <c r="B1079" s="25" t="s">
        <v>5919</v>
      </c>
      <c r="C1079" s="25" t="s">
        <v>5920</v>
      </c>
      <c r="E1079" s="32" t="s">
        <v>5921</v>
      </c>
      <c r="F1079" s="32" t="s">
        <v>5922</v>
      </c>
      <c r="G1079" s="32" t="s">
        <v>5923</v>
      </c>
      <c r="H1079" s="32" t="s">
        <v>5924</v>
      </c>
      <c r="I1079" s="32" t="s">
        <v>5925</v>
      </c>
      <c r="J1079" s="32"/>
      <c r="N1079" s="24" t="s">
        <v>415</v>
      </c>
    </row>
    <row r="1080" spans="1:14" x14ac:dyDescent="0.35">
      <c r="A1080" s="25" t="s">
        <v>5926</v>
      </c>
      <c r="B1080" s="25" t="s">
        <v>5927</v>
      </c>
      <c r="C1080" s="25" t="s">
        <v>5928</v>
      </c>
      <c r="E1080" s="32" t="s">
        <v>5301</v>
      </c>
      <c r="F1080" s="32" t="s">
        <v>5302</v>
      </c>
      <c r="G1080" s="32" t="s">
        <v>5303</v>
      </c>
      <c r="H1080" s="32" t="s">
        <v>5304</v>
      </c>
      <c r="I1080" s="32"/>
      <c r="J1080" s="32"/>
      <c r="N1080" s="24" t="s">
        <v>1434</v>
      </c>
    </row>
    <row r="1081" spans="1:14" x14ac:dyDescent="0.35">
      <c r="A1081" s="25" t="s">
        <v>5929</v>
      </c>
      <c r="B1081" s="25" t="s">
        <v>5930</v>
      </c>
      <c r="C1081" s="25" t="s">
        <v>5931</v>
      </c>
      <c r="E1081" s="32" t="s">
        <v>5932</v>
      </c>
      <c r="F1081" s="32" t="s">
        <v>5933</v>
      </c>
      <c r="G1081" s="32" t="s">
        <v>5934</v>
      </c>
      <c r="H1081" s="32" t="s">
        <v>5935</v>
      </c>
      <c r="I1081" s="32" t="s">
        <v>5936</v>
      </c>
      <c r="J1081" s="32"/>
      <c r="N1081" s="24" t="s">
        <v>415</v>
      </c>
    </row>
    <row r="1082" spans="1:14" x14ac:dyDescent="0.35">
      <c r="A1082" s="25" t="s">
        <v>5937</v>
      </c>
      <c r="B1082" s="25" t="s">
        <v>5938</v>
      </c>
      <c r="C1082" s="25" t="s">
        <v>5939</v>
      </c>
      <c r="E1082" s="32" t="s">
        <v>5940</v>
      </c>
      <c r="F1082" s="32"/>
      <c r="G1082" s="32"/>
      <c r="H1082" s="32"/>
      <c r="I1082" s="32"/>
      <c r="J1082" s="32"/>
      <c r="N1082" s="24" t="s">
        <v>415</v>
      </c>
    </row>
    <row r="1083" spans="1:14" x14ac:dyDescent="0.35">
      <c r="A1083" s="25" t="s">
        <v>5941</v>
      </c>
      <c r="B1083" s="25" t="s">
        <v>5942</v>
      </c>
      <c r="C1083" s="25" t="s">
        <v>5943</v>
      </c>
      <c r="E1083" s="32" t="s">
        <v>5944</v>
      </c>
      <c r="F1083" s="32" t="s">
        <v>5945</v>
      </c>
      <c r="G1083" s="32" t="s">
        <v>5946</v>
      </c>
      <c r="H1083" s="32" t="s">
        <v>5947</v>
      </c>
      <c r="I1083" s="32" t="s">
        <v>5948</v>
      </c>
      <c r="J1083" s="32"/>
      <c r="N1083" s="24" t="s">
        <v>415</v>
      </c>
    </row>
    <row r="1084" spans="1:14" x14ac:dyDescent="0.35">
      <c r="A1084" s="25" t="s">
        <v>5949</v>
      </c>
      <c r="B1084" s="25" t="s">
        <v>5950</v>
      </c>
      <c r="C1084" s="25" t="s">
        <v>5951</v>
      </c>
      <c r="E1084" s="32" t="s">
        <v>5952</v>
      </c>
      <c r="F1084" s="32" t="s">
        <v>5953</v>
      </c>
      <c r="G1084" s="32" t="s">
        <v>5954</v>
      </c>
      <c r="H1084" s="32" t="s">
        <v>5955</v>
      </c>
      <c r="I1084" s="32" t="s">
        <v>5956</v>
      </c>
      <c r="J1084" s="32"/>
      <c r="N1084" s="24" t="s">
        <v>415</v>
      </c>
    </row>
    <row r="1085" spans="1:14" x14ac:dyDescent="0.35">
      <c r="A1085" s="25" t="s">
        <v>5957</v>
      </c>
      <c r="B1085" s="25" t="s">
        <v>5958</v>
      </c>
      <c r="C1085" s="25" t="s">
        <v>5959</v>
      </c>
      <c r="E1085" s="32" t="s">
        <v>5960</v>
      </c>
      <c r="F1085" s="32" t="s">
        <v>5961</v>
      </c>
      <c r="G1085" s="32" t="s">
        <v>5962</v>
      </c>
      <c r="H1085" s="32" t="s">
        <v>5963</v>
      </c>
      <c r="I1085" s="32" t="s">
        <v>5964</v>
      </c>
      <c r="J1085" s="32"/>
      <c r="N1085" s="24" t="s">
        <v>415</v>
      </c>
    </row>
    <row r="1086" spans="1:14" x14ac:dyDescent="0.35">
      <c r="A1086" s="25" t="s">
        <v>5965</v>
      </c>
      <c r="B1086" s="25" t="s">
        <v>5966</v>
      </c>
      <c r="C1086" s="25" t="s">
        <v>5967</v>
      </c>
      <c r="E1086" s="32" t="s">
        <v>5968</v>
      </c>
      <c r="F1086" s="32"/>
      <c r="G1086" s="32"/>
      <c r="H1086" s="32"/>
      <c r="I1086" s="32"/>
      <c r="J1086" s="32"/>
      <c r="N1086" s="24" t="s">
        <v>415</v>
      </c>
    </row>
    <row r="1087" spans="1:14" x14ac:dyDescent="0.35">
      <c r="A1087" s="25" t="s">
        <v>5969</v>
      </c>
      <c r="B1087" s="25" t="s">
        <v>5970</v>
      </c>
      <c r="C1087" s="25" t="s">
        <v>5971</v>
      </c>
      <c r="E1087" s="32" t="s">
        <v>5972</v>
      </c>
      <c r="F1087" s="32" t="s">
        <v>5973</v>
      </c>
      <c r="G1087" s="32"/>
      <c r="H1087" s="32"/>
      <c r="I1087" s="32"/>
      <c r="J1087" s="32"/>
      <c r="N1087" s="24" t="s">
        <v>415</v>
      </c>
    </row>
    <row r="1088" spans="1:14" x14ac:dyDescent="0.35">
      <c r="A1088" s="25" t="s">
        <v>5976</v>
      </c>
      <c r="B1088" s="25" t="s">
        <v>5977</v>
      </c>
      <c r="C1088" s="25" t="s">
        <v>5978</v>
      </c>
      <c r="E1088" s="32" t="s">
        <v>5979</v>
      </c>
      <c r="F1088" s="32"/>
      <c r="G1088" s="32"/>
      <c r="H1088" s="32"/>
      <c r="I1088" s="32"/>
      <c r="J1088" s="32"/>
      <c r="N1088" s="24" t="s">
        <v>415</v>
      </c>
    </row>
    <row r="1089" spans="1:14" x14ac:dyDescent="0.35">
      <c r="A1089" s="25" t="s">
        <v>5980</v>
      </c>
      <c r="B1089" s="25" t="s">
        <v>5981</v>
      </c>
      <c r="C1089" s="25" t="s">
        <v>5982</v>
      </c>
      <c r="E1089" s="32" t="s">
        <v>5983</v>
      </c>
      <c r="F1089" s="32"/>
      <c r="G1089" s="32"/>
      <c r="H1089" s="32"/>
      <c r="I1089" s="32"/>
      <c r="J1089" s="32"/>
      <c r="N1089" s="24" t="s">
        <v>415</v>
      </c>
    </row>
    <row r="1090" spans="1:14" x14ac:dyDescent="0.35">
      <c r="A1090" s="25" t="s">
        <v>5984</v>
      </c>
      <c r="B1090" s="25" t="s">
        <v>5985</v>
      </c>
      <c r="C1090" s="25" t="s">
        <v>5986</v>
      </c>
      <c r="E1090" s="32" t="s">
        <v>5987</v>
      </c>
      <c r="F1090" s="32" t="s">
        <v>5988</v>
      </c>
      <c r="G1090" s="32"/>
      <c r="H1090" s="32"/>
      <c r="I1090" s="32"/>
      <c r="J1090" s="32"/>
      <c r="N1090" s="24" t="s">
        <v>415</v>
      </c>
    </row>
    <row r="1091" spans="1:14" x14ac:dyDescent="0.35">
      <c r="A1091" s="25" t="s">
        <v>5989</v>
      </c>
      <c r="B1091" s="25" t="s">
        <v>5990</v>
      </c>
      <c r="C1091" s="25" t="s">
        <v>5991</v>
      </c>
      <c r="E1091" s="32" t="s">
        <v>5992</v>
      </c>
      <c r="F1091" s="32"/>
      <c r="G1091" s="32"/>
      <c r="H1091" s="32"/>
      <c r="I1091" s="32"/>
      <c r="J1091" s="32"/>
      <c r="N1091" s="24" t="s">
        <v>871</v>
      </c>
    </row>
    <row r="1092" spans="1:14" x14ac:dyDescent="0.35">
      <c r="A1092" s="25" t="s">
        <v>5993</v>
      </c>
      <c r="B1092" s="25" t="s">
        <v>5994</v>
      </c>
      <c r="C1092" s="25" t="s">
        <v>9595</v>
      </c>
      <c r="E1092" s="32" t="s">
        <v>5995</v>
      </c>
      <c r="F1092" s="32"/>
      <c r="G1092" s="32"/>
      <c r="H1092" s="32"/>
      <c r="I1092" s="32"/>
      <c r="J1092" s="32"/>
      <c r="N1092" s="24" t="s">
        <v>415</v>
      </c>
    </row>
    <row r="1093" spans="1:14" x14ac:dyDescent="0.35">
      <c r="A1093" s="25" t="s">
        <v>5996</v>
      </c>
      <c r="B1093" s="25" t="s">
        <v>5997</v>
      </c>
      <c r="C1093" s="25" t="s">
        <v>5998</v>
      </c>
      <c r="E1093" s="32" t="s">
        <v>5999</v>
      </c>
      <c r="F1093" s="32" t="s">
        <v>6000</v>
      </c>
      <c r="G1093" s="32" t="s">
        <v>6001</v>
      </c>
      <c r="H1093" s="32"/>
      <c r="I1093" s="32"/>
      <c r="J1093" s="32"/>
      <c r="N1093" s="24" t="s">
        <v>415</v>
      </c>
    </row>
    <row r="1094" spans="1:14" x14ac:dyDescent="0.35">
      <c r="A1094" s="25" t="s">
        <v>6002</v>
      </c>
      <c r="B1094" s="25" t="s">
        <v>6003</v>
      </c>
      <c r="C1094" s="25" t="s">
        <v>6004</v>
      </c>
      <c r="E1094" s="32" t="s">
        <v>6005</v>
      </c>
      <c r="F1094" s="32" t="s">
        <v>6006</v>
      </c>
      <c r="G1094" s="32" t="s">
        <v>6007</v>
      </c>
      <c r="H1094" s="32" t="s">
        <v>6008</v>
      </c>
      <c r="I1094" s="32" t="s">
        <v>6009</v>
      </c>
      <c r="J1094" s="32"/>
      <c r="N1094" s="24" t="s">
        <v>415</v>
      </c>
    </row>
    <row r="1095" spans="1:14" x14ac:dyDescent="0.35">
      <c r="A1095" s="25" t="s">
        <v>6010</v>
      </c>
      <c r="B1095" s="25" t="s">
        <v>6011</v>
      </c>
      <c r="C1095" s="25" t="s">
        <v>6012</v>
      </c>
      <c r="E1095" s="32" t="s">
        <v>6013</v>
      </c>
      <c r="F1095" s="32"/>
      <c r="G1095" s="32"/>
      <c r="H1095" s="32"/>
      <c r="I1095" s="32"/>
      <c r="J1095" s="32"/>
      <c r="N1095" s="24" t="s">
        <v>415</v>
      </c>
    </row>
    <row r="1096" spans="1:14" x14ac:dyDescent="0.35">
      <c r="A1096" s="25" t="s">
        <v>6014</v>
      </c>
      <c r="B1096" s="25" t="s">
        <v>6015</v>
      </c>
      <c r="C1096" s="25" t="s">
        <v>6016</v>
      </c>
      <c r="E1096" s="32" t="s">
        <v>6017</v>
      </c>
      <c r="F1096" s="32" t="s">
        <v>6018</v>
      </c>
      <c r="G1096" s="32" t="s">
        <v>6019</v>
      </c>
      <c r="H1096" s="32" t="s">
        <v>6020</v>
      </c>
      <c r="I1096" s="32" t="s">
        <v>6021</v>
      </c>
      <c r="J1096" s="32"/>
      <c r="N1096" s="24" t="s">
        <v>458</v>
      </c>
    </row>
    <row r="1097" spans="1:14" x14ac:dyDescent="0.35">
      <c r="A1097" s="25" t="s">
        <v>6022</v>
      </c>
      <c r="B1097" s="25" t="s">
        <v>6023</v>
      </c>
      <c r="C1097" s="25" t="s">
        <v>6024</v>
      </c>
      <c r="E1097" s="32" t="s">
        <v>6025</v>
      </c>
      <c r="F1097" s="32" t="s">
        <v>6026</v>
      </c>
      <c r="G1097" s="32" t="s">
        <v>6027</v>
      </c>
      <c r="H1097" s="32" t="s">
        <v>6028</v>
      </c>
      <c r="I1097" s="32"/>
      <c r="J1097" s="32"/>
      <c r="N1097" s="24" t="s">
        <v>415</v>
      </c>
    </row>
    <row r="1098" spans="1:14" x14ac:dyDescent="0.35">
      <c r="A1098" s="25" t="s">
        <v>6029</v>
      </c>
      <c r="B1098" s="25" t="s">
        <v>6030</v>
      </c>
      <c r="C1098" s="25" t="s">
        <v>6031</v>
      </c>
      <c r="E1098" s="32" t="s">
        <v>6032</v>
      </c>
      <c r="F1098" s="32"/>
      <c r="G1098" s="32"/>
      <c r="H1098" s="32"/>
      <c r="I1098" s="32"/>
      <c r="J1098" s="32"/>
      <c r="N1098" s="24" t="s">
        <v>415</v>
      </c>
    </row>
    <row r="1099" spans="1:14" x14ac:dyDescent="0.35">
      <c r="A1099" s="25" t="s">
        <v>6033</v>
      </c>
      <c r="B1099" s="25" t="s">
        <v>6034</v>
      </c>
      <c r="C1099" s="25" t="s">
        <v>6035</v>
      </c>
      <c r="E1099" s="32" t="s">
        <v>6036</v>
      </c>
      <c r="F1099" s="32" t="s">
        <v>6037</v>
      </c>
      <c r="G1099" s="32" t="s">
        <v>6038</v>
      </c>
      <c r="H1099" s="32" t="s">
        <v>6039</v>
      </c>
      <c r="I1099" s="32" t="s">
        <v>6040</v>
      </c>
      <c r="J1099" s="32"/>
      <c r="N1099" s="24" t="s">
        <v>415</v>
      </c>
    </row>
    <row r="1100" spans="1:14" x14ac:dyDescent="0.35">
      <c r="A1100" s="25" t="s">
        <v>6041</v>
      </c>
      <c r="B1100" s="25" t="s">
        <v>6042</v>
      </c>
      <c r="C1100" s="25" t="s">
        <v>6043</v>
      </c>
      <c r="E1100" s="32" t="s">
        <v>6044</v>
      </c>
      <c r="F1100" s="32" t="s">
        <v>6045</v>
      </c>
      <c r="G1100" s="32" t="s">
        <v>6046</v>
      </c>
      <c r="H1100" s="32" t="s">
        <v>6047</v>
      </c>
      <c r="I1100" s="32" t="s">
        <v>6048</v>
      </c>
      <c r="J1100" s="32"/>
      <c r="N1100" s="24" t="s">
        <v>415</v>
      </c>
    </row>
    <row r="1101" spans="1:14" x14ac:dyDescent="0.35">
      <c r="A1101" s="25" t="s">
        <v>6049</v>
      </c>
      <c r="B1101" s="25" t="s">
        <v>6050</v>
      </c>
      <c r="C1101" s="25" t="s">
        <v>6051</v>
      </c>
      <c r="E1101" s="32" t="s">
        <v>6052</v>
      </c>
      <c r="F1101" s="32"/>
      <c r="G1101" s="32"/>
      <c r="H1101" s="32"/>
      <c r="I1101" s="32"/>
      <c r="J1101" s="32"/>
      <c r="N1101" s="24" t="s">
        <v>415</v>
      </c>
    </row>
    <row r="1102" spans="1:14" x14ac:dyDescent="0.35">
      <c r="A1102" s="25" t="s">
        <v>6053</v>
      </c>
      <c r="B1102" s="25" t="s">
        <v>6054</v>
      </c>
      <c r="C1102" s="25" t="s">
        <v>6055</v>
      </c>
      <c r="E1102" s="32" t="s">
        <v>6056</v>
      </c>
      <c r="F1102" s="32" t="s">
        <v>6057</v>
      </c>
      <c r="G1102" s="32" t="s">
        <v>6058</v>
      </c>
      <c r="H1102" s="32" t="s">
        <v>6059</v>
      </c>
      <c r="I1102" s="32" t="s">
        <v>6060</v>
      </c>
      <c r="J1102" s="32"/>
      <c r="N1102" s="24" t="s">
        <v>415</v>
      </c>
    </row>
    <row r="1103" spans="1:14" x14ac:dyDescent="0.35">
      <c r="A1103" s="25" t="s">
        <v>6061</v>
      </c>
      <c r="B1103" s="25" t="s">
        <v>6062</v>
      </c>
      <c r="C1103" s="25" t="s">
        <v>6063</v>
      </c>
      <c r="E1103" s="32" t="s">
        <v>6064</v>
      </c>
      <c r="F1103" s="32"/>
      <c r="G1103" s="32"/>
      <c r="H1103" s="32"/>
      <c r="I1103" s="32"/>
      <c r="J1103" s="32"/>
      <c r="N1103" s="24" t="s">
        <v>415</v>
      </c>
    </row>
    <row r="1104" spans="1:14" x14ac:dyDescent="0.35">
      <c r="A1104" s="25" t="s">
        <v>6065</v>
      </c>
      <c r="B1104" s="25" t="s">
        <v>6066</v>
      </c>
      <c r="C1104" s="25" t="s">
        <v>6067</v>
      </c>
      <c r="E1104" s="32" t="s">
        <v>6068</v>
      </c>
      <c r="F1104" s="32" t="s">
        <v>6069</v>
      </c>
      <c r="G1104" s="32" t="s">
        <v>6070</v>
      </c>
      <c r="H1104" s="32" t="s">
        <v>6071</v>
      </c>
      <c r="I1104" s="32" t="s">
        <v>6072</v>
      </c>
      <c r="J1104" s="32"/>
      <c r="N1104" s="24" t="s">
        <v>415</v>
      </c>
    </row>
    <row r="1105" spans="1:14" x14ac:dyDescent="0.35">
      <c r="A1105" s="25" t="s">
        <v>6073</v>
      </c>
      <c r="B1105" s="25" t="s">
        <v>6074</v>
      </c>
      <c r="C1105" s="25" t="s">
        <v>6075</v>
      </c>
      <c r="E1105" s="32" t="s">
        <v>6076</v>
      </c>
      <c r="F1105" s="32" t="s">
        <v>6077</v>
      </c>
      <c r="G1105" s="32" t="s">
        <v>6078</v>
      </c>
      <c r="H1105" s="32" t="s">
        <v>6079</v>
      </c>
      <c r="I1105" s="32" t="s">
        <v>6080</v>
      </c>
      <c r="J1105" s="32"/>
      <c r="N1105" s="24" t="s">
        <v>415</v>
      </c>
    </row>
    <row r="1106" spans="1:14" x14ac:dyDescent="0.35">
      <c r="A1106" s="25" t="s">
        <v>6081</v>
      </c>
      <c r="B1106" s="25" t="s">
        <v>6082</v>
      </c>
      <c r="C1106" s="25" t="s">
        <v>6083</v>
      </c>
      <c r="E1106" s="32" t="s">
        <v>6084</v>
      </c>
      <c r="F1106" s="32" t="s">
        <v>6085</v>
      </c>
      <c r="G1106" s="32" t="s">
        <v>6086</v>
      </c>
      <c r="H1106" s="32" t="s">
        <v>6087</v>
      </c>
      <c r="I1106" s="32" t="s">
        <v>6088</v>
      </c>
      <c r="J1106" s="32"/>
      <c r="N1106" s="24" t="s">
        <v>415</v>
      </c>
    </row>
    <row r="1107" spans="1:14" x14ac:dyDescent="0.35">
      <c r="A1107" s="25" t="s">
        <v>6089</v>
      </c>
      <c r="B1107" s="25" t="s">
        <v>6090</v>
      </c>
      <c r="C1107" s="25" t="s">
        <v>6091</v>
      </c>
      <c r="E1107" s="32" t="s">
        <v>6092</v>
      </c>
      <c r="F1107" s="32" t="s">
        <v>6093</v>
      </c>
      <c r="G1107" s="32" t="s">
        <v>6094</v>
      </c>
      <c r="H1107" s="32" t="s">
        <v>6095</v>
      </c>
      <c r="I1107" s="32" t="s">
        <v>6096</v>
      </c>
      <c r="J1107" s="32"/>
      <c r="N1107" s="24" t="s">
        <v>1434</v>
      </c>
    </row>
    <row r="1108" spans="1:14" x14ac:dyDescent="0.35">
      <c r="A1108" s="25" t="s">
        <v>6097</v>
      </c>
      <c r="B1108" s="25" t="s">
        <v>6098</v>
      </c>
      <c r="C1108" s="25" t="s">
        <v>9482</v>
      </c>
      <c r="E1108" s="32" t="s">
        <v>6099</v>
      </c>
      <c r="F1108" s="32" t="s">
        <v>6100</v>
      </c>
      <c r="G1108" s="32" t="s">
        <v>6101</v>
      </c>
      <c r="H1108" s="32"/>
      <c r="I1108" s="32"/>
      <c r="J1108" s="32"/>
      <c r="N1108" s="24" t="s">
        <v>3418</v>
      </c>
    </row>
    <row r="1109" spans="1:14" x14ac:dyDescent="0.35">
      <c r="A1109" s="25" t="s">
        <v>6102</v>
      </c>
      <c r="B1109" s="25" t="s">
        <v>6103</v>
      </c>
      <c r="C1109" s="25" t="s">
        <v>6104</v>
      </c>
      <c r="E1109" s="32" t="s">
        <v>6105</v>
      </c>
      <c r="F1109" s="32" t="s">
        <v>6106</v>
      </c>
      <c r="G1109" s="32" t="s">
        <v>6107</v>
      </c>
      <c r="H1109" s="32" t="s">
        <v>6108</v>
      </c>
      <c r="I1109" s="32" t="s">
        <v>6109</v>
      </c>
      <c r="J1109" s="32"/>
      <c r="N1109" s="24" t="s">
        <v>1434</v>
      </c>
    </row>
    <row r="1110" spans="1:14" x14ac:dyDescent="0.35">
      <c r="A1110" s="25" t="s">
        <v>6110</v>
      </c>
      <c r="B1110" s="25" t="s">
        <v>6111</v>
      </c>
      <c r="C1110" s="25" t="s">
        <v>6112</v>
      </c>
      <c r="E1110" s="32" t="s">
        <v>6113</v>
      </c>
      <c r="F1110" s="32" t="s">
        <v>6114</v>
      </c>
      <c r="G1110" s="32" t="s">
        <v>6115</v>
      </c>
      <c r="H1110" s="32" t="s">
        <v>6116</v>
      </c>
      <c r="I1110" s="32" t="s">
        <v>6117</v>
      </c>
      <c r="J1110" s="32"/>
      <c r="N1110" s="24" t="s">
        <v>415</v>
      </c>
    </row>
    <row r="1111" spans="1:14" x14ac:dyDescent="0.35">
      <c r="A1111" s="25" t="s">
        <v>6118</v>
      </c>
      <c r="B1111" s="25" t="s">
        <v>6119</v>
      </c>
      <c r="C1111" s="25" t="s">
        <v>6120</v>
      </c>
      <c r="E1111" s="32" t="s">
        <v>6121</v>
      </c>
      <c r="F1111" s="32"/>
      <c r="G1111" s="32"/>
      <c r="H1111" s="32"/>
      <c r="I1111" s="32"/>
      <c r="J1111" s="32"/>
      <c r="N1111" s="24" t="s">
        <v>415</v>
      </c>
    </row>
    <row r="1112" spans="1:14" x14ac:dyDescent="0.35">
      <c r="A1112" s="25" t="s">
        <v>6122</v>
      </c>
      <c r="B1112" s="25" t="s">
        <v>6123</v>
      </c>
      <c r="C1112" s="25" t="s">
        <v>6124</v>
      </c>
      <c r="E1112" s="32" t="s">
        <v>6125</v>
      </c>
      <c r="F1112" s="32" t="s">
        <v>6126</v>
      </c>
      <c r="G1112" s="32" t="s">
        <v>6127</v>
      </c>
      <c r="H1112" s="32" t="s">
        <v>6128</v>
      </c>
      <c r="I1112" s="32"/>
      <c r="J1112" s="32"/>
      <c r="N1112" s="24" t="s">
        <v>415</v>
      </c>
    </row>
    <row r="1113" spans="1:14" x14ac:dyDescent="0.35">
      <c r="A1113" s="25" t="s">
        <v>6129</v>
      </c>
      <c r="B1113" s="25" t="s">
        <v>6130</v>
      </c>
      <c r="C1113" s="25" t="s">
        <v>6131</v>
      </c>
      <c r="E1113" s="32" t="s">
        <v>6132</v>
      </c>
      <c r="F1113" s="32"/>
      <c r="G1113" s="32"/>
      <c r="H1113" s="32"/>
      <c r="I1113" s="32"/>
      <c r="J1113" s="32"/>
      <c r="N1113" s="24" t="s">
        <v>458</v>
      </c>
    </row>
    <row r="1114" spans="1:14" x14ac:dyDescent="0.35">
      <c r="A1114" s="25" t="s">
        <v>6133</v>
      </c>
      <c r="B1114" s="25" t="s">
        <v>6134</v>
      </c>
      <c r="C1114" s="25" t="s">
        <v>6135</v>
      </c>
      <c r="E1114" s="32" t="s">
        <v>6136</v>
      </c>
      <c r="F1114" s="32" t="s">
        <v>6137</v>
      </c>
      <c r="G1114" s="32" t="s">
        <v>6138</v>
      </c>
      <c r="H1114" s="32" t="s">
        <v>6139</v>
      </c>
      <c r="I1114" s="32"/>
      <c r="J1114" s="32"/>
      <c r="N1114" s="24" t="s">
        <v>415</v>
      </c>
    </row>
    <row r="1115" spans="1:14" x14ac:dyDescent="0.35">
      <c r="A1115" s="25" t="s">
        <v>6140</v>
      </c>
      <c r="B1115" s="25" t="s">
        <v>6141</v>
      </c>
      <c r="C1115" s="25" t="s">
        <v>6142</v>
      </c>
      <c r="E1115" s="32" t="s">
        <v>6143</v>
      </c>
      <c r="F1115" s="32" t="s">
        <v>6144</v>
      </c>
      <c r="G1115" s="32" t="s">
        <v>6145</v>
      </c>
      <c r="H1115" s="32" t="s">
        <v>6146</v>
      </c>
      <c r="I1115" s="32" t="s">
        <v>6147</v>
      </c>
      <c r="J1115" s="32"/>
      <c r="N1115" s="24" t="s">
        <v>415</v>
      </c>
    </row>
    <row r="1116" spans="1:14" x14ac:dyDescent="0.35">
      <c r="A1116" s="25" t="s">
        <v>6148</v>
      </c>
      <c r="B1116" s="25" t="s">
        <v>6149</v>
      </c>
      <c r="C1116" s="25" t="s">
        <v>6150</v>
      </c>
      <c r="E1116" s="32" t="s">
        <v>6151</v>
      </c>
      <c r="F1116" s="32" t="s">
        <v>6152</v>
      </c>
      <c r="G1116" s="32" t="s">
        <v>6153</v>
      </c>
      <c r="H1116" s="32" t="s">
        <v>6154</v>
      </c>
      <c r="I1116" s="32" t="s">
        <v>6155</v>
      </c>
      <c r="J1116" s="32"/>
      <c r="N1116" s="24" t="s">
        <v>415</v>
      </c>
    </row>
    <row r="1117" spans="1:14" x14ac:dyDescent="0.35">
      <c r="A1117" s="25" t="s">
        <v>6156</v>
      </c>
      <c r="B1117" s="25" t="s">
        <v>6157</v>
      </c>
      <c r="C1117" s="25" t="s">
        <v>6158</v>
      </c>
      <c r="E1117" s="32" t="s">
        <v>6159</v>
      </c>
      <c r="F1117" s="32" t="s">
        <v>6160</v>
      </c>
      <c r="G1117" s="32" t="s">
        <v>6161</v>
      </c>
      <c r="H1117" s="32"/>
      <c r="I1117" s="32"/>
      <c r="J1117" s="32"/>
      <c r="N1117" s="24" t="s">
        <v>415</v>
      </c>
    </row>
    <row r="1118" spans="1:14" x14ac:dyDescent="0.35">
      <c r="A1118" s="25" t="s">
        <v>6162</v>
      </c>
      <c r="B1118" s="25" t="s">
        <v>6163</v>
      </c>
      <c r="C1118" s="25" t="s">
        <v>6164</v>
      </c>
      <c r="E1118" s="32" t="s">
        <v>6165</v>
      </c>
      <c r="F1118" s="32"/>
      <c r="G1118" s="32"/>
      <c r="H1118" s="32"/>
      <c r="I1118" s="32"/>
      <c r="J1118" s="32"/>
      <c r="N1118" s="24" t="s">
        <v>1696</v>
      </c>
    </row>
    <row r="1119" spans="1:14" x14ac:dyDescent="0.35">
      <c r="A1119" s="25" t="s">
        <v>6166</v>
      </c>
      <c r="B1119" s="25" t="s">
        <v>6167</v>
      </c>
      <c r="C1119" s="25" t="s">
        <v>6168</v>
      </c>
      <c r="E1119" s="32" t="s">
        <v>6169</v>
      </c>
      <c r="F1119" s="32" t="s">
        <v>6170</v>
      </c>
      <c r="G1119" s="32" t="s">
        <v>6171</v>
      </c>
      <c r="H1119" s="32" t="s">
        <v>6172</v>
      </c>
      <c r="I1119" s="32" t="s">
        <v>6173</v>
      </c>
      <c r="J1119" s="32"/>
      <c r="N1119" s="24" t="s">
        <v>415</v>
      </c>
    </row>
    <row r="1120" spans="1:14" x14ac:dyDescent="0.35">
      <c r="A1120" s="25" t="s">
        <v>6174</v>
      </c>
      <c r="B1120" s="25" t="s">
        <v>6175</v>
      </c>
      <c r="C1120" s="25" t="s">
        <v>6176</v>
      </c>
      <c r="E1120" s="32" t="s">
        <v>6177</v>
      </c>
      <c r="F1120" s="32"/>
      <c r="G1120" s="32"/>
      <c r="H1120" s="32"/>
      <c r="I1120" s="32"/>
      <c r="J1120" s="32"/>
      <c r="N1120" s="24" t="s">
        <v>415</v>
      </c>
    </row>
    <row r="1121" spans="1:14" x14ac:dyDescent="0.35">
      <c r="A1121" s="25" t="s">
        <v>6178</v>
      </c>
      <c r="B1121" s="25" t="s">
        <v>6179</v>
      </c>
      <c r="C1121" s="25" t="s">
        <v>9603</v>
      </c>
      <c r="E1121" s="32" t="s">
        <v>6180</v>
      </c>
      <c r="F1121" s="32"/>
      <c r="G1121" s="32"/>
      <c r="H1121" s="32"/>
      <c r="I1121" s="32"/>
      <c r="J1121" s="32"/>
      <c r="N1121" s="24" t="s">
        <v>415</v>
      </c>
    </row>
    <row r="1122" spans="1:14" x14ac:dyDescent="0.35">
      <c r="A1122" s="25" t="s">
        <v>6181</v>
      </c>
      <c r="B1122" s="25" t="s">
        <v>6182</v>
      </c>
      <c r="C1122" s="25" t="s">
        <v>6183</v>
      </c>
      <c r="E1122" s="32" t="s">
        <v>6184</v>
      </c>
      <c r="F1122" s="32" t="s">
        <v>6185</v>
      </c>
      <c r="G1122" s="32" t="s">
        <v>6186</v>
      </c>
      <c r="H1122" s="32" t="s">
        <v>6187</v>
      </c>
      <c r="I1122" s="32"/>
      <c r="J1122" s="32"/>
      <c r="N1122" s="24" t="s">
        <v>415</v>
      </c>
    </row>
    <row r="1123" spans="1:14" x14ac:dyDescent="0.35">
      <c r="A1123" s="25" t="s">
        <v>6188</v>
      </c>
      <c r="B1123" s="25" t="s">
        <v>6189</v>
      </c>
      <c r="C1123" s="25" t="s">
        <v>6190</v>
      </c>
      <c r="E1123" s="32" t="s">
        <v>6191</v>
      </c>
      <c r="F1123" s="32"/>
      <c r="G1123" s="32"/>
      <c r="H1123" s="32"/>
      <c r="I1123" s="32"/>
      <c r="J1123" s="32"/>
      <c r="N1123" s="24" t="s">
        <v>415</v>
      </c>
    </row>
    <row r="1124" spans="1:14" x14ac:dyDescent="0.35">
      <c r="A1124" s="25" t="s">
        <v>6192</v>
      </c>
      <c r="B1124" s="25" t="s">
        <v>6193</v>
      </c>
      <c r="C1124" s="25" t="s">
        <v>6194</v>
      </c>
      <c r="E1124" s="32" t="s">
        <v>6195</v>
      </c>
      <c r="F1124" s="32"/>
      <c r="G1124" s="32"/>
      <c r="H1124" s="32"/>
      <c r="I1124" s="32"/>
      <c r="J1124" s="32"/>
      <c r="N1124" s="24" t="s">
        <v>415</v>
      </c>
    </row>
    <row r="1125" spans="1:14" x14ac:dyDescent="0.35">
      <c r="A1125" s="25" t="s">
        <v>6196</v>
      </c>
      <c r="B1125" s="25" t="s">
        <v>6197</v>
      </c>
      <c r="C1125" s="25" t="s">
        <v>6198</v>
      </c>
      <c r="E1125" s="32" t="s">
        <v>6199</v>
      </c>
      <c r="F1125" s="32" t="s">
        <v>6200</v>
      </c>
      <c r="G1125" s="32" t="s">
        <v>6201</v>
      </c>
      <c r="H1125" s="32" t="s">
        <v>6202</v>
      </c>
      <c r="I1125" s="32" t="s">
        <v>6203</v>
      </c>
      <c r="J1125" s="32"/>
      <c r="N1125" s="24" t="s">
        <v>415</v>
      </c>
    </row>
    <row r="1126" spans="1:14" x14ac:dyDescent="0.35">
      <c r="A1126" s="25" t="s">
        <v>6204</v>
      </c>
      <c r="B1126" s="25" t="s">
        <v>6205</v>
      </c>
      <c r="C1126" s="25" t="s">
        <v>6206</v>
      </c>
      <c r="E1126" s="32" t="s">
        <v>6207</v>
      </c>
      <c r="F1126" s="32"/>
      <c r="G1126" s="32"/>
      <c r="H1126" s="32"/>
      <c r="I1126" s="32"/>
      <c r="J1126" s="32"/>
      <c r="N1126" s="24" t="s">
        <v>415</v>
      </c>
    </row>
    <row r="1127" spans="1:14" x14ac:dyDescent="0.35">
      <c r="A1127" s="25" t="s">
        <v>6208</v>
      </c>
      <c r="B1127" s="25" t="s">
        <v>6209</v>
      </c>
      <c r="C1127" s="25" t="s">
        <v>6210</v>
      </c>
      <c r="E1127" s="32" t="s">
        <v>6211</v>
      </c>
      <c r="F1127" s="32"/>
      <c r="G1127" s="32"/>
      <c r="H1127" s="32"/>
      <c r="I1127" s="32"/>
      <c r="J1127" s="32"/>
      <c r="N1127" s="24" t="s">
        <v>415</v>
      </c>
    </row>
    <row r="1128" spans="1:14" x14ac:dyDescent="0.35">
      <c r="A1128" s="25" t="s">
        <v>6212</v>
      </c>
      <c r="B1128" s="25" t="s">
        <v>6213</v>
      </c>
      <c r="C1128" s="25" t="s">
        <v>6214</v>
      </c>
      <c r="E1128" s="32" t="s">
        <v>6215</v>
      </c>
      <c r="F1128" s="32"/>
      <c r="G1128" s="32"/>
      <c r="H1128" s="32"/>
      <c r="I1128" s="32"/>
      <c r="J1128" s="32"/>
      <c r="N1128" s="24" t="s">
        <v>415</v>
      </c>
    </row>
    <row r="1129" spans="1:14" x14ac:dyDescent="0.35">
      <c r="A1129" s="25" t="s">
        <v>6216</v>
      </c>
      <c r="B1129" s="25" t="s">
        <v>6217</v>
      </c>
      <c r="C1129" s="25" t="s">
        <v>6218</v>
      </c>
      <c r="E1129" s="32" t="s">
        <v>6219</v>
      </c>
      <c r="F1129" s="32" t="s">
        <v>6220</v>
      </c>
      <c r="G1129" s="32" t="s">
        <v>6221</v>
      </c>
      <c r="H1129" s="32"/>
      <c r="I1129" s="32"/>
      <c r="J1129" s="32"/>
      <c r="N1129" s="24" t="s">
        <v>415</v>
      </c>
    </row>
    <row r="1130" spans="1:14" x14ac:dyDescent="0.35">
      <c r="A1130" s="25" t="s">
        <v>6222</v>
      </c>
      <c r="B1130" s="25" t="s">
        <v>6223</v>
      </c>
      <c r="C1130" s="25" t="s">
        <v>6224</v>
      </c>
      <c r="E1130" s="32" t="s">
        <v>6225</v>
      </c>
      <c r="F1130" s="32" t="s">
        <v>6226</v>
      </c>
      <c r="G1130" s="32" t="s">
        <v>6227</v>
      </c>
      <c r="H1130" s="32"/>
      <c r="I1130" s="32"/>
      <c r="J1130" s="32"/>
      <c r="N1130" s="24" t="s">
        <v>415</v>
      </c>
    </row>
    <row r="1131" spans="1:14" x14ac:dyDescent="0.35">
      <c r="A1131" s="25" t="s">
        <v>6228</v>
      </c>
      <c r="B1131" s="25" t="s">
        <v>6229</v>
      </c>
      <c r="C1131" s="25" t="s">
        <v>6230</v>
      </c>
      <c r="E1131" s="32" t="s">
        <v>6231</v>
      </c>
      <c r="F1131" s="32" t="s">
        <v>6232</v>
      </c>
      <c r="G1131" s="32" t="s">
        <v>6233</v>
      </c>
      <c r="H1131" s="32" t="s">
        <v>6234</v>
      </c>
      <c r="I1131" s="32"/>
      <c r="J1131" s="32"/>
      <c r="N1131" s="24" t="s">
        <v>415</v>
      </c>
    </row>
    <row r="1132" spans="1:14" x14ac:dyDescent="0.35">
      <c r="A1132" s="25" t="s">
        <v>6235</v>
      </c>
      <c r="B1132" s="25" t="s">
        <v>6236</v>
      </c>
      <c r="C1132" s="25" t="s">
        <v>6237</v>
      </c>
      <c r="E1132" s="32" t="s">
        <v>6238</v>
      </c>
      <c r="F1132" s="32"/>
      <c r="G1132" s="32"/>
      <c r="H1132" s="32"/>
      <c r="I1132" s="32"/>
      <c r="J1132" s="32"/>
      <c r="N1132" s="24" t="s">
        <v>415</v>
      </c>
    </row>
    <row r="1133" spans="1:14" x14ac:dyDescent="0.35">
      <c r="A1133" s="25" t="s">
        <v>6239</v>
      </c>
      <c r="B1133" s="25" t="s">
        <v>6240</v>
      </c>
      <c r="C1133" s="25" t="s">
        <v>6241</v>
      </c>
      <c r="E1133" s="32" t="s">
        <v>6242</v>
      </c>
      <c r="F1133" s="32" t="s">
        <v>6243</v>
      </c>
      <c r="G1133" s="32" t="s">
        <v>6244</v>
      </c>
      <c r="H1133" s="32" t="s">
        <v>6245</v>
      </c>
      <c r="I1133" s="32" t="s">
        <v>6246</v>
      </c>
      <c r="J1133" s="32"/>
      <c r="N1133" s="24" t="s">
        <v>415</v>
      </c>
    </row>
    <row r="1134" spans="1:14" x14ac:dyDescent="0.35">
      <c r="A1134" s="25" t="s">
        <v>6247</v>
      </c>
      <c r="B1134" s="25" t="s">
        <v>6248</v>
      </c>
      <c r="C1134" s="25" t="s">
        <v>6249</v>
      </c>
      <c r="E1134" s="32" t="s">
        <v>6250</v>
      </c>
      <c r="F1134" s="32"/>
      <c r="G1134" s="32"/>
      <c r="H1134" s="32"/>
      <c r="I1134" s="32"/>
      <c r="J1134" s="32"/>
      <c r="N1134" s="24" t="s">
        <v>415</v>
      </c>
    </row>
    <row r="1135" spans="1:14" x14ac:dyDescent="0.35">
      <c r="A1135" s="25" t="s">
        <v>6251</v>
      </c>
      <c r="B1135" s="25" t="s">
        <v>6252</v>
      </c>
      <c r="C1135" s="25" t="s">
        <v>6253</v>
      </c>
      <c r="E1135" s="32" t="s">
        <v>6254</v>
      </c>
      <c r="F1135" s="32"/>
      <c r="G1135" s="32"/>
      <c r="H1135" s="32"/>
      <c r="I1135" s="32"/>
      <c r="J1135" s="32"/>
      <c r="N1135" s="24" t="s">
        <v>415</v>
      </c>
    </row>
    <row r="1136" spans="1:14" x14ac:dyDescent="0.35">
      <c r="A1136" s="25" t="s">
        <v>6255</v>
      </c>
      <c r="B1136" s="25" t="s">
        <v>6256</v>
      </c>
      <c r="C1136" s="25" t="s">
        <v>6257</v>
      </c>
      <c r="E1136" s="32" t="s">
        <v>5960</v>
      </c>
      <c r="F1136" s="32" t="s">
        <v>5961</v>
      </c>
      <c r="G1136" s="32" t="s">
        <v>5962</v>
      </c>
      <c r="H1136" s="32" t="s">
        <v>5963</v>
      </c>
      <c r="I1136" s="32" t="s">
        <v>5964</v>
      </c>
      <c r="J1136" s="32"/>
      <c r="N1136" s="24" t="s">
        <v>415</v>
      </c>
    </row>
    <row r="1137" spans="1:14" x14ac:dyDescent="0.35">
      <c r="A1137" s="25" t="s">
        <v>6258</v>
      </c>
      <c r="B1137" s="25" t="s">
        <v>6259</v>
      </c>
      <c r="C1137" s="25" t="s">
        <v>6260</v>
      </c>
      <c r="E1137" s="32" t="s">
        <v>6261</v>
      </c>
      <c r="F1137" s="32"/>
      <c r="G1137" s="32"/>
      <c r="H1137" s="32"/>
      <c r="I1137" s="32"/>
      <c r="J1137" s="32"/>
      <c r="N1137" s="24" t="s">
        <v>415</v>
      </c>
    </row>
    <row r="1138" spans="1:14" x14ac:dyDescent="0.35">
      <c r="A1138" s="25" t="s">
        <v>6262</v>
      </c>
      <c r="B1138" s="25" t="s">
        <v>6263</v>
      </c>
      <c r="C1138" s="25" t="s">
        <v>6264</v>
      </c>
      <c r="E1138" s="32" t="s">
        <v>6265</v>
      </c>
      <c r="F1138" s="32"/>
      <c r="G1138" s="32"/>
      <c r="H1138" s="32"/>
      <c r="I1138" s="32"/>
      <c r="J1138" s="32"/>
      <c r="N1138" s="24" t="s">
        <v>871</v>
      </c>
    </row>
    <row r="1139" spans="1:14" x14ac:dyDescent="0.35">
      <c r="A1139" s="25" t="s">
        <v>6266</v>
      </c>
      <c r="B1139" s="25" t="s">
        <v>6267</v>
      </c>
      <c r="C1139" s="25" t="s">
        <v>6268</v>
      </c>
      <c r="E1139" s="32" t="s">
        <v>6269</v>
      </c>
      <c r="F1139" s="32" t="s">
        <v>6270</v>
      </c>
      <c r="G1139" s="32"/>
      <c r="H1139" s="32"/>
      <c r="I1139" s="32"/>
      <c r="J1139" s="32"/>
      <c r="N1139" s="24" t="s">
        <v>415</v>
      </c>
    </row>
    <row r="1140" spans="1:14" x14ac:dyDescent="0.35">
      <c r="A1140" s="25" t="s">
        <v>6271</v>
      </c>
      <c r="B1140" s="25" t="s">
        <v>6272</v>
      </c>
      <c r="C1140" s="25" t="s">
        <v>6273</v>
      </c>
      <c r="E1140" s="32" t="s">
        <v>6274</v>
      </c>
      <c r="F1140" s="32"/>
      <c r="G1140" s="32"/>
      <c r="H1140" s="32"/>
      <c r="I1140" s="32"/>
      <c r="J1140" s="32"/>
      <c r="N1140" s="24" t="s">
        <v>415</v>
      </c>
    </row>
    <row r="1141" spans="1:14" x14ac:dyDescent="0.35">
      <c r="A1141" s="25" t="s">
        <v>6275</v>
      </c>
      <c r="B1141" s="25" t="s">
        <v>6276</v>
      </c>
      <c r="C1141" s="25" t="s">
        <v>6277</v>
      </c>
      <c r="E1141" s="32" t="s">
        <v>6278</v>
      </c>
      <c r="F1141" s="32"/>
      <c r="G1141" s="32"/>
      <c r="H1141" s="32"/>
      <c r="I1141" s="32"/>
      <c r="J1141" s="32"/>
      <c r="N1141" s="24" t="s">
        <v>1434</v>
      </c>
    </row>
    <row r="1142" spans="1:14" x14ac:dyDescent="0.35">
      <c r="A1142" s="25" t="s">
        <v>6279</v>
      </c>
      <c r="B1142" s="25" t="s">
        <v>6280</v>
      </c>
      <c r="C1142" s="25" t="s">
        <v>6281</v>
      </c>
      <c r="E1142" s="32" t="s">
        <v>6282</v>
      </c>
      <c r="F1142" s="32"/>
      <c r="G1142" s="32"/>
      <c r="H1142" s="32"/>
      <c r="I1142" s="32"/>
      <c r="J1142" s="32"/>
      <c r="N1142" s="24" t="s">
        <v>415</v>
      </c>
    </row>
    <row r="1143" spans="1:14" ht="16.2" x14ac:dyDescent="0.35">
      <c r="A1143" s="25" t="s">
        <v>6283</v>
      </c>
      <c r="B1143" s="25" t="s">
        <v>6284</v>
      </c>
      <c r="C1143" s="25" t="s">
        <v>6285</v>
      </c>
      <c r="E1143" s="32" t="s">
        <v>6286</v>
      </c>
      <c r="F1143" s="32" t="s">
        <v>10083</v>
      </c>
      <c r="G1143" s="32" t="s">
        <v>10084</v>
      </c>
      <c r="H1143" s="32" t="s">
        <v>10085</v>
      </c>
      <c r="I1143" s="32" t="s">
        <v>10086</v>
      </c>
      <c r="J1143" s="7" t="s">
        <v>10087</v>
      </c>
      <c r="N1143" s="24" t="s">
        <v>415</v>
      </c>
    </row>
    <row r="1144" spans="1:14" x14ac:dyDescent="0.35">
      <c r="A1144" s="25" t="s">
        <v>6287</v>
      </c>
      <c r="B1144" s="25" t="s">
        <v>6288</v>
      </c>
      <c r="C1144" s="25" t="s">
        <v>6289</v>
      </c>
      <c r="E1144" s="32" t="s">
        <v>6290</v>
      </c>
      <c r="F1144" s="32"/>
      <c r="G1144" s="32"/>
      <c r="H1144" s="32"/>
      <c r="I1144" s="32"/>
      <c r="J1144" s="32"/>
      <c r="N1144" s="24" t="s">
        <v>415</v>
      </c>
    </row>
    <row r="1145" spans="1:14" ht="16.2" x14ac:dyDescent="0.35">
      <c r="A1145" s="25" t="s">
        <v>6291</v>
      </c>
      <c r="B1145" s="25" t="s">
        <v>6292</v>
      </c>
      <c r="C1145" s="25" t="s">
        <v>6293</v>
      </c>
      <c r="E1145" s="32" t="s">
        <v>6294</v>
      </c>
      <c r="F1145" s="7" t="s">
        <v>9656</v>
      </c>
      <c r="G1145" s="7" t="s">
        <v>9657</v>
      </c>
      <c r="H1145" s="7" t="s">
        <v>9658</v>
      </c>
      <c r="I1145" s="7" t="s">
        <v>9659</v>
      </c>
      <c r="J1145" s="7" t="s">
        <v>9660</v>
      </c>
      <c r="N1145" s="24" t="s">
        <v>415</v>
      </c>
    </row>
    <row r="1146" spans="1:14" x14ac:dyDescent="0.35">
      <c r="A1146" s="25" t="s">
        <v>6295</v>
      </c>
      <c r="B1146" s="25" t="s">
        <v>6296</v>
      </c>
      <c r="C1146" s="25" t="s">
        <v>6297</v>
      </c>
      <c r="E1146" s="32" t="s">
        <v>6298</v>
      </c>
      <c r="F1146" s="32" t="s">
        <v>6299</v>
      </c>
      <c r="G1146" s="32"/>
      <c r="H1146" s="32"/>
      <c r="I1146" s="32"/>
      <c r="J1146" s="32"/>
      <c r="N1146" s="24" t="s">
        <v>415</v>
      </c>
    </row>
    <row r="1147" spans="1:14" x14ac:dyDescent="0.35">
      <c r="A1147" s="25" t="s">
        <v>6302</v>
      </c>
      <c r="B1147" s="25" t="s">
        <v>6303</v>
      </c>
      <c r="C1147" s="25" t="s">
        <v>6304</v>
      </c>
      <c r="E1147" s="32" t="s">
        <v>6305</v>
      </c>
      <c r="F1147" s="32" t="s">
        <v>6306</v>
      </c>
      <c r="G1147" s="32" t="s">
        <v>6307</v>
      </c>
      <c r="H1147" s="32" t="s">
        <v>6308</v>
      </c>
      <c r="I1147" s="32" t="s">
        <v>6309</v>
      </c>
      <c r="J1147" s="32"/>
      <c r="N1147" s="24" t="s">
        <v>415</v>
      </c>
    </row>
    <row r="1148" spans="1:14" x14ac:dyDescent="0.35">
      <c r="A1148" s="25" t="s">
        <v>6312</v>
      </c>
      <c r="B1148" s="25" t="s">
        <v>6313</v>
      </c>
      <c r="C1148" s="25" t="s">
        <v>6314</v>
      </c>
      <c r="E1148" s="32" t="s">
        <v>6315</v>
      </c>
      <c r="F1148" s="32" t="s">
        <v>6316</v>
      </c>
      <c r="G1148" s="32" t="s">
        <v>6317</v>
      </c>
      <c r="H1148" s="32" t="s">
        <v>6318</v>
      </c>
      <c r="I1148" s="32" t="s">
        <v>6319</v>
      </c>
      <c r="J1148" s="32"/>
      <c r="N1148" s="24" t="s">
        <v>415</v>
      </c>
    </row>
    <row r="1149" spans="1:14" x14ac:dyDescent="0.35">
      <c r="A1149" s="25" t="s">
        <v>6320</v>
      </c>
      <c r="B1149" s="25" t="s">
        <v>6321</v>
      </c>
      <c r="C1149" s="25" t="s">
        <v>6322</v>
      </c>
      <c r="E1149" s="32" t="s">
        <v>6323</v>
      </c>
      <c r="F1149" s="32" t="s">
        <v>6324</v>
      </c>
      <c r="G1149" s="32" t="s">
        <v>6325</v>
      </c>
      <c r="H1149" s="32" t="s">
        <v>6326</v>
      </c>
      <c r="I1149" s="32" t="s">
        <v>6327</v>
      </c>
      <c r="J1149" s="32"/>
      <c r="N1149" s="24" t="s">
        <v>415</v>
      </c>
    </row>
    <row r="1150" spans="1:14" x14ac:dyDescent="0.35">
      <c r="A1150" s="25" t="s">
        <v>6328</v>
      </c>
      <c r="B1150" s="25" t="s">
        <v>6329</v>
      </c>
      <c r="C1150" s="25" t="s">
        <v>6330</v>
      </c>
      <c r="E1150" s="32" t="s">
        <v>6331</v>
      </c>
      <c r="F1150" s="32" t="s">
        <v>6332</v>
      </c>
      <c r="G1150" s="32" t="s">
        <v>6333</v>
      </c>
      <c r="H1150" s="32" t="s">
        <v>6334</v>
      </c>
      <c r="I1150" s="32" t="s">
        <v>6335</v>
      </c>
      <c r="J1150" s="32"/>
      <c r="N1150" s="24" t="s">
        <v>415</v>
      </c>
    </row>
    <row r="1151" spans="1:14" x14ac:dyDescent="0.35">
      <c r="A1151" s="25" t="s">
        <v>6336</v>
      </c>
      <c r="B1151" s="25" t="s">
        <v>6337</v>
      </c>
      <c r="C1151" s="25" t="s">
        <v>6338</v>
      </c>
      <c r="E1151" s="32" t="s">
        <v>6339</v>
      </c>
      <c r="F1151" s="32"/>
      <c r="G1151" s="32"/>
      <c r="H1151" s="32"/>
      <c r="I1151" s="32"/>
      <c r="J1151" s="32"/>
      <c r="N1151" s="24" t="s">
        <v>415</v>
      </c>
    </row>
    <row r="1152" spans="1:14" x14ac:dyDescent="0.35">
      <c r="A1152" s="25" t="s">
        <v>6340</v>
      </c>
      <c r="B1152" s="25" t="s">
        <v>6341</v>
      </c>
      <c r="C1152" s="25" t="s">
        <v>6342</v>
      </c>
      <c r="E1152" s="32" t="s">
        <v>6343</v>
      </c>
      <c r="F1152" s="32"/>
      <c r="G1152" s="32"/>
      <c r="H1152" s="32"/>
      <c r="I1152" s="32"/>
      <c r="J1152" s="32"/>
      <c r="N1152" s="24" t="s">
        <v>415</v>
      </c>
    </row>
    <row r="1153" spans="1:14" ht="16.2" x14ac:dyDescent="0.35">
      <c r="A1153" s="25" t="s">
        <v>6344</v>
      </c>
      <c r="B1153" s="25" t="s">
        <v>6345</v>
      </c>
      <c r="C1153" s="25" t="s">
        <v>6346</v>
      </c>
      <c r="E1153" s="32" t="s">
        <v>6347</v>
      </c>
      <c r="F1153" s="7" t="s">
        <v>6348</v>
      </c>
      <c r="G1153" s="7" t="s">
        <v>9661</v>
      </c>
      <c r="H1153" s="7" t="s">
        <v>9662</v>
      </c>
      <c r="I1153" s="7" t="s">
        <v>9663</v>
      </c>
      <c r="J1153" s="32"/>
      <c r="N1153" s="24" t="s">
        <v>1434</v>
      </c>
    </row>
    <row r="1154" spans="1:14" x14ac:dyDescent="0.35">
      <c r="A1154" s="25" t="s">
        <v>6349</v>
      </c>
      <c r="B1154" s="25" t="s">
        <v>6350</v>
      </c>
      <c r="C1154" s="25" t="s">
        <v>6351</v>
      </c>
      <c r="E1154" s="32" t="s">
        <v>6352</v>
      </c>
      <c r="F1154" s="32" t="s">
        <v>6353</v>
      </c>
      <c r="G1154" s="32" t="s">
        <v>6354</v>
      </c>
      <c r="H1154" s="32" t="s">
        <v>6355</v>
      </c>
      <c r="I1154" s="32" t="s">
        <v>6356</v>
      </c>
      <c r="J1154" s="32"/>
      <c r="N1154" s="24" t="s">
        <v>415</v>
      </c>
    </row>
    <row r="1155" spans="1:14" x14ac:dyDescent="0.35">
      <c r="A1155" s="25" t="s">
        <v>6357</v>
      </c>
      <c r="B1155" s="25" t="s">
        <v>6358</v>
      </c>
      <c r="C1155" s="25" t="s">
        <v>6359</v>
      </c>
      <c r="E1155" s="32" t="s">
        <v>6360</v>
      </c>
      <c r="F1155" s="32" t="s">
        <v>6361</v>
      </c>
      <c r="G1155" s="32"/>
      <c r="H1155" s="32"/>
      <c r="I1155" s="32"/>
      <c r="J1155" s="32"/>
      <c r="N1155" s="24" t="s">
        <v>415</v>
      </c>
    </row>
    <row r="1156" spans="1:14" x14ac:dyDescent="0.35">
      <c r="A1156" s="25" t="s">
        <v>6362</v>
      </c>
      <c r="B1156" s="25" t="s">
        <v>6363</v>
      </c>
      <c r="C1156" s="25" t="s">
        <v>6364</v>
      </c>
      <c r="E1156" s="32" t="s">
        <v>6365</v>
      </c>
      <c r="F1156" s="32" t="s">
        <v>6366</v>
      </c>
      <c r="G1156" s="32" t="s">
        <v>6367</v>
      </c>
      <c r="H1156" s="32" t="s">
        <v>6368</v>
      </c>
      <c r="I1156" s="32" t="s">
        <v>6369</v>
      </c>
      <c r="J1156" s="32"/>
      <c r="N1156" s="24" t="s">
        <v>415</v>
      </c>
    </row>
    <row r="1157" spans="1:14" x14ac:dyDescent="0.35">
      <c r="A1157" s="25" t="s">
        <v>6370</v>
      </c>
      <c r="B1157" s="25" t="s">
        <v>6371</v>
      </c>
      <c r="C1157" s="25" t="s">
        <v>6372</v>
      </c>
      <c r="E1157" s="32" t="s">
        <v>6373</v>
      </c>
      <c r="F1157" s="32"/>
      <c r="G1157" s="32"/>
      <c r="H1157" s="32"/>
      <c r="I1157" s="32"/>
      <c r="J1157" s="32"/>
      <c r="N1157" s="24" t="s">
        <v>415</v>
      </c>
    </row>
    <row r="1158" spans="1:14" x14ac:dyDescent="0.35">
      <c r="A1158" s="25" t="s">
        <v>6374</v>
      </c>
      <c r="B1158" s="25" t="s">
        <v>6375</v>
      </c>
      <c r="C1158" s="25" t="s">
        <v>6376</v>
      </c>
      <c r="E1158" s="32" t="s">
        <v>6377</v>
      </c>
      <c r="F1158" s="32" t="s">
        <v>6378</v>
      </c>
      <c r="G1158" s="32"/>
      <c r="H1158" s="32"/>
      <c r="I1158" s="32"/>
      <c r="J1158" s="32"/>
      <c r="N1158" s="24" t="s">
        <v>3418</v>
      </c>
    </row>
    <row r="1159" spans="1:14" x14ac:dyDescent="0.35">
      <c r="A1159" s="25" t="s">
        <v>6379</v>
      </c>
      <c r="B1159" s="25" t="s">
        <v>6380</v>
      </c>
      <c r="C1159" s="25" t="s">
        <v>6381</v>
      </c>
      <c r="E1159" s="32" t="s">
        <v>6382</v>
      </c>
      <c r="F1159" s="32"/>
      <c r="G1159" s="32"/>
      <c r="H1159" s="32"/>
      <c r="I1159" s="32"/>
      <c r="J1159" s="32"/>
      <c r="N1159" s="24" t="s">
        <v>415</v>
      </c>
    </row>
    <row r="1160" spans="1:14" x14ac:dyDescent="0.35">
      <c r="A1160" s="25" t="s">
        <v>6383</v>
      </c>
      <c r="B1160" s="25" t="s">
        <v>6384</v>
      </c>
      <c r="C1160" s="25" t="s">
        <v>6385</v>
      </c>
      <c r="E1160" s="32" t="s">
        <v>3839</v>
      </c>
      <c r="F1160" s="32" t="s">
        <v>3840</v>
      </c>
      <c r="G1160" s="32" t="s">
        <v>3841</v>
      </c>
      <c r="H1160" s="32" t="s">
        <v>3842</v>
      </c>
      <c r="I1160" s="32" t="s">
        <v>3843</v>
      </c>
      <c r="J1160" s="32"/>
      <c r="N1160" s="24" t="s">
        <v>415</v>
      </c>
    </row>
    <row r="1161" spans="1:14" x14ac:dyDescent="0.35">
      <c r="A1161" s="25" t="s">
        <v>6386</v>
      </c>
      <c r="B1161" s="25" t="s">
        <v>6387</v>
      </c>
      <c r="C1161" s="25" t="s">
        <v>6388</v>
      </c>
      <c r="E1161" s="32" t="s">
        <v>6389</v>
      </c>
      <c r="F1161" s="32" t="s">
        <v>6390</v>
      </c>
      <c r="G1161" s="32"/>
      <c r="H1161" s="32"/>
      <c r="I1161" s="32"/>
      <c r="J1161" s="32"/>
      <c r="N1161" s="24" t="s">
        <v>415</v>
      </c>
    </row>
    <row r="1162" spans="1:14" x14ac:dyDescent="0.35">
      <c r="A1162" s="25" t="s">
        <v>6391</v>
      </c>
      <c r="B1162" s="25" t="s">
        <v>6392</v>
      </c>
      <c r="C1162" s="25" t="s">
        <v>6393</v>
      </c>
      <c r="E1162" s="32" t="s">
        <v>6394</v>
      </c>
      <c r="F1162" s="32"/>
      <c r="G1162" s="32"/>
      <c r="H1162" s="32"/>
      <c r="I1162" s="32"/>
      <c r="J1162" s="32"/>
      <c r="N1162" s="24" t="s">
        <v>871</v>
      </c>
    </row>
    <row r="1163" spans="1:14" x14ac:dyDescent="0.35">
      <c r="A1163" s="25" t="s">
        <v>6395</v>
      </c>
      <c r="B1163" s="25" t="s">
        <v>6396</v>
      </c>
      <c r="C1163" s="25" t="s">
        <v>6397</v>
      </c>
      <c r="E1163" s="32" t="s">
        <v>6398</v>
      </c>
      <c r="F1163" s="32" t="s">
        <v>6399</v>
      </c>
      <c r="G1163" s="32" t="s">
        <v>6400</v>
      </c>
      <c r="H1163" s="32" t="s">
        <v>6401</v>
      </c>
      <c r="I1163" s="32" t="s">
        <v>6402</v>
      </c>
      <c r="J1163" s="32" t="s">
        <v>6403</v>
      </c>
      <c r="N1163" s="24" t="s">
        <v>415</v>
      </c>
    </row>
    <row r="1164" spans="1:14" x14ac:dyDescent="0.35">
      <c r="A1164" s="25" t="s">
        <v>6404</v>
      </c>
      <c r="B1164" s="25" t="s">
        <v>6405</v>
      </c>
      <c r="C1164" s="25" t="s">
        <v>6406</v>
      </c>
      <c r="E1164" s="32" t="s">
        <v>6407</v>
      </c>
      <c r="F1164" s="32" t="s">
        <v>6408</v>
      </c>
      <c r="G1164" s="32" t="s">
        <v>5578</v>
      </c>
      <c r="H1164" s="32" t="s">
        <v>5579</v>
      </c>
      <c r="I1164" s="32" t="s">
        <v>6409</v>
      </c>
      <c r="J1164" s="32"/>
      <c r="N1164" s="24" t="s">
        <v>415</v>
      </c>
    </row>
    <row r="1165" spans="1:14" x14ac:dyDescent="0.35">
      <c r="A1165" s="25" t="s">
        <v>6410</v>
      </c>
      <c r="B1165" s="25" t="s">
        <v>6411</v>
      </c>
      <c r="C1165" s="25" t="s">
        <v>6412</v>
      </c>
      <c r="E1165" s="32" t="s">
        <v>6413</v>
      </c>
      <c r="F1165" s="32" t="s">
        <v>6414</v>
      </c>
      <c r="G1165" s="32" t="s">
        <v>6415</v>
      </c>
      <c r="H1165" s="32" t="s">
        <v>6416</v>
      </c>
      <c r="I1165" s="32" t="s">
        <v>6417</v>
      </c>
      <c r="J1165" s="32"/>
      <c r="N1165" s="24" t="s">
        <v>415</v>
      </c>
    </row>
    <row r="1166" spans="1:14" ht="16.2" x14ac:dyDescent="0.35">
      <c r="A1166" s="25" t="s">
        <v>6418</v>
      </c>
      <c r="B1166" s="25" t="s">
        <v>6419</v>
      </c>
      <c r="C1166" s="25" t="s">
        <v>6420</v>
      </c>
      <c r="E1166" s="32" t="s">
        <v>6421</v>
      </c>
      <c r="F1166" s="7" t="s">
        <v>9690</v>
      </c>
      <c r="G1166" s="7" t="s">
        <v>9691</v>
      </c>
      <c r="H1166" s="7" t="s">
        <v>9692</v>
      </c>
      <c r="I1166" s="7" t="s">
        <v>9693</v>
      </c>
      <c r="J1166" s="7" t="s">
        <v>9694</v>
      </c>
      <c r="N1166" s="24" t="s">
        <v>415</v>
      </c>
    </row>
    <row r="1167" spans="1:14" x14ac:dyDescent="0.35">
      <c r="A1167" s="25" t="s">
        <v>6422</v>
      </c>
      <c r="B1167" s="25" t="s">
        <v>6423</v>
      </c>
      <c r="C1167" s="25" t="s">
        <v>6424</v>
      </c>
      <c r="E1167" s="32" t="s">
        <v>6425</v>
      </c>
      <c r="F1167" s="32" t="s">
        <v>6426</v>
      </c>
      <c r="G1167" s="32" t="s">
        <v>6427</v>
      </c>
      <c r="H1167" s="32" t="s">
        <v>6428</v>
      </c>
      <c r="I1167" s="32" t="s">
        <v>6429</v>
      </c>
      <c r="J1167" s="32"/>
      <c r="N1167" s="24" t="s">
        <v>415</v>
      </c>
    </row>
    <row r="1168" spans="1:14" x14ac:dyDescent="0.35">
      <c r="A1168" s="25" t="s">
        <v>6430</v>
      </c>
      <c r="B1168" s="25" t="s">
        <v>6431</v>
      </c>
      <c r="C1168" s="25" t="s">
        <v>6432</v>
      </c>
      <c r="E1168" s="32" t="s">
        <v>6433</v>
      </c>
      <c r="F1168" s="32" t="s">
        <v>6434</v>
      </c>
      <c r="G1168" s="32" t="s">
        <v>6435</v>
      </c>
      <c r="H1168" s="32" t="s">
        <v>6436</v>
      </c>
      <c r="I1168" s="32" t="s">
        <v>6437</v>
      </c>
      <c r="J1168" s="32"/>
      <c r="N1168" s="24" t="s">
        <v>415</v>
      </c>
    </row>
    <row r="1169" spans="1:14" x14ac:dyDescent="0.35">
      <c r="A1169" s="25" t="s">
        <v>6438</v>
      </c>
      <c r="B1169" s="25" t="s">
        <v>6439</v>
      </c>
      <c r="C1169" s="25" t="s">
        <v>6440</v>
      </c>
      <c r="E1169" s="32" t="s">
        <v>6441</v>
      </c>
      <c r="F1169" s="32" t="s">
        <v>6442</v>
      </c>
      <c r="G1169" s="32" t="s">
        <v>6443</v>
      </c>
      <c r="H1169" s="32" t="s">
        <v>6444</v>
      </c>
      <c r="I1169" s="32" t="s">
        <v>6445</v>
      </c>
      <c r="J1169" s="32"/>
      <c r="N1169" s="24" t="s">
        <v>415</v>
      </c>
    </row>
    <row r="1170" spans="1:14" x14ac:dyDescent="0.35">
      <c r="A1170" s="25" t="s">
        <v>6446</v>
      </c>
      <c r="B1170" s="25" t="s">
        <v>6447</v>
      </c>
      <c r="C1170" s="25" t="s">
        <v>6448</v>
      </c>
      <c r="E1170" s="32" t="s">
        <v>6449</v>
      </c>
      <c r="F1170" s="32"/>
      <c r="G1170" s="32"/>
      <c r="H1170" s="32"/>
      <c r="I1170" s="32"/>
      <c r="J1170" s="32"/>
      <c r="N1170" s="24" t="s">
        <v>415</v>
      </c>
    </row>
    <row r="1171" spans="1:14" x14ac:dyDescent="0.35">
      <c r="A1171" s="25" t="s">
        <v>6450</v>
      </c>
      <c r="B1171" s="25" t="s">
        <v>6451</v>
      </c>
      <c r="C1171" s="25" t="s">
        <v>6452</v>
      </c>
      <c r="E1171" s="32" t="s">
        <v>6453</v>
      </c>
      <c r="F1171" s="32" t="s">
        <v>6454</v>
      </c>
      <c r="G1171" s="32" t="s">
        <v>6455</v>
      </c>
      <c r="H1171" s="32" t="s">
        <v>6456</v>
      </c>
      <c r="I1171" s="32"/>
      <c r="J1171" s="32"/>
      <c r="N1171" s="24" t="s">
        <v>415</v>
      </c>
    </row>
    <row r="1172" spans="1:14" x14ac:dyDescent="0.35">
      <c r="A1172" s="25" t="s">
        <v>6457</v>
      </c>
      <c r="B1172" s="25" t="s">
        <v>6458</v>
      </c>
      <c r="C1172" s="25" t="s">
        <v>6459</v>
      </c>
      <c r="E1172" s="32" t="s">
        <v>6460</v>
      </c>
      <c r="F1172" s="32" t="s">
        <v>6461</v>
      </c>
      <c r="G1172" s="32" t="s">
        <v>6462</v>
      </c>
      <c r="H1172" s="32" t="s">
        <v>6463</v>
      </c>
      <c r="I1172" s="32" t="s">
        <v>6464</v>
      </c>
      <c r="J1172" s="32"/>
      <c r="N1172" s="24" t="s">
        <v>415</v>
      </c>
    </row>
    <row r="1173" spans="1:14" x14ac:dyDescent="0.35">
      <c r="A1173" s="25" t="s">
        <v>6465</v>
      </c>
      <c r="B1173" s="25" t="s">
        <v>6466</v>
      </c>
      <c r="C1173" s="25" t="s">
        <v>6467</v>
      </c>
      <c r="E1173" s="32" t="s">
        <v>6468</v>
      </c>
      <c r="F1173" s="32" t="s">
        <v>6469</v>
      </c>
      <c r="G1173" s="32" t="s">
        <v>6470</v>
      </c>
      <c r="H1173" s="32" t="s">
        <v>6471</v>
      </c>
      <c r="I1173" s="32" t="s">
        <v>6472</v>
      </c>
      <c r="J1173" s="32"/>
      <c r="N1173" s="24" t="s">
        <v>415</v>
      </c>
    </row>
    <row r="1174" spans="1:14" x14ac:dyDescent="0.35">
      <c r="A1174" s="25" t="s">
        <v>6473</v>
      </c>
      <c r="B1174" s="25" t="s">
        <v>6474</v>
      </c>
      <c r="C1174" s="25" t="s">
        <v>6475</v>
      </c>
      <c r="E1174" s="32" t="s">
        <v>6476</v>
      </c>
      <c r="F1174" s="32" t="s">
        <v>6477</v>
      </c>
      <c r="G1174" s="32" t="s">
        <v>6478</v>
      </c>
      <c r="H1174" s="32" t="s">
        <v>6479</v>
      </c>
      <c r="I1174" s="32" t="s">
        <v>6480</v>
      </c>
      <c r="J1174" s="32"/>
      <c r="N1174" s="24" t="s">
        <v>415</v>
      </c>
    </row>
    <row r="1175" spans="1:14" x14ac:dyDescent="0.35">
      <c r="A1175" s="25" t="s">
        <v>6481</v>
      </c>
      <c r="B1175" s="25" t="s">
        <v>6482</v>
      </c>
      <c r="C1175" s="25" t="s">
        <v>6483</v>
      </c>
      <c r="E1175" s="32" t="s">
        <v>6484</v>
      </c>
      <c r="F1175" s="32"/>
      <c r="G1175" s="32"/>
      <c r="H1175" s="32"/>
      <c r="I1175" s="32"/>
      <c r="J1175" s="32"/>
      <c r="N1175" s="24" t="s">
        <v>415</v>
      </c>
    </row>
    <row r="1176" spans="1:14" x14ac:dyDescent="0.35">
      <c r="A1176" s="25" t="s">
        <v>6485</v>
      </c>
      <c r="B1176" s="25" t="s">
        <v>6486</v>
      </c>
      <c r="C1176" s="25" t="s">
        <v>6487</v>
      </c>
      <c r="E1176" s="32" t="s">
        <v>6488</v>
      </c>
      <c r="F1176" s="32"/>
      <c r="G1176" s="32"/>
      <c r="H1176" s="32"/>
      <c r="I1176" s="32"/>
      <c r="J1176" s="32"/>
      <c r="N1176" s="24" t="s">
        <v>415</v>
      </c>
    </row>
    <row r="1177" spans="1:14" x14ac:dyDescent="0.35">
      <c r="A1177" s="25" t="s">
        <v>6489</v>
      </c>
      <c r="B1177" s="25" t="s">
        <v>6490</v>
      </c>
      <c r="C1177" s="25" t="s">
        <v>6491</v>
      </c>
      <c r="E1177" s="32" t="s">
        <v>6492</v>
      </c>
      <c r="F1177" s="32"/>
      <c r="G1177" s="32"/>
      <c r="H1177" s="32"/>
      <c r="I1177" s="32"/>
      <c r="J1177" s="32"/>
      <c r="N1177" s="24" t="s">
        <v>415</v>
      </c>
    </row>
    <row r="1178" spans="1:14" x14ac:dyDescent="0.35">
      <c r="A1178" s="25" t="s">
        <v>6493</v>
      </c>
      <c r="B1178" s="25" t="s">
        <v>6494</v>
      </c>
      <c r="C1178" s="25" t="s">
        <v>6495</v>
      </c>
      <c r="E1178" s="32" t="s">
        <v>6496</v>
      </c>
      <c r="F1178" s="32"/>
      <c r="G1178" s="32"/>
      <c r="H1178" s="32"/>
      <c r="I1178" s="32"/>
      <c r="J1178" s="32"/>
      <c r="N1178" s="24" t="s">
        <v>415</v>
      </c>
    </row>
    <row r="1179" spans="1:14" x14ac:dyDescent="0.35">
      <c r="A1179" s="25" t="s">
        <v>6497</v>
      </c>
      <c r="B1179" s="25" t="s">
        <v>6498</v>
      </c>
      <c r="C1179" s="25" t="s">
        <v>6499</v>
      </c>
      <c r="E1179" s="32" t="s">
        <v>6500</v>
      </c>
      <c r="F1179" s="32" t="s">
        <v>6501</v>
      </c>
      <c r="G1179" s="32" t="s">
        <v>6502</v>
      </c>
      <c r="H1179" s="32" t="s">
        <v>6503</v>
      </c>
      <c r="I1179" s="32"/>
      <c r="J1179" s="32"/>
      <c r="N1179" s="24" t="s">
        <v>415</v>
      </c>
    </row>
    <row r="1180" spans="1:14" x14ac:dyDescent="0.35">
      <c r="A1180" s="25" t="s">
        <v>6504</v>
      </c>
      <c r="B1180" s="25" t="s">
        <v>6505</v>
      </c>
      <c r="C1180" s="25" t="s">
        <v>6506</v>
      </c>
      <c r="E1180" s="32" t="s">
        <v>6507</v>
      </c>
      <c r="F1180" s="32"/>
      <c r="G1180" s="32"/>
      <c r="H1180" s="32"/>
      <c r="I1180" s="32"/>
      <c r="J1180" s="32"/>
      <c r="N1180" s="24" t="s">
        <v>415</v>
      </c>
    </row>
    <row r="1181" spans="1:14" x14ac:dyDescent="0.35">
      <c r="A1181" s="25" t="s">
        <v>73</v>
      </c>
      <c r="B1181" s="25" t="s">
        <v>6508</v>
      </c>
      <c r="C1181" s="25" t="s">
        <v>6509</v>
      </c>
      <c r="E1181" s="32" t="s">
        <v>6510</v>
      </c>
      <c r="F1181" s="32"/>
      <c r="G1181" s="32"/>
      <c r="H1181" s="32"/>
      <c r="I1181" s="32"/>
      <c r="J1181" s="32"/>
      <c r="N1181" s="24" t="s">
        <v>415</v>
      </c>
    </row>
    <row r="1182" spans="1:14" x14ac:dyDescent="0.35">
      <c r="A1182" s="25" t="s">
        <v>9518</v>
      </c>
      <c r="B1182" s="25" t="s">
        <v>6511</v>
      </c>
      <c r="C1182" s="25" t="s">
        <v>6512</v>
      </c>
      <c r="E1182" s="32" t="s">
        <v>9519</v>
      </c>
      <c r="F1182" s="32" t="s">
        <v>9520</v>
      </c>
      <c r="G1182" s="32" t="s">
        <v>9521</v>
      </c>
      <c r="H1182" s="32" t="s">
        <v>9522</v>
      </c>
      <c r="I1182" s="32" t="s">
        <v>9523</v>
      </c>
      <c r="J1182" s="32"/>
      <c r="N1182" s="24" t="s">
        <v>415</v>
      </c>
    </row>
    <row r="1183" spans="1:14" x14ac:dyDescent="0.35">
      <c r="A1183" s="25" t="s">
        <v>6513</v>
      </c>
      <c r="B1183" s="25" t="s">
        <v>6514</v>
      </c>
      <c r="C1183" s="25" t="s">
        <v>6515</v>
      </c>
      <c r="E1183" s="32" t="s">
        <v>6300</v>
      </c>
      <c r="F1183" s="32" t="s">
        <v>6301</v>
      </c>
      <c r="G1183" s="32" t="s">
        <v>6310</v>
      </c>
      <c r="H1183" s="32" t="s">
        <v>6311</v>
      </c>
      <c r="I1183" s="32" t="s">
        <v>6516</v>
      </c>
      <c r="J1183" s="32"/>
      <c r="N1183" s="24" t="s">
        <v>415</v>
      </c>
    </row>
    <row r="1184" spans="1:14" x14ac:dyDescent="0.35">
      <c r="A1184" s="25" t="s">
        <v>6517</v>
      </c>
      <c r="B1184" s="25" t="s">
        <v>6518</v>
      </c>
      <c r="C1184" s="25" t="s">
        <v>6519</v>
      </c>
      <c r="E1184" s="32" t="s">
        <v>6520</v>
      </c>
      <c r="F1184" s="32" t="s">
        <v>6521</v>
      </c>
      <c r="G1184" s="32" t="s">
        <v>6522</v>
      </c>
      <c r="H1184" s="32" t="s">
        <v>6523</v>
      </c>
      <c r="I1184" s="32" t="s">
        <v>6524</v>
      </c>
      <c r="J1184" s="32"/>
      <c r="N1184" s="24" t="s">
        <v>415</v>
      </c>
    </row>
    <row r="1185" spans="1:14" x14ac:dyDescent="0.35">
      <c r="A1185" s="25" t="s">
        <v>6525</v>
      </c>
      <c r="B1185" s="25" t="s">
        <v>6526</v>
      </c>
      <c r="C1185" s="25" t="s">
        <v>6527</v>
      </c>
      <c r="E1185" s="32" t="s">
        <v>6528</v>
      </c>
      <c r="F1185" s="32" t="s">
        <v>6529</v>
      </c>
      <c r="G1185" s="32" t="s">
        <v>6530</v>
      </c>
      <c r="H1185" s="32" t="s">
        <v>6531</v>
      </c>
      <c r="I1185" s="32" t="s">
        <v>6532</v>
      </c>
      <c r="J1185" s="32"/>
      <c r="N1185" s="24" t="s">
        <v>415</v>
      </c>
    </row>
    <row r="1186" spans="1:14" x14ac:dyDescent="0.35">
      <c r="A1186" s="25" t="s">
        <v>6533</v>
      </c>
      <c r="B1186" s="25" t="s">
        <v>6534</v>
      </c>
      <c r="C1186" s="25" t="s">
        <v>6535</v>
      </c>
      <c r="E1186" s="32" t="s">
        <v>6536</v>
      </c>
      <c r="F1186" s="32" t="s">
        <v>6537</v>
      </c>
      <c r="G1186" s="32" t="s">
        <v>6538</v>
      </c>
      <c r="H1186" s="32" t="s">
        <v>6539</v>
      </c>
      <c r="I1186" s="32" t="s">
        <v>6540</v>
      </c>
      <c r="J1186" s="32"/>
      <c r="N1186" s="24" t="s">
        <v>415</v>
      </c>
    </row>
    <row r="1187" spans="1:14" x14ac:dyDescent="0.35">
      <c r="A1187" s="25" t="s">
        <v>6541</v>
      </c>
      <c r="B1187" s="25" t="s">
        <v>6542</v>
      </c>
      <c r="C1187" s="25" t="s">
        <v>6543</v>
      </c>
      <c r="E1187" s="32" t="s">
        <v>6544</v>
      </c>
      <c r="F1187" s="32" t="s">
        <v>6545</v>
      </c>
      <c r="G1187" s="32" t="s">
        <v>6546</v>
      </c>
      <c r="H1187" s="32" t="s">
        <v>6547</v>
      </c>
      <c r="I1187" s="32" t="s">
        <v>6548</v>
      </c>
      <c r="J1187" s="32"/>
      <c r="N1187" s="24" t="s">
        <v>415</v>
      </c>
    </row>
    <row r="1188" spans="1:14" x14ac:dyDescent="0.35">
      <c r="A1188" s="25" t="s">
        <v>6549</v>
      </c>
      <c r="B1188" s="25" t="s">
        <v>6550</v>
      </c>
      <c r="C1188" s="25" t="s">
        <v>6551</v>
      </c>
      <c r="E1188" s="32" t="s">
        <v>6552</v>
      </c>
      <c r="F1188" s="32" t="s">
        <v>6553</v>
      </c>
      <c r="G1188" s="32"/>
      <c r="H1188" s="32"/>
      <c r="I1188" s="32"/>
      <c r="J1188" s="32"/>
      <c r="N1188" s="24" t="s">
        <v>415</v>
      </c>
    </row>
    <row r="1189" spans="1:14" x14ac:dyDescent="0.35">
      <c r="A1189" s="25" t="s">
        <v>6554</v>
      </c>
      <c r="B1189" s="25" t="s">
        <v>6555</v>
      </c>
      <c r="C1189" s="25" t="s">
        <v>6556</v>
      </c>
      <c r="E1189" s="32" t="s">
        <v>6557</v>
      </c>
      <c r="F1189" s="32"/>
      <c r="G1189" s="32"/>
      <c r="H1189" s="32"/>
      <c r="I1189" s="32"/>
      <c r="J1189" s="32"/>
      <c r="N1189" s="24" t="s">
        <v>415</v>
      </c>
    </row>
    <row r="1190" spans="1:14" x14ac:dyDescent="0.35">
      <c r="A1190" s="25" t="s">
        <v>6558</v>
      </c>
      <c r="B1190" s="25" t="s">
        <v>6559</v>
      </c>
      <c r="C1190" s="25" t="s">
        <v>6560</v>
      </c>
      <c r="E1190" s="32" t="s">
        <v>5599</v>
      </c>
      <c r="F1190" s="32" t="s">
        <v>5600</v>
      </c>
      <c r="G1190" s="32" t="s">
        <v>5601</v>
      </c>
      <c r="H1190" s="32" t="s">
        <v>5602</v>
      </c>
      <c r="I1190" s="32" t="s">
        <v>5603</v>
      </c>
      <c r="J1190" s="32"/>
      <c r="N1190" s="24" t="s">
        <v>458</v>
      </c>
    </row>
    <row r="1191" spans="1:14" x14ac:dyDescent="0.35">
      <c r="A1191" s="25" t="s">
        <v>6561</v>
      </c>
      <c r="B1191" s="25" t="s">
        <v>6562</v>
      </c>
      <c r="C1191" s="25" t="s">
        <v>6563</v>
      </c>
      <c r="E1191" s="32" t="s">
        <v>6564</v>
      </c>
      <c r="F1191" s="32" t="s">
        <v>6565</v>
      </c>
      <c r="G1191" s="32"/>
      <c r="H1191" s="32"/>
      <c r="I1191" s="32"/>
      <c r="J1191" s="32"/>
      <c r="N1191" s="24" t="s">
        <v>415</v>
      </c>
    </row>
    <row r="1192" spans="1:14" x14ac:dyDescent="0.35">
      <c r="A1192" s="25" t="s">
        <v>6566</v>
      </c>
      <c r="B1192" s="25" t="s">
        <v>6567</v>
      </c>
      <c r="C1192" s="25" t="s">
        <v>6568</v>
      </c>
      <c r="E1192" s="32" t="s">
        <v>6569</v>
      </c>
      <c r="F1192" s="32" t="s">
        <v>6570</v>
      </c>
      <c r="G1192" s="32" t="s">
        <v>6571</v>
      </c>
      <c r="H1192" s="32" t="s">
        <v>6572</v>
      </c>
      <c r="I1192" s="32" t="s">
        <v>6573</v>
      </c>
      <c r="J1192" s="32"/>
      <c r="N1192" s="24" t="s">
        <v>415</v>
      </c>
    </row>
    <row r="1193" spans="1:14" x14ac:dyDescent="0.35">
      <c r="A1193" s="25" t="s">
        <v>6574</v>
      </c>
      <c r="B1193" s="25" t="s">
        <v>6575</v>
      </c>
      <c r="C1193" s="25" t="s">
        <v>6576</v>
      </c>
      <c r="E1193" s="32" t="s">
        <v>6577</v>
      </c>
      <c r="F1193" s="32"/>
      <c r="G1193" s="32"/>
      <c r="H1193" s="32"/>
      <c r="I1193" s="32"/>
      <c r="J1193" s="32"/>
      <c r="N1193" s="24" t="s">
        <v>415</v>
      </c>
    </row>
    <row r="1194" spans="1:14" x14ac:dyDescent="0.35">
      <c r="A1194" s="25" t="s">
        <v>6578</v>
      </c>
      <c r="B1194" s="25" t="s">
        <v>6579</v>
      </c>
      <c r="C1194" s="25" t="s">
        <v>6580</v>
      </c>
      <c r="E1194" s="32" t="s">
        <v>6581</v>
      </c>
      <c r="N1194" s="24" t="s">
        <v>415</v>
      </c>
    </row>
    <row r="1195" spans="1:14" x14ac:dyDescent="0.35">
      <c r="A1195" s="25" t="s">
        <v>6582</v>
      </c>
      <c r="B1195" s="25" t="s">
        <v>6583</v>
      </c>
      <c r="C1195" s="25" t="s">
        <v>6584</v>
      </c>
      <c r="E1195" s="32" t="s">
        <v>6585</v>
      </c>
      <c r="F1195" s="32" t="s">
        <v>6586</v>
      </c>
      <c r="G1195" s="32" t="s">
        <v>6587</v>
      </c>
      <c r="H1195" s="32" t="s">
        <v>6588</v>
      </c>
      <c r="I1195" s="32" t="s">
        <v>6589</v>
      </c>
      <c r="J1195" s="32"/>
      <c r="N1195" s="24" t="s">
        <v>415</v>
      </c>
    </row>
    <row r="1196" spans="1:14" ht="16.2" x14ac:dyDescent="0.35">
      <c r="A1196" s="25" t="s">
        <v>324</v>
      </c>
      <c r="B1196" s="25" t="s">
        <v>6590</v>
      </c>
      <c r="C1196" s="25" t="s">
        <v>6591</v>
      </c>
      <c r="E1196" s="32" t="s">
        <v>6592</v>
      </c>
      <c r="F1196" s="32" t="s">
        <v>6593</v>
      </c>
      <c r="G1196" s="32" t="s">
        <v>6594</v>
      </c>
      <c r="H1196" s="32" t="s">
        <v>6595</v>
      </c>
      <c r="I1196" s="32" t="s">
        <v>6596</v>
      </c>
      <c r="J1196" s="7" t="s">
        <v>10119</v>
      </c>
      <c r="N1196" s="24" t="s">
        <v>1696</v>
      </c>
    </row>
    <row r="1197" spans="1:14" x14ac:dyDescent="0.35">
      <c r="A1197" s="25" t="s">
        <v>6597</v>
      </c>
      <c r="B1197" s="25" t="s">
        <v>6598</v>
      </c>
      <c r="C1197" s="25" t="s">
        <v>6599</v>
      </c>
      <c r="E1197" s="32" t="s">
        <v>6600</v>
      </c>
      <c r="F1197" s="32"/>
      <c r="G1197" s="32"/>
      <c r="H1197" s="32"/>
      <c r="I1197" s="32"/>
      <c r="J1197" s="32"/>
      <c r="N1197" s="24" t="s">
        <v>458</v>
      </c>
    </row>
    <row r="1198" spans="1:14" ht="16.2" x14ac:dyDescent="0.35">
      <c r="A1198" s="25" t="s">
        <v>6601</v>
      </c>
      <c r="B1198" s="25" t="s">
        <v>6602</v>
      </c>
      <c r="C1198" s="25" t="s">
        <v>6603</v>
      </c>
      <c r="E1198" s="32" t="s">
        <v>6604</v>
      </c>
      <c r="F1198" s="7" t="s">
        <v>9717</v>
      </c>
      <c r="G1198" s="7" t="s">
        <v>9718</v>
      </c>
      <c r="H1198" s="7" t="s">
        <v>9719</v>
      </c>
      <c r="I1198" s="7" t="s">
        <v>9720</v>
      </c>
      <c r="J1198" s="7" t="s">
        <v>9721</v>
      </c>
      <c r="N1198" s="24" t="s">
        <v>415</v>
      </c>
    </row>
    <row r="1199" spans="1:14" ht="16.2" x14ac:dyDescent="0.35">
      <c r="A1199" s="25" t="s">
        <v>6605</v>
      </c>
      <c r="B1199" s="25" t="s">
        <v>6606</v>
      </c>
      <c r="C1199" s="25" t="s">
        <v>9618</v>
      </c>
      <c r="E1199" s="32" t="s">
        <v>6607</v>
      </c>
      <c r="F1199" s="7" t="s">
        <v>9619</v>
      </c>
      <c r="G1199" s="7" t="s">
        <v>9620</v>
      </c>
      <c r="H1199" s="7" t="s">
        <v>9621</v>
      </c>
      <c r="I1199" s="7" t="s">
        <v>9622</v>
      </c>
      <c r="J1199" s="7" t="s">
        <v>9623</v>
      </c>
      <c r="N1199" s="24" t="s">
        <v>415</v>
      </c>
    </row>
    <row r="1200" spans="1:14" x14ac:dyDescent="0.35">
      <c r="A1200" s="25" t="s">
        <v>6608</v>
      </c>
      <c r="B1200" s="25" t="s">
        <v>6609</v>
      </c>
      <c r="C1200" s="25" t="s">
        <v>6610</v>
      </c>
      <c r="E1200" s="32" t="s">
        <v>6611</v>
      </c>
      <c r="F1200" s="32"/>
      <c r="G1200" s="32"/>
      <c r="H1200" s="32"/>
      <c r="I1200" s="32"/>
      <c r="J1200" s="32"/>
      <c r="N1200" s="24" t="s">
        <v>1434</v>
      </c>
    </row>
    <row r="1201" spans="1:14" x14ac:dyDescent="0.35">
      <c r="A1201" s="25" t="s">
        <v>6612</v>
      </c>
      <c r="B1201" s="25" t="s">
        <v>6613</v>
      </c>
      <c r="C1201" s="25" t="s">
        <v>6614</v>
      </c>
      <c r="E1201" s="32" t="s">
        <v>6615</v>
      </c>
      <c r="F1201" s="32" t="s">
        <v>6616</v>
      </c>
      <c r="G1201" s="32" t="s">
        <v>6617</v>
      </c>
      <c r="H1201" s="32" t="s">
        <v>6618</v>
      </c>
      <c r="I1201" s="32" t="s">
        <v>6619</v>
      </c>
      <c r="J1201" s="32"/>
      <c r="N1201" s="24" t="s">
        <v>415</v>
      </c>
    </row>
    <row r="1202" spans="1:14" x14ac:dyDescent="0.35">
      <c r="A1202" s="25" t="s">
        <v>6620</v>
      </c>
      <c r="B1202" s="25" t="s">
        <v>6621</v>
      </c>
      <c r="C1202" s="25" t="s">
        <v>6622</v>
      </c>
      <c r="E1202" s="32" t="s">
        <v>6623</v>
      </c>
      <c r="F1202" s="32" t="s">
        <v>6624</v>
      </c>
      <c r="G1202" s="32" t="s">
        <v>6625</v>
      </c>
      <c r="H1202" s="32" t="s">
        <v>6626</v>
      </c>
      <c r="I1202" s="32" t="s">
        <v>6627</v>
      </c>
      <c r="J1202" s="32"/>
      <c r="N1202" s="24" t="s">
        <v>415</v>
      </c>
    </row>
    <row r="1203" spans="1:14" x14ac:dyDescent="0.35">
      <c r="A1203" s="25" t="s">
        <v>6628</v>
      </c>
      <c r="B1203" s="25" t="s">
        <v>6629</v>
      </c>
      <c r="C1203" s="25" t="s">
        <v>6630</v>
      </c>
      <c r="E1203" s="32" t="s">
        <v>6631</v>
      </c>
      <c r="F1203" s="32" t="s">
        <v>6632</v>
      </c>
      <c r="G1203" s="32" t="s">
        <v>6633</v>
      </c>
      <c r="H1203" s="32" t="s">
        <v>6634</v>
      </c>
      <c r="I1203" s="32" t="s">
        <v>6635</v>
      </c>
      <c r="J1203" s="32"/>
      <c r="N1203" s="24" t="s">
        <v>1434</v>
      </c>
    </row>
    <row r="1204" spans="1:14" x14ac:dyDescent="0.35">
      <c r="A1204" s="25" t="s">
        <v>6636</v>
      </c>
      <c r="B1204" s="25" t="s">
        <v>6637</v>
      </c>
      <c r="C1204" s="25" t="s">
        <v>6638</v>
      </c>
      <c r="E1204" s="32" t="s">
        <v>6639</v>
      </c>
      <c r="F1204" s="32"/>
      <c r="G1204" s="32"/>
      <c r="H1204" s="32"/>
      <c r="I1204" s="32"/>
      <c r="J1204" s="32"/>
      <c r="N1204" s="24" t="s">
        <v>415</v>
      </c>
    </row>
    <row r="1205" spans="1:14" x14ac:dyDescent="0.35">
      <c r="A1205" s="25" t="s">
        <v>6640</v>
      </c>
      <c r="B1205" s="25" t="s">
        <v>6641</v>
      </c>
      <c r="C1205" s="25" t="s">
        <v>6642</v>
      </c>
      <c r="E1205" s="32" t="s">
        <v>6643</v>
      </c>
      <c r="F1205" s="32" t="s">
        <v>6644</v>
      </c>
      <c r="G1205" s="32" t="s">
        <v>6645</v>
      </c>
      <c r="H1205" s="32" t="s">
        <v>6646</v>
      </c>
      <c r="I1205" s="32" t="s">
        <v>6647</v>
      </c>
      <c r="J1205" s="32"/>
      <c r="N1205" s="24" t="s">
        <v>415</v>
      </c>
    </row>
    <row r="1206" spans="1:14" x14ac:dyDescent="0.35">
      <c r="A1206" s="25" t="s">
        <v>6648</v>
      </c>
      <c r="B1206" s="25" t="s">
        <v>6649</v>
      </c>
      <c r="C1206" s="25" t="s">
        <v>6650</v>
      </c>
      <c r="E1206" s="32" t="s">
        <v>6651</v>
      </c>
      <c r="F1206" s="32" t="s">
        <v>6652</v>
      </c>
      <c r="G1206" s="32" t="s">
        <v>6653</v>
      </c>
      <c r="H1206" s="32" t="s">
        <v>6654</v>
      </c>
      <c r="I1206" s="32" t="s">
        <v>6655</v>
      </c>
      <c r="J1206" s="32"/>
      <c r="N1206" s="24" t="s">
        <v>415</v>
      </c>
    </row>
    <row r="1207" spans="1:14" x14ac:dyDescent="0.35">
      <c r="A1207" s="25" t="s">
        <v>6656</v>
      </c>
      <c r="B1207" s="25" t="s">
        <v>6657</v>
      </c>
      <c r="C1207" s="25" t="s">
        <v>6658</v>
      </c>
      <c r="E1207" s="32" t="s">
        <v>5974</v>
      </c>
      <c r="F1207" s="32" t="s">
        <v>5975</v>
      </c>
      <c r="G1207" s="32" t="s">
        <v>6659</v>
      </c>
      <c r="H1207" s="32" t="s">
        <v>6660</v>
      </c>
      <c r="I1207" s="32" t="s">
        <v>6661</v>
      </c>
      <c r="J1207" s="32"/>
      <c r="N1207" s="24" t="s">
        <v>415</v>
      </c>
    </row>
    <row r="1208" spans="1:14" x14ac:dyDescent="0.35">
      <c r="A1208" s="25" t="s">
        <v>6662</v>
      </c>
      <c r="B1208" s="25" t="s">
        <v>6663</v>
      </c>
      <c r="C1208" s="25" t="s">
        <v>6664</v>
      </c>
      <c r="E1208" s="32" t="s">
        <v>6665</v>
      </c>
      <c r="F1208" s="32" t="s">
        <v>6666</v>
      </c>
      <c r="G1208" s="32" t="s">
        <v>6667</v>
      </c>
      <c r="H1208" s="32" t="s">
        <v>6668</v>
      </c>
      <c r="I1208" s="32" t="s">
        <v>6669</v>
      </c>
      <c r="J1208" s="32"/>
      <c r="N1208" s="24" t="s">
        <v>415</v>
      </c>
    </row>
    <row r="1209" spans="1:14" x14ac:dyDescent="0.35">
      <c r="A1209" s="25" t="s">
        <v>6670</v>
      </c>
      <c r="B1209" s="25" t="s">
        <v>6671</v>
      </c>
      <c r="C1209" s="25" t="s">
        <v>6672</v>
      </c>
      <c r="E1209" s="32" t="s">
        <v>6673</v>
      </c>
      <c r="F1209" s="32"/>
      <c r="G1209" s="32"/>
      <c r="H1209" s="32"/>
      <c r="I1209" s="32"/>
      <c r="J1209" s="32"/>
      <c r="N1209" s="24" t="s">
        <v>1434</v>
      </c>
    </row>
    <row r="1210" spans="1:14" x14ac:dyDescent="0.35">
      <c r="A1210" s="25" t="s">
        <v>6674</v>
      </c>
      <c r="B1210" s="25" t="s">
        <v>6675</v>
      </c>
      <c r="C1210" s="25" t="s">
        <v>6676</v>
      </c>
      <c r="E1210" s="32" t="s">
        <v>4624</v>
      </c>
      <c r="F1210" s="32" t="s">
        <v>6677</v>
      </c>
      <c r="G1210" s="32" t="s">
        <v>6678</v>
      </c>
      <c r="H1210" s="32" t="s">
        <v>6679</v>
      </c>
      <c r="I1210" s="32"/>
      <c r="J1210" s="32"/>
      <c r="N1210" s="24" t="s">
        <v>415</v>
      </c>
    </row>
    <row r="1211" spans="1:14" x14ac:dyDescent="0.35">
      <c r="A1211" s="25" t="s">
        <v>6680</v>
      </c>
      <c r="B1211" s="25" t="s">
        <v>6681</v>
      </c>
      <c r="C1211" s="25" t="s">
        <v>6682</v>
      </c>
      <c r="E1211" s="32" t="s">
        <v>6683</v>
      </c>
      <c r="F1211" s="32"/>
      <c r="G1211" s="32"/>
      <c r="H1211" s="32"/>
      <c r="I1211" s="32"/>
      <c r="J1211" s="32"/>
      <c r="N1211" s="24" t="s">
        <v>1696</v>
      </c>
    </row>
    <row r="1212" spans="1:14" ht="16.2" x14ac:dyDescent="0.35">
      <c r="A1212" s="25" t="s">
        <v>6684</v>
      </c>
      <c r="B1212" s="25" t="s">
        <v>6685</v>
      </c>
      <c r="C1212" s="25" t="s">
        <v>6686</v>
      </c>
      <c r="E1212" s="32" t="s">
        <v>5252</v>
      </c>
      <c r="F1212" s="32" t="s">
        <v>5253</v>
      </c>
      <c r="G1212" s="32" t="s">
        <v>5254</v>
      </c>
      <c r="H1212" s="32" t="s">
        <v>5255</v>
      </c>
      <c r="I1212" s="7" t="s">
        <v>3446</v>
      </c>
      <c r="J1212" s="32"/>
      <c r="N1212" s="24" t="s">
        <v>415</v>
      </c>
    </row>
    <row r="1213" spans="1:14" x14ac:dyDescent="0.35">
      <c r="A1213" s="25" t="s">
        <v>319</v>
      </c>
      <c r="B1213" s="25" t="s">
        <v>6687</v>
      </c>
      <c r="C1213" s="25" t="s">
        <v>6688</v>
      </c>
      <c r="E1213" s="32" t="s">
        <v>6689</v>
      </c>
      <c r="F1213" s="32"/>
      <c r="G1213" s="32"/>
      <c r="H1213" s="32"/>
      <c r="I1213" s="32"/>
      <c r="J1213" s="32"/>
      <c r="N1213" s="24" t="s">
        <v>415</v>
      </c>
    </row>
    <row r="1214" spans="1:14" x14ac:dyDescent="0.35">
      <c r="A1214" s="25" t="s">
        <v>6690</v>
      </c>
      <c r="B1214" s="25" t="s">
        <v>6691</v>
      </c>
      <c r="C1214" s="25" t="s">
        <v>6692</v>
      </c>
      <c r="E1214" s="32" t="s">
        <v>6693</v>
      </c>
      <c r="F1214" s="32" t="s">
        <v>6694</v>
      </c>
      <c r="G1214" s="32" t="s">
        <v>6695</v>
      </c>
      <c r="H1214" s="32" t="s">
        <v>6696</v>
      </c>
      <c r="I1214" s="32" t="s">
        <v>6697</v>
      </c>
      <c r="J1214" s="32"/>
      <c r="N1214" s="24" t="s">
        <v>415</v>
      </c>
    </row>
    <row r="1215" spans="1:14" x14ac:dyDescent="0.35">
      <c r="A1215" s="25" t="s">
        <v>6698</v>
      </c>
      <c r="B1215" s="25" t="s">
        <v>6699</v>
      </c>
      <c r="C1215" s="25" t="s">
        <v>6700</v>
      </c>
      <c r="E1215" s="32" t="s">
        <v>6701</v>
      </c>
      <c r="F1215" s="32" t="s">
        <v>6702</v>
      </c>
      <c r="G1215" s="32"/>
      <c r="H1215" s="32"/>
      <c r="I1215" s="32"/>
      <c r="J1215" s="32"/>
      <c r="N1215" s="24" t="s">
        <v>415</v>
      </c>
    </row>
    <row r="1216" spans="1:14" x14ac:dyDescent="0.35">
      <c r="A1216" s="25" t="s">
        <v>6703</v>
      </c>
      <c r="B1216" s="25" t="s">
        <v>6704</v>
      </c>
      <c r="C1216" s="25" t="s">
        <v>6705</v>
      </c>
      <c r="E1216" s="32" t="s">
        <v>6706</v>
      </c>
      <c r="F1216" s="32" t="s">
        <v>6707</v>
      </c>
      <c r="G1216" s="32" t="s">
        <v>6708</v>
      </c>
      <c r="H1216" s="32" t="s">
        <v>6709</v>
      </c>
      <c r="I1216" s="32" t="s">
        <v>6710</v>
      </c>
      <c r="J1216" s="32" t="s">
        <v>6711</v>
      </c>
      <c r="N1216" s="24" t="s">
        <v>415</v>
      </c>
    </row>
    <row r="1217" spans="1:14" x14ac:dyDescent="0.35">
      <c r="A1217" s="25" t="s">
        <v>6712</v>
      </c>
      <c r="B1217" s="25" t="s">
        <v>6713</v>
      </c>
      <c r="C1217" s="25" t="s">
        <v>6714</v>
      </c>
      <c r="E1217" s="32" t="s">
        <v>1343</v>
      </c>
      <c r="F1217" s="32" t="s">
        <v>1348</v>
      </c>
      <c r="G1217" s="32" t="s">
        <v>1358</v>
      </c>
      <c r="H1217" s="32" t="s">
        <v>1353</v>
      </c>
      <c r="I1217" s="32"/>
      <c r="J1217" s="32"/>
      <c r="N1217" s="24" t="s">
        <v>415</v>
      </c>
    </row>
    <row r="1218" spans="1:14" x14ac:dyDescent="0.35">
      <c r="A1218" s="25" t="s">
        <v>6715</v>
      </c>
      <c r="B1218" s="25" t="s">
        <v>6716</v>
      </c>
      <c r="C1218" s="25" t="s">
        <v>6717</v>
      </c>
      <c r="E1218" s="32" t="s">
        <v>4403</v>
      </c>
      <c r="F1218" s="32" t="s">
        <v>4404</v>
      </c>
      <c r="G1218" s="32"/>
      <c r="H1218" s="32"/>
      <c r="I1218" s="32"/>
      <c r="J1218" s="32"/>
      <c r="N1218" s="24" t="s">
        <v>415</v>
      </c>
    </row>
    <row r="1219" spans="1:14" x14ac:dyDescent="0.35">
      <c r="A1219" s="25" t="s">
        <v>6718</v>
      </c>
      <c r="B1219" s="25" t="s">
        <v>6719</v>
      </c>
      <c r="C1219" s="25" t="s">
        <v>6720</v>
      </c>
      <c r="E1219" s="32" t="s">
        <v>3699</v>
      </c>
      <c r="F1219" s="32"/>
      <c r="G1219" s="32"/>
      <c r="H1219" s="32"/>
      <c r="I1219" s="32"/>
      <c r="J1219" s="32"/>
      <c r="N1219" s="24" t="s">
        <v>415</v>
      </c>
    </row>
    <row r="1220" spans="1:14" x14ac:dyDescent="0.35">
      <c r="A1220" s="25" t="s">
        <v>6721</v>
      </c>
      <c r="B1220" s="25" t="s">
        <v>6722</v>
      </c>
      <c r="C1220" s="25" t="s">
        <v>6723</v>
      </c>
      <c r="E1220" s="32" t="s">
        <v>6724</v>
      </c>
      <c r="F1220" s="32"/>
      <c r="G1220" s="32"/>
      <c r="H1220" s="32"/>
      <c r="I1220" s="32"/>
      <c r="J1220" s="32"/>
      <c r="N1220" s="24" t="s">
        <v>415</v>
      </c>
    </row>
    <row r="1221" spans="1:14" x14ac:dyDescent="0.35">
      <c r="A1221" s="25" t="s">
        <v>6725</v>
      </c>
      <c r="B1221" s="25" t="s">
        <v>6726</v>
      </c>
      <c r="C1221" s="25" t="s">
        <v>6727</v>
      </c>
      <c r="E1221" s="32" t="s">
        <v>6728</v>
      </c>
      <c r="F1221" s="32" t="s">
        <v>6729</v>
      </c>
      <c r="G1221" s="32" t="s">
        <v>6730</v>
      </c>
      <c r="H1221" s="32" t="s">
        <v>6731</v>
      </c>
      <c r="I1221" s="32" t="s">
        <v>6732</v>
      </c>
      <c r="J1221" s="32"/>
      <c r="N1221" s="24" t="s">
        <v>415</v>
      </c>
    </row>
    <row r="1222" spans="1:14" x14ac:dyDescent="0.35">
      <c r="A1222" s="25" t="s">
        <v>6733</v>
      </c>
      <c r="B1222" s="25" t="s">
        <v>6734</v>
      </c>
      <c r="C1222" s="25" t="s">
        <v>6735</v>
      </c>
      <c r="E1222" s="32" t="s">
        <v>6736</v>
      </c>
      <c r="F1222" s="32"/>
      <c r="G1222" s="32"/>
      <c r="H1222" s="32"/>
      <c r="I1222" s="32"/>
      <c r="J1222" s="32"/>
      <c r="N1222" s="24" t="s">
        <v>415</v>
      </c>
    </row>
    <row r="1223" spans="1:14" x14ac:dyDescent="0.35">
      <c r="A1223" s="25" t="s">
        <v>6737</v>
      </c>
      <c r="B1223" s="25" t="s">
        <v>6738</v>
      </c>
      <c r="C1223" s="25" t="s">
        <v>6739</v>
      </c>
      <c r="E1223" s="32" t="s">
        <v>4351</v>
      </c>
      <c r="F1223" s="32" t="s">
        <v>6740</v>
      </c>
      <c r="G1223" s="32" t="s">
        <v>6741</v>
      </c>
      <c r="H1223" s="32" t="s">
        <v>6742</v>
      </c>
      <c r="I1223" s="32" t="s">
        <v>6743</v>
      </c>
      <c r="J1223" s="32"/>
      <c r="N1223" s="24" t="s">
        <v>415</v>
      </c>
    </row>
    <row r="1224" spans="1:14" x14ac:dyDescent="0.35">
      <c r="A1224" s="25" t="s">
        <v>6744</v>
      </c>
      <c r="B1224" s="25" t="s">
        <v>6745</v>
      </c>
      <c r="C1224" s="25" t="s">
        <v>6746</v>
      </c>
      <c r="E1224" s="32" t="s">
        <v>6747</v>
      </c>
      <c r="F1224" s="32"/>
      <c r="G1224" s="32"/>
      <c r="H1224" s="32"/>
      <c r="I1224" s="32"/>
      <c r="J1224" s="32"/>
      <c r="N1224" s="24" t="s">
        <v>1434</v>
      </c>
    </row>
    <row r="1225" spans="1:14" x14ac:dyDescent="0.35">
      <c r="A1225" s="25" t="s">
        <v>6748</v>
      </c>
      <c r="B1225" s="25" t="s">
        <v>6749</v>
      </c>
      <c r="C1225" s="25" t="s">
        <v>6750</v>
      </c>
      <c r="E1225" s="32" t="s">
        <v>6751</v>
      </c>
      <c r="F1225" s="32" t="s">
        <v>6752</v>
      </c>
      <c r="G1225" s="32" t="s">
        <v>6753</v>
      </c>
      <c r="H1225" s="32" t="s">
        <v>6754</v>
      </c>
      <c r="I1225" s="32" t="s">
        <v>6755</v>
      </c>
      <c r="J1225" s="32"/>
      <c r="N1225" s="24" t="s">
        <v>415</v>
      </c>
    </row>
    <row r="1226" spans="1:14" x14ac:dyDescent="0.35">
      <c r="A1226" s="25" t="s">
        <v>6756</v>
      </c>
      <c r="B1226" s="25" t="s">
        <v>6757</v>
      </c>
      <c r="C1226" s="25" t="s">
        <v>6758</v>
      </c>
      <c r="E1226" s="32" t="s">
        <v>6759</v>
      </c>
      <c r="F1226" s="32" t="s">
        <v>6760</v>
      </c>
      <c r="G1226" s="32" t="s">
        <v>6761</v>
      </c>
      <c r="H1226" s="32" t="s">
        <v>6762</v>
      </c>
      <c r="I1226" s="32" t="s">
        <v>6763</v>
      </c>
      <c r="J1226" s="32"/>
      <c r="N1226" s="24" t="s">
        <v>415</v>
      </c>
    </row>
    <row r="1227" spans="1:14" x14ac:dyDescent="0.35">
      <c r="A1227" s="25" t="s">
        <v>6764</v>
      </c>
      <c r="B1227" s="25" t="s">
        <v>6765</v>
      </c>
      <c r="C1227" s="25" t="s">
        <v>6766</v>
      </c>
      <c r="D1227" s="25" t="s">
        <v>9545</v>
      </c>
      <c r="E1227" s="32" t="s">
        <v>5339</v>
      </c>
      <c r="F1227" s="32" t="s">
        <v>5340</v>
      </c>
      <c r="G1227" s="32" t="s">
        <v>5341</v>
      </c>
      <c r="H1227" s="32" t="s">
        <v>5342</v>
      </c>
      <c r="I1227" s="32"/>
      <c r="J1227" s="32"/>
      <c r="N1227" s="24" t="s">
        <v>3418</v>
      </c>
    </row>
    <row r="1228" spans="1:14" x14ac:dyDescent="0.35">
      <c r="A1228" s="25" t="s">
        <v>6767</v>
      </c>
      <c r="B1228" s="25" t="s">
        <v>6768</v>
      </c>
      <c r="C1228" s="25" t="s">
        <v>6769</v>
      </c>
      <c r="E1228" s="32" t="s">
        <v>6770</v>
      </c>
      <c r="F1228" s="32" t="s">
        <v>6771</v>
      </c>
      <c r="G1228" s="32" t="s">
        <v>6772</v>
      </c>
      <c r="H1228" s="32"/>
      <c r="I1228" s="32"/>
      <c r="J1228" s="32"/>
      <c r="N1228" s="24" t="s">
        <v>1434</v>
      </c>
    </row>
    <row r="1229" spans="1:14" x14ac:dyDescent="0.35">
      <c r="A1229" s="25" t="s">
        <v>6773</v>
      </c>
      <c r="B1229" s="25" t="s">
        <v>6774</v>
      </c>
      <c r="C1229" s="25" t="s">
        <v>6775</v>
      </c>
      <c r="E1229" s="32" t="s">
        <v>6776</v>
      </c>
      <c r="F1229" s="32" t="s">
        <v>6777</v>
      </c>
      <c r="G1229" s="32"/>
      <c r="H1229" s="32"/>
      <c r="I1229" s="32"/>
      <c r="J1229" s="32"/>
      <c r="N1229" s="24" t="s">
        <v>415</v>
      </c>
    </row>
    <row r="1230" spans="1:14" x14ac:dyDescent="0.35">
      <c r="A1230" s="25" t="s">
        <v>6778</v>
      </c>
      <c r="B1230" s="25" t="s">
        <v>6779</v>
      </c>
      <c r="C1230" s="25" t="s">
        <v>6780</v>
      </c>
      <c r="E1230" s="32" t="s">
        <v>6232</v>
      </c>
      <c r="F1230" s="32" t="s">
        <v>6233</v>
      </c>
      <c r="G1230" s="32" t="s">
        <v>6234</v>
      </c>
      <c r="H1230" s="32" t="s">
        <v>6781</v>
      </c>
      <c r="I1230" s="32" t="s">
        <v>6782</v>
      </c>
      <c r="J1230" s="32"/>
      <c r="N1230" s="24" t="s">
        <v>415</v>
      </c>
    </row>
    <row r="1231" spans="1:14" x14ac:dyDescent="0.35">
      <c r="A1231" s="25" t="s">
        <v>6783</v>
      </c>
      <c r="B1231" s="25" t="s">
        <v>6784</v>
      </c>
      <c r="C1231" s="25" t="s">
        <v>6785</v>
      </c>
      <c r="E1231" s="32" t="s">
        <v>6786</v>
      </c>
      <c r="F1231" s="32"/>
      <c r="G1231" s="32"/>
      <c r="H1231" s="32"/>
      <c r="I1231" s="32"/>
      <c r="J1231" s="32"/>
      <c r="N1231" s="24" t="s">
        <v>415</v>
      </c>
    </row>
    <row r="1232" spans="1:14" x14ac:dyDescent="0.35">
      <c r="A1232" s="25" t="s">
        <v>6787</v>
      </c>
      <c r="B1232" s="25" t="s">
        <v>6788</v>
      </c>
      <c r="C1232" s="25" t="s">
        <v>6789</v>
      </c>
      <c r="E1232" s="32" t="s">
        <v>6790</v>
      </c>
      <c r="F1232" s="32"/>
      <c r="G1232" s="32"/>
      <c r="H1232" s="32"/>
      <c r="I1232" s="32"/>
      <c r="J1232" s="32"/>
      <c r="N1232" s="24" t="s">
        <v>415</v>
      </c>
    </row>
    <row r="1233" spans="1:14" x14ac:dyDescent="0.35">
      <c r="A1233" s="25" t="s">
        <v>6791</v>
      </c>
      <c r="B1233" s="25" t="s">
        <v>6792</v>
      </c>
      <c r="C1233" s="25" t="s">
        <v>6793</v>
      </c>
      <c r="E1233" s="32" t="s">
        <v>6794</v>
      </c>
      <c r="F1233" s="32"/>
      <c r="G1233" s="32"/>
      <c r="H1233" s="32"/>
      <c r="I1233" s="32"/>
      <c r="J1233" s="32"/>
      <c r="N1233" s="24" t="s">
        <v>415</v>
      </c>
    </row>
    <row r="1234" spans="1:14" x14ac:dyDescent="0.35">
      <c r="A1234" s="25" t="s">
        <v>6795</v>
      </c>
      <c r="B1234" s="25" t="s">
        <v>6796</v>
      </c>
      <c r="C1234" s="25" t="s">
        <v>6797</v>
      </c>
      <c r="E1234" s="32" t="s">
        <v>4800</v>
      </c>
      <c r="F1234" s="32" t="s">
        <v>4801</v>
      </c>
      <c r="G1234" s="32" t="s">
        <v>4802</v>
      </c>
      <c r="H1234" s="32" t="s">
        <v>4803</v>
      </c>
      <c r="I1234" s="32" t="s">
        <v>4804</v>
      </c>
      <c r="J1234" s="32"/>
      <c r="N1234" s="24" t="s">
        <v>415</v>
      </c>
    </row>
    <row r="1235" spans="1:14" x14ac:dyDescent="0.35">
      <c r="A1235" s="25" t="s">
        <v>6798</v>
      </c>
      <c r="B1235" s="25" t="s">
        <v>6799</v>
      </c>
      <c r="C1235" s="25" t="s">
        <v>6800</v>
      </c>
      <c r="E1235" s="32" t="s">
        <v>6801</v>
      </c>
      <c r="F1235" s="32" t="s">
        <v>6802</v>
      </c>
      <c r="G1235" s="32" t="s">
        <v>6803</v>
      </c>
      <c r="H1235" s="32" t="s">
        <v>6804</v>
      </c>
      <c r="I1235" s="32" t="s">
        <v>6805</v>
      </c>
      <c r="J1235" s="32"/>
      <c r="N1235" s="24" t="s">
        <v>1434</v>
      </c>
    </row>
    <row r="1236" spans="1:14" x14ac:dyDescent="0.35">
      <c r="A1236" s="25" t="s">
        <v>6806</v>
      </c>
      <c r="B1236" s="25" t="s">
        <v>6807</v>
      </c>
      <c r="C1236" s="25" t="s">
        <v>6808</v>
      </c>
      <c r="E1236" s="32" t="s">
        <v>6809</v>
      </c>
      <c r="F1236" s="32"/>
      <c r="G1236" s="32"/>
      <c r="H1236" s="32"/>
      <c r="I1236" s="32"/>
      <c r="J1236" s="32"/>
      <c r="N1236" s="24" t="s">
        <v>415</v>
      </c>
    </row>
    <row r="1237" spans="1:14" x14ac:dyDescent="0.35">
      <c r="A1237" s="25" t="s">
        <v>6810</v>
      </c>
      <c r="B1237" s="25" t="s">
        <v>6811</v>
      </c>
      <c r="C1237" s="25" t="s">
        <v>6812</v>
      </c>
      <c r="E1237" s="32" t="s">
        <v>6813</v>
      </c>
      <c r="F1237" s="32" t="s">
        <v>6814</v>
      </c>
      <c r="G1237" s="32" t="s">
        <v>6815</v>
      </c>
      <c r="H1237" s="32" t="s">
        <v>6816</v>
      </c>
      <c r="I1237" s="32"/>
      <c r="J1237" s="32"/>
      <c r="N1237" s="24" t="s">
        <v>1696</v>
      </c>
    </row>
    <row r="1238" spans="1:14" x14ac:dyDescent="0.35">
      <c r="A1238" s="25" t="s">
        <v>6817</v>
      </c>
      <c r="B1238" s="25" t="s">
        <v>6818</v>
      </c>
      <c r="C1238" s="25" t="s">
        <v>6819</v>
      </c>
      <c r="E1238" s="32" t="s">
        <v>6820</v>
      </c>
      <c r="F1238" s="32" t="s">
        <v>6821</v>
      </c>
      <c r="G1238" s="32"/>
      <c r="H1238" s="32"/>
      <c r="I1238" s="32"/>
      <c r="J1238" s="32"/>
      <c r="N1238" s="24" t="s">
        <v>871</v>
      </c>
    </row>
    <row r="1239" spans="1:14" x14ac:dyDescent="0.35">
      <c r="A1239" s="25" t="s">
        <v>6822</v>
      </c>
      <c r="B1239" s="25" t="s">
        <v>6823</v>
      </c>
      <c r="C1239" s="25" t="s">
        <v>6824</v>
      </c>
      <c r="E1239" s="32" t="s">
        <v>6825</v>
      </c>
      <c r="F1239" s="32"/>
      <c r="G1239" s="32"/>
      <c r="H1239" s="32"/>
      <c r="I1239" s="32"/>
      <c r="J1239" s="32"/>
      <c r="N1239" s="24" t="s">
        <v>415</v>
      </c>
    </row>
    <row r="1240" spans="1:14" x14ac:dyDescent="0.35">
      <c r="A1240" s="25" t="s">
        <v>6826</v>
      </c>
      <c r="B1240" s="25" t="s">
        <v>6827</v>
      </c>
      <c r="C1240" s="25" t="s">
        <v>6828</v>
      </c>
      <c r="E1240" s="32" t="s">
        <v>6829</v>
      </c>
      <c r="F1240" s="32"/>
      <c r="G1240" s="32"/>
      <c r="H1240" s="32"/>
      <c r="I1240" s="32"/>
      <c r="J1240" s="32"/>
      <c r="N1240" s="24" t="s">
        <v>415</v>
      </c>
    </row>
    <row r="1241" spans="1:14" x14ac:dyDescent="0.35">
      <c r="A1241" s="25" t="s">
        <v>6830</v>
      </c>
      <c r="B1241" s="25" t="s">
        <v>6831</v>
      </c>
      <c r="C1241" s="25" t="s">
        <v>6832</v>
      </c>
      <c r="E1241" s="32" t="s">
        <v>4575</v>
      </c>
      <c r="F1241" s="32" t="s">
        <v>4576</v>
      </c>
      <c r="G1241" s="32" t="s">
        <v>4577</v>
      </c>
      <c r="H1241" s="32" t="s">
        <v>4578</v>
      </c>
      <c r="I1241" s="32" t="s">
        <v>4579</v>
      </c>
      <c r="J1241" s="32"/>
      <c r="N1241" s="24" t="s">
        <v>3418</v>
      </c>
    </row>
    <row r="1242" spans="1:14" x14ac:dyDescent="0.35">
      <c r="A1242" s="25" t="s">
        <v>6837</v>
      </c>
      <c r="B1242" s="25" t="s">
        <v>6838</v>
      </c>
      <c r="C1242" s="25" t="s">
        <v>6839</v>
      </c>
      <c r="E1242" s="32" t="s">
        <v>6840</v>
      </c>
      <c r="F1242" s="32" t="s">
        <v>6841</v>
      </c>
      <c r="G1242" s="32" t="s">
        <v>6842</v>
      </c>
      <c r="H1242" s="32" t="s">
        <v>6843</v>
      </c>
      <c r="I1242" s="32" t="s">
        <v>6844</v>
      </c>
      <c r="J1242" s="32"/>
      <c r="N1242" s="24" t="s">
        <v>415</v>
      </c>
    </row>
    <row r="1243" spans="1:14" x14ac:dyDescent="0.35">
      <c r="A1243" s="25" t="s">
        <v>6845</v>
      </c>
      <c r="B1243" s="25" t="s">
        <v>6846</v>
      </c>
      <c r="C1243" s="25" t="s">
        <v>6847</v>
      </c>
      <c r="E1243" s="32" t="s">
        <v>6848</v>
      </c>
      <c r="F1243" s="32" t="s">
        <v>6849</v>
      </c>
      <c r="G1243" s="32" t="s">
        <v>6850</v>
      </c>
      <c r="H1243" s="32" t="s">
        <v>6851</v>
      </c>
      <c r="I1243" s="32"/>
      <c r="J1243" s="32"/>
      <c r="N1243" s="24" t="s">
        <v>415</v>
      </c>
    </row>
    <row r="1244" spans="1:14" x14ac:dyDescent="0.35">
      <c r="A1244" s="25" t="s">
        <v>6852</v>
      </c>
      <c r="B1244" s="25" t="s">
        <v>6853</v>
      </c>
      <c r="C1244" s="25" t="s">
        <v>6854</v>
      </c>
      <c r="E1244" s="32" t="s">
        <v>6855</v>
      </c>
      <c r="F1244" s="32" t="s">
        <v>6856</v>
      </c>
      <c r="G1244" s="32" t="s">
        <v>6857</v>
      </c>
      <c r="H1244" s="32" t="s">
        <v>6858</v>
      </c>
      <c r="I1244" s="32" t="s">
        <v>6859</v>
      </c>
      <c r="J1244" s="32" t="s">
        <v>6860</v>
      </c>
      <c r="N1244" s="24" t="s">
        <v>415</v>
      </c>
    </row>
    <row r="1245" spans="1:14" x14ac:dyDescent="0.35">
      <c r="A1245" s="25" t="s">
        <v>6861</v>
      </c>
      <c r="B1245" s="25" t="s">
        <v>6861</v>
      </c>
      <c r="C1245" s="25" t="s">
        <v>6862</v>
      </c>
      <c r="E1245" s="32" t="s">
        <v>2547</v>
      </c>
      <c r="F1245" s="32"/>
      <c r="G1245" s="32"/>
      <c r="H1245" s="32"/>
      <c r="I1245" s="32"/>
      <c r="J1245" s="32"/>
      <c r="N1245" s="24" t="s">
        <v>871</v>
      </c>
    </row>
    <row r="1246" spans="1:14" x14ac:dyDescent="0.35">
      <c r="A1246" s="25" t="s">
        <v>6863</v>
      </c>
      <c r="B1246" s="25" t="s">
        <v>6864</v>
      </c>
      <c r="C1246" s="25" t="s">
        <v>6865</v>
      </c>
      <c r="E1246" s="32" t="s">
        <v>6866</v>
      </c>
      <c r="F1246" s="32" t="s">
        <v>6867</v>
      </c>
      <c r="G1246" s="32" t="s">
        <v>6868</v>
      </c>
      <c r="H1246" s="32" t="s">
        <v>6869</v>
      </c>
      <c r="I1246" s="32" t="s">
        <v>6870</v>
      </c>
      <c r="J1246" s="32"/>
      <c r="N1246" s="24" t="s">
        <v>1169</v>
      </c>
    </row>
    <row r="1247" spans="1:14" x14ac:dyDescent="0.35">
      <c r="A1247" s="25" t="s">
        <v>6871</v>
      </c>
      <c r="B1247" s="25" t="s">
        <v>6872</v>
      </c>
      <c r="C1247" s="25" t="s">
        <v>6873</v>
      </c>
      <c r="E1247" s="32" t="s">
        <v>6874</v>
      </c>
      <c r="F1247" s="32" t="s">
        <v>6875</v>
      </c>
      <c r="G1247" s="32" t="s">
        <v>6876</v>
      </c>
      <c r="H1247" s="32" t="s">
        <v>6877</v>
      </c>
      <c r="I1247" s="32"/>
      <c r="J1247" s="32"/>
      <c r="N1247" s="24" t="s">
        <v>415</v>
      </c>
    </row>
    <row r="1248" spans="1:14" x14ac:dyDescent="0.35">
      <c r="A1248" s="25" t="s">
        <v>6878</v>
      </c>
      <c r="B1248" s="25" t="s">
        <v>6878</v>
      </c>
      <c r="C1248" s="25" t="s">
        <v>6879</v>
      </c>
      <c r="E1248" s="32" t="s">
        <v>6880</v>
      </c>
      <c r="F1248" s="32" t="s">
        <v>6881</v>
      </c>
      <c r="G1248" s="32"/>
      <c r="H1248" s="32"/>
      <c r="I1248" s="32"/>
      <c r="J1248" s="32"/>
      <c r="N1248" s="24" t="s">
        <v>871</v>
      </c>
    </row>
    <row r="1249" spans="1:14" x14ac:dyDescent="0.35">
      <c r="A1249" s="25" t="s">
        <v>6882</v>
      </c>
      <c r="B1249" s="25" t="s">
        <v>6883</v>
      </c>
      <c r="C1249" s="25" t="s">
        <v>6884</v>
      </c>
      <c r="E1249" s="32" t="s">
        <v>5124</v>
      </c>
      <c r="F1249" s="32" t="s">
        <v>6624</v>
      </c>
      <c r="G1249" s="32" t="s">
        <v>6625</v>
      </c>
      <c r="H1249" s="32" t="s">
        <v>6885</v>
      </c>
      <c r="I1249" s="32" t="s">
        <v>6627</v>
      </c>
      <c r="J1249" s="32"/>
      <c r="N1249" s="24" t="s">
        <v>415</v>
      </c>
    </row>
    <row r="1250" spans="1:14" x14ac:dyDescent="0.35">
      <c r="A1250" s="25" t="s">
        <v>6886</v>
      </c>
      <c r="B1250" s="25" t="s">
        <v>6887</v>
      </c>
      <c r="C1250" s="25" t="s">
        <v>6888</v>
      </c>
      <c r="E1250" s="32" t="s">
        <v>6889</v>
      </c>
      <c r="F1250" s="32"/>
      <c r="G1250" s="32"/>
      <c r="H1250" s="32"/>
      <c r="I1250" s="32"/>
      <c r="J1250" s="32"/>
      <c r="N1250" s="24" t="s">
        <v>415</v>
      </c>
    </row>
    <row r="1251" spans="1:14" x14ac:dyDescent="0.35">
      <c r="A1251" s="25" t="s">
        <v>6890</v>
      </c>
      <c r="B1251" s="25" t="s">
        <v>6891</v>
      </c>
      <c r="C1251" s="25" t="s">
        <v>6892</v>
      </c>
      <c r="E1251" s="32" t="s">
        <v>6893</v>
      </c>
      <c r="F1251" s="32" t="s">
        <v>6894</v>
      </c>
      <c r="G1251" s="32" t="s">
        <v>5944</v>
      </c>
      <c r="H1251" s="32" t="s">
        <v>4816</v>
      </c>
      <c r="I1251" s="32"/>
      <c r="J1251" s="32"/>
      <c r="N1251" s="24" t="s">
        <v>415</v>
      </c>
    </row>
    <row r="1252" spans="1:14" x14ac:dyDescent="0.35">
      <c r="A1252" s="25" t="s">
        <v>6895</v>
      </c>
      <c r="B1252" s="25" t="s">
        <v>6896</v>
      </c>
      <c r="C1252" s="25" t="s">
        <v>6897</v>
      </c>
      <c r="E1252" s="32" t="s">
        <v>6898</v>
      </c>
      <c r="F1252" s="32" t="s">
        <v>6899</v>
      </c>
      <c r="G1252" s="32"/>
      <c r="H1252" s="32"/>
      <c r="I1252" s="32"/>
      <c r="J1252" s="32"/>
      <c r="N1252" s="24" t="s">
        <v>415</v>
      </c>
    </row>
    <row r="1253" spans="1:14" x14ac:dyDescent="0.35">
      <c r="A1253" s="25" t="s">
        <v>6900</v>
      </c>
      <c r="B1253" s="25" t="s">
        <v>6901</v>
      </c>
      <c r="C1253" s="25" t="s">
        <v>6902</v>
      </c>
      <c r="E1253" s="32" t="s">
        <v>6903</v>
      </c>
      <c r="F1253" s="32"/>
      <c r="G1253" s="32"/>
      <c r="H1253" s="32"/>
      <c r="I1253" s="32"/>
      <c r="J1253" s="32"/>
      <c r="N1253" s="24" t="s">
        <v>415</v>
      </c>
    </row>
    <row r="1254" spans="1:14" x14ac:dyDescent="0.35">
      <c r="A1254" s="25" t="s">
        <v>6904</v>
      </c>
      <c r="B1254" s="25" t="s">
        <v>6905</v>
      </c>
      <c r="C1254" s="25" t="s">
        <v>6906</v>
      </c>
      <c r="E1254" s="32" t="s">
        <v>6907</v>
      </c>
      <c r="F1254" s="32" t="s">
        <v>6908</v>
      </c>
      <c r="G1254" s="32" t="s">
        <v>6909</v>
      </c>
      <c r="H1254" s="32" t="s">
        <v>6910</v>
      </c>
      <c r="I1254" s="32" t="s">
        <v>6911</v>
      </c>
      <c r="J1254" s="32"/>
      <c r="N1254" s="24" t="s">
        <v>1434</v>
      </c>
    </row>
    <row r="1255" spans="1:14" x14ac:dyDescent="0.35">
      <c r="A1255" s="25" t="s">
        <v>9599</v>
      </c>
      <c r="B1255" s="25" t="s">
        <v>6912</v>
      </c>
      <c r="C1255" s="25" t="s">
        <v>6913</v>
      </c>
      <c r="E1255" s="32" t="s">
        <v>6914</v>
      </c>
      <c r="F1255" s="32"/>
      <c r="G1255" s="32"/>
      <c r="H1255" s="32"/>
      <c r="I1255" s="32"/>
      <c r="J1255" s="32"/>
      <c r="N1255" s="24" t="s">
        <v>871</v>
      </c>
    </row>
    <row r="1256" spans="1:14" x14ac:dyDescent="0.35">
      <c r="A1256" s="25" t="s">
        <v>6915</v>
      </c>
      <c r="B1256" s="25" t="s">
        <v>6916</v>
      </c>
      <c r="C1256" s="25" t="s">
        <v>6917</v>
      </c>
      <c r="E1256" s="32" t="s">
        <v>6918</v>
      </c>
      <c r="F1256" s="32" t="s">
        <v>6919</v>
      </c>
      <c r="G1256" s="32"/>
      <c r="H1256" s="32"/>
      <c r="I1256" s="32"/>
      <c r="J1256" s="32"/>
      <c r="N1256" s="24" t="s">
        <v>2308</v>
      </c>
    </row>
    <row r="1257" spans="1:14" x14ac:dyDescent="0.35">
      <c r="A1257" s="25" t="s">
        <v>6920</v>
      </c>
      <c r="B1257" s="25" t="s">
        <v>6921</v>
      </c>
      <c r="C1257" s="25" t="s">
        <v>6922</v>
      </c>
      <c r="E1257" s="32" t="s">
        <v>6923</v>
      </c>
      <c r="F1257" s="32" t="s">
        <v>6924</v>
      </c>
      <c r="G1257" s="32" t="s">
        <v>6925</v>
      </c>
      <c r="H1257" s="32" t="s">
        <v>6926</v>
      </c>
      <c r="I1257" s="32" t="s">
        <v>6927</v>
      </c>
      <c r="J1257" s="32"/>
      <c r="N1257" s="24" t="s">
        <v>3418</v>
      </c>
    </row>
    <row r="1258" spans="1:14" x14ac:dyDescent="0.35">
      <c r="A1258" s="25" t="s">
        <v>6928</v>
      </c>
      <c r="B1258" s="25" t="s">
        <v>6929</v>
      </c>
      <c r="C1258" s="25" t="s">
        <v>6930</v>
      </c>
      <c r="E1258" s="32" t="s">
        <v>6931</v>
      </c>
      <c r="F1258" s="32" t="s">
        <v>6932</v>
      </c>
      <c r="G1258" s="32" t="s">
        <v>6933</v>
      </c>
      <c r="H1258" s="32" t="s">
        <v>6934</v>
      </c>
      <c r="I1258" s="32" t="s">
        <v>6935</v>
      </c>
      <c r="J1258" s="32"/>
      <c r="N1258" s="24" t="s">
        <v>3418</v>
      </c>
    </row>
    <row r="1259" spans="1:14" x14ac:dyDescent="0.35">
      <c r="A1259" s="25" t="s">
        <v>6936</v>
      </c>
      <c r="B1259" s="25" t="s">
        <v>6936</v>
      </c>
      <c r="C1259" s="25" t="s">
        <v>6937</v>
      </c>
      <c r="E1259" s="32" t="s">
        <v>6938</v>
      </c>
      <c r="F1259" s="32"/>
      <c r="G1259" s="32"/>
      <c r="H1259" s="32"/>
      <c r="I1259" s="32"/>
      <c r="J1259" s="32"/>
      <c r="N1259" s="24" t="s">
        <v>2308</v>
      </c>
    </row>
    <row r="1260" spans="1:14" x14ac:dyDescent="0.35">
      <c r="A1260" s="25" t="s">
        <v>6939</v>
      </c>
      <c r="B1260" s="25" t="s">
        <v>6940</v>
      </c>
      <c r="C1260" s="25" t="s">
        <v>6941</v>
      </c>
      <c r="E1260" s="32" t="s">
        <v>5972</v>
      </c>
      <c r="F1260" s="32" t="s">
        <v>5973</v>
      </c>
      <c r="G1260" s="32"/>
      <c r="H1260" s="32"/>
      <c r="I1260" s="32"/>
      <c r="J1260" s="32"/>
      <c r="N1260" s="24" t="s">
        <v>3418</v>
      </c>
    </row>
    <row r="1261" spans="1:14" x14ac:dyDescent="0.35">
      <c r="A1261" s="25" t="s">
        <v>6942</v>
      </c>
      <c r="B1261" s="25" t="s">
        <v>6942</v>
      </c>
      <c r="C1261" s="25" t="s">
        <v>6943</v>
      </c>
      <c r="E1261" s="32" t="s">
        <v>6944</v>
      </c>
      <c r="F1261" s="32"/>
      <c r="G1261" s="32"/>
      <c r="H1261" s="32"/>
      <c r="I1261" s="32"/>
      <c r="J1261" s="32"/>
      <c r="N1261" s="24" t="s">
        <v>2308</v>
      </c>
    </row>
    <row r="1262" spans="1:14" x14ac:dyDescent="0.35">
      <c r="A1262" s="25" t="s">
        <v>6945</v>
      </c>
      <c r="B1262" s="25" t="s">
        <v>6946</v>
      </c>
      <c r="C1262" s="25" t="s">
        <v>6947</v>
      </c>
      <c r="E1262" s="32" t="s">
        <v>6833</v>
      </c>
      <c r="F1262" s="32" t="s">
        <v>6834</v>
      </c>
      <c r="G1262" s="32" t="s">
        <v>6835</v>
      </c>
      <c r="H1262" s="32" t="s">
        <v>6836</v>
      </c>
      <c r="I1262" s="32" t="s">
        <v>6948</v>
      </c>
      <c r="J1262" s="32"/>
      <c r="N1262" s="24" t="s">
        <v>3418</v>
      </c>
    </row>
    <row r="1263" spans="1:14" x14ac:dyDescent="0.35">
      <c r="A1263" s="25" t="s">
        <v>6949</v>
      </c>
      <c r="B1263" s="25" t="s">
        <v>6950</v>
      </c>
      <c r="C1263" s="25" t="s">
        <v>6951</v>
      </c>
      <c r="E1263" s="32" t="s">
        <v>6952</v>
      </c>
      <c r="F1263" s="32" t="s">
        <v>6953</v>
      </c>
      <c r="G1263" s="32" t="s">
        <v>6954</v>
      </c>
      <c r="H1263" s="32" t="s">
        <v>6955</v>
      </c>
      <c r="I1263" s="32"/>
      <c r="J1263" s="32"/>
      <c r="N1263" s="24" t="s">
        <v>3418</v>
      </c>
    </row>
    <row r="1264" spans="1:14" x14ac:dyDescent="0.35">
      <c r="A1264" s="25" t="s">
        <v>6956</v>
      </c>
      <c r="B1264" s="25" t="s">
        <v>6957</v>
      </c>
      <c r="C1264" s="25" t="s">
        <v>6958</v>
      </c>
      <c r="E1264" s="32" t="s">
        <v>6959</v>
      </c>
      <c r="F1264" s="32" t="s">
        <v>6960</v>
      </c>
      <c r="G1264" s="32" t="s">
        <v>6961</v>
      </c>
      <c r="H1264" s="32" t="s">
        <v>6962</v>
      </c>
      <c r="I1264" s="32" t="s">
        <v>6963</v>
      </c>
      <c r="J1264" s="32"/>
      <c r="N1264" s="24" t="s">
        <v>3418</v>
      </c>
    </row>
    <row r="1265" spans="1:14" x14ac:dyDescent="0.35">
      <c r="A1265" s="25" t="s">
        <v>6964</v>
      </c>
      <c r="B1265" s="25" t="s">
        <v>6965</v>
      </c>
      <c r="C1265" s="25" t="s">
        <v>6966</v>
      </c>
      <c r="E1265" s="32" t="s">
        <v>6967</v>
      </c>
      <c r="F1265" s="32" t="s">
        <v>6968</v>
      </c>
      <c r="G1265" s="32" t="s">
        <v>6969</v>
      </c>
      <c r="H1265" s="32" t="s">
        <v>6970</v>
      </c>
      <c r="I1265" s="32" t="s">
        <v>6971</v>
      </c>
      <c r="J1265" s="32"/>
      <c r="N1265" s="24" t="s">
        <v>3418</v>
      </c>
    </row>
    <row r="1266" spans="1:14" x14ac:dyDescent="0.35">
      <c r="A1266" s="25" t="s">
        <v>6972</v>
      </c>
      <c r="B1266" s="25" t="s">
        <v>6973</v>
      </c>
      <c r="C1266" s="25" t="s">
        <v>6974</v>
      </c>
      <c r="E1266" s="32" t="s">
        <v>6975</v>
      </c>
      <c r="F1266" s="32"/>
      <c r="G1266" s="32"/>
      <c r="H1266" s="32"/>
      <c r="I1266" s="32"/>
      <c r="J1266" s="32"/>
      <c r="N1266" s="24" t="s">
        <v>2308</v>
      </c>
    </row>
    <row r="1267" spans="1:14" x14ac:dyDescent="0.35">
      <c r="A1267" s="25" t="s">
        <v>6976</v>
      </c>
      <c r="B1267" s="25" t="s">
        <v>6976</v>
      </c>
      <c r="C1267" s="25" t="s">
        <v>6977</v>
      </c>
      <c r="E1267" s="32" t="s">
        <v>6978</v>
      </c>
      <c r="F1267" s="32" t="s">
        <v>6979</v>
      </c>
      <c r="G1267" s="32" t="s">
        <v>6980</v>
      </c>
      <c r="H1267" s="32" t="s">
        <v>6981</v>
      </c>
      <c r="I1267" s="32" t="s">
        <v>6982</v>
      </c>
      <c r="J1267" s="32"/>
      <c r="N1267" s="24" t="s">
        <v>2308</v>
      </c>
    </row>
    <row r="1268" spans="1:14" x14ac:dyDescent="0.35">
      <c r="A1268" s="25" t="s">
        <v>6983</v>
      </c>
      <c r="B1268" s="25" t="s">
        <v>6984</v>
      </c>
      <c r="C1268" s="25" t="s">
        <v>6985</v>
      </c>
      <c r="E1268" s="32" t="s">
        <v>6986</v>
      </c>
      <c r="F1268" s="32"/>
      <c r="G1268" s="32"/>
      <c r="H1268" s="32"/>
      <c r="I1268" s="32"/>
      <c r="J1268" s="32"/>
      <c r="N1268" s="24" t="s">
        <v>3418</v>
      </c>
    </row>
    <row r="1269" spans="1:14" x14ac:dyDescent="0.35">
      <c r="A1269" s="25" t="s">
        <v>6987</v>
      </c>
      <c r="B1269" s="25" t="s">
        <v>6988</v>
      </c>
      <c r="C1269" s="25" t="s">
        <v>6989</v>
      </c>
      <c r="E1269" s="32" t="s">
        <v>6990</v>
      </c>
      <c r="F1269" s="32"/>
      <c r="G1269" s="32"/>
      <c r="H1269" s="32"/>
      <c r="I1269" s="32"/>
      <c r="J1269" s="32"/>
      <c r="N1269" s="24" t="s">
        <v>3418</v>
      </c>
    </row>
    <row r="1270" spans="1:14" x14ac:dyDescent="0.35">
      <c r="A1270" s="25" t="s">
        <v>6991</v>
      </c>
      <c r="B1270" s="25" t="s">
        <v>6992</v>
      </c>
      <c r="C1270" s="25" t="s">
        <v>6993</v>
      </c>
      <c r="E1270" s="32" t="s">
        <v>6994</v>
      </c>
      <c r="F1270" s="32" t="s">
        <v>6995</v>
      </c>
      <c r="G1270" s="32" t="s">
        <v>6996</v>
      </c>
      <c r="H1270" s="32" t="s">
        <v>6997</v>
      </c>
      <c r="I1270" s="32"/>
      <c r="J1270" s="32"/>
      <c r="N1270" s="24" t="s">
        <v>3418</v>
      </c>
    </row>
    <row r="1271" spans="1:14" x14ac:dyDescent="0.35">
      <c r="A1271" s="25" t="s">
        <v>9527</v>
      </c>
      <c r="B1271" s="25" t="s">
        <v>6998</v>
      </c>
      <c r="C1271" s="25" t="s">
        <v>6999</v>
      </c>
      <c r="E1271" s="32" t="s">
        <v>3816</v>
      </c>
      <c r="F1271" s="32" t="s">
        <v>3817</v>
      </c>
      <c r="G1271" s="32"/>
      <c r="H1271" s="32"/>
      <c r="I1271" s="32"/>
      <c r="J1271" s="32"/>
      <c r="N1271" s="24" t="s">
        <v>2308</v>
      </c>
    </row>
    <row r="1272" spans="1:14" x14ac:dyDescent="0.35">
      <c r="A1272" s="25" t="s">
        <v>7000</v>
      </c>
      <c r="B1272" s="25" t="s">
        <v>7001</v>
      </c>
      <c r="C1272" s="25" t="s">
        <v>7002</v>
      </c>
      <c r="E1272" s="32" t="s">
        <v>7003</v>
      </c>
      <c r="F1272" s="32" t="s">
        <v>7004</v>
      </c>
      <c r="G1272" s="32" t="s">
        <v>7005</v>
      </c>
      <c r="H1272" s="32" t="s">
        <v>7006</v>
      </c>
      <c r="I1272" s="32" t="s">
        <v>7007</v>
      </c>
      <c r="J1272" s="32" t="s">
        <v>7008</v>
      </c>
      <c r="K1272" s="24"/>
      <c r="L1272" s="24"/>
      <c r="N1272" s="24" t="s">
        <v>3418</v>
      </c>
    </row>
    <row r="1273" spans="1:14" x14ac:dyDescent="0.35">
      <c r="A1273" s="25" t="s">
        <v>7009</v>
      </c>
      <c r="B1273" s="25" t="s">
        <v>7010</v>
      </c>
      <c r="C1273" s="25" t="s">
        <v>7011</v>
      </c>
      <c r="E1273" s="32" t="s">
        <v>7012</v>
      </c>
      <c r="F1273" s="32" t="s">
        <v>7013</v>
      </c>
      <c r="G1273" s="32" t="s">
        <v>7014</v>
      </c>
      <c r="H1273" s="32" t="s">
        <v>7015</v>
      </c>
      <c r="I1273" s="32" t="s">
        <v>7016</v>
      </c>
      <c r="J1273" s="32"/>
      <c r="N1273" s="24" t="s">
        <v>3418</v>
      </c>
    </row>
    <row r="1274" spans="1:14" x14ac:dyDescent="0.35">
      <c r="A1274" s="25" t="s">
        <v>7017</v>
      </c>
      <c r="B1274" s="25" t="s">
        <v>7018</v>
      </c>
      <c r="C1274" s="25" t="s">
        <v>7019</v>
      </c>
      <c r="E1274" s="32"/>
      <c r="F1274" s="32"/>
      <c r="G1274" s="32"/>
      <c r="H1274" s="32"/>
      <c r="I1274" s="32"/>
      <c r="J1274" s="32"/>
      <c r="N1274" s="24" t="s">
        <v>2308</v>
      </c>
    </row>
    <row r="1275" spans="1:14" x14ac:dyDescent="0.35">
      <c r="A1275" s="25" t="s">
        <v>7020</v>
      </c>
      <c r="B1275" s="25" t="s">
        <v>7021</v>
      </c>
      <c r="C1275" s="25" t="s">
        <v>7022</v>
      </c>
      <c r="E1275" s="32" t="s">
        <v>7023</v>
      </c>
      <c r="F1275" s="32" t="s">
        <v>7024</v>
      </c>
      <c r="G1275" s="32" t="s">
        <v>7025</v>
      </c>
      <c r="H1275" s="32" t="s">
        <v>7026</v>
      </c>
      <c r="I1275" s="32" t="s">
        <v>7027</v>
      </c>
      <c r="J1275" s="32"/>
      <c r="N1275" s="24" t="s">
        <v>3418</v>
      </c>
    </row>
    <row r="1276" spans="1:14" x14ac:dyDescent="0.35">
      <c r="A1276" s="25" t="s">
        <v>7032</v>
      </c>
      <c r="B1276" s="25" t="s">
        <v>7033</v>
      </c>
      <c r="C1276" s="25" t="s">
        <v>7034</v>
      </c>
      <c r="E1276" s="32" t="s">
        <v>7035</v>
      </c>
      <c r="F1276" s="32"/>
      <c r="G1276" s="32"/>
      <c r="H1276" s="32"/>
      <c r="I1276" s="32"/>
      <c r="J1276" s="32"/>
      <c r="N1276" s="24" t="s">
        <v>3418</v>
      </c>
    </row>
    <row r="1277" spans="1:14" x14ac:dyDescent="0.35">
      <c r="A1277" s="25" t="s">
        <v>7036</v>
      </c>
      <c r="B1277" s="25" t="s">
        <v>7037</v>
      </c>
      <c r="C1277" s="25" t="s">
        <v>7038</v>
      </c>
      <c r="E1277" s="32" t="s">
        <v>4785</v>
      </c>
      <c r="F1277" s="32" t="s">
        <v>4786</v>
      </c>
      <c r="G1277" s="32" t="s">
        <v>4787</v>
      </c>
      <c r="H1277" s="32" t="s">
        <v>4788</v>
      </c>
      <c r="I1277" s="32"/>
      <c r="J1277" s="32"/>
      <c r="N1277" s="24" t="s">
        <v>3418</v>
      </c>
    </row>
    <row r="1278" spans="1:14" x14ac:dyDescent="0.35">
      <c r="A1278" s="25" t="s">
        <v>7039</v>
      </c>
      <c r="B1278" s="25" t="s">
        <v>7039</v>
      </c>
      <c r="C1278" s="25" t="s">
        <v>7040</v>
      </c>
      <c r="E1278" s="32" t="s">
        <v>3539</v>
      </c>
      <c r="F1278" s="32" t="s">
        <v>3540</v>
      </c>
      <c r="G1278" s="32" t="s">
        <v>7041</v>
      </c>
      <c r="H1278" s="32"/>
      <c r="I1278" s="32"/>
      <c r="J1278" s="32"/>
      <c r="N1278" s="24" t="s">
        <v>871</v>
      </c>
    </row>
    <row r="1279" spans="1:14" x14ac:dyDescent="0.35">
      <c r="A1279" s="25" t="s">
        <v>7042</v>
      </c>
      <c r="B1279" s="25" t="s">
        <v>7043</v>
      </c>
      <c r="C1279" s="25" t="s">
        <v>7044</v>
      </c>
      <c r="E1279" s="32" t="s">
        <v>7045</v>
      </c>
      <c r="F1279" s="32"/>
      <c r="G1279" s="32"/>
      <c r="H1279" s="32"/>
      <c r="I1279" s="32"/>
      <c r="J1279" s="32"/>
      <c r="N1279" s="24" t="s">
        <v>458</v>
      </c>
    </row>
    <row r="1280" spans="1:14" x14ac:dyDescent="0.35">
      <c r="A1280" s="25" t="s">
        <v>7046</v>
      </c>
      <c r="B1280" s="25" t="s">
        <v>7046</v>
      </c>
      <c r="C1280" s="25" t="s">
        <v>7047</v>
      </c>
      <c r="E1280" s="32" t="s">
        <v>7048</v>
      </c>
      <c r="F1280" s="32"/>
      <c r="G1280" s="32"/>
      <c r="H1280" s="32"/>
      <c r="I1280" s="32"/>
      <c r="J1280" s="32"/>
      <c r="N1280" s="24" t="s">
        <v>2308</v>
      </c>
    </row>
    <row r="1281" spans="1:14" x14ac:dyDescent="0.35">
      <c r="A1281" s="25" t="s">
        <v>7049</v>
      </c>
      <c r="B1281" s="25" t="s">
        <v>7050</v>
      </c>
      <c r="C1281" s="25" t="s">
        <v>7051</v>
      </c>
      <c r="E1281" s="32" t="s">
        <v>7052</v>
      </c>
      <c r="F1281" s="32"/>
      <c r="G1281" s="32"/>
      <c r="H1281" s="32"/>
      <c r="I1281" s="32"/>
      <c r="J1281" s="32"/>
      <c r="N1281" s="24" t="s">
        <v>3418</v>
      </c>
    </row>
    <row r="1282" spans="1:14" x14ac:dyDescent="0.35">
      <c r="A1282" s="25" t="s">
        <v>7053</v>
      </c>
      <c r="B1282" s="25" t="s">
        <v>7054</v>
      </c>
      <c r="C1282" s="25" t="s">
        <v>7055</v>
      </c>
      <c r="E1282" s="32" t="s">
        <v>7056</v>
      </c>
      <c r="F1282" s="32" t="s">
        <v>7057</v>
      </c>
      <c r="G1282" s="32" t="s">
        <v>7058</v>
      </c>
      <c r="H1282" s="32" t="s">
        <v>7059</v>
      </c>
      <c r="I1282" s="32" t="s">
        <v>7060</v>
      </c>
      <c r="J1282" s="32"/>
      <c r="N1282" s="24" t="s">
        <v>3418</v>
      </c>
    </row>
    <row r="1283" spans="1:14" x14ac:dyDescent="0.35">
      <c r="A1283" s="25" t="s">
        <v>9722</v>
      </c>
      <c r="B1283" s="25" t="s">
        <v>7061</v>
      </c>
      <c r="C1283" s="25" t="s">
        <v>7062</v>
      </c>
      <c r="E1283" s="32"/>
      <c r="F1283" s="32"/>
      <c r="G1283" s="32"/>
      <c r="H1283" s="32"/>
      <c r="I1283" s="32"/>
      <c r="J1283" s="32"/>
      <c r="N1283" s="24" t="s">
        <v>871</v>
      </c>
    </row>
    <row r="1284" spans="1:14" x14ac:dyDescent="0.35">
      <c r="A1284" s="25" t="s">
        <v>7063</v>
      </c>
      <c r="B1284" s="25" t="s">
        <v>7064</v>
      </c>
      <c r="C1284" s="25" t="s">
        <v>7065</v>
      </c>
      <c r="E1284" s="32" t="s">
        <v>7066</v>
      </c>
      <c r="F1284" s="32" t="s">
        <v>7067</v>
      </c>
      <c r="G1284" s="32" t="s">
        <v>7068</v>
      </c>
      <c r="H1284" s="32" t="s">
        <v>7069</v>
      </c>
      <c r="I1284" s="32" t="s">
        <v>7070</v>
      </c>
      <c r="J1284" s="32"/>
      <c r="N1284" s="24" t="s">
        <v>3418</v>
      </c>
    </row>
    <row r="1285" spans="1:14" x14ac:dyDescent="0.35">
      <c r="A1285" s="25" t="s">
        <v>7071</v>
      </c>
      <c r="B1285" s="25" t="s">
        <v>7072</v>
      </c>
      <c r="C1285" s="25" t="s">
        <v>7073</v>
      </c>
      <c r="E1285" s="32" t="s">
        <v>7074</v>
      </c>
      <c r="F1285" s="32" t="s">
        <v>7075</v>
      </c>
      <c r="G1285" s="32" t="s">
        <v>7076</v>
      </c>
      <c r="H1285" s="32" t="s">
        <v>7077</v>
      </c>
      <c r="I1285" s="32" t="s">
        <v>7078</v>
      </c>
      <c r="J1285" s="32"/>
      <c r="N1285" s="24" t="s">
        <v>3418</v>
      </c>
    </row>
    <row r="1286" spans="1:14" x14ac:dyDescent="0.35">
      <c r="A1286" s="25" t="s">
        <v>7079</v>
      </c>
      <c r="B1286" s="25" t="s">
        <v>7079</v>
      </c>
      <c r="C1286" s="25" t="s">
        <v>7080</v>
      </c>
      <c r="E1286" s="32" t="s">
        <v>7081</v>
      </c>
      <c r="F1286" s="32"/>
      <c r="G1286" s="32"/>
      <c r="H1286" s="32"/>
      <c r="I1286" s="32"/>
      <c r="J1286" s="32"/>
      <c r="N1286" s="24" t="s">
        <v>2308</v>
      </c>
    </row>
    <row r="1287" spans="1:14" x14ac:dyDescent="0.35">
      <c r="A1287" s="25" t="s">
        <v>7082</v>
      </c>
      <c r="B1287" s="25" t="s">
        <v>7082</v>
      </c>
      <c r="C1287" s="25" t="s">
        <v>7083</v>
      </c>
      <c r="E1287" s="32"/>
      <c r="F1287" s="32"/>
      <c r="G1287" s="32"/>
      <c r="H1287" s="32"/>
      <c r="I1287" s="32"/>
      <c r="J1287" s="32"/>
      <c r="N1287" s="24" t="s">
        <v>871</v>
      </c>
    </row>
    <row r="1288" spans="1:14" x14ac:dyDescent="0.35">
      <c r="A1288" s="25" t="s">
        <v>7084</v>
      </c>
      <c r="B1288" s="25" t="s">
        <v>7085</v>
      </c>
      <c r="C1288" s="25" t="s">
        <v>7086</v>
      </c>
      <c r="E1288" s="32" t="s">
        <v>7087</v>
      </c>
      <c r="F1288" s="32" t="s">
        <v>7088</v>
      </c>
      <c r="G1288" s="32" t="s">
        <v>7089</v>
      </c>
      <c r="H1288" s="32" t="s">
        <v>7090</v>
      </c>
      <c r="I1288" s="32" t="s">
        <v>7091</v>
      </c>
      <c r="J1288" s="32"/>
      <c r="N1288" s="24" t="s">
        <v>3418</v>
      </c>
    </row>
    <row r="1289" spans="1:14" x14ac:dyDescent="0.35">
      <c r="A1289" s="25" t="s">
        <v>7092</v>
      </c>
      <c r="B1289" s="25" t="s">
        <v>7093</v>
      </c>
      <c r="C1289" s="25" t="s">
        <v>7094</v>
      </c>
      <c r="E1289" s="32" t="s">
        <v>7095</v>
      </c>
      <c r="F1289" s="32" t="s">
        <v>7096</v>
      </c>
      <c r="G1289" s="32"/>
      <c r="H1289" s="32"/>
      <c r="I1289" s="32"/>
      <c r="J1289" s="32"/>
      <c r="N1289" s="24" t="s">
        <v>3418</v>
      </c>
    </row>
    <row r="1290" spans="1:14" x14ac:dyDescent="0.35">
      <c r="A1290" s="25" t="s">
        <v>7097</v>
      </c>
      <c r="B1290" s="25" t="s">
        <v>7098</v>
      </c>
      <c r="C1290" s="25" t="s">
        <v>7099</v>
      </c>
      <c r="E1290" s="32"/>
      <c r="F1290" s="32"/>
      <c r="G1290" s="32"/>
      <c r="H1290" s="32"/>
      <c r="I1290" s="32"/>
      <c r="J1290" s="32"/>
      <c r="N1290" s="24" t="s">
        <v>2308</v>
      </c>
    </row>
    <row r="1291" spans="1:14" x14ac:dyDescent="0.35">
      <c r="A1291" s="25" t="s">
        <v>7100</v>
      </c>
      <c r="B1291" s="25" t="s">
        <v>7101</v>
      </c>
      <c r="C1291" s="25" t="s">
        <v>7102</v>
      </c>
      <c r="E1291" s="32"/>
      <c r="F1291" s="32"/>
      <c r="G1291" s="32"/>
      <c r="H1291" s="32"/>
      <c r="I1291" s="32"/>
      <c r="J1291" s="32"/>
      <c r="N1291" s="24" t="s">
        <v>2308</v>
      </c>
    </row>
    <row r="1292" spans="1:14" x14ac:dyDescent="0.35">
      <c r="A1292" s="25" t="s">
        <v>7103</v>
      </c>
      <c r="B1292" s="25" t="s">
        <v>7104</v>
      </c>
      <c r="C1292" s="25" t="s">
        <v>7105</v>
      </c>
      <c r="E1292" s="32" t="s">
        <v>7106</v>
      </c>
      <c r="F1292" s="32"/>
      <c r="G1292" s="32"/>
      <c r="H1292" s="32"/>
      <c r="I1292" s="32"/>
      <c r="J1292" s="32"/>
      <c r="N1292" s="24" t="s">
        <v>2308</v>
      </c>
    </row>
    <row r="1293" spans="1:14" x14ac:dyDescent="0.35">
      <c r="A1293" s="25" t="s">
        <v>7107</v>
      </c>
      <c r="B1293" s="25" t="s">
        <v>7108</v>
      </c>
      <c r="C1293" s="25" t="s">
        <v>7109</v>
      </c>
      <c r="E1293" s="32" t="s">
        <v>7110</v>
      </c>
      <c r="F1293" s="32" t="s">
        <v>7111</v>
      </c>
      <c r="G1293" s="32" t="s">
        <v>7112</v>
      </c>
      <c r="H1293" s="32" t="s">
        <v>7113</v>
      </c>
      <c r="I1293" s="32"/>
      <c r="J1293" s="32"/>
      <c r="N1293" s="24" t="s">
        <v>3418</v>
      </c>
    </row>
    <row r="1294" spans="1:14" x14ac:dyDescent="0.35">
      <c r="A1294" s="25" t="s">
        <v>7114</v>
      </c>
      <c r="B1294" s="25" t="s">
        <v>7115</v>
      </c>
      <c r="C1294" s="25" t="s">
        <v>7116</v>
      </c>
      <c r="E1294" s="32" t="s">
        <v>7117</v>
      </c>
      <c r="F1294" s="32" t="s">
        <v>7118</v>
      </c>
      <c r="G1294" s="32" t="s">
        <v>7119</v>
      </c>
      <c r="H1294" s="32" t="s">
        <v>7120</v>
      </c>
      <c r="I1294" s="32"/>
      <c r="J1294" s="32"/>
      <c r="N1294" s="24" t="s">
        <v>3418</v>
      </c>
    </row>
    <row r="1295" spans="1:14" x14ac:dyDescent="0.35">
      <c r="A1295" s="25" t="s">
        <v>7121</v>
      </c>
      <c r="B1295" s="25" t="s">
        <v>7122</v>
      </c>
      <c r="C1295" s="25" t="s">
        <v>7123</v>
      </c>
      <c r="E1295" s="32" t="s">
        <v>2547</v>
      </c>
      <c r="F1295" s="32"/>
      <c r="G1295" s="32"/>
      <c r="H1295" s="32"/>
      <c r="I1295" s="32"/>
      <c r="J1295" s="32"/>
      <c r="N1295" s="24" t="s">
        <v>871</v>
      </c>
    </row>
    <row r="1296" spans="1:14" x14ac:dyDescent="0.35">
      <c r="A1296" s="25" t="s">
        <v>7124</v>
      </c>
      <c r="B1296" s="25" t="s">
        <v>7124</v>
      </c>
      <c r="C1296" s="25" t="s">
        <v>7125</v>
      </c>
      <c r="E1296" s="32"/>
      <c r="F1296" s="32"/>
      <c r="G1296" s="32"/>
      <c r="H1296" s="32"/>
      <c r="I1296" s="32"/>
      <c r="J1296" s="32"/>
      <c r="N1296" s="24" t="s">
        <v>871</v>
      </c>
    </row>
    <row r="1297" spans="1:14" x14ac:dyDescent="0.35">
      <c r="A1297" s="25" t="s">
        <v>7126</v>
      </c>
      <c r="B1297" s="25" t="s">
        <v>7127</v>
      </c>
      <c r="C1297" s="25" t="s">
        <v>7128</v>
      </c>
      <c r="E1297" s="32" t="s">
        <v>7129</v>
      </c>
      <c r="F1297" s="32"/>
      <c r="G1297" s="32"/>
      <c r="H1297" s="32"/>
      <c r="I1297" s="32"/>
      <c r="J1297" s="32"/>
      <c r="N1297" s="24" t="s">
        <v>2308</v>
      </c>
    </row>
    <row r="1298" spans="1:14" x14ac:dyDescent="0.35">
      <c r="A1298" s="25" t="s">
        <v>7130</v>
      </c>
      <c r="B1298" s="25" t="s">
        <v>7131</v>
      </c>
      <c r="C1298" s="25" t="s">
        <v>7132</v>
      </c>
      <c r="E1298" s="32" t="s">
        <v>7133</v>
      </c>
      <c r="F1298" s="32"/>
      <c r="G1298" s="32"/>
      <c r="H1298" s="32"/>
      <c r="I1298" s="32"/>
      <c r="J1298" s="32"/>
      <c r="N1298" s="24" t="s">
        <v>3418</v>
      </c>
    </row>
    <row r="1299" spans="1:14" x14ac:dyDescent="0.35">
      <c r="A1299" s="25" t="s">
        <v>7134</v>
      </c>
      <c r="B1299" s="25" t="s">
        <v>7135</v>
      </c>
      <c r="C1299" s="25" t="s">
        <v>7136</v>
      </c>
      <c r="E1299" s="32" t="s">
        <v>7137</v>
      </c>
      <c r="F1299" s="32"/>
      <c r="G1299" s="32"/>
      <c r="H1299" s="32"/>
      <c r="I1299" s="32"/>
      <c r="J1299" s="32"/>
      <c r="N1299" s="24" t="s">
        <v>2308</v>
      </c>
    </row>
    <row r="1300" spans="1:14" x14ac:dyDescent="0.35">
      <c r="A1300" s="25" t="s">
        <v>7138</v>
      </c>
      <c r="B1300" s="25" t="s">
        <v>7139</v>
      </c>
      <c r="C1300" s="25" t="s">
        <v>7140</v>
      </c>
      <c r="E1300" s="32" t="s">
        <v>7141</v>
      </c>
      <c r="F1300" s="32"/>
      <c r="G1300" s="32"/>
      <c r="H1300" s="32"/>
      <c r="I1300" s="32"/>
      <c r="J1300" s="32"/>
      <c r="N1300" s="24" t="s">
        <v>3418</v>
      </c>
    </row>
    <row r="1301" spans="1:14" x14ac:dyDescent="0.35">
      <c r="A1301" s="25" t="s">
        <v>7142</v>
      </c>
      <c r="B1301" s="25" t="s">
        <v>7143</v>
      </c>
      <c r="C1301" s="25" t="s">
        <v>7144</v>
      </c>
      <c r="E1301" s="32" t="s">
        <v>7145</v>
      </c>
      <c r="F1301" s="32"/>
      <c r="G1301" s="32"/>
      <c r="H1301" s="32"/>
      <c r="I1301" s="32"/>
      <c r="J1301" s="32"/>
      <c r="N1301" s="24" t="s">
        <v>3418</v>
      </c>
    </row>
    <row r="1302" spans="1:14" ht="16.2" x14ac:dyDescent="0.35">
      <c r="A1302" s="25" t="s">
        <v>7146</v>
      </c>
      <c r="B1302" s="25" t="s">
        <v>7147</v>
      </c>
      <c r="C1302" s="25" t="s">
        <v>7148</v>
      </c>
      <c r="E1302" s="32" t="s">
        <v>7149</v>
      </c>
      <c r="F1302" s="32" t="s">
        <v>7150</v>
      </c>
      <c r="G1302" s="32" t="s">
        <v>7151</v>
      </c>
      <c r="H1302" s="32" t="s">
        <v>7152</v>
      </c>
      <c r="I1302" s="7" t="s">
        <v>9711</v>
      </c>
      <c r="J1302" s="7" t="s">
        <v>9712</v>
      </c>
      <c r="N1302" s="24" t="s">
        <v>3418</v>
      </c>
    </row>
    <row r="1303" spans="1:14" x14ac:dyDescent="0.35">
      <c r="A1303" s="25" t="s">
        <v>7153</v>
      </c>
      <c r="B1303" s="25" t="s">
        <v>7154</v>
      </c>
      <c r="C1303" s="25" t="s">
        <v>7155</v>
      </c>
      <c r="E1303" s="32" t="s">
        <v>7156</v>
      </c>
      <c r="F1303" s="32" t="s">
        <v>7157</v>
      </c>
      <c r="G1303" s="32" t="s">
        <v>7158</v>
      </c>
      <c r="H1303" s="32" t="s">
        <v>7159</v>
      </c>
      <c r="I1303" s="32"/>
      <c r="J1303" s="32"/>
      <c r="N1303" s="24" t="s">
        <v>3418</v>
      </c>
    </row>
    <row r="1304" spans="1:14" x14ac:dyDescent="0.35">
      <c r="A1304" s="25" t="s">
        <v>7160</v>
      </c>
      <c r="B1304" s="25" t="s">
        <v>7161</v>
      </c>
      <c r="C1304" s="25" t="s">
        <v>7162</v>
      </c>
      <c r="E1304" s="32" t="s">
        <v>7163</v>
      </c>
      <c r="F1304" s="32"/>
      <c r="G1304" s="32"/>
      <c r="H1304" s="32"/>
      <c r="I1304" s="32"/>
      <c r="J1304" s="32"/>
      <c r="N1304" s="24" t="s">
        <v>3418</v>
      </c>
    </row>
    <row r="1305" spans="1:14" x14ac:dyDescent="0.35">
      <c r="A1305" s="25" t="s">
        <v>7164</v>
      </c>
      <c r="B1305" s="25" t="s">
        <v>7165</v>
      </c>
      <c r="C1305" s="25" t="s">
        <v>7166</v>
      </c>
      <c r="E1305" s="32"/>
      <c r="F1305" s="32"/>
      <c r="G1305" s="32"/>
      <c r="H1305" s="32"/>
      <c r="I1305" s="32"/>
      <c r="J1305" s="32"/>
      <c r="N1305" s="24" t="s">
        <v>2308</v>
      </c>
    </row>
    <row r="1306" spans="1:14" x14ac:dyDescent="0.35">
      <c r="A1306" s="25" t="s">
        <v>7167</v>
      </c>
      <c r="B1306" s="25" t="s">
        <v>7168</v>
      </c>
      <c r="C1306" s="25" t="s">
        <v>7169</v>
      </c>
      <c r="E1306" s="32" t="s">
        <v>7170</v>
      </c>
      <c r="F1306" s="32"/>
      <c r="G1306" s="32"/>
      <c r="H1306" s="32"/>
      <c r="I1306" s="32"/>
      <c r="J1306" s="32"/>
      <c r="N1306" s="24" t="s">
        <v>3418</v>
      </c>
    </row>
    <row r="1307" spans="1:14" x14ac:dyDescent="0.35">
      <c r="A1307" s="25" t="s">
        <v>7171</v>
      </c>
      <c r="B1307" s="25" t="s">
        <v>7172</v>
      </c>
      <c r="C1307" s="25" t="s">
        <v>7173</v>
      </c>
      <c r="E1307" s="32" t="s">
        <v>7174</v>
      </c>
      <c r="F1307" s="32" t="s">
        <v>7175</v>
      </c>
      <c r="G1307" s="32" t="s">
        <v>7176</v>
      </c>
      <c r="H1307" s="32"/>
      <c r="I1307" s="32"/>
      <c r="J1307" s="32"/>
      <c r="N1307" s="24" t="s">
        <v>3418</v>
      </c>
    </row>
    <row r="1308" spans="1:14" x14ac:dyDescent="0.35">
      <c r="A1308" s="25" t="s">
        <v>7177</v>
      </c>
      <c r="B1308" s="25" t="s">
        <v>7178</v>
      </c>
      <c r="C1308" s="25" t="s">
        <v>7179</v>
      </c>
      <c r="E1308" s="32" t="s">
        <v>7180</v>
      </c>
      <c r="F1308" s="32" t="s">
        <v>7181</v>
      </c>
      <c r="G1308" s="32" t="s">
        <v>7182</v>
      </c>
      <c r="H1308" s="32" t="s">
        <v>7183</v>
      </c>
      <c r="I1308" s="32" t="s">
        <v>7184</v>
      </c>
      <c r="J1308" s="32"/>
      <c r="N1308" s="24" t="s">
        <v>3418</v>
      </c>
    </row>
    <row r="1309" spans="1:14" x14ac:dyDescent="0.35">
      <c r="A1309" s="25" t="s">
        <v>7185</v>
      </c>
      <c r="B1309" s="25" t="s">
        <v>7186</v>
      </c>
      <c r="C1309" s="25" t="s">
        <v>7187</v>
      </c>
      <c r="E1309" s="32" t="s">
        <v>7188</v>
      </c>
      <c r="F1309" s="32"/>
      <c r="G1309" s="32"/>
      <c r="H1309" s="32"/>
      <c r="I1309" s="32"/>
      <c r="J1309" s="32"/>
      <c r="N1309" s="24" t="s">
        <v>458</v>
      </c>
    </row>
    <row r="1310" spans="1:14" x14ac:dyDescent="0.35">
      <c r="A1310" s="25" t="s">
        <v>7189</v>
      </c>
      <c r="B1310" s="25" t="s">
        <v>7190</v>
      </c>
      <c r="C1310" s="25" t="s">
        <v>7191</v>
      </c>
      <c r="E1310" s="32"/>
      <c r="F1310" s="32"/>
      <c r="G1310" s="32"/>
      <c r="H1310" s="32"/>
      <c r="I1310" s="32"/>
      <c r="J1310" s="32"/>
      <c r="N1310" s="24" t="s">
        <v>2308</v>
      </c>
    </row>
    <row r="1311" spans="1:14" x14ac:dyDescent="0.35">
      <c r="A1311" s="25" t="s">
        <v>7192</v>
      </c>
      <c r="B1311" s="25" t="s">
        <v>7193</v>
      </c>
      <c r="C1311" s="25" t="s">
        <v>7194</v>
      </c>
      <c r="E1311" s="32" t="s">
        <v>7195</v>
      </c>
      <c r="F1311" s="32" t="s">
        <v>7196</v>
      </c>
      <c r="G1311" s="32"/>
      <c r="H1311" s="32"/>
      <c r="I1311" s="32"/>
      <c r="J1311" s="32"/>
      <c r="N1311" s="24" t="s">
        <v>3418</v>
      </c>
    </row>
    <row r="1312" spans="1:14" x14ac:dyDescent="0.35">
      <c r="A1312" s="25" t="s">
        <v>7197</v>
      </c>
      <c r="B1312" s="25" t="s">
        <v>7198</v>
      </c>
      <c r="C1312" s="25" t="s">
        <v>7199</v>
      </c>
      <c r="E1312" s="32" t="s">
        <v>7200</v>
      </c>
      <c r="F1312" s="32" t="s">
        <v>7201</v>
      </c>
      <c r="G1312" s="32" t="s">
        <v>7202</v>
      </c>
      <c r="H1312" s="32" t="s">
        <v>7203</v>
      </c>
      <c r="I1312" s="32" t="s">
        <v>7204</v>
      </c>
      <c r="J1312" s="32"/>
      <c r="N1312" s="24" t="s">
        <v>3418</v>
      </c>
    </row>
    <row r="1313" spans="1:14" x14ac:dyDescent="0.35">
      <c r="A1313" s="25" t="s">
        <v>7205</v>
      </c>
      <c r="B1313" s="25" t="s">
        <v>7206</v>
      </c>
      <c r="C1313" s="25" t="s">
        <v>7207</v>
      </c>
      <c r="E1313" s="32" t="s">
        <v>7208</v>
      </c>
      <c r="F1313" s="32" t="s">
        <v>7209</v>
      </c>
      <c r="G1313" s="32" t="s">
        <v>7210</v>
      </c>
      <c r="H1313" s="32" t="s">
        <v>7211</v>
      </c>
      <c r="I1313" s="32" t="s">
        <v>7212</v>
      </c>
      <c r="J1313" s="32"/>
      <c r="N1313" s="24" t="s">
        <v>3418</v>
      </c>
    </row>
    <row r="1314" spans="1:14" x14ac:dyDescent="0.35">
      <c r="A1314" s="25" t="s">
        <v>7213</v>
      </c>
      <c r="B1314" s="25" t="s">
        <v>7214</v>
      </c>
      <c r="C1314" s="25" t="s">
        <v>7215</v>
      </c>
      <c r="E1314" s="32" t="s">
        <v>7216</v>
      </c>
      <c r="F1314" s="32" t="s">
        <v>7217</v>
      </c>
      <c r="G1314" s="32" t="s">
        <v>7218</v>
      </c>
      <c r="H1314" s="32"/>
      <c r="I1314" s="32"/>
      <c r="J1314" s="32"/>
      <c r="N1314" s="24" t="s">
        <v>3418</v>
      </c>
    </row>
    <row r="1315" spans="1:14" x14ac:dyDescent="0.35">
      <c r="A1315" s="25" t="s">
        <v>7219</v>
      </c>
      <c r="B1315" s="25" t="s">
        <v>7220</v>
      </c>
      <c r="C1315" s="25" t="s">
        <v>7221</v>
      </c>
      <c r="E1315" s="32" t="s">
        <v>7222</v>
      </c>
      <c r="F1315" s="32" t="s">
        <v>7223</v>
      </c>
      <c r="G1315" s="32" t="s">
        <v>7224</v>
      </c>
      <c r="H1315" s="32"/>
      <c r="I1315" s="32"/>
      <c r="J1315" s="32"/>
      <c r="N1315" s="24" t="s">
        <v>3418</v>
      </c>
    </row>
    <row r="1316" spans="1:14" x14ac:dyDescent="0.35">
      <c r="A1316" s="25" t="s">
        <v>7225</v>
      </c>
      <c r="B1316" s="25" t="s">
        <v>7226</v>
      </c>
      <c r="C1316" s="25" t="s">
        <v>7227</v>
      </c>
      <c r="E1316" s="32"/>
      <c r="F1316" s="32"/>
      <c r="G1316" s="32"/>
      <c r="H1316" s="32"/>
      <c r="I1316" s="32"/>
      <c r="J1316" s="32"/>
      <c r="N1316" s="24" t="s">
        <v>2308</v>
      </c>
    </row>
    <row r="1317" spans="1:14" x14ac:dyDescent="0.35">
      <c r="A1317" s="25" t="s">
        <v>7228</v>
      </c>
      <c r="B1317" s="25" t="s">
        <v>7229</v>
      </c>
      <c r="C1317" s="25" t="s">
        <v>7230</v>
      </c>
      <c r="E1317" s="32" t="s">
        <v>7231</v>
      </c>
      <c r="F1317" s="32" t="s">
        <v>7232</v>
      </c>
      <c r="G1317" s="32" t="s">
        <v>7233</v>
      </c>
      <c r="H1317" s="32"/>
      <c r="I1317" s="32"/>
      <c r="J1317" s="32"/>
      <c r="N1317" s="24" t="s">
        <v>3418</v>
      </c>
    </row>
    <row r="1318" spans="1:14" x14ac:dyDescent="0.35">
      <c r="A1318" s="25" t="s">
        <v>7234</v>
      </c>
      <c r="B1318" s="25" t="s">
        <v>7235</v>
      </c>
      <c r="C1318" s="25" t="s">
        <v>7236</v>
      </c>
      <c r="E1318" s="32" t="s">
        <v>7237</v>
      </c>
      <c r="F1318" s="32"/>
      <c r="G1318" s="32"/>
      <c r="H1318" s="32"/>
      <c r="I1318" s="32"/>
      <c r="J1318" s="32"/>
      <c r="N1318" s="24" t="s">
        <v>3418</v>
      </c>
    </row>
    <row r="1319" spans="1:14" x14ac:dyDescent="0.35">
      <c r="A1319" s="25" t="s">
        <v>7238</v>
      </c>
      <c r="B1319" s="25" t="s">
        <v>7239</v>
      </c>
      <c r="C1319" s="25" t="s">
        <v>7240</v>
      </c>
      <c r="E1319" s="32" t="s">
        <v>7241</v>
      </c>
      <c r="F1319" s="32" t="s">
        <v>7242</v>
      </c>
      <c r="G1319" s="32" t="s">
        <v>7243</v>
      </c>
      <c r="H1319" s="32" t="s">
        <v>7244</v>
      </c>
      <c r="I1319" s="32" t="s">
        <v>7245</v>
      </c>
      <c r="J1319" s="32"/>
      <c r="N1319" s="24" t="s">
        <v>3418</v>
      </c>
    </row>
    <row r="1320" spans="1:14" x14ac:dyDescent="0.35">
      <c r="A1320" s="25" t="s">
        <v>7246</v>
      </c>
      <c r="B1320" s="25" t="s">
        <v>7247</v>
      </c>
      <c r="C1320" s="25" t="s">
        <v>7248</v>
      </c>
      <c r="E1320" s="32" t="s">
        <v>7249</v>
      </c>
      <c r="F1320" s="32" t="s">
        <v>7250</v>
      </c>
      <c r="G1320" s="32" t="s">
        <v>7251</v>
      </c>
      <c r="H1320" s="32" t="s">
        <v>7252</v>
      </c>
      <c r="I1320" s="32"/>
      <c r="J1320" s="32"/>
      <c r="N1320" s="24" t="s">
        <v>2308</v>
      </c>
    </row>
    <row r="1321" spans="1:14" x14ac:dyDescent="0.35">
      <c r="A1321" s="25" t="s">
        <v>7253</v>
      </c>
      <c r="B1321" s="25" t="s">
        <v>7254</v>
      </c>
      <c r="C1321" s="25" t="s">
        <v>9470</v>
      </c>
      <c r="E1321" s="32"/>
      <c r="F1321" s="32"/>
      <c r="G1321" s="32"/>
      <c r="H1321" s="32"/>
      <c r="I1321" s="32"/>
      <c r="J1321" s="32"/>
      <c r="N1321" s="24" t="s">
        <v>2308</v>
      </c>
    </row>
    <row r="1322" spans="1:14" x14ac:dyDescent="0.35">
      <c r="A1322" s="25" t="s">
        <v>7255</v>
      </c>
      <c r="B1322" s="25" t="s">
        <v>7256</v>
      </c>
      <c r="C1322" s="25" t="s">
        <v>7257</v>
      </c>
      <c r="E1322" s="32" t="s">
        <v>7258</v>
      </c>
      <c r="F1322" s="32" t="s">
        <v>7259</v>
      </c>
      <c r="G1322" s="32"/>
      <c r="H1322" s="32"/>
      <c r="I1322" s="32"/>
      <c r="J1322" s="32"/>
      <c r="N1322" s="24" t="s">
        <v>2308</v>
      </c>
    </row>
    <row r="1323" spans="1:14" x14ac:dyDescent="0.35">
      <c r="A1323" s="25" t="s">
        <v>7260</v>
      </c>
      <c r="B1323" s="25" t="s">
        <v>7261</v>
      </c>
      <c r="C1323" s="25" t="s">
        <v>7262</v>
      </c>
      <c r="E1323" s="32" t="s">
        <v>7263</v>
      </c>
      <c r="F1323" s="32" t="s">
        <v>7264</v>
      </c>
      <c r="G1323" s="32" t="s">
        <v>7265</v>
      </c>
      <c r="H1323" s="32" t="s">
        <v>7266</v>
      </c>
      <c r="I1323" s="32" t="s">
        <v>7267</v>
      </c>
      <c r="J1323" s="32"/>
      <c r="N1323" s="24" t="s">
        <v>3418</v>
      </c>
    </row>
    <row r="1324" spans="1:14" x14ac:dyDescent="0.35">
      <c r="A1324" s="25" t="s">
        <v>7268</v>
      </c>
      <c r="B1324" s="25" t="s">
        <v>7269</v>
      </c>
      <c r="C1324" s="25" t="s">
        <v>7270</v>
      </c>
      <c r="E1324" s="32" t="s">
        <v>7271</v>
      </c>
      <c r="F1324" s="32" t="s">
        <v>7272</v>
      </c>
      <c r="G1324" s="32" t="s">
        <v>7273</v>
      </c>
      <c r="H1324" s="32" t="s">
        <v>7274</v>
      </c>
      <c r="N1324" s="24" t="s">
        <v>3418</v>
      </c>
    </row>
    <row r="1325" spans="1:14" x14ac:dyDescent="0.35">
      <c r="A1325" s="25" t="s">
        <v>7275</v>
      </c>
      <c r="B1325" s="25" t="s">
        <v>7276</v>
      </c>
      <c r="C1325" s="25" t="s">
        <v>7277</v>
      </c>
      <c r="E1325" s="32" t="s">
        <v>7278</v>
      </c>
      <c r="F1325" s="32" t="s">
        <v>7279</v>
      </c>
      <c r="G1325" s="32" t="s">
        <v>7280</v>
      </c>
      <c r="H1325" s="32" t="s">
        <v>7281</v>
      </c>
      <c r="I1325" s="32" t="s">
        <v>7282</v>
      </c>
      <c r="J1325" s="32"/>
      <c r="N1325" s="24" t="s">
        <v>3418</v>
      </c>
    </row>
    <row r="1326" spans="1:14" x14ac:dyDescent="0.35">
      <c r="A1326" s="25" t="s">
        <v>9624</v>
      </c>
      <c r="B1326" s="25" t="s">
        <v>7283</v>
      </c>
      <c r="C1326" s="25" t="s">
        <v>7284</v>
      </c>
      <c r="E1326" s="32" t="s">
        <v>3829</v>
      </c>
      <c r="F1326" s="32"/>
      <c r="G1326" s="32"/>
      <c r="H1326" s="32"/>
      <c r="I1326" s="32"/>
      <c r="J1326" s="32"/>
      <c r="N1326" s="24" t="s">
        <v>2308</v>
      </c>
    </row>
    <row r="1327" spans="1:14" x14ac:dyDescent="0.35">
      <c r="A1327" s="25" t="s">
        <v>7285</v>
      </c>
      <c r="B1327" s="25" t="s">
        <v>7286</v>
      </c>
      <c r="C1327" s="25" t="s">
        <v>7287</v>
      </c>
      <c r="E1327" s="32" t="s">
        <v>7288</v>
      </c>
      <c r="F1327" s="32"/>
      <c r="G1327" s="32"/>
      <c r="H1327" s="32"/>
      <c r="I1327" s="32"/>
      <c r="J1327" s="32"/>
      <c r="N1327" s="24" t="s">
        <v>3418</v>
      </c>
    </row>
    <row r="1328" spans="1:14" x14ac:dyDescent="0.35">
      <c r="A1328" s="25" t="s">
        <v>7289</v>
      </c>
      <c r="B1328" s="25" t="s">
        <v>7290</v>
      </c>
      <c r="C1328" s="25" t="s">
        <v>7291</v>
      </c>
      <c r="E1328" s="32" t="s">
        <v>7292</v>
      </c>
      <c r="F1328" s="32"/>
      <c r="G1328" s="32"/>
      <c r="H1328" s="32"/>
      <c r="I1328" s="32"/>
      <c r="J1328" s="32"/>
      <c r="N1328" s="24" t="s">
        <v>3418</v>
      </c>
    </row>
    <row r="1329" spans="1:14" x14ac:dyDescent="0.35">
      <c r="A1329" s="25" t="s">
        <v>7293</v>
      </c>
      <c r="B1329" s="25" t="s">
        <v>7294</v>
      </c>
      <c r="C1329" s="25" t="s">
        <v>7295</v>
      </c>
      <c r="E1329" s="32" t="s">
        <v>7296</v>
      </c>
      <c r="F1329" s="32" t="s">
        <v>7297</v>
      </c>
      <c r="G1329" s="32" t="s">
        <v>7298</v>
      </c>
      <c r="H1329" s="32" t="s">
        <v>7299</v>
      </c>
      <c r="I1329" s="32" t="s">
        <v>7300</v>
      </c>
      <c r="J1329" s="32"/>
      <c r="N1329" s="24" t="s">
        <v>3418</v>
      </c>
    </row>
    <row r="1330" spans="1:14" x14ac:dyDescent="0.35">
      <c r="A1330" s="25" t="s">
        <v>7301</v>
      </c>
      <c r="B1330" s="25" t="s">
        <v>7302</v>
      </c>
      <c r="C1330" s="25" t="s">
        <v>7303</v>
      </c>
      <c r="E1330" s="32" t="s">
        <v>7304</v>
      </c>
      <c r="F1330" s="32" t="s">
        <v>7305</v>
      </c>
      <c r="G1330" s="32" t="s">
        <v>7306</v>
      </c>
      <c r="H1330" s="32" t="s">
        <v>7307</v>
      </c>
      <c r="I1330" s="32" t="s">
        <v>7308</v>
      </c>
      <c r="J1330" s="32"/>
      <c r="N1330" s="24" t="s">
        <v>3418</v>
      </c>
    </row>
    <row r="1331" spans="1:14" x14ac:dyDescent="0.35">
      <c r="A1331" s="25" t="s">
        <v>7309</v>
      </c>
      <c r="B1331" s="25" t="s">
        <v>7309</v>
      </c>
      <c r="C1331" s="25" t="s">
        <v>7310</v>
      </c>
      <c r="E1331" s="32" t="s">
        <v>1706</v>
      </c>
      <c r="F1331" s="32" t="s">
        <v>1707</v>
      </c>
      <c r="G1331" s="32" t="s">
        <v>1708</v>
      </c>
      <c r="H1331" s="32" t="s">
        <v>1709</v>
      </c>
      <c r="I1331" s="32"/>
      <c r="J1331" s="32"/>
      <c r="N1331" s="24" t="s">
        <v>2308</v>
      </c>
    </row>
    <row r="1332" spans="1:14" x14ac:dyDescent="0.35">
      <c r="A1332" s="25" t="s">
        <v>7311</v>
      </c>
      <c r="B1332" s="25" t="s">
        <v>7312</v>
      </c>
      <c r="C1332" s="25" t="s">
        <v>7313</v>
      </c>
      <c r="E1332" s="32"/>
      <c r="F1332" s="32"/>
      <c r="G1332" s="32"/>
      <c r="H1332" s="32"/>
      <c r="I1332" s="32"/>
      <c r="J1332" s="32"/>
      <c r="N1332" s="24" t="s">
        <v>2308</v>
      </c>
    </row>
    <row r="1333" spans="1:14" x14ac:dyDescent="0.35">
      <c r="A1333" s="25" t="s">
        <v>7314</v>
      </c>
      <c r="B1333" s="25" t="s">
        <v>7315</v>
      </c>
      <c r="C1333" s="25" t="s">
        <v>7316</v>
      </c>
      <c r="E1333" s="32" t="s">
        <v>7317</v>
      </c>
      <c r="F1333" s="32" t="s">
        <v>7318</v>
      </c>
      <c r="G1333" s="32" t="s">
        <v>7319</v>
      </c>
      <c r="H1333" s="32" t="s">
        <v>7320</v>
      </c>
      <c r="I1333" s="32"/>
      <c r="J1333" s="32"/>
      <c r="N1333" s="24" t="s">
        <v>3418</v>
      </c>
    </row>
    <row r="1334" spans="1:14" ht="16.2" x14ac:dyDescent="0.35">
      <c r="A1334" s="25" t="s">
        <v>7321</v>
      </c>
      <c r="B1334" s="25" t="s">
        <v>7321</v>
      </c>
      <c r="C1334" s="25" t="s">
        <v>7322</v>
      </c>
      <c r="E1334" s="7" t="s">
        <v>9687</v>
      </c>
      <c r="F1334" s="32"/>
      <c r="G1334" s="32"/>
      <c r="H1334" s="32"/>
      <c r="I1334" s="32"/>
      <c r="J1334" s="32"/>
      <c r="N1334" s="24" t="s">
        <v>2308</v>
      </c>
    </row>
    <row r="1335" spans="1:14" x14ac:dyDescent="0.35">
      <c r="A1335" s="25" t="s">
        <v>7323</v>
      </c>
      <c r="B1335" s="25" t="s">
        <v>7323</v>
      </c>
      <c r="C1335" s="25" t="s">
        <v>7324</v>
      </c>
      <c r="E1335" s="32" t="s">
        <v>7325</v>
      </c>
      <c r="F1335" s="32" t="s">
        <v>7326</v>
      </c>
      <c r="G1335" s="32" t="s">
        <v>7327</v>
      </c>
      <c r="H1335" s="32" t="s">
        <v>7328</v>
      </c>
      <c r="I1335" s="32" t="s">
        <v>7329</v>
      </c>
      <c r="J1335" s="32"/>
      <c r="N1335" s="24" t="s">
        <v>2308</v>
      </c>
    </row>
    <row r="1336" spans="1:14" x14ac:dyDescent="0.35">
      <c r="A1336" s="25" t="s">
        <v>7330</v>
      </c>
      <c r="B1336" s="25" t="s">
        <v>7331</v>
      </c>
      <c r="C1336" s="25" t="s">
        <v>7332</v>
      </c>
      <c r="E1336" s="32" t="s">
        <v>7333</v>
      </c>
      <c r="F1336" s="32"/>
      <c r="G1336" s="32"/>
      <c r="H1336" s="32"/>
      <c r="I1336" s="32"/>
      <c r="J1336" s="32"/>
      <c r="N1336" s="24" t="s">
        <v>458</v>
      </c>
    </row>
    <row r="1337" spans="1:14" x14ac:dyDescent="0.35">
      <c r="A1337" s="25" t="s">
        <v>7334</v>
      </c>
      <c r="B1337" s="25" t="s">
        <v>7335</v>
      </c>
      <c r="C1337" s="25" t="s">
        <v>7336</v>
      </c>
      <c r="E1337" s="32" t="s">
        <v>7337</v>
      </c>
      <c r="F1337" s="32"/>
      <c r="G1337" s="32"/>
      <c r="H1337" s="32"/>
      <c r="I1337" s="32"/>
      <c r="J1337" s="32"/>
      <c r="N1337" s="24" t="s">
        <v>3418</v>
      </c>
    </row>
    <row r="1338" spans="1:14" x14ac:dyDescent="0.35">
      <c r="A1338" s="25" t="s">
        <v>7338</v>
      </c>
      <c r="B1338" s="25" t="s">
        <v>7338</v>
      </c>
      <c r="C1338" s="25" t="s">
        <v>7339</v>
      </c>
      <c r="E1338" s="32"/>
      <c r="F1338" s="32"/>
      <c r="G1338" s="32"/>
      <c r="H1338" s="32"/>
      <c r="I1338" s="32"/>
      <c r="J1338" s="32"/>
      <c r="N1338" s="24" t="s">
        <v>871</v>
      </c>
    </row>
    <row r="1339" spans="1:14" x14ac:dyDescent="0.35">
      <c r="A1339" s="25" t="s">
        <v>7340</v>
      </c>
      <c r="B1339" s="25" t="s">
        <v>7341</v>
      </c>
      <c r="C1339" s="25" t="s">
        <v>7342</v>
      </c>
      <c r="E1339" s="32" t="s">
        <v>7343</v>
      </c>
      <c r="F1339" s="32" t="s">
        <v>7344</v>
      </c>
      <c r="G1339" s="32" t="s">
        <v>7345</v>
      </c>
      <c r="H1339" s="32"/>
      <c r="I1339" s="32"/>
      <c r="J1339" s="32"/>
      <c r="N1339" s="24" t="s">
        <v>3418</v>
      </c>
    </row>
    <row r="1340" spans="1:14" x14ac:dyDescent="0.35">
      <c r="A1340" s="25" t="s">
        <v>7346</v>
      </c>
      <c r="B1340" s="25" t="s">
        <v>7347</v>
      </c>
      <c r="C1340" s="25" t="s">
        <v>7348</v>
      </c>
      <c r="E1340" s="32" t="s">
        <v>7349</v>
      </c>
      <c r="F1340" s="32"/>
      <c r="G1340" s="32"/>
      <c r="H1340" s="32"/>
      <c r="I1340" s="32"/>
      <c r="J1340" s="32"/>
      <c r="N1340" s="24" t="s">
        <v>871</v>
      </c>
    </row>
    <row r="1341" spans="1:14" x14ac:dyDescent="0.35">
      <c r="A1341" s="25" t="s">
        <v>7350</v>
      </c>
      <c r="B1341" s="25" t="s">
        <v>7351</v>
      </c>
      <c r="C1341" s="25" t="s">
        <v>7352</v>
      </c>
      <c r="E1341" s="32" t="s">
        <v>7353</v>
      </c>
      <c r="F1341" s="32" t="s">
        <v>7354</v>
      </c>
      <c r="G1341" s="32" t="s">
        <v>7355</v>
      </c>
      <c r="H1341" s="32" t="s">
        <v>7356</v>
      </c>
      <c r="I1341" s="32" t="s">
        <v>7357</v>
      </c>
      <c r="J1341" s="32"/>
      <c r="N1341" s="24" t="s">
        <v>3418</v>
      </c>
    </row>
    <row r="1342" spans="1:14" x14ac:dyDescent="0.35">
      <c r="A1342" s="25" t="s">
        <v>7358</v>
      </c>
      <c r="B1342" s="25" t="s">
        <v>7359</v>
      </c>
      <c r="C1342" s="25" t="s">
        <v>9458</v>
      </c>
      <c r="E1342" s="32" t="s">
        <v>7360</v>
      </c>
      <c r="F1342" s="32" t="s">
        <v>7361</v>
      </c>
      <c r="G1342" s="32" t="s">
        <v>7362</v>
      </c>
      <c r="H1342" s="32" t="s">
        <v>7363</v>
      </c>
      <c r="I1342" s="32" t="s">
        <v>7364</v>
      </c>
      <c r="J1342" s="32"/>
      <c r="N1342" s="24" t="s">
        <v>3418</v>
      </c>
    </row>
    <row r="1343" spans="1:14" x14ac:dyDescent="0.35">
      <c r="A1343" s="25" t="s">
        <v>7365</v>
      </c>
      <c r="B1343" s="25" t="s">
        <v>7366</v>
      </c>
      <c r="C1343" s="25" t="s">
        <v>7367</v>
      </c>
      <c r="E1343" s="32" t="s">
        <v>7368</v>
      </c>
      <c r="F1343" s="32" t="s">
        <v>7369</v>
      </c>
      <c r="G1343" s="32" t="s">
        <v>7370</v>
      </c>
      <c r="H1343" s="32" t="s">
        <v>7371</v>
      </c>
      <c r="I1343" s="32" t="s">
        <v>7372</v>
      </c>
      <c r="J1343" s="32"/>
      <c r="N1343" s="24" t="s">
        <v>3418</v>
      </c>
    </row>
    <row r="1344" spans="1:14" x14ac:dyDescent="0.35">
      <c r="A1344" s="25" t="s">
        <v>7373</v>
      </c>
      <c r="B1344" s="25" t="s">
        <v>7374</v>
      </c>
      <c r="C1344" s="25" t="s">
        <v>9471</v>
      </c>
      <c r="E1344" s="32"/>
      <c r="F1344" s="32"/>
      <c r="G1344" s="32"/>
      <c r="H1344" s="32"/>
      <c r="I1344" s="32"/>
      <c r="J1344" s="32"/>
      <c r="N1344" s="24" t="s">
        <v>2308</v>
      </c>
    </row>
    <row r="1345" spans="1:14" x14ac:dyDescent="0.35">
      <c r="A1345" s="25" t="s">
        <v>7375</v>
      </c>
      <c r="B1345" s="25" t="s">
        <v>7375</v>
      </c>
      <c r="C1345" s="25" t="s">
        <v>7376</v>
      </c>
      <c r="E1345" s="32" t="s">
        <v>7377</v>
      </c>
      <c r="F1345" s="32"/>
      <c r="G1345" s="32"/>
      <c r="H1345" s="32"/>
      <c r="I1345" s="32"/>
      <c r="J1345" s="32"/>
      <c r="N1345" s="24" t="s">
        <v>2308</v>
      </c>
    </row>
    <row r="1346" spans="1:14" x14ac:dyDescent="0.35">
      <c r="A1346" s="25" t="s">
        <v>7378</v>
      </c>
      <c r="B1346" s="25" t="s">
        <v>7378</v>
      </c>
      <c r="C1346" s="25" t="s">
        <v>7379</v>
      </c>
      <c r="E1346" s="32" t="s">
        <v>7380</v>
      </c>
      <c r="F1346" s="32"/>
      <c r="G1346" s="32"/>
      <c r="H1346" s="32"/>
      <c r="I1346" s="32"/>
      <c r="J1346" s="32"/>
      <c r="N1346" s="24" t="s">
        <v>2308</v>
      </c>
    </row>
    <row r="1347" spans="1:14" x14ac:dyDescent="0.35">
      <c r="A1347" s="25" t="s">
        <v>7381</v>
      </c>
      <c r="B1347" s="25" t="s">
        <v>7382</v>
      </c>
      <c r="C1347" s="25" t="s">
        <v>7383</v>
      </c>
      <c r="E1347" s="32" t="s">
        <v>7384</v>
      </c>
      <c r="F1347" s="32"/>
      <c r="G1347" s="32"/>
      <c r="H1347" s="32"/>
      <c r="I1347" s="32"/>
      <c r="J1347" s="32"/>
      <c r="N1347" s="24" t="s">
        <v>3418</v>
      </c>
    </row>
    <row r="1348" spans="1:14" x14ac:dyDescent="0.35">
      <c r="A1348" s="25" t="s">
        <v>7385</v>
      </c>
      <c r="B1348" s="25" t="s">
        <v>7386</v>
      </c>
      <c r="C1348" s="25" t="s">
        <v>7387</v>
      </c>
      <c r="E1348" s="32"/>
      <c r="F1348" s="32"/>
      <c r="G1348" s="32"/>
      <c r="H1348" s="32"/>
      <c r="I1348" s="32"/>
      <c r="J1348" s="32"/>
      <c r="N1348" s="24" t="s">
        <v>871</v>
      </c>
    </row>
    <row r="1349" spans="1:14" x14ac:dyDescent="0.35">
      <c r="A1349" s="25" t="s">
        <v>7388</v>
      </c>
      <c r="B1349" s="25" t="s">
        <v>7388</v>
      </c>
      <c r="C1349" s="25" t="s">
        <v>7389</v>
      </c>
      <c r="E1349" s="32" t="s">
        <v>7390</v>
      </c>
      <c r="F1349" s="32" t="s">
        <v>7391</v>
      </c>
      <c r="G1349" s="32"/>
      <c r="H1349" s="32"/>
      <c r="I1349" s="32"/>
      <c r="J1349" s="32"/>
      <c r="N1349" s="24" t="s">
        <v>871</v>
      </c>
    </row>
    <row r="1350" spans="1:14" x14ac:dyDescent="0.35">
      <c r="A1350" s="25" t="s">
        <v>7392</v>
      </c>
      <c r="B1350" s="25" t="s">
        <v>7393</v>
      </c>
      <c r="C1350" s="25" t="s">
        <v>7394</v>
      </c>
      <c r="E1350" s="32" t="s">
        <v>7395</v>
      </c>
      <c r="F1350" s="32" t="s">
        <v>7396</v>
      </c>
      <c r="G1350" s="32"/>
      <c r="H1350" s="32"/>
      <c r="I1350" s="32"/>
      <c r="J1350" s="32"/>
      <c r="N1350" s="24" t="s">
        <v>3418</v>
      </c>
    </row>
    <row r="1351" spans="1:14" x14ac:dyDescent="0.35">
      <c r="A1351" s="25" t="s">
        <v>7397</v>
      </c>
      <c r="B1351" s="25" t="s">
        <v>7398</v>
      </c>
      <c r="C1351" s="25" t="s">
        <v>7399</v>
      </c>
      <c r="E1351" s="32"/>
      <c r="F1351" s="32"/>
      <c r="G1351" s="32"/>
      <c r="H1351" s="32"/>
      <c r="I1351" s="32"/>
      <c r="J1351" s="32"/>
      <c r="N1351" s="24" t="s">
        <v>2308</v>
      </c>
    </row>
    <row r="1352" spans="1:14" x14ac:dyDescent="0.35">
      <c r="A1352" s="25" t="s">
        <v>7400</v>
      </c>
      <c r="B1352" s="25" t="s">
        <v>7401</v>
      </c>
      <c r="C1352" s="25" t="s">
        <v>7402</v>
      </c>
      <c r="E1352" s="32"/>
      <c r="F1352" s="32"/>
      <c r="G1352" s="32"/>
      <c r="H1352" s="32"/>
      <c r="I1352" s="32"/>
      <c r="J1352" s="32"/>
      <c r="N1352" s="24" t="s">
        <v>2308</v>
      </c>
    </row>
    <row r="1353" spans="1:14" x14ac:dyDescent="0.35">
      <c r="A1353" s="25" t="s">
        <v>7403</v>
      </c>
      <c r="B1353" s="25" t="s">
        <v>7404</v>
      </c>
      <c r="C1353" s="25" t="s">
        <v>7405</v>
      </c>
      <c r="E1353" s="32" t="s">
        <v>7406</v>
      </c>
      <c r="F1353" s="32"/>
      <c r="G1353" s="32"/>
      <c r="H1353" s="32"/>
      <c r="I1353" s="32"/>
      <c r="J1353" s="32"/>
      <c r="N1353" s="24" t="s">
        <v>2308</v>
      </c>
    </row>
    <row r="1354" spans="1:14" x14ac:dyDescent="0.35">
      <c r="A1354" s="25" t="s">
        <v>7407</v>
      </c>
      <c r="B1354" s="25" t="s">
        <v>7408</v>
      </c>
      <c r="C1354" s="25" t="s">
        <v>7409</v>
      </c>
      <c r="E1354" s="32" t="s">
        <v>7410</v>
      </c>
      <c r="F1354" s="32" t="s">
        <v>7411</v>
      </c>
      <c r="G1354" s="32"/>
      <c r="H1354" s="32"/>
      <c r="I1354" s="32"/>
      <c r="J1354" s="32"/>
      <c r="N1354" s="24" t="s">
        <v>3418</v>
      </c>
    </row>
    <row r="1355" spans="1:14" x14ac:dyDescent="0.35">
      <c r="A1355" s="25" t="s">
        <v>7412</v>
      </c>
      <c r="B1355" s="25" t="s">
        <v>7413</v>
      </c>
      <c r="C1355" s="25" t="s">
        <v>7414</v>
      </c>
      <c r="E1355" s="32" t="s">
        <v>7415</v>
      </c>
      <c r="F1355" s="32" t="s">
        <v>7416</v>
      </c>
      <c r="G1355" s="32" t="s">
        <v>7417</v>
      </c>
      <c r="H1355" s="32" t="s">
        <v>7418</v>
      </c>
      <c r="I1355" s="32" t="s">
        <v>7419</v>
      </c>
      <c r="J1355" s="32"/>
      <c r="N1355" s="24" t="s">
        <v>3418</v>
      </c>
    </row>
    <row r="1356" spans="1:14" x14ac:dyDescent="0.35">
      <c r="A1356" s="25" t="s">
        <v>7420</v>
      </c>
      <c r="B1356" s="25" t="s">
        <v>7421</v>
      </c>
      <c r="C1356" s="25" t="s">
        <v>7422</v>
      </c>
      <c r="E1356" s="32"/>
      <c r="F1356" s="32"/>
      <c r="G1356" s="32"/>
      <c r="H1356" s="32"/>
      <c r="I1356" s="32"/>
      <c r="J1356" s="32"/>
      <c r="N1356" s="24" t="s">
        <v>2308</v>
      </c>
    </row>
    <row r="1357" spans="1:14" ht="16.2" x14ac:dyDescent="0.35">
      <c r="A1357" s="25" t="s">
        <v>9640</v>
      </c>
      <c r="B1357" s="25" t="s">
        <v>7423</v>
      </c>
      <c r="C1357" s="25" t="s">
        <v>7424</v>
      </c>
      <c r="E1357" s="7" t="s">
        <v>9641</v>
      </c>
      <c r="F1357" s="32"/>
      <c r="G1357" s="32"/>
      <c r="H1357" s="32"/>
      <c r="I1357" s="32"/>
      <c r="J1357" s="32"/>
      <c r="N1357" s="24" t="s">
        <v>871</v>
      </c>
    </row>
    <row r="1358" spans="1:14" x14ac:dyDescent="0.35">
      <c r="A1358" s="25" t="s">
        <v>7425</v>
      </c>
      <c r="B1358" s="25" t="s">
        <v>7426</v>
      </c>
      <c r="C1358" s="25" t="s">
        <v>7427</v>
      </c>
      <c r="E1358" s="32" t="s">
        <v>7428</v>
      </c>
      <c r="F1358" s="32"/>
      <c r="G1358" s="32"/>
      <c r="H1358" s="32"/>
      <c r="I1358" s="32"/>
      <c r="J1358" s="32"/>
      <c r="N1358" s="24" t="s">
        <v>2308</v>
      </c>
    </row>
    <row r="1359" spans="1:14" x14ac:dyDescent="0.35">
      <c r="A1359" s="25" t="s">
        <v>7429</v>
      </c>
      <c r="B1359" s="25" t="s">
        <v>7429</v>
      </c>
      <c r="C1359" s="25" t="s">
        <v>7430</v>
      </c>
      <c r="E1359" s="32" t="s">
        <v>7431</v>
      </c>
      <c r="F1359" s="32"/>
      <c r="G1359" s="32"/>
      <c r="H1359" s="32"/>
      <c r="I1359" s="32"/>
      <c r="J1359" s="32"/>
      <c r="N1359" s="24" t="s">
        <v>2308</v>
      </c>
    </row>
    <row r="1360" spans="1:14" x14ac:dyDescent="0.35">
      <c r="A1360" s="25" t="s">
        <v>7432</v>
      </c>
      <c r="B1360" s="25" t="s">
        <v>7433</v>
      </c>
      <c r="C1360" s="25" t="s">
        <v>7434</v>
      </c>
      <c r="E1360" s="32" t="s">
        <v>7435</v>
      </c>
      <c r="F1360" s="32" t="s">
        <v>7436</v>
      </c>
      <c r="G1360" s="32" t="s">
        <v>7437</v>
      </c>
      <c r="H1360" s="32" t="s">
        <v>7438</v>
      </c>
      <c r="I1360" s="32"/>
      <c r="J1360" s="32"/>
      <c r="N1360" s="24" t="s">
        <v>3418</v>
      </c>
    </row>
    <row r="1361" spans="1:14" x14ac:dyDescent="0.35">
      <c r="A1361" s="25" t="s">
        <v>7439</v>
      </c>
      <c r="B1361" s="25" t="s">
        <v>7440</v>
      </c>
      <c r="C1361" s="25" t="s">
        <v>7441</v>
      </c>
      <c r="E1361" s="32" t="s">
        <v>7028</v>
      </c>
      <c r="F1361" s="32" t="s">
        <v>7029</v>
      </c>
      <c r="G1361" s="32" t="s">
        <v>7030</v>
      </c>
      <c r="H1361" s="32" t="s">
        <v>7031</v>
      </c>
      <c r="I1361" s="32" t="s">
        <v>7442</v>
      </c>
      <c r="J1361" s="32"/>
      <c r="N1361" s="24" t="s">
        <v>3418</v>
      </c>
    </row>
    <row r="1362" spans="1:14" x14ac:dyDescent="0.35">
      <c r="A1362" s="25" t="s">
        <v>7443</v>
      </c>
      <c r="B1362" s="25" t="s">
        <v>7444</v>
      </c>
      <c r="C1362" s="25" t="s">
        <v>7445</v>
      </c>
      <c r="E1362" s="32" t="s">
        <v>7446</v>
      </c>
      <c r="F1362" s="32" t="s">
        <v>7447</v>
      </c>
      <c r="G1362" s="32" t="s">
        <v>7448</v>
      </c>
      <c r="H1362" s="32"/>
      <c r="I1362" s="32"/>
      <c r="J1362" s="32"/>
      <c r="N1362" s="24" t="s">
        <v>3418</v>
      </c>
    </row>
    <row r="1363" spans="1:14" x14ac:dyDescent="0.35">
      <c r="A1363" s="25" t="s">
        <v>7449</v>
      </c>
      <c r="B1363" s="25" t="s">
        <v>7450</v>
      </c>
      <c r="C1363" s="25" t="s">
        <v>7451</v>
      </c>
      <c r="E1363" s="32"/>
      <c r="F1363" s="32"/>
      <c r="G1363" s="32"/>
      <c r="H1363" s="32"/>
      <c r="I1363" s="32"/>
      <c r="J1363" s="32"/>
      <c r="N1363" s="24" t="s">
        <v>2308</v>
      </c>
    </row>
    <row r="1364" spans="1:14" x14ac:dyDescent="0.35">
      <c r="A1364" s="25" t="s">
        <v>7452</v>
      </c>
      <c r="B1364" s="25" t="s">
        <v>7453</v>
      </c>
      <c r="C1364" s="25" t="s">
        <v>7454</v>
      </c>
      <c r="E1364" s="32" t="s">
        <v>7455</v>
      </c>
      <c r="F1364" s="32"/>
      <c r="G1364" s="32"/>
      <c r="H1364" s="32"/>
      <c r="I1364" s="32"/>
      <c r="J1364" s="32"/>
      <c r="N1364" s="24" t="s">
        <v>871</v>
      </c>
    </row>
    <row r="1365" spans="1:14" x14ac:dyDescent="0.35">
      <c r="A1365" s="25" t="s">
        <v>7456</v>
      </c>
      <c r="B1365" s="25" t="s">
        <v>7457</v>
      </c>
      <c r="C1365" s="25" t="s">
        <v>7458</v>
      </c>
      <c r="E1365" s="32" t="s">
        <v>7459</v>
      </c>
      <c r="F1365" s="32"/>
      <c r="G1365" s="32"/>
      <c r="H1365" s="32"/>
      <c r="I1365" s="32"/>
      <c r="J1365" s="32"/>
      <c r="N1365" s="24" t="s">
        <v>415</v>
      </c>
    </row>
    <row r="1366" spans="1:14" x14ac:dyDescent="0.35">
      <c r="A1366" s="25" t="s">
        <v>7460</v>
      </c>
      <c r="B1366" s="25" t="s">
        <v>7461</v>
      </c>
      <c r="C1366" s="25" t="s">
        <v>7462</v>
      </c>
      <c r="E1366" s="32" t="s">
        <v>7463</v>
      </c>
      <c r="F1366" s="32"/>
      <c r="G1366" s="32"/>
      <c r="H1366" s="32"/>
      <c r="I1366" s="32"/>
      <c r="J1366" s="32"/>
      <c r="N1366" s="24" t="s">
        <v>415</v>
      </c>
    </row>
    <row r="1367" spans="1:14" x14ac:dyDescent="0.35">
      <c r="A1367" s="25" t="s">
        <v>117</v>
      </c>
      <c r="B1367" s="25" t="s">
        <v>7464</v>
      </c>
      <c r="C1367" s="25" t="s">
        <v>7465</v>
      </c>
      <c r="D1367" s="25" t="s">
        <v>7466</v>
      </c>
      <c r="E1367" s="32" t="s">
        <v>7467</v>
      </c>
      <c r="F1367" s="32"/>
      <c r="G1367" s="32"/>
      <c r="H1367" s="32"/>
      <c r="I1367" s="32"/>
      <c r="J1367" s="32"/>
      <c r="L1367" s="25" t="s">
        <v>120</v>
      </c>
      <c r="N1367" s="24" t="s">
        <v>415</v>
      </c>
    </row>
    <row r="1368" spans="1:14" x14ac:dyDescent="0.35">
      <c r="A1368" s="25" t="s">
        <v>7468</v>
      </c>
      <c r="B1368" s="25" t="s">
        <v>7469</v>
      </c>
      <c r="C1368" s="25" t="s">
        <v>7470</v>
      </c>
      <c r="E1368" s="32" t="s">
        <v>7471</v>
      </c>
      <c r="F1368" s="32"/>
      <c r="G1368" s="32"/>
      <c r="H1368" s="32"/>
      <c r="I1368" s="32"/>
      <c r="J1368" s="32"/>
      <c r="N1368" s="24" t="s">
        <v>415</v>
      </c>
    </row>
    <row r="1369" spans="1:14" x14ac:dyDescent="0.35">
      <c r="A1369" s="25" t="s">
        <v>7472</v>
      </c>
      <c r="B1369" s="25" t="s">
        <v>7473</v>
      </c>
      <c r="C1369" s="25" t="s">
        <v>7474</v>
      </c>
      <c r="E1369" s="32" t="s">
        <v>7475</v>
      </c>
      <c r="F1369" s="32"/>
      <c r="G1369" s="32"/>
      <c r="H1369" s="32"/>
      <c r="I1369" s="32"/>
      <c r="J1369" s="32"/>
      <c r="N1369" s="24" t="s">
        <v>415</v>
      </c>
    </row>
    <row r="1370" spans="1:14" x14ac:dyDescent="0.35">
      <c r="A1370" s="25" t="s">
        <v>7476</v>
      </c>
      <c r="B1370" s="25" t="s">
        <v>7477</v>
      </c>
      <c r="C1370" s="25" t="s">
        <v>7478</v>
      </c>
      <c r="E1370" s="32" t="s">
        <v>7479</v>
      </c>
      <c r="F1370" s="32"/>
      <c r="G1370" s="32"/>
      <c r="H1370" s="32"/>
      <c r="I1370" s="32"/>
      <c r="J1370" s="32"/>
      <c r="N1370" s="24" t="s">
        <v>415</v>
      </c>
    </row>
    <row r="1371" spans="1:14" x14ac:dyDescent="0.35">
      <c r="A1371" s="25" t="s">
        <v>7480</v>
      </c>
      <c r="B1371" s="25" t="s">
        <v>7481</v>
      </c>
      <c r="C1371" s="25" t="s">
        <v>7482</v>
      </c>
      <c r="E1371" s="32" t="s">
        <v>7483</v>
      </c>
      <c r="F1371" s="32"/>
      <c r="G1371" s="32"/>
      <c r="H1371" s="32"/>
      <c r="I1371" s="32"/>
      <c r="J1371" s="32"/>
      <c r="N1371" s="24" t="s">
        <v>415</v>
      </c>
    </row>
    <row r="1372" spans="1:14" x14ac:dyDescent="0.35">
      <c r="A1372" s="25" t="s">
        <v>7484</v>
      </c>
      <c r="B1372" s="25" t="s">
        <v>7485</v>
      </c>
      <c r="C1372" s="25" t="s">
        <v>7486</v>
      </c>
      <c r="E1372" s="32" t="s">
        <v>7487</v>
      </c>
      <c r="F1372" s="32" t="s">
        <v>7488</v>
      </c>
      <c r="G1372" s="32" t="s">
        <v>7489</v>
      </c>
      <c r="H1372" s="32" t="s">
        <v>7490</v>
      </c>
      <c r="I1372" s="32" t="s">
        <v>7491</v>
      </c>
      <c r="J1372" s="32"/>
      <c r="N1372" s="24" t="s">
        <v>415</v>
      </c>
    </row>
    <row r="1373" spans="1:14" x14ac:dyDescent="0.35">
      <c r="A1373" s="25" t="s">
        <v>7492</v>
      </c>
      <c r="B1373" s="25" t="s">
        <v>7493</v>
      </c>
      <c r="C1373" s="25" t="s">
        <v>7494</v>
      </c>
      <c r="E1373" s="32" t="s">
        <v>7495</v>
      </c>
      <c r="F1373" s="32"/>
      <c r="G1373" s="32"/>
      <c r="H1373" s="32"/>
      <c r="I1373" s="32"/>
      <c r="J1373" s="32"/>
      <c r="N1373" s="24" t="s">
        <v>415</v>
      </c>
    </row>
    <row r="1374" spans="1:14" x14ac:dyDescent="0.35">
      <c r="A1374" s="25" t="s">
        <v>7496</v>
      </c>
      <c r="B1374" s="25" t="s">
        <v>7497</v>
      </c>
      <c r="C1374" s="25" t="s">
        <v>7498</v>
      </c>
      <c r="E1374" s="32" t="s">
        <v>7499</v>
      </c>
      <c r="F1374" s="32"/>
      <c r="G1374" s="32"/>
      <c r="H1374" s="32"/>
      <c r="I1374" s="32"/>
      <c r="J1374" s="32"/>
      <c r="N1374" s="24" t="s">
        <v>415</v>
      </c>
    </row>
    <row r="1375" spans="1:14" x14ac:dyDescent="0.35">
      <c r="A1375" s="25" t="s">
        <v>7500</v>
      </c>
      <c r="B1375" s="25" t="s">
        <v>7501</v>
      </c>
      <c r="C1375" s="25" t="s">
        <v>7502</v>
      </c>
      <c r="E1375" s="32" t="s">
        <v>7503</v>
      </c>
      <c r="F1375" s="32"/>
      <c r="G1375" s="32"/>
      <c r="H1375" s="32"/>
      <c r="I1375" s="32"/>
      <c r="J1375" s="32"/>
      <c r="N1375" s="24" t="s">
        <v>415</v>
      </c>
    </row>
    <row r="1376" spans="1:14" x14ac:dyDescent="0.35">
      <c r="A1376" s="25" t="s">
        <v>7504</v>
      </c>
      <c r="B1376" s="25" t="s">
        <v>7505</v>
      </c>
      <c r="C1376" s="25" t="s">
        <v>7506</v>
      </c>
      <c r="E1376" s="32" t="s">
        <v>7507</v>
      </c>
      <c r="F1376" s="32"/>
      <c r="G1376" s="32"/>
      <c r="H1376" s="32"/>
      <c r="I1376" s="32"/>
      <c r="J1376" s="32"/>
      <c r="N1376" s="24" t="s">
        <v>415</v>
      </c>
    </row>
    <row r="1377" spans="1:14" x14ac:dyDescent="0.35">
      <c r="A1377" s="25" t="s">
        <v>7508</v>
      </c>
      <c r="B1377" s="25" t="s">
        <v>7509</v>
      </c>
      <c r="C1377" s="25" t="s">
        <v>7510</v>
      </c>
      <c r="E1377" s="32" t="s">
        <v>7511</v>
      </c>
      <c r="F1377" s="32"/>
      <c r="G1377" s="32"/>
      <c r="H1377" s="32"/>
      <c r="I1377" s="32"/>
      <c r="J1377" s="32"/>
      <c r="N1377" s="24" t="s">
        <v>3418</v>
      </c>
    </row>
    <row r="1378" spans="1:14" x14ac:dyDescent="0.35">
      <c r="A1378" s="25" t="s">
        <v>7512</v>
      </c>
      <c r="B1378" s="25" t="s">
        <v>7513</v>
      </c>
      <c r="C1378" s="25" t="s">
        <v>7514</v>
      </c>
      <c r="E1378" s="32" t="s">
        <v>7515</v>
      </c>
      <c r="F1378" s="32"/>
      <c r="G1378" s="32"/>
      <c r="H1378" s="32"/>
      <c r="I1378" s="32"/>
      <c r="J1378" s="32"/>
      <c r="N1378" s="24" t="s">
        <v>415</v>
      </c>
    </row>
    <row r="1379" spans="1:14" x14ac:dyDescent="0.35">
      <c r="A1379" s="25" t="s">
        <v>7516</v>
      </c>
      <c r="B1379" s="25" t="s">
        <v>7517</v>
      </c>
      <c r="C1379" s="25" t="s">
        <v>7518</v>
      </c>
      <c r="E1379" s="32" t="s">
        <v>3763</v>
      </c>
      <c r="F1379" s="32" t="s">
        <v>7519</v>
      </c>
      <c r="G1379" s="32" t="s">
        <v>7520</v>
      </c>
      <c r="H1379" s="32" t="s">
        <v>7521</v>
      </c>
      <c r="I1379" s="32"/>
      <c r="J1379" s="32"/>
      <c r="N1379" s="24" t="s">
        <v>1169</v>
      </c>
    </row>
    <row r="1380" spans="1:14" x14ac:dyDescent="0.35">
      <c r="A1380" s="25" t="s">
        <v>7522</v>
      </c>
      <c r="B1380" s="25" t="s">
        <v>7523</v>
      </c>
      <c r="C1380" s="25" t="s">
        <v>7524</v>
      </c>
      <c r="E1380" s="32" t="s">
        <v>7525</v>
      </c>
      <c r="F1380" s="32"/>
      <c r="G1380" s="32"/>
      <c r="H1380" s="32"/>
      <c r="I1380" s="32"/>
      <c r="J1380" s="32"/>
      <c r="N1380" s="24" t="s">
        <v>1169</v>
      </c>
    </row>
    <row r="1381" spans="1:14" x14ac:dyDescent="0.35">
      <c r="A1381" s="25" t="s">
        <v>7526</v>
      </c>
      <c r="B1381" s="25" t="s">
        <v>7527</v>
      </c>
      <c r="C1381" s="25" t="s">
        <v>7528</v>
      </c>
      <c r="E1381" s="32" t="s">
        <v>7529</v>
      </c>
      <c r="F1381" s="32" t="s">
        <v>7530</v>
      </c>
      <c r="G1381" s="32" t="s">
        <v>7531</v>
      </c>
      <c r="H1381" s="32" t="s">
        <v>7532</v>
      </c>
      <c r="I1381" s="32" t="s">
        <v>7533</v>
      </c>
      <c r="J1381" s="32"/>
      <c r="N1381" s="24" t="s">
        <v>415</v>
      </c>
    </row>
    <row r="1382" spans="1:14" x14ac:dyDescent="0.35">
      <c r="A1382" s="25" t="s">
        <v>7534</v>
      </c>
      <c r="B1382" s="25" t="s">
        <v>7535</v>
      </c>
      <c r="C1382" s="25" t="s">
        <v>7536</v>
      </c>
      <c r="E1382" s="32" t="s">
        <v>5155</v>
      </c>
      <c r="F1382" s="32" t="s">
        <v>5156</v>
      </c>
      <c r="G1382" s="32" t="s">
        <v>5157</v>
      </c>
      <c r="N1382" s="24" t="s">
        <v>3418</v>
      </c>
    </row>
    <row r="1383" spans="1:14" x14ac:dyDescent="0.35">
      <c r="A1383" s="25" t="s">
        <v>7537</v>
      </c>
      <c r="B1383" s="25" t="s">
        <v>7537</v>
      </c>
      <c r="C1383" s="25" t="s">
        <v>7538</v>
      </c>
      <c r="E1383" s="32" t="s">
        <v>7539</v>
      </c>
      <c r="F1383" s="32" t="s">
        <v>7540</v>
      </c>
      <c r="G1383" s="32" t="s">
        <v>9461</v>
      </c>
      <c r="H1383" s="32" t="s">
        <v>4024</v>
      </c>
      <c r="I1383" s="32" t="s">
        <v>7541</v>
      </c>
      <c r="N1383" s="24" t="s">
        <v>415</v>
      </c>
    </row>
    <row r="1384" spans="1:14" x14ac:dyDescent="0.35">
      <c r="A1384" s="25" t="s">
        <v>7542</v>
      </c>
      <c r="B1384" s="25" t="s">
        <v>7543</v>
      </c>
      <c r="C1384" s="25" t="s">
        <v>7544</v>
      </c>
      <c r="E1384" s="32" t="s">
        <v>7545</v>
      </c>
      <c r="F1384" s="32" t="s">
        <v>7546</v>
      </c>
      <c r="N1384" s="24" t="s">
        <v>458</v>
      </c>
    </row>
    <row r="1385" spans="1:14" x14ac:dyDescent="0.35">
      <c r="A1385" s="25" t="s">
        <v>7547</v>
      </c>
      <c r="B1385" s="25" t="s">
        <v>7548</v>
      </c>
      <c r="C1385" s="25" t="s">
        <v>7549</v>
      </c>
      <c r="E1385" s="32" t="s">
        <v>7550</v>
      </c>
      <c r="N1385" s="24" t="s">
        <v>458</v>
      </c>
    </row>
    <row r="1386" spans="1:14" x14ac:dyDescent="0.35">
      <c r="A1386" s="25" t="s">
        <v>7551</v>
      </c>
      <c r="B1386" s="25" t="s">
        <v>7552</v>
      </c>
      <c r="C1386" s="25" t="s">
        <v>7553</v>
      </c>
      <c r="E1386" s="32" t="s">
        <v>7554</v>
      </c>
      <c r="N1386" s="24" t="s">
        <v>458</v>
      </c>
    </row>
    <row r="1387" spans="1:14" x14ac:dyDescent="0.35">
      <c r="A1387" s="25" t="s">
        <v>7555</v>
      </c>
      <c r="B1387" s="25" t="s">
        <v>7556</v>
      </c>
      <c r="C1387" s="25" t="s">
        <v>7557</v>
      </c>
      <c r="E1387" s="32" t="s">
        <v>7558</v>
      </c>
      <c r="N1387" s="24" t="s">
        <v>458</v>
      </c>
    </row>
    <row r="1388" spans="1:14" x14ac:dyDescent="0.35">
      <c r="A1388" s="25" t="s">
        <v>7559</v>
      </c>
      <c r="B1388" s="25" t="s">
        <v>7560</v>
      </c>
      <c r="C1388" s="25" t="s">
        <v>7561</v>
      </c>
      <c r="E1388" s="32" t="s">
        <v>7562</v>
      </c>
      <c r="N1388" s="24" t="s">
        <v>458</v>
      </c>
    </row>
    <row r="1389" spans="1:14" x14ac:dyDescent="0.35">
      <c r="A1389" s="25" t="s">
        <v>7563</v>
      </c>
      <c r="B1389" s="25" t="s">
        <v>7564</v>
      </c>
      <c r="C1389" s="25" t="s">
        <v>7565</v>
      </c>
      <c r="E1389" s="32" t="s">
        <v>7566</v>
      </c>
      <c r="N1389" s="24" t="s">
        <v>458</v>
      </c>
    </row>
    <row r="1390" spans="1:14" x14ac:dyDescent="0.35">
      <c r="A1390" s="25" t="s">
        <v>7567</v>
      </c>
      <c r="B1390" s="25" t="s">
        <v>7568</v>
      </c>
      <c r="C1390" s="25" t="s">
        <v>7569</v>
      </c>
      <c r="E1390" s="32" t="s">
        <v>7570</v>
      </c>
      <c r="N1390" s="24" t="s">
        <v>458</v>
      </c>
    </row>
    <row r="1391" spans="1:14" x14ac:dyDescent="0.35">
      <c r="A1391" s="25" t="s">
        <v>7571</v>
      </c>
      <c r="B1391" s="25" t="s">
        <v>7572</v>
      </c>
      <c r="C1391" s="25" t="s">
        <v>7573</v>
      </c>
      <c r="E1391" s="32" t="s">
        <v>7574</v>
      </c>
      <c r="F1391" s="32" t="s">
        <v>7575</v>
      </c>
      <c r="N1391" s="24" t="s">
        <v>3418</v>
      </c>
    </row>
    <row r="1392" spans="1:14" x14ac:dyDescent="0.35">
      <c r="A1392" s="25" t="s">
        <v>7576</v>
      </c>
      <c r="B1392" s="25" t="s">
        <v>7577</v>
      </c>
      <c r="C1392" s="25" t="s">
        <v>7578</v>
      </c>
      <c r="E1392" s="32" t="s">
        <v>7579</v>
      </c>
      <c r="N1392" s="24" t="s">
        <v>3418</v>
      </c>
    </row>
    <row r="1393" spans="1:14" x14ac:dyDescent="0.35">
      <c r="A1393" s="25" t="s">
        <v>7580</v>
      </c>
      <c r="B1393" s="25" t="s">
        <v>7581</v>
      </c>
      <c r="C1393" s="25" t="s">
        <v>7582</v>
      </c>
      <c r="E1393" s="32" t="s">
        <v>10141</v>
      </c>
      <c r="N1393" s="24" t="s">
        <v>3418</v>
      </c>
    </row>
    <row r="1394" spans="1:14" x14ac:dyDescent="0.35">
      <c r="A1394" s="25" t="s">
        <v>7583</v>
      </c>
      <c r="B1394" s="25" t="s">
        <v>7584</v>
      </c>
      <c r="C1394" s="25" t="s">
        <v>7585</v>
      </c>
      <c r="E1394" s="32" t="s">
        <v>7586</v>
      </c>
      <c r="F1394" s="32" t="s">
        <v>7587</v>
      </c>
      <c r="G1394" s="32" t="s">
        <v>7588</v>
      </c>
      <c r="H1394" s="32" t="s">
        <v>7589</v>
      </c>
      <c r="I1394" s="32" t="s">
        <v>7590</v>
      </c>
      <c r="N1394" s="24" t="s">
        <v>415</v>
      </c>
    </row>
    <row r="1395" spans="1:14" x14ac:dyDescent="0.35">
      <c r="A1395" s="25" t="s">
        <v>7591</v>
      </c>
      <c r="B1395" s="25" t="s">
        <v>7592</v>
      </c>
      <c r="C1395" s="25" t="s">
        <v>7593</v>
      </c>
      <c r="E1395" s="32" t="s">
        <v>81</v>
      </c>
      <c r="F1395" s="32" t="s">
        <v>7594</v>
      </c>
      <c r="G1395" s="32" t="s">
        <v>7595</v>
      </c>
      <c r="H1395" s="32" t="s">
        <v>7596</v>
      </c>
      <c r="I1395" s="32" t="s">
        <v>7597</v>
      </c>
      <c r="J1395" s="32" t="s">
        <v>7598</v>
      </c>
      <c r="N1395" s="24" t="s">
        <v>1696</v>
      </c>
    </row>
    <row r="1396" spans="1:14" x14ac:dyDescent="0.35">
      <c r="A1396" s="25" t="s">
        <v>23</v>
      </c>
      <c r="B1396" s="25" t="s">
        <v>7599</v>
      </c>
      <c r="C1396" s="25" t="s">
        <v>7600</v>
      </c>
      <c r="E1396" s="32" t="s">
        <v>28</v>
      </c>
      <c r="N1396" s="24" t="s">
        <v>415</v>
      </c>
    </row>
    <row r="1397" spans="1:14" x14ac:dyDescent="0.35">
      <c r="A1397" s="25" t="s">
        <v>7601</v>
      </c>
      <c r="B1397" s="25" t="s">
        <v>7602</v>
      </c>
      <c r="C1397" s="25" t="s">
        <v>7603</v>
      </c>
      <c r="E1397" s="25" t="s">
        <v>51</v>
      </c>
      <c r="N1397" s="24" t="s">
        <v>415</v>
      </c>
    </row>
    <row r="1398" spans="1:14" x14ac:dyDescent="0.35">
      <c r="A1398" s="25" t="s">
        <v>7604</v>
      </c>
      <c r="B1398" s="25" t="s">
        <v>7605</v>
      </c>
      <c r="C1398" s="25" t="s">
        <v>7606</v>
      </c>
      <c r="N1398" s="24" t="s">
        <v>3418</v>
      </c>
    </row>
    <row r="1399" spans="1:14" x14ac:dyDescent="0.35">
      <c r="A1399" s="25" t="s">
        <v>7607</v>
      </c>
      <c r="B1399" s="25" t="s">
        <v>7608</v>
      </c>
      <c r="C1399" s="25" t="s">
        <v>7609</v>
      </c>
      <c r="N1399" s="24" t="s">
        <v>3418</v>
      </c>
    </row>
    <row r="1400" spans="1:14" x14ac:dyDescent="0.35">
      <c r="A1400" s="25" t="s">
        <v>249</v>
      </c>
      <c r="B1400" s="25" t="s">
        <v>7610</v>
      </c>
      <c r="C1400" s="25" t="s">
        <v>7611</v>
      </c>
      <c r="E1400" s="32" t="s">
        <v>9715</v>
      </c>
      <c r="F1400" s="32" t="s">
        <v>9716</v>
      </c>
      <c r="N1400" s="24" t="s">
        <v>415</v>
      </c>
    </row>
    <row r="1401" spans="1:14" x14ac:dyDescent="0.35">
      <c r="A1401" s="25" t="s">
        <v>7612</v>
      </c>
      <c r="B1401" s="25" t="s">
        <v>7613</v>
      </c>
      <c r="C1401" s="25" t="s">
        <v>7614</v>
      </c>
      <c r="N1401" s="24" t="s">
        <v>415</v>
      </c>
    </row>
    <row r="1402" spans="1:14" x14ac:dyDescent="0.35">
      <c r="A1402" s="25" t="s">
        <v>7615</v>
      </c>
      <c r="B1402" s="25" t="s">
        <v>7616</v>
      </c>
      <c r="C1402" s="25" t="s">
        <v>7617</v>
      </c>
      <c r="N1402" s="24" t="s">
        <v>3418</v>
      </c>
    </row>
    <row r="1403" spans="1:14" x14ac:dyDescent="0.35">
      <c r="A1403" s="25" t="s">
        <v>1169</v>
      </c>
      <c r="B1403" s="25" t="s">
        <v>1169</v>
      </c>
      <c r="C1403" s="25" t="s">
        <v>7618</v>
      </c>
      <c r="E1403" s="32" t="s">
        <v>68</v>
      </c>
      <c r="N1403" s="24" t="s">
        <v>1169</v>
      </c>
    </row>
    <row r="1404" spans="1:14" x14ac:dyDescent="0.35">
      <c r="A1404" s="25" t="s">
        <v>242</v>
      </c>
      <c r="B1404" s="25" t="s">
        <v>7619</v>
      </c>
      <c r="C1404" s="25" t="s">
        <v>7620</v>
      </c>
      <c r="E1404" s="32" t="s">
        <v>245</v>
      </c>
      <c r="N1404" s="24" t="s">
        <v>415</v>
      </c>
    </row>
    <row r="1405" spans="1:14" x14ac:dyDescent="0.35">
      <c r="A1405" s="25" t="s">
        <v>7621</v>
      </c>
      <c r="B1405" s="25" t="s">
        <v>7622</v>
      </c>
      <c r="C1405" s="25" t="s">
        <v>7623</v>
      </c>
      <c r="N1405" s="24" t="s">
        <v>3418</v>
      </c>
    </row>
    <row r="1406" spans="1:14" x14ac:dyDescent="0.35">
      <c r="A1406" s="25" t="s">
        <v>7624</v>
      </c>
      <c r="B1406" s="25" t="s">
        <v>7625</v>
      </c>
      <c r="C1406" s="25" t="s">
        <v>7626</v>
      </c>
      <c r="E1406" s="32" t="s">
        <v>57</v>
      </c>
      <c r="N1406" s="24" t="s">
        <v>415</v>
      </c>
    </row>
    <row r="1407" spans="1:14" x14ac:dyDescent="0.35">
      <c r="A1407" s="25" t="s">
        <v>7627</v>
      </c>
      <c r="B1407" s="25" t="s">
        <v>7628</v>
      </c>
      <c r="C1407" s="25" t="s">
        <v>7629</v>
      </c>
      <c r="N1407" s="24" t="s">
        <v>3418</v>
      </c>
    </row>
    <row r="1408" spans="1:14" x14ac:dyDescent="0.35">
      <c r="A1408" s="25" t="s">
        <v>7630</v>
      </c>
      <c r="B1408" s="25" t="s">
        <v>7631</v>
      </c>
      <c r="C1408" s="25" t="s">
        <v>9423</v>
      </c>
      <c r="D1408" s="25" t="s">
        <v>9424</v>
      </c>
      <c r="N1408" s="24" t="s">
        <v>3418</v>
      </c>
    </row>
    <row r="1409" spans="1:14" ht="16.2" x14ac:dyDescent="0.35">
      <c r="A1409" s="25" t="s">
        <v>7632</v>
      </c>
      <c r="B1409" s="25" t="s">
        <v>734</v>
      </c>
      <c r="C1409" s="25" t="s">
        <v>7633</v>
      </c>
      <c r="E1409" s="32" t="s">
        <v>7634</v>
      </c>
      <c r="F1409" s="32" t="s">
        <v>7635</v>
      </c>
      <c r="G1409" s="32" t="s">
        <v>7636</v>
      </c>
      <c r="H1409" s="32" t="s">
        <v>7637</v>
      </c>
      <c r="I1409" s="7" t="s">
        <v>9728</v>
      </c>
      <c r="N1409" s="24" t="s">
        <v>415</v>
      </c>
    </row>
    <row r="1410" spans="1:14" ht="16.2" x14ac:dyDescent="0.35">
      <c r="A1410" s="25" t="s">
        <v>7638</v>
      </c>
      <c r="B1410" s="25" t="s">
        <v>7639</v>
      </c>
      <c r="C1410" s="25" t="s">
        <v>7640</v>
      </c>
      <c r="E1410" s="32" t="s">
        <v>7641</v>
      </c>
      <c r="F1410" s="7" t="s">
        <v>10230</v>
      </c>
      <c r="N1410" s="24" t="s">
        <v>458</v>
      </c>
    </row>
    <row r="1411" spans="1:14" x14ac:dyDescent="0.35">
      <c r="A1411" s="25" t="s">
        <v>7642</v>
      </c>
      <c r="B1411" s="25" t="s">
        <v>7643</v>
      </c>
      <c r="C1411" s="25" t="s">
        <v>9438</v>
      </c>
      <c r="D1411" s="25" t="s">
        <v>9440</v>
      </c>
      <c r="N1411" s="24" t="s">
        <v>3418</v>
      </c>
    </row>
    <row r="1412" spans="1:14" x14ac:dyDescent="0.35">
      <c r="A1412" s="25" t="s">
        <v>7644</v>
      </c>
      <c r="B1412" s="25" t="s">
        <v>7645</v>
      </c>
      <c r="C1412" s="25" t="s">
        <v>9439</v>
      </c>
      <c r="N1412" s="24" t="s">
        <v>3418</v>
      </c>
    </row>
    <row r="1413" spans="1:14" x14ac:dyDescent="0.35">
      <c r="A1413" s="25" t="s">
        <v>7646</v>
      </c>
      <c r="B1413" s="25" t="s">
        <v>7647</v>
      </c>
      <c r="C1413" s="25" t="s">
        <v>6168</v>
      </c>
      <c r="E1413" s="32" t="s">
        <v>6169</v>
      </c>
      <c r="F1413" s="32" t="s">
        <v>6170</v>
      </c>
      <c r="G1413" s="32" t="s">
        <v>6171</v>
      </c>
      <c r="H1413" s="32" t="s">
        <v>6172</v>
      </c>
      <c r="I1413" s="32" t="s">
        <v>6173</v>
      </c>
      <c r="J1413" s="32"/>
      <c r="N1413" s="24" t="s">
        <v>415</v>
      </c>
    </row>
    <row r="1414" spans="1:14" x14ac:dyDescent="0.35">
      <c r="A1414" s="25" t="s">
        <v>7648</v>
      </c>
      <c r="B1414" s="25" t="s">
        <v>7649</v>
      </c>
      <c r="C1414" s="25" t="s">
        <v>9441</v>
      </c>
      <c r="N1414" s="24" t="s">
        <v>3418</v>
      </c>
    </row>
    <row r="1415" spans="1:14" x14ac:dyDescent="0.35">
      <c r="A1415" s="25" t="s">
        <v>7650</v>
      </c>
      <c r="B1415" s="25" t="s">
        <v>7651</v>
      </c>
      <c r="C1415" s="25" t="s">
        <v>7652</v>
      </c>
      <c r="E1415" s="32" t="s">
        <v>7653</v>
      </c>
      <c r="F1415" s="32" t="s">
        <v>7654</v>
      </c>
      <c r="G1415" s="32" t="s">
        <v>7655</v>
      </c>
      <c r="N1415" s="24" t="s">
        <v>415</v>
      </c>
    </row>
    <row r="1416" spans="1:14" x14ac:dyDescent="0.35">
      <c r="A1416" s="25" t="s">
        <v>7656</v>
      </c>
      <c r="B1416" s="25" t="s">
        <v>2960</v>
      </c>
      <c r="C1416" s="25" t="s">
        <v>7657</v>
      </c>
      <c r="E1416" s="32" t="s">
        <v>7658</v>
      </c>
      <c r="F1416" s="32" t="s">
        <v>7659</v>
      </c>
      <c r="G1416" s="32" t="s">
        <v>7660</v>
      </c>
      <c r="H1416" s="32" t="s">
        <v>7661</v>
      </c>
      <c r="I1416" s="32" t="s">
        <v>7662</v>
      </c>
      <c r="J1416" s="32" t="s">
        <v>7663</v>
      </c>
      <c r="N1416" s="24" t="s">
        <v>415</v>
      </c>
    </row>
    <row r="1417" spans="1:14" x14ac:dyDescent="0.35">
      <c r="A1417" s="25" t="s">
        <v>7664</v>
      </c>
      <c r="B1417" s="25" t="s">
        <v>2960</v>
      </c>
      <c r="C1417" s="25" t="s">
        <v>7665</v>
      </c>
      <c r="E1417" s="32" t="s">
        <v>7666</v>
      </c>
      <c r="F1417" s="32" t="s">
        <v>7667</v>
      </c>
      <c r="G1417" s="32" t="s">
        <v>7668</v>
      </c>
      <c r="H1417" s="32" t="s">
        <v>7669</v>
      </c>
      <c r="I1417" s="32" t="s">
        <v>7670</v>
      </c>
      <c r="J1417" s="32" t="s">
        <v>7671</v>
      </c>
      <c r="N1417" s="24" t="s">
        <v>415</v>
      </c>
    </row>
    <row r="1418" spans="1:14" x14ac:dyDescent="0.35">
      <c r="A1418" s="25" t="s">
        <v>7672</v>
      </c>
      <c r="B1418" s="25" t="s">
        <v>7673</v>
      </c>
      <c r="C1418" s="25" t="s">
        <v>7674</v>
      </c>
      <c r="E1418" s="32" t="s">
        <v>7675</v>
      </c>
      <c r="F1418" s="32" t="s">
        <v>7676</v>
      </c>
      <c r="G1418" s="32" t="s">
        <v>7677</v>
      </c>
      <c r="H1418" s="32" t="s">
        <v>7678</v>
      </c>
      <c r="I1418" s="32" t="s">
        <v>7679</v>
      </c>
      <c r="J1418" s="32"/>
      <c r="N1418" s="24" t="s">
        <v>415</v>
      </c>
    </row>
    <row r="1419" spans="1:14" x14ac:dyDescent="0.35">
      <c r="A1419" s="25" t="s">
        <v>9408</v>
      </c>
      <c r="B1419" s="25" t="s">
        <v>9409</v>
      </c>
      <c r="C1419" s="25" t="s">
        <v>9442</v>
      </c>
      <c r="N1419" s="25" t="s">
        <v>3418</v>
      </c>
    </row>
    <row r="1420" spans="1:14" x14ac:dyDescent="0.35">
      <c r="A1420" s="25" t="s">
        <v>9421</v>
      </c>
      <c r="B1420" s="25" t="s">
        <v>9425</v>
      </c>
      <c r="C1420" s="25" t="s">
        <v>9422</v>
      </c>
      <c r="N1420" s="25" t="s">
        <v>415</v>
      </c>
    </row>
    <row r="1421" spans="1:14" x14ac:dyDescent="0.35">
      <c r="A1421" s="25" t="s">
        <v>9443</v>
      </c>
      <c r="B1421" s="25" t="s">
        <v>9444</v>
      </c>
      <c r="C1421" s="25" t="s">
        <v>9445</v>
      </c>
      <c r="N1421" s="25" t="s">
        <v>415</v>
      </c>
    </row>
    <row r="1422" spans="1:14" x14ac:dyDescent="0.35">
      <c r="A1422" s="25" t="s">
        <v>9462</v>
      </c>
      <c r="B1422" s="25" t="s">
        <v>9463</v>
      </c>
      <c r="C1422" s="25" t="s">
        <v>9464</v>
      </c>
      <c r="N1422" s="25" t="s">
        <v>3418</v>
      </c>
    </row>
    <row r="1423" spans="1:14" x14ac:dyDescent="0.35">
      <c r="A1423" s="25" t="s">
        <v>9467</v>
      </c>
      <c r="B1423" s="25" t="s">
        <v>9466</v>
      </c>
      <c r="C1423" s="25" t="s">
        <v>9468</v>
      </c>
      <c r="N1423" s="25" t="s">
        <v>2308</v>
      </c>
    </row>
    <row r="1424" spans="1:14" x14ac:dyDescent="0.35">
      <c r="A1424" s="25" t="s">
        <v>7771</v>
      </c>
      <c r="B1424" s="25" t="s">
        <v>7808</v>
      </c>
      <c r="C1424" s="25" t="s">
        <v>9469</v>
      </c>
      <c r="N1424" s="25" t="s">
        <v>2308</v>
      </c>
    </row>
    <row r="1425" spans="1:14" x14ac:dyDescent="0.35">
      <c r="A1425" s="25" t="s">
        <v>9473</v>
      </c>
      <c r="B1425" s="25" t="s">
        <v>9472</v>
      </c>
      <c r="C1425" s="25" t="s">
        <v>9474</v>
      </c>
      <c r="E1425" s="32" t="s">
        <v>9699</v>
      </c>
      <c r="F1425" s="32" t="s">
        <v>9700</v>
      </c>
      <c r="G1425" s="32" t="s">
        <v>9701</v>
      </c>
      <c r="H1425" s="32" t="s">
        <v>9702</v>
      </c>
      <c r="I1425" s="32" t="s">
        <v>9703</v>
      </c>
      <c r="N1425" s="25" t="s">
        <v>415</v>
      </c>
    </row>
    <row r="1426" spans="1:14" x14ac:dyDescent="0.35">
      <c r="A1426" s="25" t="s">
        <v>9475</v>
      </c>
      <c r="B1426" s="25" t="s">
        <v>9476</v>
      </c>
      <c r="C1426" s="25" t="s">
        <v>9477</v>
      </c>
      <c r="D1426" s="25" t="s">
        <v>9478</v>
      </c>
      <c r="N1426" s="25" t="s">
        <v>3418</v>
      </c>
    </row>
    <row r="1427" spans="1:14" x14ac:dyDescent="0.35">
      <c r="A1427" s="25" t="s">
        <v>9480</v>
      </c>
      <c r="B1427" s="25" t="s">
        <v>6912</v>
      </c>
      <c r="C1427" s="25" t="s">
        <v>9479</v>
      </c>
      <c r="N1427" s="25" t="s">
        <v>2308</v>
      </c>
    </row>
    <row r="1428" spans="1:14" x14ac:dyDescent="0.35">
      <c r="A1428" s="25" t="s">
        <v>9491</v>
      </c>
      <c r="B1428" s="25" t="s">
        <v>9492</v>
      </c>
      <c r="C1428" s="25" t="s">
        <v>9493</v>
      </c>
      <c r="N1428" s="25" t="s">
        <v>415</v>
      </c>
    </row>
    <row r="1429" spans="1:14" x14ac:dyDescent="0.35">
      <c r="A1429" s="25" t="s">
        <v>9494</v>
      </c>
      <c r="B1429" s="25" t="s">
        <v>9495</v>
      </c>
      <c r="C1429" s="25" t="s">
        <v>9496</v>
      </c>
      <c r="N1429" s="25" t="s">
        <v>415</v>
      </c>
    </row>
    <row r="1430" spans="1:14" x14ac:dyDescent="0.35">
      <c r="A1430" s="25" t="s">
        <v>9723</v>
      </c>
      <c r="B1430" s="25" t="s">
        <v>9724</v>
      </c>
      <c r="C1430" s="25" t="s">
        <v>9497</v>
      </c>
      <c r="E1430" s="32" t="s">
        <v>9725</v>
      </c>
      <c r="F1430" s="32" t="s">
        <v>9726</v>
      </c>
      <c r="G1430" s="32" t="s">
        <v>9727</v>
      </c>
      <c r="N1430" s="25" t="s">
        <v>458</v>
      </c>
    </row>
    <row r="1431" spans="1:14" x14ac:dyDescent="0.35">
      <c r="A1431" s="25" t="s">
        <v>9505</v>
      </c>
      <c r="B1431" s="25" t="s">
        <v>9504</v>
      </c>
      <c r="C1431" s="25" t="s">
        <v>9506</v>
      </c>
      <c r="E1431" s="32" t="s">
        <v>9507</v>
      </c>
      <c r="F1431" s="32" t="s">
        <v>9508</v>
      </c>
      <c r="G1431" s="32" t="s">
        <v>9509</v>
      </c>
      <c r="H1431" s="32" t="s">
        <v>9510</v>
      </c>
      <c r="I1431" s="32" t="s">
        <v>9511</v>
      </c>
      <c r="J1431" s="32" t="s">
        <v>9512</v>
      </c>
      <c r="N1431" s="25" t="s">
        <v>415</v>
      </c>
    </row>
    <row r="1432" spans="1:14" ht="16.2" x14ac:dyDescent="0.35">
      <c r="A1432" s="25" t="s">
        <v>9514</v>
      </c>
      <c r="B1432" s="25" t="s">
        <v>9515</v>
      </c>
      <c r="C1432" s="25" t="s">
        <v>9562</v>
      </c>
      <c r="E1432" s="7" t="s">
        <v>9563</v>
      </c>
      <c r="F1432" s="7" t="s">
        <v>9564</v>
      </c>
      <c r="G1432" s="7" t="s">
        <v>9565</v>
      </c>
      <c r="H1432" s="7" t="s">
        <v>9566</v>
      </c>
      <c r="I1432" s="7" t="s">
        <v>9567</v>
      </c>
      <c r="J1432" s="7" t="s">
        <v>9568</v>
      </c>
      <c r="N1432" s="25" t="s">
        <v>3418</v>
      </c>
    </row>
    <row r="1433" spans="1:14" x14ac:dyDescent="0.35">
      <c r="A1433" s="25" t="s">
        <v>9524</v>
      </c>
      <c r="B1433" s="25" t="s">
        <v>6511</v>
      </c>
      <c r="C1433" s="25" t="s">
        <v>9525</v>
      </c>
      <c r="E1433" s="32" t="s">
        <v>9532</v>
      </c>
      <c r="N1433" s="25" t="s">
        <v>458</v>
      </c>
    </row>
    <row r="1434" spans="1:14" x14ac:dyDescent="0.35">
      <c r="A1434" s="25" t="s">
        <v>9528</v>
      </c>
      <c r="B1434" s="25" t="s">
        <v>9528</v>
      </c>
      <c r="C1434" s="25" t="s">
        <v>9529</v>
      </c>
      <c r="N1434" s="25" t="s">
        <v>871</v>
      </c>
    </row>
    <row r="1435" spans="1:14" x14ac:dyDescent="0.35">
      <c r="A1435" s="25" t="s">
        <v>7749</v>
      </c>
      <c r="B1435" s="25" t="s">
        <v>7749</v>
      </c>
      <c r="C1435" s="25" t="s">
        <v>9534</v>
      </c>
      <c r="N1435" s="25" t="s">
        <v>415</v>
      </c>
    </row>
    <row r="1436" spans="1:14" x14ac:dyDescent="0.35">
      <c r="A1436" s="25" t="s">
        <v>9537</v>
      </c>
      <c r="B1436" s="25" t="s">
        <v>9597</v>
      </c>
      <c r="C1436" s="25" t="s">
        <v>9538</v>
      </c>
      <c r="N1436" s="25" t="s">
        <v>415</v>
      </c>
    </row>
    <row r="1437" spans="1:14" x14ac:dyDescent="0.35">
      <c r="A1437" s="25" t="s">
        <v>9539</v>
      </c>
      <c r="B1437" s="25" t="s">
        <v>9540</v>
      </c>
      <c r="C1437" s="25" t="s">
        <v>9541</v>
      </c>
      <c r="N1437" s="25" t="s">
        <v>871</v>
      </c>
    </row>
    <row r="1438" spans="1:14" x14ac:dyDescent="0.35">
      <c r="A1438" s="25" t="s">
        <v>9542</v>
      </c>
      <c r="B1438" s="25" t="s">
        <v>9543</v>
      </c>
      <c r="C1438" s="25" t="s">
        <v>9544</v>
      </c>
      <c r="N1438" s="25" t="s">
        <v>3418</v>
      </c>
    </row>
    <row r="1439" spans="1:14" x14ac:dyDescent="0.35">
      <c r="A1439" s="25" t="s">
        <v>9547</v>
      </c>
      <c r="B1439" s="25" t="s">
        <v>9548</v>
      </c>
      <c r="C1439" s="25" t="s">
        <v>9549</v>
      </c>
      <c r="N1439" s="25" t="s">
        <v>458</v>
      </c>
    </row>
    <row r="1440" spans="1:14" x14ac:dyDescent="0.35">
      <c r="A1440" s="25" t="s">
        <v>9551</v>
      </c>
      <c r="B1440" s="25" t="s">
        <v>9550</v>
      </c>
      <c r="C1440" s="25" t="s">
        <v>9552</v>
      </c>
      <c r="N1440" s="25" t="s">
        <v>871</v>
      </c>
    </row>
    <row r="1441" spans="1:14" ht="16.2" x14ac:dyDescent="0.35">
      <c r="A1441" s="25" t="s">
        <v>9553</v>
      </c>
      <c r="B1441" s="25" t="s">
        <v>9554</v>
      </c>
      <c r="C1441" s="25" t="s">
        <v>9555</v>
      </c>
      <c r="E1441" s="7" t="s">
        <v>9556</v>
      </c>
      <c r="F1441" s="7" t="s">
        <v>9557</v>
      </c>
      <c r="G1441" s="7" t="s">
        <v>9558</v>
      </c>
      <c r="H1441" s="7" t="s">
        <v>9559</v>
      </c>
      <c r="I1441" s="7" t="s">
        <v>9560</v>
      </c>
      <c r="J1441" s="7" t="s">
        <v>9561</v>
      </c>
      <c r="N1441" s="24" t="s">
        <v>415</v>
      </c>
    </row>
    <row r="1442" spans="1:14" ht="16.2" x14ac:dyDescent="0.35">
      <c r="A1442" s="25" t="s">
        <v>9569</v>
      </c>
      <c r="B1442" s="25" t="s">
        <v>9570</v>
      </c>
      <c r="C1442" s="25" t="s">
        <v>9571</v>
      </c>
      <c r="E1442" s="7" t="s">
        <v>9572</v>
      </c>
      <c r="F1442" s="7" t="s">
        <v>9573</v>
      </c>
      <c r="G1442" s="7" t="s">
        <v>9574</v>
      </c>
      <c r="H1442" s="7" t="s">
        <v>9575</v>
      </c>
      <c r="I1442" s="7" t="s">
        <v>9576</v>
      </c>
      <c r="J1442" s="7"/>
      <c r="N1442" s="25" t="s">
        <v>415</v>
      </c>
    </row>
    <row r="1443" spans="1:14" ht="16.2" x14ac:dyDescent="0.35">
      <c r="A1443" s="25" t="s">
        <v>9577</v>
      </c>
      <c r="B1443" s="25" t="s">
        <v>9578</v>
      </c>
      <c r="C1443" s="25" t="s">
        <v>9579</v>
      </c>
      <c r="E1443" s="7" t="s">
        <v>9580</v>
      </c>
      <c r="F1443" s="7" t="s">
        <v>9581</v>
      </c>
      <c r="G1443" s="7" t="s">
        <v>9582</v>
      </c>
      <c r="H1443" s="7" t="s">
        <v>9583</v>
      </c>
      <c r="I1443" s="7" t="s">
        <v>9584</v>
      </c>
      <c r="J1443" s="7" t="s">
        <v>9585</v>
      </c>
      <c r="N1443" s="25" t="s">
        <v>415</v>
      </c>
    </row>
    <row r="1444" spans="1:14" ht="16.2" x14ac:dyDescent="0.35">
      <c r="A1444" s="25" t="s">
        <v>9586</v>
      </c>
      <c r="B1444" s="25" t="s">
        <v>9587</v>
      </c>
      <c r="C1444" s="25" t="s">
        <v>9588</v>
      </c>
      <c r="E1444" s="7" t="s">
        <v>9589</v>
      </c>
      <c r="F1444" s="7" t="s">
        <v>9590</v>
      </c>
      <c r="G1444" s="7" t="s">
        <v>9591</v>
      </c>
      <c r="H1444" s="7" t="s">
        <v>9592</v>
      </c>
      <c r="I1444" s="7" t="s">
        <v>9593</v>
      </c>
      <c r="J1444" s="7" t="s">
        <v>9594</v>
      </c>
      <c r="N1444" s="25" t="s">
        <v>458</v>
      </c>
    </row>
    <row r="1445" spans="1:14" x14ac:dyDescent="0.35">
      <c r="A1445" s="25" t="s">
        <v>9602</v>
      </c>
      <c r="B1445" s="25" t="s">
        <v>877</v>
      </c>
      <c r="C1445" s="25" t="s">
        <v>9601</v>
      </c>
      <c r="N1445" s="24" t="s">
        <v>415</v>
      </c>
    </row>
    <row r="1446" spans="1:14" ht="16.2" x14ac:dyDescent="0.35">
      <c r="A1446" s="25" t="s">
        <v>9605</v>
      </c>
      <c r="B1446" s="25" t="s">
        <v>9606</v>
      </c>
      <c r="C1446" s="25" t="s">
        <v>9604</v>
      </c>
      <c r="E1446" s="7" t="s">
        <v>9607</v>
      </c>
      <c r="F1446" s="7" t="s">
        <v>9608</v>
      </c>
      <c r="G1446" s="7" t="s">
        <v>9609</v>
      </c>
      <c r="H1446" s="7" t="s">
        <v>9610</v>
      </c>
      <c r="I1446" s="7" t="s">
        <v>9611</v>
      </c>
      <c r="J1446" s="7" t="s">
        <v>9612</v>
      </c>
      <c r="N1446" s="25" t="s">
        <v>3418</v>
      </c>
    </row>
    <row r="1447" spans="1:14" ht="16.2" x14ac:dyDescent="0.35">
      <c r="A1447" s="25" t="s">
        <v>9630</v>
      </c>
      <c r="B1447" s="25" t="s">
        <v>9628</v>
      </c>
      <c r="C1447" s="25" t="s">
        <v>9629</v>
      </c>
      <c r="E1447" s="7" t="s">
        <v>10129</v>
      </c>
      <c r="F1447" s="7" t="s">
        <v>10130</v>
      </c>
      <c r="G1447" s="7" t="s">
        <v>10131</v>
      </c>
      <c r="H1447" s="7" t="s">
        <v>10132</v>
      </c>
      <c r="I1447" s="7" t="s">
        <v>10133</v>
      </c>
      <c r="J1447" s="7" t="s">
        <v>10134</v>
      </c>
      <c r="N1447" s="25" t="s">
        <v>415</v>
      </c>
    </row>
    <row r="1448" spans="1:14" ht="16.2" x14ac:dyDescent="0.35">
      <c r="A1448" s="25" t="s">
        <v>9631</v>
      </c>
      <c r="B1448" s="25" t="s">
        <v>9632</v>
      </c>
      <c r="C1448" s="25" t="s">
        <v>9633</v>
      </c>
      <c r="E1448" s="7" t="s">
        <v>9634</v>
      </c>
      <c r="F1448" s="7" t="s">
        <v>9635</v>
      </c>
      <c r="G1448" s="7" t="s">
        <v>9636</v>
      </c>
      <c r="H1448" s="7" t="s">
        <v>9637</v>
      </c>
      <c r="I1448" s="7" t="s">
        <v>9638</v>
      </c>
      <c r="J1448" s="7" t="s">
        <v>9639</v>
      </c>
      <c r="N1448" s="25" t="s">
        <v>415</v>
      </c>
    </row>
    <row r="1449" spans="1:14" ht="16.2" x14ac:dyDescent="0.35">
      <c r="A1449" s="25" t="s">
        <v>9643</v>
      </c>
      <c r="B1449" s="25" t="s">
        <v>9644</v>
      </c>
      <c r="C1449" s="25" t="s">
        <v>9645</v>
      </c>
      <c r="E1449" s="7" t="s">
        <v>9646</v>
      </c>
      <c r="F1449" s="7" t="s">
        <v>9647</v>
      </c>
      <c r="G1449" s="7" t="s">
        <v>9648</v>
      </c>
      <c r="H1449" s="7" t="s">
        <v>9649</v>
      </c>
      <c r="I1449" s="7" t="s">
        <v>9650</v>
      </c>
      <c r="J1449" s="7" t="s">
        <v>9651</v>
      </c>
      <c r="N1449" s="25" t="s">
        <v>415</v>
      </c>
    </row>
    <row r="1450" spans="1:14" ht="16.2" x14ac:dyDescent="0.35">
      <c r="A1450" s="25" t="s">
        <v>9665</v>
      </c>
      <c r="B1450" s="25" t="s">
        <v>9666</v>
      </c>
      <c r="C1450" s="25" t="s">
        <v>9667</v>
      </c>
      <c r="E1450" s="7" t="s">
        <v>9668</v>
      </c>
      <c r="F1450" s="7" t="s">
        <v>9669</v>
      </c>
      <c r="G1450" s="7" t="s">
        <v>9670</v>
      </c>
      <c r="H1450" s="7" t="s">
        <v>9671</v>
      </c>
      <c r="I1450" s="7" t="s">
        <v>9672</v>
      </c>
      <c r="J1450" s="7" t="s">
        <v>9673</v>
      </c>
      <c r="N1450" s="25" t="s">
        <v>3418</v>
      </c>
    </row>
    <row r="1451" spans="1:14" x14ac:dyDescent="0.35">
      <c r="A1451" s="25" t="s">
        <v>7716</v>
      </c>
      <c r="B1451" s="25" t="s">
        <v>9697</v>
      </c>
      <c r="C1451" s="25" t="s">
        <v>9698</v>
      </c>
      <c r="N1451" s="25" t="s">
        <v>415</v>
      </c>
    </row>
    <row r="1452" spans="1:14" ht="16.2" x14ac:dyDescent="0.35">
      <c r="A1452" s="25" t="s">
        <v>9704</v>
      </c>
      <c r="B1452" s="25" t="s">
        <v>9705</v>
      </c>
      <c r="C1452" s="25" t="s">
        <v>9706</v>
      </c>
      <c r="E1452" s="7" t="s">
        <v>9707</v>
      </c>
      <c r="F1452" s="7" t="s">
        <v>9708</v>
      </c>
      <c r="G1452" s="7" t="s">
        <v>9709</v>
      </c>
      <c r="H1452" s="7" t="s">
        <v>9710</v>
      </c>
      <c r="I1452" s="7"/>
      <c r="J1452" s="7"/>
      <c r="N1452" s="25" t="s">
        <v>415</v>
      </c>
    </row>
    <row r="1453" spans="1:14" ht="16.2" x14ac:dyDescent="0.35">
      <c r="A1453" s="25" t="s">
        <v>9729</v>
      </c>
      <c r="B1453" s="25" t="s">
        <v>9730</v>
      </c>
      <c r="C1453" s="25" t="s">
        <v>9731</v>
      </c>
      <c r="E1453" s="7" t="s">
        <v>9732</v>
      </c>
      <c r="F1453" s="7" t="s">
        <v>9733</v>
      </c>
      <c r="G1453" s="7" t="s">
        <v>9734</v>
      </c>
      <c r="H1453" s="7" t="s">
        <v>9735</v>
      </c>
      <c r="I1453" s="7" t="s">
        <v>9736</v>
      </c>
      <c r="J1453" s="7" t="s">
        <v>9737</v>
      </c>
      <c r="N1453" s="25" t="s">
        <v>415</v>
      </c>
    </row>
    <row r="1454" spans="1:14" ht="16.2" x14ac:dyDescent="0.35">
      <c r="A1454" s="25" t="s">
        <v>10056</v>
      </c>
      <c r="B1454" s="25" t="s">
        <v>10058</v>
      </c>
      <c r="C1454" s="25" t="s">
        <v>10061</v>
      </c>
      <c r="E1454" s="7" t="s">
        <v>10062</v>
      </c>
      <c r="F1454" s="7" t="s">
        <v>10063</v>
      </c>
      <c r="G1454" s="7" t="s">
        <v>10064</v>
      </c>
      <c r="N1454" s="25" t="s">
        <v>458</v>
      </c>
    </row>
    <row r="1455" spans="1:14" ht="16.2" x14ac:dyDescent="0.35">
      <c r="A1455" s="25" t="s">
        <v>10057</v>
      </c>
      <c r="B1455" s="25" t="s">
        <v>10059</v>
      </c>
      <c r="C1455" s="25" t="s">
        <v>10060</v>
      </c>
      <c r="E1455" s="7" t="s">
        <v>10065</v>
      </c>
      <c r="F1455" s="7" t="s">
        <v>10066</v>
      </c>
      <c r="G1455" s="7" t="s">
        <v>10067</v>
      </c>
      <c r="N1455" s="25" t="s">
        <v>458</v>
      </c>
    </row>
    <row r="1456" spans="1:14" ht="16.2" x14ac:dyDescent="0.35">
      <c r="A1456" s="25" t="s">
        <v>10069</v>
      </c>
      <c r="B1456" s="25" t="s">
        <v>10068</v>
      </c>
      <c r="C1456" s="25" t="s">
        <v>10070</v>
      </c>
      <c r="E1456" s="7" t="s">
        <v>173</v>
      </c>
      <c r="F1456" s="7" t="s">
        <v>10071</v>
      </c>
    </row>
    <row r="1457" spans="1:14" ht="16.2" x14ac:dyDescent="0.35">
      <c r="A1457" s="25" t="s">
        <v>10074</v>
      </c>
      <c r="B1457" s="25" t="s">
        <v>10075</v>
      </c>
      <c r="C1457" s="25" t="s">
        <v>10076</v>
      </c>
      <c r="E1457" s="7" t="s">
        <v>10077</v>
      </c>
      <c r="F1457" s="7" t="s">
        <v>10078</v>
      </c>
      <c r="G1457" s="7" t="s">
        <v>10079</v>
      </c>
      <c r="H1457" s="7" t="s">
        <v>10080</v>
      </c>
      <c r="I1457" s="7" t="s">
        <v>10081</v>
      </c>
      <c r="J1457" s="7" t="s">
        <v>10082</v>
      </c>
    </row>
    <row r="1458" spans="1:14" ht="16.2" x14ac:dyDescent="0.35">
      <c r="A1458" s="25" t="s">
        <v>10108</v>
      </c>
      <c r="B1458" s="25" t="s">
        <v>10109</v>
      </c>
      <c r="C1458" s="25" t="s">
        <v>10110</v>
      </c>
      <c r="E1458" s="7" t="s">
        <v>10111</v>
      </c>
      <c r="F1458" s="7" t="s">
        <v>10112</v>
      </c>
      <c r="G1458" s="7" t="s">
        <v>10113</v>
      </c>
      <c r="H1458" s="7" t="s">
        <v>10114</v>
      </c>
      <c r="I1458" s="7" t="s">
        <v>10115</v>
      </c>
      <c r="J1458" s="7" t="s">
        <v>10116</v>
      </c>
    </row>
    <row r="1459" spans="1:14" ht="16.2" x14ac:dyDescent="0.35">
      <c r="A1459" s="25" t="s">
        <v>10233</v>
      </c>
      <c r="B1459" s="25" t="s">
        <v>10237</v>
      </c>
      <c r="C1459" s="25" t="s">
        <v>10241</v>
      </c>
      <c r="E1459" s="7" t="s">
        <v>10245</v>
      </c>
      <c r="N1459" s="25" t="s">
        <v>458</v>
      </c>
    </row>
    <row r="1460" spans="1:14" ht="16.2" x14ac:dyDescent="0.35">
      <c r="A1460" s="25" t="s">
        <v>10234</v>
      </c>
      <c r="B1460" s="25" t="s">
        <v>10238</v>
      </c>
      <c r="C1460" s="25" t="s">
        <v>10242</v>
      </c>
      <c r="E1460" s="7" t="s">
        <v>10246</v>
      </c>
      <c r="N1460" s="25" t="s">
        <v>458</v>
      </c>
    </row>
    <row r="1461" spans="1:14" ht="16.2" x14ac:dyDescent="0.35">
      <c r="A1461" s="25" t="s">
        <v>10235</v>
      </c>
      <c r="B1461" s="25" t="s">
        <v>10239</v>
      </c>
      <c r="C1461" s="25" t="s">
        <v>10243</v>
      </c>
      <c r="E1461" s="7" t="s">
        <v>10247</v>
      </c>
      <c r="F1461" s="7" t="s">
        <v>10249</v>
      </c>
      <c r="N1461" s="25" t="s">
        <v>458</v>
      </c>
    </row>
    <row r="1462" spans="1:14" ht="16.2" x14ac:dyDescent="0.35">
      <c r="A1462" s="25" t="s">
        <v>10236</v>
      </c>
      <c r="B1462" s="25" t="s">
        <v>10240</v>
      </c>
      <c r="C1462" s="25" t="s">
        <v>10244</v>
      </c>
      <c r="E1462" s="7" t="s">
        <v>10248</v>
      </c>
      <c r="F1462" s="7" t="s">
        <v>10250</v>
      </c>
      <c r="N1462" s="25" t="s">
        <v>458</v>
      </c>
    </row>
    <row r="1463" spans="1:14" ht="16.2" x14ac:dyDescent="0.35">
      <c r="A1463" s="25" t="s">
        <v>10251</v>
      </c>
      <c r="B1463" s="25" t="s">
        <v>10252</v>
      </c>
      <c r="C1463" s="25" t="s">
        <v>10253</v>
      </c>
      <c r="E1463" s="7" t="s">
        <v>10254</v>
      </c>
      <c r="N1463" s="25" t="s">
        <v>458</v>
      </c>
    </row>
    <row r="1464" spans="1:14" ht="16.2" x14ac:dyDescent="0.35">
      <c r="A1464" s="25" t="s">
        <v>10255</v>
      </c>
      <c r="B1464" s="25" t="s">
        <v>10256</v>
      </c>
      <c r="C1464" s="25" t="s">
        <v>10257</v>
      </c>
      <c r="E1464" s="7" t="s">
        <v>10258</v>
      </c>
      <c r="N1464" s="25" t="s">
        <v>458</v>
      </c>
    </row>
    <row r="1465" spans="1:14" ht="16.2" x14ac:dyDescent="0.35">
      <c r="A1465" s="25" t="s">
        <v>10259</v>
      </c>
      <c r="B1465" s="25" t="s">
        <v>10260</v>
      </c>
      <c r="C1465" s="25" t="s">
        <v>10261</v>
      </c>
      <c r="E1465" s="7" t="s">
        <v>10262</v>
      </c>
      <c r="N1465" s="25" t="s">
        <v>458</v>
      </c>
    </row>
    <row r="1466" spans="1:14" ht="16.2" x14ac:dyDescent="0.35">
      <c r="A1466" s="25" t="s">
        <v>10263</v>
      </c>
      <c r="B1466" s="25" t="s">
        <v>10264</v>
      </c>
      <c r="C1466" s="25" t="s">
        <v>10265</v>
      </c>
      <c r="E1466" s="7" t="s">
        <v>10266</v>
      </c>
      <c r="N1466" s="25" t="s">
        <v>458</v>
      </c>
    </row>
    <row r="1467" spans="1:14" ht="16.2" x14ac:dyDescent="0.35">
      <c r="A1467" s="25" t="s">
        <v>10267</v>
      </c>
      <c r="B1467" s="25" t="s">
        <v>10268</v>
      </c>
      <c r="C1467" s="25" t="s">
        <v>10269</v>
      </c>
      <c r="E1467" s="7" t="s">
        <v>10270</v>
      </c>
      <c r="N1467" s="25" t="s">
        <v>458</v>
      </c>
    </row>
    <row r="1468" spans="1:14" ht="16.2" x14ac:dyDescent="0.35">
      <c r="A1468" s="25" t="s">
        <v>10271</v>
      </c>
      <c r="B1468" s="25" t="s">
        <v>10272</v>
      </c>
      <c r="C1468" s="25" t="s">
        <v>10273</v>
      </c>
      <c r="E1468" s="7" t="s">
        <v>10274</v>
      </c>
      <c r="N1468" s="25" t="s">
        <v>458</v>
      </c>
    </row>
    <row r="1469" spans="1:14" ht="16.2" x14ac:dyDescent="0.35">
      <c r="A1469" s="25" t="s">
        <v>10275</v>
      </c>
      <c r="B1469" s="25" t="s">
        <v>10276</v>
      </c>
      <c r="C1469" s="25" t="s">
        <v>10277</v>
      </c>
      <c r="E1469" s="7" t="s">
        <v>10278</v>
      </c>
      <c r="F1469" s="7" t="s">
        <v>10279</v>
      </c>
      <c r="G1469" s="7" t="s">
        <v>10280</v>
      </c>
      <c r="N1469" s="25" t="s">
        <v>458</v>
      </c>
    </row>
    <row r="1470" spans="1:14" ht="16.2" x14ac:dyDescent="0.35">
      <c r="A1470" s="25" t="s">
        <v>10281</v>
      </c>
      <c r="B1470" s="25" t="s">
        <v>10282</v>
      </c>
      <c r="C1470" s="25" t="s">
        <v>10283</v>
      </c>
      <c r="E1470" s="7" t="s">
        <v>10284</v>
      </c>
      <c r="N1470" s="25" t="s">
        <v>458</v>
      </c>
    </row>
    <row r="1471" spans="1:14" ht="16.2" x14ac:dyDescent="0.35">
      <c r="A1471" s="25" t="s">
        <v>10285</v>
      </c>
      <c r="B1471" s="25" t="s">
        <v>10286</v>
      </c>
      <c r="C1471" s="25" t="s">
        <v>10287</v>
      </c>
      <c r="E1471" s="7" t="s">
        <v>10288</v>
      </c>
      <c r="F1471" s="7" t="s">
        <v>10289</v>
      </c>
      <c r="N1471" s="25" t="s">
        <v>458</v>
      </c>
    </row>
    <row r="1472" spans="1:14" ht="16.2" x14ac:dyDescent="0.35">
      <c r="A1472" s="25" t="s">
        <v>10290</v>
      </c>
      <c r="B1472" s="25" t="s">
        <v>10291</v>
      </c>
      <c r="C1472" s="25" t="s">
        <v>10292</v>
      </c>
      <c r="E1472" s="7" t="s">
        <v>10293</v>
      </c>
      <c r="N1472" s="25" t="s">
        <v>458</v>
      </c>
    </row>
    <row r="1473" spans="1:14" ht="16.2" x14ac:dyDescent="0.35">
      <c r="A1473" s="25" t="s">
        <v>10294</v>
      </c>
      <c r="B1473" s="25" t="s">
        <v>10295</v>
      </c>
      <c r="C1473" s="25" t="s">
        <v>10296</v>
      </c>
      <c r="E1473" s="7" t="s">
        <v>10297</v>
      </c>
      <c r="F1473" s="7" t="s">
        <v>10298</v>
      </c>
      <c r="G1473" s="7" t="s">
        <v>10299</v>
      </c>
      <c r="N1473" s="25" t="s">
        <v>458</v>
      </c>
    </row>
    <row r="1474" spans="1:14" ht="16.2" x14ac:dyDescent="0.35">
      <c r="A1474" s="25" t="s">
        <v>10300</v>
      </c>
      <c r="B1474" s="25" t="s">
        <v>10301</v>
      </c>
      <c r="C1474" s="25" t="s">
        <v>10302</v>
      </c>
      <c r="E1474" s="7" t="s">
        <v>10303</v>
      </c>
      <c r="F1474" s="7" t="s">
        <v>10304</v>
      </c>
      <c r="G1474" s="7" t="s">
        <v>10305</v>
      </c>
      <c r="N1474" s="25" t="s">
        <v>458</v>
      </c>
    </row>
    <row r="1475" spans="1:14" ht="16.2" x14ac:dyDescent="0.35">
      <c r="A1475" s="25" t="s">
        <v>10306</v>
      </c>
      <c r="B1475" s="25" t="s">
        <v>10307</v>
      </c>
      <c r="C1475" s="25" t="s">
        <v>10308</v>
      </c>
      <c r="E1475" s="7" t="s">
        <v>10309</v>
      </c>
      <c r="N1475" s="25" t="s">
        <v>458</v>
      </c>
    </row>
    <row r="1476" spans="1:14" ht="16.2" x14ac:dyDescent="0.35">
      <c r="A1476" s="25" t="s">
        <v>10310</v>
      </c>
      <c r="B1476" s="25" t="s">
        <v>10311</v>
      </c>
      <c r="C1476" s="25" t="s">
        <v>10312</v>
      </c>
      <c r="E1476" s="7" t="s">
        <v>10313</v>
      </c>
      <c r="N1476" s="25" t="s">
        <v>458</v>
      </c>
    </row>
    <row r="1477" spans="1:14" ht="16.2" x14ac:dyDescent="0.35">
      <c r="A1477" s="25" t="s">
        <v>10314</v>
      </c>
      <c r="B1477" s="25" t="s">
        <v>10315</v>
      </c>
      <c r="C1477" s="25" t="s">
        <v>10316</v>
      </c>
      <c r="E1477" s="7" t="s">
        <v>10317</v>
      </c>
      <c r="N1477" s="25" t="s">
        <v>458</v>
      </c>
    </row>
    <row r="1478" spans="1:14" ht="16.2" x14ac:dyDescent="0.35">
      <c r="A1478" s="25" t="s">
        <v>10318</v>
      </c>
      <c r="B1478" s="25" t="s">
        <v>10319</v>
      </c>
      <c r="C1478" s="25" t="s">
        <v>10320</v>
      </c>
      <c r="E1478" s="7" t="s">
        <v>10321</v>
      </c>
      <c r="N1478" s="25" t="s">
        <v>458</v>
      </c>
    </row>
    <row r="1479" spans="1:14" ht="16.2" x14ac:dyDescent="0.35">
      <c r="A1479" s="25" t="s">
        <v>10322</v>
      </c>
      <c r="B1479" s="25" t="s">
        <v>10323</v>
      </c>
      <c r="C1479" s="25" t="s">
        <v>10324</v>
      </c>
      <c r="E1479" s="7" t="s">
        <v>10325</v>
      </c>
      <c r="N1479" s="25" t="s">
        <v>458</v>
      </c>
    </row>
    <row r="1480" spans="1:14" ht="16.2" x14ac:dyDescent="0.35">
      <c r="A1480" s="25" t="s">
        <v>10326</v>
      </c>
      <c r="B1480" s="25" t="s">
        <v>10327</v>
      </c>
      <c r="C1480" s="25" t="s">
        <v>10328</v>
      </c>
      <c r="E1480" s="7" t="s">
        <v>10329</v>
      </c>
      <c r="N1480" s="25" t="s">
        <v>458</v>
      </c>
    </row>
    <row r="1481" spans="1:14" ht="16.2" x14ac:dyDescent="0.35">
      <c r="A1481" s="25" t="s">
        <v>10330</v>
      </c>
      <c r="B1481" s="25" t="s">
        <v>10331</v>
      </c>
      <c r="C1481" s="25" t="s">
        <v>10332</v>
      </c>
      <c r="E1481" s="7" t="s">
        <v>10333</v>
      </c>
      <c r="F1481" s="7" t="s">
        <v>10334</v>
      </c>
      <c r="N1481" s="25" t="s">
        <v>458</v>
      </c>
    </row>
  </sheetData>
  <autoFilter ref="A1:N1458" xr:uid="{00000000-0009-0000-0000-000002000000}"/>
  <dataValidations count="1">
    <dataValidation type="list" allowBlank="1" showInputMessage="1" showErrorMessage="1" errorTitle="Valeur inconnue" error="Choisissez une nature de la liste (feuille Natures)." promptTitle="Liste" prompt="Nature du mot." sqref="N2:N1918" xr:uid="{00000000-0002-0000-0200-000000000000}">
      <formula1>liste_natures</formula1>
    </dataValidation>
  </dataValidations>
  <hyperlinks>
    <hyperlink ref="L9" r:id="rId1" xr:uid="{00000000-0004-0000-0200-000004000000}"/>
    <hyperlink ref="L19" r:id="rId2" xr:uid="{00000000-0004-0000-0200-000006000000}"/>
    <hyperlink ref="L22" r:id="rId3" xr:uid="{00000000-0004-0000-0200-00000B000000}"/>
    <hyperlink ref="L86" r:id="rId4" xr:uid="{00000000-0004-0000-0200-00003D000000}"/>
    <hyperlink ref="L272" r:id="rId5" xr:uid="{00000000-0004-0000-0200-0000DB000000}"/>
    <hyperlink ref="N272" r:id="rId6" xr:uid="{00000000-0004-0000-0200-0000DE000000}"/>
    <hyperlink ref="L273" r:id="rId7" xr:uid="{00000000-0004-0000-0200-0000E1000000}"/>
    <hyperlink ref="N273" r:id="rId8" xr:uid="{00000000-0004-0000-0200-0000E4000000}"/>
    <hyperlink ref="L274" r:id="rId9" xr:uid="{00000000-0004-0000-0200-0000E6000000}"/>
    <hyperlink ref="L280" r:id="rId10" xr:uid="{00000000-0004-0000-0200-0000EC000000}"/>
    <hyperlink ref="L281" r:id="rId11" xr:uid="{00000000-0004-0000-0200-0000EE000000}"/>
    <hyperlink ref="L282" r:id="rId12" display="https://raw.githubusercontent.com/olaf-programmeur/images/main/peur_1.webp" xr:uid="{00000000-0004-0000-0200-0000F0000000}"/>
    <hyperlink ref="L283" r:id="rId13" display="https://raw.githubusercontent.com/olaf-programmeur/images/main/peur_1.webp" xr:uid="{00000000-0004-0000-0200-0000F4000000}"/>
    <hyperlink ref="L284" r:id="rId14" display="https://raw.githubusercontent.com/olaf-programmeur/images/main/peur_1.webp" xr:uid="{00000000-0004-0000-0200-0000F7000000}"/>
    <hyperlink ref="L285" r:id="rId15" display="https://raw.githubusercontent.com/olaf-programmeur/images/main/peur_1.webp" xr:uid="{00000000-0004-0000-0200-0000F9000000}"/>
    <hyperlink ref="L286" r:id="rId16" display="https://raw.githubusercontent.com/olaf-programmeur/images/main/peur_1.webp" xr:uid="{00000000-0004-0000-0200-0000FB000000}"/>
    <hyperlink ref="L287" r:id="rId17" display="https://raw.githubusercontent.com/olaf-programmeur/images/main/peur_1.webp" xr:uid="{00000000-0004-0000-0200-0000FE000000}"/>
    <hyperlink ref="L288" r:id="rId18" display="https://raw.githubusercontent.com/olaf-programmeur/images/main/peur_1.webp" xr:uid="{00000000-0004-0000-0200-000002010000}"/>
    <hyperlink ref="L289" r:id="rId19" display="https://raw.githubusercontent.com/olaf-programmeur/images/main/peur_1.webp" xr:uid="{00000000-0004-0000-0200-000004010000}"/>
    <hyperlink ref="L290" r:id="rId20" display="https://raw.githubusercontent.com/olaf-programmeur/images/main/peur_1.webp" xr:uid="{00000000-0004-0000-0200-000008010000}"/>
    <hyperlink ref="L291" r:id="rId21" xr:uid="{00000000-0004-0000-0200-00000A010000}"/>
    <hyperlink ref="N291" r:id="rId22" xr:uid="{00000000-0004-0000-0200-00000D010000}"/>
    <hyperlink ref="L293" r:id="rId23" display="https://raw.githubusercontent.com/olaf-programmeur/images/main/peur_1.webp" xr:uid="{00000000-0004-0000-0200-000010010000}"/>
    <hyperlink ref="M356" r:id="rId24" display="https://raw.githubusercontent.com/olaf-programmeur/images/main/salade_3.webp" xr:uid="{00000000-0004-0000-0200-000048010000}"/>
    <hyperlink ref="L424" r:id="rId25" xr:uid="{00000000-0004-0000-0200-00007E010000}"/>
    <hyperlink ref="L425" r:id="rId26" xr:uid="{00000000-0004-0000-0200-000080010000}"/>
    <hyperlink ref="L437" r:id="rId27" xr:uid="{00000000-0004-0000-0200-00008D010000}"/>
    <hyperlink ref="L472" r:id="rId28" xr:uid="{00000000-0004-0000-0200-0000B1010000}"/>
    <hyperlink ref="N472" r:id="rId29" xr:uid="{00000000-0004-0000-0200-0000B4010000}"/>
    <hyperlink ref="L490" r:id="rId30" xr:uid="{00000000-0004-0000-0200-0000C2010000}"/>
    <hyperlink ref="L491" r:id="rId31" xr:uid="{00000000-0004-0000-0200-0000C6010000}"/>
    <hyperlink ref="M491" r:id="rId32" display="https://raw.githubusercontent.com/olaf-programmeur/images/main/magasin_3.webp" xr:uid="{00000000-0004-0000-0200-0000C8010000}"/>
    <hyperlink ref="N491" r:id="rId33" xr:uid="{00000000-0004-0000-0200-0000C9010000}"/>
    <hyperlink ref="L507" r:id="rId34" xr:uid="{00000000-0004-0000-0200-0000D3010000}"/>
    <hyperlink ref="L523" r:id="rId35" xr:uid="{00000000-0004-0000-0200-0000DD010000}"/>
    <hyperlink ref="M523" r:id="rId36" display="https://raw.githubusercontent.com/olaf-programmeur/images/main/bateau_3.webp" xr:uid="{00000000-0004-0000-0200-0000DF010000}"/>
    <hyperlink ref="N523" r:id="rId37" xr:uid="{00000000-0004-0000-0200-0000E0010000}"/>
    <hyperlink ref="L528" r:id="rId38" xr:uid="{00000000-0004-0000-0200-0000E3010000}"/>
    <hyperlink ref="L531" r:id="rId39" xr:uid="{00000000-0004-0000-0200-0000E6010000}"/>
    <hyperlink ref="M554" r:id="rId40" display="https://raw.githubusercontent.com/olaf-programmeur/images/main/mathilde_3.webp" xr:uid="{00000000-0004-0000-0200-0000F3010000}"/>
    <hyperlink ref="L626" r:id="rId41" xr:uid="{00000000-0004-0000-0200-00002A020000}"/>
    <hyperlink ref="L632" r:id="rId42" xr:uid="{00000000-0004-0000-0200-00002E020000}"/>
    <hyperlink ref="N668" r:id="rId43" xr:uid="{00000000-0004-0000-0200-00004C020000}"/>
    <hyperlink ref="N670" r:id="rId44" xr:uid="{00000000-0004-0000-0200-000053020000}"/>
    <hyperlink ref="N673" r:id="rId45" xr:uid="{00000000-0004-0000-0200-000059020000}"/>
    <hyperlink ref="N674" r:id="rId46" xr:uid="{00000000-0004-0000-0200-00005E020000}"/>
    <hyperlink ref="N675" r:id="rId47" xr:uid="{00000000-0004-0000-0200-000063020000}"/>
    <hyperlink ref="N678" r:id="rId48" xr:uid="{00000000-0004-0000-0200-00006B020000}"/>
    <hyperlink ref="N684" r:id="rId49" xr:uid="{00000000-0004-0000-0200-00007E020000}"/>
    <hyperlink ref="N685" r:id="rId50" xr:uid="{00000000-0004-0000-0200-000083020000}"/>
    <hyperlink ref="N690" r:id="rId51" xr:uid="{00000000-0004-0000-0200-000093020000}"/>
    <hyperlink ref="N694" r:id="rId52" xr:uid="{00000000-0004-0000-0200-00009D020000}"/>
    <hyperlink ref="N696" r:id="rId53" xr:uid="{00000000-0004-0000-0200-0000A5020000}"/>
    <hyperlink ref="N697" r:id="rId54" xr:uid="{00000000-0004-0000-0200-0000AA020000}"/>
    <hyperlink ref="N698" r:id="rId55" xr:uid="{00000000-0004-0000-0200-0000AF020000}"/>
    <hyperlink ref="N699" r:id="rId56" xr:uid="{00000000-0004-0000-0200-0000B4020000}"/>
    <hyperlink ref="N700" r:id="rId57" xr:uid="{00000000-0004-0000-0200-0000B9020000}"/>
    <hyperlink ref="N702" r:id="rId58" xr:uid="{00000000-0004-0000-0200-0000C1020000}"/>
    <hyperlink ref="N705" r:id="rId59" xr:uid="{00000000-0004-0000-0200-0000CB020000}"/>
    <hyperlink ref="N706" r:id="rId60" xr:uid="{00000000-0004-0000-0200-0000D0020000}"/>
    <hyperlink ref="N707" r:id="rId61" xr:uid="{00000000-0004-0000-0200-0000D5020000}"/>
    <hyperlink ref="N712" r:id="rId62" xr:uid="{00000000-0004-0000-0200-0000E5020000}"/>
    <hyperlink ref="N719" r:id="rId63" xr:uid="{00000000-0004-0000-0200-0000F6020000}"/>
    <hyperlink ref="N723" r:id="rId64" xr:uid="{00000000-0004-0000-0200-000005030000}"/>
    <hyperlink ref="N724" r:id="rId65" xr:uid="{00000000-0004-0000-0200-00000A030000}"/>
    <hyperlink ref="N725" r:id="rId66" xr:uid="{00000000-0004-0000-0200-00000F030000}"/>
    <hyperlink ref="N743" r:id="rId67" xr:uid="{00000000-0004-0000-0200-000032030000}"/>
    <hyperlink ref="N744" r:id="rId68" xr:uid="{00000000-0004-0000-0200-000037030000}"/>
    <hyperlink ref="N749" r:id="rId69" display="https://raw.githubusercontent.com/olaf-programmeur/images/main/v_feliciter_4.webp" xr:uid="{00000000-0004-0000-0200-000042030000}"/>
    <hyperlink ref="N750" r:id="rId70" xr:uid="{00000000-0004-0000-0200-000047030000}"/>
    <hyperlink ref="N753" r:id="rId71" display="https://raw.githubusercontent.com/olaf-programmeur/images/main/v_gagner_4.webp" xr:uid="{00000000-0004-0000-0200-00004D030000}"/>
    <hyperlink ref="N767" r:id="rId72" display="https://raw.githubusercontent.com/olaf-programmeur/images/main/v_entrer_4.webp" xr:uid="{00000000-0004-0000-0200-000064030000}"/>
    <hyperlink ref="N771" r:id="rId73" xr:uid="{00000000-0004-0000-0200-000070030000}"/>
    <hyperlink ref="N772" r:id="rId74" xr:uid="{00000000-0004-0000-0200-000075030000}"/>
    <hyperlink ref="N773" r:id="rId75" xr:uid="{00000000-0004-0000-0200-00007A030000}"/>
    <hyperlink ref="N774" r:id="rId76" xr:uid="{00000000-0004-0000-0200-00007F030000}"/>
    <hyperlink ref="N776" r:id="rId77" xr:uid="{00000000-0004-0000-0200-000088030000}"/>
    <hyperlink ref="N777" r:id="rId78" xr:uid="{00000000-0004-0000-0200-00008D030000}"/>
    <hyperlink ref="N778" r:id="rId79" xr:uid="{00000000-0004-0000-0200-000092030000}"/>
    <hyperlink ref="N779" r:id="rId80" xr:uid="{00000000-0004-0000-0200-000097030000}"/>
    <hyperlink ref="N780" r:id="rId81" xr:uid="{00000000-0004-0000-0200-00009C030000}"/>
    <hyperlink ref="N783" r:id="rId82" xr:uid="{00000000-0004-0000-0200-0000A5030000}"/>
    <hyperlink ref="N785" r:id="rId83" xr:uid="{00000000-0004-0000-0200-0000AA030000}"/>
    <hyperlink ref="N791" r:id="rId84" xr:uid="{00000000-0004-0000-0200-0000BB030000}"/>
    <hyperlink ref="N792" r:id="rId85" xr:uid="{00000000-0004-0000-0200-0000C0030000}"/>
    <hyperlink ref="N793" r:id="rId86" xr:uid="{00000000-0004-0000-0200-0000C5030000}"/>
    <hyperlink ref="N794" r:id="rId87" display="https://raw.githubusercontent.com/olaf-programmeur/images/main/classe_4.webp" xr:uid="{00000000-0004-0000-0200-0000CA030000}"/>
    <hyperlink ref="N796" r:id="rId88" display="https://raw.githubusercontent.com/olaf-programmeur/images/main/classe_4.webp" xr:uid="{00000000-0004-0000-0200-0000D1030000}"/>
    <hyperlink ref="N797" r:id="rId89" display="https://raw.githubusercontent.com/olaf-programmeur/images/main/classe_4.webp" xr:uid="{00000000-0004-0000-0200-0000D6030000}"/>
    <hyperlink ref="N799" r:id="rId90" display="https://raw.githubusercontent.com/olaf-programmeur/images/main/classe_4.webp" xr:uid="{00000000-0004-0000-0200-0000DB030000}"/>
    <hyperlink ref="N801" r:id="rId91" display="https://raw.githubusercontent.com/olaf-programmeur/images/main/classe_4.webp" xr:uid="{00000000-0004-0000-0200-0000E1030000}"/>
    <hyperlink ref="N803" r:id="rId92" display="https://raw.githubusercontent.com/olaf-programmeur/images/main/classe_4.webp" xr:uid="{00000000-0004-0000-0200-0000E6030000}"/>
    <hyperlink ref="N804" r:id="rId93" display="https://raw.githubusercontent.com/olaf-programmeur/images/main/classe_4.webp" xr:uid="{00000000-0004-0000-0200-0000EB030000}"/>
    <hyperlink ref="N805" r:id="rId94" xr:uid="{00000000-0004-0000-0200-0000F0030000}"/>
    <hyperlink ref="N806" r:id="rId95" display="https://raw.githubusercontent.com/olaf-programmeur/images/main/classe_4.webp" xr:uid="{00000000-0004-0000-0200-0000F5030000}"/>
    <hyperlink ref="N812" r:id="rId96" display="https://raw.githubusercontent.com/olaf-programmeur/images/main/classe_4.webp" xr:uid="{00000000-0004-0000-0200-000003040000}"/>
    <hyperlink ref="N818" r:id="rId97" xr:uid="{00000000-0004-0000-0200-00000C040000}"/>
    <hyperlink ref="N820" r:id="rId98" display="https://raw.githubusercontent.com/olaf-programmeur/images/main/farine_5.webp" xr:uid="{00000000-0004-0000-0200-000013040000}"/>
    <hyperlink ref="N821" r:id="rId99" display="https://raw.githubusercontent.com/olaf-programmeur/images/main/bagheera.webp" xr:uid="{00000000-0004-0000-0200-000018040000}"/>
    <hyperlink ref="N822" r:id="rId100" display="https://raw.githubusercontent.com/olaf-programmeur/images/main/bagheera.webp" xr:uid="{00000000-0004-0000-0200-00001D040000}"/>
    <hyperlink ref="N827" r:id="rId101" display="https://raw.githubusercontent.com/olaf-programmeur/images/main/bagheera.webp" xr:uid="{00000000-0004-0000-0200-000026040000}"/>
    <hyperlink ref="N829" r:id="rId102" xr:uid="{00000000-0004-0000-0200-00002C040000}"/>
    <hyperlink ref="N831" r:id="rId103" display="https://raw.githubusercontent.com/olaf-programmeur/images/main/bagheera.webp" xr:uid="{00000000-0004-0000-0200-000032040000}"/>
    <hyperlink ref="N835" r:id="rId104" display="https://raw.githubusercontent.com/olaf-programmeur/images/main/bagheera.webp" xr:uid="{00000000-0004-0000-0200-00003F040000}"/>
    <hyperlink ref="J836" r:id="rId105" display="https://raw.githubusercontent.com/olaf-programmeur/images/main/bagheera.webp" xr:uid="{00000000-0004-0000-0200-000040040000}"/>
    <hyperlink ref="N836" r:id="rId106" display="https://raw.githubusercontent.com/olaf-programmeur/images/main/bagheera.webp" xr:uid="{00000000-0004-0000-0200-000044040000}"/>
    <hyperlink ref="N838" r:id="rId107" display="https://raw.githubusercontent.com/olaf-programmeur/images/main/bagheera.webp" xr:uid="{00000000-0004-0000-0200-00004B040000}"/>
    <hyperlink ref="N840" r:id="rId108" display="https://raw.githubusercontent.com/olaf-programmeur/images/main/bagheera.webp" xr:uid="{00000000-0004-0000-0200-000052040000}"/>
    <hyperlink ref="N841" r:id="rId109" display="https://raw.githubusercontent.com/olaf-programmeur/images/main/bagheera.webp" xr:uid="{00000000-0004-0000-0200-000057040000}"/>
    <hyperlink ref="N845" r:id="rId110" display="https://raw.githubusercontent.com/olaf-programmeur/images/main/courage_4.webp" xr:uid="{00000000-0004-0000-0200-00005E040000}"/>
    <hyperlink ref="N848" r:id="rId111" xr:uid="{00000000-0004-0000-0200-000063040000}"/>
    <hyperlink ref="N849" r:id="rId112" display="https://raw.githubusercontent.com/olaf-programmeur/images/main/bagheera.webp" xr:uid="{00000000-0004-0000-0200-000068040000}"/>
    <hyperlink ref="N850" r:id="rId113" display="https://raw.githubusercontent.com/olaf-programmeur/images/main/bagheera.webp" xr:uid="{00000000-0004-0000-0200-00006D040000}"/>
    <hyperlink ref="N851" r:id="rId114" display="https://raw.githubusercontent.com/olaf-programmeur/images/main/bagheera.webp" xr:uid="{00000000-0004-0000-0200-000072040000}"/>
    <hyperlink ref="N856" r:id="rId115" display="https://raw.githubusercontent.com/olaf-programmeur/images/main/bagheera.webp" xr:uid="{00000000-0004-0000-0200-00007A040000}"/>
    <hyperlink ref="N857" r:id="rId116" xr:uid="{00000000-0004-0000-0200-00007F040000}"/>
    <hyperlink ref="N858" r:id="rId117" xr:uid="{00000000-0004-0000-0200-000084040000}"/>
    <hyperlink ref="N869" r:id="rId118" display="https://raw.githubusercontent.com/olaf-programmeur/images/main/bagheera.webp" xr:uid="{00000000-0004-0000-0200-000096040000}"/>
    <hyperlink ref="N870" r:id="rId119" display="https://raw.githubusercontent.com/olaf-programmeur/images/main/bagheera.webp" xr:uid="{00000000-0004-0000-0200-00009B040000}"/>
    <hyperlink ref="N874" r:id="rId120" xr:uid="{00000000-0004-0000-0200-0000A2040000}"/>
    <hyperlink ref="N878" r:id="rId121" display="https://raw.githubusercontent.com/olaf-programmeur/images/main/lutte_4.webp" xr:uid="{00000000-0004-0000-0200-0000AA040000}"/>
    <hyperlink ref="N885" r:id="rId122" display="https://raw.githubusercontent.com/olaf-programmeur/images/main/lutte_4.webp" xr:uid="{00000000-0004-0000-0200-0000B9040000}"/>
    <hyperlink ref="N890" r:id="rId123" display="https://raw.githubusercontent.com/olaf-programmeur/images/main/bagheera.webp" xr:uid="{00000000-0004-0000-0200-0000C5040000}"/>
    <hyperlink ref="N891" r:id="rId124" display="https://raw.githubusercontent.com/olaf-programmeur/images/main/lutte_4.webp" xr:uid="{00000000-0004-0000-0200-0000CA040000}"/>
    <hyperlink ref="N892" r:id="rId125" display="https://raw.githubusercontent.com/olaf-programmeur/images/main/bagheera.webp" xr:uid="{00000000-0004-0000-0200-0000CF040000}"/>
    <hyperlink ref="N893" r:id="rId126" display="https://raw.githubusercontent.com/olaf-programmeur/images/main/bagheera.webp" xr:uid="{00000000-0004-0000-0200-0000D4040000}"/>
    <hyperlink ref="N894" r:id="rId127" display="https://raw.githubusercontent.com/olaf-programmeur/images/main/bagheera.webp" xr:uid="{00000000-0004-0000-0200-0000D9040000}"/>
    <hyperlink ref="N895" r:id="rId128" display="https://raw.githubusercontent.com/olaf-programmeur/images/main/bagheera.webp" xr:uid="{00000000-0004-0000-0200-0000DE040000}"/>
    <hyperlink ref="N898" r:id="rId129" display="https://raw.githubusercontent.com/olaf-programmeur/images/main/bagheera.webp" xr:uid="{00000000-0004-0000-0200-0000E6040000}"/>
    <hyperlink ref="N899" r:id="rId130" display="https://raw.githubusercontent.com/olaf-programmeur/images/main/bagheera.webp" xr:uid="{00000000-0004-0000-0200-0000EB040000}"/>
    <hyperlink ref="N900" r:id="rId131" display="https://raw.githubusercontent.com/olaf-programmeur/images/main/lutte_4.webp" xr:uid="{00000000-0004-0000-0200-0000F0040000}"/>
    <hyperlink ref="N901" r:id="rId132" display="https://raw.githubusercontent.com/olaf-programmeur/images/main/lutte_4.webp" xr:uid="{00000000-0004-0000-0200-0000F5040000}"/>
    <hyperlink ref="N904" r:id="rId133" display="https://raw.githubusercontent.com/olaf-programmeur/images/main/lutte_4.webp" xr:uid="{00000000-0004-0000-0200-0000FC040000}"/>
    <hyperlink ref="N906" r:id="rId134" display="https://raw.githubusercontent.com/olaf-programmeur/images/main/bagheera.webp" xr:uid="{00000000-0004-0000-0200-000004050000}"/>
    <hyperlink ref="N907" r:id="rId135" display="https://raw.githubusercontent.com/olaf-programmeur/images/main/bagheera.webp" xr:uid="{00000000-0004-0000-0200-000009050000}"/>
    <hyperlink ref="N909" r:id="rId136" display="https://raw.githubusercontent.com/olaf-programmeur/images/main/lutte_4.webp" xr:uid="{00000000-0004-0000-0200-00000F050000}"/>
    <hyperlink ref="N910" r:id="rId137" display="https://raw.githubusercontent.com/olaf-programmeur/images/main/lutte_4.webp" xr:uid="{00000000-0004-0000-0200-000014050000}"/>
    <hyperlink ref="N912" r:id="rId138" display="https://raw.githubusercontent.com/olaf-programmeur/images/main/lutte_4.webp" xr:uid="{00000000-0004-0000-0200-00001D050000}"/>
    <hyperlink ref="N918" r:id="rId139" display="https://raw.githubusercontent.com/olaf-programmeur/images/main/bagheera.webp" xr:uid="{00000000-0004-0000-0200-000023050000}"/>
    <hyperlink ref="N919" r:id="rId140" display="https://raw.githubusercontent.com/olaf-programmeur/images/main/bagheera.webp" xr:uid="{00000000-0004-0000-0200-000028050000}"/>
    <hyperlink ref="N920" r:id="rId141" display="https://raw.githubusercontent.com/olaf-programmeur/images/main/bagheera.webp" xr:uid="{00000000-0004-0000-0200-00002D050000}"/>
    <hyperlink ref="N923" r:id="rId142" display="https://raw.githubusercontent.com/olaf-programmeur/images/main/bagheera.webp" xr:uid="{00000000-0004-0000-0200-000038050000}"/>
    <hyperlink ref="N929" r:id="rId143" display="https://raw.githubusercontent.com/olaf-programmeur/images/main/bagheera.webp" xr:uid="{00000000-0004-0000-0200-000040050000}"/>
    <hyperlink ref="N930" r:id="rId144" xr:uid="{00000000-0004-0000-0200-000045050000}"/>
    <hyperlink ref="N931" r:id="rId145" display="https://raw.githubusercontent.com/olaf-programmeur/images/main/bagheera.webp" xr:uid="{00000000-0004-0000-0200-00004A050000}"/>
    <hyperlink ref="N932" r:id="rId146" display="https://raw.githubusercontent.com/olaf-programmeur/images/main/lutte_4.webp" xr:uid="{00000000-0004-0000-0200-00004F050000}"/>
    <hyperlink ref="N944" r:id="rId147" display="https://raw.githubusercontent.com/olaf-programmeur/images/main/bagheera.webp" xr:uid="{00000000-0004-0000-0200-000061050000}"/>
    <hyperlink ref="N947" r:id="rId148" display="https://raw.githubusercontent.com/olaf-programmeur/images/main/bagheera.webp" xr:uid="{00000000-0004-0000-0200-000066050000}"/>
    <hyperlink ref="N948" r:id="rId149" xr:uid="{00000000-0004-0000-0200-00006B050000}"/>
    <hyperlink ref="N949" r:id="rId150" xr:uid="{00000000-0004-0000-0200-000070050000}"/>
    <hyperlink ref="N952" r:id="rId151" xr:uid="{00000000-0004-0000-0200-00007C050000}"/>
    <hyperlink ref="N953" r:id="rId152" xr:uid="{00000000-0004-0000-0200-000081050000}"/>
    <hyperlink ref="N963" r:id="rId153" xr:uid="{00000000-0004-0000-0200-000085050000}"/>
    <hyperlink ref="N964" r:id="rId154" xr:uid="{00000000-0004-0000-0200-00008A050000}"/>
    <hyperlink ref="N965" r:id="rId155" xr:uid="{00000000-0004-0000-0200-00008F050000}"/>
    <hyperlink ref="N967" r:id="rId156" xr:uid="{00000000-0004-0000-0200-000097050000}"/>
    <hyperlink ref="N969" r:id="rId157" xr:uid="{00000000-0004-0000-0200-00009D050000}"/>
    <hyperlink ref="N970" r:id="rId158" display="https://raw.githubusercontent.com/olaf-programmeur/images/main/accident_4.webp" xr:uid="{00000000-0004-0000-0200-00009E050000}"/>
    <hyperlink ref="N975" r:id="rId159" display="https://raw.githubusercontent.com/olaf-programmeur/images/main/v_entrer_4.webp" xr:uid="{00000000-0004-0000-0200-0000A4050000}"/>
    <hyperlink ref="N977" r:id="rId160" xr:uid="{00000000-0004-0000-0200-0000AC050000}"/>
    <hyperlink ref="N978" r:id="rId161" display="https://raw.githubusercontent.com/olaf-programmeur/images/main/lutte_4.webp" xr:uid="{00000000-0004-0000-0200-0000B1050000}"/>
    <hyperlink ref="N981" r:id="rId162" display="https://raw.githubusercontent.com/olaf-programmeur/images/main/accident_4.webp" xr:uid="{00000000-0004-0000-0200-0000B3050000}"/>
    <hyperlink ref="N982" r:id="rId163" xr:uid="{00000000-0004-0000-0200-0000B8050000}"/>
    <hyperlink ref="N983" r:id="rId164" display="https://raw.githubusercontent.com/olaf-programmeur/images/main/v_lever_4.webp" xr:uid="{00000000-0004-0000-0200-0000BD050000}"/>
    <hyperlink ref="N986" r:id="rId165" display="https://raw.githubusercontent.com/olaf-programmeur/images/main/accident_4.webp" xr:uid="{00000000-0004-0000-0200-0000C2050000}"/>
    <hyperlink ref="N987" r:id="rId166" display="https://raw.githubusercontent.com/olaf-programmeur/images/main/accident_4.webp" xr:uid="{00000000-0004-0000-0200-0000C3050000}"/>
    <hyperlink ref="N988" r:id="rId167" display="https://raw.githubusercontent.com/olaf-programmeur/images/main/accident_4.webp" xr:uid="{00000000-0004-0000-0200-0000C4050000}"/>
    <hyperlink ref="N989" r:id="rId168" display="https://raw.githubusercontent.com/olaf-programmeur/images/main/accident_4.webp" xr:uid="{00000000-0004-0000-0200-0000C5050000}"/>
    <hyperlink ref="N990" r:id="rId169" display="https://raw.githubusercontent.com/olaf-programmeur/images/main/accident_4.webp" xr:uid="{00000000-0004-0000-0200-0000C6050000}"/>
    <hyperlink ref="N991" r:id="rId170" display="https://raw.githubusercontent.com/olaf-programmeur/images/main/accident_4.webp" xr:uid="{00000000-0004-0000-0200-0000C7050000}"/>
    <hyperlink ref="N995" r:id="rId171" display="https://raw.githubusercontent.com/olaf-programmeur/images/main/accident_4.webp" xr:uid="{00000000-0004-0000-0200-0000CA050000}"/>
    <hyperlink ref="N996" r:id="rId172" display="https://raw.githubusercontent.com/olaf-programmeur/images/main/accident_4.webp" xr:uid="{00000000-0004-0000-0200-0000CB050000}"/>
    <hyperlink ref="N997" r:id="rId173" display="https://raw.githubusercontent.com/olaf-programmeur/images/main/accident_4.webp" xr:uid="{00000000-0004-0000-0200-0000CC050000}"/>
    <hyperlink ref="N998" r:id="rId174" display="https://raw.githubusercontent.com/olaf-programmeur/images/main/accident_4.webp" xr:uid="{00000000-0004-0000-0200-0000CD050000}"/>
    <hyperlink ref="N1000" r:id="rId175" display="https://raw.githubusercontent.com/olaf-programmeur/images/main/accident_4.webp" xr:uid="{00000000-0004-0000-0200-0000D0050000}"/>
    <hyperlink ref="N1003" r:id="rId176" xr:uid="{00000000-0004-0000-0200-0000D7050000}"/>
    <hyperlink ref="N1004" r:id="rId177" xr:uid="{00000000-0004-0000-0200-0000DC050000}"/>
    <hyperlink ref="N1005" r:id="rId178" display="https://raw.githubusercontent.com/olaf-programmeur/images/main/lutte_4.webp" xr:uid="{00000000-0004-0000-0200-0000E1050000}"/>
    <hyperlink ref="N1007" r:id="rId179" display="https://raw.githubusercontent.com/olaf-programmeur/images/main/lutte_4.webp" xr:uid="{00000000-0004-0000-0200-0000E9050000}"/>
    <hyperlink ref="N1008" r:id="rId180" display="https://raw.githubusercontent.com/olaf-programmeur/images/main/lutte_4.webp" xr:uid="{00000000-0004-0000-0200-0000EE050000}"/>
    <hyperlink ref="N1009" r:id="rId181" display="https://raw.githubusercontent.com/olaf-programmeur/images/main/lutte_4.webp" xr:uid="{00000000-0004-0000-0200-0000F3050000}"/>
    <hyperlink ref="N1010" r:id="rId182" display="https://raw.githubusercontent.com/olaf-programmeur/images/main/lutte_4.webp" xr:uid="{00000000-0004-0000-0200-0000F8050000}"/>
    <hyperlink ref="N1013" r:id="rId183" display="https://raw.githubusercontent.com/olaf-programmeur/images/main/lutte_4.webp" xr:uid="{00000000-0004-0000-0200-0000FE050000}"/>
    <hyperlink ref="N1015" r:id="rId184" display="https://raw.githubusercontent.com/olaf-programmeur/images/main/lutte_4.webp" xr:uid="{00000000-0004-0000-0200-000005060000}"/>
    <hyperlink ref="N1019" r:id="rId185" display="https://raw.githubusercontent.com/olaf-programmeur/images/main/lutte_4.webp" xr:uid="{00000000-0004-0000-0200-000010060000}"/>
    <hyperlink ref="N1020" r:id="rId186" display="https://raw.githubusercontent.com/olaf-programmeur/images/main/lutte_4.webp" xr:uid="{00000000-0004-0000-0200-000015060000}"/>
    <hyperlink ref="N1021" r:id="rId187" xr:uid="{00000000-0004-0000-0200-00001A060000}"/>
    <hyperlink ref="N1025" r:id="rId188" display="https://raw.githubusercontent.com/olaf-programmeur/images/main/lutte_4.webp" xr:uid="{00000000-0004-0000-0200-000026060000}"/>
    <hyperlink ref="N1026" r:id="rId189" display="https://raw.githubusercontent.com/olaf-programmeur/images/main/lutte_4.webp" xr:uid="{00000000-0004-0000-0200-00002B060000}"/>
    <hyperlink ref="N1027" r:id="rId190" display="https://raw.githubusercontent.com/olaf-programmeur/images/main/lutte_4.webp" xr:uid="{00000000-0004-0000-0200-000030060000}"/>
    <hyperlink ref="N1029" r:id="rId191" xr:uid="{00000000-0004-0000-0200-000036060000}"/>
    <hyperlink ref="N1032" r:id="rId192" display="https://raw.githubusercontent.com/olaf-programmeur/images/main/lutte_4.webp" xr:uid="{00000000-0004-0000-0200-00003F060000}"/>
    <hyperlink ref="N1034" r:id="rId193" display="https://raw.githubusercontent.com/olaf-programmeur/images/main/lutte_4.webp" xr:uid="{00000000-0004-0000-0200-000045060000}"/>
    <hyperlink ref="N1037" r:id="rId194" display="https://raw.githubusercontent.com/olaf-programmeur/images/main/lutte_4.webp" xr:uid="{00000000-0004-0000-0200-00004D060000}"/>
    <hyperlink ref="N1041" r:id="rId195" display="https://raw.githubusercontent.com/olaf-programmeur/images/main/lutte_4.webp" xr:uid="{00000000-0004-0000-0200-000056060000}"/>
    <hyperlink ref="N1045" r:id="rId196" xr:uid="{00000000-0004-0000-0200-000066060000}"/>
    <hyperlink ref="N1046" r:id="rId197" display="https://raw.githubusercontent.com/olaf-programmeur/images/main/cube_4.webp" xr:uid="{00000000-0004-0000-0200-00006B060000}"/>
    <hyperlink ref="N1047" r:id="rId198" display="https://raw.githubusercontent.com/olaf-programmeur/images/main/brin_4.webp" xr:uid="{00000000-0004-0000-0200-000070060000}"/>
    <hyperlink ref="N1048" r:id="rId199" display="https://raw.githubusercontent.com/olaf-programmeur/images/main/brin_4.webp" xr:uid="{00000000-0004-0000-0200-000076060000}"/>
    <hyperlink ref="N1051" r:id="rId200" xr:uid="{00000000-0004-0000-0200-00007F060000}"/>
    <hyperlink ref="N1057" r:id="rId201" display="https://raw.githubusercontent.com/olaf-programmeur/images/main/brin_4.webp" xr:uid="{00000000-0004-0000-0200-000086060000}"/>
    <hyperlink ref="N1061" r:id="rId202" display="https://raw.githubusercontent.com/olaf-programmeur/images/main/jardinage_4.webp" xr:uid="{00000000-0004-0000-0200-00008C060000}"/>
    <hyperlink ref="N1066" r:id="rId203" display="https://raw.githubusercontent.com/olaf-programmeur/images/main/dessert_4.webp" xr:uid="{00000000-0004-0000-0200-000094060000}"/>
    <hyperlink ref="N1071" r:id="rId204" xr:uid="{00000000-0004-0000-0200-00009F060000}"/>
    <hyperlink ref="N1074" r:id="rId205" display="https://raw.githubusercontent.com/olaf-programmeur/images/main/jardinage_4.webp" xr:uid="{00000000-0004-0000-0200-0000A4060000}"/>
    <hyperlink ref="N1079" r:id="rId206" xr:uid="{00000000-0004-0000-0200-0000AC060000}"/>
    <hyperlink ref="N1081" r:id="rId207" display="https://raw.githubusercontent.com/olaf-programmeur/images/main/livre_4.webp" xr:uid="{00000000-0004-0000-0200-0000B3060000}"/>
    <hyperlink ref="N1083" r:id="rId208" display="https://raw.githubusercontent.com/olaf-programmeur/images/main/jardinage_4.webp" xr:uid="{00000000-0004-0000-0200-0000B7060000}"/>
    <hyperlink ref="N1084" r:id="rId209" display="https://raw.githubusercontent.com/olaf-programmeur/images/main/jardinage_4.webp" xr:uid="{00000000-0004-0000-0200-0000BA060000}"/>
    <hyperlink ref="N1085" r:id="rId210" display="https://raw.githubusercontent.com/olaf-programmeur/images/main/jardinage_4.webp" xr:uid="{00000000-0004-0000-0200-0000BD060000}"/>
    <hyperlink ref="N1094" r:id="rId211" display="https://raw.githubusercontent.com/olaf-programmeur/images/main/morceau_4.webp" xr:uid="{00000000-0004-0000-0200-0000CB060000}"/>
    <hyperlink ref="N1096" r:id="rId212" display="https://raw.githubusercontent.com/olaf-programmeur/images/main/morceau_4.webp" xr:uid="{00000000-0004-0000-0200-0000D2060000}"/>
    <hyperlink ref="N1099" r:id="rId213" display="https://raw.githubusercontent.com/olaf-programmeur/images/main/morceau_4.webp" xr:uid="{00000000-0004-0000-0200-0000DD060000}"/>
    <hyperlink ref="N1100" r:id="rId214" display="https://raw.githubusercontent.com/olaf-programmeur/images/main/morceau_4.webp" xr:uid="{00000000-0004-0000-0200-0000E3060000}"/>
    <hyperlink ref="N1102" r:id="rId215" display="https://raw.githubusercontent.com/olaf-programmeur/images/main/morceau_4.webp" xr:uid="{00000000-0004-0000-0200-0000EA060000}"/>
    <hyperlink ref="N1104" r:id="rId216" display="https://raw.githubusercontent.com/olaf-programmeur/images/main/morceau_4.webp" xr:uid="{00000000-0004-0000-0200-0000F1060000}"/>
    <hyperlink ref="N1105" r:id="rId217" display="https://raw.githubusercontent.com/olaf-programmeur/images/main/morceau_4.webp" xr:uid="{00000000-0004-0000-0200-0000F7060000}"/>
    <hyperlink ref="N1106" r:id="rId218" display="https://raw.githubusercontent.com/olaf-programmeur/images/main/morceau_4.webp" xr:uid="{00000000-0004-0000-0200-0000FD060000}"/>
    <hyperlink ref="N1107" r:id="rId219" display="https://raw.githubusercontent.com/olaf-programmeur/images/main/morceau_4.webp" xr:uid="{00000000-0004-0000-0200-000002070000}"/>
    <hyperlink ref="N1109" r:id="rId220" display="https://raw.githubusercontent.com/olaf-programmeur/images/main/morceau_4.webp" xr:uid="{00000000-0004-0000-0200-00000A070000}"/>
    <hyperlink ref="N1110" r:id="rId221" display="https://raw.githubusercontent.com/olaf-programmeur/images/main/morceau_4.webp" xr:uid="{00000000-0004-0000-0200-00000F070000}"/>
    <hyperlink ref="N1115" r:id="rId222" display="https://raw.githubusercontent.com/olaf-programmeur/images/main/piment_4.webp" xr:uid="{00000000-0004-0000-0200-00001E070000}"/>
    <hyperlink ref="N1116" r:id="rId223" display="https://raw.githubusercontent.com/olaf-programmeur/images/main/piment_4.webp" xr:uid="{00000000-0004-0000-0200-000024070000}"/>
    <hyperlink ref="N1119" r:id="rId224" xr:uid="{00000000-0004-0000-0200-00002D070000}"/>
    <hyperlink ref="N1125" r:id="rId225" display="https://raw.githubusercontent.com/olaf-programmeur/images/main/plancher_4.webp" xr:uid="{00000000-0004-0000-0200-000039070000}"/>
    <hyperlink ref="N1133" r:id="rId226" display="https://raw.githubusercontent.com/olaf-programmeur/images/main/plancher_4.webp" xr:uid="{00000000-0004-0000-0200-00004A070000}"/>
    <hyperlink ref="N1136" r:id="rId227" display="https://raw.githubusercontent.com/olaf-programmeur/images/main/jardinage_4.webp" xr:uid="{00000000-0004-0000-0200-00004D070000}"/>
    <hyperlink ref="N1147" r:id="rId228" display="https://raw.githubusercontent.com/olaf-programmeur/images/main/trottoir_4.webp" xr:uid="{00000000-0004-0000-0200-00005B070000}"/>
    <hyperlink ref="N1148" r:id="rId229" display="https://raw.githubusercontent.com/olaf-programmeur/images/main/trottoir_4.webp" xr:uid="{00000000-0004-0000-0200-000061070000}"/>
    <hyperlink ref="N1149" r:id="rId230" display="https://raw.githubusercontent.com/olaf-programmeur/images/main/trottoir_4.webp" xr:uid="{00000000-0004-0000-0200-000066070000}"/>
    <hyperlink ref="N1150" r:id="rId231" display="https://raw.githubusercontent.com/olaf-programmeur/images/main/trottoir_4.webp" xr:uid="{00000000-0004-0000-0200-00006B070000}"/>
    <hyperlink ref="N1154" r:id="rId232" display="https://raw.githubusercontent.com/olaf-programmeur/images/main/trottoir_4.webp" xr:uid="{00000000-0004-0000-0200-000072070000}"/>
    <hyperlink ref="N1156" r:id="rId233" display="https://raw.githubusercontent.com/olaf-programmeur/images/main/trottoir_4.webp" xr:uid="{00000000-0004-0000-0200-00007A070000}"/>
    <hyperlink ref="N1160" r:id="rId234" xr:uid="{00000000-0004-0000-0200-000081070000}"/>
    <hyperlink ref="J1163" r:id="rId235" xr:uid="{00000000-0004-0000-0200-000084070000}"/>
    <hyperlink ref="N1163" r:id="rId236" xr:uid="{00000000-0004-0000-0200-000088070000}"/>
    <hyperlink ref="N1165" r:id="rId237" display="https://raw.githubusercontent.com/olaf-programmeur/images/main/trottoir_4.webp" xr:uid="{00000000-0004-0000-0200-000092070000}"/>
    <hyperlink ref="N1167" r:id="rId238" display="https://raw.githubusercontent.com/olaf-programmeur/images/main/trottoir_4.webp" xr:uid="{00000000-0004-0000-0200-000098070000}"/>
    <hyperlink ref="N1168" r:id="rId239" display="https://raw.githubusercontent.com/olaf-programmeur/images/main/trottoir_4.webp" xr:uid="{00000000-0004-0000-0200-00009D070000}"/>
    <hyperlink ref="N1169" r:id="rId240" xr:uid="{00000000-0004-0000-0200-0000A2070000}"/>
    <hyperlink ref="N1172" r:id="rId241" display="https://raw.githubusercontent.com/olaf-programmeur/images/main/terrain_4.webp" xr:uid="{00000000-0004-0000-0200-0000AB070000}"/>
    <hyperlink ref="N1173" r:id="rId242" display="https://raw.githubusercontent.com/olaf-programmeur/images/main/trottoir_4.webp" xr:uid="{00000000-0004-0000-0200-0000B0070000}"/>
    <hyperlink ref="N1174" r:id="rId243" display="https://raw.githubusercontent.com/olaf-programmeur/images/main/trottoir_4.webp" xr:uid="{00000000-0004-0000-0200-0000B5070000}"/>
    <hyperlink ref="N1182" r:id="rId244" display="https://raw.githubusercontent.com/olaf-programmeur/images/main/trottoir_4.webp" xr:uid="{00000000-0004-0000-0200-0000C3070000}"/>
    <hyperlink ref="N1183" r:id="rId245" xr:uid="{00000000-0004-0000-0200-0000C8070000}"/>
    <hyperlink ref="N1184" r:id="rId246" xr:uid="{00000000-0004-0000-0200-0000CD070000}"/>
    <hyperlink ref="N1185" r:id="rId247" xr:uid="{00000000-0004-0000-0200-0000D2070000}"/>
    <hyperlink ref="N1186" r:id="rId248" xr:uid="{00000000-0004-0000-0200-0000D7070000}"/>
    <hyperlink ref="N1187" r:id="rId249" xr:uid="{00000000-0004-0000-0200-0000DC070000}"/>
    <hyperlink ref="N1190" r:id="rId250" xr:uid="{00000000-0004-0000-0200-0000E3070000}"/>
    <hyperlink ref="N1192" r:id="rId251" xr:uid="{00000000-0004-0000-0200-0000EA070000}"/>
    <hyperlink ref="N1195" r:id="rId252" display="https://raw.githubusercontent.com/olaf-programmeur/images/main/cube_4.webp" xr:uid="{00000000-0004-0000-0200-0000F1070000}"/>
    <hyperlink ref="N1196" r:id="rId253" xr:uid="{00000000-0004-0000-0200-0000F6070000}"/>
    <hyperlink ref="N1201" r:id="rId254" xr:uid="{00000000-0004-0000-0200-0000FB070000}"/>
    <hyperlink ref="N1202" r:id="rId255" display="https://raw.githubusercontent.com/olaf-programmeur/images/main/echelle_4.webp" xr:uid="{00000000-0004-0000-0200-000000080000}"/>
    <hyperlink ref="N1203" r:id="rId256" display="https://raw.githubusercontent.com/olaf-programmeur/images/main/echelle_4.webp" xr:uid="{00000000-0004-0000-0200-000005080000}"/>
    <hyperlink ref="N1205" r:id="rId257" display="https://raw.githubusercontent.com/olaf-programmeur/images/main/echelle_4.webp" xr:uid="{00000000-0004-0000-0200-00000A080000}"/>
    <hyperlink ref="N1206" r:id="rId258" display="https://raw.githubusercontent.com/olaf-programmeur/images/main/echelle_4.webp" xr:uid="{00000000-0004-0000-0200-00000F080000}"/>
    <hyperlink ref="N1207" r:id="rId259" xr:uid="{00000000-0004-0000-0200-000014080000}"/>
    <hyperlink ref="N1208" r:id="rId260" display="https://raw.githubusercontent.com/olaf-programmeur/images/main/echelle_4.webp" xr:uid="{00000000-0004-0000-0200-000019080000}"/>
    <hyperlink ref="N1212" r:id="rId261" xr:uid="{00000000-0004-0000-0200-000022080000}"/>
    <hyperlink ref="N1214" r:id="rId262" display="https://raw.githubusercontent.com/olaf-programmeur/images/main/aide_4.webp" xr:uid="{00000000-0004-0000-0200-000027080000}"/>
    <hyperlink ref="J1216" r:id="rId263" xr:uid="{00000000-0004-0000-0200-00002A080000}"/>
    <hyperlink ref="N1216" r:id="rId264" xr:uid="{00000000-0004-0000-0200-00002E080000}"/>
    <hyperlink ref="N1221" r:id="rId265" display="https://raw.githubusercontent.com/olaf-programmeur/images/main/aide_4.webp" xr:uid="{00000000-0004-0000-0200-00003C080000}"/>
    <hyperlink ref="N1223" r:id="rId266" display="https://raw.githubusercontent.com/olaf-programmeur/images/main/aide_4.webp" xr:uid="{00000000-0004-0000-0200-000042080000}"/>
    <hyperlink ref="N1225" r:id="rId267" display="https://raw.githubusercontent.com/olaf-programmeur/images/main/aide_4.webp" xr:uid="{00000000-0004-0000-0200-000048080000}"/>
    <hyperlink ref="N1226" r:id="rId268" display="https://raw.githubusercontent.com/olaf-programmeur/images/main/aide_4.webp" xr:uid="{00000000-0004-0000-0200-00004D080000}"/>
    <hyperlink ref="N1230" r:id="rId269" xr:uid="{00000000-0004-0000-0200-00005B080000}"/>
    <hyperlink ref="N1234" r:id="rId270" xr:uid="{00000000-0004-0000-0200-000061080000}"/>
    <hyperlink ref="N1235" r:id="rId271" display="https://raw.githubusercontent.com/olaf-programmeur/images/main/aide_4.webp" xr:uid="{00000000-0004-0000-0200-000066080000}"/>
    <hyperlink ref="N1241" r:id="rId272" display="https://raw.githubusercontent.com/olaf-programmeur/images/main/v_monter_4.webp" xr:uid="{00000000-0004-0000-0200-000072080000}"/>
    <hyperlink ref="N1242" r:id="rId273" display="https://raw.githubusercontent.com/olaf-programmeur/images/main/v_monter_4.webp" xr:uid="{00000000-0004-0000-0200-000077080000}"/>
    <hyperlink ref="J1244" r:id="rId274" display="https://raw.githubusercontent.com/olaf-programmeur/images/main/bagheera.webp" xr:uid="{00000000-0004-0000-0200-00007C080000}"/>
    <hyperlink ref="N1244" r:id="rId275" xr:uid="{00000000-0004-0000-0200-000080080000}"/>
    <hyperlink ref="N1246" r:id="rId276" display="https://raw.githubusercontent.com/olaf-programmeur/images/main/v_monter_4.webp" xr:uid="{00000000-0004-0000-0200-000087080000}"/>
    <hyperlink ref="N1249" r:id="rId277" display="https://raw.githubusercontent.com/olaf-programmeur/images/main/echelle_4.webp" xr:uid="{00000000-0004-0000-0200-000092080000}"/>
    <hyperlink ref="N1254" r:id="rId278" display="https://raw.githubusercontent.com/olaf-programmeur/images/main/v_entrer_4.webp" xr:uid="{00000000-0004-0000-0200-00009E080000}"/>
    <hyperlink ref="N1257" r:id="rId279" display="https://raw.githubusercontent.com/olaf-programmeur/images/main/v_entrer_4.webp" xr:uid="{00000000-0004-0000-0200-0000A5080000}"/>
    <hyperlink ref="N1258" r:id="rId280" display="https://raw.githubusercontent.com/olaf-programmeur/images/main/v_entrer_4.webp" xr:uid="{00000000-0004-0000-0200-0000AA080000}"/>
    <hyperlink ref="N1262" r:id="rId281" xr:uid="{00000000-0004-0000-0200-0000B2080000}"/>
    <hyperlink ref="N1264" r:id="rId282" display="https://raw.githubusercontent.com/olaf-programmeur/images/main/v_entrer_4.webp" xr:uid="{00000000-0004-0000-0200-0000BB080000}"/>
    <hyperlink ref="N1265" r:id="rId283" display="https://raw.githubusercontent.com/olaf-programmeur/images/main/v_lever_4.webp" xr:uid="{00000000-0004-0000-0200-0000C0080000}"/>
    <hyperlink ref="N1267" r:id="rId284" display="https://raw.githubusercontent.com/olaf-programmeur/images/main/v_lever_4.webp" xr:uid="{00000000-0004-0000-0200-0000C6080000}"/>
    <hyperlink ref="J1272" r:id="rId285" xr:uid="{00000000-0004-0000-0200-0000CD080000}"/>
    <hyperlink ref="N1272" r:id="rId286" xr:uid="{00000000-0004-0000-0200-0000D1080000}"/>
    <hyperlink ref="N1273" r:id="rId287" display="https://raw.githubusercontent.com/olaf-programmeur/images/main/v_lever_4.webp" xr:uid="{00000000-0004-0000-0200-0000D7080000}"/>
    <hyperlink ref="N1275" r:id="rId288" display="https://raw.githubusercontent.com/olaf-programmeur/images/main/v_voler_4.webp" xr:uid="{00000000-0004-0000-0200-0000DC080000}"/>
    <hyperlink ref="N1282" r:id="rId289" display="https://raw.githubusercontent.com/olaf-programmeur/images/main/v_entrer_4.webp" xr:uid="{00000000-0004-0000-0200-0000E9080000}"/>
    <hyperlink ref="N1284" r:id="rId290" display="https://raw.githubusercontent.com/olaf-programmeur/images/main/v_lever_4.webp" xr:uid="{00000000-0004-0000-0200-0000EE080000}"/>
    <hyperlink ref="N1285" r:id="rId291" display="https://raw.githubusercontent.com/olaf-programmeur/images/main/v_lever_4.webp" xr:uid="{00000000-0004-0000-0200-0000F3080000}"/>
    <hyperlink ref="N1288" r:id="rId292" display="https://raw.githubusercontent.com/olaf-programmeur/images/main/v_entrer_4.webp" xr:uid="{00000000-0004-0000-0200-0000F8080000}"/>
    <hyperlink ref="N1308" r:id="rId293" display="https://raw.githubusercontent.com/olaf-programmeur/images/main/v_lever_4.webp" xr:uid="{00000000-0004-0000-0200-000018090000}"/>
    <hyperlink ref="N1312" r:id="rId294" display="https://raw.githubusercontent.com/olaf-programmeur/images/main/v_lever_4.webp" xr:uid="{00000000-0004-0000-0200-000020090000}"/>
    <hyperlink ref="N1313" r:id="rId295" display="https://raw.githubusercontent.com/olaf-programmeur/images/main/v_ramasser_4.webp" xr:uid="{00000000-0004-0000-0200-000025090000}"/>
    <hyperlink ref="N1319" r:id="rId296" display="https://raw.githubusercontent.com/olaf-programmeur/images/main/v_entrer_4.webp" xr:uid="{00000000-0004-0000-0200-000033090000}"/>
    <hyperlink ref="N1323" r:id="rId297" display="https://raw.githubusercontent.com/olaf-programmeur/images/main/v_ramasser_4.webp" xr:uid="{00000000-0004-0000-0200-00003E090000}"/>
    <hyperlink ref="N1325" r:id="rId298" display="https://raw.githubusercontent.com/olaf-programmeur/images/main/v_entrer_4.webp" xr:uid="{00000000-0004-0000-0200-000047090000}"/>
    <hyperlink ref="N1329" r:id="rId299" display="https://raw.githubusercontent.com/olaf-programmeur/images/main/v_entrer_4.webp" xr:uid="{00000000-0004-0000-0200-00004D090000}"/>
    <hyperlink ref="N1330" r:id="rId300" display="https://raw.githubusercontent.com/olaf-programmeur/images/main/v_entrer_4.webp" xr:uid="{00000000-0004-0000-0200-000052090000}"/>
    <hyperlink ref="N1335" r:id="rId301" display="https://raw.githubusercontent.com/olaf-programmeur/images/main/v_sortir_4.webp" xr:uid="{00000000-0004-0000-0200-00005B090000}"/>
    <hyperlink ref="N1341" r:id="rId302" display="https://raw.githubusercontent.com/olaf-programmeur/images/main/v_voler_4.webp" xr:uid="{00000000-0004-0000-0200-000065090000}"/>
    <hyperlink ref="N1342" r:id="rId303" display="https://raw.githubusercontent.com/olaf-programmeur/images/main/v_entrer_4.webp" xr:uid="{00000000-0004-0000-0200-00006A090000}"/>
    <hyperlink ref="N1343" r:id="rId304" display="https://raw.githubusercontent.com/olaf-programmeur/images/main/v_entrer_4.webp" xr:uid="{00000000-0004-0000-0200-00006F090000}"/>
    <hyperlink ref="N1355" r:id="rId305" display="https://raw.githubusercontent.com/olaf-programmeur/images/main/v_voler_4.webp" xr:uid="{00000000-0004-0000-0200-00007A090000}"/>
    <hyperlink ref="N1361" r:id="rId306" xr:uid="{00000000-0004-0000-0200-000084090000}"/>
    <hyperlink ref="N1372" r:id="rId307" xr:uid="{00000000-0004-0000-0200-000094090000}"/>
    <hyperlink ref="N1381" r:id="rId308" display="https://raw.githubusercontent.com/olaf-programmeur/images/main/dessert_4.webp" xr:uid="{00000000-0004-0000-0200-0000A2090000}"/>
    <hyperlink ref="N1384" r:id="rId309" xr:uid="{00000000-0004-0000-0200-0000AA090000}"/>
    <hyperlink ref="J1395" r:id="rId310" xr:uid="{00000000-0004-0000-0200-0000B7090000}"/>
    <hyperlink ref="N1395" r:id="rId311" xr:uid="{00000000-0004-0000-0200-0000BB090000}"/>
    <hyperlink ref="J1416" r:id="rId312" xr:uid="{00000000-0004-0000-0200-0000C8090000}"/>
    <hyperlink ref="N1416" r:id="rId313" xr:uid="{00000000-0004-0000-0200-0000CC090000}"/>
    <hyperlink ref="J1417" r:id="rId314" display="https://raw.githubusercontent.com/olaf-programmeur/images/main/aile_animal.webp" xr:uid="{00000000-0004-0000-0200-0000CE090000}"/>
    <hyperlink ref="N1417" r:id="rId315" display="https://raw.githubusercontent.com/olaf-programmeur/images/main/aile_animal_4.webp" xr:uid="{00000000-0004-0000-0200-0000D2090000}"/>
    <hyperlink ref="N1418" r:id="rId316" display="https://raw.githubusercontent.com/olaf-programmeur/images/main/aile_animal_4.webp" xr:uid="{00000000-0004-0000-0200-0000D8090000}"/>
    <hyperlink ref="E492" r:id="rId317" xr:uid="{83DB6B91-2E57-4381-804E-344C8DB4C12C}"/>
    <hyperlink ref="F310" r:id="rId318" xr:uid="{B7627DD4-CA72-4618-A88F-5423565CF44C}"/>
    <hyperlink ref="G310" r:id="rId319" xr:uid="{E4C52D44-54A0-4C53-AA4D-33BD8D562D48}"/>
    <hyperlink ref="H310" r:id="rId320" xr:uid="{8D187742-4D0F-49AF-88AC-0090E66757DA}"/>
    <hyperlink ref="I310" r:id="rId321" xr:uid="{D7FFA249-E779-408F-9101-6D720E3AC051}"/>
    <hyperlink ref="F206" r:id="rId322" xr:uid="{659E91FD-7E6B-4E59-8668-B2337DF35E89}"/>
    <hyperlink ref="G206" r:id="rId323" xr:uid="{29F7D9AF-C0A6-4085-95BA-8B5BD080406F}"/>
    <hyperlink ref="F959" r:id="rId324" xr:uid="{F90A7A2C-14BF-48A4-9CEA-CBCC7D967075}"/>
    <hyperlink ref="G959" r:id="rId325" xr:uid="{DADE1150-CE62-4726-84E0-BC115B803DC1}"/>
    <hyperlink ref="H959" r:id="rId326" xr:uid="{DA74F15E-9A71-4A98-8C01-477B72FD8BEC}"/>
    <hyperlink ref="I959" r:id="rId327" xr:uid="{EEABABC5-AD51-4181-9EA7-3C7FACF650CB}"/>
    <hyperlink ref="N1413" r:id="rId328" xr:uid="{C1015C9A-566A-4279-96AB-EB3F30E2C15F}"/>
    <hyperlink ref="E557" r:id="rId329" xr:uid="{82DF263E-D96F-477C-BFFC-80CBD6728876}"/>
    <hyperlink ref="E554" r:id="rId330" xr:uid="{C880A609-3DA0-4E7E-B62D-E0ABA5A64A79}"/>
    <hyperlink ref="F554" r:id="rId331" xr:uid="{ED38A964-8231-4030-B2D6-EDA6B92F3777}"/>
    <hyperlink ref="G554" r:id="rId332" xr:uid="{CF81145D-DFA3-4114-833B-BB5017647F95}"/>
    <hyperlink ref="H554" r:id="rId333" xr:uid="{FAD67310-5AA9-4197-9A28-FCE50B65C96D}"/>
    <hyperlink ref="E72" r:id="rId334" xr:uid="{FB26A90D-3EA1-45A1-95DE-FFBCEABAE4F9}"/>
    <hyperlink ref="E87" r:id="rId335" xr:uid="{EEA5867F-E0EC-4C7C-8381-DB89E0DDDE2F}"/>
    <hyperlink ref="E90" r:id="rId336" xr:uid="{0CE6BCEF-2E23-4AC6-9E35-0D089D852410}"/>
    <hyperlink ref="J310" r:id="rId337" xr:uid="{10290DFA-5825-4AE3-9DFE-ED05496F6643}"/>
    <hyperlink ref="G310:J310" r:id="rId338" display="https://raw.githubusercontent.com/olaf-programmeur/images/main/poire_1.webp" xr:uid="{5AC20E6A-0A33-46A4-8A35-EC3D96279A15}"/>
    <hyperlink ref="E515" r:id="rId339" xr:uid="{525EF5FA-24B4-4AF3-AC7D-AC8C40599F40}"/>
    <hyperlink ref="E524" r:id="rId340" xr:uid="{5FFEA268-3EAF-40AA-B8D0-7C93B07AE011}"/>
    <hyperlink ref="E553" r:id="rId341" xr:uid="{A13E4794-05BB-4E6B-B595-DF300B9E9F19}"/>
    <hyperlink ref="J959" r:id="rId342" xr:uid="{F4B873FD-D8A0-4E88-87ED-89D04DA288F1}"/>
    <hyperlink ref="G959:J959" r:id="rId343" display="https://raw.githubusercontent.com/olaf-programmeur/images/main/vigne_1.webp" xr:uid="{674C676B-8311-4BE5-A9A1-FA07CED931D1}"/>
    <hyperlink ref="G1383" r:id="rId344" xr:uid="{4024132B-2D14-4AEB-AFDF-509AE61F8950}"/>
    <hyperlink ref="F685" r:id="rId345" xr:uid="{759A003B-901E-4D36-AD4A-1ABE668933B1}"/>
    <hyperlink ref="G685" r:id="rId346" xr:uid="{B4849D7A-7036-4B74-B0EA-493141E3CAAD}"/>
    <hyperlink ref="H685" r:id="rId347" xr:uid="{22CBEB9F-8896-4E9D-9882-9B4B515BC38E}"/>
    <hyperlink ref="I685" r:id="rId348" xr:uid="{7558B12C-16E4-45C6-81D9-CE87A1B1FF85}"/>
    <hyperlink ref="J641" r:id="rId349" xr:uid="{23B001BB-2AEE-4AAD-83B9-16C0DFC302AD}"/>
    <hyperlink ref="E674" r:id="rId350" xr:uid="{638F4F6D-0B32-4F7C-8FA1-4B6E8E0FE697}"/>
    <hyperlink ref="F674" r:id="rId351" xr:uid="{D44670BB-F621-41DC-8989-69AB44C088D3}"/>
    <hyperlink ref="G674" r:id="rId352" xr:uid="{6C007ED7-EC21-4AF2-A761-69F6A9054C93}"/>
    <hyperlink ref="H674" r:id="rId353" xr:uid="{29ACB484-EDB6-4017-B4DD-B5DDD1E4662C}"/>
    <hyperlink ref="I674" r:id="rId354" xr:uid="{17480DB3-EA05-4256-8127-7C955D586231}"/>
    <hyperlink ref="J1431" r:id="rId355" xr:uid="{C00EA0EE-2AA1-447C-983B-08746DC269B2}"/>
    <hyperlink ref="E1433" r:id="rId356" xr:uid="{5086B73A-D244-4F27-8887-13E464D08B5F}"/>
    <hyperlink ref="F85" r:id="rId357" xr:uid="{BF3D6D0B-9737-40C2-8DC0-AA921634CADE}"/>
    <hyperlink ref="E1441" r:id="rId358" xr:uid="{F8A02B22-6059-49A8-9EE1-75E699FD48A1}"/>
    <hyperlink ref="F1441" r:id="rId359" xr:uid="{6A4BC919-5874-4398-B35F-A98B020D4C24}"/>
    <hyperlink ref="G1441:J1441" r:id="rId360" display="https://raw.githubusercontent.com/olaf-programmeur/images/main/interrupteur_1.webp" xr:uid="{89AFC4E7-4B04-4423-8B19-02D48628A6E7}"/>
    <hyperlink ref="G1441" r:id="rId361" xr:uid="{1C2A7949-B197-4415-8BFB-EB032FC7C86D}"/>
    <hyperlink ref="H1441" r:id="rId362" xr:uid="{8C440228-706E-4689-A951-5B55E536249D}"/>
    <hyperlink ref="I1441" r:id="rId363" xr:uid="{8CC3FAD8-2767-4C7E-A8A2-54A747C03091}"/>
    <hyperlink ref="J1441" r:id="rId364" xr:uid="{6969D0B2-CED0-4C87-A98F-D4BFE8723F78}"/>
    <hyperlink ref="E1432" r:id="rId365" display="https://raw.githubusercontent.com/olaf-programmeur/images/main/interrupteur.webp" xr:uid="{91DF705F-D644-497F-96E8-CF35B71CCCA3}"/>
    <hyperlink ref="F1432" r:id="rId366" display="https://raw.githubusercontent.com/olaf-programmeur/images/main/interrupteur_1.webp" xr:uid="{172F3E1B-4E9A-4C79-9BD4-D9CF91181485}"/>
    <hyperlink ref="G1432:J1432" r:id="rId367" display="https://raw.githubusercontent.com/olaf-programmeur/images/main/interrupteur_1.webp" xr:uid="{49ECE747-4F0D-4F86-9A6A-11D35BABA412}"/>
    <hyperlink ref="G1432" r:id="rId368" display="https://raw.githubusercontent.com/olaf-programmeur/images/main/interrupteur_2.webp" xr:uid="{4E5CF1B8-CD2B-4A5D-843F-12C9527EB2B7}"/>
    <hyperlink ref="H1432" r:id="rId369" display="https://raw.githubusercontent.com/olaf-programmeur/images/main/interrupteur_3.webp" xr:uid="{5FC2CE38-B076-41FA-9068-99B08F9C3EF1}"/>
    <hyperlink ref="I1432" r:id="rId370" display="https://raw.githubusercontent.com/olaf-programmeur/images/main/interrupteur_4.webp" xr:uid="{B97D1514-5672-406B-9107-3E73795880CB}"/>
    <hyperlink ref="J1432" r:id="rId371" display="https://raw.githubusercontent.com/olaf-programmeur/images/main/interrupteur_5.webp" xr:uid="{D0C0F158-6EF8-4A6F-B3EA-8077E7080CC1}"/>
    <hyperlink ref="E1442" r:id="rId372" display="https://raw.githubusercontent.com/olaf-programmeur/images/main/interrupteur.webp" xr:uid="{A6A640F5-4B7B-4EEF-B19F-4C03B88B2EFE}"/>
    <hyperlink ref="F1442" r:id="rId373" display="https://raw.githubusercontent.com/olaf-programmeur/images/main/interrupteur_1.webp" xr:uid="{DBE82F59-163C-494A-91EA-669B96EDFC45}"/>
    <hyperlink ref="G1442" r:id="rId374" display="https://raw.githubusercontent.com/olaf-programmeur/images/main/interrupteur_2.webp" xr:uid="{02233E7B-5789-4BAE-9902-430483C4EACC}"/>
    <hyperlink ref="H1442" r:id="rId375" display="https://raw.githubusercontent.com/olaf-programmeur/images/main/interrupteur_3.webp" xr:uid="{B479E730-353A-4277-9C79-A291FAE49BB4}"/>
    <hyperlink ref="I1442" r:id="rId376" display="https://raw.githubusercontent.com/olaf-programmeur/images/main/interrupteur_4.webp" xr:uid="{E14D5D66-B1C4-4093-90F2-431D93BBAD25}"/>
    <hyperlink ref="E1443" r:id="rId377" display="https://raw.githubusercontent.com/olaf-programmeur/images/main/interrupteur.webp" xr:uid="{8404D0C2-A700-45A1-A57C-410994EF4B7B}"/>
    <hyperlink ref="F1443" r:id="rId378" display="https://raw.githubusercontent.com/olaf-programmeur/images/main/interrupteur_1.webp" xr:uid="{16E07021-5D6C-4C7A-8017-FEBF791B4231}"/>
    <hyperlink ref="G1443:J1443" r:id="rId379" display="https://raw.githubusercontent.com/olaf-programmeur/images/main/interrupteur_1.webp" xr:uid="{1232C483-F4C8-4A71-97C7-708162FB8CD7}"/>
    <hyperlink ref="G1443" r:id="rId380" display="https://raw.githubusercontent.com/olaf-programmeur/images/main/interrupteur_2.webp" xr:uid="{350EAC68-523A-49F4-B28F-27470ACD97DD}"/>
    <hyperlink ref="H1443" r:id="rId381" display="https://raw.githubusercontent.com/olaf-programmeur/images/main/interrupteur_3.webp" xr:uid="{9DB23CCC-9472-4D3F-9080-2BD330281D74}"/>
    <hyperlink ref="I1443" r:id="rId382" display="https://raw.githubusercontent.com/olaf-programmeur/images/main/interrupteur_4.webp" xr:uid="{A951386D-93B3-45D2-87C6-8CC62F0D2262}"/>
    <hyperlink ref="J1443" r:id="rId383" display="https://raw.githubusercontent.com/olaf-programmeur/images/main/interrupteur_5.webp" xr:uid="{107E7ADE-E6B0-497C-8EC8-8F72BBBCD146}"/>
    <hyperlink ref="E1444" r:id="rId384" display="https://raw.githubusercontent.com/olaf-programmeur/images/main/interrupteur.webp" xr:uid="{6D0990E0-C8A0-4CED-9B54-319A54E1AADA}"/>
    <hyperlink ref="F1444" r:id="rId385" display="https://raw.githubusercontent.com/olaf-programmeur/images/main/interrupteur_1.webp" xr:uid="{03FE4007-9A8A-48C3-BD0E-32BC6B053420}"/>
    <hyperlink ref="G1444:J1444" r:id="rId386" display="https://raw.githubusercontent.com/olaf-programmeur/images/main/interrupteur_1.webp" xr:uid="{A5A5E3DC-2455-485B-98A5-08B4241303E3}"/>
    <hyperlink ref="G1444" r:id="rId387" display="https://raw.githubusercontent.com/olaf-programmeur/images/main/interrupteur_2.webp" xr:uid="{2E71718F-D85B-475A-B13C-FB1C28D136D2}"/>
    <hyperlink ref="H1444" r:id="rId388" display="https://raw.githubusercontent.com/olaf-programmeur/images/main/interrupteur_3.webp" xr:uid="{3EF90598-A0F6-4E5F-BDDD-E08D5586BDFB}"/>
    <hyperlink ref="I1444" r:id="rId389" display="https://raw.githubusercontent.com/olaf-programmeur/images/main/interrupteur_4.webp" xr:uid="{B693357E-B712-47DE-821D-4E644CC83EF5}"/>
    <hyperlink ref="J1444" r:id="rId390" display="https://raw.githubusercontent.com/olaf-programmeur/images/main/interrupteur_5.webp" xr:uid="{24B92823-F4C8-4FE8-8843-192EA4E6A458}"/>
    <hyperlink ref="E387" r:id="rId391" xr:uid="{92E95EF0-FC5F-4193-9703-CC4119EB144E}"/>
    <hyperlink ref="E1446" r:id="rId392" display="https://raw.githubusercontent.com/olaf-programmeur/images/main/interrupteur.webp" xr:uid="{CEA63CE8-F402-405B-A8E2-E520C52BD8EE}"/>
    <hyperlink ref="F1446" r:id="rId393" display="https://raw.githubusercontent.com/olaf-programmeur/images/main/interrupteur_1.webp" xr:uid="{B81D14B0-DBFE-4109-823B-7A8CA7960BA4}"/>
    <hyperlink ref="G1446:J1446" r:id="rId394" display="https://raw.githubusercontent.com/olaf-programmeur/images/main/interrupteur_1.webp" xr:uid="{26193B2E-03C3-4655-B116-3D283F3E7608}"/>
    <hyperlink ref="G1446" r:id="rId395" display="https://raw.githubusercontent.com/olaf-programmeur/images/main/interrupteur_2.webp" xr:uid="{622D79A4-E808-4708-A681-0DE4FF4ABC17}"/>
    <hyperlink ref="H1446" r:id="rId396" display="https://raw.githubusercontent.com/olaf-programmeur/images/main/interrupteur_3.webp" xr:uid="{F031C669-3D62-4D78-9F3F-E67BA4589F9A}"/>
    <hyperlink ref="I1446" r:id="rId397" display="https://raw.githubusercontent.com/olaf-programmeur/images/main/interrupteur_4.webp" xr:uid="{6F82F78C-FFCD-4115-916D-0979DACA0FB6}"/>
    <hyperlink ref="J1446" r:id="rId398" display="https://raw.githubusercontent.com/olaf-programmeur/images/main/interrupteur_5.webp" xr:uid="{2547CF20-68C0-4919-8C9A-46E0A498D7FD}"/>
    <hyperlink ref="F320" r:id="rId399" xr:uid="{FE1FDE1B-BE85-48C6-A039-0A62760F93BF}"/>
    <hyperlink ref="G320:J320" r:id="rId400" display="https://raw.githubusercontent.com/olaf-programmeur/images/main/noix_1.webp" xr:uid="{DB2BECF8-E5D8-4C4D-BAB8-D7C22AA117C1}"/>
    <hyperlink ref="G320" r:id="rId401" xr:uid="{3484F38B-8AC6-41C4-9321-06215D514A11}"/>
    <hyperlink ref="H320" r:id="rId402" xr:uid="{5B3A611A-15F4-4A30-96B9-27EB2BA758FC}"/>
    <hyperlink ref="I320" r:id="rId403" xr:uid="{E7109924-60B8-445E-AC22-3FD5CF672509}"/>
    <hyperlink ref="J320" r:id="rId404" xr:uid="{350ADA8A-D1E5-4A4E-ACC0-7B12BAAADB6B}"/>
    <hyperlink ref="F1199" r:id="rId405" xr:uid="{E89C94DD-1F04-4D24-912C-07BFB7CC9B28}"/>
    <hyperlink ref="G1199:J1199" r:id="rId406" display="https://raw.githubusercontent.com/olaf-programmeur/images/main/volume_1.webp" xr:uid="{4E9D1EA9-957C-4838-8242-172E353F0B4F}"/>
    <hyperlink ref="G1199" r:id="rId407" xr:uid="{45D318F4-C62B-460A-9EE4-71112AFDA543}"/>
    <hyperlink ref="H1199" r:id="rId408" xr:uid="{7B276DEF-5FDE-4219-944F-E59B9E1FA8C3}"/>
    <hyperlink ref="I1199" r:id="rId409" xr:uid="{F7DCA92D-7990-4216-80A1-1AA53560C5C6}"/>
    <hyperlink ref="J1199" r:id="rId410" xr:uid="{92543B36-DFE8-452C-966A-F987B34E20AB}"/>
    <hyperlink ref="G1072" r:id="rId411" xr:uid="{749C576A-B1BF-44B1-A592-A2CC03908701}"/>
    <hyperlink ref="H1072" r:id="rId412" xr:uid="{B1F1D448-B994-436A-AAF0-17CEC38A6516}"/>
    <hyperlink ref="E1447" r:id="rId413" display="https://raw.githubusercontent.com/olaf-programmeur/images/main/interrupteur.webp" xr:uid="{396D5970-8C57-4AAE-81A8-80368752BB52}"/>
    <hyperlink ref="F1447" r:id="rId414" display="https://raw.githubusercontent.com/olaf-programmeur/images/main/interrupteur_1.webp" xr:uid="{2D53CD22-0CD5-420C-A6F2-22644B573FBA}"/>
    <hyperlink ref="G1447:J1447" r:id="rId415" display="https://raw.githubusercontent.com/olaf-programmeur/images/main/interrupteur_1.webp" xr:uid="{CFC6DF39-F015-4883-855B-F7A12D54C895}"/>
    <hyperlink ref="G1447" r:id="rId416" display="https://raw.githubusercontent.com/olaf-programmeur/images/main/interrupteur_2.webp" xr:uid="{C097D29F-633B-4900-9377-0C4322596B8B}"/>
    <hyperlink ref="H1447" r:id="rId417" display="https://raw.githubusercontent.com/olaf-programmeur/images/main/interrupteur_3.webp" xr:uid="{293D57C7-A3E5-44F3-B6A0-1821A7D9A44C}"/>
    <hyperlink ref="I1447" r:id="rId418" display="https://raw.githubusercontent.com/olaf-programmeur/images/main/interrupteur_4.webp" xr:uid="{C808D8FB-2C85-4AEA-8A0B-558A415DFC69}"/>
    <hyperlink ref="J1447" r:id="rId419" display="https://raw.githubusercontent.com/olaf-programmeur/images/main/interrupteur_5.webp" xr:uid="{EDFFCBC5-89EB-4F8E-8BAF-720964275252}"/>
    <hyperlink ref="E1448" r:id="rId420" display="https://raw.githubusercontent.com/olaf-programmeur/images/main/interrupteur.webp" xr:uid="{BCF8BF08-F6B0-44A9-918C-836AB0B2D48A}"/>
    <hyperlink ref="F1448" r:id="rId421" display="https://raw.githubusercontent.com/olaf-programmeur/images/main/interrupteur_1.webp" xr:uid="{C0201523-1605-4DDB-8679-11F488711C7D}"/>
    <hyperlink ref="G1448:J1448" r:id="rId422" display="https://raw.githubusercontent.com/olaf-programmeur/images/main/interrupteur_1.webp" xr:uid="{96577E1B-F8D1-4D75-B779-7C0FCB0BD8E1}"/>
    <hyperlink ref="G1448" r:id="rId423" display="https://raw.githubusercontent.com/olaf-programmeur/images/main/interrupteur_2.webp" xr:uid="{0BE13919-1B41-47AB-9D16-44885DE183A5}"/>
    <hyperlink ref="H1448" r:id="rId424" display="https://raw.githubusercontent.com/olaf-programmeur/images/main/interrupteur_3.webp" xr:uid="{F69E0B13-9571-4AE3-B02F-DC09E9999BF1}"/>
    <hyperlink ref="I1448" r:id="rId425" display="https://raw.githubusercontent.com/olaf-programmeur/images/main/interrupteur_4.webp" xr:uid="{DC6F3C1B-6487-4386-8566-50259F6880E5}"/>
    <hyperlink ref="J1448" r:id="rId426" display="https://raw.githubusercontent.com/olaf-programmeur/images/main/interrupteur_5.webp" xr:uid="{C181E3B1-0DBD-4613-B850-C429EA5EBDDB}"/>
    <hyperlink ref="E1357" r:id="rId427" xr:uid="{8F9DCD29-46B7-421D-A969-B3A139055AA4}"/>
    <hyperlink ref="E1449" r:id="rId428" display="https://raw.githubusercontent.com/olaf-programmeur/images/main/interrupteur.webp" xr:uid="{8C7C83B3-F5B4-4E78-90CA-0A18A1D1B5A4}"/>
    <hyperlink ref="F1449" r:id="rId429" display="https://raw.githubusercontent.com/olaf-programmeur/images/main/interrupteur_1.webp" xr:uid="{56F984FF-58E4-4099-AE82-E1EC17DB8225}"/>
    <hyperlink ref="G1449:J1449" r:id="rId430" display="https://raw.githubusercontent.com/olaf-programmeur/images/main/interrupteur_1.webp" xr:uid="{F75327DE-F106-4533-ABB4-2E7DA6FF6AF1}"/>
    <hyperlink ref="G1449" r:id="rId431" display="https://raw.githubusercontent.com/olaf-programmeur/images/main/interrupteur_2.webp" xr:uid="{1A6CA864-47A6-40E1-BF1E-4019BD604AF1}"/>
    <hyperlink ref="H1449" r:id="rId432" display="https://raw.githubusercontent.com/olaf-programmeur/images/main/interrupteur_3.webp" xr:uid="{662E011F-EC92-4526-81FF-8B38B21E01D7}"/>
    <hyperlink ref="I1449" r:id="rId433" display="https://raw.githubusercontent.com/olaf-programmeur/images/main/interrupteur_4.webp" xr:uid="{63CC2CAF-3951-417B-B907-24E5C96361E4}"/>
    <hyperlink ref="J1449" r:id="rId434" display="https://raw.githubusercontent.com/olaf-programmeur/images/main/interrupteur_5.webp" xr:uid="{5583F90D-759B-401C-A772-310BB25C9F72}"/>
    <hyperlink ref="F1145" r:id="rId435" xr:uid="{AF9376F5-B401-4B6C-87F8-AE5544B391C3}"/>
    <hyperlink ref="G1145:J1145" r:id="rId436" display="https://raw.githubusercontent.com/olaf-programmeur/images/main/ruban_1.webp" xr:uid="{F120B936-EE74-4CFF-9321-60696F22E4CE}"/>
    <hyperlink ref="G1145" r:id="rId437" xr:uid="{0E0FC3F7-E2EC-481E-955D-D039084D6207}"/>
    <hyperlink ref="H1145" r:id="rId438" xr:uid="{3D045DF2-31C3-4C40-A693-149B8650A427}"/>
    <hyperlink ref="I1145" r:id="rId439" xr:uid="{1C615A96-1F16-49F1-A6A1-594C457C2096}"/>
    <hyperlink ref="J1145" r:id="rId440" xr:uid="{8E110673-9F7A-4176-852B-880D9079C669}"/>
    <hyperlink ref="F1153" r:id="rId441" xr:uid="{260E87B5-0478-4F22-8182-871F62AEB299}"/>
    <hyperlink ref="G1153:I1153" r:id="rId442" display="https://raw.githubusercontent.com/olaf-programmeur/images/main/secteur_1.webp" xr:uid="{7C5F0C61-0882-413B-89F0-A1BAE9CC819C}"/>
    <hyperlink ref="G1153" r:id="rId443" xr:uid="{216483C9-7218-42B2-B4F5-DE74E5C709AD}"/>
    <hyperlink ref="H1153" r:id="rId444" xr:uid="{27C2B36E-A074-4651-8EFE-A4F3570F6B3D}"/>
    <hyperlink ref="I1153" r:id="rId445" xr:uid="{93CDC697-F4C5-4781-B702-9B19E9B4B0A9}"/>
    <hyperlink ref="E1450" r:id="rId446" display="https://raw.githubusercontent.com/olaf-programmeur/images/main/interrupteur.webp" xr:uid="{C90A624B-CD51-4E27-90B3-E8EDE777EA94}"/>
    <hyperlink ref="F1450" r:id="rId447" display="https://raw.githubusercontent.com/olaf-programmeur/images/main/interrupteur_1.webp" xr:uid="{8981F20D-A9FF-4ECE-A84D-94602016651E}"/>
    <hyperlink ref="G1450:J1450" r:id="rId448" display="https://raw.githubusercontent.com/olaf-programmeur/images/main/interrupteur_1.webp" xr:uid="{A6CC4471-E483-4DE0-BB04-C27745C69CE1}"/>
    <hyperlink ref="G1450" r:id="rId449" display="https://raw.githubusercontent.com/olaf-programmeur/images/main/interrupteur_2.webp" xr:uid="{F849B413-489B-477F-8F3E-B3A4A5BADE03}"/>
    <hyperlink ref="H1450" r:id="rId450" display="https://raw.githubusercontent.com/olaf-programmeur/images/main/interrupteur_3.webp" xr:uid="{796C8FF1-B53B-4C9B-B1EF-AC38BA66EA3B}"/>
    <hyperlink ref="I1450" r:id="rId451" display="https://raw.githubusercontent.com/olaf-programmeur/images/main/interrupteur_4.webp" xr:uid="{02514C4D-A4E9-42DF-ACC7-902D6D92030D}"/>
    <hyperlink ref="J1450" r:id="rId452" display="https://raw.githubusercontent.com/olaf-programmeur/images/main/interrupteur_5.webp" xr:uid="{ADE14564-74C3-4599-9C2E-7ACF16DD1C92}"/>
    <hyperlink ref="F204" r:id="rId453" xr:uid="{A94CED98-FC84-4973-AD86-3FDB95959A90}"/>
    <hyperlink ref="G204:J204" r:id="rId454" display="https://raw.githubusercontent.com/olaf-programmeur/images/main/singe_1.webp" xr:uid="{C8757325-781F-4F2F-BFCF-C9A47956587A}"/>
    <hyperlink ref="G204" r:id="rId455" xr:uid="{A55BCA15-DFEF-4CE7-A574-D8076830849E}"/>
    <hyperlink ref="H204" r:id="rId456" xr:uid="{ED7DEF5B-C914-4391-949A-85FF04FD87A8}"/>
    <hyperlink ref="I204" r:id="rId457" xr:uid="{66AAF815-8BA5-4645-BEF8-2D5DD3A80694}"/>
    <hyperlink ref="J204" r:id="rId458" xr:uid="{5B0E9716-3874-4086-88DC-11D958350423}"/>
    <hyperlink ref="F54" r:id="rId459" xr:uid="{7FE68068-BF2B-4DE7-961C-82F28193CAF7}"/>
    <hyperlink ref="G54:J54" r:id="rId460" display="https://raw.githubusercontent.com/olaf-programmeur/images/main/souffle_1.webp" xr:uid="{C1DCA7EB-CA63-46AB-BEEC-45EACD287220}"/>
    <hyperlink ref="G54" r:id="rId461" xr:uid="{CB3E3B3A-9996-41D3-B803-FB66717806D1}"/>
    <hyperlink ref="H54" r:id="rId462" xr:uid="{910CD5DD-7948-47F7-8532-87338550590D}"/>
    <hyperlink ref="I54" r:id="rId463" xr:uid="{3B4A10D3-4A6F-477E-96F5-D8072F8F033D}"/>
    <hyperlink ref="J54" r:id="rId464" xr:uid="{B81CCD01-7701-4BAC-AD31-81C36C03176A}"/>
    <hyperlink ref="F943" r:id="rId465" xr:uid="{90451642-25B6-4CC6-9C32-86FE4E3834A8}"/>
    <hyperlink ref="G943" r:id="rId466" xr:uid="{C1BB3C0B-9FE8-44E7-BF37-5F707A31812C}"/>
    <hyperlink ref="E1334" r:id="rId467" xr:uid="{5F31B6CA-451D-4644-9276-A5C5722288BC}"/>
    <hyperlink ref="E672" r:id="rId468" xr:uid="{FF6664E2-A4D3-41B1-AC76-78E397B694B0}"/>
    <hyperlink ref="F672" r:id="rId469" xr:uid="{FE24E7E4-F2B4-4650-910B-4562D5FD27E8}"/>
    <hyperlink ref="F1166" r:id="rId470" xr:uid="{8B4168C7-385C-4100-9652-AF1B360FD8A2}"/>
    <hyperlink ref="G1166:J1166" r:id="rId471" display="https://raw.githubusercontent.com/olaf-programmeur/images/main/tableau_1.webp" xr:uid="{750A0194-2E7B-4B1E-AC04-6DD246AF48C7}"/>
    <hyperlink ref="G1166" r:id="rId472" xr:uid="{F104A0F6-D4DD-4C30-A138-EA1780F7F18C}"/>
    <hyperlink ref="H1166" r:id="rId473" xr:uid="{F3B9C37B-CCA9-4633-A674-B5782D85BBDD}"/>
    <hyperlink ref="I1166" r:id="rId474" xr:uid="{61E786AF-CFFF-4E39-8323-4F92CAC35E2E}"/>
    <hyperlink ref="J1166" r:id="rId475" xr:uid="{4E3B2709-705C-4BED-9071-35F5449703D9}"/>
    <hyperlink ref="E34" r:id="rId476" xr:uid="{B1A7186C-275A-4BB0-9CDE-9ABCA9ADDDB6}"/>
    <hyperlink ref="E1452" r:id="rId477" display="https://raw.githubusercontent.com/olaf-programmeur/images/main/interrupteur.webp" xr:uid="{D4FEA453-37DA-46D9-A1C9-16223A015137}"/>
    <hyperlink ref="F1452" r:id="rId478" display="https://raw.githubusercontent.com/olaf-programmeur/images/main/interrupteur_1.webp" xr:uid="{9F33152C-F895-42B6-BFFB-B67B141128F4}"/>
    <hyperlink ref="G1452" r:id="rId479" display="https://raw.githubusercontent.com/olaf-programmeur/images/main/interrupteur_2.webp" xr:uid="{5C7BD6C0-28F9-47EB-9BDB-43F44B898B08}"/>
    <hyperlink ref="H1452" r:id="rId480" display="https://raw.githubusercontent.com/olaf-programmeur/images/main/interrupteur_3.webp" xr:uid="{0172007D-BAA4-4583-AE2B-64179621824B}"/>
    <hyperlink ref="I1302" r:id="rId481" xr:uid="{794CD96C-66DB-4334-8B59-DFED6C7BE937}"/>
    <hyperlink ref="J1302" r:id="rId482" xr:uid="{43502E17-BDFB-4E12-B26C-563ADCB5EFD3}"/>
    <hyperlink ref="F954" r:id="rId483" xr:uid="{0A7B7A19-678F-4A88-888C-33685A388CDA}"/>
    <hyperlink ref="G954" r:id="rId484" xr:uid="{4AF0B0FA-CD93-46AA-A7FA-20C8A31B88CB}"/>
    <hyperlink ref="H954" r:id="rId485" xr:uid="{27B29D83-082D-465A-959C-D630E19E1381}"/>
    <hyperlink ref="F1198" r:id="rId486" xr:uid="{5CDA1236-C331-47E0-8D9D-2B75FC9B4CB3}"/>
    <hyperlink ref="G1198:J1198" r:id="rId487" display="https://raw.githubusercontent.com/olaf-programmeur/images/main/vol_1.webp" xr:uid="{C50649E3-2EF9-4561-ADC0-A04330EE611D}"/>
    <hyperlink ref="G1198" r:id="rId488" xr:uid="{07BDFE8D-E590-4685-ABDB-FF9DB744AB2C}"/>
    <hyperlink ref="H1198" r:id="rId489" xr:uid="{C89523E4-7EDC-4F50-8CA1-A951A36E8C92}"/>
    <hyperlink ref="I1198" r:id="rId490" xr:uid="{0974F698-D80A-46CE-A61C-CFB67EB99AAB}"/>
    <hyperlink ref="J1198" r:id="rId491" xr:uid="{1FB416A5-1466-4DB3-A343-507205DE0C47}"/>
    <hyperlink ref="I1409" r:id="rId492" xr:uid="{65C3B75A-690E-4B35-BA12-34E6EF458CFA}"/>
    <hyperlink ref="E1453" r:id="rId493" display="https://raw.githubusercontent.com/olaf-programmeur/images/main/interrupteur.webp" xr:uid="{58C70FDB-6F08-4104-9AC1-B818E52FEBAD}"/>
    <hyperlink ref="F1453" r:id="rId494" display="https://raw.githubusercontent.com/olaf-programmeur/images/main/interrupteur_1.webp" xr:uid="{2BACA370-48DA-407C-85AD-FE0E44D709C3}"/>
    <hyperlink ref="G1453" r:id="rId495" display="https://raw.githubusercontent.com/olaf-programmeur/images/main/interrupteur_2.webp" xr:uid="{8D3C04A0-AE6A-4F19-90A9-0D6494CA3E29}"/>
    <hyperlink ref="H1453" r:id="rId496" display="https://raw.githubusercontent.com/olaf-programmeur/images/main/interrupteur_3.webp" xr:uid="{60084FBB-DBCC-4E38-A34B-FA1047994E1F}"/>
    <hyperlink ref="I1453" r:id="rId497" xr:uid="{41F49D3D-6091-42ED-BB72-98D52FD09372}"/>
    <hyperlink ref="J1453" r:id="rId498" xr:uid="{B1233F5C-2BD9-49C2-8C8C-A07A613382F3}"/>
    <hyperlink ref="F556" r:id="rId499" xr:uid="{E8807362-1F9C-4C58-9A50-9ADD8B1541EF}"/>
    <hyperlink ref="E1454" r:id="rId500" display="https://raw.githubusercontent.com/olaf-programmeur/images/main/interrupteur.webp" xr:uid="{D156C4AB-74E9-4E1B-9F6F-D06717267134}"/>
    <hyperlink ref="E1455" r:id="rId501" display="https://raw.githubusercontent.com/olaf-programmeur/images/main/interrupteur.webp" xr:uid="{D20E1E10-C99C-4B1E-B562-69BBB3BDF4A0}"/>
    <hyperlink ref="F1454" r:id="rId502" display="https://raw.githubusercontent.com/olaf-programmeur/images/main/interrupteur_1.webp" xr:uid="{70E26456-6CA5-46F4-92D0-D62B16E1331D}"/>
    <hyperlink ref="F1455" r:id="rId503" display="https://raw.githubusercontent.com/olaf-programmeur/images/main/interrupteur_1.webp" xr:uid="{FB76CF4B-4930-4770-AC47-51205CE22DB7}"/>
    <hyperlink ref="G1454" r:id="rId504" display="https://raw.githubusercontent.com/olaf-programmeur/images/main/interrupteur_2.webp" xr:uid="{AA00D0F7-4827-4596-BE51-58CC4F283238}"/>
    <hyperlink ref="G1455" r:id="rId505" display="https://raw.githubusercontent.com/olaf-programmeur/images/main/interrupteur_2.webp" xr:uid="{DF4C9A9F-9AC2-47A7-AD85-A51531799630}"/>
    <hyperlink ref="E1456" r:id="rId506" xr:uid="{05197EAF-1597-458D-8D5E-435B421BB0DA}"/>
    <hyperlink ref="F1456" r:id="rId507" xr:uid="{5378E7EE-14B7-4564-B2C8-148C457680AF}"/>
    <hyperlink ref="E1457" r:id="rId508" display="https://raw.githubusercontent.com/olaf-programmeur/images/main/interrupteur.webp" xr:uid="{E2DF2F75-100F-4E27-B1A7-FBFC4682F9BB}"/>
    <hyperlink ref="F1457" r:id="rId509" display="https://raw.githubusercontent.com/olaf-programmeur/images/main/interrupteur_1.webp" xr:uid="{668BCE06-16E2-4212-A7CB-906B09508508}"/>
    <hyperlink ref="G1457" r:id="rId510" display="https://raw.githubusercontent.com/olaf-programmeur/images/main/interrupteur_2.webp" xr:uid="{793FC6BA-9FFF-45E1-8CB7-2C0AE9D5C54C}"/>
    <hyperlink ref="H1457" r:id="rId511" display="https://raw.githubusercontent.com/olaf-programmeur/images/main/interrupteur_3.webp" xr:uid="{C948D652-BC0A-4C26-B494-FC0457509E41}"/>
    <hyperlink ref="I1457" r:id="rId512" display="https://raw.githubusercontent.com/olaf-programmeur/images/main/lacet_4.webp" xr:uid="{9A205E36-D6CD-4692-AD14-40162B028A70}"/>
    <hyperlink ref="J1457" r:id="rId513" display="https://raw.githubusercontent.com/olaf-programmeur/images/main/lacet_5.webp" xr:uid="{81D81FFB-693B-4D4A-9EAD-9DC4EF88CB5E}"/>
    <hyperlink ref="J1143" r:id="rId514" xr:uid="{63C2AB53-50B2-4D28-85A1-C0F27E928652}"/>
    <hyperlink ref="E633" r:id="rId515" xr:uid="{157732D2-7742-4E8B-9569-DDE16AFA0834}"/>
    <hyperlink ref="F633" r:id="rId516" xr:uid="{343BAEB6-B1EC-4AE8-8565-0347F4E7C76E}"/>
    <hyperlink ref="G633:J633" r:id="rId517" display="https://raw.githubusercontent.com/olaf-programmeur/images/main/store_1.webp" xr:uid="{E0527283-5A2D-40B1-843F-BCD0262F9837}"/>
    <hyperlink ref="G633" r:id="rId518" xr:uid="{B07F7C4F-8A7A-4AA1-9412-573F7B782090}"/>
    <hyperlink ref="H633" r:id="rId519" xr:uid="{EA2567C4-8234-4406-841F-893100FB576F}"/>
    <hyperlink ref="I633" r:id="rId520" xr:uid="{0C41C11B-E5BA-48B4-AC50-DF4EF7C5E5A8}"/>
    <hyperlink ref="J633" r:id="rId521" xr:uid="{6D2578ED-E798-4836-ACC0-2D7200A97E68}"/>
    <hyperlink ref="E632" r:id="rId522" display="https://raw.githubusercontent.com/olaf-programmeur/images/main/store.webp" xr:uid="{398C05A7-371D-42B4-BDFB-B0C564B8F975}"/>
    <hyperlink ref="F632" r:id="rId523" display="https://raw.githubusercontent.com/olaf-programmeur/images/main/store_1.webp" xr:uid="{5E84D9FE-5723-4570-B28D-80ACA7E60783}"/>
    <hyperlink ref="G632:J632" r:id="rId524" display="https://raw.githubusercontent.com/olaf-programmeur/images/main/store_1.webp" xr:uid="{6656ADCB-A617-4EC4-A2B9-EDB7BB41E956}"/>
    <hyperlink ref="G632" r:id="rId525" display="https://raw.githubusercontent.com/olaf-programmeur/images/main/store_2.webp" xr:uid="{F3EE5ECC-2BF6-4FC8-A1D2-43D16D508733}"/>
    <hyperlink ref="H632" r:id="rId526" display="https://raw.githubusercontent.com/olaf-programmeur/images/main/store_3.webp" xr:uid="{3D0C9AD7-D0F1-448F-85FC-6C193DAECC35}"/>
    <hyperlink ref="I632" r:id="rId527" display="https://raw.githubusercontent.com/olaf-programmeur/images/main/store_4.webp" xr:uid="{77868425-989E-413E-B7D7-31844D546D31}"/>
    <hyperlink ref="J632" r:id="rId528" display="https://raw.githubusercontent.com/olaf-programmeur/images/main/store_5.webp" xr:uid="{D6F51E79-81E3-4DFA-9254-B4EFE6E0B72E}"/>
    <hyperlink ref="E1458" r:id="rId529" display="https://raw.githubusercontent.com/olaf-programmeur/images/main/interrupteur.webp" xr:uid="{3C990A41-FD0A-4FDC-9FDC-F23738C34F46}"/>
    <hyperlink ref="F1458" r:id="rId530" display="https://raw.githubusercontent.com/olaf-programmeur/images/main/interrupteur_1.webp" xr:uid="{0CFFC400-8E58-41F9-A62E-CB209633CDD6}"/>
    <hyperlink ref="G1458" r:id="rId531" display="https://raw.githubusercontent.com/olaf-programmeur/images/main/interrupteur_2.webp" xr:uid="{74ECF5CE-37F4-4D78-A1DD-53DE5F3FBFDF}"/>
    <hyperlink ref="H1458" r:id="rId532" display="https://raw.githubusercontent.com/olaf-programmeur/images/main/interrupteur_3.webp" xr:uid="{DB188532-61DC-424D-8663-6E65F4F175DA}"/>
    <hyperlink ref="I1458" r:id="rId533" display="https://raw.githubusercontent.com/olaf-programmeur/images/main/lacet_4.webp" xr:uid="{0414485F-793F-4C8E-83A7-5140E1B0A303}"/>
    <hyperlink ref="J1458" r:id="rId534" display="https://raw.githubusercontent.com/olaf-programmeur/images/main/lacet_5.webp" xr:uid="{F6B06D38-FEA0-4D91-B0FA-5BE315972CFF}"/>
    <hyperlink ref="J1196" r:id="rId535" xr:uid="{E97CD8B0-E3C7-4945-9D13-6E2A1D23F851}"/>
    <hyperlink ref="J712" r:id="rId536" xr:uid="{5546E0E3-C0C1-4E05-8766-31F38CCDAE1B}"/>
    <hyperlink ref="I969" r:id="rId537" xr:uid="{BB1E9C96-B844-4CC0-8B4F-53A2F9203369}"/>
    <hyperlink ref="I1212" r:id="rId538" xr:uid="{B2377794-B6EF-4D11-8736-28F720C6542D}"/>
    <hyperlink ref="F1410" r:id="rId539" xr:uid="{9584029F-29B5-49EE-B69F-D5779A282D3F}"/>
    <hyperlink ref="F704" r:id="rId540" xr:uid="{2E4876D5-8BF9-4749-A6F7-F9B3055BEA6E}"/>
    <hyperlink ref="G704" r:id="rId541" xr:uid="{3931809C-B2FB-4DAD-9072-B163F1D1BE3A}"/>
    <hyperlink ref="E1459" r:id="rId542" xr:uid="{79325C59-9F4F-4C5F-9973-AAFBA459E1D3}"/>
    <hyperlink ref="E1460" r:id="rId543" xr:uid="{64BA63F5-46F0-4B86-957A-E401F1C2D241}"/>
    <hyperlink ref="E1461" r:id="rId544" xr:uid="{CBF5B29E-CA0D-492E-B664-4D0AF47DF733}"/>
    <hyperlink ref="E1462" r:id="rId545" xr:uid="{1D3472F5-FE5C-436D-968B-136463B066B9}"/>
    <hyperlink ref="F1461" r:id="rId546" xr:uid="{72421454-5D65-4134-8F5E-E50FCAF6D51D}"/>
    <hyperlink ref="F1462" r:id="rId547" xr:uid="{DCB23799-6C89-448E-B22E-27F4961B3C85}"/>
    <hyperlink ref="E1463" r:id="rId548" xr:uid="{B5CAAD1A-90B5-48ED-8C60-80207090D038}"/>
    <hyperlink ref="E1464" r:id="rId549" xr:uid="{BF1EC335-371A-4CB9-9E9B-8F33280E1EDD}"/>
    <hyperlink ref="E1465" r:id="rId550" xr:uid="{E0C170F0-730F-4184-B506-903AB90A16A1}"/>
    <hyperlink ref="E1466" r:id="rId551" xr:uid="{8C55BB64-0EA6-462A-AAAA-1B39F5E1597C}"/>
    <hyperlink ref="E1467" r:id="rId552" xr:uid="{58D21D6B-F868-41CF-A418-97137CF13F34}"/>
    <hyperlink ref="E1468" r:id="rId553" xr:uid="{70DDE2C7-43CD-41F6-8334-DAAA07899E2F}"/>
    <hyperlink ref="E1469" r:id="rId554" xr:uid="{298876A0-9410-459C-85C3-B206BA0F8707}"/>
    <hyperlink ref="F1469" r:id="rId555" xr:uid="{BF39D637-FE68-4CF1-A669-4D4A5DF32E17}"/>
    <hyperlink ref="G1469" r:id="rId556" xr:uid="{F99BC750-56C1-4840-B5C1-1F87263852C1}"/>
    <hyperlink ref="E1470" r:id="rId557" xr:uid="{7EB7D0FB-CCE6-4EE9-A309-D38A66DBE23E}"/>
    <hyperlink ref="E1471" r:id="rId558" xr:uid="{491E8C14-B764-42A6-B5A2-14163F4EA829}"/>
    <hyperlink ref="F1471" r:id="rId559" xr:uid="{0EA80EB1-1AA3-43CE-8C8A-85B3C2198DF8}"/>
    <hyperlink ref="E1472" r:id="rId560" xr:uid="{E0AC82CB-B3C8-437E-B5E0-D10B8E67AE21}"/>
    <hyperlink ref="E1473" r:id="rId561" xr:uid="{8B9C349D-B3AD-4FE4-8AF2-0AF55EDA6F9C}"/>
    <hyperlink ref="F1473" r:id="rId562" xr:uid="{003960E9-C45A-48EC-9A13-2DF099F944D8}"/>
    <hyperlink ref="G1473" r:id="rId563" xr:uid="{3E87F479-3593-4860-9A89-776B38931FD3}"/>
    <hyperlink ref="E1474" r:id="rId564" display="https://raw.githubusercontent.com/olaf-programmeur/images/main/david_bonvin.webp" xr:uid="{32C05990-AE05-40AE-9F34-080E05D367DF}"/>
    <hyperlink ref="F1474" r:id="rId565" display="https://raw.githubusercontent.com/olaf-programmeur/images/main/david_bonvin_1.webp" xr:uid="{1C995178-EBA9-4D8F-B768-0FC650B21065}"/>
    <hyperlink ref="G1474" r:id="rId566" display="https://raw.githubusercontent.com/olaf-programmeur/images/main/david_bonvin_2.webp" xr:uid="{29D8D16D-555C-4050-90CD-1946E83EE5BC}"/>
    <hyperlink ref="E1475" r:id="rId567" xr:uid="{B2588F13-3729-49D8-8506-EE3E11A393D0}"/>
    <hyperlink ref="E1476" r:id="rId568" xr:uid="{6E5BCBFE-7F69-49FB-A3A7-30B70B4174EF}"/>
    <hyperlink ref="E1477" r:id="rId569" xr:uid="{59F180BC-382C-46AC-B092-E55E62684DE2}"/>
    <hyperlink ref="E1478" r:id="rId570" xr:uid="{7DC536A1-B802-4674-A270-5742299F5E69}"/>
    <hyperlink ref="E1479" r:id="rId571" xr:uid="{CBA27DD2-92B7-4210-A4EF-05743C9A024E}"/>
    <hyperlink ref="E1480" r:id="rId572" xr:uid="{5675918B-D7FC-4994-BC93-CA489C67C36A}"/>
    <hyperlink ref="E1481" r:id="rId573" display="https://raw.githubusercontent.com/olaf-programmeur/images/main/patrick_sauthier_vetroz.webp" xr:uid="{A0ED2AA7-36F5-4959-BE4B-D5D5C2083980}"/>
    <hyperlink ref="F1481" r:id="rId574" xr:uid="{91DAD1F2-3455-4119-A08B-B27B0FC55D02}"/>
  </hyperlinks>
  <pageMargins left="0.7" right="0.7" top="0.75" bottom="0.75" header="0.3" footer="0.3"/>
  <pageSetup paperSize="9" orientation="portrait" r:id="rId5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33"/>
  <sheetViews>
    <sheetView showGridLines="0" zoomScaleNormal="100" workbookViewId="0">
      <pane ySplit="624" topLeftCell="A443" activePane="bottomLeft"/>
      <selection pane="bottomLeft" activeCell="E454" sqref="E454"/>
    </sheetView>
  </sheetViews>
  <sheetFormatPr baseColWidth="10" defaultRowHeight="15.6" x14ac:dyDescent="0.3"/>
  <cols>
    <col min="1" max="2" width="25.796875" style="27" customWidth="1"/>
    <col min="3" max="3" width="14.3984375" style="27" bestFit="1" customWidth="1"/>
    <col min="4" max="4" width="18" style="27" bestFit="1" customWidth="1"/>
    <col min="5" max="5" width="15.5" style="27" bestFit="1" customWidth="1"/>
    <col min="6" max="6" width="18" style="27" bestFit="1" customWidth="1"/>
    <col min="7" max="7" width="13.09765625" style="27" customWidth="1"/>
    <col min="8" max="12" width="11.19921875" style="27" customWidth="1"/>
    <col min="13" max="14" width="11.19921875" style="26" customWidth="1"/>
    <col min="15" max="16384" width="11.19921875" style="26"/>
  </cols>
  <sheetData>
    <row r="1" spans="1:10" s="26" customFormat="1" ht="15.6" customHeight="1" x14ac:dyDescent="0.3">
      <c r="A1" s="26" t="s">
        <v>7680</v>
      </c>
      <c r="B1" s="26" t="s">
        <v>7681</v>
      </c>
      <c r="C1" s="26" t="s">
        <v>7682</v>
      </c>
      <c r="D1" s="26" t="s">
        <v>7683</v>
      </c>
      <c r="E1" s="26" t="s">
        <v>7684</v>
      </c>
      <c r="F1" s="26" t="s">
        <v>7685</v>
      </c>
      <c r="G1" s="26" t="s">
        <v>7686</v>
      </c>
      <c r="H1" s="26" t="s">
        <v>7687</v>
      </c>
      <c r="I1" s="26" t="s">
        <v>7688</v>
      </c>
      <c r="J1" s="26" t="s">
        <v>7689</v>
      </c>
    </row>
    <row r="2" spans="1:10" s="10" customFormat="1" ht="15.6" customHeight="1" x14ac:dyDescent="0.3">
      <c r="A2" s="20" t="s">
        <v>3490</v>
      </c>
      <c r="B2" s="10" t="s">
        <v>2173</v>
      </c>
      <c r="C2" s="10" t="s">
        <v>756</v>
      </c>
    </row>
    <row r="3" spans="1:10" s="10" customFormat="1" ht="15.6" customHeight="1" x14ac:dyDescent="0.3">
      <c r="A3" s="20" t="s">
        <v>9498</v>
      </c>
      <c r="B3" s="20" t="s">
        <v>7358</v>
      </c>
      <c r="C3" s="20" t="s">
        <v>733</v>
      </c>
      <c r="D3" s="20" t="s">
        <v>5996</v>
      </c>
      <c r="E3" s="20" t="s">
        <v>3758</v>
      </c>
      <c r="F3" s="20" t="s">
        <v>2119</v>
      </c>
      <c r="G3" s="20" t="s">
        <v>3576</v>
      </c>
      <c r="H3" s="20"/>
      <c r="I3" s="20"/>
      <c r="J3" s="20"/>
    </row>
    <row r="4" spans="1:10" s="10" customFormat="1" ht="15.6" customHeight="1" x14ac:dyDescent="0.3">
      <c r="A4" s="20" t="s">
        <v>9484</v>
      </c>
      <c r="B4" s="20" t="s">
        <v>2325</v>
      </c>
      <c r="C4" s="21" t="s">
        <v>5305</v>
      </c>
      <c r="D4" s="20" t="s">
        <v>9505</v>
      </c>
      <c r="E4" s="20"/>
      <c r="F4" s="20"/>
      <c r="G4" s="20"/>
      <c r="H4" s="20"/>
      <c r="I4" s="20"/>
      <c r="J4" s="20"/>
    </row>
    <row r="5" spans="1:10" s="10" customFormat="1" ht="15.6" customHeight="1" x14ac:dyDescent="0.3">
      <c r="A5" s="20" t="s">
        <v>9526</v>
      </c>
      <c r="B5" s="20" t="s">
        <v>4357</v>
      </c>
      <c r="C5" s="20" t="s">
        <v>3646</v>
      </c>
      <c r="D5" s="20"/>
      <c r="E5" s="20"/>
      <c r="F5" s="20"/>
      <c r="G5" s="20"/>
      <c r="H5" s="20"/>
      <c r="I5" s="20"/>
      <c r="J5" s="20"/>
    </row>
    <row r="6" spans="1:10" s="10" customFormat="1" ht="15.6" customHeight="1" x14ac:dyDescent="0.35">
      <c r="A6" s="20" t="s">
        <v>3878</v>
      </c>
      <c r="B6" s="10" t="s">
        <v>3394</v>
      </c>
      <c r="C6" s="25" t="s">
        <v>3371</v>
      </c>
      <c r="D6" s="10" t="s">
        <v>5293</v>
      </c>
      <c r="E6" s="10" t="s">
        <v>3368</v>
      </c>
      <c r="F6" s="10" t="s">
        <v>835</v>
      </c>
      <c r="G6" s="35" t="s">
        <v>2329</v>
      </c>
    </row>
    <row r="7" spans="1:10" s="10" customFormat="1" ht="15.6" customHeight="1" x14ac:dyDescent="0.3">
      <c r="A7" s="20" t="s">
        <v>3886</v>
      </c>
      <c r="B7" s="35" t="s">
        <v>2394</v>
      </c>
      <c r="C7" s="35" t="s">
        <v>9467</v>
      </c>
      <c r="D7" s="10" t="s">
        <v>1622</v>
      </c>
      <c r="E7" s="10" t="s">
        <v>7771</v>
      </c>
    </row>
    <row r="8" spans="1:10" s="10" customFormat="1" ht="15.6" customHeight="1" x14ac:dyDescent="0.3">
      <c r="A8" s="20" t="s">
        <v>3896</v>
      </c>
      <c r="B8" s="10" t="s">
        <v>2361</v>
      </c>
      <c r="C8" s="10" t="s">
        <v>4374</v>
      </c>
      <c r="D8" s="10" t="s">
        <v>3114</v>
      </c>
      <c r="E8" s="10" t="s">
        <v>1037</v>
      </c>
    </row>
    <row r="9" spans="1:10" s="10" customFormat="1" ht="15.6" customHeight="1" x14ac:dyDescent="0.3">
      <c r="A9" s="20" t="s">
        <v>3925</v>
      </c>
      <c r="B9" s="10" t="s">
        <v>4080</v>
      </c>
      <c r="C9" s="10" t="s">
        <v>3692</v>
      </c>
      <c r="D9" s="10" t="s">
        <v>9625</v>
      </c>
      <c r="E9" s="35" t="s">
        <v>2411</v>
      </c>
    </row>
    <row r="10" spans="1:10" s="10" customFormat="1" ht="15.6" customHeight="1" x14ac:dyDescent="0.3">
      <c r="A10" s="20" t="s">
        <v>3951</v>
      </c>
      <c r="B10" s="10" t="s">
        <v>73</v>
      </c>
      <c r="C10" s="10" t="s">
        <v>4446</v>
      </c>
      <c r="D10" s="10" t="s">
        <v>7381</v>
      </c>
      <c r="E10" s="10" t="s">
        <v>3486</v>
      </c>
      <c r="F10" s="10" t="s">
        <v>4070</v>
      </c>
      <c r="G10" s="10" t="s">
        <v>6262</v>
      </c>
      <c r="H10" s="10" t="s">
        <v>3836</v>
      </c>
    </row>
    <row r="11" spans="1:10" s="10" customFormat="1" ht="15.6" customHeight="1" x14ac:dyDescent="0.3">
      <c r="A11" s="20" t="s">
        <v>3982</v>
      </c>
      <c r="B11" s="10" t="s">
        <v>2394</v>
      </c>
      <c r="C11" s="10" t="s">
        <v>705</v>
      </c>
      <c r="D11" s="10" t="s">
        <v>928</v>
      </c>
      <c r="E11" s="10" t="s">
        <v>932</v>
      </c>
      <c r="F11" s="10" t="s">
        <v>4862</v>
      </c>
      <c r="G11" s="10" t="s">
        <v>6041</v>
      </c>
      <c r="H11" s="10" t="s">
        <v>1678</v>
      </c>
      <c r="I11" s="10" t="s">
        <v>1627</v>
      </c>
      <c r="J11" s="10" t="s">
        <v>6041</v>
      </c>
    </row>
    <row r="12" spans="1:10" s="10" customFormat="1" ht="15.6" customHeight="1" x14ac:dyDescent="0.3">
      <c r="A12" s="20" t="s">
        <v>4029</v>
      </c>
      <c r="B12" s="10" t="s">
        <v>630</v>
      </c>
      <c r="C12" s="10" t="s">
        <v>4070</v>
      </c>
      <c r="D12" s="10" t="s">
        <v>6920</v>
      </c>
      <c r="E12" s="10" t="s">
        <v>6258</v>
      </c>
      <c r="F12" s="10" t="s">
        <v>3553</v>
      </c>
      <c r="G12" s="10" t="s">
        <v>3836</v>
      </c>
      <c r="H12" s="10" t="s">
        <v>7189</v>
      </c>
    </row>
    <row r="13" spans="1:10" s="10" customFormat="1" ht="15.6" customHeight="1" x14ac:dyDescent="0.3">
      <c r="A13" s="10" t="s">
        <v>2485</v>
      </c>
      <c r="B13" s="10" t="s">
        <v>2614</v>
      </c>
      <c r="C13" s="10" t="s">
        <v>3886</v>
      </c>
    </row>
    <row r="14" spans="1:10" s="10" customFormat="1" ht="15.6" customHeight="1" x14ac:dyDescent="0.35">
      <c r="A14" s="27" t="s">
        <v>9625</v>
      </c>
      <c r="B14" s="28" t="s">
        <v>1736</v>
      </c>
      <c r="C14" s="28" t="s">
        <v>2411</v>
      </c>
      <c r="D14" s="27" t="s">
        <v>7238</v>
      </c>
      <c r="E14" s="27" t="s">
        <v>4467</v>
      </c>
      <c r="F14" s="27"/>
      <c r="G14" s="27"/>
      <c r="H14" s="27"/>
      <c r="I14" s="27"/>
      <c r="J14" s="27"/>
    </row>
    <row r="15" spans="1:10" s="10" customFormat="1" ht="15.6" customHeight="1" x14ac:dyDescent="0.3">
      <c r="A15" s="20" t="s">
        <v>4034</v>
      </c>
      <c r="B15" s="10" t="s">
        <v>535</v>
      </c>
      <c r="C15" s="10" t="s">
        <v>544</v>
      </c>
      <c r="D15" s="10" t="s">
        <v>458</v>
      </c>
      <c r="E15" s="10" t="s">
        <v>6721</v>
      </c>
      <c r="F15" s="10" t="s">
        <v>4455</v>
      </c>
      <c r="G15" s="10" t="s">
        <v>7591</v>
      </c>
      <c r="H15" s="10" t="s">
        <v>7032</v>
      </c>
      <c r="I15" s="10" t="s">
        <v>7238</v>
      </c>
      <c r="J15" s="10" t="s">
        <v>7053</v>
      </c>
    </row>
    <row r="16" spans="1:10" s="10" customFormat="1" ht="15.6" customHeight="1" x14ac:dyDescent="0.3">
      <c r="A16" s="20" t="s">
        <v>4049</v>
      </c>
      <c r="B16" s="10" t="s">
        <v>29</v>
      </c>
      <c r="C16" s="10" t="s">
        <v>3033</v>
      </c>
      <c r="D16" s="10" t="s">
        <v>3758</v>
      </c>
      <c r="E16" s="10" t="s">
        <v>5732</v>
      </c>
      <c r="F16" s="10" t="s">
        <v>7397</v>
      </c>
    </row>
    <row r="17" spans="1:12" s="10" customFormat="1" ht="15.6" customHeight="1" x14ac:dyDescent="0.35">
      <c r="A17" s="27" t="s">
        <v>9546</v>
      </c>
      <c r="B17" s="27" t="s">
        <v>4467</v>
      </c>
      <c r="C17" s="27" t="s">
        <v>1736</v>
      </c>
      <c r="D17" s="27" t="s">
        <v>9625</v>
      </c>
      <c r="E17" s="27" t="s">
        <v>7238</v>
      </c>
      <c r="F17" s="25" t="s">
        <v>2411</v>
      </c>
      <c r="G17" s="27" t="s">
        <v>1711</v>
      </c>
      <c r="H17" s="27"/>
      <c r="I17" s="27"/>
      <c r="J17" s="27"/>
    </row>
    <row r="18" spans="1:12" s="10" customFormat="1" ht="15.6" customHeight="1" x14ac:dyDescent="0.3">
      <c r="A18" s="20" t="s">
        <v>9599</v>
      </c>
      <c r="B18" s="10" t="s">
        <v>3541</v>
      </c>
      <c r="C18" s="35" t="s">
        <v>2411</v>
      </c>
    </row>
    <row r="19" spans="1:12" s="10" customFormat="1" ht="15.6" customHeight="1" x14ac:dyDescent="0.3">
      <c r="A19" s="20" t="s">
        <v>6915</v>
      </c>
      <c r="B19" s="10" t="s">
        <v>7255</v>
      </c>
      <c r="C19" s="10" t="s">
        <v>1323</v>
      </c>
      <c r="D19" s="35" t="s">
        <v>2491</v>
      </c>
    </row>
    <row r="20" spans="1:12" s="10" customFormat="1" ht="15.6" customHeight="1" x14ac:dyDescent="0.3">
      <c r="A20" s="20" t="s">
        <v>6972</v>
      </c>
      <c r="B20" s="10" t="s">
        <v>4961</v>
      </c>
      <c r="C20" s="35" t="s">
        <v>6029</v>
      </c>
      <c r="D20" s="10" t="s">
        <v>3663</v>
      </c>
      <c r="E20" s="10" t="s">
        <v>6721</v>
      </c>
      <c r="F20" s="10" t="s">
        <v>4455</v>
      </c>
      <c r="G20" s="10" t="s">
        <v>7039</v>
      </c>
    </row>
    <row r="21" spans="1:12" s="10" customFormat="1" ht="15.6" customHeight="1" x14ac:dyDescent="0.3">
      <c r="A21" s="27" t="s">
        <v>9527</v>
      </c>
      <c r="B21" s="27" t="s">
        <v>3646</v>
      </c>
      <c r="C21" s="27" t="s">
        <v>4357</v>
      </c>
      <c r="D21" s="27"/>
      <c r="E21" s="27"/>
      <c r="F21" s="27"/>
      <c r="G21" s="27"/>
      <c r="H21" s="27"/>
      <c r="I21" s="27"/>
      <c r="J21" s="27"/>
    </row>
    <row r="22" spans="1:12" s="10" customFormat="1" ht="15.6" customHeight="1" x14ac:dyDescent="0.3">
      <c r="A22" s="20" t="s">
        <v>7097</v>
      </c>
      <c r="B22" s="10" t="s">
        <v>7400</v>
      </c>
      <c r="C22" s="35" t="s">
        <v>2449</v>
      </c>
      <c r="D22" s="10" t="s">
        <v>415</v>
      </c>
      <c r="E22" s="10" t="s">
        <v>6890</v>
      </c>
      <c r="K22" s="20"/>
      <c r="L22" s="20"/>
    </row>
    <row r="23" spans="1:12" s="10" customFormat="1" ht="15.6" customHeight="1" x14ac:dyDescent="0.3">
      <c r="A23" s="20" t="s">
        <v>7100</v>
      </c>
      <c r="B23" s="10" t="s">
        <v>4080</v>
      </c>
      <c r="C23" s="10" t="s">
        <v>6715</v>
      </c>
      <c r="D23" s="10" t="s">
        <v>3692</v>
      </c>
      <c r="E23" s="10" t="s">
        <v>4675</v>
      </c>
      <c r="K23" s="20"/>
      <c r="L23" s="20"/>
    </row>
    <row r="24" spans="1:12" s="10" customFormat="1" ht="15.6" customHeight="1" x14ac:dyDescent="0.3">
      <c r="A24" s="20" t="s">
        <v>7103</v>
      </c>
      <c r="B24" s="10" t="s">
        <v>3455</v>
      </c>
      <c r="K24" s="20"/>
      <c r="L24" s="20"/>
    </row>
    <row r="25" spans="1:12" s="10" customFormat="1" ht="15.6" customHeight="1" x14ac:dyDescent="0.3">
      <c r="A25" s="20" t="s">
        <v>7134</v>
      </c>
      <c r="B25" s="10" t="s">
        <v>5821</v>
      </c>
      <c r="C25" s="10" t="s">
        <v>4829</v>
      </c>
      <c r="D25" s="10" t="s">
        <v>6517</v>
      </c>
      <c r="E25" s="10" t="s">
        <v>3801</v>
      </c>
      <c r="F25" s="10" t="s">
        <v>5732</v>
      </c>
      <c r="G25" s="10" t="s">
        <v>3758</v>
      </c>
      <c r="K25" s="20"/>
      <c r="L25" s="20"/>
    </row>
    <row r="26" spans="1:12" s="10" customFormat="1" ht="15.6" customHeight="1" x14ac:dyDescent="0.3">
      <c r="A26" s="20" t="s">
        <v>7189</v>
      </c>
      <c r="B26" s="10" t="s">
        <v>4029</v>
      </c>
      <c r="C26" s="10" t="s">
        <v>4070</v>
      </c>
      <c r="D26" s="10" t="s">
        <v>6920</v>
      </c>
      <c r="E26" s="10" t="s">
        <v>6258</v>
      </c>
      <c r="F26" s="10" t="s">
        <v>3553</v>
      </c>
      <c r="G26" s="10" t="s">
        <v>3836</v>
      </c>
      <c r="K26" s="20"/>
      <c r="L26" s="20"/>
    </row>
    <row r="27" spans="1:12" s="10" customFormat="1" ht="15.6" customHeight="1" x14ac:dyDescent="0.3">
      <c r="A27" s="20" t="s">
        <v>7225</v>
      </c>
      <c r="B27" s="10" t="s">
        <v>4307</v>
      </c>
      <c r="C27" s="10" t="s">
        <v>5908</v>
      </c>
      <c r="D27" s="10" t="s">
        <v>4650</v>
      </c>
      <c r="E27" s="10" t="s">
        <v>6481</v>
      </c>
      <c r="F27" s="10" t="s">
        <v>458</v>
      </c>
      <c r="K27" s="20"/>
      <c r="L27" s="20"/>
    </row>
    <row r="28" spans="1:12" s="10" customFormat="1" ht="15.6" customHeight="1" x14ac:dyDescent="0.3">
      <c r="A28" s="20" t="s">
        <v>7253</v>
      </c>
      <c r="B28" s="10" t="s">
        <v>6481</v>
      </c>
      <c r="C28" s="10" t="s">
        <v>458</v>
      </c>
      <c r="D28" s="10" t="s">
        <v>932</v>
      </c>
      <c r="E28" s="10" t="s">
        <v>4756</v>
      </c>
      <c r="F28" s="10" t="s">
        <v>4134</v>
      </c>
      <c r="K28" s="20"/>
      <c r="L28" s="20"/>
    </row>
    <row r="29" spans="1:12" s="10" customFormat="1" ht="15.6" customHeight="1" x14ac:dyDescent="0.3">
      <c r="A29" s="20" t="s">
        <v>7255</v>
      </c>
      <c r="B29" s="23" t="s">
        <v>6915</v>
      </c>
      <c r="C29" s="20" t="s">
        <v>1323</v>
      </c>
      <c r="D29" s="35" t="s">
        <v>2491</v>
      </c>
      <c r="E29" s="20"/>
      <c r="F29" s="20"/>
      <c r="G29" s="20"/>
      <c r="H29" s="20"/>
      <c r="I29" s="20"/>
      <c r="J29" s="20"/>
      <c r="K29" s="20"/>
      <c r="L29" s="20"/>
    </row>
    <row r="30" spans="1:12" s="10" customFormat="1" x14ac:dyDescent="0.35">
      <c r="A30" s="27" t="s">
        <v>9624</v>
      </c>
      <c r="B30" s="28" t="s">
        <v>69</v>
      </c>
      <c r="C30" s="28" t="s">
        <v>1248</v>
      </c>
      <c r="D30" s="27" t="s">
        <v>1257</v>
      </c>
      <c r="E30" s="27" t="s">
        <v>1265</v>
      </c>
      <c r="F30" s="27" t="s">
        <v>1252</v>
      </c>
      <c r="G30" s="27" t="s">
        <v>1261</v>
      </c>
      <c r="H30" s="27" t="s">
        <v>1293</v>
      </c>
      <c r="I30" s="27" t="s">
        <v>7516</v>
      </c>
      <c r="J30" s="27" t="s">
        <v>2643</v>
      </c>
      <c r="K30" s="20"/>
      <c r="L30" s="20"/>
    </row>
    <row r="31" spans="1:12" s="10" customFormat="1" x14ac:dyDescent="0.3">
      <c r="A31" s="20" t="s">
        <v>7373</v>
      </c>
      <c r="B31" s="20" t="s">
        <v>1032</v>
      </c>
      <c r="C31" s="20" t="s">
        <v>6181</v>
      </c>
      <c r="D31" s="20" t="s">
        <v>6972</v>
      </c>
      <c r="E31" s="20"/>
      <c r="F31" s="20"/>
      <c r="G31" s="20"/>
      <c r="H31" s="20"/>
      <c r="I31" s="20"/>
      <c r="J31" s="20"/>
      <c r="K31" s="20"/>
      <c r="L31" s="20"/>
    </row>
    <row r="32" spans="1:12" s="10" customFormat="1" x14ac:dyDescent="0.3">
      <c r="A32" s="20" t="s">
        <v>7397</v>
      </c>
      <c r="B32" s="20" t="s">
        <v>957</v>
      </c>
      <c r="C32" s="20" t="s">
        <v>4049</v>
      </c>
      <c r="D32" s="35" t="s">
        <v>3747</v>
      </c>
      <c r="E32" s="20"/>
      <c r="F32" s="20"/>
      <c r="G32" s="20"/>
      <c r="H32" s="20"/>
      <c r="I32" s="20"/>
      <c r="J32" s="20"/>
      <c r="K32" s="20"/>
      <c r="L32" s="20"/>
    </row>
    <row r="33" spans="1:12" s="10" customFormat="1" x14ac:dyDescent="0.3">
      <c r="A33" s="20" t="s">
        <v>7400</v>
      </c>
      <c r="B33" s="10" t="s">
        <v>7097</v>
      </c>
      <c r="C33" s="35" t="s">
        <v>2449</v>
      </c>
      <c r="D33" s="10" t="s">
        <v>415</v>
      </c>
      <c r="E33" s="10" t="s">
        <v>6890</v>
      </c>
      <c r="F33" s="20"/>
      <c r="G33" s="20"/>
      <c r="H33" s="20"/>
      <c r="I33" s="20"/>
      <c r="J33" s="20"/>
      <c r="K33" s="20"/>
      <c r="L33" s="20"/>
    </row>
    <row r="34" spans="1:12" s="10" customFormat="1" x14ac:dyDescent="0.3">
      <c r="A34" s="20" t="s">
        <v>7420</v>
      </c>
      <c r="B34" s="35" t="s">
        <v>2555</v>
      </c>
      <c r="C34" s="35" t="s">
        <v>2388</v>
      </c>
      <c r="D34" s="20" t="s">
        <v>3657</v>
      </c>
      <c r="E34" s="20"/>
      <c r="F34" s="20"/>
      <c r="G34" s="20"/>
      <c r="H34" s="20"/>
      <c r="I34" s="20"/>
      <c r="J34" s="20"/>
    </row>
    <row r="35" spans="1:12" s="10" customFormat="1" x14ac:dyDescent="0.3">
      <c r="A35" s="20" t="s">
        <v>7425</v>
      </c>
      <c r="B35" s="20" t="s">
        <v>3354</v>
      </c>
      <c r="C35" s="35" t="s">
        <v>7378</v>
      </c>
      <c r="D35" s="20" t="s">
        <v>7632</v>
      </c>
      <c r="E35" s="20" t="s">
        <v>6283</v>
      </c>
      <c r="F35" s="20"/>
      <c r="G35" s="20"/>
      <c r="H35" s="20"/>
      <c r="I35" s="20"/>
      <c r="J35" s="20"/>
      <c r="K35" s="20"/>
      <c r="L35" s="20"/>
    </row>
    <row r="36" spans="1:12" s="10" customFormat="1" x14ac:dyDescent="0.3">
      <c r="A36" s="20" t="s">
        <v>1927</v>
      </c>
      <c r="B36" s="20" t="s">
        <v>1939</v>
      </c>
      <c r="C36" s="20" t="s">
        <v>7656</v>
      </c>
      <c r="D36" s="20" t="s">
        <v>7439</v>
      </c>
      <c r="E36" s="23" t="s">
        <v>5980</v>
      </c>
      <c r="F36" s="23" t="s">
        <v>2317</v>
      </c>
      <c r="G36" s="20" t="s">
        <v>2350</v>
      </c>
      <c r="H36" s="20"/>
      <c r="I36" s="20"/>
      <c r="J36" s="20"/>
      <c r="K36" s="20"/>
      <c r="L36" s="20"/>
    </row>
    <row r="37" spans="1:12" s="10" customFormat="1" x14ac:dyDescent="0.3">
      <c r="A37" s="20" t="s">
        <v>5213</v>
      </c>
      <c r="B37" s="20" t="s">
        <v>2851</v>
      </c>
      <c r="C37" s="23" t="s">
        <v>5751</v>
      </c>
      <c r="D37" s="20" t="s">
        <v>7358</v>
      </c>
      <c r="E37" s="20" t="s">
        <v>9408</v>
      </c>
      <c r="F37" s="20" t="s">
        <v>4134</v>
      </c>
      <c r="G37" s="20" t="s">
        <v>6374</v>
      </c>
      <c r="H37" s="20" t="s">
        <v>1474</v>
      </c>
      <c r="I37" s="35" t="s">
        <v>2894</v>
      </c>
      <c r="J37" s="20"/>
      <c r="K37" s="20"/>
      <c r="L37" s="20"/>
    </row>
    <row r="38" spans="1:12" s="10" customFormat="1" x14ac:dyDescent="0.3">
      <c r="A38" s="20" t="s">
        <v>5221</v>
      </c>
      <c r="B38" s="20" t="s">
        <v>6787</v>
      </c>
      <c r="C38" s="20" t="s">
        <v>2725</v>
      </c>
      <c r="D38" s="20" t="s">
        <v>29</v>
      </c>
      <c r="E38" s="20" t="s">
        <v>3033</v>
      </c>
      <c r="F38" s="20" t="s">
        <v>695</v>
      </c>
      <c r="G38" s="20" t="s">
        <v>4720</v>
      </c>
      <c r="H38" s="20" t="s">
        <v>1736</v>
      </c>
      <c r="I38" s="20" t="s">
        <v>9625</v>
      </c>
      <c r="J38" s="20"/>
      <c r="K38" s="20"/>
      <c r="L38" s="20"/>
    </row>
    <row r="39" spans="1:12" s="10" customFormat="1" x14ac:dyDescent="0.3">
      <c r="A39" s="20" t="s">
        <v>5229</v>
      </c>
      <c r="B39" s="20" t="s">
        <v>3419</v>
      </c>
      <c r="C39" s="20" t="s">
        <v>9459</v>
      </c>
      <c r="D39" s="20" t="s">
        <v>23</v>
      </c>
      <c r="E39" s="20" t="s">
        <v>2851</v>
      </c>
      <c r="F39" s="20" t="s">
        <v>34</v>
      </c>
      <c r="G39" s="20" t="s">
        <v>5297</v>
      </c>
      <c r="H39" s="20" t="s">
        <v>6578</v>
      </c>
      <c r="I39" s="20" t="s">
        <v>1568</v>
      </c>
      <c r="J39" s="20" t="s">
        <v>5957</v>
      </c>
      <c r="K39" s="20"/>
      <c r="L39" s="20"/>
    </row>
    <row r="40" spans="1:12" s="10" customFormat="1" x14ac:dyDescent="0.3">
      <c r="A40" s="20" t="s">
        <v>2229</v>
      </c>
      <c r="B40" s="20" t="s">
        <v>458</v>
      </c>
      <c r="C40" s="20" t="s">
        <v>5817</v>
      </c>
      <c r="D40" s="10" t="s">
        <v>4070</v>
      </c>
      <c r="E40" s="20" t="s">
        <v>3593</v>
      </c>
      <c r="F40" s="20" t="s">
        <v>3764</v>
      </c>
      <c r="G40" s="20" t="s">
        <v>7591</v>
      </c>
      <c r="H40" s="20" t="s">
        <v>9537</v>
      </c>
      <c r="I40" s="20"/>
      <c r="J40" s="20"/>
      <c r="K40" s="20"/>
      <c r="L40" s="20"/>
    </row>
    <row r="41" spans="1:12" s="10" customFormat="1" x14ac:dyDescent="0.3">
      <c r="A41" s="20" t="s">
        <v>3427</v>
      </c>
      <c r="B41" s="20" t="s">
        <v>535</v>
      </c>
      <c r="C41" s="20" t="s">
        <v>544</v>
      </c>
      <c r="D41" s="20" t="s">
        <v>470</v>
      </c>
      <c r="E41" s="20" t="s">
        <v>467</v>
      </c>
      <c r="F41" s="20" t="s">
        <v>510</v>
      </c>
      <c r="G41" s="20" t="s">
        <v>506</v>
      </c>
      <c r="H41" s="20" t="s">
        <v>473</v>
      </c>
      <c r="I41" s="20"/>
      <c r="J41" s="20"/>
    </row>
    <row r="42" spans="1:12" s="10" customFormat="1" x14ac:dyDescent="0.3">
      <c r="A42" s="27" t="s">
        <v>9596</v>
      </c>
      <c r="B42" s="27" t="s">
        <v>4961</v>
      </c>
      <c r="C42" s="27" t="s">
        <v>6029</v>
      </c>
      <c r="D42" s="27"/>
      <c r="E42" s="27"/>
      <c r="F42" s="27"/>
      <c r="G42" s="27"/>
      <c r="H42" s="27"/>
      <c r="I42" s="27"/>
      <c r="J42" s="27"/>
      <c r="K42" s="20"/>
      <c r="L42" s="20"/>
    </row>
    <row r="43" spans="1:12" s="10" customFormat="1" x14ac:dyDescent="0.3">
      <c r="A43" s="20" t="s">
        <v>7017</v>
      </c>
      <c r="B43" s="10" t="s">
        <v>6670</v>
      </c>
      <c r="C43" s="10" t="s">
        <v>4038</v>
      </c>
      <c r="D43" s="10" t="s">
        <v>4083</v>
      </c>
      <c r="K43" s="20"/>
      <c r="L43" s="20"/>
    </row>
    <row r="44" spans="1:12" s="10" customFormat="1" x14ac:dyDescent="0.3">
      <c r="A44" s="20" t="s">
        <v>7164</v>
      </c>
      <c r="B44" s="20" t="s">
        <v>4961</v>
      </c>
      <c r="C44" s="20" t="s">
        <v>7039</v>
      </c>
      <c r="D44" s="20" t="s">
        <v>982</v>
      </c>
      <c r="E44" s="20" t="s">
        <v>985</v>
      </c>
      <c r="F44" s="20" t="s">
        <v>3537</v>
      </c>
      <c r="G44" s="20"/>
      <c r="H44" s="20"/>
      <c r="I44" s="20"/>
      <c r="J44" s="20"/>
    </row>
    <row r="45" spans="1:12" s="10" customFormat="1" x14ac:dyDescent="0.3">
      <c r="A45" s="20" t="s">
        <v>7311</v>
      </c>
      <c r="B45" s="20"/>
      <c r="C45" s="20"/>
      <c r="D45" s="20"/>
      <c r="E45" s="20"/>
      <c r="F45" s="20"/>
      <c r="G45" s="20"/>
      <c r="H45" s="20"/>
      <c r="I45" s="20"/>
      <c r="J45" s="20"/>
    </row>
    <row r="46" spans="1:12" s="10" customFormat="1" x14ac:dyDescent="0.3">
      <c r="A46" s="20" t="s">
        <v>7449</v>
      </c>
      <c r="B46" s="23" t="s">
        <v>2594</v>
      </c>
      <c r="C46" s="20" t="s">
        <v>4080</v>
      </c>
      <c r="D46" s="20"/>
      <c r="E46" s="20"/>
      <c r="F46" s="20"/>
      <c r="G46" s="20"/>
      <c r="H46" s="20"/>
      <c r="I46" s="20"/>
      <c r="J46" s="20"/>
      <c r="K46" s="20"/>
      <c r="L46" s="20"/>
    </row>
    <row r="47" spans="1:12" s="10" customFormat="1" x14ac:dyDescent="0.3">
      <c r="A47" s="20" t="s">
        <v>5237</v>
      </c>
      <c r="B47" s="20" t="s">
        <v>6029</v>
      </c>
      <c r="C47" s="23" t="s">
        <v>912</v>
      </c>
      <c r="D47" s="20" t="s">
        <v>944</v>
      </c>
      <c r="E47" s="20" t="s">
        <v>4691</v>
      </c>
      <c r="F47" s="35" t="s">
        <v>2497</v>
      </c>
      <c r="G47" s="20" t="s">
        <v>473</v>
      </c>
      <c r="H47" s="20" t="s">
        <v>3427</v>
      </c>
      <c r="I47" s="20"/>
      <c r="J47" s="20"/>
      <c r="K47" s="20"/>
      <c r="L47" s="20"/>
    </row>
    <row r="48" spans="1:12" s="10" customFormat="1" ht="16.2" x14ac:dyDescent="0.35">
      <c r="A48" s="20" t="s">
        <v>964</v>
      </c>
      <c r="B48" s="20" t="s">
        <v>912</v>
      </c>
      <c r="C48" s="20" t="s">
        <v>908</v>
      </c>
      <c r="D48" s="20" t="s">
        <v>880</v>
      </c>
      <c r="E48" s="20" t="s">
        <v>4049</v>
      </c>
      <c r="F48" s="20" t="s">
        <v>3870</v>
      </c>
      <c r="G48" s="25" t="s">
        <v>3079</v>
      </c>
      <c r="H48" s="20" t="s">
        <v>5957</v>
      </c>
      <c r="I48" s="35" t="s">
        <v>1454</v>
      </c>
      <c r="J48" s="20"/>
      <c r="K48" s="20"/>
      <c r="L48" s="20"/>
    </row>
    <row r="49" spans="1:12" s="10" customFormat="1" x14ac:dyDescent="0.3">
      <c r="A49" s="20" t="s">
        <v>5245</v>
      </c>
      <c r="B49" s="23" t="s">
        <v>5495</v>
      </c>
      <c r="C49" s="20" t="s">
        <v>3908</v>
      </c>
      <c r="D49" s="35" t="s">
        <v>2388</v>
      </c>
      <c r="E49" s="35" t="s">
        <v>3951</v>
      </c>
      <c r="F49" s="20" t="s">
        <v>6262</v>
      </c>
      <c r="G49" s="20"/>
      <c r="H49" s="20"/>
      <c r="I49" s="20"/>
      <c r="J49" s="20"/>
      <c r="K49" s="20"/>
      <c r="L49" s="20"/>
    </row>
    <row r="50" spans="1:12" s="10" customFormat="1" x14ac:dyDescent="0.3">
      <c r="A50" s="20" t="s">
        <v>2237</v>
      </c>
      <c r="B50" s="35" t="s">
        <v>458</v>
      </c>
      <c r="C50" s="21" t="s">
        <v>278</v>
      </c>
      <c r="D50" s="35" t="s">
        <v>1648</v>
      </c>
      <c r="E50" s="10" t="s">
        <v>5580</v>
      </c>
      <c r="F50" s="10" t="s">
        <v>2864</v>
      </c>
      <c r="G50" s="10" t="s">
        <v>1175</v>
      </c>
      <c r="H50" s="10" t="s">
        <v>1180</v>
      </c>
      <c r="I50" s="10" t="s">
        <v>1190</v>
      </c>
      <c r="J50" s="10" t="s">
        <v>2012</v>
      </c>
      <c r="K50" s="20"/>
      <c r="L50" s="20"/>
    </row>
    <row r="51" spans="1:12" s="10" customFormat="1" x14ac:dyDescent="0.3">
      <c r="A51" s="20" t="s">
        <v>5249</v>
      </c>
      <c r="B51" s="20" t="s">
        <v>458</v>
      </c>
      <c r="C51" s="20" t="s">
        <v>3439</v>
      </c>
      <c r="D51" s="10" t="s">
        <v>9625</v>
      </c>
      <c r="E51" s="10" t="s">
        <v>1736</v>
      </c>
      <c r="F51" s="35" t="s">
        <v>6357</v>
      </c>
      <c r="G51" s="20"/>
      <c r="H51" s="20"/>
      <c r="I51" s="20"/>
      <c r="J51" s="20"/>
    </row>
    <row r="52" spans="1:12" s="10" customFormat="1" x14ac:dyDescent="0.3">
      <c r="A52" s="20" t="s">
        <v>5256</v>
      </c>
      <c r="B52" s="35" t="s">
        <v>4821</v>
      </c>
      <c r="C52" s="20" t="s">
        <v>3079</v>
      </c>
      <c r="D52" s="35" t="s">
        <v>2296</v>
      </c>
      <c r="E52" s="20"/>
      <c r="F52" s="20"/>
      <c r="G52" s="20"/>
      <c r="H52" s="20"/>
      <c r="I52" s="20"/>
      <c r="J52" s="20"/>
      <c r="K52" s="20"/>
      <c r="L52" s="20"/>
    </row>
    <row r="53" spans="1:12" s="10" customFormat="1" x14ac:dyDescent="0.3">
      <c r="A53" s="35" t="s">
        <v>7656</v>
      </c>
      <c r="B53" s="10" t="s">
        <v>6863</v>
      </c>
      <c r="C53" s="10" t="s">
        <v>1939</v>
      </c>
      <c r="D53" s="10" t="s">
        <v>7439</v>
      </c>
      <c r="E53" s="10" t="s">
        <v>4870</v>
      </c>
      <c r="F53" s="10" t="s">
        <v>2643</v>
      </c>
      <c r="G53" s="35" t="s">
        <v>2652</v>
      </c>
      <c r="H53" s="10" t="s">
        <v>1919</v>
      </c>
      <c r="I53" s="10" t="s">
        <v>1927</v>
      </c>
      <c r="J53" s="10" t="s">
        <v>4528</v>
      </c>
    </row>
    <row r="54" spans="1:12" s="10" customFormat="1" x14ac:dyDescent="0.3">
      <c r="A54" s="35" t="s">
        <v>7664</v>
      </c>
      <c r="G54" s="35"/>
    </row>
    <row r="55" spans="1:12" s="10" customFormat="1" x14ac:dyDescent="0.3">
      <c r="A55" s="20" t="s">
        <v>3447</v>
      </c>
      <c r="B55" s="23" t="s">
        <v>6670</v>
      </c>
      <c r="C55" s="35" t="s">
        <v>6861</v>
      </c>
      <c r="D55" s="21" t="s">
        <v>2543</v>
      </c>
      <c r="E55" s="20" t="s">
        <v>4083</v>
      </c>
      <c r="F55" s="20" t="s">
        <v>4038</v>
      </c>
      <c r="G55" s="20"/>
      <c r="H55" s="20"/>
      <c r="I55" s="20"/>
      <c r="J55" s="20"/>
    </row>
    <row r="56" spans="1:12" s="10" customFormat="1" x14ac:dyDescent="0.3">
      <c r="A56" s="20" t="s">
        <v>3452</v>
      </c>
      <c r="B56" s="20" t="s">
        <v>1750</v>
      </c>
      <c r="C56" s="20" t="s">
        <v>2467</v>
      </c>
      <c r="D56" s="20"/>
      <c r="E56" s="20"/>
      <c r="F56" s="20"/>
      <c r="G56" s="20"/>
      <c r="H56" s="20"/>
      <c r="I56" s="20"/>
      <c r="J56" s="20"/>
      <c r="K56" s="20"/>
      <c r="L56" s="20"/>
    </row>
    <row r="57" spans="1:12" s="10" customFormat="1" x14ac:dyDescent="0.3">
      <c r="A57" s="20" t="s">
        <v>5264</v>
      </c>
      <c r="B57" s="20" t="s">
        <v>4057</v>
      </c>
      <c r="C57" s="20" t="s">
        <v>6566</v>
      </c>
      <c r="D57" s="20" t="s">
        <v>9475</v>
      </c>
      <c r="E57" s="20" t="s">
        <v>674</v>
      </c>
      <c r="F57" s="20"/>
      <c r="G57" s="20"/>
      <c r="H57" s="20"/>
      <c r="I57" s="20"/>
      <c r="J57" s="20"/>
      <c r="K57" s="20"/>
      <c r="L57" s="20"/>
    </row>
    <row r="58" spans="1:12" s="10" customFormat="1" x14ac:dyDescent="0.3">
      <c r="A58" s="20" t="s">
        <v>5268</v>
      </c>
      <c r="B58" s="20" t="s">
        <v>7601</v>
      </c>
      <c r="C58" s="20" t="s">
        <v>5000</v>
      </c>
      <c r="D58" s="20" t="s">
        <v>3896</v>
      </c>
      <c r="E58" s="20" t="s">
        <v>2361</v>
      </c>
      <c r="F58" s="20" t="s">
        <v>4374</v>
      </c>
      <c r="G58" s="21" t="s">
        <v>9480</v>
      </c>
      <c r="H58" s="20"/>
      <c r="I58" s="20"/>
      <c r="J58" s="20"/>
      <c r="K58" s="20"/>
      <c r="L58" s="20"/>
    </row>
    <row r="59" spans="1:12" s="10" customFormat="1" x14ac:dyDescent="0.3">
      <c r="A59" s="20" t="s">
        <v>5272</v>
      </c>
      <c r="B59" s="20" t="s">
        <v>1665</v>
      </c>
      <c r="C59" s="35" t="s">
        <v>3402</v>
      </c>
      <c r="D59" s="20" t="s">
        <v>5434</v>
      </c>
      <c r="E59" s="20" t="s">
        <v>7642</v>
      </c>
      <c r="F59" s="20"/>
      <c r="G59" s="20"/>
      <c r="H59" s="20"/>
      <c r="I59" s="20"/>
      <c r="J59" s="20"/>
      <c r="K59" s="20"/>
      <c r="L59" s="20"/>
    </row>
    <row r="60" spans="1:12" s="10" customFormat="1" x14ac:dyDescent="0.3">
      <c r="A60" s="10" t="s">
        <v>2725</v>
      </c>
      <c r="B60" s="10" t="s">
        <v>458</v>
      </c>
      <c r="C60" s="10" t="s">
        <v>9513</v>
      </c>
      <c r="D60" s="10" t="s">
        <v>5680</v>
      </c>
      <c r="E60" s="10" t="s">
        <v>5655</v>
      </c>
      <c r="F60" s="10" t="s">
        <v>7591</v>
      </c>
      <c r="G60" s="10" t="s">
        <v>6097</v>
      </c>
      <c r="K60" s="20"/>
      <c r="L60" s="20"/>
    </row>
    <row r="61" spans="1:12" s="10" customFormat="1" x14ac:dyDescent="0.3">
      <c r="A61" s="20" t="s">
        <v>9513</v>
      </c>
      <c r="B61" s="20" t="s">
        <v>5908</v>
      </c>
      <c r="C61" s="23" t="s">
        <v>2725</v>
      </c>
      <c r="D61" s="20" t="s">
        <v>5655</v>
      </c>
      <c r="E61" s="20" t="s">
        <v>6097</v>
      </c>
      <c r="F61" s="20"/>
      <c r="G61" s="20"/>
      <c r="H61" s="20"/>
      <c r="I61" s="20"/>
      <c r="J61" s="20"/>
      <c r="K61" s="20"/>
      <c r="L61" s="20"/>
    </row>
    <row r="62" spans="1:12" s="10" customFormat="1" x14ac:dyDescent="0.3">
      <c r="A62" s="10" t="s">
        <v>1750</v>
      </c>
      <c r="B62" s="10" t="s">
        <v>459</v>
      </c>
      <c r="C62" s="10" t="s">
        <v>473</v>
      </c>
      <c r="D62" s="10" t="s">
        <v>467</v>
      </c>
      <c r="E62" s="10" t="s">
        <v>470</v>
      </c>
      <c r="F62" s="10" t="s">
        <v>29</v>
      </c>
      <c r="G62" s="10" t="s">
        <v>2725</v>
      </c>
    </row>
    <row r="63" spans="1:12" s="10" customFormat="1" x14ac:dyDescent="0.3">
      <c r="A63" s="10" t="s">
        <v>3368</v>
      </c>
      <c r="B63" s="10" t="s">
        <v>34</v>
      </c>
      <c r="C63" s="10" t="s">
        <v>835</v>
      </c>
      <c r="D63" s="10" t="s">
        <v>4605</v>
      </c>
      <c r="E63" s="10" t="s">
        <v>7607</v>
      </c>
      <c r="K63" s="20"/>
      <c r="L63" s="20"/>
    </row>
    <row r="64" spans="1:12" s="10" customFormat="1" x14ac:dyDescent="0.3">
      <c r="A64" s="10" t="s">
        <v>912</v>
      </c>
      <c r="B64" s="10" t="s">
        <v>4775</v>
      </c>
      <c r="C64" s="10" t="s">
        <v>880</v>
      </c>
      <c r="D64" s="35" t="s">
        <v>904</v>
      </c>
      <c r="E64" s="10" t="s">
        <v>908</v>
      </c>
      <c r="F64" s="10" t="s">
        <v>936</v>
      </c>
      <c r="G64" s="10" t="s">
        <v>920</v>
      </c>
      <c r="H64" s="10" t="s">
        <v>924</v>
      </c>
      <c r="I64" s="10" t="s">
        <v>928</v>
      </c>
      <c r="J64" s="10" t="s">
        <v>932</v>
      </c>
    </row>
    <row r="65" spans="1:12" s="10" customFormat="1" x14ac:dyDescent="0.3">
      <c r="A65" s="20" t="s">
        <v>944</v>
      </c>
      <c r="B65" s="20" t="s">
        <v>880</v>
      </c>
      <c r="C65" s="20" t="s">
        <v>908</v>
      </c>
      <c r="D65" s="23" t="s">
        <v>912</v>
      </c>
      <c r="E65" s="23" t="s">
        <v>940</v>
      </c>
      <c r="F65" s="23" t="s">
        <v>4691</v>
      </c>
      <c r="G65" s="35" t="s">
        <v>4412</v>
      </c>
      <c r="H65" s="20"/>
      <c r="I65" s="20"/>
      <c r="J65" s="20"/>
    </row>
    <row r="66" spans="1:12" s="10" customFormat="1" x14ac:dyDescent="0.3">
      <c r="A66" s="20" t="s">
        <v>5287</v>
      </c>
      <c r="B66" s="23" t="s">
        <v>4743</v>
      </c>
      <c r="C66" s="23" t="s">
        <v>6837</v>
      </c>
      <c r="D66" s="23" t="s">
        <v>2608</v>
      </c>
      <c r="E66" s="20" t="s">
        <v>737</v>
      </c>
      <c r="F66" s="20" t="s">
        <v>6328</v>
      </c>
      <c r="G66" s="35" t="s">
        <v>9483</v>
      </c>
      <c r="H66" s="20"/>
      <c r="I66" s="20"/>
      <c r="J66" s="20"/>
      <c r="K66" s="20"/>
      <c r="L66" s="20"/>
    </row>
    <row r="67" spans="1:12" s="10" customFormat="1" x14ac:dyDescent="0.3">
      <c r="A67" s="20" t="s">
        <v>5293</v>
      </c>
      <c r="B67" s="20" t="s">
        <v>4621</v>
      </c>
      <c r="C67" s="23" t="s">
        <v>73</v>
      </c>
      <c r="D67" s="23" t="s">
        <v>7100</v>
      </c>
      <c r="E67" s="20" t="s">
        <v>3156</v>
      </c>
      <c r="F67" s="35" t="s">
        <v>705</v>
      </c>
      <c r="G67" s="35" t="s">
        <v>710</v>
      </c>
      <c r="H67" s="35" t="s">
        <v>713</v>
      </c>
      <c r="I67" s="35" t="s">
        <v>717</v>
      </c>
      <c r="J67" s="35" t="s">
        <v>728</v>
      </c>
    </row>
    <row r="68" spans="1:12" s="10" customFormat="1" x14ac:dyDescent="0.3">
      <c r="A68" s="20" t="s">
        <v>5297</v>
      </c>
      <c r="B68" s="23" t="s">
        <v>5926</v>
      </c>
      <c r="C68" s="23" t="s">
        <v>6798</v>
      </c>
      <c r="D68" s="20" t="s">
        <v>7604</v>
      </c>
      <c r="E68" s="20"/>
      <c r="F68" s="20"/>
      <c r="G68" s="20"/>
      <c r="H68" s="20"/>
      <c r="I68" s="20"/>
      <c r="J68" s="20"/>
    </row>
    <row r="69" spans="1:12" s="10" customFormat="1" x14ac:dyDescent="0.3">
      <c r="A69" s="20" t="s">
        <v>686</v>
      </c>
      <c r="B69" s="20" t="s">
        <v>5495</v>
      </c>
      <c r="C69" s="23" t="s">
        <v>2123</v>
      </c>
      <c r="D69" s="20" t="s">
        <v>3959</v>
      </c>
      <c r="E69" s="20" t="s">
        <v>642</v>
      </c>
      <c r="F69" s="20" t="s">
        <v>666</v>
      </c>
      <c r="G69" s="20" t="s">
        <v>3908</v>
      </c>
      <c r="H69" s="20" t="s">
        <v>7591</v>
      </c>
      <c r="I69" s="20" t="s">
        <v>1723</v>
      </c>
      <c r="J69" s="20"/>
    </row>
    <row r="70" spans="1:12" s="10" customFormat="1" x14ac:dyDescent="0.3">
      <c r="A70" s="20" t="s">
        <v>1931</v>
      </c>
      <c r="B70" s="20" t="s">
        <v>1939</v>
      </c>
      <c r="C70" s="20" t="s">
        <v>1923</v>
      </c>
      <c r="D70" s="20" t="s">
        <v>4750</v>
      </c>
      <c r="E70" s="20" t="s">
        <v>1919</v>
      </c>
      <c r="F70" s="20"/>
      <c r="G70" s="20"/>
      <c r="H70" s="20"/>
      <c r="I70" s="20"/>
      <c r="J70" s="20"/>
      <c r="K70" s="20"/>
      <c r="L70" s="20"/>
    </row>
    <row r="71" spans="1:12" s="10" customFormat="1" x14ac:dyDescent="0.3">
      <c r="A71" s="10" t="s">
        <v>2825</v>
      </c>
      <c r="B71" s="10" t="s">
        <v>2816</v>
      </c>
      <c r="C71" s="10" t="s">
        <v>9518</v>
      </c>
      <c r="D71" s="35" t="s">
        <v>2805</v>
      </c>
      <c r="E71" s="35" t="s">
        <v>9411</v>
      </c>
      <c r="F71" s="10" t="s">
        <v>1846</v>
      </c>
      <c r="G71" s="10" t="s">
        <v>2098</v>
      </c>
      <c r="H71" s="10" t="s">
        <v>5434</v>
      </c>
      <c r="I71" s="10" t="s">
        <v>3402</v>
      </c>
    </row>
    <row r="72" spans="1:12" s="10" customFormat="1" x14ac:dyDescent="0.3">
      <c r="A72" s="20" t="s">
        <v>5305</v>
      </c>
      <c r="B72" s="20" t="s">
        <v>1661</v>
      </c>
      <c r="C72" s="23" t="s">
        <v>4862</v>
      </c>
      <c r="D72" s="20" t="s">
        <v>1669</v>
      </c>
      <c r="E72" s="20" t="s">
        <v>2325</v>
      </c>
      <c r="F72" s="20" t="s">
        <v>9484</v>
      </c>
      <c r="G72" s="20" t="s">
        <v>2608</v>
      </c>
      <c r="H72" s="20"/>
      <c r="I72" s="20"/>
      <c r="J72" s="20"/>
      <c r="K72" s="20"/>
      <c r="L72" s="20"/>
    </row>
    <row r="73" spans="1:12" s="10" customFormat="1" x14ac:dyDescent="0.3">
      <c r="A73" s="10" t="s">
        <v>1833</v>
      </c>
      <c r="B73" s="10" t="s">
        <v>2333</v>
      </c>
      <c r="C73" s="10" t="s">
        <v>6192</v>
      </c>
      <c r="D73" s="10" t="s">
        <v>1394</v>
      </c>
      <c r="E73" s="10" t="s">
        <v>1398</v>
      </c>
      <c r="F73" s="10" t="s">
        <v>9459</v>
      </c>
      <c r="G73" s="10" t="s">
        <v>7020</v>
      </c>
      <c r="H73" s="10" t="s">
        <v>3419</v>
      </c>
      <c r="K73" s="20"/>
      <c r="L73" s="20"/>
    </row>
    <row r="74" spans="1:12" s="10" customFormat="1" x14ac:dyDescent="0.3">
      <c r="A74" s="10" t="s">
        <v>3205</v>
      </c>
      <c r="B74" s="10" t="s">
        <v>3181</v>
      </c>
      <c r="C74" s="10" t="s">
        <v>828</v>
      </c>
      <c r="D74" s="10" t="s">
        <v>6578</v>
      </c>
      <c r="K74" s="20"/>
      <c r="L74" s="20"/>
    </row>
    <row r="75" spans="1:12" s="10" customFormat="1" x14ac:dyDescent="0.3">
      <c r="A75" s="20" t="s">
        <v>3498</v>
      </c>
      <c r="B75" s="20" t="s">
        <v>4450</v>
      </c>
      <c r="C75" s="23" t="s">
        <v>2640</v>
      </c>
      <c r="D75" s="20"/>
      <c r="E75" s="20"/>
      <c r="F75" s="20"/>
      <c r="G75" s="20"/>
      <c r="H75" s="20"/>
      <c r="I75" s="20"/>
      <c r="J75" s="20"/>
      <c r="K75" s="20"/>
      <c r="L75" s="20"/>
    </row>
    <row r="76" spans="1:12" s="10" customFormat="1" x14ac:dyDescent="0.3">
      <c r="A76" s="10" t="s">
        <v>3156</v>
      </c>
      <c r="B76" s="10" t="s">
        <v>34</v>
      </c>
      <c r="C76" s="10" t="s">
        <v>4918</v>
      </c>
      <c r="D76" s="10" t="s">
        <v>6379</v>
      </c>
      <c r="E76" s="10" t="s">
        <v>6964</v>
      </c>
      <c r="K76" s="20"/>
      <c r="L76" s="20"/>
    </row>
    <row r="77" spans="1:12" s="10" customFormat="1" x14ac:dyDescent="0.3">
      <c r="A77" s="20" t="s">
        <v>3505</v>
      </c>
      <c r="B77" s="10" t="s">
        <v>4961</v>
      </c>
      <c r="C77" s="10" t="s">
        <v>7388</v>
      </c>
      <c r="D77" s="10" t="s">
        <v>3537</v>
      </c>
      <c r="E77" s="10" t="s">
        <v>7039</v>
      </c>
      <c r="F77" s="10" t="s">
        <v>6972</v>
      </c>
      <c r="K77" s="20"/>
      <c r="L77" s="20"/>
    </row>
    <row r="78" spans="1:12" s="10" customFormat="1" x14ac:dyDescent="0.3">
      <c r="A78" s="10" t="s">
        <v>746</v>
      </c>
      <c r="B78" s="10" t="s">
        <v>6178</v>
      </c>
      <c r="C78" s="35" t="s">
        <v>2640</v>
      </c>
      <c r="D78" s="10" t="s">
        <v>6920</v>
      </c>
      <c r="E78" s="10" t="s">
        <v>756</v>
      </c>
      <c r="F78" s="10" t="s">
        <v>750</v>
      </c>
      <c r="G78" s="10" t="s">
        <v>733</v>
      </c>
    </row>
    <row r="79" spans="1:12" s="10" customFormat="1" x14ac:dyDescent="0.3">
      <c r="A79" s="20" t="s">
        <v>5309</v>
      </c>
      <c r="B79" s="20" t="s">
        <v>7177</v>
      </c>
      <c r="C79" s="20" t="s">
        <v>4049</v>
      </c>
      <c r="D79" s="20" t="s">
        <v>5732</v>
      </c>
      <c r="E79" s="20" t="s">
        <v>3758</v>
      </c>
      <c r="F79" s="20"/>
      <c r="G79" s="20"/>
      <c r="H79" s="20"/>
      <c r="I79" s="20"/>
      <c r="J79" s="20"/>
      <c r="K79" s="20"/>
      <c r="L79" s="20"/>
    </row>
    <row r="80" spans="1:12" s="10" customFormat="1" x14ac:dyDescent="0.3">
      <c r="A80" s="20" t="s">
        <v>948</v>
      </c>
      <c r="B80" s="10" t="s">
        <v>957</v>
      </c>
      <c r="C80" s="10" t="s">
        <v>955</v>
      </c>
      <c r="D80" s="10" t="s">
        <v>953</v>
      </c>
      <c r="K80" s="20"/>
      <c r="L80" s="20"/>
    </row>
    <row r="81" spans="1:12" s="10" customFormat="1" x14ac:dyDescent="0.3">
      <c r="A81" s="20" t="s">
        <v>3516</v>
      </c>
      <c r="B81" s="20"/>
      <c r="C81" s="20"/>
      <c r="D81" s="20"/>
      <c r="E81" s="20"/>
      <c r="F81" s="20"/>
      <c r="G81" s="20"/>
      <c r="H81" s="20"/>
      <c r="I81" s="20"/>
      <c r="J81" s="20"/>
      <c r="K81" s="20"/>
      <c r="L81" s="20"/>
    </row>
    <row r="82" spans="1:12" s="10" customFormat="1" x14ac:dyDescent="0.3">
      <c r="A82" s="20" t="s">
        <v>3520</v>
      </c>
      <c r="B82" s="20" t="s">
        <v>4961</v>
      </c>
      <c r="C82" s="20" t="s">
        <v>3646</v>
      </c>
      <c r="D82" s="20" t="s">
        <v>9527</v>
      </c>
      <c r="E82" s="20"/>
      <c r="F82" s="20"/>
      <c r="G82" s="20"/>
      <c r="H82" s="20"/>
      <c r="I82" s="20"/>
      <c r="J82" s="20"/>
      <c r="K82" s="20"/>
      <c r="L82" s="20"/>
    </row>
    <row r="83" spans="1:12" s="10" customFormat="1" x14ac:dyDescent="0.3">
      <c r="A83" s="20" t="s">
        <v>928</v>
      </c>
      <c r="B83" s="20" t="s">
        <v>912</v>
      </c>
      <c r="C83" s="20" t="s">
        <v>936</v>
      </c>
      <c r="D83" s="23" t="s">
        <v>9411</v>
      </c>
      <c r="E83" s="20" t="s">
        <v>7358</v>
      </c>
      <c r="F83" s="20" t="s">
        <v>4862</v>
      </c>
      <c r="G83" s="20" t="s">
        <v>6041</v>
      </c>
      <c r="H83" s="20" t="s">
        <v>920</v>
      </c>
      <c r="I83" s="20" t="s">
        <v>924</v>
      </c>
      <c r="J83" s="20" t="s">
        <v>932</v>
      </c>
    </row>
    <row r="84" spans="1:12" s="10" customFormat="1" x14ac:dyDescent="0.3">
      <c r="A84" s="20" t="s">
        <v>5313</v>
      </c>
      <c r="B84" s="23" t="s">
        <v>2876</v>
      </c>
      <c r="C84" s="23" t="s">
        <v>2851</v>
      </c>
      <c r="D84" s="20" t="s">
        <v>2094</v>
      </c>
      <c r="E84" s="20" t="s">
        <v>2089</v>
      </c>
      <c r="F84" s="35" t="s">
        <v>4226</v>
      </c>
      <c r="G84" s="20" t="s">
        <v>3463</v>
      </c>
      <c r="H84" s="20"/>
      <c r="I84" s="20"/>
      <c r="J84" s="20"/>
      <c r="K84" s="20"/>
      <c r="L84" s="20"/>
    </row>
    <row r="85" spans="1:12" s="10" customFormat="1" x14ac:dyDescent="0.3">
      <c r="A85" s="20" t="s">
        <v>3524</v>
      </c>
      <c r="B85" s="23" t="s">
        <v>5684</v>
      </c>
      <c r="C85" s="23"/>
      <c r="D85" s="20"/>
      <c r="E85" s="20"/>
      <c r="F85" s="20"/>
      <c r="G85" s="20"/>
      <c r="H85" s="20"/>
      <c r="I85" s="20"/>
      <c r="J85" s="20"/>
      <c r="K85" s="20"/>
      <c r="L85" s="20"/>
    </row>
    <row r="86" spans="1:12" s="10" customFormat="1" x14ac:dyDescent="0.3">
      <c r="A86" s="20" t="s">
        <v>5321</v>
      </c>
      <c r="B86" s="20" t="s">
        <v>7591</v>
      </c>
      <c r="C86" s="20" t="s">
        <v>5070</v>
      </c>
      <c r="D86" s="20" t="s">
        <v>4985</v>
      </c>
      <c r="E86" s="20" t="s">
        <v>6608</v>
      </c>
      <c r="F86" s="20" t="s">
        <v>6737</v>
      </c>
      <c r="G86" s="20" t="s">
        <v>5732</v>
      </c>
      <c r="H86" s="20"/>
      <c r="I86" s="20"/>
      <c r="J86" s="20"/>
      <c r="K86" s="20"/>
      <c r="L86" s="20"/>
    </row>
    <row r="87" spans="1:12" s="10" customFormat="1" x14ac:dyDescent="0.3">
      <c r="A87" s="10" t="s">
        <v>2889</v>
      </c>
      <c r="B87" s="10" t="s">
        <v>1499</v>
      </c>
      <c r="C87" s="10" t="s">
        <v>7439</v>
      </c>
      <c r="D87" s="10" t="s">
        <v>5166</v>
      </c>
      <c r="E87" s="35" t="s">
        <v>6737</v>
      </c>
      <c r="F87" s="10" t="s">
        <v>3463</v>
      </c>
      <c r="K87" s="20"/>
      <c r="L87" s="20"/>
    </row>
    <row r="88" spans="1:12" s="10" customFormat="1" x14ac:dyDescent="0.3">
      <c r="A88" s="20" t="s">
        <v>5343</v>
      </c>
      <c r="B88" s="23" t="s">
        <v>6787</v>
      </c>
      <c r="C88" s="20" t="s">
        <v>4770</v>
      </c>
      <c r="D88" s="20" t="s">
        <v>3818</v>
      </c>
      <c r="E88" s="20" t="s">
        <v>7000</v>
      </c>
      <c r="F88" s="20" t="s">
        <v>458</v>
      </c>
      <c r="G88" s="20" t="s">
        <v>1029</v>
      </c>
      <c r="H88" s="20" t="s">
        <v>3121</v>
      </c>
      <c r="I88" s="20"/>
      <c r="J88" s="20"/>
      <c r="K88" s="20"/>
      <c r="L88" s="20"/>
    </row>
    <row r="89" spans="1:12" s="10" customFormat="1" x14ac:dyDescent="0.3">
      <c r="A89" s="20" t="s">
        <v>5349</v>
      </c>
      <c r="B89" s="20" t="s">
        <v>5166</v>
      </c>
      <c r="C89" s="23" t="s">
        <v>7624</v>
      </c>
      <c r="D89" s="23" t="s">
        <v>6578</v>
      </c>
      <c r="E89" s="20" t="s">
        <v>6737</v>
      </c>
      <c r="F89" s="20" t="s">
        <v>2889</v>
      </c>
      <c r="G89" s="20" t="s">
        <v>1499</v>
      </c>
      <c r="H89" s="20" t="s">
        <v>6608</v>
      </c>
      <c r="I89" s="20"/>
      <c r="J89" s="20"/>
      <c r="K89" s="20"/>
      <c r="L89" s="20"/>
    </row>
    <row r="90" spans="1:12" s="10" customFormat="1" x14ac:dyDescent="0.3">
      <c r="A90" s="20" t="s">
        <v>4087</v>
      </c>
      <c r="B90" s="20" t="s">
        <v>4362</v>
      </c>
      <c r="C90" s="20" t="s">
        <v>5648</v>
      </c>
      <c r="D90" s="20" t="s">
        <v>3987</v>
      </c>
      <c r="E90" s="20" t="s">
        <v>3758</v>
      </c>
      <c r="F90" s="20" t="s">
        <v>4134</v>
      </c>
      <c r="G90" s="20" t="s">
        <v>2173</v>
      </c>
      <c r="H90" s="20" t="s">
        <v>6374</v>
      </c>
      <c r="I90" s="20" t="s">
        <v>9473</v>
      </c>
      <c r="J90" s="20"/>
    </row>
    <row r="91" spans="1:12" s="10" customFormat="1" x14ac:dyDescent="0.35">
      <c r="A91" s="20" t="s">
        <v>607</v>
      </c>
      <c r="B91" s="20" t="s">
        <v>638</v>
      </c>
      <c r="C91" s="20" t="s">
        <v>1977</v>
      </c>
      <c r="D91" s="20" t="s">
        <v>4070</v>
      </c>
      <c r="E91" s="20" t="s">
        <v>6295</v>
      </c>
      <c r="F91" s="20" t="s">
        <v>3902</v>
      </c>
      <c r="G91" s="20" t="s">
        <v>695</v>
      </c>
      <c r="H91" s="25" t="s">
        <v>839</v>
      </c>
      <c r="J91" s="20"/>
      <c r="K91" s="20"/>
      <c r="L91" s="20"/>
    </row>
    <row r="92" spans="1:12" s="10" customFormat="1" x14ac:dyDescent="0.3">
      <c r="A92" s="10" t="s">
        <v>2788</v>
      </c>
      <c r="B92" s="10" t="s">
        <v>2767</v>
      </c>
      <c r="C92" s="36" t="s">
        <v>1678</v>
      </c>
      <c r="D92" s="36" t="s">
        <v>5353</v>
      </c>
      <c r="E92" s="10" t="s">
        <v>5331</v>
      </c>
      <c r="F92" s="10" t="s">
        <v>5076</v>
      </c>
      <c r="G92" s="10" t="s">
        <v>9665</v>
      </c>
      <c r="H92" s="10" t="s">
        <v>2773</v>
      </c>
      <c r="I92" s="36" t="s">
        <v>7650</v>
      </c>
      <c r="K92" s="20"/>
      <c r="L92" s="20"/>
    </row>
    <row r="93" spans="1:12" s="10" customFormat="1" x14ac:dyDescent="0.3">
      <c r="A93" s="20" t="s">
        <v>5353</v>
      </c>
      <c r="B93" s="20" t="s">
        <v>2767</v>
      </c>
      <c r="C93" s="20" t="s">
        <v>2788</v>
      </c>
      <c r="D93" s="20" t="s">
        <v>1678</v>
      </c>
      <c r="E93" s="20" t="s">
        <v>7650</v>
      </c>
      <c r="F93" s="20" t="s">
        <v>5331</v>
      </c>
      <c r="G93" s="20" t="s">
        <v>5076</v>
      </c>
      <c r="H93" s="20"/>
      <c r="I93" s="20"/>
      <c r="J93" s="20"/>
    </row>
    <row r="94" spans="1:12" s="10" customFormat="1" x14ac:dyDescent="0.3">
      <c r="A94" s="20" t="s">
        <v>5361</v>
      </c>
      <c r="B94" s="20" t="s">
        <v>34</v>
      </c>
      <c r="C94" s="23" t="s">
        <v>6964</v>
      </c>
      <c r="D94" s="20" t="s">
        <v>6379</v>
      </c>
      <c r="E94" s="20" t="s">
        <v>4631</v>
      </c>
      <c r="F94" s="20" t="s">
        <v>7508</v>
      </c>
      <c r="G94" s="21" t="s">
        <v>3168</v>
      </c>
      <c r="H94" s="20"/>
      <c r="I94" s="20"/>
      <c r="J94" s="20"/>
      <c r="K94" s="20"/>
      <c r="L94" s="20"/>
    </row>
    <row r="95" spans="1:12" s="10" customFormat="1" x14ac:dyDescent="0.3">
      <c r="A95" s="20" t="s">
        <v>4095</v>
      </c>
      <c r="B95" s="20"/>
      <c r="C95" s="20"/>
      <c r="D95" s="20"/>
      <c r="E95" s="20"/>
      <c r="F95" s="20"/>
      <c r="G95" s="20"/>
      <c r="H95" s="20"/>
      <c r="I95" s="20"/>
      <c r="J95" s="20"/>
      <c r="K95" s="20"/>
      <c r="L95" s="20"/>
    </row>
    <row r="96" spans="1:12" s="10" customFormat="1" x14ac:dyDescent="0.3">
      <c r="A96" s="20" t="s">
        <v>5369</v>
      </c>
      <c r="B96" s="20" t="s">
        <v>34</v>
      </c>
      <c r="C96" s="20" t="s">
        <v>3354</v>
      </c>
      <c r="D96" s="35" t="s">
        <v>3386</v>
      </c>
      <c r="E96" s="20" t="s">
        <v>5264</v>
      </c>
      <c r="F96" s="20" t="s">
        <v>1669</v>
      </c>
      <c r="G96" s="20" t="s">
        <v>1661</v>
      </c>
      <c r="H96" s="20" t="s">
        <v>6283</v>
      </c>
      <c r="I96" s="20"/>
      <c r="J96" s="20"/>
    </row>
    <row r="97" spans="1:12" s="10" customFormat="1" x14ac:dyDescent="0.3">
      <c r="A97" s="20" t="s">
        <v>4103</v>
      </c>
      <c r="B97" s="23" t="s">
        <v>4158</v>
      </c>
      <c r="C97" s="23" t="s">
        <v>4070</v>
      </c>
      <c r="D97" s="20" t="s">
        <v>6395</v>
      </c>
      <c r="E97" s="20" t="s">
        <v>2123</v>
      </c>
      <c r="F97" s="20" t="s">
        <v>2143</v>
      </c>
      <c r="G97" s="20"/>
      <c r="H97" s="20"/>
      <c r="I97" s="20"/>
      <c r="J97" s="20"/>
      <c r="K97" s="20"/>
      <c r="L97" s="20"/>
    </row>
    <row r="98" spans="1:12" s="10" customFormat="1" x14ac:dyDescent="0.3">
      <c r="A98" s="20" t="s">
        <v>5377</v>
      </c>
      <c r="B98" s="23" t="s">
        <v>2640</v>
      </c>
      <c r="C98" s="23" t="s">
        <v>4070</v>
      </c>
      <c r="D98" s="20" t="s">
        <v>6395</v>
      </c>
      <c r="E98" s="23" t="s">
        <v>2143</v>
      </c>
      <c r="F98" s="20" t="s">
        <v>5509</v>
      </c>
      <c r="G98" s="20" t="s">
        <v>6404</v>
      </c>
      <c r="H98" s="20" t="s">
        <v>6438</v>
      </c>
      <c r="I98" s="20"/>
      <c r="J98" s="20"/>
      <c r="K98" s="20"/>
      <c r="L98" s="20"/>
    </row>
    <row r="99" spans="1:12" s="10" customFormat="1" x14ac:dyDescent="0.3">
      <c r="A99" s="10" t="s">
        <v>1884</v>
      </c>
      <c r="B99" s="10" t="s">
        <v>1846</v>
      </c>
      <c r="C99" s="10" t="s">
        <v>2317</v>
      </c>
      <c r="D99" s="10" t="s">
        <v>6920</v>
      </c>
    </row>
    <row r="100" spans="1:12" s="10" customFormat="1" x14ac:dyDescent="0.3">
      <c r="A100" s="20" t="s">
        <v>5385</v>
      </c>
      <c r="B100" s="20" t="s">
        <v>4111</v>
      </c>
      <c r="C100" s="20" t="s">
        <v>6481</v>
      </c>
      <c r="D100" s="20" t="s">
        <v>4134</v>
      </c>
      <c r="E100" s="20" t="s">
        <v>2296</v>
      </c>
      <c r="F100" s="20" t="s">
        <v>6374</v>
      </c>
      <c r="G100" s="20"/>
      <c r="H100" s="20"/>
      <c r="I100" s="20"/>
      <c r="J100" s="20"/>
      <c r="K100" s="20"/>
      <c r="L100" s="20"/>
    </row>
    <row r="101" spans="1:12" s="10" customFormat="1" x14ac:dyDescent="0.3">
      <c r="A101" s="20" t="s">
        <v>4111</v>
      </c>
      <c r="B101" s="20" t="s">
        <v>5385</v>
      </c>
      <c r="C101" s="20" t="s">
        <v>6481</v>
      </c>
      <c r="D101" s="20" t="s">
        <v>4134</v>
      </c>
      <c r="E101" s="20" t="s">
        <v>6374</v>
      </c>
      <c r="F101" s="20"/>
      <c r="G101" s="20"/>
      <c r="H101" s="20"/>
      <c r="I101" s="20"/>
      <c r="J101" s="20"/>
    </row>
    <row r="102" spans="1:12" s="10" customFormat="1" x14ac:dyDescent="0.3">
      <c r="A102" s="10" t="s">
        <v>2730</v>
      </c>
      <c r="B102" s="10" t="s">
        <v>9459</v>
      </c>
      <c r="C102" s="10" t="s">
        <v>1406</v>
      </c>
      <c r="D102" s="35" t="s">
        <v>1372</v>
      </c>
      <c r="E102" s="21" t="s">
        <v>1376</v>
      </c>
      <c r="F102" s="10" t="s">
        <v>7020</v>
      </c>
    </row>
    <row r="103" spans="1:12" s="10" customFormat="1" x14ac:dyDescent="0.3">
      <c r="A103" s="20" t="s">
        <v>2245</v>
      </c>
      <c r="B103" s="23" t="s">
        <v>458</v>
      </c>
      <c r="C103" s="23" t="s">
        <v>2730</v>
      </c>
      <c r="D103" s="23" t="s">
        <v>9459</v>
      </c>
      <c r="E103" s="23" t="s">
        <v>1406</v>
      </c>
      <c r="F103" s="20" t="s">
        <v>6357</v>
      </c>
      <c r="G103" s="35" t="s">
        <v>1372</v>
      </c>
      <c r="H103" s="35" t="s">
        <v>1376</v>
      </c>
      <c r="I103" s="20"/>
      <c r="J103" s="20"/>
      <c r="K103" s="20"/>
      <c r="L103" s="20"/>
    </row>
    <row r="104" spans="1:12" s="10" customFormat="1" x14ac:dyDescent="0.3">
      <c r="A104" s="26" t="s">
        <v>9586</v>
      </c>
      <c r="B104" s="27" t="s">
        <v>6181</v>
      </c>
      <c r="C104" s="27" t="s">
        <v>324</v>
      </c>
      <c r="D104" s="27" t="s">
        <v>535</v>
      </c>
      <c r="E104" s="27" t="s">
        <v>1042</v>
      </c>
      <c r="F104" s="27" t="s">
        <v>6718</v>
      </c>
      <c r="G104" s="27"/>
      <c r="H104" s="27"/>
      <c r="I104" s="27"/>
      <c r="J104" s="27"/>
      <c r="K104" s="20"/>
      <c r="L104" s="20"/>
    </row>
    <row r="105" spans="1:12" s="10" customFormat="1" x14ac:dyDescent="0.3">
      <c r="A105" s="20" t="s">
        <v>3386</v>
      </c>
      <c r="B105" s="23" t="s">
        <v>34</v>
      </c>
      <c r="C105" s="20" t="s">
        <v>5369</v>
      </c>
      <c r="D105" s="20" t="s">
        <v>278</v>
      </c>
      <c r="E105" s="20" t="s">
        <v>4250</v>
      </c>
      <c r="F105" s="20" t="s">
        <v>1175</v>
      </c>
      <c r="G105" s="20" t="s">
        <v>1180</v>
      </c>
      <c r="H105" s="20" t="s">
        <v>3971</v>
      </c>
      <c r="I105" s="20" t="s">
        <v>6991</v>
      </c>
      <c r="J105" s="20"/>
    </row>
    <row r="106" spans="1:12" s="10" customFormat="1" x14ac:dyDescent="0.3">
      <c r="A106" s="10" t="s">
        <v>3262</v>
      </c>
      <c r="B106" s="35" t="s">
        <v>2143</v>
      </c>
      <c r="C106" s="35" t="s">
        <v>1568</v>
      </c>
      <c r="D106" s="10" t="s">
        <v>2133</v>
      </c>
      <c r="E106" s="10" t="s">
        <v>6928</v>
      </c>
      <c r="F106" s="10" t="s">
        <v>3710</v>
      </c>
      <c r="G106" s="10" t="s">
        <v>9729</v>
      </c>
    </row>
    <row r="107" spans="1:12" s="10" customFormat="1" x14ac:dyDescent="0.3">
      <c r="A107" s="20" t="s">
        <v>1209</v>
      </c>
      <c r="B107" s="20" t="s">
        <v>6222</v>
      </c>
      <c r="C107" s="20" t="s">
        <v>1678</v>
      </c>
      <c r="D107" s="20" t="s">
        <v>1175</v>
      </c>
      <c r="E107" s="20" t="s">
        <v>3553</v>
      </c>
      <c r="F107" s="20"/>
      <c r="G107" s="20"/>
      <c r="H107" s="20"/>
      <c r="I107" s="20"/>
      <c r="J107" s="20"/>
    </row>
    <row r="108" spans="1:12" s="10" customFormat="1" x14ac:dyDescent="0.3">
      <c r="A108" s="20" t="s">
        <v>4119</v>
      </c>
      <c r="B108" s="20" t="s">
        <v>5648</v>
      </c>
      <c r="C108" s="23" t="s">
        <v>5861</v>
      </c>
      <c r="D108" s="20" t="s">
        <v>3987</v>
      </c>
      <c r="E108" s="20" t="s">
        <v>3758</v>
      </c>
      <c r="F108" s="20" t="s">
        <v>4134</v>
      </c>
      <c r="G108" s="20" t="s">
        <v>6374</v>
      </c>
      <c r="H108" s="20" t="s">
        <v>9473</v>
      </c>
      <c r="I108" s="20"/>
      <c r="J108" s="20"/>
      <c r="K108" s="20"/>
      <c r="L108" s="20"/>
    </row>
    <row r="109" spans="1:12" s="10" customFormat="1" x14ac:dyDescent="0.3">
      <c r="A109" s="10" t="s">
        <v>2898</v>
      </c>
      <c r="B109" s="10" t="s">
        <v>1617</v>
      </c>
      <c r="C109" s="10" t="s">
        <v>1678</v>
      </c>
      <c r="D109" s="10" t="s">
        <v>6737</v>
      </c>
      <c r="E109" s="10" t="s">
        <v>5412</v>
      </c>
      <c r="F109" s="10" t="s">
        <v>3463</v>
      </c>
      <c r="K109" s="20"/>
      <c r="L109" s="20"/>
    </row>
    <row r="110" spans="1:12" s="10" customFormat="1" x14ac:dyDescent="0.3">
      <c r="A110" s="20" t="s">
        <v>5393</v>
      </c>
      <c r="B110" s="23" t="s">
        <v>4295</v>
      </c>
      <c r="C110" s="23" t="s">
        <v>6798</v>
      </c>
      <c r="D110" s="23" t="s">
        <v>34</v>
      </c>
      <c r="E110" s="23" t="s">
        <v>3344</v>
      </c>
      <c r="F110" s="20" t="s">
        <v>6904</v>
      </c>
      <c r="G110" s="20" t="s">
        <v>3374</v>
      </c>
      <c r="H110" s="20" t="s">
        <v>2182</v>
      </c>
      <c r="I110" s="20" t="s">
        <v>3378</v>
      </c>
      <c r="J110" s="20" t="s">
        <v>3354</v>
      </c>
      <c r="K110" s="20"/>
      <c r="L110" s="20"/>
    </row>
    <row r="111" spans="1:12" s="10" customFormat="1" x14ac:dyDescent="0.3">
      <c r="A111" s="20" t="s">
        <v>3537</v>
      </c>
      <c r="B111" s="10" t="s">
        <v>4961</v>
      </c>
      <c r="C111" s="10" t="s">
        <v>7039</v>
      </c>
      <c r="D111" s="10" t="s">
        <v>6721</v>
      </c>
      <c r="E111" s="10" t="s">
        <v>6972</v>
      </c>
      <c r="F111" s="10" t="s">
        <v>4455</v>
      </c>
      <c r="G111" s="10" t="s">
        <v>7388</v>
      </c>
      <c r="H111" s="10" t="s">
        <v>3505</v>
      </c>
      <c r="K111" s="20"/>
      <c r="L111" s="20"/>
    </row>
    <row r="112" spans="1:12" s="10" customFormat="1" x14ac:dyDescent="0.3">
      <c r="A112" s="10" t="s">
        <v>481</v>
      </c>
      <c r="B112" s="10" t="s">
        <v>29</v>
      </c>
      <c r="C112" s="10" t="s">
        <v>473</v>
      </c>
      <c r="D112" s="10" t="s">
        <v>470</v>
      </c>
      <c r="E112" s="35" t="s">
        <v>467</v>
      </c>
      <c r="K112" s="20"/>
      <c r="L112" s="20"/>
    </row>
    <row r="113" spans="1:12" s="10" customFormat="1" x14ac:dyDescent="0.3">
      <c r="A113" s="20" t="s">
        <v>5401</v>
      </c>
      <c r="B113" s="20" t="s">
        <v>458</v>
      </c>
      <c r="C113" s="20" t="s">
        <v>6698</v>
      </c>
      <c r="D113" s="20"/>
      <c r="E113" s="20"/>
      <c r="F113" s="20"/>
      <c r="G113" s="20"/>
      <c r="H113" s="20"/>
      <c r="I113" s="20"/>
      <c r="J113" s="20"/>
    </row>
    <row r="114" spans="1:12" s="10" customFormat="1" x14ac:dyDescent="0.3">
      <c r="A114" s="20" t="s">
        <v>5406</v>
      </c>
      <c r="B114" s="20" t="s">
        <v>1175</v>
      </c>
      <c r="C114" s="20" t="s">
        <v>1585</v>
      </c>
      <c r="D114" s="20" t="s">
        <v>4331</v>
      </c>
      <c r="E114" s="20" t="s">
        <v>3313</v>
      </c>
      <c r="F114" s="20" t="s">
        <v>4283</v>
      </c>
      <c r="G114" s="20" t="s">
        <v>278</v>
      </c>
      <c r="H114" s="20" t="s">
        <v>2237</v>
      </c>
      <c r="I114" s="20" t="s">
        <v>6328</v>
      </c>
      <c r="J114" s="20"/>
      <c r="K114" s="20"/>
      <c r="L114" s="20"/>
    </row>
    <row r="115" spans="1:12" s="10" customFormat="1" x14ac:dyDescent="0.3">
      <c r="A115" s="10" t="s">
        <v>4126</v>
      </c>
      <c r="B115" s="10" t="s">
        <v>5918</v>
      </c>
      <c r="C115" s="10" t="s">
        <v>6830</v>
      </c>
      <c r="D115" s="35" t="s">
        <v>6370</v>
      </c>
    </row>
    <row r="116" spans="1:12" s="10" customFormat="1" x14ac:dyDescent="0.3">
      <c r="A116" s="20" t="s">
        <v>3541</v>
      </c>
      <c r="B116" s="10" t="s">
        <v>9599</v>
      </c>
      <c r="C116" s="10" t="s">
        <v>9625</v>
      </c>
      <c r="D116" s="35" t="s">
        <v>2411</v>
      </c>
      <c r="K116" s="20"/>
      <c r="L116" s="20"/>
    </row>
    <row r="117" spans="1:12" s="10" customFormat="1" x14ac:dyDescent="0.3">
      <c r="A117" s="20" t="s">
        <v>3548</v>
      </c>
      <c r="B117" s="10" t="s">
        <v>3789</v>
      </c>
      <c r="C117" s="10" t="s">
        <v>3891</v>
      </c>
      <c r="D117" s="10" t="s">
        <v>7009</v>
      </c>
      <c r="E117" s="10" t="s">
        <v>3463</v>
      </c>
      <c r="F117" s="10" t="s">
        <v>6920</v>
      </c>
      <c r="G117" s="10" t="s">
        <v>3553</v>
      </c>
      <c r="H117" s="10" t="s">
        <v>3978</v>
      </c>
      <c r="I117" s="10" t="s">
        <v>880</v>
      </c>
      <c r="K117" s="20"/>
      <c r="L117" s="20"/>
    </row>
    <row r="118" spans="1:12" s="10" customFormat="1" x14ac:dyDescent="0.3">
      <c r="A118" s="20" t="s">
        <v>5412</v>
      </c>
      <c r="B118" s="20" t="s">
        <v>6073</v>
      </c>
      <c r="C118" s="20" t="s">
        <v>2867</v>
      </c>
      <c r="D118" s="20" t="s">
        <v>2857</v>
      </c>
      <c r="E118" s="20" t="s">
        <v>6608</v>
      </c>
      <c r="F118" s="20"/>
      <c r="G118" s="20"/>
      <c r="H118" s="20"/>
      <c r="I118" s="20"/>
      <c r="J118" s="20"/>
    </row>
    <row r="119" spans="1:12" s="10" customFormat="1" x14ac:dyDescent="0.3">
      <c r="A119" s="20" t="s">
        <v>5418</v>
      </c>
      <c r="B119" s="20" t="s">
        <v>2816</v>
      </c>
      <c r="C119" s="23" t="s">
        <v>5580</v>
      </c>
      <c r="D119" s="23" t="s">
        <v>4392</v>
      </c>
      <c r="E119" s="23" t="s">
        <v>3313</v>
      </c>
      <c r="F119" s="20" t="s">
        <v>5853</v>
      </c>
      <c r="G119" s="20"/>
      <c r="H119" s="20"/>
      <c r="I119" s="20"/>
      <c r="J119" s="20"/>
      <c r="K119" s="20"/>
      <c r="L119" s="20"/>
    </row>
    <row r="120" spans="1:12" s="10" customFormat="1" x14ac:dyDescent="0.3">
      <c r="A120" s="20" t="s">
        <v>4134</v>
      </c>
      <c r="B120" s="20" t="s">
        <v>4374</v>
      </c>
      <c r="C120" s="20" t="s">
        <v>6374</v>
      </c>
      <c r="D120" s="20" t="s">
        <v>2296</v>
      </c>
      <c r="E120" s="20" t="s">
        <v>2160</v>
      </c>
      <c r="F120" s="35" t="s">
        <v>7601</v>
      </c>
      <c r="G120" s="20" t="s">
        <v>5385</v>
      </c>
      <c r="H120" s="20" t="s">
        <v>4111</v>
      </c>
      <c r="I120" s="20"/>
      <c r="J120" s="20"/>
    </row>
    <row r="121" spans="1:12" s="10" customFormat="1" x14ac:dyDescent="0.3">
      <c r="A121" s="20" t="s">
        <v>5426</v>
      </c>
      <c r="B121" s="20" t="s">
        <v>6222</v>
      </c>
      <c r="C121" s="20" t="s">
        <v>733</v>
      </c>
      <c r="D121" s="20" t="s">
        <v>5711</v>
      </c>
      <c r="E121" s="20" t="s">
        <v>4283</v>
      </c>
      <c r="F121" s="20" t="s">
        <v>9491</v>
      </c>
      <c r="G121" s="20"/>
      <c r="H121" s="20"/>
      <c r="I121" s="20"/>
      <c r="J121" s="20"/>
      <c r="K121" s="20"/>
      <c r="L121" s="20"/>
    </row>
    <row r="122" spans="1:12" s="10" customFormat="1" x14ac:dyDescent="0.3">
      <c r="A122" s="20" t="s">
        <v>5434</v>
      </c>
      <c r="B122" s="23" t="s">
        <v>4650</v>
      </c>
      <c r="C122" s="20" t="s">
        <v>2825</v>
      </c>
      <c r="D122" s="20" t="s">
        <v>9518</v>
      </c>
      <c r="E122" s="20" t="s">
        <v>2805</v>
      </c>
      <c r="F122" s="20" t="s">
        <v>1665</v>
      </c>
      <c r="G122" s="20" t="s">
        <v>9494</v>
      </c>
      <c r="H122" s="20"/>
      <c r="I122" s="20"/>
      <c r="J122" s="20"/>
      <c r="K122" s="20"/>
      <c r="L122" s="20"/>
    </row>
    <row r="123" spans="1:12" s="10" customFormat="1" x14ac:dyDescent="0.3">
      <c r="A123" s="10" t="s">
        <v>4142</v>
      </c>
      <c r="B123" s="35" t="s">
        <v>415</v>
      </c>
      <c r="C123" s="35" t="s">
        <v>6222</v>
      </c>
      <c r="D123" s="35" t="s">
        <v>5711</v>
      </c>
      <c r="K123" s="20"/>
      <c r="L123" s="20"/>
    </row>
    <row r="124" spans="1:12" s="10" customFormat="1" x14ac:dyDescent="0.3">
      <c r="A124" s="20" t="s">
        <v>5442</v>
      </c>
      <c r="B124" s="20" t="s">
        <v>5110</v>
      </c>
      <c r="C124" s="20" t="s">
        <v>473</v>
      </c>
      <c r="D124" s="20" t="s">
        <v>702</v>
      </c>
      <c r="E124" s="20" t="s">
        <v>6920</v>
      </c>
      <c r="F124" s="20" t="s">
        <v>1055</v>
      </c>
      <c r="G124" s="20" t="s">
        <v>7630</v>
      </c>
      <c r="H124" s="20"/>
      <c r="I124" s="20"/>
      <c r="J124" s="20"/>
      <c r="K124" s="20"/>
      <c r="L124" s="20"/>
    </row>
    <row r="125" spans="1:12" s="10" customFormat="1" x14ac:dyDescent="0.3">
      <c r="A125" s="10" t="s">
        <v>1758</v>
      </c>
      <c r="B125" s="10" t="s">
        <v>1736</v>
      </c>
      <c r="C125" s="10" t="s">
        <v>324</v>
      </c>
      <c r="D125" s="10" t="s">
        <v>1051</v>
      </c>
      <c r="E125" s="10" t="s">
        <v>1073</v>
      </c>
      <c r="F125" s="10" t="s">
        <v>9625</v>
      </c>
      <c r="K125" s="20"/>
      <c r="L125" s="20"/>
    </row>
    <row r="126" spans="1:12" s="10" customFormat="1" x14ac:dyDescent="0.3">
      <c r="A126" s="20" t="s">
        <v>1094</v>
      </c>
      <c r="B126" s="20" t="s">
        <v>7624</v>
      </c>
      <c r="C126" s="20" t="s">
        <v>1029</v>
      </c>
      <c r="D126" s="20" t="s">
        <v>932</v>
      </c>
      <c r="E126" s="23" t="s">
        <v>2394</v>
      </c>
      <c r="F126" s="20" t="s">
        <v>5604</v>
      </c>
      <c r="G126" s="20"/>
      <c r="H126" s="20"/>
      <c r="I126" s="20"/>
      <c r="J126" s="20"/>
    </row>
    <row r="127" spans="1:12" s="10" customFormat="1" x14ac:dyDescent="0.3">
      <c r="A127" s="20" t="s">
        <v>5450</v>
      </c>
      <c r="B127" s="20" t="s">
        <v>4743</v>
      </c>
      <c r="C127" s="20" t="s">
        <v>4588</v>
      </c>
      <c r="D127" s="20" t="s">
        <v>4829</v>
      </c>
      <c r="E127" s="20" t="s">
        <v>3374</v>
      </c>
      <c r="F127" s="20"/>
      <c r="G127" s="20"/>
      <c r="H127" s="20"/>
      <c r="I127" s="20"/>
      <c r="J127" s="20"/>
    </row>
    <row r="128" spans="1:12" s="10" customFormat="1" x14ac:dyDescent="0.3">
      <c r="A128" s="10" t="s">
        <v>1051</v>
      </c>
      <c r="B128" s="21" t="s">
        <v>7601</v>
      </c>
      <c r="C128" s="10" t="s">
        <v>1029</v>
      </c>
      <c r="D128" s="10" t="s">
        <v>324</v>
      </c>
      <c r="E128" s="10" t="s">
        <v>6920</v>
      </c>
      <c r="F128" s="10" t="s">
        <v>1055</v>
      </c>
      <c r="G128" s="10" t="s">
        <v>23</v>
      </c>
    </row>
    <row r="129" spans="1:12" s="10" customFormat="1" x14ac:dyDescent="0.3">
      <c r="A129" s="20" t="s">
        <v>4150</v>
      </c>
      <c r="B129" s="20" t="s">
        <v>4605</v>
      </c>
      <c r="C129" s="20" t="s">
        <v>1665</v>
      </c>
      <c r="D129" s="20" t="s">
        <v>5272</v>
      </c>
      <c r="E129" s="20" t="s">
        <v>944</v>
      </c>
      <c r="F129" s="20" t="s">
        <v>1603</v>
      </c>
      <c r="G129" s="20" t="s">
        <v>1439</v>
      </c>
      <c r="H129" s="20"/>
      <c r="I129" s="20"/>
      <c r="J129" s="20"/>
      <c r="K129" s="20"/>
      <c r="L129" s="20"/>
    </row>
    <row r="130" spans="1:12" s="10" customFormat="1" x14ac:dyDescent="0.3">
      <c r="A130" s="10" t="s">
        <v>2208</v>
      </c>
      <c r="B130" s="10" t="s">
        <v>458</v>
      </c>
      <c r="C130" s="10" t="s">
        <v>3313</v>
      </c>
      <c r="D130" s="10" t="s">
        <v>4392</v>
      </c>
      <c r="E130" s="10" t="s">
        <v>1340</v>
      </c>
      <c r="F130" s="10" t="s">
        <v>6920</v>
      </c>
      <c r="G130" s="10" t="s">
        <v>713</v>
      </c>
      <c r="K130" s="20"/>
      <c r="L130" s="20"/>
    </row>
    <row r="131" spans="1:12" s="10" customFormat="1" x14ac:dyDescent="0.3">
      <c r="A131" s="20" t="s">
        <v>4158</v>
      </c>
      <c r="B131" s="20" t="s">
        <v>4103</v>
      </c>
      <c r="C131" s="20" t="s">
        <v>2640</v>
      </c>
      <c r="D131" s="20" t="s">
        <v>5882</v>
      </c>
      <c r="E131" s="20" t="s">
        <v>473</v>
      </c>
      <c r="F131" s="20"/>
      <c r="G131" s="20"/>
      <c r="H131" s="20"/>
      <c r="I131" s="20"/>
      <c r="J131" s="20"/>
      <c r="K131" s="20"/>
      <c r="L131" s="20"/>
    </row>
    <row r="132" spans="1:12" s="10" customFormat="1" x14ac:dyDescent="0.3">
      <c r="A132" s="20" t="s">
        <v>5455</v>
      </c>
      <c r="B132" s="20" t="s">
        <v>2816</v>
      </c>
      <c r="C132" s="23" t="s">
        <v>2825</v>
      </c>
      <c r="D132" s="23" t="s">
        <v>2805</v>
      </c>
      <c r="E132" s="20" t="s">
        <v>2809</v>
      </c>
      <c r="F132" s="20" t="s">
        <v>1846</v>
      </c>
      <c r="G132" s="20"/>
      <c r="H132" s="20"/>
      <c r="I132" s="20"/>
      <c r="J132" s="20"/>
      <c r="K132" s="20"/>
      <c r="L132" s="20"/>
    </row>
    <row r="133" spans="1:12" s="10" customFormat="1" x14ac:dyDescent="0.3">
      <c r="A133" s="20" t="s">
        <v>5463</v>
      </c>
      <c r="B133" s="20" t="s">
        <v>4425</v>
      </c>
      <c r="C133" s="20" t="s">
        <v>2119</v>
      </c>
      <c r="D133" s="20" t="s">
        <v>9723</v>
      </c>
      <c r="E133" s="20"/>
      <c r="F133" s="20"/>
      <c r="G133" s="20"/>
      <c r="H133" s="20"/>
      <c r="I133" s="20"/>
      <c r="J133" s="20"/>
      <c r="K133" s="20"/>
      <c r="L133" s="20"/>
    </row>
    <row r="134" spans="1:12" s="10" customFormat="1" x14ac:dyDescent="0.3">
      <c r="A134" s="20" t="s">
        <v>9642</v>
      </c>
      <c r="B134" s="20" t="s">
        <v>6222</v>
      </c>
      <c r="C134" s="20" t="s">
        <v>5911</v>
      </c>
      <c r="D134" s="23" t="s">
        <v>1678</v>
      </c>
      <c r="E134" s="23" t="s">
        <v>1540</v>
      </c>
      <c r="F134" s="35" t="s">
        <v>1533</v>
      </c>
      <c r="G134" s="35" t="s">
        <v>1548</v>
      </c>
      <c r="H134" s="35" t="s">
        <v>1558</v>
      </c>
      <c r="I134" s="35" t="s">
        <v>1555</v>
      </c>
      <c r="J134" s="20" t="s">
        <v>3553</v>
      </c>
      <c r="K134" s="20"/>
      <c r="L134" s="20"/>
    </row>
    <row r="135" spans="1:12" s="10" customFormat="1" x14ac:dyDescent="0.3">
      <c r="A135" s="20" t="s">
        <v>4166</v>
      </c>
      <c r="B135" s="20" t="s">
        <v>7624</v>
      </c>
      <c r="C135" s="20" t="s">
        <v>1568</v>
      </c>
      <c r="D135" s="20" t="s">
        <v>3419</v>
      </c>
      <c r="E135" s="20" t="s">
        <v>5229</v>
      </c>
      <c r="F135" s="20" t="s">
        <v>9459</v>
      </c>
      <c r="G135" s="20" t="s">
        <v>2333</v>
      </c>
      <c r="H135" s="20" t="s">
        <v>3929</v>
      </c>
      <c r="I135" s="20" t="s">
        <v>2284</v>
      </c>
      <c r="J135" s="20" t="s">
        <v>2737</v>
      </c>
      <c r="K135" s="20"/>
      <c r="L135" s="20"/>
    </row>
    <row r="136" spans="1:12" s="10" customFormat="1" x14ac:dyDescent="0.3">
      <c r="A136" s="10" t="s">
        <v>5467</v>
      </c>
      <c r="B136" s="10" t="s">
        <v>6578</v>
      </c>
      <c r="C136" s="10" t="s">
        <v>3292</v>
      </c>
      <c r="D136" s="10" t="s">
        <v>4631</v>
      </c>
      <c r="K136" s="20"/>
      <c r="L136" s="20"/>
    </row>
    <row r="137" spans="1:12" s="10" customFormat="1" x14ac:dyDescent="0.3">
      <c r="A137" s="10" t="s">
        <v>2805</v>
      </c>
      <c r="B137" s="10" t="s">
        <v>2816</v>
      </c>
      <c r="C137" s="35" t="s">
        <v>2825</v>
      </c>
      <c r="D137" s="10" t="s">
        <v>9518</v>
      </c>
      <c r="E137" s="10" t="s">
        <v>9411</v>
      </c>
      <c r="F137" s="10" t="s">
        <v>5455</v>
      </c>
      <c r="G137" s="10" t="s">
        <v>1846</v>
      </c>
      <c r="K137" s="20"/>
      <c r="L137" s="20"/>
    </row>
    <row r="138" spans="1:12" s="10" customFormat="1" x14ac:dyDescent="0.3">
      <c r="A138" s="10" t="s">
        <v>2128</v>
      </c>
      <c r="B138" s="35" t="s">
        <v>7601</v>
      </c>
      <c r="C138" s="10" t="s">
        <v>1021</v>
      </c>
      <c r="D138" s="10" t="s">
        <v>1025</v>
      </c>
      <c r="E138" s="10" t="s">
        <v>2152</v>
      </c>
      <c r="F138" s="10" t="s">
        <v>2123</v>
      </c>
      <c r="G138" s="10" t="s">
        <v>2119</v>
      </c>
      <c r="K138" s="20"/>
      <c r="L138" s="20"/>
    </row>
    <row r="139" spans="1:12" s="10" customFormat="1" x14ac:dyDescent="0.3">
      <c r="A139" s="20" t="s">
        <v>5471</v>
      </c>
      <c r="B139" s="20" t="s">
        <v>7205</v>
      </c>
      <c r="C139" s="20" t="s">
        <v>6890</v>
      </c>
      <c r="D139" s="20" t="s">
        <v>34</v>
      </c>
      <c r="E139" s="20" t="s">
        <v>828</v>
      </c>
      <c r="F139" s="20"/>
      <c r="G139" s="20"/>
      <c r="H139" s="20"/>
      <c r="I139" s="20"/>
      <c r="J139" s="20"/>
      <c r="K139" s="20"/>
      <c r="L139" s="20"/>
    </row>
    <row r="140" spans="1:12" s="10" customFormat="1" x14ac:dyDescent="0.3">
      <c r="A140" s="20" t="s">
        <v>5479</v>
      </c>
      <c r="B140" s="20" t="s">
        <v>2830</v>
      </c>
      <c r="C140" s="20" t="s">
        <v>5580</v>
      </c>
      <c r="D140" s="23"/>
      <c r="E140" s="20"/>
      <c r="F140" s="20"/>
      <c r="G140" s="20"/>
      <c r="H140" s="20"/>
      <c r="I140" s="20"/>
      <c r="J140" s="20"/>
      <c r="K140" s="20"/>
      <c r="L140" s="20"/>
    </row>
    <row r="141" spans="1:12" s="10" customFormat="1" x14ac:dyDescent="0.3">
      <c r="A141" s="20" t="s">
        <v>4173</v>
      </c>
      <c r="B141" s="20" t="s">
        <v>6566</v>
      </c>
      <c r="C141" s="35" t="s">
        <v>3982</v>
      </c>
      <c r="D141" s="20" t="s">
        <v>5264</v>
      </c>
      <c r="E141" s="20"/>
      <c r="F141" s="20"/>
      <c r="G141" s="20"/>
      <c r="H141" s="20"/>
      <c r="I141" s="20"/>
      <c r="J141" s="20"/>
      <c r="K141" s="20"/>
      <c r="L141" s="20"/>
    </row>
    <row r="142" spans="1:12" s="10" customFormat="1" x14ac:dyDescent="0.3">
      <c r="A142" s="20" t="s">
        <v>5487</v>
      </c>
      <c r="B142" s="20" t="s">
        <v>6041</v>
      </c>
      <c r="C142" s="20" t="s">
        <v>4862</v>
      </c>
      <c r="D142" s="20" t="s">
        <v>6081</v>
      </c>
      <c r="E142" s="20" t="s">
        <v>6882</v>
      </c>
      <c r="F142" s="20" t="s">
        <v>6566</v>
      </c>
      <c r="G142" s="20" t="s">
        <v>6489</v>
      </c>
      <c r="H142" s="20" t="s">
        <v>6620</v>
      </c>
      <c r="I142" s="20"/>
      <c r="J142" s="20"/>
      <c r="K142" s="20"/>
      <c r="L142" s="20"/>
    </row>
    <row r="143" spans="1:12" s="10" customFormat="1" x14ac:dyDescent="0.3">
      <c r="A143" s="20" t="s">
        <v>5495</v>
      </c>
      <c r="B143" s="20" t="s">
        <v>670</v>
      </c>
      <c r="C143" s="20" t="s">
        <v>1060</v>
      </c>
      <c r="D143" s="20" t="s">
        <v>3908</v>
      </c>
      <c r="E143" s="20" t="s">
        <v>3862</v>
      </c>
      <c r="F143" s="20" t="s">
        <v>1697</v>
      </c>
      <c r="G143" s="20"/>
      <c r="H143" s="20"/>
      <c r="I143" s="20"/>
      <c r="J143" s="20"/>
      <c r="K143" s="20"/>
      <c r="L143" s="20"/>
    </row>
    <row r="144" spans="1:12" s="10" customFormat="1" x14ac:dyDescent="0.3">
      <c r="A144" s="20" t="s">
        <v>9516</v>
      </c>
      <c r="B144" s="20" t="s">
        <v>2325</v>
      </c>
      <c r="C144" s="20" t="s">
        <v>1331</v>
      </c>
      <c r="D144" s="20" t="s">
        <v>1037</v>
      </c>
      <c r="E144" s="20" t="s">
        <v>1032</v>
      </c>
      <c r="F144" s="20"/>
      <c r="G144" s="20"/>
      <c r="H144" s="20"/>
      <c r="I144" s="20"/>
      <c r="J144" s="20"/>
    </row>
    <row r="145" spans="1:12" s="10" customFormat="1" x14ac:dyDescent="0.3">
      <c r="A145" s="20" t="s">
        <v>3564</v>
      </c>
      <c r="B145" s="20" t="s">
        <v>6620</v>
      </c>
      <c r="C145" s="20" t="s">
        <v>6489</v>
      </c>
      <c r="D145" s="20"/>
      <c r="E145" s="20"/>
      <c r="F145" s="20"/>
      <c r="G145" s="20"/>
      <c r="H145" s="20"/>
      <c r="I145" s="20"/>
      <c r="J145" s="20"/>
      <c r="K145" s="20"/>
      <c r="L145" s="20"/>
    </row>
    <row r="146" spans="1:12" s="10" customFormat="1" x14ac:dyDescent="0.3">
      <c r="A146" s="20" t="s">
        <v>5501</v>
      </c>
      <c r="B146" s="23" t="s">
        <v>2816</v>
      </c>
      <c r="C146" s="20" t="s">
        <v>2805</v>
      </c>
      <c r="D146" s="23"/>
      <c r="E146" s="20"/>
      <c r="F146" s="20"/>
      <c r="G146" s="20"/>
      <c r="H146" s="20"/>
      <c r="I146" s="20"/>
      <c r="J146" s="20"/>
      <c r="K146" s="20"/>
      <c r="L146" s="20"/>
    </row>
    <row r="147" spans="1:12" s="10" customFormat="1" x14ac:dyDescent="0.3">
      <c r="A147" s="20" t="s">
        <v>5509</v>
      </c>
      <c r="B147" s="20" t="s">
        <v>6404</v>
      </c>
      <c r="C147" s="20" t="s">
        <v>6395</v>
      </c>
      <c r="D147" s="20" t="s">
        <v>5377</v>
      </c>
      <c r="E147" s="20" t="s">
        <v>6188</v>
      </c>
      <c r="F147" s="20" t="s">
        <v>6438</v>
      </c>
      <c r="G147" s="20"/>
      <c r="H147" s="20"/>
      <c r="I147" s="20"/>
      <c r="J147" s="20"/>
      <c r="K147" s="20"/>
      <c r="L147" s="20"/>
    </row>
    <row r="148" spans="1:12" s="10" customFormat="1" x14ac:dyDescent="0.3">
      <c r="A148" s="20" t="s">
        <v>2304</v>
      </c>
      <c r="B148" s="20" t="s">
        <v>2325</v>
      </c>
      <c r="C148" s="20" t="s">
        <v>4698</v>
      </c>
      <c r="D148" s="20" t="s">
        <v>1585</v>
      </c>
      <c r="E148" s="20" t="s">
        <v>6073</v>
      </c>
      <c r="F148" s="20"/>
      <c r="G148" s="20"/>
      <c r="H148" s="20"/>
      <c r="I148" s="20"/>
      <c r="J148" s="20"/>
      <c r="K148" s="20"/>
      <c r="L148" s="20"/>
    </row>
    <row r="149" spans="1:12" s="10" customFormat="1" x14ac:dyDescent="0.3">
      <c r="A149" s="20" t="s">
        <v>2309</v>
      </c>
      <c r="B149" s="23" t="s">
        <v>2325</v>
      </c>
      <c r="C149" s="23" t="s">
        <v>1661</v>
      </c>
      <c r="D149" s="23" t="s">
        <v>1617</v>
      </c>
      <c r="E149" s="20"/>
      <c r="F149" s="20"/>
      <c r="G149" s="20"/>
      <c r="H149" s="20"/>
      <c r="I149" s="20"/>
      <c r="J149" s="20"/>
      <c r="K149" s="20"/>
      <c r="L149" s="20"/>
    </row>
    <row r="150" spans="1:12" s="10" customFormat="1" x14ac:dyDescent="0.3">
      <c r="A150" s="20" t="s">
        <v>2313</v>
      </c>
      <c r="B150" s="20" t="s">
        <v>2325</v>
      </c>
      <c r="C150" s="20" t="s">
        <v>6041</v>
      </c>
      <c r="D150" s="20" t="s">
        <v>5487</v>
      </c>
      <c r="E150" s="20"/>
      <c r="F150" s="20"/>
      <c r="G150" s="20"/>
      <c r="H150" s="20"/>
      <c r="I150" s="20"/>
      <c r="J150" s="20"/>
    </row>
    <row r="151" spans="1:12" s="10" customFormat="1" x14ac:dyDescent="0.3">
      <c r="A151" s="20" t="s">
        <v>2317</v>
      </c>
      <c r="B151" s="20" t="s">
        <v>2325</v>
      </c>
      <c r="C151" s="20" t="s">
        <v>1669</v>
      </c>
      <c r="D151" s="20" t="s">
        <v>5636</v>
      </c>
      <c r="E151" s="20" t="s">
        <v>3368</v>
      </c>
      <c r="F151" s="20" t="s">
        <v>4605</v>
      </c>
      <c r="G151" s="20" t="s">
        <v>2990</v>
      </c>
      <c r="H151" s="20"/>
      <c r="I151" s="20"/>
      <c r="J151" s="20"/>
      <c r="K151" s="20"/>
      <c r="L151" s="20"/>
    </row>
    <row r="152" spans="1:12" s="10" customFormat="1" x14ac:dyDescent="0.3">
      <c r="A152" s="20" t="s">
        <v>2346</v>
      </c>
      <c r="B152" s="20" t="s">
        <v>2325</v>
      </c>
      <c r="C152" s="20" t="s">
        <v>1648</v>
      </c>
      <c r="D152" s="20" t="s">
        <v>5620</v>
      </c>
      <c r="E152" s="20" t="s">
        <v>1037</v>
      </c>
      <c r="F152" s="20"/>
      <c r="G152" s="20"/>
      <c r="H152" s="20"/>
      <c r="I152" s="20"/>
      <c r="J152" s="20"/>
      <c r="K152" s="20"/>
      <c r="L152" s="20"/>
    </row>
    <row r="153" spans="1:12" s="10" customFormat="1" x14ac:dyDescent="0.3">
      <c r="A153" s="20" t="s">
        <v>2350</v>
      </c>
      <c r="B153" s="20" t="s">
        <v>2325</v>
      </c>
      <c r="C153" s="23" t="s">
        <v>900</v>
      </c>
      <c r="D153" s="23" t="s">
        <v>1639</v>
      </c>
      <c r="E153" s="20" t="s">
        <v>1032</v>
      </c>
      <c r="F153" s="20"/>
      <c r="G153" s="20"/>
      <c r="H153" s="20"/>
      <c r="I153" s="20"/>
      <c r="J153" s="20"/>
      <c r="K153" s="20"/>
      <c r="L153" s="20"/>
    </row>
    <row r="154" spans="1:12" s="10" customFormat="1" x14ac:dyDescent="0.3">
      <c r="A154" s="10" t="s">
        <v>2354</v>
      </c>
      <c r="B154" s="10" t="s">
        <v>2325</v>
      </c>
      <c r="C154" s="35" t="s">
        <v>1889</v>
      </c>
      <c r="K154" s="20"/>
      <c r="L154" s="20"/>
    </row>
    <row r="155" spans="1:12" s="10" customFormat="1" x14ac:dyDescent="0.3">
      <c r="A155" s="20" t="s">
        <v>2357</v>
      </c>
      <c r="B155" s="20" t="s">
        <v>2325</v>
      </c>
      <c r="C155" s="20"/>
      <c r="D155" s="20"/>
      <c r="E155" s="23"/>
      <c r="F155" s="20"/>
      <c r="G155" s="20"/>
      <c r="H155" s="20"/>
      <c r="I155" s="20"/>
      <c r="J155" s="20"/>
      <c r="K155" s="20"/>
      <c r="L155" s="20"/>
    </row>
    <row r="156" spans="1:12" s="10" customFormat="1" x14ac:dyDescent="0.3">
      <c r="A156" s="20" t="s">
        <v>2361</v>
      </c>
      <c r="B156" s="20" t="s">
        <v>2325</v>
      </c>
      <c r="C156" s="23" t="s">
        <v>1876</v>
      </c>
      <c r="D156" s="20" t="s">
        <v>2024</v>
      </c>
      <c r="E156" s="20" t="s">
        <v>1880</v>
      </c>
      <c r="F156" s="20" t="s">
        <v>3129</v>
      </c>
      <c r="G156" s="20"/>
      <c r="H156" s="20"/>
      <c r="I156" s="20"/>
      <c r="J156" s="20"/>
    </row>
    <row r="157" spans="1:12" s="10" customFormat="1" x14ac:dyDescent="0.3">
      <c r="A157" s="20" t="s">
        <v>7246</v>
      </c>
      <c r="B157" s="23" t="s">
        <v>2325</v>
      </c>
      <c r="C157" s="20" t="s">
        <v>1032</v>
      </c>
      <c r="D157" s="20"/>
      <c r="E157" s="20"/>
      <c r="F157" s="20"/>
      <c r="G157" s="20"/>
      <c r="H157" s="20"/>
      <c r="I157" s="20"/>
      <c r="J157" s="20"/>
      <c r="K157" s="20"/>
      <c r="L157" s="20"/>
    </row>
    <row r="158" spans="1:12" s="10" customFormat="1" x14ac:dyDescent="0.3">
      <c r="A158" s="20" t="s">
        <v>2365</v>
      </c>
      <c r="B158" s="20" t="s">
        <v>2325</v>
      </c>
      <c r="C158" s="20" t="s">
        <v>2816</v>
      </c>
      <c r="D158" s="20" t="s">
        <v>9411</v>
      </c>
      <c r="E158" s="20"/>
      <c r="F158" s="20"/>
      <c r="G158" s="20"/>
      <c r="H158" s="20"/>
      <c r="I158" s="20"/>
      <c r="J158" s="20"/>
      <c r="K158" s="20"/>
      <c r="L158" s="20"/>
    </row>
    <row r="159" spans="1:12" s="10" customFormat="1" x14ac:dyDescent="0.3">
      <c r="A159" s="20" t="s">
        <v>5517</v>
      </c>
      <c r="B159" s="20" t="s">
        <v>4412</v>
      </c>
      <c r="C159" s="20" t="s">
        <v>944</v>
      </c>
      <c r="D159" s="20" t="s">
        <v>473</v>
      </c>
      <c r="E159" s="20" t="s">
        <v>3830</v>
      </c>
      <c r="F159" s="20"/>
      <c r="G159" s="20"/>
      <c r="H159" s="20"/>
      <c r="I159" s="20"/>
      <c r="J159" s="20"/>
      <c r="K159" s="20"/>
      <c r="L159" s="20"/>
    </row>
    <row r="160" spans="1:12" s="10" customFormat="1" x14ac:dyDescent="0.3">
      <c r="A160" s="20" t="s">
        <v>5525</v>
      </c>
      <c r="B160" s="10" t="s">
        <v>5785</v>
      </c>
      <c r="C160" s="35" t="s">
        <v>9421</v>
      </c>
      <c r="D160" s="10" t="s">
        <v>6073</v>
      </c>
      <c r="E160" s="10" t="s">
        <v>5719</v>
      </c>
      <c r="F160" s="10" t="s">
        <v>6410</v>
      </c>
      <c r="G160" s="10" t="s">
        <v>3870</v>
      </c>
      <c r="H160" s="10" t="s">
        <v>6715</v>
      </c>
      <c r="K160" s="20"/>
      <c r="L160" s="20"/>
    </row>
    <row r="161" spans="1:12" s="10" customFormat="1" x14ac:dyDescent="0.3">
      <c r="A161" s="20" t="s">
        <v>4177</v>
      </c>
      <c r="B161" s="20" t="s">
        <v>2737</v>
      </c>
      <c r="C161" s="20" t="s">
        <v>5229</v>
      </c>
      <c r="D161" s="20" t="s">
        <v>23</v>
      </c>
      <c r="E161" s="20" t="s">
        <v>7624</v>
      </c>
      <c r="F161" s="20" t="s">
        <v>6578</v>
      </c>
      <c r="G161" s="20" t="s">
        <v>1568</v>
      </c>
      <c r="H161" s="20" t="s">
        <v>7020</v>
      </c>
      <c r="I161" s="20" t="s">
        <v>9729</v>
      </c>
      <c r="J161" s="20"/>
      <c r="K161" s="20"/>
      <c r="L161" s="20"/>
    </row>
    <row r="162" spans="1:12" s="10" customFormat="1" x14ac:dyDescent="0.3">
      <c r="A162" s="20" t="s">
        <v>5533</v>
      </c>
      <c r="B162" s="20" t="s">
        <v>6029</v>
      </c>
      <c r="C162" s="20" t="s">
        <v>5092</v>
      </c>
      <c r="D162" s="20" t="s">
        <v>6493</v>
      </c>
      <c r="E162" s="20" t="s">
        <v>3229</v>
      </c>
      <c r="F162" s="20" t="s">
        <v>3486</v>
      </c>
      <c r="G162" s="20"/>
      <c r="H162" s="20"/>
      <c r="I162" s="20"/>
      <c r="J162" s="20"/>
    </row>
    <row r="163" spans="1:12" s="10" customFormat="1" x14ac:dyDescent="0.3">
      <c r="A163" s="20" t="s">
        <v>3229</v>
      </c>
      <c r="B163" s="20" t="s">
        <v>5533</v>
      </c>
      <c r="C163" s="20" t="s">
        <v>6029</v>
      </c>
      <c r="D163" s="20" t="s">
        <v>5092</v>
      </c>
      <c r="E163" s="20" t="s">
        <v>6493</v>
      </c>
      <c r="F163" s="20" t="s">
        <v>2337</v>
      </c>
      <c r="G163" s="20" t="s">
        <v>5293</v>
      </c>
      <c r="H163" s="20"/>
      <c r="I163" s="20"/>
      <c r="J163" s="20"/>
      <c r="K163" s="20"/>
      <c r="L163" s="20"/>
    </row>
    <row r="164" spans="1:12" s="10" customFormat="1" x14ac:dyDescent="0.3">
      <c r="A164" s="20" t="s">
        <v>960</v>
      </c>
      <c r="B164" s="20" t="s">
        <v>6418</v>
      </c>
      <c r="C164" s="20" t="s">
        <v>912</v>
      </c>
      <c r="D164" s="20" t="s">
        <v>908</v>
      </c>
      <c r="E164" s="23" t="s">
        <v>904</v>
      </c>
      <c r="F164" s="23" t="s">
        <v>880</v>
      </c>
      <c r="G164" s="20" t="s">
        <v>2160</v>
      </c>
      <c r="H164" s="20" t="s">
        <v>1454</v>
      </c>
      <c r="I164" s="20"/>
      <c r="J164" s="20"/>
      <c r="K164" s="20"/>
      <c r="L164" s="20"/>
    </row>
    <row r="165" spans="1:12" s="10" customFormat="1" x14ac:dyDescent="0.3">
      <c r="A165" s="20" t="s">
        <v>5537</v>
      </c>
      <c r="B165" s="20" t="s">
        <v>2388</v>
      </c>
      <c r="C165" s="23" t="s">
        <v>5495</v>
      </c>
      <c r="D165" s="23" t="s">
        <v>5245</v>
      </c>
      <c r="E165" s="20" t="s">
        <v>6262</v>
      </c>
      <c r="F165" s="20" t="s">
        <v>3836</v>
      </c>
      <c r="G165" s="20" t="s">
        <v>900</v>
      </c>
      <c r="H165" s="20"/>
      <c r="I165" s="20"/>
      <c r="J165" s="20"/>
      <c r="K165" s="20"/>
      <c r="L165" s="20"/>
    </row>
    <row r="166" spans="1:12" s="10" customFormat="1" x14ac:dyDescent="0.3">
      <c r="A166" s="10" t="s">
        <v>2861</v>
      </c>
      <c r="B166" s="10" t="s">
        <v>2876</v>
      </c>
      <c r="C166" s="10" t="s">
        <v>2212</v>
      </c>
      <c r="D166" s="10" t="s">
        <v>4295</v>
      </c>
      <c r="K166" s="20"/>
      <c r="L166" s="20"/>
    </row>
    <row r="167" spans="1:12" s="10" customFormat="1" x14ac:dyDescent="0.3">
      <c r="A167" s="20" t="s">
        <v>4185</v>
      </c>
      <c r="B167" s="20" t="s">
        <v>69</v>
      </c>
      <c r="C167" s="20" t="s">
        <v>5580</v>
      </c>
      <c r="D167" s="20" t="s">
        <v>6582</v>
      </c>
      <c r="E167" s="20" t="s">
        <v>278</v>
      </c>
      <c r="F167" s="20" t="s">
        <v>1622</v>
      </c>
      <c r="G167" s="20" t="s">
        <v>1627</v>
      </c>
      <c r="H167" s="20" t="s">
        <v>5899</v>
      </c>
      <c r="I167" s="20" t="s">
        <v>4941</v>
      </c>
      <c r="J167" s="20"/>
    </row>
    <row r="168" spans="1:12" s="10" customFormat="1" x14ac:dyDescent="0.3">
      <c r="A168" s="20" t="s">
        <v>5541</v>
      </c>
      <c r="B168" s="20" t="s">
        <v>6737</v>
      </c>
      <c r="C168" s="20" t="s">
        <v>1617</v>
      </c>
      <c r="D168" s="20" t="s">
        <v>5137</v>
      </c>
      <c r="E168" s="20" t="s">
        <v>3836</v>
      </c>
      <c r="F168" s="20" t="s">
        <v>1639</v>
      </c>
      <c r="G168" s="20" t="s">
        <v>6756</v>
      </c>
      <c r="H168" s="20" t="s">
        <v>1665</v>
      </c>
      <c r="I168" s="20"/>
      <c r="J168" s="20"/>
      <c r="K168" s="20"/>
      <c r="L168" s="20"/>
    </row>
    <row r="169" spans="1:12" s="10" customFormat="1" x14ac:dyDescent="0.3">
      <c r="A169" s="20" t="s">
        <v>1315</v>
      </c>
      <c r="B169" s="20" t="s">
        <v>1169</v>
      </c>
      <c r="C169" s="20" t="s">
        <v>4870</v>
      </c>
      <c r="D169" s="20" t="s">
        <v>7439</v>
      </c>
      <c r="E169" s="20" t="s">
        <v>6956</v>
      </c>
      <c r="F169" s="20" t="s">
        <v>1274</v>
      </c>
      <c r="G169" s="20" t="s">
        <v>6920</v>
      </c>
      <c r="H169" s="20"/>
      <c r="I169" s="20"/>
      <c r="J169" s="20"/>
      <c r="K169" s="20"/>
      <c r="L169" s="20"/>
    </row>
    <row r="170" spans="1:12" s="10" customFormat="1" x14ac:dyDescent="0.3">
      <c r="A170" s="20" t="s">
        <v>5549</v>
      </c>
      <c r="B170" s="20" t="s">
        <v>4650</v>
      </c>
      <c r="C170" s="20" t="s">
        <v>9652</v>
      </c>
      <c r="D170" s="20" t="s">
        <v>5046</v>
      </c>
      <c r="E170" s="20" t="s">
        <v>2851</v>
      </c>
      <c r="F170" s="20"/>
      <c r="G170" s="20"/>
      <c r="H170" s="20"/>
      <c r="I170" s="20"/>
      <c r="J170" s="20"/>
    </row>
    <row r="171" spans="1:12" s="10" customFormat="1" x14ac:dyDescent="0.3">
      <c r="A171" s="20" t="s">
        <v>5554</v>
      </c>
      <c r="B171" s="20" t="s">
        <v>5525</v>
      </c>
      <c r="C171" s="20" t="s">
        <v>3870</v>
      </c>
      <c r="D171" s="20" t="s">
        <v>5719</v>
      </c>
      <c r="E171" s="20" t="s">
        <v>6410</v>
      </c>
      <c r="F171" s="20"/>
      <c r="G171" s="20"/>
      <c r="H171" s="20"/>
      <c r="I171" s="20"/>
      <c r="J171" s="20"/>
      <c r="K171" s="20"/>
      <c r="L171" s="20"/>
    </row>
    <row r="172" spans="1:12" s="10" customFormat="1" x14ac:dyDescent="0.3">
      <c r="A172" s="10" t="s">
        <v>2020</v>
      </c>
      <c r="B172" s="10" t="s">
        <v>2012</v>
      </c>
      <c r="C172" s="10" t="s">
        <v>1889</v>
      </c>
      <c r="D172" s="10" t="s">
        <v>5872</v>
      </c>
      <c r="E172" s="10" t="s">
        <v>6920</v>
      </c>
      <c r="F172" s="10" t="s">
        <v>1648</v>
      </c>
      <c r="G172" s="10" t="s">
        <v>5876</v>
      </c>
      <c r="K172" s="20"/>
      <c r="L172" s="20"/>
    </row>
    <row r="173" spans="1:12" s="10" customFormat="1" x14ac:dyDescent="0.3">
      <c r="A173" s="20" t="s">
        <v>9459</v>
      </c>
      <c r="B173" s="23" t="s">
        <v>2730</v>
      </c>
      <c r="C173" s="20" t="s">
        <v>7020</v>
      </c>
      <c r="D173" s="23" t="s">
        <v>1406</v>
      </c>
      <c r="E173" s="23" t="s">
        <v>1402</v>
      </c>
      <c r="F173" s="23" t="s">
        <v>9600</v>
      </c>
      <c r="G173" s="23" t="s">
        <v>6174</v>
      </c>
      <c r="H173" s="20"/>
      <c r="I173" s="20"/>
      <c r="J173" s="20"/>
      <c r="K173" s="20"/>
      <c r="L173" s="20"/>
    </row>
    <row r="174" spans="1:12" s="10" customFormat="1" x14ac:dyDescent="0.3">
      <c r="A174" s="20" t="s">
        <v>5562</v>
      </c>
      <c r="B174" s="20" t="s">
        <v>5084</v>
      </c>
      <c r="C174" s="20"/>
      <c r="D174" s="20"/>
      <c r="E174" s="20"/>
      <c r="F174" s="20"/>
      <c r="G174" s="20"/>
      <c r="H174" s="20"/>
      <c r="I174" s="20"/>
      <c r="J174" s="20"/>
    </row>
    <row r="175" spans="1:12" s="10" customFormat="1" x14ac:dyDescent="0.3">
      <c r="A175" s="20" t="s">
        <v>4189</v>
      </c>
      <c r="B175" s="20" t="s">
        <v>1678</v>
      </c>
      <c r="C175" s="20" t="s">
        <v>1627</v>
      </c>
      <c r="D175" s="20" t="s">
        <v>1630</v>
      </c>
      <c r="E175" s="20" t="s">
        <v>7358</v>
      </c>
      <c r="F175" s="20" t="s">
        <v>69</v>
      </c>
      <c r="G175" s="20" t="s">
        <v>4985</v>
      </c>
      <c r="H175" s="20"/>
      <c r="I175" s="20"/>
      <c r="J175" s="20"/>
      <c r="K175" s="20"/>
      <c r="L175" s="20"/>
    </row>
    <row r="176" spans="1:12" s="10" customFormat="1" x14ac:dyDescent="0.3">
      <c r="A176" s="10" t="s">
        <v>760</v>
      </c>
      <c r="B176" s="10" t="s">
        <v>6222</v>
      </c>
      <c r="C176" s="10" t="s">
        <v>4631</v>
      </c>
      <c r="D176" s="10" t="s">
        <v>702</v>
      </c>
      <c r="E176" s="10" t="s">
        <v>3739</v>
      </c>
      <c r="F176" s="10" t="s">
        <v>1678</v>
      </c>
      <c r="G176" s="10" t="s">
        <v>1157</v>
      </c>
      <c r="K176" s="20"/>
      <c r="L176" s="20"/>
    </row>
    <row r="177" spans="1:12" s="10" customFormat="1" x14ac:dyDescent="0.3">
      <c r="A177" s="20" t="s">
        <v>89</v>
      </c>
      <c r="B177" s="20" t="s">
        <v>5861</v>
      </c>
      <c r="C177" s="20" t="s">
        <v>6549</v>
      </c>
      <c r="D177" s="20"/>
      <c r="E177" s="20"/>
      <c r="F177" s="20"/>
      <c r="G177" s="20"/>
      <c r="H177" s="20"/>
      <c r="I177" s="20"/>
      <c r="J177" s="20"/>
      <c r="K177" s="20"/>
      <c r="L177" s="20"/>
    </row>
    <row r="178" spans="1:12" s="10" customFormat="1" x14ac:dyDescent="0.3">
      <c r="A178" s="20" t="s">
        <v>4206</v>
      </c>
      <c r="B178" s="20" t="s">
        <v>34</v>
      </c>
      <c r="C178" s="23" t="s">
        <v>2405</v>
      </c>
      <c r="D178" s="20" t="s">
        <v>6022</v>
      </c>
      <c r="E178" s="20"/>
      <c r="F178" s="20"/>
      <c r="G178" s="20"/>
      <c r="H178" s="20"/>
      <c r="I178" s="20"/>
      <c r="J178" s="20"/>
      <c r="K178" s="20"/>
      <c r="L178" s="20"/>
    </row>
    <row r="179" spans="1:12" s="10" customFormat="1" x14ac:dyDescent="0.3">
      <c r="A179" s="10" t="s">
        <v>1090</v>
      </c>
      <c r="B179" s="10" t="s">
        <v>6578</v>
      </c>
      <c r="C179" s="10" t="s">
        <v>3267</v>
      </c>
      <c r="D179" s="10" t="s">
        <v>3272</v>
      </c>
    </row>
    <row r="180" spans="1:12" s="10" customFormat="1" x14ac:dyDescent="0.3">
      <c r="A180" s="20" t="s">
        <v>999</v>
      </c>
      <c r="B180" s="20" t="s">
        <v>6029</v>
      </c>
      <c r="C180" s="20" t="s">
        <v>3663</v>
      </c>
      <c r="D180" s="20" t="s">
        <v>6895</v>
      </c>
      <c r="E180" s="20"/>
      <c r="F180" s="20"/>
      <c r="G180" s="20"/>
      <c r="H180" s="20"/>
      <c r="I180" s="20"/>
      <c r="J180" s="20"/>
      <c r="K180" s="20"/>
      <c r="L180" s="20"/>
    </row>
    <row r="181" spans="1:12" s="10" customFormat="1" x14ac:dyDescent="0.3">
      <c r="A181" s="20" t="s">
        <v>5567</v>
      </c>
      <c r="B181" s="23" t="s">
        <v>5984</v>
      </c>
      <c r="C181" s="23"/>
      <c r="D181" s="23"/>
      <c r="E181" s="20"/>
      <c r="F181" s="20"/>
      <c r="G181" s="20"/>
      <c r="H181" s="20"/>
      <c r="I181" s="20"/>
      <c r="J181" s="20"/>
    </row>
    <row r="182" spans="1:12" s="10" customFormat="1" x14ac:dyDescent="0.3">
      <c r="A182" s="20" t="s">
        <v>2626</v>
      </c>
      <c r="B182" s="20" t="s">
        <v>4450</v>
      </c>
      <c r="C182" s="20" t="s">
        <v>2640</v>
      </c>
      <c r="D182" s="20"/>
      <c r="E182" s="20"/>
      <c r="F182" s="20"/>
      <c r="G182" s="20"/>
      <c r="H182" s="20"/>
      <c r="I182" s="20"/>
      <c r="J182" s="20"/>
      <c r="K182" s="20"/>
      <c r="L182" s="20"/>
    </row>
    <row r="183" spans="1:12" s="10" customFormat="1" x14ac:dyDescent="0.3">
      <c r="A183" s="10" t="s">
        <v>1867</v>
      </c>
      <c r="B183" s="10" t="s">
        <v>1846</v>
      </c>
      <c r="C183" s="10" t="s">
        <v>2361</v>
      </c>
      <c r="D183" s="10" t="s">
        <v>2640</v>
      </c>
      <c r="E183" s="10" t="s">
        <v>2825</v>
      </c>
      <c r="F183" s="10" t="s">
        <v>6920</v>
      </c>
      <c r="K183" s="20"/>
      <c r="L183" s="20"/>
    </row>
    <row r="184" spans="1:12" s="10" customFormat="1" x14ac:dyDescent="0.3">
      <c r="A184" s="20" t="s">
        <v>3584</v>
      </c>
      <c r="B184" s="20" t="s">
        <v>6029</v>
      </c>
      <c r="C184" s="20" t="s">
        <v>458</v>
      </c>
      <c r="D184" s="20" t="s">
        <v>4080</v>
      </c>
      <c r="E184" s="20"/>
      <c r="F184" s="20"/>
      <c r="G184" s="20"/>
      <c r="H184" s="20"/>
      <c r="I184" s="20"/>
      <c r="J184" s="20"/>
      <c r="K184" s="20"/>
      <c r="L184" s="20"/>
    </row>
    <row r="185" spans="1:12" s="10" customFormat="1" x14ac:dyDescent="0.3">
      <c r="A185" s="20" t="s">
        <v>3121</v>
      </c>
      <c r="B185" s="23" t="s">
        <v>1029</v>
      </c>
      <c r="C185" s="20" t="s">
        <v>7032</v>
      </c>
      <c r="D185" s="20" t="s">
        <v>7167</v>
      </c>
      <c r="E185" s="35" t="s">
        <v>7289</v>
      </c>
      <c r="F185" s="20"/>
      <c r="G185" s="20"/>
      <c r="H185" s="20"/>
      <c r="I185" s="20"/>
      <c r="J185" s="20"/>
      <c r="K185" s="20"/>
      <c r="L185" s="20"/>
    </row>
    <row r="186" spans="1:12" s="10" customFormat="1" x14ac:dyDescent="0.3">
      <c r="A186" s="20" t="s">
        <v>5571</v>
      </c>
      <c r="B186" s="20" t="s">
        <v>7591</v>
      </c>
      <c r="C186" s="20" t="s">
        <v>4756</v>
      </c>
      <c r="D186" s="20" t="s">
        <v>4564</v>
      </c>
      <c r="E186" s="20" t="s">
        <v>7053</v>
      </c>
      <c r="F186" s="20"/>
      <c r="G186" s="23"/>
      <c r="H186" s="20"/>
      <c r="I186" s="20"/>
      <c r="J186" s="20"/>
      <c r="K186" s="20"/>
      <c r="L186" s="20"/>
    </row>
    <row r="187" spans="1:12" s="10" customFormat="1" x14ac:dyDescent="0.3">
      <c r="A187" s="20" t="s">
        <v>4210</v>
      </c>
      <c r="B187" s="20" t="s">
        <v>7601</v>
      </c>
      <c r="C187" s="20" t="s">
        <v>1169</v>
      </c>
      <c r="D187" s="20" t="s">
        <v>1846</v>
      </c>
      <c r="E187" s="20" t="s">
        <v>3114</v>
      </c>
      <c r="F187" s="20" t="s">
        <v>1581</v>
      </c>
      <c r="G187" s="35" t="s">
        <v>2935</v>
      </c>
      <c r="H187" s="20"/>
      <c r="I187" s="20"/>
      <c r="J187" s="20"/>
    </row>
    <row r="188" spans="1:12" s="10" customFormat="1" x14ac:dyDescent="0.3">
      <c r="A188" s="10" t="s">
        <v>786</v>
      </c>
      <c r="B188" s="10" t="s">
        <v>782</v>
      </c>
      <c r="C188" s="10" t="s">
        <v>7268</v>
      </c>
      <c r="D188" s="35" t="s">
        <v>6920</v>
      </c>
      <c r="E188" s="10" t="s">
        <v>3553</v>
      </c>
      <c r="F188" s="10" t="s">
        <v>835</v>
      </c>
      <c r="K188" s="20"/>
      <c r="L188" s="20"/>
    </row>
    <row r="189" spans="1:12" s="10" customFormat="1" x14ac:dyDescent="0.3">
      <c r="A189" s="20" t="s">
        <v>4216</v>
      </c>
      <c r="B189" s="20" t="s">
        <v>2394</v>
      </c>
      <c r="C189" s="20" t="s">
        <v>5070</v>
      </c>
      <c r="D189" s="20" t="s">
        <v>7771</v>
      </c>
      <c r="E189" s="20" t="s">
        <v>1669</v>
      </c>
      <c r="F189" s="20" t="s">
        <v>6283</v>
      </c>
      <c r="G189" s="20" t="s">
        <v>10088</v>
      </c>
      <c r="H189" s="20"/>
      <c r="I189" s="20"/>
      <c r="J189" s="20"/>
    </row>
    <row r="190" spans="1:12" s="10" customFormat="1" x14ac:dyDescent="0.3">
      <c r="A190" s="10" t="s">
        <v>3181</v>
      </c>
      <c r="B190" s="10" t="s">
        <v>34</v>
      </c>
      <c r="C190" s="10" t="s">
        <v>3836</v>
      </c>
      <c r="D190" s="10" t="s">
        <v>3185</v>
      </c>
      <c r="E190" s="10" t="s">
        <v>3188</v>
      </c>
      <c r="F190" s="10" t="s">
        <v>3205</v>
      </c>
      <c r="K190" s="20"/>
      <c r="L190" s="20"/>
    </row>
    <row r="191" spans="1:12" s="10" customFormat="1" x14ac:dyDescent="0.3">
      <c r="A191" s="20" t="s">
        <v>5580</v>
      </c>
      <c r="B191" s="20" t="s">
        <v>6438</v>
      </c>
      <c r="C191" s="20" t="s">
        <v>6178</v>
      </c>
      <c r="D191" s="23" t="s">
        <v>278</v>
      </c>
      <c r="E191" s="20" t="s">
        <v>2012</v>
      </c>
      <c r="F191" s="20" t="s">
        <v>5418</v>
      </c>
      <c r="G191" s="20" t="s">
        <v>9407</v>
      </c>
      <c r="H191" s="20" t="s">
        <v>2830</v>
      </c>
      <c r="I191" s="20"/>
      <c r="J191" s="20"/>
    </row>
    <row r="192" spans="1:12" s="10" customFormat="1" x14ac:dyDescent="0.3">
      <c r="A192" s="20" t="s">
        <v>5588</v>
      </c>
      <c r="B192" s="20" t="s">
        <v>2816</v>
      </c>
      <c r="C192" s="23" t="s">
        <v>5434</v>
      </c>
      <c r="D192" s="23" t="s">
        <v>1678</v>
      </c>
      <c r="E192" s="20" t="s">
        <v>5066</v>
      </c>
      <c r="F192" s="20" t="s">
        <v>6920</v>
      </c>
      <c r="G192" s="20"/>
      <c r="H192" s="20"/>
      <c r="I192" s="20"/>
      <c r="J192" s="20"/>
    </row>
    <row r="193" spans="1:12" s="10" customFormat="1" x14ac:dyDescent="0.3">
      <c r="A193" s="20" t="s">
        <v>5596</v>
      </c>
      <c r="B193" s="20" t="s">
        <v>5668</v>
      </c>
      <c r="C193" s="20" t="s">
        <v>6395</v>
      </c>
      <c r="D193" s="20" t="s">
        <v>6558</v>
      </c>
      <c r="E193" s="20" t="s">
        <v>3995</v>
      </c>
      <c r="F193" s="20"/>
      <c r="G193" s="20"/>
      <c r="H193" s="20"/>
      <c r="I193" s="20"/>
      <c r="J193" s="20"/>
    </row>
    <row r="194" spans="1:12" s="10" customFormat="1" x14ac:dyDescent="0.3">
      <c r="A194" s="20" t="s">
        <v>611</v>
      </c>
      <c r="B194" s="20" t="s">
        <v>690</v>
      </c>
      <c r="C194" s="20" t="s">
        <v>3117</v>
      </c>
      <c r="D194" s="20" t="s">
        <v>615</v>
      </c>
      <c r="E194" s="20" t="s">
        <v>3593</v>
      </c>
      <c r="F194" s="20" t="s">
        <v>670</v>
      </c>
      <c r="G194" s="20" t="s">
        <v>622</v>
      </c>
      <c r="H194" s="20" t="s">
        <v>3862</v>
      </c>
      <c r="I194" s="20" t="s">
        <v>2252</v>
      </c>
      <c r="J194" s="20" t="s">
        <v>642</v>
      </c>
    </row>
    <row r="195" spans="1:12" s="10" customFormat="1" x14ac:dyDescent="0.3">
      <c r="A195" s="20" t="s">
        <v>2252</v>
      </c>
      <c r="B195" s="20" t="s">
        <v>458</v>
      </c>
      <c r="C195" s="23" t="s">
        <v>3117</v>
      </c>
      <c r="D195" s="20" t="s">
        <v>670</v>
      </c>
      <c r="E195" s="20" t="s">
        <v>642</v>
      </c>
      <c r="F195" s="20" t="s">
        <v>666</v>
      </c>
      <c r="G195" s="20" t="s">
        <v>686</v>
      </c>
      <c r="H195" s="20" t="s">
        <v>615</v>
      </c>
      <c r="I195" s="20" t="s">
        <v>3862</v>
      </c>
      <c r="J195" s="20"/>
      <c r="K195" s="20"/>
      <c r="L195" s="20"/>
    </row>
    <row r="196" spans="1:12" s="10" customFormat="1" x14ac:dyDescent="0.3">
      <c r="A196" s="10" t="s">
        <v>5604</v>
      </c>
      <c r="B196" s="10" t="s">
        <v>6578</v>
      </c>
      <c r="C196" s="10" t="s">
        <v>1029</v>
      </c>
      <c r="D196" s="10" t="s">
        <v>1669</v>
      </c>
      <c r="E196" s="10" t="s">
        <v>6733</v>
      </c>
      <c r="F196" s="10" t="s">
        <v>2394</v>
      </c>
      <c r="K196" s="20"/>
      <c r="L196" s="20"/>
    </row>
    <row r="197" spans="1:12" s="10" customFormat="1" x14ac:dyDescent="0.3">
      <c r="A197" s="20" t="s">
        <v>2329</v>
      </c>
      <c r="B197" s="20" t="s">
        <v>2337</v>
      </c>
      <c r="C197" s="20" t="s">
        <v>3878</v>
      </c>
      <c r="D197" s="20" t="s">
        <v>415</v>
      </c>
      <c r="E197" s="20" t="s">
        <v>3394</v>
      </c>
      <c r="F197" s="20"/>
      <c r="G197" s="20"/>
      <c r="H197" s="20"/>
      <c r="I197" s="20"/>
      <c r="J197" s="20"/>
      <c r="K197" s="20"/>
      <c r="L197" s="20"/>
    </row>
    <row r="198" spans="1:12" s="10" customFormat="1" x14ac:dyDescent="0.3">
      <c r="A198" s="10" t="s">
        <v>1212</v>
      </c>
      <c r="B198" s="10" t="s">
        <v>1169</v>
      </c>
      <c r="C198" s="35" t="s">
        <v>1166</v>
      </c>
      <c r="D198" s="10" t="s">
        <v>6181</v>
      </c>
      <c r="E198" s="10" t="s">
        <v>34</v>
      </c>
      <c r="K198" s="20"/>
      <c r="L198" s="20"/>
    </row>
    <row r="199" spans="1:12" s="10" customFormat="1" x14ac:dyDescent="0.3">
      <c r="A199" s="20" t="s">
        <v>5608</v>
      </c>
      <c r="B199" s="20" t="s">
        <v>4941</v>
      </c>
      <c r="C199" s="20" t="s">
        <v>4985</v>
      </c>
      <c r="D199" s="20" t="s">
        <v>69</v>
      </c>
      <c r="E199" s="20" t="s">
        <v>1622</v>
      </c>
      <c r="F199" s="20" t="s">
        <v>6928</v>
      </c>
      <c r="G199" s="20" t="s">
        <v>4941</v>
      </c>
      <c r="H199" s="20" t="s">
        <v>1608</v>
      </c>
      <c r="I199" s="20"/>
      <c r="J199" s="20"/>
    </row>
    <row r="200" spans="1:12" s="10" customFormat="1" x14ac:dyDescent="0.3">
      <c r="A200" s="10" t="s">
        <v>3292</v>
      </c>
      <c r="B200" s="10" t="s">
        <v>6578</v>
      </c>
      <c r="C200" s="10" t="s">
        <v>4631</v>
      </c>
      <c r="D200" s="35" t="s">
        <v>5467</v>
      </c>
      <c r="E200" s="10" t="s">
        <v>3309</v>
      </c>
      <c r="F200" s="10" t="s">
        <v>1021</v>
      </c>
      <c r="G200" s="10" t="s">
        <v>2128</v>
      </c>
      <c r="K200" s="20"/>
      <c r="L200" s="20"/>
    </row>
    <row r="201" spans="1:12" s="10" customFormat="1" x14ac:dyDescent="0.3">
      <c r="A201" s="10" t="s">
        <v>1204</v>
      </c>
      <c r="B201" s="10" t="s">
        <v>1169</v>
      </c>
      <c r="C201" s="10" t="s">
        <v>278</v>
      </c>
      <c r="K201" s="20"/>
      <c r="L201" s="20"/>
    </row>
    <row r="202" spans="1:12" s="10" customFormat="1" x14ac:dyDescent="0.3">
      <c r="A202" s="10" t="s">
        <v>1032</v>
      </c>
      <c r="B202" s="35" t="s">
        <v>7601</v>
      </c>
      <c r="C202" s="10" t="s">
        <v>1029</v>
      </c>
      <c r="D202" s="10" t="s">
        <v>6181</v>
      </c>
      <c r="K202" s="20"/>
      <c r="L202" s="20"/>
    </row>
    <row r="203" spans="1:12" s="10" customFormat="1" x14ac:dyDescent="0.3">
      <c r="A203" s="10" t="s">
        <v>1216</v>
      </c>
      <c r="B203" s="10" t="s">
        <v>1169</v>
      </c>
      <c r="C203" s="10" t="s">
        <v>1170</v>
      </c>
      <c r="D203" s="10" t="s">
        <v>6181</v>
      </c>
      <c r="E203" s="10" t="s">
        <v>34</v>
      </c>
      <c r="K203" s="20"/>
      <c r="L203" s="20"/>
    </row>
    <row r="204" spans="1:12" s="10" customFormat="1" x14ac:dyDescent="0.3">
      <c r="A204" s="20" t="s">
        <v>3164</v>
      </c>
      <c r="B204" s="20" t="s">
        <v>6481</v>
      </c>
      <c r="C204" s="20" t="s">
        <v>6964</v>
      </c>
      <c r="D204" s="20" t="s">
        <v>702</v>
      </c>
      <c r="E204" s="20" t="s">
        <v>2767</v>
      </c>
      <c r="F204" s="35" t="s">
        <v>3149</v>
      </c>
      <c r="G204" s="20"/>
      <c r="H204" s="20"/>
      <c r="I204" s="20"/>
      <c r="J204" s="20"/>
      <c r="K204" s="20"/>
      <c r="L204" s="20"/>
    </row>
    <row r="205" spans="1:12" s="10" customFormat="1" x14ac:dyDescent="0.3">
      <c r="A205" s="20" t="s">
        <v>5613</v>
      </c>
      <c r="B205" s="20" t="s">
        <v>5690</v>
      </c>
      <c r="C205" s="23" t="s">
        <v>3987</v>
      </c>
      <c r="D205" s="20" t="s">
        <v>5213</v>
      </c>
      <c r="E205" s="20" t="s">
        <v>5751</v>
      </c>
      <c r="F205" s="20" t="s">
        <v>4134</v>
      </c>
      <c r="G205" s="20" t="s">
        <v>6374</v>
      </c>
      <c r="H205" s="20" t="s">
        <v>2296</v>
      </c>
      <c r="I205" s="20" t="s">
        <v>9473</v>
      </c>
      <c r="J205" s="20"/>
    </row>
    <row r="206" spans="1:12" s="10" customFormat="1" x14ac:dyDescent="0.3">
      <c r="A206" s="20" t="s">
        <v>5620</v>
      </c>
      <c r="B206" s="20" t="s">
        <v>2584</v>
      </c>
      <c r="C206" s="20" t="s">
        <v>5110</v>
      </c>
      <c r="D206" s="23" t="s">
        <v>9516</v>
      </c>
      <c r="E206" s="20" t="s">
        <v>1335</v>
      </c>
      <c r="F206" s="20"/>
      <c r="G206" s="20"/>
      <c r="H206" s="20"/>
      <c r="I206" s="20"/>
      <c r="J206" s="20"/>
    </row>
    <row r="207" spans="1:12" s="10" customFormat="1" x14ac:dyDescent="0.3">
      <c r="A207" s="20" t="s">
        <v>415</v>
      </c>
      <c r="B207" s="23" t="s">
        <v>782</v>
      </c>
      <c r="C207" s="23" t="s">
        <v>733</v>
      </c>
      <c r="D207" s="23" t="s">
        <v>746</v>
      </c>
      <c r="E207" s="20" t="s">
        <v>786</v>
      </c>
      <c r="F207" s="20" t="s">
        <v>828</v>
      </c>
      <c r="G207" s="20" t="s">
        <v>3200</v>
      </c>
      <c r="H207" s="20" t="s">
        <v>2321</v>
      </c>
      <c r="I207" s="20"/>
      <c r="J207" s="20"/>
      <c r="K207" s="20"/>
      <c r="L207" s="20"/>
    </row>
    <row r="208" spans="1:12" s="10" customFormat="1" x14ac:dyDescent="0.3">
      <c r="A208" s="10" t="s">
        <v>1661</v>
      </c>
      <c r="B208" s="10" t="s">
        <v>2309</v>
      </c>
      <c r="C208" s="10" t="s">
        <v>1656</v>
      </c>
      <c r="D208" s="10" t="s">
        <v>1669</v>
      </c>
      <c r="E208" s="10" t="s">
        <v>6041</v>
      </c>
      <c r="F208" s="10" t="s">
        <v>6863</v>
      </c>
      <c r="G208" s="10" t="s">
        <v>2889</v>
      </c>
      <c r="H208" s="10" t="s">
        <v>1639</v>
      </c>
      <c r="K208" s="20"/>
      <c r="L208" s="20"/>
    </row>
    <row r="209" spans="1:12" s="10" customFormat="1" x14ac:dyDescent="0.3">
      <c r="A209" s="20" t="s">
        <v>5628</v>
      </c>
      <c r="B209" s="20" t="s">
        <v>3292</v>
      </c>
      <c r="C209" s="20" t="s">
        <v>3267</v>
      </c>
      <c r="D209" s="20" t="s">
        <v>7153</v>
      </c>
      <c r="E209" s="20" t="s">
        <v>3205</v>
      </c>
      <c r="F209" s="20"/>
      <c r="G209" s="20"/>
      <c r="H209" s="20"/>
      <c r="I209" s="20"/>
      <c r="J209" s="20"/>
      <c r="K209" s="20"/>
      <c r="L209" s="20"/>
    </row>
    <row r="210" spans="1:12" s="10" customFormat="1" x14ac:dyDescent="0.3">
      <c r="A210" s="20" t="s">
        <v>4226</v>
      </c>
      <c r="B210" s="20" t="s">
        <v>2851</v>
      </c>
      <c r="C210" s="23" t="s">
        <v>2876</v>
      </c>
      <c r="D210" s="20" t="s">
        <v>5313</v>
      </c>
      <c r="E210" s="20" t="s">
        <v>2861</v>
      </c>
      <c r="F210" s="20" t="s">
        <v>2857</v>
      </c>
      <c r="G210" s="20" t="s">
        <v>3537</v>
      </c>
      <c r="H210" s="20" t="s">
        <v>7388</v>
      </c>
      <c r="I210" s="20"/>
      <c r="J210" s="20"/>
    </row>
    <row r="211" spans="1:12" s="10" customFormat="1" x14ac:dyDescent="0.3">
      <c r="A211" s="20" t="s">
        <v>6718</v>
      </c>
      <c r="B211" s="20" t="s">
        <v>4556</v>
      </c>
      <c r="C211" s="20" t="s">
        <v>6073</v>
      </c>
      <c r="D211" s="23" t="s">
        <v>6481</v>
      </c>
      <c r="E211" s="20" t="s">
        <v>3702</v>
      </c>
      <c r="F211" s="20"/>
      <c r="G211" s="20"/>
      <c r="H211" s="20"/>
      <c r="I211" s="20"/>
      <c r="J211" s="20"/>
      <c r="K211" s="20"/>
      <c r="L211" s="20"/>
    </row>
    <row r="212" spans="1:12" s="10" customFormat="1" x14ac:dyDescent="0.3">
      <c r="A212" s="20" t="s">
        <v>5636</v>
      </c>
      <c r="B212" s="20" t="s">
        <v>1846</v>
      </c>
      <c r="C212" s="20" t="s">
        <v>2317</v>
      </c>
      <c r="D212" s="20" t="s">
        <v>5849</v>
      </c>
      <c r="E212" s="23" t="s">
        <v>2369</v>
      </c>
      <c r="F212" s="20" t="s">
        <v>1669</v>
      </c>
      <c r="G212" s="20"/>
      <c r="H212" s="20"/>
      <c r="I212" s="20"/>
      <c r="J212" s="20"/>
    </row>
    <row r="213" spans="1:12" s="10" customFormat="1" x14ac:dyDescent="0.3">
      <c r="A213" s="20" t="s">
        <v>4234</v>
      </c>
      <c r="B213" s="23" t="s">
        <v>1608</v>
      </c>
      <c r="C213" s="20" t="s">
        <v>2830</v>
      </c>
      <c r="D213" s="20" t="s">
        <v>2365</v>
      </c>
      <c r="E213" s="20" t="s">
        <v>1265</v>
      </c>
      <c r="F213" s="20" t="s">
        <v>1261</v>
      </c>
      <c r="G213" s="20" t="s">
        <v>1252</v>
      </c>
      <c r="H213" s="20" t="s">
        <v>2825</v>
      </c>
      <c r="I213" s="20"/>
      <c r="J213" s="20"/>
    </row>
    <row r="214" spans="1:12" s="10" customFormat="1" x14ac:dyDescent="0.3">
      <c r="A214" s="20" t="s">
        <v>4242</v>
      </c>
      <c r="B214" s="10" t="s">
        <v>6628</v>
      </c>
      <c r="C214" s="10" t="s">
        <v>6662</v>
      </c>
      <c r="D214" s="35" t="s">
        <v>5929</v>
      </c>
      <c r="E214" s="10" t="s">
        <v>2220</v>
      </c>
      <c r="F214" s="10" t="s">
        <v>4965</v>
      </c>
      <c r="G214" s="10" t="s">
        <v>3486</v>
      </c>
      <c r="H214" s="10" t="s">
        <v>6830</v>
      </c>
      <c r="I214" s="10" t="s">
        <v>5533</v>
      </c>
      <c r="J214" s="35" t="s">
        <v>1435</v>
      </c>
      <c r="K214" s="20"/>
      <c r="L214" s="20"/>
    </row>
    <row r="215" spans="1:12" s="10" customFormat="1" x14ac:dyDescent="0.3">
      <c r="A215" s="10" t="s">
        <v>2321</v>
      </c>
      <c r="B215" s="10" t="s">
        <v>6837</v>
      </c>
      <c r="C215" s="10" t="s">
        <v>5976</v>
      </c>
      <c r="D215" s="10" t="s">
        <v>3398</v>
      </c>
      <c r="E215" s="10" t="s">
        <v>3350</v>
      </c>
      <c r="F215" s="10" t="s">
        <v>2851</v>
      </c>
      <c r="G215" s="10" t="s">
        <v>6991</v>
      </c>
      <c r="H215" s="10" t="s">
        <v>3971</v>
      </c>
      <c r="K215" s="20"/>
      <c r="L215" s="20"/>
    </row>
    <row r="216" spans="1:12" s="10" customFormat="1" x14ac:dyDescent="0.3">
      <c r="A216" s="20" t="s">
        <v>2978</v>
      </c>
      <c r="B216" s="20" t="s">
        <v>2851</v>
      </c>
      <c r="C216" s="20" t="s">
        <v>4605</v>
      </c>
      <c r="D216" s="20" t="s">
        <v>9462</v>
      </c>
      <c r="E216" s="20"/>
      <c r="F216" s="20"/>
      <c r="G216" s="20"/>
      <c r="H216" s="20"/>
      <c r="I216" s="20"/>
      <c r="J216" s="20"/>
      <c r="K216" s="20"/>
      <c r="L216" s="20"/>
    </row>
    <row r="217" spans="1:12" s="10" customFormat="1" x14ac:dyDescent="0.3">
      <c r="A217" s="20" t="s">
        <v>4250</v>
      </c>
      <c r="B217" s="20" t="s">
        <v>278</v>
      </c>
      <c r="C217" s="23" t="s">
        <v>6438</v>
      </c>
      <c r="D217" s="20" t="s">
        <v>3386</v>
      </c>
      <c r="E217" s="20" t="s">
        <v>1175</v>
      </c>
      <c r="F217" s="20" t="s">
        <v>3971</v>
      </c>
      <c r="G217" s="20"/>
      <c r="H217" s="20"/>
      <c r="I217" s="20"/>
      <c r="J217" s="20"/>
      <c r="K217" s="20"/>
      <c r="L217" s="20"/>
    </row>
    <row r="218" spans="1:12" s="10" customFormat="1" x14ac:dyDescent="0.3">
      <c r="A218" s="20" t="s">
        <v>5644</v>
      </c>
      <c r="B218" s="20" t="s">
        <v>5471</v>
      </c>
      <c r="C218" s="23" t="s">
        <v>5976</v>
      </c>
      <c r="D218" s="20" t="s">
        <v>5941</v>
      </c>
      <c r="E218" s="20"/>
      <c r="F218" s="20"/>
      <c r="G218" s="20"/>
      <c r="H218" s="20"/>
      <c r="I218" s="20"/>
      <c r="J218" s="20"/>
      <c r="K218" s="20"/>
      <c r="L218" s="20"/>
    </row>
    <row r="219" spans="1:12" s="10" customFormat="1" x14ac:dyDescent="0.3">
      <c r="A219" s="10" t="s">
        <v>1180</v>
      </c>
      <c r="B219" s="10" t="s">
        <v>1169</v>
      </c>
      <c r="C219" s="10" t="s">
        <v>278</v>
      </c>
      <c r="D219" s="10" t="s">
        <v>2915</v>
      </c>
      <c r="E219" s="10" t="s">
        <v>2357</v>
      </c>
      <c r="F219" s="10" t="s">
        <v>2919</v>
      </c>
      <c r="G219" s="10" t="s">
        <v>2923</v>
      </c>
      <c r="H219" s="10" t="s">
        <v>2925</v>
      </c>
      <c r="I219" s="10" t="s">
        <v>6920</v>
      </c>
      <c r="K219" s="20"/>
      <c r="L219" s="20"/>
    </row>
    <row r="220" spans="1:12" s="10" customFormat="1" x14ac:dyDescent="0.3">
      <c r="A220" s="20" t="s">
        <v>1402</v>
      </c>
      <c r="B220" s="20" t="s">
        <v>6049</v>
      </c>
      <c r="C220" s="20" t="s">
        <v>6340</v>
      </c>
      <c r="D220" s="23" t="s">
        <v>9459</v>
      </c>
      <c r="E220" s="23" t="s">
        <v>1406</v>
      </c>
      <c r="F220" s="20"/>
      <c r="G220" s="20"/>
      <c r="H220" s="20"/>
      <c r="I220" s="20"/>
      <c r="J220" s="20"/>
      <c r="K220" s="20"/>
      <c r="L220" s="20"/>
    </row>
    <row r="221" spans="1:12" s="10" customFormat="1" x14ac:dyDescent="0.3">
      <c r="A221" s="10" t="s">
        <v>1013</v>
      </c>
      <c r="B221" s="10" t="s">
        <v>7601</v>
      </c>
      <c r="C221" s="10" t="s">
        <v>1021</v>
      </c>
      <c r="D221" s="10" t="s">
        <v>1017</v>
      </c>
      <c r="E221" s="10" t="s">
        <v>3129</v>
      </c>
      <c r="F221" s="10" t="s">
        <v>6295</v>
      </c>
      <c r="K221" s="20"/>
      <c r="L221" s="20"/>
    </row>
    <row r="222" spans="1:12" s="10" customFormat="1" x14ac:dyDescent="0.3">
      <c r="A222" s="10" t="s">
        <v>3022</v>
      </c>
      <c r="B222" s="10" t="s">
        <v>2851</v>
      </c>
      <c r="C222" s="10" t="s">
        <v>5349</v>
      </c>
      <c r="K222" s="20"/>
      <c r="L222" s="20"/>
    </row>
    <row r="223" spans="1:12" s="10" customFormat="1" x14ac:dyDescent="0.3">
      <c r="A223" s="20" t="s">
        <v>1690</v>
      </c>
      <c r="B223" s="20" t="s">
        <v>4362</v>
      </c>
      <c r="C223" s="20" t="s">
        <v>3725</v>
      </c>
      <c r="D223" s="20" t="s">
        <v>4087</v>
      </c>
      <c r="E223" s="20"/>
      <c r="F223" s="20"/>
      <c r="G223" s="20"/>
      <c r="H223" s="20"/>
      <c r="I223" s="20"/>
      <c r="J223" s="20"/>
      <c r="K223" s="20"/>
      <c r="L223" s="20"/>
    </row>
    <row r="224" spans="1:12" s="10" customFormat="1" x14ac:dyDescent="0.3">
      <c r="A224" s="20" t="s">
        <v>3630</v>
      </c>
      <c r="B224" s="20" t="s">
        <v>4258</v>
      </c>
      <c r="C224" s="20"/>
      <c r="D224" s="20"/>
      <c r="E224" s="20"/>
      <c r="F224" s="20"/>
      <c r="G224" s="20"/>
      <c r="H224" s="20"/>
      <c r="I224" s="20"/>
      <c r="J224" s="20"/>
      <c r="K224" s="20"/>
      <c r="L224" s="20"/>
    </row>
    <row r="225" spans="1:12" s="10" customFormat="1" x14ac:dyDescent="0.3">
      <c r="A225" s="20" t="s">
        <v>4258</v>
      </c>
      <c r="B225" s="20" t="s">
        <v>3630</v>
      </c>
      <c r="C225" s="20" t="s">
        <v>6073</v>
      </c>
      <c r="D225" s="20" t="s">
        <v>5434</v>
      </c>
      <c r="E225" s="20" t="s">
        <v>6174</v>
      </c>
      <c r="F225" s="20"/>
      <c r="G225" s="20"/>
      <c r="H225" s="20"/>
      <c r="I225" s="20"/>
      <c r="J225" s="20"/>
      <c r="K225" s="20"/>
      <c r="L225" s="20"/>
    </row>
    <row r="226" spans="1:12" s="10" customFormat="1" x14ac:dyDescent="0.3">
      <c r="A226" s="20" t="s">
        <v>4263</v>
      </c>
      <c r="B226" s="20" t="s">
        <v>9527</v>
      </c>
      <c r="C226" s="20"/>
      <c r="D226" s="20"/>
      <c r="E226" s="20"/>
      <c r="F226" s="20"/>
      <c r="G226" s="20"/>
      <c r="H226" s="20"/>
      <c r="I226" s="20"/>
      <c r="J226" s="20"/>
      <c r="K226" s="20"/>
      <c r="L226" s="20"/>
    </row>
    <row r="227" spans="1:12" s="10" customFormat="1" x14ac:dyDescent="0.3">
      <c r="A227" s="20" t="s">
        <v>4271</v>
      </c>
      <c r="B227" s="20" t="s">
        <v>69</v>
      </c>
      <c r="C227" s="20" t="s">
        <v>1622</v>
      </c>
      <c r="D227" s="20" t="s">
        <v>4941</v>
      </c>
      <c r="E227" s="20"/>
      <c r="F227" s="20"/>
      <c r="G227" s="20"/>
      <c r="H227" s="20"/>
      <c r="I227" s="20"/>
      <c r="J227" s="20"/>
      <c r="K227" s="20"/>
      <c r="L227" s="20"/>
    </row>
    <row r="228" spans="1:12" s="10" customFormat="1" x14ac:dyDescent="0.3">
      <c r="A228" s="20" t="s">
        <v>5648</v>
      </c>
      <c r="B228" s="20" t="s">
        <v>4613</v>
      </c>
      <c r="C228" s="20" t="s">
        <v>458</v>
      </c>
      <c r="D228" s="23" t="s">
        <v>3987</v>
      </c>
      <c r="E228" s="20" t="s">
        <v>3758</v>
      </c>
      <c r="F228" s="20" t="s">
        <v>4134</v>
      </c>
      <c r="G228" s="20" t="s">
        <v>6374</v>
      </c>
      <c r="H228" s="20"/>
      <c r="I228" s="20"/>
      <c r="J228" s="20"/>
      <c r="K228" s="20"/>
      <c r="L228" s="20"/>
    </row>
    <row r="229" spans="1:12" s="10" customFormat="1" x14ac:dyDescent="0.3">
      <c r="A229" s="20" t="s">
        <v>5651</v>
      </c>
      <c r="B229" s="20" t="s">
        <v>3419</v>
      </c>
      <c r="C229" s="20" t="s">
        <v>7407</v>
      </c>
      <c r="D229" s="20" t="s">
        <v>1833</v>
      </c>
      <c r="E229" s="20"/>
      <c r="F229" s="20"/>
      <c r="G229" s="20"/>
      <c r="H229" s="20"/>
      <c r="I229" s="20"/>
      <c r="J229" s="20"/>
      <c r="K229" s="20"/>
      <c r="L229" s="20"/>
    </row>
    <row r="230" spans="1:12" s="10" customFormat="1" x14ac:dyDescent="0.3">
      <c r="A230" s="20" t="s">
        <v>4279</v>
      </c>
      <c r="B230" s="20" t="s">
        <v>458</v>
      </c>
      <c r="C230" s="20" t="s">
        <v>2725</v>
      </c>
      <c r="D230" s="20" t="s">
        <v>29</v>
      </c>
      <c r="E230" s="20" t="s">
        <v>5861</v>
      </c>
      <c r="F230" s="20" t="s">
        <v>6721</v>
      </c>
      <c r="G230" s="20" t="s">
        <v>2749</v>
      </c>
      <c r="H230" s="20" t="s">
        <v>4412</v>
      </c>
      <c r="I230" s="20"/>
      <c r="J230" s="20"/>
    </row>
    <row r="231" spans="1:12" s="10" customFormat="1" x14ac:dyDescent="0.3">
      <c r="A231" s="20" t="s">
        <v>3653</v>
      </c>
      <c r="B231" s="20" t="s">
        <v>3913</v>
      </c>
      <c r="C231" s="35" t="s">
        <v>2588</v>
      </c>
      <c r="D231" s="20"/>
      <c r="E231" s="20"/>
      <c r="F231" s="20"/>
      <c r="G231" s="20"/>
      <c r="H231" s="20"/>
      <c r="I231" s="20"/>
      <c r="J231" s="20"/>
      <c r="K231" s="20"/>
      <c r="L231" s="20"/>
    </row>
    <row r="232" spans="1:12" s="10" customFormat="1" x14ac:dyDescent="0.3">
      <c r="A232" s="20" t="s">
        <v>5655</v>
      </c>
      <c r="B232" s="20" t="s">
        <v>458</v>
      </c>
      <c r="C232" s="20" t="s">
        <v>2725</v>
      </c>
      <c r="D232" s="23" t="s">
        <v>6340</v>
      </c>
      <c r="E232" s="20" t="s">
        <v>5882</v>
      </c>
      <c r="F232" s="20"/>
      <c r="G232" s="20"/>
      <c r="H232" s="20"/>
      <c r="I232" s="20"/>
      <c r="J232" s="20"/>
      <c r="K232" s="20"/>
      <c r="L232" s="20"/>
    </row>
    <row r="233" spans="1:12" s="10" customFormat="1" x14ac:dyDescent="0.3">
      <c r="A233" s="20" t="s">
        <v>5660</v>
      </c>
      <c r="B233" s="20" t="s">
        <v>5957</v>
      </c>
      <c r="C233" s="23" t="s">
        <v>4789</v>
      </c>
      <c r="D233" s="20"/>
      <c r="E233" s="20"/>
      <c r="F233" s="20"/>
      <c r="G233" s="20"/>
      <c r="H233" s="20"/>
      <c r="I233" s="20"/>
      <c r="J233" s="20"/>
      <c r="K233" s="20"/>
      <c r="L233" s="20"/>
    </row>
    <row r="234" spans="1:12" s="10" customFormat="1" x14ac:dyDescent="0.3">
      <c r="A234" s="20" t="s">
        <v>1406</v>
      </c>
      <c r="B234" s="20" t="s">
        <v>2730</v>
      </c>
      <c r="C234" s="35" t="s">
        <v>1372</v>
      </c>
      <c r="D234" s="35" t="s">
        <v>1376</v>
      </c>
      <c r="E234" s="20" t="s">
        <v>1422</v>
      </c>
      <c r="F234" s="20" t="s">
        <v>9459</v>
      </c>
      <c r="G234" s="20"/>
      <c r="H234" s="20"/>
      <c r="I234" s="20"/>
      <c r="J234" s="20"/>
      <c r="K234" s="20"/>
      <c r="L234" s="20"/>
    </row>
    <row r="235" spans="1:12" s="10" customFormat="1" x14ac:dyDescent="0.3">
      <c r="A235" s="20" t="s">
        <v>642</v>
      </c>
      <c r="B235" s="20" t="s">
        <v>678</v>
      </c>
      <c r="C235" s="20" t="s">
        <v>6014</v>
      </c>
      <c r="D235" s="20" t="s">
        <v>2252</v>
      </c>
      <c r="E235" s="20" t="s">
        <v>3593</v>
      </c>
      <c r="F235" s="20" t="s">
        <v>4070</v>
      </c>
      <c r="G235" s="20" t="s">
        <v>666</v>
      </c>
      <c r="H235" s="23" t="s">
        <v>7716</v>
      </c>
      <c r="I235" s="20" t="s">
        <v>686</v>
      </c>
      <c r="J235" s="20" t="s">
        <v>3959</v>
      </c>
      <c r="K235" s="20"/>
      <c r="L235" s="20"/>
    </row>
    <row r="236" spans="1:12" s="10" customFormat="1" x14ac:dyDescent="0.3">
      <c r="A236" s="20" t="s">
        <v>5668</v>
      </c>
      <c r="B236" s="20" t="s">
        <v>5596</v>
      </c>
      <c r="C236" s="20" t="s">
        <v>6558</v>
      </c>
      <c r="D236" s="20" t="s">
        <v>4070</v>
      </c>
      <c r="E236" s="20" t="s">
        <v>1723</v>
      </c>
      <c r="F236" s="20" t="s">
        <v>3959</v>
      </c>
      <c r="G236" s="20" t="s">
        <v>7591</v>
      </c>
      <c r="H236" s="20" t="s">
        <v>686</v>
      </c>
      <c r="I236" s="20" t="s">
        <v>666</v>
      </c>
      <c r="J236" s="20" t="s">
        <v>634</v>
      </c>
      <c r="K236" s="20"/>
      <c r="L236" s="20"/>
    </row>
    <row r="237" spans="1:12" s="10" customFormat="1" x14ac:dyDescent="0.3">
      <c r="A237" s="20" t="s">
        <v>5672</v>
      </c>
      <c r="B237" s="20" t="s">
        <v>4450</v>
      </c>
      <c r="C237" s="20" t="s">
        <v>2637</v>
      </c>
      <c r="D237" s="23"/>
      <c r="E237" s="23"/>
      <c r="F237" s="20"/>
      <c r="G237" s="20"/>
      <c r="H237" s="20"/>
      <c r="I237" s="20"/>
      <c r="J237" s="20"/>
      <c r="K237" s="20"/>
      <c r="L237" s="20"/>
    </row>
    <row r="238" spans="1:12" s="10" customFormat="1" x14ac:dyDescent="0.3">
      <c r="A238" s="10" t="s">
        <v>1718</v>
      </c>
      <c r="B238" s="10" t="s">
        <v>3033</v>
      </c>
      <c r="C238" s="10" t="s">
        <v>29</v>
      </c>
      <c r="D238" s="10" t="s">
        <v>9513</v>
      </c>
      <c r="E238" s="10" t="s">
        <v>2725</v>
      </c>
      <c r="K238" s="20"/>
      <c r="L238" s="20"/>
    </row>
    <row r="239" spans="1:12" s="10" customFormat="1" x14ac:dyDescent="0.3">
      <c r="A239" s="20" t="s">
        <v>4283</v>
      </c>
      <c r="B239" s="23" t="s">
        <v>1846</v>
      </c>
      <c r="C239" s="20" t="s">
        <v>1335</v>
      </c>
      <c r="D239" s="20" t="s">
        <v>5426</v>
      </c>
      <c r="E239" s="20" t="s">
        <v>3313</v>
      </c>
      <c r="F239" s="20" t="s">
        <v>5406</v>
      </c>
      <c r="G239" s="20" t="s">
        <v>5767</v>
      </c>
      <c r="H239" s="20" t="s">
        <v>884</v>
      </c>
      <c r="I239" s="20"/>
      <c r="J239" s="20"/>
      <c r="K239" s="20"/>
      <c r="L239" s="20"/>
    </row>
    <row r="240" spans="1:12" s="10" customFormat="1" x14ac:dyDescent="0.3">
      <c r="A240" s="20" t="s">
        <v>3671</v>
      </c>
      <c r="B240" s="20" t="s">
        <v>3541</v>
      </c>
      <c r="C240" s="20" t="s">
        <v>786</v>
      </c>
      <c r="D240" s="20" t="s">
        <v>820</v>
      </c>
      <c r="E240" s="20" t="s">
        <v>823</v>
      </c>
      <c r="F240" s="20" t="s">
        <v>3185</v>
      </c>
      <c r="G240" s="20" t="s">
        <v>3188</v>
      </c>
      <c r="H240" s="20"/>
      <c r="I240" s="20"/>
      <c r="J240" s="20"/>
      <c r="K240" s="20"/>
      <c r="L240" s="20"/>
    </row>
    <row r="241" spans="1:12" s="10" customFormat="1" x14ac:dyDescent="0.3">
      <c r="A241" s="20" t="s">
        <v>4291</v>
      </c>
      <c r="B241" s="20" t="s">
        <v>5309</v>
      </c>
      <c r="C241" s="20" t="s">
        <v>6830</v>
      </c>
      <c r="D241" s="20" t="s">
        <v>5732</v>
      </c>
      <c r="E241" s="20" t="s">
        <v>3758</v>
      </c>
      <c r="F241" s="20"/>
      <c r="G241" s="20"/>
      <c r="H241" s="20"/>
      <c r="I241" s="20"/>
      <c r="J241" s="20"/>
      <c r="K241" s="20"/>
      <c r="L241" s="20"/>
    </row>
    <row r="242" spans="1:12" s="10" customFormat="1" x14ac:dyDescent="0.3">
      <c r="A242" s="20" t="s">
        <v>4295</v>
      </c>
      <c r="B242" s="20" t="s">
        <v>6798</v>
      </c>
      <c r="C242" s="20" t="s">
        <v>5393</v>
      </c>
      <c r="D242" s="20" t="s">
        <v>34</v>
      </c>
      <c r="E242" s="20" t="s">
        <v>2089</v>
      </c>
      <c r="F242" s="20" t="s">
        <v>2094</v>
      </c>
      <c r="G242" s="20" t="s">
        <v>2876</v>
      </c>
      <c r="H242" s="20"/>
      <c r="I242" s="20"/>
      <c r="J242" s="20"/>
      <c r="K242" s="20"/>
      <c r="L242" s="20"/>
    </row>
    <row r="243" spans="1:12" s="10" customFormat="1" x14ac:dyDescent="0.3">
      <c r="A243" s="20" t="s">
        <v>3685</v>
      </c>
      <c r="B243" s="20" t="s">
        <v>3374</v>
      </c>
      <c r="C243" s="20" t="s">
        <v>7365</v>
      </c>
      <c r="D243" s="20"/>
      <c r="E243" s="20"/>
      <c r="F243" s="20"/>
      <c r="G243" s="20"/>
      <c r="H243" s="20"/>
      <c r="I243" s="20"/>
      <c r="J243" s="20"/>
      <c r="K243" s="20"/>
      <c r="L243" s="20"/>
    </row>
    <row r="244" spans="1:12" s="10" customFormat="1" x14ac:dyDescent="0.3">
      <c r="A244" s="20" t="s">
        <v>4303</v>
      </c>
      <c r="B244" s="20" t="s">
        <v>7000</v>
      </c>
      <c r="C244" s="20" t="s">
        <v>458</v>
      </c>
      <c r="D244" s="20" t="s">
        <v>3862</v>
      </c>
      <c r="E244" s="20" t="s">
        <v>3908</v>
      </c>
      <c r="F244" s="20" t="s">
        <v>690</v>
      </c>
      <c r="G244" s="20"/>
      <c r="H244" s="20"/>
      <c r="I244" s="20"/>
      <c r="J244" s="20"/>
      <c r="K244" s="20"/>
      <c r="L244" s="20"/>
    </row>
    <row r="245" spans="1:12" s="10" customFormat="1" x14ac:dyDescent="0.3">
      <c r="A245" s="20" t="s">
        <v>5680</v>
      </c>
      <c r="B245" s="20" t="s">
        <v>458</v>
      </c>
      <c r="C245" s="20" t="s">
        <v>2725</v>
      </c>
      <c r="D245" s="20" t="s">
        <v>9513</v>
      </c>
      <c r="E245" s="20" t="s">
        <v>5655</v>
      </c>
      <c r="F245" s="20" t="s">
        <v>7591</v>
      </c>
      <c r="G245" s="20" t="s">
        <v>6097</v>
      </c>
      <c r="H245" s="20"/>
      <c r="I245" s="20"/>
      <c r="J245" s="20"/>
      <c r="K245" s="20"/>
      <c r="L245" s="20"/>
    </row>
    <row r="246" spans="1:12" s="10" customFormat="1" x14ac:dyDescent="0.3">
      <c r="A246" s="20" t="s">
        <v>4307</v>
      </c>
      <c r="B246" s="20" t="s">
        <v>1622</v>
      </c>
      <c r="C246" s="20" t="s">
        <v>7225</v>
      </c>
      <c r="D246" s="20" t="s">
        <v>6928</v>
      </c>
      <c r="E246" s="20" t="s">
        <v>4985</v>
      </c>
      <c r="F246" s="20"/>
      <c r="G246" s="20"/>
      <c r="H246" s="20"/>
      <c r="I246" s="20"/>
      <c r="J246" s="20"/>
    </row>
    <row r="247" spans="1:12" s="10" customFormat="1" x14ac:dyDescent="0.3">
      <c r="A247" s="20" t="s">
        <v>3692</v>
      </c>
      <c r="B247" s="20" t="s">
        <v>4080</v>
      </c>
      <c r="C247" s="20" t="s">
        <v>3935</v>
      </c>
      <c r="D247" s="20" t="s">
        <v>3925</v>
      </c>
      <c r="E247" s="20"/>
      <c r="F247" s="20"/>
      <c r="G247" s="20"/>
      <c r="H247" s="20"/>
      <c r="I247" s="20"/>
      <c r="J247" s="20"/>
      <c r="K247" s="20"/>
      <c r="L247" s="20"/>
    </row>
    <row r="248" spans="1:12" s="10" customFormat="1" x14ac:dyDescent="0.3">
      <c r="A248" s="20" t="s">
        <v>5684</v>
      </c>
      <c r="B248" s="20" t="s">
        <v>4743</v>
      </c>
      <c r="C248" s="20" t="s">
        <v>2600</v>
      </c>
      <c r="D248" s="20"/>
      <c r="E248" s="20"/>
      <c r="F248" s="20"/>
      <c r="G248" s="20"/>
      <c r="H248" s="20"/>
      <c r="I248" s="20"/>
      <c r="J248" s="20"/>
      <c r="K248" s="20"/>
      <c r="L248" s="20"/>
    </row>
    <row r="249" spans="1:12" s="10" customFormat="1" x14ac:dyDescent="0.3">
      <c r="A249" s="20" t="s">
        <v>1077</v>
      </c>
      <c r="B249" s="23" t="s">
        <v>1029</v>
      </c>
      <c r="C249" s="23" t="s">
        <v>9524</v>
      </c>
      <c r="D249" s="20" t="s">
        <v>1025</v>
      </c>
      <c r="E249" s="20"/>
      <c r="F249" s="20"/>
      <c r="G249" s="20"/>
      <c r="H249" s="20"/>
      <c r="I249" s="20"/>
      <c r="J249" s="20"/>
      <c r="K249" s="20"/>
      <c r="L249" s="20"/>
    </row>
    <row r="250" spans="1:12" s="10" customFormat="1" x14ac:dyDescent="0.3">
      <c r="A250" s="20" t="s">
        <v>2152</v>
      </c>
      <c r="B250" s="20" t="s">
        <v>1025</v>
      </c>
      <c r="C250" s="20" t="s">
        <v>2128</v>
      </c>
      <c r="D250" s="20" t="s">
        <v>2123</v>
      </c>
      <c r="E250" s="20" t="s">
        <v>5984</v>
      </c>
      <c r="F250" s="20"/>
      <c r="G250" s="20"/>
      <c r="H250" s="20"/>
      <c r="I250" s="20"/>
      <c r="J250" s="20"/>
    </row>
    <row r="251" spans="1:12" s="10" customFormat="1" x14ac:dyDescent="0.3">
      <c r="A251" s="20" t="s">
        <v>2325</v>
      </c>
      <c r="B251" s="20" t="s">
        <v>2304</v>
      </c>
      <c r="C251" s="20" t="s">
        <v>2350</v>
      </c>
      <c r="D251" s="23" t="s">
        <v>2361</v>
      </c>
      <c r="E251" s="23" t="s">
        <v>2365</v>
      </c>
      <c r="F251" s="20" t="s">
        <v>2309</v>
      </c>
      <c r="G251" s="20" t="s">
        <v>2317</v>
      </c>
      <c r="H251" s="20" t="s">
        <v>2357</v>
      </c>
      <c r="I251" s="20" t="s">
        <v>9516</v>
      </c>
      <c r="J251" s="20" t="s">
        <v>9484</v>
      </c>
      <c r="K251" s="20"/>
      <c r="L251" s="20"/>
    </row>
    <row r="252" spans="1:12" s="10" customFormat="1" x14ac:dyDescent="0.3">
      <c r="A252" s="20" t="s">
        <v>5690</v>
      </c>
      <c r="B252" s="23" t="s">
        <v>5613</v>
      </c>
      <c r="C252" s="20" t="s">
        <v>2123</v>
      </c>
      <c r="D252" s="20" t="s">
        <v>3987</v>
      </c>
      <c r="E252" s="20" t="s">
        <v>4087</v>
      </c>
      <c r="F252" s="20" t="s">
        <v>5213</v>
      </c>
      <c r="G252" s="20" t="s">
        <v>5751</v>
      </c>
      <c r="H252" s="20" t="s">
        <v>4134</v>
      </c>
      <c r="I252" s="20" t="s">
        <v>6374</v>
      </c>
      <c r="J252" s="20" t="s">
        <v>5385</v>
      </c>
    </row>
    <row r="253" spans="1:12" s="10" customFormat="1" x14ac:dyDescent="0.3">
      <c r="A253" s="20" t="s">
        <v>3697</v>
      </c>
      <c r="B253" s="20" t="s">
        <v>3702</v>
      </c>
      <c r="C253" s="20" t="s">
        <v>4556</v>
      </c>
      <c r="D253" s="20" t="s">
        <v>756</v>
      </c>
      <c r="E253" s="20" t="s">
        <v>6718</v>
      </c>
      <c r="F253" s="35" t="s">
        <v>577</v>
      </c>
      <c r="G253" s="20" t="s">
        <v>9494</v>
      </c>
      <c r="H253" s="20"/>
      <c r="I253" s="20"/>
      <c r="J253" s="20"/>
      <c r="K253" s="20"/>
      <c r="L253" s="20"/>
    </row>
    <row r="254" spans="1:12" s="10" customFormat="1" x14ac:dyDescent="0.3">
      <c r="A254" s="10" t="s">
        <v>1764</v>
      </c>
      <c r="B254" s="35" t="s">
        <v>4446</v>
      </c>
      <c r="C254" s="35" t="s">
        <v>5732</v>
      </c>
      <c r="D254" s="35" t="s">
        <v>1697</v>
      </c>
      <c r="K254" s="20"/>
      <c r="L254" s="20"/>
    </row>
    <row r="255" spans="1:12" s="10" customFormat="1" x14ac:dyDescent="0.3">
      <c r="A255" s="20" t="s">
        <v>2608</v>
      </c>
      <c r="B255" s="20" t="s">
        <v>6504</v>
      </c>
      <c r="C255" s="20" t="s">
        <v>2611</v>
      </c>
      <c r="D255" s="20" t="s">
        <v>4580</v>
      </c>
      <c r="E255" s="20" t="s">
        <v>7672</v>
      </c>
      <c r="F255" s="20" t="s">
        <v>2876</v>
      </c>
      <c r="G255" s="20"/>
      <c r="H255" s="20"/>
      <c r="I255" s="20"/>
      <c r="J255" s="20"/>
    </row>
    <row r="256" spans="1:12" s="10" customFormat="1" x14ac:dyDescent="0.3">
      <c r="A256" s="20" t="s">
        <v>5698</v>
      </c>
      <c r="B256" s="20" t="s">
        <v>416</v>
      </c>
      <c r="C256" s="20" t="s">
        <v>2260</v>
      </c>
      <c r="D256" s="20" t="s">
        <v>4899</v>
      </c>
      <c r="E256" s="20"/>
      <c r="F256" s="20"/>
      <c r="G256" s="20"/>
      <c r="H256" s="20"/>
      <c r="I256" s="20"/>
      <c r="J256" s="20"/>
      <c r="K256" s="20"/>
      <c r="L256" s="20"/>
    </row>
    <row r="257" spans="1:12" s="10" customFormat="1" x14ac:dyDescent="0.3">
      <c r="A257" s="20" t="s">
        <v>4315</v>
      </c>
      <c r="B257" s="20" t="s">
        <v>2851</v>
      </c>
      <c r="C257" s="20" t="s">
        <v>2839</v>
      </c>
      <c r="D257" s="35" t="s">
        <v>2555</v>
      </c>
      <c r="E257" s="20" t="s">
        <v>5668</v>
      </c>
      <c r="F257" s="20" t="s">
        <v>6558</v>
      </c>
      <c r="G257" s="20" t="s">
        <v>9408</v>
      </c>
      <c r="H257" s="20"/>
      <c r="I257" s="20"/>
      <c r="J257" s="20"/>
      <c r="K257" s="20"/>
      <c r="L257" s="20"/>
    </row>
    <row r="258" spans="1:12" s="10" customFormat="1" x14ac:dyDescent="0.3">
      <c r="A258" s="10" t="s">
        <v>5703</v>
      </c>
      <c r="B258" s="10" t="s">
        <v>29</v>
      </c>
      <c r="C258" s="10" t="s">
        <v>473</v>
      </c>
      <c r="D258" s="10" t="s">
        <v>531</v>
      </c>
      <c r="E258" s="35" t="s">
        <v>526</v>
      </c>
      <c r="F258" s="10" t="s">
        <v>499</v>
      </c>
      <c r="G258" s="10" t="s">
        <v>490</v>
      </c>
      <c r="K258" s="20"/>
      <c r="L258" s="20"/>
    </row>
    <row r="259" spans="1:12" s="10" customFormat="1" x14ac:dyDescent="0.3">
      <c r="A259" s="20" t="s">
        <v>5706</v>
      </c>
      <c r="B259" s="23" t="s">
        <v>3193</v>
      </c>
      <c r="C259" s="23" t="s">
        <v>4870</v>
      </c>
      <c r="D259" s="20" t="s">
        <v>820</v>
      </c>
      <c r="E259" s="20" t="s">
        <v>3185</v>
      </c>
      <c r="F259" s="20" t="s">
        <v>1029</v>
      </c>
      <c r="G259" s="20" t="s">
        <v>1060</v>
      </c>
      <c r="H259" s="20"/>
      <c r="I259" s="20"/>
      <c r="J259" s="20"/>
    </row>
    <row r="260" spans="1:12" s="10" customFormat="1" x14ac:dyDescent="0.3">
      <c r="A260" s="10" t="s">
        <v>756</v>
      </c>
      <c r="B260" s="10" t="s">
        <v>4556</v>
      </c>
      <c r="C260" s="10" t="s">
        <v>3702</v>
      </c>
      <c r="D260" s="10" t="s">
        <v>750</v>
      </c>
      <c r="E260" s="10" t="s">
        <v>6920</v>
      </c>
    </row>
    <row r="261" spans="1:12" s="10" customFormat="1" x14ac:dyDescent="0.3">
      <c r="A261" s="20" t="s">
        <v>5711</v>
      </c>
      <c r="B261" s="35" t="s">
        <v>2455</v>
      </c>
      <c r="C261" s="23" t="s">
        <v>4142</v>
      </c>
      <c r="D261" s="23" t="s">
        <v>760</v>
      </c>
      <c r="E261" s="20" t="s">
        <v>5426</v>
      </c>
      <c r="F261" s="20" t="s">
        <v>3971</v>
      </c>
      <c r="G261" s="20"/>
      <c r="H261" s="20"/>
      <c r="I261" s="20"/>
      <c r="J261" s="20"/>
      <c r="K261" s="20"/>
      <c r="L261" s="20"/>
    </row>
    <row r="262" spans="1:12" s="10" customFormat="1" x14ac:dyDescent="0.3">
      <c r="A262" s="20" t="s">
        <v>4323</v>
      </c>
      <c r="B262" s="20" t="s">
        <v>2394</v>
      </c>
      <c r="C262" s="20" t="s">
        <v>6481</v>
      </c>
      <c r="D262" s="23" t="s">
        <v>3185</v>
      </c>
      <c r="E262" s="20" t="s">
        <v>820</v>
      </c>
      <c r="F262" s="20"/>
      <c r="G262" s="20"/>
      <c r="H262" s="20"/>
      <c r="I262" s="20"/>
      <c r="J262" s="20"/>
      <c r="K262" s="20"/>
      <c r="L262" s="20"/>
    </row>
    <row r="263" spans="1:12" s="10" customFormat="1" x14ac:dyDescent="0.3">
      <c r="A263" s="10" t="s">
        <v>5719</v>
      </c>
      <c r="B263" s="10" t="s">
        <v>5434</v>
      </c>
      <c r="C263" s="10" t="s">
        <v>6073</v>
      </c>
      <c r="D263" s="10" t="s">
        <v>3870</v>
      </c>
      <c r="E263" s="10" t="s">
        <v>2123</v>
      </c>
      <c r="F263" s="10" t="s">
        <v>2119</v>
      </c>
      <c r="K263" s="20"/>
      <c r="L263" s="20"/>
    </row>
    <row r="264" spans="1:12" s="10" customFormat="1" x14ac:dyDescent="0.3">
      <c r="A264" s="20" t="s">
        <v>4331</v>
      </c>
      <c r="B264" s="23" t="s">
        <v>1175</v>
      </c>
      <c r="C264" s="23" t="s">
        <v>1585</v>
      </c>
      <c r="D264" s="23" t="s">
        <v>5406</v>
      </c>
      <c r="E264" s="23" t="s">
        <v>3332</v>
      </c>
      <c r="F264" s="20" t="s">
        <v>3326</v>
      </c>
      <c r="G264" s="20" t="s">
        <v>5778</v>
      </c>
      <c r="H264" s="20"/>
      <c r="I264" s="20"/>
      <c r="J264" s="20"/>
      <c r="K264" s="20"/>
      <c r="L264" s="20"/>
    </row>
    <row r="265" spans="1:12" s="10" customFormat="1" x14ac:dyDescent="0.3">
      <c r="A265" s="20" t="s">
        <v>3718</v>
      </c>
      <c r="B265" s="20" t="s">
        <v>6517</v>
      </c>
      <c r="C265" s="20"/>
      <c r="D265" s="20"/>
      <c r="E265" s="20"/>
      <c r="F265" s="20"/>
      <c r="G265" s="20"/>
      <c r="H265" s="20"/>
      <c r="I265" s="20"/>
      <c r="J265" s="20"/>
      <c r="K265" s="20"/>
      <c r="L265" s="20"/>
    </row>
    <row r="266" spans="1:12" s="10" customFormat="1" x14ac:dyDescent="0.3">
      <c r="A266" s="20" t="s">
        <v>5725</v>
      </c>
      <c r="B266" s="20" t="s">
        <v>5735</v>
      </c>
      <c r="C266" s="20" t="s">
        <v>4378</v>
      </c>
      <c r="D266" s="23"/>
      <c r="E266" s="20"/>
      <c r="F266" s="20"/>
      <c r="G266" s="20"/>
      <c r="H266" s="20"/>
      <c r="I266" s="20"/>
      <c r="J266" s="20"/>
      <c r="K266" s="20"/>
      <c r="L266" s="20"/>
    </row>
    <row r="267" spans="1:12" s="10" customFormat="1" x14ac:dyDescent="0.3">
      <c r="A267" s="10" t="s">
        <v>702</v>
      </c>
      <c r="B267" s="10" t="s">
        <v>34</v>
      </c>
      <c r="C267" s="10" t="s">
        <v>6920</v>
      </c>
      <c r="D267" s="10" t="s">
        <v>6258</v>
      </c>
      <c r="K267" s="20"/>
      <c r="L267" s="20"/>
    </row>
    <row r="268" spans="1:12" s="10" customFormat="1" x14ac:dyDescent="0.3">
      <c r="A268" s="10" t="s">
        <v>2204</v>
      </c>
      <c r="B268" s="10" t="s">
        <v>458</v>
      </c>
      <c r="C268" s="10" t="s">
        <v>6178</v>
      </c>
      <c r="D268" s="10" t="s">
        <v>23</v>
      </c>
      <c r="E268" s="10" t="s">
        <v>2749</v>
      </c>
      <c r="F268" s="10" t="s">
        <v>2758</v>
      </c>
      <c r="G268" s="10" t="s">
        <v>6920</v>
      </c>
      <c r="K268" s="20"/>
      <c r="L268" s="20"/>
    </row>
    <row r="269" spans="1:12" s="10" customFormat="1" x14ac:dyDescent="0.3">
      <c r="A269" s="20" t="s">
        <v>4339</v>
      </c>
      <c r="B269" s="20" t="s">
        <v>6698</v>
      </c>
      <c r="C269" s="20" t="s">
        <v>3486</v>
      </c>
      <c r="D269" s="20" t="s">
        <v>7285</v>
      </c>
      <c r="E269" s="20" t="s">
        <v>6662</v>
      </c>
      <c r="F269" s="20" t="s">
        <v>473</v>
      </c>
      <c r="G269" s="20"/>
      <c r="H269" s="20"/>
      <c r="I269" s="20"/>
      <c r="J269" s="20"/>
      <c r="K269" s="20"/>
      <c r="L269" s="20"/>
    </row>
    <row r="270" spans="1:12" s="10" customFormat="1" x14ac:dyDescent="0.3">
      <c r="A270" s="20" t="s">
        <v>1962</v>
      </c>
      <c r="B270" s="20" t="s">
        <v>5793</v>
      </c>
      <c r="C270" s="20" t="s">
        <v>5976</v>
      </c>
      <c r="D270" s="20" t="s">
        <v>670</v>
      </c>
      <c r="E270" s="20" t="s">
        <v>6295</v>
      </c>
      <c r="F270" s="20" t="s">
        <v>4070</v>
      </c>
      <c r="G270" s="20"/>
      <c r="H270" s="20"/>
      <c r="I270" s="20"/>
      <c r="J270" s="20"/>
    </row>
    <row r="271" spans="1:12" s="10" customFormat="1" x14ac:dyDescent="0.3">
      <c r="A271" s="20" t="s">
        <v>3747</v>
      </c>
      <c r="B271" s="20" t="s">
        <v>7397</v>
      </c>
      <c r="C271" s="20" t="s">
        <v>957</v>
      </c>
      <c r="D271" s="20"/>
      <c r="E271" s="20"/>
      <c r="F271" s="20"/>
      <c r="G271" s="20"/>
      <c r="H271" s="20"/>
      <c r="I271" s="20"/>
      <c r="J271" s="20"/>
      <c r="K271" s="20"/>
      <c r="L271" s="20"/>
    </row>
    <row r="272" spans="1:12" s="10" customFormat="1" x14ac:dyDescent="0.3">
      <c r="A272" s="20" t="s">
        <v>5732</v>
      </c>
      <c r="B272" s="20" t="s">
        <v>5213</v>
      </c>
      <c r="C272" s="20" t="s">
        <v>3758</v>
      </c>
      <c r="D272" s="20" t="s">
        <v>5309</v>
      </c>
      <c r="E272" s="20" t="s">
        <v>7177</v>
      </c>
      <c r="F272" s="20" t="s">
        <v>5801</v>
      </c>
      <c r="G272" s="20"/>
      <c r="H272" s="20"/>
      <c r="I272" s="20"/>
      <c r="J272" s="20"/>
      <c r="K272" s="20"/>
      <c r="L272" s="20"/>
    </row>
    <row r="273" spans="1:12" s="10" customFormat="1" x14ac:dyDescent="0.3">
      <c r="A273" s="20" t="s">
        <v>3758</v>
      </c>
      <c r="B273" s="20" t="s">
        <v>5732</v>
      </c>
      <c r="C273" s="20" t="s">
        <v>5309</v>
      </c>
      <c r="D273" s="20" t="s">
        <v>5213</v>
      </c>
      <c r="E273" s="20" t="s">
        <v>1279</v>
      </c>
      <c r="F273" s="20" t="s">
        <v>1931</v>
      </c>
      <c r="G273" s="20" t="s">
        <v>1293</v>
      </c>
      <c r="H273" s="20" t="s">
        <v>1319</v>
      </c>
      <c r="I273" s="20" t="s">
        <v>7516</v>
      </c>
      <c r="J273" s="20"/>
    </row>
    <row r="274" spans="1:12" s="10" customFormat="1" x14ac:dyDescent="0.3">
      <c r="A274" s="20" t="s">
        <v>618</v>
      </c>
      <c r="B274" s="20" t="s">
        <v>3764</v>
      </c>
      <c r="C274" s="23" t="s">
        <v>670</v>
      </c>
      <c r="D274" s="20" t="s">
        <v>6295</v>
      </c>
      <c r="E274" s="20" t="s">
        <v>622</v>
      </c>
      <c r="F274" s="20" t="s">
        <v>7601</v>
      </c>
      <c r="G274" s="20" t="s">
        <v>7716</v>
      </c>
      <c r="H274" s="20"/>
      <c r="I274" s="20"/>
      <c r="J274" s="20"/>
    </row>
    <row r="275" spans="1:12" s="10" customFormat="1" x14ac:dyDescent="0.3">
      <c r="A275" s="20" t="s">
        <v>940</v>
      </c>
      <c r="B275" s="20" t="s">
        <v>880</v>
      </c>
      <c r="C275" s="20" t="s">
        <v>908</v>
      </c>
      <c r="D275" s="20" t="s">
        <v>912</v>
      </c>
      <c r="E275" s="20" t="s">
        <v>7100</v>
      </c>
      <c r="F275" s="23" t="s">
        <v>960</v>
      </c>
      <c r="G275" s="20" t="s">
        <v>944</v>
      </c>
      <c r="H275" s="20"/>
      <c r="I275" s="20"/>
      <c r="J275" s="20"/>
      <c r="K275" s="20"/>
      <c r="L275" s="20"/>
    </row>
    <row r="276" spans="1:12" s="10" customFormat="1" x14ac:dyDescent="0.3">
      <c r="A276" s="20" t="s">
        <v>5735</v>
      </c>
      <c r="B276" s="20" t="s">
        <v>5725</v>
      </c>
      <c r="C276" s="20" t="s">
        <v>4378</v>
      </c>
      <c r="D276" s="23" t="s">
        <v>6188</v>
      </c>
      <c r="E276" s="23" t="s">
        <v>5882</v>
      </c>
      <c r="F276" s="20" t="s">
        <v>5865</v>
      </c>
      <c r="G276" s="20"/>
      <c r="H276" s="20"/>
      <c r="I276" s="20"/>
      <c r="J276" s="20"/>
    </row>
    <row r="277" spans="1:12" s="10" customFormat="1" x14ac:dyDescent="0.3">
      <c r="A277" s="26" t="s">
        <v>9539</v>
      </c>
      <c r="B277" s="27" t="s">
        <v>4425</v>
      </c>
      <c r="C277" s="27" t="s">
        <v>5989</v>
      </c>
      <c r="D277" s="27" t="s">
        <v>968</v>
      </c>
      <c r="E277" s="27"/>
      <c r="F277" s="27"/>
      <c r="G277" s="27"/>
      <c r="H277" s="27"/>
      <c r="I277" s="27"/>
      <c r="J277" s="27"/>
    </row>
    <row r="278" spans="1:12" s="10" customFormat="1" x14ac:dyDescent="0.3">
      <c r="A278" s="20" t="s">
        <v>5743</v>
      </c>
      <c r="B278" s="20" t="s">
        <v>5401</v>
      </c>
      <c r="C278" s="20" t="s">
        <v>4064</v>
      </c>
      <c r="D278" s="20" t="s">
        <v>4906</v>
      </c>
      <c r="E278" s="20"/>
      <c r="F278" s="20"/>
      <c r="G278" s="20"/>
      <c r="H278" s="20"/>
      <c r="I278" s="20"/>
      <c r="J278" s="20"/>
      <c r="K278" s="20"/>
      <c r="L278" s="20"/>
    </row>
    <row r="279" spans="1:12" s="10" customFormat="1" x14ac:dyDescent="0.3">
      <c r="A279" s="20" t="s">
        <v>3780</v>
      </c>
      <c r="B279" s="10" t="s">
        <v>4054</v>
      </c>
      <c r="C279" s="10" t="s">
        <v>3785</v>
      </c>
      <c r="D279" s="10" t="s">
        <v>3944</v>
      </c>
      <c r="K279" s="20"/>
      <c r="L279" s="20"/>
    </row>
    <row r="280" spans="1:12" s="10" customFormat="1" x14ac:dyDescent="0.3">
      <c r="A280" s="20" t="s">
        <v>5751</v>
      </c>
      <c r="B280" s="20" t="s">
        <v>5213</v>
      </c>
      <c r="C280" s="20" t="s">
        <v>5801</v>
      </c>
      <c r="D280" s="20" t="s">
        <v>6208</v>
      </c>
      <c r="E280" s="20" t="s">
        <v>5732</v>
      </c>
      <c r="F280" s="20" t="s">
        <v>3758</v>
      </c>
      <c r="G280" s="35" t="s">
        <v>1383</v>
      </c>
      <c r="H280" s="23" t="s">
        <v>9664</v>
      </c>
      <c r="I280" s="20" t="s">
        <v>2851</v>
      </c>
      <c r="J280" s="20"/>
    </row>
    <row r="281" spans="1:12" s="10" customFormat="1" x14ac:dyDescent="0.3">
      <c r="A281" s="20" t="s">
        <v>5759</v>
      </c>
      <c r="B281" s="23" t="s">
        <v>6895</v>
      </c>
      <c r="C281" s="20" t="s">
        <v>7771</v>
      </c>
      <c r="D281" s="23" t="s">
        <v>4216</v>
      </c>
      <c r="E281" s="20" t="s">
        <v>6457</v>
      </c>
      <c r="F281" s="20"/>
      <c r="G281" s="20"/>
      <c r="H281" s="20"/>
      <c r="I281" s="20"/>
      <c r="J281" s="20"/>
      <c r="K281" s="20"/>
      <c r="L281" s="20"/>
    </row>
    <row r="282" spans="1:12" s="10" customFormat="1" x14ac:dyDescent="0.3">
      <c r="A282" s="20" t="s">
        <v>3785</v>
      </c>
      <c r="B282" s="10" t="s">
        <v>3944</v>
      </c>
      <c r="C282" s="10" t="s">
        <v>3780</v>
      </c>
      <c r="D282" s="10" t="s">
        <v>4054</v>
      </c>
      <c r="K282" s="20"/>
      <c r="L282" s="20"/>
    </row>
    <row r="283" spans="1:12" s="10" customFormat="1" x14ac:dyDescent="0.3">
      <c r="A283" s="20" t="s">
        <v>3789</v>
      </c>
      <c r="B283" s="10" t="s">
        <v>972</v>
      </c>
      <c r="C283" s="10" t="s">
        <v>3891</v>
      </c>
      <c r="D283" s="10" t="s">
        <v>3548</v>
      </c>
      <c r="E283" s="10" t="s">
        <v>7009</v>
      </c>
      <c r="F283" s="10" t="s">
        <v>3463</v>
      </c>
      <c r="G283" s="10" t="s">
        <v>6920</v>
      </c>
      <c r="H283" s="10" t="s">
        <v>3553</v>
      </c>
      <c r="I283" s="10" t="s">
        <v>3978</v>
      </c>
      <c r="J283" s="10" t="s">
        <v>880</v>
      </c>
      <c r="K283" s="20"/>
      <c r="L283" s="20"/>
    </row>
    <row r="284" spans="1:12" s="10" customFormat="1" x14ac:dyDescent="0.3">
      <c r="A284" s="20" t="s">
        <v>5767</v>
      </c>
      <c r="B284" s="20" t="s">
        <v>6258</v>
      </c>
      <c r="C284" s="20" t="s">
        <v>884</v>
      </c>
      <c r="D284" s="20" t="s">
        <v>3313</v>
      </c>
      <c r="E284" s="20" t="s">
        <v>5406</v>
      </c>
      <c r="F284" s="20" t="s">
        <v>4283</v>
      </c>
      <c r="G284" s="20" t="s">
        <v>7456</v>
      </c>
      <c r="H284" s="20" t="s">
        <v>1552</v>
      </c>
      <c r="I284" s="20" t="s">
        <v>6920</v>
      </c>
      <c r="J284" s="20"/>
      <c r="K284" s="20"/>
      <c r="L284" s="20"/>
    </row>
    <row r="285" spans="1:12" s="10" customFormat="1" x14ac:dyDescent="0.3">
      <c r="A285" s="20" t="s">
        <v>955</v>
      </c>
      <c r="B285" s="10" t="s">
        <v>948</v>
      </c>
      <c r="C285" s="10" t="s">
        <v>953</v>
      </c>
      <c r="K285" s="20"/>
      <c r="L285" s="20"/>
    </row>
    <row r="286" spans="1:12" s="10" customFormat="1" x14ac:dyDescent="0.3">
      <c r="A286" s="10" t="s">
        <v>1055</v>
      </c>
      <c r="B286" s="10" t="s">
        <v>7601</v>
      </c>
      <c r="C286" s="10" t="s">
        <v>1029</v>
      </c>
      <c r="D286" s="10" t="s">
        <v>1051</v>
      </c>
      <c r="E286" s="35" t="s">
        <v>2437</v>
      </c>
      <c r="F286" s="10" t="s">
        <v>6920</v>
      </c>
      <c r="K286" s="20"/>
      <c r="L286" s="20"/>
    </row>
    <row r="287" spans="1:12" s="10" customFormat="1" x14ac:dyDescent="0.3">
      <c r="A287" s="20" t="s">
        <v>5774</v>
      </c>
      <c r="B287" s="20" t="s">
        <v>7443</v>
      </c>
      <c r="C287" s="20" t="s">
        <v>6698</v>
      </c>
      <c r="D287" s="20" t="s">
        <v>3608</v>
      </c>
      <c r="E287" s="20" t="s">
        <v>6920</v>
      </c>
      <c r="F287" s="20" t="s">
        <v>3553</v>
      </c>
      <c r="G287" s="20" t="s">
        <v>3419</v>
      </c>
      <c r="H287" s="20" t="s">
        <v>6386</v>
      </c>
      <c r="I287" s="20" t="s">
        <v>4548</v>
      </c>
      <c r="J287" s="20"/>
      <c r="K287" s="20"/>
      <c r="L287" s="20"/>
    </row>
    <row r="288" spans="1:12" s="10" customFormat="1" x14ac:dyDescent="0.3">
      <c r="A288" s="20" t="s">
        <v>5778</v>
      </c>
      <c r="B288" s="20" t="s">
        <v>6178</v>
      </c>
      <c r="C288" s="20" t="s">
        <v>6258</v>
      </c>
      <c r="D288" s="20" t="s">
        <v>4425</v>
      </c>
      <c r="E288" s="23" t="s">
        <v>6258</v>
      </c>
      <c r="F288" s="23" t="s">
        <v>1335</v>
      </c>
      <c r="G288" s="20" t="s">
        <v>7468</v>
      </c>
      <c r="H288" s="20" t="s">
        <v>7472</v>
      </c>
      <c r="I288" s="20"/>
      <c r="J288" s="20"/>
      <c r="K288" s="20"/>
      <c r="L288" s="20"/>
    </row>
    <row r="289" spans="1:12" s="10" customFormat="1" x14ac:dyDescent="0.3">
      <c r="A289" s="20" t="s">
        <v>5785</v>
      </c>
      <c r="B289" s="10" t="s">
        <v>73</v>
      </c>
      <c r="C289" s="10" t="s">
        <v>34</v>
      </c>
      <c r="D289" s="10" t="s">
        <v>6662</v>
      </c>
      <c r="E289" s="10" t="s">
        <v>3486</v>
      </c>
      <c r="F289" s="10" t="s">
        <v>6830</v>
      </c>
      <c r="G289" s="10" t="s">
        <v>5533</v>
      </c>
      <c r="H289" s="10" t="s">
        <v>5092</v>
      </c>
      <c r="I289" s="10" t="s">
        <v>6493</v>
      </c>
    </row>
    <row r="290" spans="1:12" s="10" customFormat="1" x14ac:dyDescent="0.3">
      <c r="A290" s="20" t="s">
        <v>4357</v>
      </c>
      <c r="B290" s="20" t="s">
        <v>3646</v>
      </c>
      <c r="C290" s="20" t="s">
        <v>9526</v>
      </c>
      <c r="D290" s="20"/>
      <c r="E290" s="20"/>
      <c r="F290" s="20"/>
      <c r="G290" s="20"/>
      <c r="H290" s="20"/>
      <c r="I290" s="20"/>
      <c r="J290" s="20"/>
      <c r="K290" s="20"/>
      <c r="L290" s="20"/>
    </row>
    <row r="291" spans="1:12" s="10" customFormat="1" x14ac:dyDescent="0.3">
      <c r="A291" s="20" t="s">
        <v>5789</v>
      </c>
      <c r="B291" s="20" t="s">
        <v>6258</v>
      </c>
      <c r="C291" s="20" t="s">
        <v>9528</v>
      </c>
      <c r="D291" s="20" t="s">
        <v>6920</v>
      </c>
      <c r="E291" s="20" t="s">
        <v>2749</v>
      </c>
      <c r="F291" s="20"/>
      <c r="G291" s="20"/>
      <c r="H291" s="20"/>
      <c r="I291" s="20"/>
      <c r="J291" s="20"/>
      <c r="K291" s="20"/>
      <c r="L291" s="20"/>
    </row>
    <row r="292" spans="1:12" s="10" customFormat="1" x14ac:dyDescent="0.3">
      <c r="A292" s="20" t="s">
        <v>3823</v>
      </c>
      <c r="B292" s="21" t="s">
        <v>2509</v>
      </c>
      <c r="C292" s="20"/>
      <c r="D292" s="20"/>
      <c r="E292" s="20"/>
      <c r="F292" s="20"/>
      <c r="G292" s="20"/>
      <c r="H292" s="20"/>
      <c r="I292" s="20"/>
      <c r="J292" s="20"/>
    </row>
    <row r="293" spans="1:12" s="10" customFormat="1" x14ac:dyDescent="0.3">
      <c r="A293" s="20" t="s">
        <v>4362</v>
      </c>
      <c r="B293" s="20" t="s">
        <v>5221</v>
      </c>
      <c r="C293" s="20" t="s">
        <v>3725</v>
      </c>
      <c r="D293" s="35" t="s">
        <v>2388</v>
      </c>
      <c r="E293" s="20" t="s">
        <v>4087</v>
      </c>
      <c r="F293" s="20" t="s">
        <v>3987</v>
      </c>
      <c r="G293" s="20" t="s">
        <v>2123</v>
      </c>
      <c r="H293" s="20" t="s">
        <v>4134</v>
      </c>
      <c r="I293" s="20" t="s">
        <v>6374</v>
      </c>
      <c r="J293" s="20" t="s">
        <v>5385</v>
      </c>
      <c r="K293" s="20"/>
      <c r="L293" s="20"/>
    </row>
    <row r="294" spans="1:12" s="10" customFormat="1" x14ac:dyDescent="0.3">
      <c r="A294" s="20" t="s">
        <v>5793</v>
      </c>
      <c r="B294" s="20" t="s">
        <v>6178</v>
      </c>
      <c r="C294" s="20" t="s">
        <v>2640</v>
      </c>
      <c r="D294" s="20" t="s">
        <v>670</v>
      </c>
      <c r="E294" s="20" t="s">
        <v>2252</v>
      </c>
      <c r="F294" s="20" t="s">
        <v>611</v>
      </c>
      <c r="G294" s="20" t="s">
        <v>3862</v>
      </c>
      <c r="H294" s="20" t="s">
        <v>3908</v>
      </c>
      <c r="I294" s="20"/>
      <c r="J294" s="20"/>
      <c r="K294" s="20"/>
      <c r="L294" s="20"/>
    </row>
    <row r="295" spans="1:12" s="10" customFormat="1" x14ac:dyDescent="0.3">
      <c r="A295" s="20" t="s">
        <v>4370</v>
      </c>
      <c r="B295" s="20" t="s">
        <v>6861</v>
      </c>
      <c r="C295" s="20" t="s">
        <v>7121</v>
      </c>
      <c r="D295" s="35" t="s">
        <v>2543</v>
      </c>
      <c r="E295" s="20" t="s">
        <v>4038</v>
      </c>
      <c r="F295" s="20" t="s">
        <v>4083</v>
      </c>
      <c r="G295" s="20" t="s">
        <v>3447</v>
      </c>
      <c r="H295" s="20" t="s">
        <v>2889</v>
      </c>
      <c r="I295" s="20" t="s">
        <v>6608</v>
      </c>
      <c r="J295" s="20"/>
    </row>
    <row r="296" spans="1:12" s="10" customFormat="1" x14ac:dyDescent="0.3">
      <c r="A296" s="20" t="s">
        <v>5797</v>
      </c>
      <c r="B296" s="20" t="s">
        <v>6073</v>
      </c>
      <c r="C296" s="20" t="s">
        <v>4049</v>
      </c>
      <c r="D296" s="23" t="s">
        <v>4934</v>
      </c>
      <c r="E296" s="20"/>
      <c r="F296" s="20"/>
      <c r="G296" s="20"/>
      <c r="H296" s="20"/>
      <c r="I296" s="20"/>
      <c r="J296" s="20"/>
    </row>
    <row r="297" spans="1:12" s="10" customFormat="1" x14ac:dyDescent="0.3">
      <c r="A297" s="10" t="s">
        <v>2119</v>
      </c>
      <c r="B297" s="35" t="s">
        <v>7601</v>
      </c>
      <c r="C297" s="10" t="s">
        <v>2128</v>
      </c>
      <c r="D297" s="10" t="s">
        <v>2123</v>
      </c>
      <c r="E297" s="10" t="s">
        <v>7365</v>
      </c>
      <c r="F297" s="10" t="s">
        <v>5843</v>
      </c>
      <c r="K297" s="20"/>
      <c r="L297" s="20"/>
    </row>
    <row r="298" spans="1:12" s="10" customFormat="1" x14ac:dyDescent="0.3">
      <c r="A298" s="20" t="s">
        <v>3827</v>
      </c>
      <c r="B298" s="20" t="s">
        <v>4034</v>
      </c>
      <c r="C298" s="20" t="s">
        <v>1216</v>
      </c>
      <c r="D298" s="23" t="s">
        <v>1212</v>
      </c>
      <c r="E298" s="20"/>
      <c r="F298" s="20"/>
      <c r="G298" s="20"/>
      <c r="H298" s="20"/>
      <c r="I298" s="20"/>
      <c r="J298" s="20"/>
      <c r="K298" s="20"/>
      <c r="L298" s="20"/>
    </row>
    <row r="299" spans="1:12" s="10" customFormat="1" x14ac:dyDescent="0.3">
      <c r="A299" s="20" t="s">
        <v>5801</v>
      </c>
      <c r="B299" s="20" t="s">
        <v>5751</v>
      </c>
      <c r="C299" s="23" t="s">
        <v>2851</v>
      </c>
      <c r="D299" s="20" t="s">
        <v>5213</v>
      </c>
      <c r="E299" s="20" t="s">
        <v>6208</v>
      </c>
      <c r="F299" s="35" t="s">
        <v>1383</v>
      </c>
      <c r="G299" s="23" t="s">
        <v>9664</v>
      </c>
      <c r="H299" s="20"/>
      <c r="I299" s="20"/>
      <c r="J299" s="20"/>
      <c r="K299" s="20"/>
      <c r="L299" s="20"/>
    </row>
    <row r="300" spans="1:12" s="10" customFormat="1" x14ac:dyDescent="0.3">
      <c r="A300" s="10" t="s">
        <v>1008</v>
      </c>
      <c r="B300" s="35" t="s">
        <v>7601</v>
      </c>
      <c r="C300" s="10" t="s">
        <v>1021</v>
      </c>
      <c r="D300" s="10" t="s">
        <v>7063</v>
      </c>
      <c r="K300" s="20"/>
      <c r="L300" s="20"/>
    </row>
    <row r="301" spans="1:12" s="10" customFormat="1" x14ac:dyDescent="0.3">
      <c r="A301" s="20" t="s">
        <v>798</v>
      </c>
      <c r="B301" s="20" t="s">
        <v>786</v>
      </c>
      <c r="C301" s="20" t="s">
        <v>3006</v>
      </c>
      <c r="D301" s="23" t="s">
        <v>1008</v>
      </c>
      <c r="E301" s="35" t="s">
        <v>7268</v>
      </c>
      <c r="F301" s="20"/>
      <c r="G301" s="20"/>
      <c r="H301" s="20"/>
      <c r="I301" s="20"/>
      <c r="J301" s="20"/>
    </row>
    <row r="302" spans="1:12" s="10" customFormat="1" x14ac:dyDescent="0.3">
      <c r="A302" s="20" t="s">
        <v>3844</v>
      </c>
      <c r="B302" s="20" t="s">
        <v>5849</v>
      </c>
      <c r="C302" s="20" t="s">
        <v>1335</v>
      </c>
      <c r="D302" s="20" t="s">
        <v>7365</v>
      </c>
      <c r="E302" s="20" t="s">
        <v>6561</v>
      </c>
      <c r="F302" s="20"/>
      <c r="G302" s="20"/>
      <c r="H302" s="20"/>
      <c r="I302" s="20"/>
      <c r="J302" s="20"/>
      <c r="K302" s="20"/>
      <c r="L302" s="20"/>
    </row>
    <row r="303" spans="1:12" s="10" customFormat="1" x14ac:dyDescent="0.3">
      <c r="A303" s="20" t="s">
        <v>3851</v>
      </c>
      <c r="B303" s="10" t="s">
        <v>5537</v>
      </c>
      <c r="C303" s="35" t="s">
        <v>2555</v>
      </c>
      <c r="D303" s="10" t="s">
        <v>5495</v>
      </c>
      <c r="E303" s="22" t="s">
        <v>2388</v>
      </c>
      <c r="K303" s="20"/>
      <c r="L303" s="20"/>
    </row>
    <row r="304" spans="1:12" s="10" customFormat="1" x14ac:dyDescent="0.3">
      <c r="A304" s="10" t="s">
        <v>2784</v>
      </c>
      <c r="B304" s="10" t="s">
        <v>2767</v>
      </c>
      <c r="C304" s="36" t="s">
        <v>1678</v>
      </c>
      <c r="D304" s="10" t="s">
        <v>5331</v>
      </c>
      <c r="E304" s="10" t="s">
        <v>5076</v>
      </c>
      <c r="F304" s="10" t="s">
        <v>9665</v>
      </c>
      <c r="G304" s="36" t="s">
        <v>7650</v>
      </c>
      <c r="H304" s="10" t="s">
        <v>2773</v>
      </c>
      <c r="K304" s="20"/>
      <c r="L304" s="20"/>
    </row>
    <row r="305" spans="1:12" s="10" customFormat="1" x14ac:dyDescent="0.3">
      <c r="A305" s="20" t="s">
        <v>4374</v>
      </c>
      <c r="B305" s="20" t="s">
        <v>5070</v>
      </c>
      <c r="C305" s="20" t="s">
        <v>4134</v>
      </c>
      <c r="D305" s="21" t="s">
        <v>9480</v>
      </c>
      <c r="E305" s="20" t="s">
        <v>5957</v>
      </c>
      <c r="F305" s="20" t="s">
        <v>6374</v>
      </c>
      <c r="G305" s="20" t="s">
        <v>2296</v>
      </c>
      <c r="H305" s="20" t="s">
        <v>2160</v>
      </c>
      <c r="I305" s="20"/>
      <c r="J305" s="20"/>
    </row>
    <row r="306" spans="1:12" s="10" customFormat="1" x14ac:dyDescent="0.3">
      <c r="A306" s="20" t="s">
        <v>995</v>
      </c>
      <c r="B306" s="20" t="s">
        <v>4961</v>
      </c>
      <c r="C306" s="20" t="s">
        <v>6029</v>
      </c>
      <c r="D306" s="20"/>
      <c r="E306" s="20"/>
      <c r="F306" s="20"/>
      <c r="G306" s="20"/>
      <c r="H306" s="20"/>
      <c r="I306" s="20"/>
      <c r="J306" s="20"/>
      <c r="K306" s="20"/>
      <c r="L306" s="20"/>
    </row>
    <row r="307" spans="1:12" s="10" customFormat="1" x14ac:dyDescent="0.3">
      <c r="A307" s="20" t="s">
        <v>2611</v>
      </c>
      <c r="B307" s="20" t="s">
        <v>6504</v>
      </c>
      <c r="C307" s="20" t="s">
        <v>4580</v>
      </c>
      <c r="D307" s="20" t="s">
        <v>2876</v>
      </c>
      <c r="E307" s="20" t="s">
        <v>2608</v>
      </c>
      <c r="F307" s="20"/>
      <c r="G307" s="20"/>
      <c r="H307" s="20"/>
      <c r="I307" s="20"/>
      <c r="J307" s="20"/>
      <c r="K307" s="20"/>
      <c r="L307" s="20"/>
    </row>
    <row r="308" spans="1:12" s="10" customFormat="1" x14ac:dyDescent="0.3">
      <c r="A308" s="20" t="s">
        <v>968</v>
      </c>
      <c r="B308" s="20" t="s">
        <v>867</v>
      </c>
      <c r="C308" s="20" t="s">
        <v>872</v>
      </c>
      <c r="D308" s="20" t="s">
        <v>876</v>
      </c>
      <c r="E308" s="20" t="s">
        <v>880</v>
      </c>
      <c r="F308" s="20" t="s">
        <v>904</v>
      </c>
      <c r="G308" s="20" t="s">
        <v>908</v>
      </c>
      <c r="H308" s="20" t="s">
        <v>912</v>
      </c>
      <c r="I308" s="20" t="s">
        <v>916</v>
      </c>
      <c r="J308" s="20" t="s">
        <v>6878</v>
      </c>
      <c r="K308" s="20"/>
      <c r="L308" s="20"/>
    </row>
    <row r="309" spans="1:12" s="10" customFormat="1" x14ac:dyDescent="0.3">
      <c r="A309" s="10" t="s">
        <v>1648</v>
      </c>
      <c r="B309" s="10" t="s">
        <v>6379</v>
      </c>
      <c r="C309" s="10" t="s">
        <v>5872</v>
      </c>
      <c r="D309" s="10" t="s">
        <v>2816</v>
      </c>
      <c r="E309" s="10" t="s">
        <v>2012</v>
      </c>
      <c r="F309" s="10" t="s">
        <v>5876</v>
      </c>
      <c r="K309" s="20"/>
      <c r="L309" s="20"/>
    </row>
    <row r="310" spans="1:12" s="10" customFormat="1" x14ac:dyDescent="0.3">
      <c r="A310" s="20" t="s">
        <v>1106</v>
      </c>
      <c r="B310" s="20" t="s">
        <v>6578</v>
      </c>
      <c r="C310" s="20" t="s">
        <v>1077</v>
      </c>
      <c r="D310" s="20" t="s">
        <v>932</v>
      </c>
      <c r="E310" s="35" t="s">
        <v>2394</v>
      </c>
      <c r="F310" s="20" t="s">
        <v>5152</v>
      </c>
      <c r="G310" s="20"/>
      <c r="H310" s="20"/>
      <c r="I310" s="20"/>
      <c r="J310" s="20"/>
      <c r="K310" s="20"/>
      <c r="L310" s="20"/>
    </row>
    <row r="311" spans="1:12" s="10" customFormat="1" x14ac:dyDescent="0.3">
      <c r="A311" s="20" t="s">
        <v>6612</v>
      </c>
      <c r="B311" s="20" t="s">
        <v>6945</v>
      </c>
      <c r="C311" s="20" t="s">
        <v>3801</v>
      </c>
      <c r="D311" s="20" t="s">
        <v>3364</v>
      </c>
      <c r="E311" s="35" t="s">
        <v>2485</v>
      </c>
      <c r="F311" s="20"/>
      <c r="G311" s="20"/>
      <c r="H311" s="20"/>
      <c r="I311" s="20"/>
      <c r="J311" s="20"/>
    </row>
    <row r="312" spans="1:12" s="10" customFormat="1" x14ac:dyDescent="0.3">
      <c r="A312" s="20" t="s">
        <v>6620</v>
      </c>
      <c r="B312" s="23" t="s">
        <v>4605</v>
      </c>
      <c r="C312" s="23" t="s">
        <v>7420</v>
      </c>
      <c r="D312" s="23" t="s">
        <v>1661</v>
      </c>
      <c r="E312" s="20" t="s">
        <v>6882</v>
      </c>
      <c r="F312" s="20" t="s">
        <v>6489</v>
      </c>
      <c r="G312" s="20" t="s">
        <v>6566</v>
      </c>
      <c r="H312" s="20" t="s">
        <v>4862</v>
      </c>
      <c r="I312" s="20"/>
      <c r="J312" s="20"/>
    </row>
    <row r="313" spans="1:12" s="10" customFormat="1" x14ac:dyDescent="0.3">
      <c r="A313" s="10" t="s">
        <v>6628</v>
      </c>
      <c r="B313" s="10" t="s">
        <v>473</v>
      </c>
      <c r="C313" s="10" t="s">
        <v>2220</v>
      </c>
      <c r="D313" s="35" t="s">
        <v>1435</v>
      </c>
      <c r="E313" s="10" t="s">
        <v>5882</v>
      </c>
      <c r="K313" s="20"/>
      <c r="L313" s="20"/>
    </row>
    <row r="314" spans="1:12" s="10" customFormat="1" x14ac:dyDescent="0.3">
      <c r="A314" s="20" t="s">
        <v>6636</v>
      </c>
      <c r="B314" s="20" t="s">
        <v>1833</v>
      </c>
      <c r="C314" s="20" t="s">
        <v>1406</v>
      </c>
      <c r="D314" s="20"/>
      <c r="E314" s="20"/>
      <c r="F314" s="20"/>
      <c r="G314" s="20"/>
      <c r="H314" s="20"/>
      <c r="I314" s="20"/>
      <c r="J314" s="20"/>
      <c r="K314" s="20"/>
      <c r="L314" s="20"/>
    </row>
    <row r="315" spans="1:12" s="10" customFormat="1" x14ac:dyDescent="0.3">
      <c r="A315" s="20" t="s">
        <v>6640</v>
      </c>
      <c r="B315" s="20" t="s">
        <v>2825</v>
      </c>
      <c r="C315" s="23" t="s">
        <v>9518</v>
      </c>
      <c r="D315" s="10" t="s">
        <v>2805</v>
      </c>
      <c r="E315" s="20" t="s">
        <v>7253</v>
      </c>
      <c r="F315" s="20"/>
      <c r="G315" s="20"/>
      <c r="H315" s="20"/>
      <c r="I315" s="20"/>
      <c r="J315" s="20"/>
      <c r="K315" s="20"/>
      <c r="L315" s="20"/>
    </row>
    <row r="316" spans="1:12" s="10" customFormat="1" x14ac:dyDescent="0.3">
      <c r="A316" s="20" t="s">
        <v>6648</v>
      </c>
      <c r="B316" s="20" t="s">
        <v>832</v>
      </c>
      <c r="C316" s="20" t="s">
        <v>3233</v>
      </c>
      <c r="D316" s="20" t="s">
        <v>7177</v>
      </c>
      <c r="E316" s="20" t="s">
        <v>3223</v>
      </c>
      <c r="F316" s="20" t="s">
        <v>817</v>
      </c>
      <c r="G316" s="20"/>
      <c r="H316" s="20"/>
      <c r="I316" s="20"/>
      <c r="J316" s="20"/>
      <c r="K316" s="20"/>
      <c r="L316" s="20"/>
    </row>
    <row r="317" spans="1:12" s="10" customFormat="1" x14ac:dyDescent="0.3">
      <c r="A317" s="20" t="s">
        <v>2288</v>
      </c>
      <c r="B317" s="20" t="s">
        <v>458</v>
      </c>
      <c r="C317" s="20" t="s">
        <v>5918</v>
      </c>
      <c r="D317" s="20" t="s">
        <v>3870</v>
      </c>
      <c r="E317" s="20" t="s">
        <v>6778</v>
      </c>
      <c r="F317" s="20" t="s">
        <v>6228</v>
      </c>
      <c r="G317" s="20" t="s">
        <v>7142</v>
      </c>
      <c r="H317" s="20"/>
      <c r="I317" s="20"/>
      <c r="J317" s="20"/>
    </row>
    <row r="318" spans="1:12" s="10" customFormat="1" x14ac:dyDescent="0.3">
      <c r="A318" s="20" t="s">
        <v>6656</v>
      </c>
      <c r="B318" s="20" t="s">
        <v>4446</v>
      </c>
      <c r="C318" s="23" t="s">
        <v>73</v>
      </c>
      <c r="D318" s="23" t="s">
        <v>2449</v>
      </c>
      <c r="E318" s="20" t="s">
        <v>4374</v>
      </c>
      <c r="F318" s="20" t="s">
        <v>1833</v>
      </c>
      <c r="G318" s="20"/>
      <c r="H318" s="20"/>
      <c r="I318" s="20"/>
      <c r="J318" s="20"/>
      <c r="K318" s="20"/>
      <c r="L318" s="20"/>
    </row>
    <row r="319" spans="1:12" s="10" customFormat="1" x14ac:dyDescent="0.3">
      <c r="A319" s="20" t="s">
        <v>6662</v>
      </c>
      <c r="B319" s="35" t="s">
        <v>6628</v>
      </c>
      <c r="C319" s="35" t="s">
        <v>5929</v>
      </c>
      <c r="D319" s="35" t="s">
        <v>2220</v>
      </c>
      <c r="E319" s="10" t="s">
        <v>3486</v>
      </c>
      <c r="F319" s="10" t="s">
        <v>4070</v>
      </c>
      <c r="G319" s="10" t="s">
        <v>4965</v>
      </c>
      <c r="H319" s="10" t="s">
        <v>5533</v>
      </c>
      <c r="I319" s="10" t="s">
        <v>5092</v>
      </c>
      <c r="J319" s="10" t="s">
        <v>6493</v>
      </c>
      <c r="K319" s="20"/>
      <c r="L319" s="20"/>
    </row>
    <row r="320" spans="1:12" s="10" customFormat="1" x14ac:dyDescent="0.3">
      <c r="A320" s="20" t="s">
        <v>3891</v>
      </c>
      <c r="B320" s="10" t="s">
        <v>979</v>
      </c>
      <c r="C320" s="10" t="s">
        <v>3789</v>
      </c>
      <c r="D320" s="10" t="s">
        <v>3548</v>
      </c>
      <c r="E320" s="10" t="s">
        <v>6920</v>
      </c>
      <c r="F320" s="10" t="s">
        <v>3553</v>
      </c>
      <c r="G320" s="10" t="s">
        <v>4070</v>
      </c>
      <c r="H320" s="10" t="s">
        <v>1669</v>
      </c>
      <c r="I320" s="10" t="s">
        <v>4862</v>
      </c>
      <c r="J320" s="10" t="s">
        <v>880</v>
      </c>
      <c r="K320" s="20"/>
      <c r="L320" s="20"/>
    </row>
    <row r="321" spans="1:12" s="10" customFormat="1" x14ac:dyDescent="0.3">
      <c r="A321" s="20" t="s">
        <v>6670</v>
      </c>
      <c r="B321" s="20" t="s">
        <v>4038</v>
      </c>
      <c r="C321" s="23" t="s">
        <v>4083</v>
      </c>
      <c r="D321" s="23" t="s">
        <v>3447</v>
      </c>
      <c r="E321" s="20" t="s">
        <v>6110</v>
      </c>
      <c r="F321" s="20" t="s">
        <v>82</v>
      </c>
      <c r="G321" s="20" t="s">
        <v>6582</v>
      </c>
      <c r="H321" s="20" t="s">
        <v>34</v>
      </c>
      <c r="I321" s="20" t="s">
        <v>782</v>
      </c>
      <c r="J321" s="20"/>
      <c r="K321" s="20"/>
      <c r="L321" s="20"/>
    </row>
    <row r="322" spans="1:12" s="10" customFormat="1" x14ac:dyDescent="0.3">
      <c r="A322" s="20" t="s">
        <v>3894</v>
      </c>
      <c r="B322" s="20" t="s">
        <v>5989</v>
      </c>
      <c r="C322" s="20" t="s">
        <v>4775</v>
      </c>
      <c r="D322" s="20"/>
      <c r="E322" s="20"/>
      <c r="F322" s="20"/>
      <c r="G322" s="20"/>
      <c r="H322" s="20"/>
      <c r="I322" s="20"/>
      <c r="J322" s="20"/>
      <c r="K322" s="20"/>
      <c r="L322" s="22"/>
    </row>
    <row r="323" spans="1:12" s="10" customFormat="1" x14ac:dyDescent="0.3">
      <c r="A323" s="20" t="s">
        <v>6674</v>
      </c>
      <c r="B323" s="20" t="s">
        <v>4621</v>
      </c>
      <c r="C323" s="20" t="s">
        <v>5293</v>
      </c>
      <c r="D323" s="20" t="s">
        <v>73</v>
      </c>
      <c r="E323" s="23" t="s">
        <v>9531</v>
      </c>
      <c r="F323" s="20" t="s">
        <v>4295</v>
      </c>
      <c r="G323" s="20"/>
      <c r="H323" s="20"/>
      <c r="I323" s="20"/>
      <c r="J323" s="20"/>
      <c r="K323" s="20"/>
      <c r="L323" s="20"/>
    </row>
    <row r="324" spans="1:12" x14ac:dyDescent="0.3">
      <c r="A324" s="20" t="s">
        <v>6680</v>
      </c>
      <c r="B324" s="20" t="s">
        <v>7591</v>
      </c>
      <c r="C324" s="20" t="s">
        <v>3509</v>
      </c>
      <c r="D324" s="20" t="s">
        <v>3947</v>
      </c>
      <c r="E324" s="20" t="s">
        <v>7381</v>
      </c>
      <c r="F324" s="20"/>
      <c r="G324" s="20"/>
      <c r="H324" s="20"/>
      <c r="I324" s="20"/>
      <c r="J324" s="20"/>
    </row>
    <row r="325" spans="1:12" x14ac:dyDescent="0.3">
      <c r="A325" s="20" t="s">
        <v>3902</v>
      </c>
      <c r="B325" s="10" t="s">
        <v>5861</v>
      </c>
      <c r="C325" s="10" t="s">
        <v>446</v>
      </c>
      <c r="D325" s="10" t="s">
        <v>458</v>
      </c>
      <c r="E325" s="10" t="s">
        <v>6721</v>
      </c>
      <c r="F325" s="10" t="s">
        <v>535</v>
      </c>
      <c r="G325" s="10" t="s">
        <v>544</v>
      </c>
      <c r="H325" s="10" t="s">
        <v>4070</v>
      </c>
      <c r="I325" s="10" t="s">
        <v>7000</v>
      </c>
      <c r="J325" s="10" t="s">
        <v>4985</v>
      </c>
    </row>
    <row r="326" spans="1:12" x14ac:dyDescent="0.3">
      <c r="A326" s="20" t="s">
        <v>3906</v>
      </c>
      <c r="B326" s="20" t="s">
        <v>5989</v>
      </c>
      <c r="C326" s="20" t="s">
        <v>4775</v>
      </c>
      <c r="D326" s="20"/>
      <c r="E326" s="20"/>
      <c r="F326" s="20"/>
      <c r="G326" s="20"/>
      <c r="H326" s="20"/>
      <c r="I326" s="20"/>
      <c r="J326" s="20"/>
    </row>
    <row r="327" spans="1:12" x14ac:dyDescent="0.3">
      <c r="A327" s="20" t="s">
        <v>3913</v>
      </c>
      <c r="B327" s="20" t="s">
        <v>4743</v>
      </c>
      <c r="C327" s="20" t="s">
        <v>5996</v>
      </c>
      <c r="D327" s="20"/>
      <c r="E327" s="20"/>
      <c r="F327" s="20"/>
      <c r="G327" s="20"/>
      <c r="H327" s="20"/>
      <c r="I327" s="20"/>
      <c r="J327" s="20"/>
    </row>
    <row r="328" spans="1:12" ht="16.2" x14ac:dyDescent="0.35">
      <c r="A328" s="20" t="s">
        <v>3254</v>
      </c>
      <c r="B328" s="20" t="s">
        <v>3238</v>
      </c>
      <c r="C328" s="20" t="s">
        <v>569</v>
      </c>
      <c r="D328" s="35" t="s">
        <v>577</v>
      </c>
      <c r="E328" s="35" t="s">
        <v>9494</v>
      </c>
      <c r="F328" s="20" t="s">
        <v>4450</v>
      </c>
      <c r="G328" s="20" t="s">
        <v>5672</v>
      </c>
      <c r="H328" s="25" t="s">
        <v>2588</v>
      </c>
      <c r="I328" s="20"/>
      <c r="J328" s="20"/>
    </row>
    <row r="329" spans="1:12" x14ac:dyDescent="0.3">
      <c r="A329" s="20" t="s">
        <v>6684</v>
      </c>
      <c r="B329" s="20" t="s">
        <v>5249</v>
      </c>
      <c r="C329" s="20" t="s">
        <v>3439</v>
      </c>
      <c r="D329" s="20" t="s">
        <v>29</v>
      </c>
      <c r="E329" s="20" t="s">
        <v>2725</v>
      </c>
      <c r="F329" s="20"/>
      <c r="G329" s="20"/>
      <c r="H329" s="20"/>
      <c r="I329" s="20"/>
      <c r="J329" s="20"/>
    </row>
    <row r="330" spans="1:12" x14ac:dyDescent="0.3">
      <c r="A330" s="20" t="s">
        <v>319</v>
      </c>
      <c r="B330" s="20" t="s">
        <v>7205</v>
      </c>
      <c r="C330" s="20" t="s">
        <v>5471</v>
      </c>
      <c r="D330" s="20" t="s">
        <v>34</v>
      </c>
      <c r="E330" s="20" t="s">
        <v>2851</v>
      </c>
      <c r="F330" s="20" t="s">
        <v>2839</v>
      </c>
      <c r="G330" s="20" t="s">
        <v>569</v>
      </c>
      <c r="H330" s="20" t="s">
        <v>577</v>
      </c>
      <c r="I330" s="20" t="s">
        <v>553</v>
      </c>
      <c r="J330" s="35" t="s">
        <v>561</v>
      </c>
    </row>
    <row r="331" spans="1:12" x14ac:dyDescent="0.3">
      <c r="A331" s="20" t="s">
        <v>6690</v>
      </c>
      <c r="B331" s="20" t="s">
        <v>6073</v>
      </c>
      <c r="C331" s="20" t="s">
        <v>416</v>
      </c>
      <c r="D331" s="20" t="s">
        <v>5698</v>
      </c>
      <c r="E331" s="20" t="s">
        <v>3870</v>
      </c>
      <c r="F331" s="20" t="s">
        <v>4899</v>
      </c>
      <c r="G331" s="20" t="s">
        <v>2260</v>
      </c>
      <c r="H331" s="20"/>
      <c r="I331" s="20"/>
      <c r="J331" s="20"/>
    </row>
    <row r="332" spans="1:12" s="10" customFormat="1" x14ac:dyDescent="0.3">
      <c r="A332" s="27" t="s">
        <v>6698</v>
      </c>
      <c r="B332" s="27" t="s">
        <v>5774</v>
      </c>
      <c r="C332" s="27" t="s">
        <v>6386</v>
      </c>
      <c r="D332" s="27" t="s">
        <v>7443</v>
      </c>
      <c r="E332" s="27" t="s">
        <v>3608</v>
      </c>
      <c r="F332" s="27" t="s">
        <v>6920</v>
      </c>
      <c r="G332" s="27" t="s">
        <v>3553</v>
      </c>
      <c r="H332" s="27" t="s">
        <v>3419</v>
      </c>
      <c r="I332" s="27" t="s">
        <v>4548</v>
      </c>
      <c r="J332" s="27"/>
    </row>
    <row r="333" spans="1:12" s="10" customFormat="1" x14ac:dyDescent="0.3">
      <c r="A333" s="27" t="s">
        <v>6703</v>
      </c>
      <c r="B333" s="27" t="s">
        <v>69</v>
      </c>
      <c r="C333" s="27" t="s">
        <v>4185</v>
      </c>
      <c r="D333" s="27" t="s">
        <v>82</v>
      </c>
      <c r="E333" s="27" t="s">
        <v>1622</v>
      </c>
      <c r="F333" s="27" t="s">
        <v>5899</v>
      </c>
      <c r="G333" s="27"/>
      <c r="H333" s="27"/>
      <c r="I333" s="27"/>
      <c r="J333" s="27"/>
    </row>
    <row r="334" spans="1:12" x14ac:dyDescent="0.3">
      <c r="A334" s="27" t="s">
        <v>2633</v>
      </c>
      <c r="B334" s="27" t="s">
        <v>2443</v>
      </c>
    </row>
    <row r="335" spans="1:12" s="10" customFormat="1" x14ac:dyDescent="0.35">
      <c r="A335" s="27" t="s">
        <v>1025</v>
      </c>
      <c r="B335" s="27" t="s">
        <v>7601</v>
      </c>
      <c r="C335" s="28" t="s">
        <v>9524</v>
      </c>
      <c r="D335" s="27" t="s">
        <v>1077</v>
      </c>
      <c r="E335" s="27" t="s">
        <v>2128</v>
      </c>
      <c r="F335" s="27" t="s">
        <v>2123</v>
      </c>
      <c r="G335" s="27"/>
      <c r="H335" s="27"/>
      <c r="I335" s="27"/>
      <c r="J335" s="27"/>
    </row>
    <row r="336" spans="1:12" s="10" customFormat="1" x14ac:dyDescent="0.3">
      <c r="A336" s="27" t="s">
        <v>6712</v>
      </c>
      <c r="B336" s="27" t="s">
        <v>242</v>
      </c>
      <c r="C336" s="27" t="s">
        <v>1340</v>
      </c>
      <c r="D336" s="27" t="s">
        <v>1345</v>
      </c>
      <c r="E336" s="27" t="s">
        <v>1355</v>
      </c>
      <c r="F336" s="27" t="s">
        <v>5849</v>
      </c>
      <c r="G336" s="27"/>
      <c r="H336" s="27"/>
      <c r="I336" s="27"/>
      <c r="J336" s="27"/>
    </row>
    <row r="337" spans="1:10" x14ac:dyDescent="0.35">
      <c r="A337" s="27" t="s">
        <v>3177</v>
      </c>
      <c r="B337" s="28" t="s">
        <v>2437</v>
      </c>
      <c r="C337" s="27" t="s">
        <v>5331</v>
      </c>
      <c r="D337" s="27" t="s">
        <v>1678</v>
      </c>
      <c r="E337" s="27" t="s">
        <v>702</v>
      </c>
      <c r="F337" s="25" t="s">
        <v>767</v>
      </c>
      <c r="G337" s="27" t="s">
        <v>779</v>
      </c>
      <c r="H337" s="27" t="s">
        <v>794</v>
      </c>
    </row>
    <row r="338" spans="1:10" x14ac:dyDescent="0.35">
      <c r="A338" s="27" t="s">
        <v>446</v>
      </c>
      <c r="B338" s="28" t="s">
        <v>5861</v>
      </c>
      <c r="C338" s="27" t="s">
        <v>458</v>
      </c>
    </row>
    <row r="339" spans="1:10" x14ac:dyDescent="0.3">
      <c r="A339" s="20" t="s">
        <v>6715</v>
      </c>
      <c r="B339" s="10" t="s">
        <v>6628</v>
      </c>
      <c r="C339" s="10" t="s">
        <v>5785</v>
      </c>
      <c r="D339" s="10" t="s">
        <v>3870</v>
      </c>
      <c r="E339" s="10" t="s">
        <v>6830</v>
      </c>
      <c r="F339" s="10" t="s">
        <v>5025</v>
      </c>
      <c r="G339" s="10" t="s">
        <v>4965</v>
      </c>
      <c r="H339" s="10"/>
      <c r="I339" s="10"/>
      <c r="J339" s="10"/>
    </row>
    <row r="340" spans="1:10" x14ac:dyDescent="0.3">
      <c r="A340" s="10" t="s">
        <v>3364</v>
      </c>
      <c r="B340" s="10" t="s">
        <v>34</v>
      </c>
      <c r="C340" s="10" t="s">
        <v>6945</v>
      </c>
      <c r="D340" s="10" t="s">
        <v>3801</v>
      </c>
      <c r="E340" s="10"/>
      <c r="F340" s="10"/>
      <c r="G340" s="10"/>
      <c r="H340" s="10"/>
      <c r="I340" s="10"/>
      <c r="J340" s="10"/>
    </row>
    <row r="341" spans="1:10" x14ac:dyDescent="0.3">
      <c r="A341" s="27" t="s">
        <v>6744</v>
      </c>
    </row>
    <row r="342" spans="1:10" x14ac:dyDescent="0.3">
      <c r="A342" s="10" t="s">
        <v>1778</v>
      </c>
      <c r="B342" s="10" t="s">
        <v>3541</v>
      </c>
      <c r="C342" s="10" t="s">
        <v>9625</v>
      </c>
      <c r="D342" s="10" t="s">
        <v>4605</v>
      </c>
      <c r="E342" s="10"/>
      <c r="F342" s="10"/>
      <c r="G342" s="10"/>
      <c r="H342" s="10"/>
      <c r="I342" s="10"/>
      <c r="J342" s="10"/>
    </row>
    <row r="343" spans="1:10" s="10" customFormat="1" x14ac:dyDescent="0.3">
      <c r="A343" s="10" t="s">
        <v>3238</v>
      </c>
      <c r="B343" s="10" t="s">
        <v>2851</v>
      </c>
      <c r="C343" s="10" t="s">
        <v>6002</v>
      </c>
      <c r="D343" s="10" t="s">
        <v>5911</v>
      </c>
      <c r="E343" s="10" t="s">
        <v>1450</v>
      </c>
    </row>
    <row r="344" spans="1:10" x14ac:dyDescent="0.3">
      <c r="A344" s="27" t="s">
        <v>3137</v>
      </c>
      <c r="B344" s="27" t="s">
        <v>9524</v>
      </c>
      <c r="C344" s="27" t="s">
        <v>1003</v>
      </c>
      <c r="D344" s="27" t="s">
        <v>6920</v>
      </c>
      <c r="E344" s="27" t="s">
        <v>23</v>
      </c>
      <c r="F344" s="27" t="s">
        <v>3553</v>
      </c>
      <c r="G344" s="27" t="s">
        <v>7749</v>
      </c>
    </row>
    <row r="345" spans="1:10" x14ac:dyDescent="0.3">
      <c r="A345" s="27" t="s">
        <v>6748</v>
      </c>
      <c r="B345" s="27" t="s">
        <v>34</v>
      </c>
      <c r="C345" s="27" t="s">
        <v>3223</v>
      </c>
      <c r="D345" s="27" t="s">
        <v>5918</v>
      </c>
      <c r="E345" s="27" t="s">
        <v>7153</v>
      </c>
    </row>
    <row r="346" spans="1:10" x14ac:dyDescent="0.3">
      <c r="A346" s="27" t="s">
        <v>924</v>
      </c>
      <c r="B346" s="27" t="s">
        <v>936</v>
      </c>
      <c r="C346" s="27" t="s">
        <v>912</v>
      </c>
      <c r="D346" s="27" t="s">
        <v>1669</v>
      </c>
      <c r="E346" s="27" t="s">
        <v>6737</v>
      </c>
      <c r="F346" s="27" t="s">
        <v>6608</v>
      </c>
      <c r="G346" s="27" t="s">
        <v>920</v>
      </c>
      <c r="H346" s="27" t="s">
        <v>928</v>
      </c>
      <c r="I346" s="27" t="s">
        <v>932</v>
      </c>
    </row>
    <row r="347" spans="1:10" x14ac:dyDescent="0.35">
      <c r="A347" s="27" t="s">
        <v>6756</v>
      </c>
      <c r="B347" s="28" t="s">
        <v>1661</v>
      </c>
      <c r="C347" s="28" t="s">
        <v>900</v>
      </c>
      <c r="D347" s="28" t="s">
        <v>2384</v>
      </c>
      <c r="E347" s="27" t="s">
        <v>1639</v>
      </c>
    </row>
    <row r="348" spans="1:10" x14ac:dyDescent="0.35">
      <c r="A348" s="27" t="s">
        <v>3935</v>
      </c>
      <c r="B348" s="27" t="s">
        <v>4080</v>
      </c>
      <c r="C348" s="26" t="s">
        <v>3692</v>
      </c>
      <c r="D348" s="28" t="s">
        <v>6715</v>
      </c>
    </row>
    <row r="349" spans="1:10" x14ac:dyDescent="0.3">
      <c r="A349" s="27" t="s">
        <v>6767</v>
      </c>
      <c r="B349" s="27" t="s">
        <v>5099</v>
      </c>
      <c r="C349" s="27" t="s">
        <v>4552</v>
      </c>
      <c r="D349" s="27" t="s">
        <v>2857</v>
      </c>
      <c r="E349" s="27" t="s">
        <v>5206</v>
      </c>
      <c r="F349" s="27" t="s">
        <v>5861</v>
      </c>
    </row>
    <row r="350" spans="1:10" x14ac:dyDescent="0.3">
      <c r="A350" s="20" t="s">
        <v>6773</v>
      </c>
      <c r="B350" s="35" t="s">
        <v>415</v>
      </c>
      <c r="C350" s="35" t="s">
        <v>6787</v>
      </c>
      <c r="D350" s="10" t="s">
        <v>3657</v>
      </c>
      <c r="E350" s="10"/>
      <c r="F350" s="10"/>
      <c r="G350" s="10"/>
      <c r="H350" s="10"/>
      <c r="I350" s="10"/>
      <c r="J350" s="10"/>
    </row>
    <row r="351" spans="1:10" s="10" customFormat="1" x14ac:dyDescent="0.3">
      <c r="A351" s="27" t="s">
        <v>3941</v>
      </c>
      <c r="B351" s="27" t="s">
        <v>7443</v>
      </c>
      <c r="C351" s="27" t="s">
        <v>3608</v>
      </c>
      <c r="D351" s="27" t="s">
        <v>6698</v>
      </c>
      <c r="E351" s="27"/>
      <c r="F351" s="27"/>
      <c r="G351" s="27"/>
      <c r="H351" s="27"/>
      <c r="I351" s="27"/>
      <c r="J351" s="27"/>
    </row>
    <row r="352" spans="1:10" x14ac:dyDescent="0.35">
      <c r="A352" s="27" t="s">
        <v>3944</v>
      </c>
      <c r="B352" s="27" t="s">
        <v>553</v>
      </c>
      <c r="C352" s="25" t="s">
        <v>557</v>
      </c>
      <c r="D352" s="27" t="s">
        <v>69</v>
      </c>
    </row>
    <row r="353" spans="1:10" x14ac:dyDescent="0.3">
      <c r="A353" s="27" t="s">
        <v>2600</v>
      </c>
      <c r="B353" s="27" t="s">
        <v>5684</v>
      </c>
      <c r="C353" s="27" t="s">
        <v>5725</v>
      </c>
      <c r="D353" s="27" t="s">
        <v>4378</v>
      </c>
      <c r="E353" s="27" t="s">
        <v>5735</v>
      </c>
    </row>
    <row r="354" spans="1:10" x14ac:dyDescent="0.35">
      <c r="A354" s="27" t="s">
        <v>9600</v>
      </c>
      <c r="B354" s="27" t="s">
        <v>4450</v>
      </c>
      <c r="C354" s="28"/>
      <c r="D354" s="28"/>
    </row>
    <row r="355" spans="1:10" x14ac:dyDescent="0.35">
      <c r="A355" s="27" t="s">
        <v>4378</v>
      </c>
      <c r="B355" s="27" t="s">
        <v>5684</v>
      </c>
      <c r="C355" s="27" t="s">
        <v>5735</v>
      </c>
      <c r="D355" s="28" t="s">
        <v>5725</v>
      </c>
    </row>
    <row r="356" spans="1:10" s="10" customFormat="1" x14ac:dyDescent="0.35">
      <c r="A356" s="27" t="s">
        <v>2260</v>
      </c>
      <c r="B356" s="27" t="s">
        <v>458</v>
      </c>
      <c r="C356" s="26" t="s">
        <v>4899</v>
      </c>
      <c r="D356" s="27" t="s">
        <v>5698</v>
      </c>
      <c r="E356" s="27" t="s">
        <v>416</v>
      </c>
      <c r="F356" s="26"/>
      <c r="G356" s="28"/>
      <c r="H356" s="27"/>
      <c r="I356" s="27"/>
      <c r="J356" s="27"/>
    </row>
    <row r="357" spans="1:10" s="10" customFormat="1" x14ac:dyDescent="0.3">
      <c r="A357" s="27" t="s">
        <v>4384</v>
      </c>
      <c r="B357" s="27" t="s">
        <v>6073</v>
      </c>
      <c r="C357" s="27" t="s">
        <v>3419</v>
      </c>
      <c r="D357" s="27" t="s">
        <v>5698</v>
      </c>
      <c r="E357" s="27" t="s">
        <v>2260</v>
      </c>
      <c r="F357" s="26" t="s">
        <v>7020</v>
      </c>
      <c r="G357" s="27"/>
      <c r="H357" s="27"/>
      <c r="I357" s="27"/>
      <c r="J357" s="27"/>
    </row>
    <row r="358" spans="1:10" x14ac:dyDescent="0.35">
      <c r="A358" s="27" t="s">
        <v>4388</v>
      </c>
      <c r="B358" s="28" t="s">
        <v>5033</v>
      </c>
      <c r="C358" s="28" t="s">
        <v>5450</v>
      </c>
      <c r="D358" s="28" t="s">
        <v>1617</v>
      </c>
      <c r="E358" s="27" t="s">
        <v>1622</v>
      </c>
      <c r="F358" s="27" t="s">
        <v>4189</v>
      </c>
    </row>
    <row r="359" spans="1:10" s="10" customFormat="1" x14ac:dyDescent="0.3">
      <c r="A359" s="10" t="s">
        <v>29</v>
      </c>
      <c r="B359" s="10" t="s">
        <v>458</v>
      </c>
      <c r="C359" s="10" t="s">
        <v>3033</v>
      </c>
      <c r="D359" s="10" t="s">
        <v>467</v>
      </c>
      <c r="E359" s="10" t="s">
        <v>470</v>
      </c>
      <c r="F359" s="10" t="s">
        <v>514</v>
      </c>
      <c r="G359" s="10" t="s">
        <v>521</v>
      </c>
    </row>
    <row r="360" spans="1:10" x14ac:dyDescent="0.3">
      <c r="A360" s="27" t="s">
        <v>4392</v>
      </c>
      <c r="B360" s="27" t="s">
        <v>5418</v>
      </c>
      <c r="C360" s="27" t="s">
        <v>4914</v>
      </c>
      <c r="D360" s="27" t="s">
        <v>3313</v>
      </c>
      <c r="E360" s="27" t="s">
        <v>2208</v>
      </c>
    </row>
    <row r="361" spans="1:10" s="10" customFormat="1" x14ac:dyDescent="0.3">
      <c r="A361" s="27" t="s">
        <v>4400</v>
      </c>
      <c r="B361" s="27" t="s">
        <v>6715</v>
      </c>
      <c r="C361" s="27" t="s">
        <v>5785</v>
      </c>
      <c r="D361" s="27" t="s">
        <v>6628</v>
      </c>
      <c r="E361" s="27" t="s">
        <v>5929</v>
      </c>
      <c r="F361" s="27"/>
      <c r="G361" s="27"/>
      <c r="H361" s="27"/>
      <c r="I361" s="27"/>
      <c r="J361" s="27"/>
    </row>
    <row r="362" spans="1:10" s="10" customFormat="1" x14ac:dyDescent="0.35">
      <c r="A362" s="27" t="s">
        <v>1319</v>
      </c>
      <c r="B362" s="27" t="s">
        <v>1169</v>
      </c>
      <c r="C362" s="28" t="s">
        <v>9624</v>
      </c>
      <c r="D362" s="28" t="s">
        <v>3758</v>
      </c>
      <c r="E362" s="28" t="s">
        <v>1293</v>
      </c>
      <c r="F362" s="27" t="s">
        <v>1298</v>
      </c>
      <c r="G362" s="27" t="s">
        <v>7516</v>
      </c>
      <c r="H362" s="27"/>
      <c r="I362" s="27"/>
      <c r="J362" s="27"/>
    </row>
    <row r="363" spans="1:10" s="10" customFormat="1" x14ac:dyDescent="0.35">
      <c r="A363" s="27" t="s">
        <v>3967</v>
      </c>
      <c r="B363" s="27" t="s">
        <v>544</v>
      </c>
      <c r="C363" s="27" t="s">
        <v>490</v>
      </c>
      <c r="D363" s="28"/>
      <c r="E363" s="27"/>
      <c r="F363" s="27"/>
      <c r="G363" s="27"/>
      <c r="H363" s="27"/>
      <c r="I363" s="27"/>
      <c r="J363" s="27"/>
    </row>
    <row r="364" spans="1:10" x14ac:dyDescent="0.3">
      <c r="A364" s="10" t="s">
        <v>544</v>
      </c>
      <c r="B364" s="10" t="s">
        <v>458</v>
      </c>
      <c r="C364" s="10" t="s">
        <v>3427</v>
      </c>
      <c r="D364" s="10" t="s">
        <v>3967</v>
      </c>
      <c r="E364" s="10"/>
      <c r="F364" s="10"/>
      <c r="G364" s="10"/>
      <c r="H364" s="10"/>
      <c r="I364" s="10"/>
      <c r="J364" s="10"/>
    </row>
    <row r="365" spans="1:10" x14ac:dyDescent="0.3">
      <c r="A365" s="10" t="s">
        <v>3354</v>
      </c>
      <c r="B365" s="10" t="s">
        <v>34</v>
      </c>
      <c r="C365" s="10" t="s">
        <v>4605</v>
      </c>
      <c r="D365" s="10" t="s">
        <v>6991</v>
      </c>
      <c r="E365" s="10" t="s">
        <v>3971</v>
      </c>
      <c r="F365" s="10" t="s">
        <v>6283</v>
      </c>
      <c r="G365" s="10" t="s">
        <v>3360</v>
      </c>
      <c r="H365" s="10" t="s">
        <v>10088</v>
      </c>
      <c r="I365" s="10" t="s">
        <v>1669</v>
      </c>
      <c r="J365" s="10" t="s">
        <v>6566</v>
      </c>
    </row>
    <row r="366" spans="1:10" x14ac:dyDescent="0.35">
      <c r="A366" s="27" t="s">
        <v>5805</v>
      </c>
      <c r="B366" s="27" t="s">
        <v>5976</v>
      </c>
      <c r="C366" s="27" t="s">
        <v>2437</v>
      </c>
      <c r="D366" s="28" t="s">
        <v>2313</v>
      </c>
      <c r="E366" s="27" t="s">
        <v>3398</v>
      </c>
      <c r="F366" s="27" t="s">
        <v>7484</v>
      </c>
      <c r="G366" s="27" t="s">
        <v>2851</v>
      </c>
      <c r="H366" s="27" t="s">
        <v>2321</v>
      </c>
    </row>
    <row r="367" spans="1:10" s="10" customFormat="1" x14ac:dyDescent="0.3">
      <c r="A367" s="10" t="s">
        <v>278</v>
      </c>
      <c r="B367" s="10" t="s">
        <v>4185</v>
      </c>
      <c r="C367" s="10" t="s">
        <v>1175</v>
      </c>
      <c r="D367" s="35" t="s">
        <v>1180</v>
      </c>
      <c r="E367" s="35" t="s">
        <v>1190</v>
      </c>
      <c r="F367" s="10" t="s">
        <v>1185</v>
      </c>
      <c r="G367" s="10" t="s">
        <v>5580</v>
      </c>
      <c r="H367" s="10" t="s">
        <v>2830</v>
      </c>
      <c r="I367" s="10" t="s">
        <v>2864</v>
      </c>
      <c r="J367" s="10" t="s">
        <v>2237</v>
      </c>
    </row>
    <row r="368" spans="1:10" x14ac:dyDescent="0.3">
      <c r="A368" s="27" t="s">
        <v>4412</v>
      </c>
      <c r="B368" s="27" t="s">
        <v>5989</v>
      </c>
      <c r="C368" s="27" t="s">
        <v>9546</v>
      </c>
      <c r="D368" s="27" t="s">
        <v>944</v>
      </c>
      <c r="E368" s="27" t="s">
        <v>2725</v>
      </c>
      <c r="F368" s="27" t="s">
        <v>29</v>
      </c>
    </row>
    <row r="369" spans="1:10" x14ac:dyDescent="0.3">
      <c r="A369" s="10" t="s">
        <v>1665</v>
      </c>
      <c r="B369" s="10" t="s">
        <v>4429</v>
      </c>
      <c r="C369" s="10" t="s">
        <v>4216</v>
      </c>
      <c r="D369" s="10" t="s">
        <v>7642</v>
      </c>
      <c r="E369" s="35" t="s">
        <v>3402</v>
      </c>
      <c r="F369" s="35" t="s">
        <v>3406</v>
      </c>
      <c r="G369" s="10"/>
      <c r="H369" s="10"/>
      <c r="I369" s="10"/>
      <c r="J369" s="10"/>
    </row>
    <row r="370" spans="1:10" x14ac:dyDescent="0.3">
      <c r="A370" s="10" t="s">
        <v>9505</v>
      </c>
      <c r="B370" s="20" t="s">
        <v>4412</v>
      </c>
      <c r="C370" s="20" t="s">
        <v>4605</v>
      </c>
      <c r="D370" s="20" t="s">
        <v>678</v>
      </c>
      <c r="E370" s="20" t="s">
        <v>9484</v>
      </c>
      <c r="F370" s="20"/>
      <c r="G370" s="20"/>
      <c r="H370" s="20"/>
      <c r="I370" s="20"/>
      <c r="J370" s="20"/>
    </row>
    <row r="371" spans="1:10" s="10" customFormat="1" x14ac:dyDescent="0.3">
      <c r="A371" s="10" t="s">
        <v>9421</v>
      </c>
      <c r="B371" s="10" t="s">
        <v>6073</v>
      </c>
      <c r="C371" s="10" t="s">
        <v>3870</v>
      </c>
      <c r="D371" s="10" t="s">
        <v>5719</v>
      </c>
      <c r="E371" s="10" t="s">
        <v>6410</v>
      </c>
      <c r="F371" s="10" t="s">
        <v>5918</v>
      </c>
      <c r="G371" s="10" t="s">
        <v>5525</v>
      </c>
      <c r="H371" s="10" t="s">
        <v>6628</v>
      </c>
    </row>
    <row r="372" spans="1:10" x14ac:dyDescent="0.3">
      <c r="A372" s="10" t="s">
        <v>9411</v>
      </c>
      <c r="B372" s="10" t="s">
        <v>2816</v>
      </c>
      <c r="C372" s="10" t="s">
        <v>2825</v>
      </c>
      <c r="D372" s="35" t="s">
        <v>2048</v>
      </c>
      <c r="E372" s="35" t="s">
        <v>2365</v>
      </c>
      <c r="F372" s="10" t="s">
        <v>2805</v>
      </c>
      <c r="G372" s="10" t="s">
        <v>5455</v>
      </c>
      <c r="H372" s="10" t="s">
        <v>2809</v>
      </c>
      <c r="I372" s="10"/>
      <c r="J372" s="10"/>
    </row>
    <row r="373" spans="1:10" x14ac:dyDescent="0.35">
      <c r="A373" s="27" t="s">
        <v>1723</v>
      </c>
      <c r="B373" s="27" t="s">
        <v>3033</v>
      </c>
      <c r="C373" s="27" t="s">
        <v>5596</v>
      </c>
      <c r="D373" s="27" t="s">
        <v>6558</v>
      </c>
      <c r="G373" s="28"/>
    </row>
    <row r="374" spans="1:10" x14ac:dyDescent="0.35">
      <c r="A374" s="27" t="s">
        <v>4421</v>
      </c>
      <c r="B374" s="27" t="s">
        <v>1029</v>
      </c>
      <c r="C374" s="27" t="s">
        <v>4627</v>
      </c>
      <c r="D374" s="25" t="s">
        <v>9480</v>
      </c>
    </row>
    <row r="375" spans="1:10" x14ac:dyDescent="0.3">
      <c r="A375" s="27" t="s">
        <v>5813</v>
      </c>
      <c r="B375" s="27" t="s">
        <v>7624</v>
      </c>
      <c r="C375" s="27" t="s">
        <v>6578</v>
      </c>
    </row>
    <row r="376" spans="1:10" s="10" customFormat="1" x14ac:dyDescent="0.3">
      <c r="A376" s="10" t="s">
        <v>490</v>
      </c>
      <c r="B376" s="10" t="s">
        <v>473</v>
      </c>
      <c r="C376" s="10" t="s">
        <v>2497</v>
      </c>
      <c r="D376" s="10" t="s">
        <v>3967</v>
      </c>
      <c r="E376" s="10" t="s">
        <v>470</v>
      </c>
      <c r="F376" s="10" t="s">
        <v>467</v>
      </c>
      <c r="G376" s="10" t="s">
        <v>29</v>
      </c>
    </row>
    <row r="377" spans="1:10" x14ac:dyDescent="0.3">
      <c r="A377" s="27" t="s">
        <v>5817</v>
      </c>
      <c r="B377" s="27" t="s">
        <v>6795</v>
      </c>
      <c r="C377" s="27" t="s">
        <v>670</v>
      </c>
      <c r="D377" s="27" t="s">
        <v>2229</v>
      </c>
      <c r="E377" s="27" t="s">
        <v>832</v>
      </c>
      <c r="F377" s="27" t="s">
        <v>7177</v>
      </c>
      <c r="G377" s="27" t="s">
        <v>9537</v>
      </c>
    </row>
    <row r="378" spans="1:10" x14ac:dyDescent="0.3">
      <c r="A378" s="27" t="s">
        <v>4425</v>
      </c>
      <c r="B378" s="27" t="s">
        <v>5989</v>
      </c>
      <c r="C378" s="27" t="s">
        <v>9539</v>
      </c>
      <c r="D378" s="27" t="s">
        <v>968</v>
      </c>
    </row>
    <row r="379" spans="1:10" s="10" customFormat="1" x14ac:dyDescent="0.35">
      <c r="A379" s="27" t="s">
        <v>4429</v>
      </c>
      <c r="B379" s="27" t="s">
        <v>1665</v>
      </c>
      <c r="C379" s="28" t="s">
        <v>1686</v>
      </c>
      <c r="D379" s="28" t="s">
        <v>5272</v>
      </c>
      <c r="E379" s="27" t="s">
        <v>5434</v>
      </c>
      <c r="F379" s="27" t="s">
        <v>9542</v>
      </c>
      <c r="G379" s="27"/>
      <c r="H379" s="27"/>
      <c r="I379" s="27"/>
      <c r="J379" s="27"/>
    </row>
    <row r="380" spans="1:10" x14ac:dyDescent="0.3">
      <c r="A380" s="10" t="s">
        <v>2809</v>
      </c>
      <c r="B380" s="10" t="s">
        <v>2816</v>
      </c>
      <c r="C380" s="10" t="s">
        <v>5455</v>
      </c>
      <c r="D380" s="10" t="s">
        <v>1846</v>
      </c>
      <c r="E380" s="10" t="s">
        <v>2098</v>
      </c>
      <c r="F380" s="10"/>
      <c r="G380" s="10"/>
      <c r="H380" s="10"/>
      <c r="I380" s="10"/>
      <c r="J380" s="10"/>
    </row>
    <row r="381" spans="1:10" x14ac:dyDescent="0.3">
      <c r="A381" s="27" t="s">
        <v>4433</v>
      </c>
      <c r="B381" s="27" t="s">
        <v>3663</v>
      </c>
      <c r="C381" s="27" t="s">
        <v>4961</v>
      </c>
      <c r="D381" s="27" t="s">
        <v>6029</v>
      </c>
    </row>
    <row r="382" spans="1:10" s="10" customFormat="1" x14ac:dyDescent="0.35">
      <c r="A382" s="27" t="s">
        <v>5821</v>
      </c>
      <c r="B382" s="27" t="s">
        <v>4743</v>
      </c>
      <c r="C382" s="25" t="s">
        <v>2485</v>
      </c>
      <c r="D382" s="27" t="s">
        <v>4829</v>
      </c>
      <c r="E382" s="27" t="s">
        <v>6517</v>
      </c>
      <c r="F382" s="27"/>
      <c r="G382" s="27"/>
      <c r="H382" s="27"/>
      <c r="I382" s="27"/>
      <c r="J382" s="27"/>
    </row>
    <row r="383" spans="1:10" x14ac:dyDescent="0.3">
      <c r="A383" s="27" t="s">
        <v>4438</v>
      </c>
      <c r="B383" s="27" t="s">
        <v>1678</v>
      </c>
      <c r="C383" s="27" t="s">
        <v>82</v>
      </c>
      <c r="D383" s="27" t="s">
        <v>1209</v>
      </c>
      <c r="E383" s="27" t="s">
        <v>3553</v>
      </c>
    </row>
    <row r="384" spans="1:10" s="10" customFormat="1" x14ac:dyDescent="0.35">
      <c r="A384" s="27" t="s">
        <v>4446</v>
      </c>
      <c r="B384" s="28" t="s">
        <v>2461</v>
      </c>
      <c r="C384" s="27" t="s">
        <v>458</v>
      </c>
      <c r="D384" s="27" t="s">
        <v>6656</v>
      </c>
      <c r="E384" s="27"/>
      <c r="F384" s="27"/>
      <c r="G384" s="27"/>
      <c r="H384" s="27"/>
      <c r="I384" s="27"/>
      <c r="J384" s="27"/>
    </row>
    <row r="385" spans="1:10" x14ac:dyDescent="0.3">
      <c r="A385" s="10" t="s">
        <v>1608</v>
      </c>
      <c r="B385" s="10" t="s">
        <v>69</v>
      </c>
      <c r="C385" s="35" t="s">
        <v>2825</v>
      </c>
      <c r="D385" s="35" t="s">
        <v>4926</v>
      </c>
      <c r="E385" s="10" t="s">
        <v>1622</v>
      </c>
      <c r="F385" s="10" t="s">
        <v>6703</v>
      </c>
      <c r="G385" s="10"/>
      <c r="H385" s="10"/>
      <c r="I385" s="10"/>
      <c r="J385" s="10"/>
    </row>
    <row r="386" spans="1:10" s="10" customFormat="1" x14ac:dyDescent="0.35">
      <c r="A386" s="27" t="s">
        <v>4450</v>
      </c>
      <c r="B386" s="28" t="s">
        <v>415</v>
      </c>
      <c r="C386" s="28" t="s">
        <v>2640</v>
      </c>
      <c r="D386" s="27" t="s">
        <v>6764</v>
      </c>
      <c r="E386" s="27"/>
      <c r="F386" s="27"/>
      <c r="G386" s="27"/>
      <c r="H386" s="27"/>
      <c r="I386" s="27"/>
      <c r="J386" s="27"/>
    </row>
    <row r="387" spans="1:10" s="10" customFormat="1" x14ac:dyDescent="0.35">
      <c r="A387" s="27" t="s">
        <v>4455</v>
      </c>
      <c r="B387" s="27" t="s">
        <v>458</v>
      </c>
      <c r="C387" s="28" t="s">
        <v>6972</v>
      </c>
      <c r="D387" s="28" t="s">
        <v>4961</v>
      </c>
      <c r="E387" s="27" t="s">
        <v>6029</v>
      </c>
      <c r="F387" s="27" t="s">
        <v>6721</v>
      </c>
      <c r="G387" s="27" t="s">
        <v>666</v>
      </c>
      <c r="H387" s="27" t="s">
        <v>642</v>
      </c>
      <c r="I387" s="27" t="s">
        <v>686</v>
      </c>
      <c r="J387" s="27"/>
    </row>
    <row r="388" spans="1:10" x14ac:dyDescent="0.3">
      <c r="A388" s="10" t="s">
        <v>713</v>
      </c>
      <c r="B388" s="10" t="s">
        <v>702</v>
      </c>
      <c r="C388" s="10" t="s">
        <v>6920</v>
      </c>
      <c r="D388" s="10"/>
      <c r="E388" s="10"/>
      <c r="F388" s="10"/>
      <c r="G388" s="10"/>
      <c r="H388" s="10"/>
      <c r="I388" s="10"/>
      <c r="J388" s="10"/>
    </row>
    <row r="389" spans="1:10" x14ac:dyDescent="0.3">
      <c r="A389" s="27" t="s">
        <v>1915</v>
      </c>
      <c r="B389" s="27" t="s">
        <v>1939</v>
      </c>
    </row>
    <row r="390" spans="1:10" x14ac:dyDescent="0.3">
      <c r="A390" s="27" t="s">
        <v>1303</v>
      </c>
      <c r="B390" s="27" t="s">
        <v>6181</v>
      </c>
      <c r="C390" s="27" t="s">
        <v>1169</v>
      </c>
      <c r="D390" s="27" t="s">
        <v>1331</v>
      </c>
      <c r="E390" s="27" t="s">
        <v>7516</v>
      </c>
    </row>
    <row r="391" spans="1:10" s="10" customFormat="1" x14ac:dyDescent="0.3">
      <c r="A391" s="10" t="s">
        <v>1876</v>
      </c>
      <c r="B391" s="10" t="s">
        <v>1846</v>
      </c>
      <c r="C391" s="10" t="s">
        <v>2361</v>
      </c>
      <c r="D391" s="35" t="s">
        <v>1335</v>
      </c>
      <c r="E391" s="10" t="s">
        <v>5872</v>
      </c>
      <c r="F391" s="10" t="s">
        <v>6920</v>
      </c>
      <c r="G391" s="35" t="s">
        <v>920</v>
      </c>
      <c r="H391" s="10" t="s">
        <v>1648</v>
      </c>
      <c r="I391" s="10" t="s">
        <v>5876</v>
      </c>
    </row>
    <row r="392" spans="1:10" x14ac:dyDescent="0.3">
      <c r="A392" s="27" t="s">
        <v>5825</v>
      </c>
      <c r="B392" s="27" t="s">
        <v>2851</v>
      </c>
    </row>
    <row r="393" spans="1:10" s="10" customFormat="1" x14ac:dyDescent="0.3">
      <c r="A393" s="10" t="s">
        <v>521</v>
      </c>
      <c r="B393" s="10" t="s">
        <v>29</v>
      </c>
      <c r="C393" s="10" t="s">
        <v>473</v>
      </c>
      <c r="D393" s="10" t="s">
        <v>5835</v>
      </c>
      <c r="E393" s="10" t="s">
        <v>6936</v>
      </c>
      <c r="F393" s="10" t="s">
        <v>470</v>
      </c>
      <c r="G393" s="10" t="s">
        <v>467</v>
      </c>
    </row>
    <row r="394" spans="1:10" s="10" customFormat="1" x14ac:dyDescent="0.3">
      <c r="A394" s="27" t="s">
        <v>4459</v>
      </c>
      <c r="B394" s="27" t="s">
        <v>5442</v>
      </c>
      <c r="C394" s="27" t="s">
        <v>5110</v>
      </c>
      <c r="D394" s="27" t="s">
        <v>6920</v>
      </c>
      <c r="E394" s="27"/>
      <c r="F394" s="27"/>
      <c r="G394" s="27"/>
      <c r="H394" s="27"/>
      <c r="I394" s="27"/>
      <c r="J394" s="27"/>
    </row>
    <row r="395" spans="1:10" s="10" customFormat="1" x14ac:dyDescent="0.3">
      <c r="A395" s="10" t="s">
        <v>705</v>
      </c>
      <c r="B395" s="10" t="s">
        <v>702</v>
      </c>
      <c r="C395" s="10" t="s">
        <v>7456</v>
      </c>
      <c r="D395" s="10" t="s">
        <v>1585</v>
      </c>
      <c r="E395" s="10" t="s">
        <v>5406</v>
      </c>
      <c r="F395" s="10" t="s">
        <v>1581</v>
      </c>
      <c r="G395" s="10" t="s">
        <v>3982</v>
      </c>
    </row>
    <row r="396" spans="1:10" ht="16.2" x14ac:dyDescent="0.35">
      <c r="A396" s="10" t="s">
        <v>3332</v>
      </c>
      <c r="B396" s="10" t="s">
        <v>1175</v>
      </c>
      <c r="C396" s="10" t="s">
        <v>1585</v>
      </c>
      <c r="D396" s="10" t="s">
        <v>6920</v>
      </c>
      <c r="E396" s="10" t="s">
        <v>5996</v>
      </c>
      <c r="F396" s="35" t="s">
        <v>3313</v>
      </c>
      <c r="G396" s="10" t="s">
        <v>2706</v>
      </c>
      <c r="H396" s="10" t="s">
        <v>2710</v>
      </c>
      <c r="I396" s="25" t="s">
        <v>775</v>
      </c>
      <c r="J396" s="25" t="s">
        <v>771</v>
      </c>
    </row>
    <row r="397" spans="1:10" x14ac:dyDescent="0.35">
      <c r="A397" s="27" t="s">
        <v>1081</v>
      </c>
      <c r="B397" s="28" t="s">
        <v>1029</v>
      </c>
      <c r="C397" s="27" t="s">
        <v>324</v>
      </c>
      <c r="D397" s="27" t="s">
        <v>1037</v>
      </c>
      <c r="E397" s="27" t="s">
        <v>1042</v>
      </c>
      <c r="F397" s="27" t="s">
        <v>3121</v>
      </c>
    </row>
    <row r="398" spans="1:10" s="10" customFormat="1" x14ac:dyDescent="0.35">
      <c r="A398" s="27" t="s">
        <v>4467</v>
      </c>
      <c r="B398" s="27" t="s">
        <v>1736</v>
      </c>
      <c r="C398" s="27" t="s">
        <v>9546</v>
      </c>
      <c r="D398" s="28" t="s">
        <v>2411</v>
      </c>
      <c r="E398" s="27" t="s">
        <v>7238</v>
      </c>
      <c r="F398" s="27" t="s">
        <v>324</v>
      </c>
      <c r="G398" s="27" t="s">
        <v>1051</v>
      </c>
      <c r="H398" s="27" t="s">
        <v>1073</v>
      </c>
      <c r="I398" s="27"/>
      <c r="J398" s="27"/>
    </row>
    <row r="399" spans="1:10" x14ac:dyDescent="0.35">
      <c r="A399" s="27" t="s">
        <v>1098</v>
      </c>
      <c r="B399" s="27" t="s">
        <v>6578</v>
      </c>
      <c r="C399" s="28" t="s">
        <v>2123</v>
      </c>
      <c r="D399" s="28" t="s">
        <v>2119</v>
      </c>
      <c r="E399" s="25" t="s">
        <v>2394</v>
      </c>
      <c r="F399" s="27" t="s">
        <v>932</v>
      </c>
      <c r="G399" s="27" t="s">
        <v>9408</v>
      </c>
      <c r="H399" s="27" t="s">
        <v>2848</v>
      </c>
    </row>
    <row r="400" spans="1:10" x14ac:dyDescent="0.3">
      <c r="A400" s="10" t="s">
        <v>3347</v>
      </c>
      <c r="B400" s="10" t="s">
        <v>34</v>
      </c>
      <c r="C400" s="10" t="s">
        <v>2851</v>
      </c>
      <c r="D400" s="10" t="s">
        <v>6890</v>
      </c>
      <c r="E400" s="10"/>
      <c r="F400" s="10"/>
      <c r="G400" s="10"/>
      <c r="H400" s="10"/>
      <c r="I400" s="10"/>
      <c r="J400" s="10"/>
    </row>
    <row r="401" spans="1:10" x14ac:dyDescent="0.3">
      <c r="A401" s="27" t="s">
        <v>4470</v>
      </c>
      <c r="B401" s="27" t="s">
        <v>4949</v>
      </c>
      <c r="C401" s="27" t="s">
        <v>6208</v>
      </c>
      <c r="D401" s="27" t="s">
        <v>2851</v>
      </c>
      <c r="E401" s="27" t="s">
        <v>34</v>
      </c>
      <c r="F401" s="27" t="s">
        <v>3419</v>
      </c>
    </row>
    <row r="402" spans="1:10" x14ac:dyDescent="0.3">
      <c r="A402" s="10" t="s">
        <v>5835</v>
      </c>
      <c r="B402" s="10" t="s">
        <v>29</v>
      </c>
      <c r="C402" s="10" t="s">
        <v>473</v>
      </c>
      <c r="D402" s="10" t="s">
        <v>499</v>
      </c>
      <c r="E402" s="10" t="s">
        <v>6936</v>
      </c>
      <c r="F402" s="10"/>
      <c r="G402" s="10"/>
      <c r="H402" s="10"/>
      <c r="I402" s="10"/>
      <c r="J402" s="10"/>
    </row>
    <row r="403" spans="1:10" x14ac:dyDescent="0.3">
      <c r="A403" s="10" t="s">
        <v>1490</v>
      </c>
      <c r="B403" s="10" t="s">
        <v>2867</v>
      </c>
      <c r="C403" s="10" t="s">
        <v>82</v>
      </c>
      <c r="D403" s="10" t="s">
        <v>5412</v>
      </c>
      <c r="E403" s="10" t="s">
        <v>3463</v>
      </c>
      <c r="F403" s="10"/>
      <c r="G403" s="10"/>
      <c r="H403" s="10"/>
      <c r="I403" s="10"/>
      <c r="J403" s="10"/>
    </row>
    <row r="404" spans="1:10" x14ac:dyDescent="0.3">
      <c r="A404" s="10" t="s">
        <v>1603</v>
      </c>
      <c r="B404" s="10" t="s">
        <v>5778</v>
      </c>
      <c r="C404" s="10" t="s">
        <v>2584</v>
      </c>
      <c r="D404" s="35" t="s">
        <v>1852</v>
      </c>
      <c r="E404" s="10" t="s">
        <v>1872</v>
      </c>
      <c r="F404" s="10" t="s">
        <v>6920</v>
      </c>
      <c r="G404" s="10"/>
      <c r="H404" s="10"/>
      <c r="I404" s="10"/>
      <c r="J404" s="10"/>
    </row>
    <row r="405" spans="1:10" x14ac:dyDescent="0.3">
      <c r="A405" s="27" t="s">
        <v>5839</v>
      </c>
      <c r="B405" s="27" t="s">
        <v>4481</v>
      </c>
      <c r="C405" s="27" t="s">
        <v>1678</v>
      </c>
      <c r="D405" s="27" t="s">
        <v>2394</v>
      </c>
      <c r="E405" s="27" t="s">
        <v>932</v>
      </c>
      <c r="F405" s="27" t="s">
        <v>4698</v>
      </c>
      <c r="G405" s="27" t="s">
        <v>1098</v>
      </c>
    </row>
    <row r="406" spans="1:10" x14ac:dyDescent="0.35">
      <c r="A406" s="27" t="s">
        <v>2156</v>
      </c>
      <c r="B406" s="28" t="s">
        <v>7601</v>
      </c>
      <c r="C406" s="28" t="s">
        <v>2133</v>
      </c>
      <c r="D406" s="27" t="s">
        <v>2138</v>
      </c>
      <c r="E406" s="27" t="s">
        <v>2143</v>
      </c>
    </row>
    <row r="407" spans="1:10" x14ac:dyDescent="0.3">
      <c r="A407" s="10" t="s">
        <v>6721</v>
      </c>
      <c r="B407" s="10" t="s">
        <v>535</v>
      </c>
      <c r="C407" s="10" t="s">
        <v>544</v>
      </c>
      <c r="D407" s="10" t="s">
        <v>5835</v>
      </c>
      <c r="E407" s="10" t="s">
        <v>490</v>
      </c>
      <c r="F407" s="10" t="s">
        <v>473</v>
      </c>
      <c r="G407" s="10" t="s">
        <v>6972</v>
      </c>
      <c r="H407" s="10"/>
      <c r="I407" s="10"/>
      <c r="J407" s="10"/>
    </row>
    <row r="408" spans="1:10" x14ac:dyDescent="0.35">
      <c r="A408" s="27" t="s">
        <v>4477</v>
      </c>
      <c r="B408" s="27" t="s">
        <v>458</v>
      </c>
      <c r="C408" s="25" t="s">
        <v>2467</v>
      </c>
      <c r="D408" s="27" t="s">
        <v>7591</v>
      </c>
      <c r="E408" s="27" t="s">
        <v>2725</v>
      </c>
      <c r="F408" s="27" t="s">
        <v>29</v>
      </c>
      <c r="G408" s="27" t="s">
        <v>3033</v>
      </c>
      <c r="H408" s="27" t="s">
        <v>3452</v>
      </c>
    </row>
    <row r="409" spans="1:10" s="10" customFormat="1" x14ac:dyDescent="0.35">
      <c r="A409" s="27" t="s">
        <v>4007</v>
      </c>
      <c r="B409" s="28" t="s">
        <v>3452</v>
      </c>
      <c r="C409" s="27" t="s">
        <v>5537</v>
      </c>
      <c r="D409" s="27" t="s">
        <v>7375</v>
      </c>
      <c r="E409" s="27"/>
      <c r="F409" s="27"/>
      <c r="G409" s="27"/>
      <c r="H409" s="27"/>
      <c r="I409" s="27"/>
      <c r="J409" s="27"/>
    </row>
    <row r="410" spans="1:10" s="10" customFormat="1" x14ac:dyDescent="0.35">
      <c r="A410" s="27" t="s">
        <v>5843</v>
      </c>
      <c r="B410" s="27" t="s">
        <v>6010</v>
      </c>
      <c r="C410" s="28" t="s">
        <v>2128</v>
      </c>
      <c r="D410" s="28" t="s">
        <v>2123</v>
      </c>
      <c r="E410" s="27" t="s">
        <v>2119</v>
      </c>
      <c r="F410" s="27" t="s">
        <v>2133</v>
      </c>
      <c r="G410" s="27"/>
      <c r="H410" s="27"/>
      <c r="I410" s="27"/>
      <c r="J410" s="27"/>
    </row>
    <row r="411" spans="1:10" x14ac:dyDescent="0.35">
      <c r="A411" s="27" t="s">
        <v>4481</v>
      </c>
      <c r="B411" s="27" t="s">
        <v>5839</v>
      </c>
      <c r="C411" s="28" t="s">
        <v>1678</v>
      </c>
      <c r="D411" s="28" t="s">
        <v>2394</v>
      </c>
      <c r="E411" s="27" t="s">
        <v>932</v>
      </c>
      <c r="F411" s="27" t="s">
        <v>4698</v>
      </c>
      <c r="G411" s="27" t="s">
        <v>1098</v>
      </c>
    </row>
    <row r="412" spans="1:10" x14ac:dyDescent="0.35">
      <c r="A412" s="27" t="s">
        <v>4489</v>
      </c>
      <c r="B412" s="27" t="s">
        <v>7601</v>
      </c>
      <c r="C412" s="28" t="s">
        <v>1029</v>
      </c>
      <c r="D412" s="28" t="s">
        <v>9524</v>
      </c>
      <c r="E412" s="27" t="s">
        <v>1077</v>
      </c>
      <c r="F412" s="27" t="s">
        <v>5152</v>
      </c>
      <c r="G412" s="27" t="s">
        <v>7630</v>
      </c>
    </row>
    <row r="413" spans="1:10" x14ac:dyDescent="0.3">
      <c r="A413" s="27" t="s">
        <v>5849</v>
      </c>
      <c r="B413" s="27" t="s">
        <v>5070</v>
      </c>
      <c r="C413" s="27" t="s">
        <v>1051</v>
      </c>
      <c r="D413" s="27" t="s">
        <v>1069</v>
      </c>
      <c r="E413" s="27" t="s">
        <v>4009</v>
      </c>
      <c r="F413" s="27" t="s">
        <v>6920</v>
      </c>
      <c r="G413" s="27" t="s">
        <v>3553</v>
      </c>
    </row>
    <row r="414" spans="1:10" x14ac:dyDescent="0.35">
      <c r="A414" s="27" t="s">
        <v>4498</v>
      </c>
      <c r="B414" s="28" t="s">
        <v>4961</v>
      </c>
      <c r="C414" s="28" t="s">
        <v>5911</v>
      </c>
      <c r="D414" s="27" t="s">
        <v>1678</v>
      </c>
      <c r="E414" s="27" t="s">
        <v>2474</v>
      </c>
      <c r="F414" s="28" t="s">
        <v>2640</v>
      </c>
      <c r="G414" s="27" t="s">
        <v>4862</v>
      </c>
      <c r="H414" s="27" t="s">
        <v>9547</v>
      </c>
    </row>
    <row r="415" spans="1:10" x14ac:dyDescent="0.3">
      <c r="A415" s="27" t="s">
        <v>5853</v>
      </c>
      <c r="B415" s="27" t="s">
        <v>5418</v>
      </c>
      <c r="C415" s="27" t="s">
        <v>7526</v>
      </c>
      <c r="D415" s="27" t="s">
        <v>5580</v>
      </c>
      <c r="E415" s="27" t="s">
        <v>2237</v>
      </c>
      <c r="F415" s="27" t="s">
        <v>278</v>
      </c>
      <c r="G415" s="27" t="s">
        <v>6302</v>
      </c>
      <c r="H415" s="27" t="s">
        <v>4846</v>
      </c>
    </row>
    <row r="416" spans="1:10" x14ac:dyDescent="0.3">
      <c r="A416" s="27" t="s">
        <v>4502</v>
      </c>
      <c r="B416" s="27" t="s">
        <v>2816</v>
      </c>
      <c r="C416" s="27" t="s">
        <v>1648</v>
      </c>
      <c r="D416" s="27" t="s">
        <v>5872</v>
      </c>
      <c r="E416" s="27" t="s">
        <v>5876</v>
      </c>
      <c r="F416" s="27" t="s">
        <v>2012</v>
      </c>
    </row>
    <row r="417" spans="1:10" x14ac:dyDescent="0.35">
      <c r="A417" s="27" t="s">
        <v>4510</v>
      </c>
      <c r="B417" s="27" t="s">
        <v>4021</v>
      </c>
      <c r="C417" s="25" t="s">
        <v>2480</v>
      </c>
      <c r="D417" s="27" t="s">
        <v>458</v>
      </c>
      <c r="E417" s="27" t="s">
        <v>1594</v>
      </c>
    </row>
    <row r="418" spans="1:10" x14ac:dyDescent="0.3">
      <c r="A418" s="10" t="s">
        <v>506</v>
      </c>
      <c r="B418" s="10" t="s">
        <v>29</v>
      </c>
      <c r="C418" s="10" t="s">
        <v>467</v>
      </c>
      <c r="D418" s="10" t="s">
        <v>470</v>
      </c>
      <c r="E418" s="10"/>
      <c r="F418" s="10"/>
      <c r="G418" s="10"/>
      <c r="H418" s="10"/>
      <c r="I418" s="10"/>
      <c r="J418" s="10"/>
    </row>
    <row r="419" spans="1:10" x14ac:dyDescent="0.3">
      <c r="A419" s="10" t="s">
        <v>510</v>
      </c>
      <c r="B419" s="10" t="s">
        <v>29</v>
      </c>
      <c r="C419" s="10" t="s">
        <v>470</v>
      </c>
      <c r="D419" s="10" t="s">
        <v>467</v>
      </c>
      <c r="E419" s="10"/>
      <c r="F419" s="10"/>
      <c r="G419" s="10"/>
      <c r="H419" s="10"/>
      <c r="I419" s="10"/>
      <c r="J419" s="10"/>
    </row>
    <row r="420" spans="1:10" x14ac:dyDescent="0.35">
      <c r="A420" s="27" t="s">
        <v>4021</v>
      </c>
      <c r="B420" s="27" t="s">
        <v>4510</v>
      </c>
      <c r="C420" s="25" t="s">
        <v>2480</v>
      </c>
    </row>
    <row r="421" spans="1:10" x14ac:dyDescent="0.35">
      <c r="A421" s="27" t="s">
        <v>4026</v>
      </c>
      <c r="B421" s="27" t="s">
        <v>1833</v>
      </c>
      <c r="C421" s="25" t="s">
        <v>2400</v>
      </c>
    </row>
    <row r="422" spans="1:10" x14ac:dyDescent="0.3">
      <c r="A422" s="27" t="s">
        <v>1307</v>
      </c>
      <c r="B422" s="27" t="s">
        <v>1169</v>
      </c>
      <c r="C422" s="27" t="s">
        <v>2365</v>
      </c>
      <c r="D422" s="27" t="s">
        <v>7275</v>
      </c>
      <c r="E422" s="27" t="s">
        <v>1678</v>
      </c>
      <c r="F422" s="27" t="s">
        <v>5899</v>
      </c>
      <c r="G422" s="27" t="s">
        <v>1919</v>
      </c>
    </row>
    <row r="423" spans="1:10" x14ac:dyDescent="0.3">
      <c r="A423" s="27" t="s">
        <v>4512</v>
      </c>
      <c r="B423" s="27" t="s">
        <v>3386</v>
      </c>
      <c r="C423" s="27" t="s">
        <v>6102</v>
      </c>
      <c r="D423" s="27" t="s">
        <v>3971</v>
      </c>
      <c r="E423" s="27" t="s">
        <v>6991</v>
      </c>
    </row>
    <row r="424" spans="1:10" x14ac:dyDescent="0.35">
      <c r="A424" s="27" t="s">
        <v>4520</v>
      </c>
      <c r="B424" s="28" t="s">
        <v>6517</v>
      </c>
      <c r="C424" s="28" t="s">
        <v>5033</v>
      </c>
      <c r="D424" s="28" t="s">
        <v>2405</v>
      </c>
      <c r="E424" s="28" t="s">
        <v>7134</v>
      </c>
    </row>
    <row r="425" spans="1:10" s="10" customFormat="1" x14ac:dyDescent="0.3">
      <c r="A425" s="27" t="s">
        <v>5861</v>
      </c>
      <c r="B425" s="27" t="s">
        <v>458</v>
      </c>
      <c r="C425" s="27" t="s">
        <v>4961</v>
      </c>
      <c r="D425" s="27" t="s">
        <v>6029</v>
      </c>
      <c r="E425" s="27" t="s">
        <v>6972</v>
      </c>
      <c r="F425" s="27"/>
      <c r="G425" s="27"/>
      <c r="H425" s="27"/>
      <c r="I425" s="27"/>
      <c r="J425" s="27"/>
    </row>
    <row r="426" spans="1:10" s="10" customFormat="1" x14ac:dyDescent="0.35">
      <c r="A426" s="27" t="s">
        <v>4532</v>
      </c>
      <c r="B426" s="27" t="s">
        <v>4627</v>
      </c>
      <c r="C426" s="28" t="s">
        <v>6374</v>
      </c>
      <c r="D426" s="27" t="s">
        <v>2296</v>
      </c>
      <c r="E426" s="27" t="s">
        <v>2160</v>
      </c>
      <c r="F426" s="27" t="s">
        <v>5989</v>
      </c>
      <c r="G426" s="27" t="s">
        <v>4134</v>
      </c>
      <c r="H426" s="27"/>
      <c r="I426" s="27"/>
      <c r="J426" s="27"/>
    </row>
    <row r="427" spans="1:10" x14ac:dyDescent="0.3">
      <c r="A427" s="27" t="s">
        <v>4536</v>
      </c>
      <c r="B427" s="27" t="s">
        <v>5648</v>
      </c>
      <c r="C427" s="27" t="s">
        <v>4119</v>
      </c>
      <c r="D427" s="27" t="s">
        <v>3490</v>
      </c>
    </row>
    <row r="428" spans="1:10" s="10" customFormat="1" x14ac:dyDescent="0.3">
      <c r="A428" s="27" t="s">
        <v>1410</v>
      </c>
      <c r="B428" s="27" t="s">
        <v>2730</v>
      </c>
      <c r="C428" s="27" t="s">
        <v>4899</v>
      </c>
      <c r="D428" s="27"/>
      <c r="E428" s="27"/>
      <c r="F428" s="27"/>
      <c r="G428" s="27"/>
      <c r="H428" s="27"/>
      <c r="I428" s="27"/>
      <c r="J428" s="27"/>
    </row>
    <row r="429" spans="1:10" s="10" customFormat="1" x14ac:dyDescent="0.3">
      <c r="A429" s="27" t="s">
        <v>1942</v>
      </c>
      <c r="B429" s="27" t="s">
        <v>4070</v>
      </c>
      <c r="C429" s="27" t="s">
        <v>622</v>
      </c>
      <c r="D429" s="27" t="s">
        <v>3593</v>
      </c>
      <c r="E429" s="27" t="s">
        <v>2252</v>
      </c>
      <c r="F429" s="27" t="s">
        <v>642</v>
      </c>
      <c r="G429" s="27" t="s">
        <v>666</v>
      </c>
      <c r="H429" s="27"/>
      <c r="I429" s="27"/>
      <c r="J429" s="27"/>
    </row>
    <row r="430" spans="1:10" x14ac:dyDescent="0.3">
      <c r="A430" s="27" t="s">
        <v>2059</v>
      </c>
      <c r="B430" s="27" t="s">
        <v>2012</v>
      </c>
      <c r="C430" s="27" t="s">
        <v>2365</v>
      </c>
      <c r="D430" s="27" t="s">
        <v>6920</v>
      </c>
      <c r="E430" s="27" t="s">
        <v>5872</v>
      </c>
      <c r="F430" s="27" t="s">
        <v>5876</v>
      </c>
      <c r="G430" s="27" t="s">
        <v>4502</v>
      </c>
    </row>
    <row r="431" spans="1:10" x14ac:dyDescent="0.3">
      <c r="A431" s="27" t="s">
        <v>695</v>
      </c>
      <c r="B431" s="27" t="s">
        <v>670</v>
      </c>
      <c r="C431" s="27" t="s">
        <v>5221</v>
      </c>
      <c r="D431" s="27" t="s">
        <v>4720</v>
      </c>
      <c r="E431" s="27" t="s">
        <v>1736</v>
      </c>
      <c r="F431" s="27" t="s">
        <v>622</v>
      </c>
      <c r="G431" s="27" t="s">
        <v>4070</v>
      </c>
      <c r="H431" s="27" t="s">
        <v>3593</v>
      </c>
    </row>
    <row r="432" spans="1:10" s="10" customFormat="1" x14ac:dyDescent="0.3">
      <c r="A432" s="27" t="s">
        <v>5865</v>
      </c>
      <c r="B432" s="27" t="s">
        <v>5735</v>
      </c>
      <c r="C432" s="27" t="s">
        <v>5882</v>
      </c>
      <c r="D432" s="27" t="s">
        <v>5321</v>
      </c>
      <c r="E432" s="27"/>
      <c r="F432" s="27"/>
      <c r="G432" s="27"/>
      <c r="H432" s="27"/>
      <c r="I432" s="27"/>
      <c r="J432" s="27"/>
    </row>
    <row r="433" spans="1:10" x14ac:dyDescent="0.35">
      <c r="A433" s="27" t="s">
        <v>2614</v>
      </c>
      <c r="B433" s="28" t="s">
        <v>2485</v>
      </c>
      <c r="C433" s="27" t="s">
        <v>6764</v>
      </c>
      <c r="D433" s="27" t="s">
        <v>7134</v>
      </c>
    </row>
    <row r="434" spans="1:10" x14ac:dyDescent="0.3">
      <c r="A434" s="10" t="s">
        <v>2830</v>
      </c>
      <c r="B434" s="10" t="s">
        <v>2816</v>
      </c>
      <c r="C434" s="10" t="s">
        <v>2365</v>
      </c>
      <c r="D434" s="10" t="s">
        <v>1175</v>
      </c>
      <c r="E434" s="10" t="s">
        <v>4185</v>
      </c>
      <c r="F434" s="10" t="s">
        <v>4926</v>
      </c>
      <c r="G434" s="10"/>
      <c r="H434" s="10"/>
      <c r="I434" s="10"/>
      <c r="J434" s="10"/>
    </row>
    <row r="435" spans="1:10" x14ac:dyDescent="0.3">
      <c r="A435" s="10" t="s">
        <v>876</v>
      </c>
      <c r="B435" s="10" t="s">
        <v>4552</v>
      </c>
      <c r="C435" s="10" t="s">
        <v>880</v>
      </c>
      <c r="D435" s="10" t="s">
        <v>872</v>
      </c>
      <c r="E435" s="10" t="s">
        <v>867</v>
      </c>
      <c r="F435" s="10" t="s">
        <v>6878</v>
      </c>
      <c r="G435" s="10" t="s">
        <v>3509</v>
      </c>
      <c r="H435" s="10" t="s">
        <v>4675</v>
      </c>
      <c r="I435" s="10" t="s">
        <v>3200</v>
      </c>
      <c r="J435" s="10"/>
    </row>
    <row r="436" spans="1:10" s="10" customFormat="1" x14ac:dyDescent="0.3">
      <c r="A436" s="20" t="s">
        <v>953</v>
      </c>
      <c r="B436" s="10" t="s">
        <v>948</v>
      </c>
      <c r="C436" s="10" t="s">
        <v>955</v>
      </c>
    </row>
    <row r="437" spans="1:10" x14ac:dyDescent="0.3">
      <c r="A437" s="20" t="s">
        <v>6778</v>
      </c>
      <c r="B437" s="10" t="s">
        <v>6228</v>
      </c>
      <c r="C437" s="35" t="s">
        <v>5321</v>
      </c>
      <c r="D437" s="10" t="s">
        <v>7142</v>
      </c>
      <c r="E437" s="10" t="s">
        <v>7000</v>
      </c>
      <c r="F437" s="10" t="s">
        <v>6830</v>
      </c>
      <c r="G437" s="10" t="s">
        <v>3862</v>
      </c>
      <c r="H437" s="10"/>
      <c r="I437" s="10"/>
      <c r="J437" s="10"/>
    </row>
    <row r="438" spans="1:10" s="10" customFormat="1" x14ac:dyDescent="0.35">
      <c r="A438" s="27" t="s">
        <v>932</v>
      </c>
      <c r="B438" s="27" t="s">
        <v>912</v>
      </c>
      <c r="C438" s="27" t="s">
        <v>936</v>
      </c>
      <c r="D438" s="27" t="s">
        <v>6041</v>
      </c>
      <c r="E438" s="27" t="s">
        <v>5487</v>
      </c>
      <c r="F438" s="27" t="s">
        <v>4862</v>
      </c>
      <c r="G438" s="27" t="s">
        <v>4698</v>
      </c>
      <c r="H438" s="25" t="s">
        <v>2394</v>
      </c>
      <c r="I438" s="27" t="s">
        <v>9408</v>
      </c>
      <c r="J438" s="27"/>
    </row>
    <row r="439" spans="1:10" x14ac:dyDescent="0.3">
      <c r="A439" s="27" t="s">
        <v>5869</v>
      </c>
      <c r="B439" s="27" t="s">
        <v>646</v>
      </c>
      <c r="C439" s="27" t="s">
        <v>6162</v>
      </c>
      <c r="D439" s="27" t="s">
        <v>1985</v>
      </c>
      <c r="E439" s="27" t="s">
        <v>4070</v>
      </c>
      <c r="F439" s="27" t="s">
        <v>4985</v>
      </c>
      <c r="G439" s="27" t="s">
        <v>4941</v>
      </c>
      <c r="H439" s="27" t="s">
        <v>6395</v>
      </c>
      <c r="I439" s="27" t="s">
        <v>9408</v>
      </c>
    </row>
    <row r="440" spans="1:10" x14ac:dyDescent="0.3">
      <c r="A440" s="10" t="s">
        <v>535</v>
      </c>
      <c r="B440" s="10" t="s">
        <v>458</v>
      </c>
      <c r="C440" s="10" t="s">
        <v>3427</v>
      </c>
      <c r="D440" s="10" t="s">
        <v>6936</v>
      </c>
      <c r="E440" s="10"/>
      <c r="F440" s="10"/>
      <c r="G440" s="10"/>
      <c r="H440" s="10"/>
      <c r="I440" s="10"/>
      <c r="J440" s="10"/>
    </row>
    <row r="441" spans="1:10" x14ac:dyDescent="0.35">
      <c r="A441" s="27" t="s">
        <v>4540</v>
      </c>
      <c r="B441" s="27" t="s">
        <v>7591</v>
      </c>
      <c r="C441" s="27" t="s">
        <v>9599</v>
      </c>
      <c r="D441" s="25" t="s">
        <v>2411</v>
      </c>
      <c r="G441" s="28"/>
    </row>
    <row r="442" spans="1:10" x14ac:dyDescent="0.35">
      <c r="A442" s="27" t="s">
        <v>6783</v>
      </c>
      <c r="B442" s="27" t="s">
        <v>6861</v>
      </c>
      <c r="C442" s="28" t="s">
        <v>1661</v>
      </c>
      <c r="D442" s="28" t="s">
        <v>1622</v>
      </c>
      <c r="E442" s="27" t="s">
        <v>5899</v>
      </c>
      <c r="F442" s="27" t="s">
        <v>1617</v>
      </c>
    </row>
    <row r="443" spans="1:10" s="10" customFormat="1" x14ac:dyDescent="0.3">
      <c r="A443" s="27" t="s">
        <v>2758</v>
      </c>
      <c r="B443" s="27" t="s">
        <v>6608</v>
      </c>
      <c r="C443" s="27" t="s">
        <v>3836</v>
      </c>
      <c r="D443" s="27" t="s">
        <v>3181</v>
      </c>
      <c r="E443" s="27" t="s">
        <v>3185</v>
      </c>
      <c r="F443" s="27"/>
      <c r="G443" s="27"/>
      <c r="H443" s="27"/>
      <c r="I443" s="27"/>
      <c r="J443" s="27"/>
    </row>
    <row r="444" spans="1:10" s="10" customFormat="1" x14ac:dyDescent="0.3">
      <c r="A444" s="10" t="s">
        <v>1594</v>
      </c>
      <c r="B444" s="10" t="s">
        <v>5911</v>
      </c>
      <c r="C444" s="35" t="s">
        <v>4021</v>
      </c>
      <c r="D444" s="10" t="s">
        <v>7615</v>
      </c>
      <c r="E444" s="10" t="s">
        <v>7460</v>
      </c>
      <c r="F444" s="35" t="s">
        <v>2048</v>
      </c>
    </row>
    <row r="445" spans="1:10" x14ac:dyDescent="0.35">
      <c r="A445" s="27" t="s">
        <v>3245</v>
      </c>
      <c r="B445" s="27" t="s">
        <v>2851</v>
      </c>
      <c r="C445" s="27" t="s">
        <v>6002</v>
      </c>
      <c r="D445" s="25" t="s">
        <v>3242</v>
      </c>
    </row>
    <row r="446" spans="1:10" x14ac:dyDescent="0.3">
      <c r="A446" s="20" t="s">
        <v>4038</v>
      </c>
      <c r="B446" s="10" t="s">
        <v>6670</v>
      </c>
      <c r="C446" s="10" t="s">
        <v>4083</v>
      </c>
      <c r="D446" s="10" t="s">
        <v>3447</v>
      </c>
      <c r="E446" s="10"/>
      <c r="F446" s="10"/>
      <c r="G446" s="10"/>
      <c r="H446" s="10"/>
      <c r="I446" s="10"/>
      <c r="J446" s="10"/>
    </row>
    <row r="447" spans="1:10" x14ac:dyDescent="0.35">
      <c r="A447" s="27" t="s">
        <v>6787</v>
      </c>
      <c r="B447" s="27" t="s">
        <v>1029</v>
      </c>
      <c r="C447" s="27" t="s">
        <v>3121</v>
      </c>
      <c r="D447" s="28" t="s">
        <v>4770</v>
      </c>
      <c r="E447" s="27" t="s">
        <v>7167</v>
      </c>
      <c r="F447" s="27" t="s">
        <v>7032</v>
      </c>
      <c r="G447" s="27" t="s">
        <v>7000</v>
      </c>
      <c r="H447" s="27" t="s">
        <v>3818</v>
      </c>
    </row>
    <row r="448" spans="1:10" x14ac:dyDescent="0.3">
      <c r="A448" s="27" t="s">
        <v>6791</v>
      </c>
      <c r="B448" s="27" t="s">
        <v>1617</v>
      </c>
      <c r="C448" s="27" t="s">
        <v>1678</v>
      </c>
      <c r="D448" s="27" t="s">
        <v>5684</v>
      </c>
      <c r="E448" s="27" t="s">
        <v>2898</v>
      </c>
      <c r="F448" s="27" t="s">
        <v>1656</v>
      </c>
    </row>
    <row r="449" spans="1:11" x14ac:dyDescent="0.35">
      <c r="A449" s="27" t="s">
        <v>6795</v>
      </c>
      <c r="B449" s="25" t="s">
        <v>4797</v>
      </c>
      <c r="C449" s="25" t="s">
        <v>7512</v>
      </c>
      <c r="D449" s="27" t="s">
        <v>458</v>
      </c>
      <c r="E449" s="27" t="s">
        <v>69</v>
      </c>
      <c r="F449" s="27" t="s">
        <v>2337</v>
      </c>
    </row>
    <row r="450" spans="1:11" x14ac:dyDescent="0.3">
      <c r="A450" s="27" t="s">
        <v>6798</v>
      </c>
      <c r="B450" s="27" t="s">
        <v>5393</v>
      </c>
      <c r="C450" s="27" t="s">
        <v>5297</v>
      </c>
      <c r="D450" s="27" t="s">
        <v>7604</v>
      </c>
      <c r="E450" s="27" t="s">
        <v>82</v>
      </c>
      <c r="F450" s="27" t="s">
        <v>4295</v>
      </c>
    </row>
    <row r="451" spans="1:11" x14ac:dyDescent="0.3">
      <c r="A451" s="10" t="s">
        <v>1686</v>
      </c>
      <c r="B451" s="10" t="s">
        <v>1665</v>
      </c>
      <c r="C451" s="10" t="s">
        <v>2394</v>
      </c>
      <c r="D451" s="10" t="s">
        <v>2825</v>
      </c>
      <c r="E451" s="10" t="s">
        <v>1678</v>
      </c>
      <c r="F451" s="10"/>
      <c r="G451" s="10"/>
      <c r="H451" s="10"/>
      <c r="I451" s="10"/>
      <c r="J451" s="10"/>
    </row>
    <row r="452" spans="1:11" x14ac:dyDescent="0.3">
      <c r="A452" s="20" t="s">
        <v>2296</v>
      </c>
      <c r="B452" s="10" t="s">
        <v>458</v>
      </c>
      <c r="C452" s="10" t="s">
        <v>1474</v>
      </c>
      <c r="D452" s="10" t="s">
        <v>6374</v>
      </c>
      <c r="E452" s="10" t="s">
        <v>3439</v>
      </c>
      <c r="F452" s="10" t="s">
        <v>3079</v>
      </c>
      <c r="G452" s="35"/>
      <c r="H452" s="10"/>
      <c r="I452" s="10"/>
      <c r="J452" s="10"/>
      <c r="K452" s="27" t="s">
        <v>666</v>
      </c>
    </row>
    <row r="453" spans="1:11" x14ac:dyDescent="0.3">
      <c r="A453" s="27" t="s">
        <v>6806</v>
      </c>
      <c r="B453" s="27" t="s">
        <v>4702</v>
      </c>
      <c r="C453" s="27" t="s">
        <v>832</v>
      </c>
      <c r="D453" s="27" t="s">
        <v>2337</v>
      </c>
    </row>
    <row r="454" spans="1:11" x14ac:dyDescent="0.3">
      <c r="A454" s="27" t="s">
        <v>6810</v>
      </c>
      <c r="B454" s="27" t="s">
        <v>7591</v>
      </c>
      <c r="C454" s="27" t="s">
        <v>1697</v>
      </c>
      <c r="D454" s="27" t="s">
        <v>1711</v>
      </c>
    </row>
    <row r="455" spans="1:11" x14ac:dyDescent="0.35">
      <c r="A455" s="27" t="s">
        <v>1939</v>
      </c>
      <c r="B455" s="28" t="s">
        <v>1919</v>
      </c>
      <c r="C455" s="28" t="s">
        <v>1927</v>
      </c>
      <c r="D455" s="28" t="s">
        <v>4528</v>
      </c>
      <c r="E455" s="28" t="s">
        <v>1931</v>
      </c>
      <c r="F455" s="27" t="s">
        <v>1935</v>
      </c>
    </row>
    <row r="456" spans="1:11" s="10" customFormat="1" x14ac:dyDescent="0.3">
      <c r="A456" s="27" t="s">
        <v>6817</v>
      </c>
      <c r="B456" s="27" t="s">
        <v>5989</v>
      </c>
      <c r="C456" s="27" t="s">
        <v>957</v>
      </c>
      <c r="D456" s="27" t="s">
        <v>9539</v>
      </c>
      <c r="E456" s="27" t="s">
        <v>4425</v>
      </c>
      <c r="F456" s="27" t="s">
        <v>968</v>
      </c>
      <c r="G456" s="27"/>
      <c r="H456" s="27"/>
      <c r="I456" s="27"/>
      <c r="J456" s="27"/>
    </row>
    <row r="457" spans="1:11" s="10" customFormat="1" x14ac:dyDescent="0.3">
      <c r="A457" s="27" t="s">
        <v>1426</v>
      </c>
      <c r="B457" s="27" t="s">
        <v>1406</v>
      </c>
      <c r="C457" s="27" t="s">
        <v>1833</v>
      </c>
      <c r="D457" s="27" t="s">
        <v>9551</v>
      </c>
      <c r="E457" s="27"/>
      <c r="F457" s="27"/>
      <c r="G457" s="27"/>
      <c r="H457" s="27"/>
      <c r="I457" s="27"/>
      <c r="J457" s="27"/>
    </row>
    <row r="458" spans="1:11" x14ac:dyDescent="0.3">
      <c r="A458" s="27" t="s">
        <v>4054</v>
      </c>
      <c r="B458" s="27" t="s">
        <v>34</v>
      </c>
      <c r="C458" s="27" t="s">
        <v>6798</v>
      </c>
      <c r="D458" s="27" t="s">
        <v>5297</v>
      </c>
      <c r="E458" s="27" t="s">
        <v>5393</v>
      </c>
      <c r="F458" s="27" t="s">
        <v>6904</v>
      </c>
      <c r="G458" s="27" t="s">
        <v>3944</v>
      </c>
    </row>
    <row r="459" spans="1:11" s="10" customFormat="1" x14ac:dyDescent="0.3">
      <c r="A459" s="27" t="s">
        <v>4057</v>
      </c>
      <c r="B459" s="27" t="s">
        <v>1037</v>
      </c>
      <c r="C459" s="27" t="s">
        <v>7432</v>
      </c>
      <c r="D459" s="27" t="s">
        <v>7378</v>
      </c>
      <c r="E459" s="27"/>
      <c r="F459" s="27"/>
      <c r="G459" s="27"/>
      <c r="H459" s="27"/>
      <c r="I459" s="27"/>
      <c r="J459" s="27"/>
    </row>
    <row r="460" spans="1:11" x14ac:dyDescent="0.3">
      <c r="A460" s="27" t="s">
        <v>6822</v>
      </c>
      <c r="B460" s="27" t="s">
        <v>6826</v>
      </c>
      <c r="C460" s="27" t="s">
        <v>458</v>
      </c>
      <c r="D460" s="27" t="s">
        <v>2725</v>
      </c>
      <c r="E460" s="27" t="s">
        <v>29</v>
      </c>
      <c r="F460" s="27" t="s">
        <v>6258</v>
      </c>
      <c r="G460" s="27" t="s">
        <v>6920</v>
      </c>
      <c r="H460" s="27" t="s">
        <v>3553</v>
      </c>
      <c r="I460" s="27" t="s">
        <v>557</v>
      </c>
      <c r="J460" s="27" t="s">
        <v>642</v>
      </c>
    </row>
    <row r="461" spans="1:11" x14ac:dyDescent="0.3">
      <c r="A461" s="27" t="s">
        <v>6826</v>
      </c>
      <c r="B461" s="27" t="s">
        <v>458</v>
      </c>
      <c r="C461" s="27" t="s">
        <v>2725</v>
      </c>
      <c r="D461" s="27" t="s">
        <v>29</v>
      </c>
      <c r="E461" s="27" t="s">
        <v>666</v>
      </c>
    </row>
    <row r="462" spans="1:11" s="10" customFormat="1" x14ac:dyDescent="0.35">
      <c r="A462" s="27" t="s">
        <v>4060</v>
      </c>
      <c r="B462" s="28" t="s">
        <v>3896</v>
      </c>
      <c r="C462" s="28" t="s">
        <v>4489</v>
      </c>
      <c r="D462" s="27" t="s">
        <v>9542</v>
      </c>
      <c r="E462" s="27" t="s">
        <v>6374</v>
      </c>
      <c r="F462" s="27" t="s">
        <v>5957</v>
      </c>
      <c r="G462" s="27" t="s">
        <v>5385</v>
      </c>
      <c r="H462" s="27"/>
      <c r="I462" s="27"/>
      <c r="J462" s="27"/>
    </row>
    <row r="463" spans="1:11" x14ac:dyDescent="0.3">
      <c r="A463" s="27" t="s">
        <v>4548</v>
      </c>
      <c r="B463" s="27" t="s">
        <v>7591</v>
      </c>
      <c r="C463" s="27" t="s">
        <v>6698</v>
      </c>
      <c r="D463" s="27" t="s">
        <v>7443</v>
      </c>
      <c r="E463" s="27" t="s">
        <v>3608</v>
      </c>
      <c r="F463" s="27" t="s">
        <v>3419</v>
      </c>
    </row>
    <row r="464" spans="1:11" s="10" customFormat="1" x14ac:dyDescent="0.3">
      <c r="A464" s="20" t="s">
        <v>982</v>
      </c>
      <c r="B464" s="10" t="s">
        <v>979</v>
      </c>
      <c r="C464" s="10" t="s">
        <v>985</v>
      </c>
      <c r="D464" s="10" t="s">
        <v>988</v>
      </c>
    </row>
    <row r="465" spans="1:10" s="10" customFormat="1" x14ac:dyDescent="0.3">
      <c r="A465" s="10" t="s">
        <v>2133</v>
      </c>
      <c r="B465" s="35" t="s">
        <v>7601</v>
      </c>
      <c r="C465" s="10" t="s">
        <v>2138</v>
      </c>
      <c r="D465" s="10" t="s">
        <v>2156</v>
      </c>
      <c r="E465" s="10" t="s">
        <v>2143</v>
      </c>
    </row>
    <row r="466" spans="1:10" x14ac:dyDescent="0.3">
      <c r="A466" s="27" t="s">
        <v>7537</v>
      </c>
      <c r="B466" s="27" t="s">
        <v>1180</v>
      </c>
      <c r="C466" s="27" t="s">
        <v>4750</v>
      </c>
      <c r="D466" s="27" t="s">
        <v>4510</v>
      </c>
      <c r="E466" s="27" t="s">
        <v>6920</v>
      </c>
    </row>
    <row r="467" spans="1:10" x14ac:dyDescent="0.3">
      <c r="A467" s="10" t="s">
        <v>5872</v>
      </c>
      <c r="B467" s="10" t="s">
        <v>34</v>
      </c>
      <c r="C467" s="10" t="s">
        <v>1648</v>
      </c>
      <c r="D467" s="10" t="s">
        <v>2048</v>
      </c>
      <c r="E467" s="10" t="s">
        <v>2020</v>
      </c>
      <c r="F467" s="35" t="s">
        <v>2028</v>
      </c>
      <c r="G467" s="10" t="s">
        <v>2059</v>
      </c>
      <c r="H467" s="10" t="s">
        <v>2024</v>
      </c>
      <c r="I467" s="35" t="s">
        <v>9407</v>
      </c>
      <c r="J467" s="10" t="s">
        <v>1876</v>
      </c>
    </row>
    <row r="468" spans="1:10" x14ac:dyDescent="0.3">
      <c r="A468" s="27" t="s">
        <v>5876</v>
      </c>
      <c r="B468" s="27" t="s">
        <v>2816</v>
      </c>
      <c r="C468" s="27" t="s">
        <v>5872</v>
      </c>
      <c r="D468" s="27" t="s">
        <v>2012</v>
      </c>
      <c r="E468" s="27" t="s">
        <v>1648</v>
      </c>
      <c r="F468" s="27" t="s">
        <v>4502</v>
      </c>
      <c r="G468" s="27" t="s">
        <v>2809</v>
      </c>
    </row>
    <row r="469" spans="1:10" x14ac:dyDescent="0.3">
      <c r="A469" s="27" t="s">
        <v>5882</v>
      </c>
      <c r="B469" s="27" t="s">
        <v>473</v>
      </c>
      <c r="C469" s="27" t="s">
        <v>6628</v>
      </c>
      <c r="D469" s="27" t="s">
        <v>4070</v>
      </c>
      <c r="E469" s="27" t="s">
        <v>6212</v>
      </c>
    </row>
    <row r="470" spans="1:10" x14ac:dyDescent="0.35">
      <c r="A470" s="10" t="s">
        <v>1736</v>
      </c>
      <c r="B470" s="10" t="s">
        <v>324</v>
      </c>
      <c r="C470" s="10" t="s">
        <v>1051</v>
      </c>
      <c r="D470" s="10" t="s">
        <v>1073</v>
      </c>
      <c r="E470" s="10" t="s">
        <v>9625</v>
      </c>
      <c r="F470" s="10" t="s">
        <v>4467</v>
      </c>
      <c r="G470" s="10" t="s">
        <v>9546</v>
      </c>
      <c r="H470" s="25" t="s">
        <v>2411</v>
      </c>
      <c r="I470" s="10" t="s">
        <v>7238</v>
      </c>
      <c r="J470" s="10"/>
    </row>
    <row r="471" spans="1:10" x14ac:dyDescent="0.35">
      <c r="A471" s="27" t="s">
        <v>1065</v>
      </c>
      <c r="B471" s="28" t="s">
        <v>1029</v>
      </c>
      <c r="C471" s="27" t="s">
        <v>324</v>
      </c>
      <c r="D471" s="27" t="s">
        <v>1051</v>
      </c>
      <c r="E471" s="27" t="s">
        <v>1037</v>
      </c>
      <c r="F471" s="27" t="s">
        <v>7601</v>
      </c>
    </row>
    <row r="472" spans="1:10" s="10" customFormat="1" x14ac:dyDescent="0.3">
      <c r="A472" s="10" t="s">
        <v>5887</v>
      </c>
      <c r="B472" s="10" t="s">
        <v>473</v>
      </c>
      <c r="C472" s="10" t="s">
        <v>4070</v>
      </c>
      <c r="D472" s="10" t="s">
        <v>5882</v>
      </c>
    </row>
    <row r="473" spans="1:10" s="10" customFormat="1" x14ac:dyDescent="0.3">
      <c r="A473" s="10" t="s">
        <v>880</v>
      </c>
      <c r="B473" s="10" t="s">
        <v>1669</v>
      </c>
      <c r="C473" s="10" t="s">
        <v>972</v>
      </c>
      <c r="D473" s="10" t="s">
        <v>7381</v>
      </c>
      <c r="E473" s="10" t="s">
        <v>4605</v>
      </c>
      <c r="F473" s="10" t="s">
        <v>900</v>
      </c>
      <c r="G473" s="10" t="s">
        <v>3181</v>
      </c>
      <c r="H473" s="10" t="s">
        <v>3185</v>
      </c>
      <c r="I473" s="10" t="s">
        <v>2405</v>
      </c>
    </row>
    <row r="474" spans="1:10" s="10" customFormat="1" x14ac:dyDescent="0.35">
      <c r="A474" s="27" t="s">
        <v>4552</v>
      </c>
      <c r="B474" s="28" t="s">
        <v>884</v>
      </c>
      <c r="C474" s="28" t="s">
        <v>892</v>
      </c>
      <c r="D474" s="27" t="s">
        <v>9528</v>
      </c>
      <c r="E474" s="27" t="s">
        <v>968</v>
      </c>
      <c r="F474" s="27" t="s">
        <v>876</v>
      </c>
      <c r="G474" s="27" t="s">
        <v>904</v>
      </c>
      <c r="H474" s="27" t="s">
        <v>3200</v>
      </c>
      <c r="I474" s="27" t="s">
        <v>900</v>
      </c>
      <c r="J474" s="27"/>
    </row>
    <row r="475" spans="1:10" x14ac:dyDescent="0.35">
      <c r="A475" s="27" t="s">
        <v>3280</v>
      </c>
      <c r="B475" s="27" t="s">
        <v>6578</v>
      </c>
      <c r="C475" s="27" t="s">
        <v>544</v>
      </c>
      <c r="D475" s="28" t="s">
        <v>490</v>
      </c>
      <c r="E475" s="27" t="s">
        <v>3967</v>
      </c>
      <c r="F475" s="27" t="s">
        <v>5029</v>
      </c>
    </row>
    <row r="476" spans="1:10" s="10" customFormat="1" x14ac:dyDescent="0.35">
      <c r="A476" s="27" t="s">
        <v>5891</v>
      </c>
      <c r="B476" s="27" t="s">
        <v>5911</v>
      </c>
      <c r="C476" s="28" t="s">
        <v>1846</v>
      </c>
      <c r="D476" s="27" t="s">
        <v>3553</v>
      </c>
      <c r="E476" s="25" t="s">
        <v>1548</v>
      </c>
      <c r="F476" s="25" t="s">
        <v>1552</v>
      </c>
      <c r="G476" s="27" t="s">
        <v>5767</v>
      </c>
      <c r="H476" s="27" t="s">
        <v>7749</v>
      </c>
      <c r="I476" s="27"/>
      <c r="J476" s="27"/>
    </row>
    <row r="477" spans="1:10" x14ac:dyDescent="0.35">
      <c r="A477" s="27" t="s">
        <v>4080</v>
      </c>
      <c r="B477" s="27" t="s">
        <v>3692</v>
      </c>
      <c r="C477" s="28" t="s">
        <v>3925</v>
      </c>
      <c r="D477" s="27" t="s">
        <v>3935</v>
      </c>
    </row>
    <row r="478" spans="1:10" s="10" customFormat="1" x14ac:dyDescent="0.35">
      <c r="A478" s="27" t="s">
        <v>2982</v>
      </c>
      <c r="B478" s="27" t="s">
        <v>2851</v>
      </c>
      <c r="C478" s="28" t="s">
        <v>5495</v>
      </c>
      <c r="D478" s="27" t="s">
        <v>670</v>
      </c>
      <c r="E478" s="27" t="s">
        <v>3908</v>
      </c>
      <c r="F478" s="27" t="s">
        <v>5732</v>
      </c>
      <c r="G478" s="27" t="s">
        <v>3009</v>
      </c>
      <c r="H478" s="27"/>
      <c r="I478" s="27"/>
      <c r="J478" s="27"/>
    </row>
    <row r="479" spans="1:10" x14ac:dyDescent="0.3">
      <c r="A479" s="20" t="s">
        <v>4083</v>
      </c>
      <c r="B479" s="10" t="s">
        <v>6670</v>
      </c>
      <c r="C479" s="10" t="s">
        <v>4038</v>
      </c>
      <c r="D479" s="10" t="s">
        <v>3447</v>
      </c>
      <c r="E479" s="10"/>
      <c r="F479" s="10"/>
      <c r="G479" s="10"/>
      <c r="H479" s="10"/>
      <c r="I479" s="10"/>
      <c r="J479" s="10"/>
    </row>
    <row r="480" spans="1:10" x14ac:dyDescent="0.3">
      <c r="A480" s="10" t="s">
        <v>5899</v>
      </c>
      <c r="B480" s="10" t="s">
        <v>1678</v>
      </c>
      <c r="C480" s="10" t="s">
        <v>1274</v>
      </c>
      <c r="D480" s="10" t="s">
        <v>2898</v>
      </c>
      <c r="E480" s="10" t="s">
        <v>1627</v>
      </c>
      <c r="F480" s="10" t="s">
        <v>4189</v>
      </c>
      <c r="G480" s="10"/>
      <c r="H480" s="10"/>
      <c r="I480" s="10"/>
      <c r="J480" s="10"/>
    </row>
    <row r="481" spans="1:10" x14ac:dyDescent="0.3">
      <c r="A481" s="10" t="s">
        <v>1585</v>
      </c>
      <c r="B481" s="10" t="s">
        <v>1175</v>
      </c>
      <c r="C481" s="10" t="s">
        <v>3553</v>
      </c>
      <c r="D481" s="10" t="s">
        <v>733</v>
      </c>
      <c r="E481" s="35" t="s">
        <v>3326</v>
      </c>
      <c r="F481" s="10" t="s">
        <v>5406</v>
      </c>
      <c r="G481" s="10" t="s">
        <v>3332</v>
      </c>
      <c r="H481" s="10"/>
      <c r="I481" s="10"/>
      <c r="J481" s="10"/>
    </row>
    <row r="482" spans="1:10" x14ac:dyDescent="0.35">
      <c r="A482" s="27" t="s">
        <v>4556</v>
      </c>
      <c r="B482" s="28" t="s">
        <v>756</v>
      </c>
      <c r="C482" s="27" t="s">
        <v>6718</v>
      </c>
    </row>
    <row r="483" spans="1:10" s="10" customFormat="1" x14ac:dyDescent="0.3">
      <c r="A483" s="10" t="s">
        <v>835</v>
      </c>
      <c r="B483" s="10" t="s">
        <v>34</v>
      </c>
      <c r="C483" s="10" t="s">
        <v>4605</v>
      </c>
      <c r="D483" s="10" t="s">
        <v>3368</v>
      </c>
      <c r="E483" s="10" t="s">
        <v>7607</v>
      </c>
    </row>
    <row r="484" spans="1:10" x14ac:dyDescent="0.3">
      <c r="A484" s="27" t="s">
        <v>1069</v>
      </c>
      <c r="B484" s="27" t="s">
        <v>1051</v>
      </c>
      <c r="C484" s="27" t="s">
        <v>5849</v>
      </c>
      <c r="D484" s="27" t="s">
        <v>1029</v>
      </c>
      <c r="E484" s="27" t="s">
        <v>1073</v>
      </c>
      <c r="F484" s="27" t="s">
        <v>2119</v>
      </c>
    </row>
    <row r="485" spans="1:10" x14ac:dyDescent="0.3">
      <c r="A485" s="10" t="s">
        <v>1220</v>
      </c>
      <c r="B485" s="10" t="s">
        <v>1169</v>
      </c>
      <c r="C485" s="10" t="s">
        <v>278</v>
      </c>
      <c r="D485" s="10" t="s">
        <v>2020</v>
      </c>
      <c r="E485" s="10"/>
      <c r="F485" s="10"/>
      <c r="G485" s="10"/>
      <c r="H485" s="10"/>
      <c r="I485" s="10"/>
      <c r="J485" s="10"/>
    </row>
    <row r="486" spans="1:10" x14ac:dyDescent="0.3">
      <c r="A486" s="27" t="s">
        <v>2618</v>
      </c>
      <c r="B486" s="27" t="s">
        <v>2614</v>
      </c>
      <c r="C486" s="27" t="s">
        <v>2600</v>
      </c>
      <c r="D486" s="27" t="s">
        <v>9600</v>
      </c>
      <c r="E486" s="27" t="s">
        <v>828</v>
      </c>
      <c r="F486" s="27" t="s">
        <v>820</v>
      </c>
      <c r="G486" s="27" t="s">
        <v>823</v>
      </c>
      <c r="H486" s="27" t="s">
        <v>3350</v>
      </c>
      <c r="I486" s="27" t="s">
        <v>3354</v>
      </c>
    </row>
    <row r="487" spans="1:10" x14ac:dyDescent="0.3">
      <c r="A487" s="27" t="s">
        <v>4564</v>
      </c>
      <c r="B487" s="27" t="s">
        <v>4498</v>
      </c>
      <c r="C487" s="27" t="s">
        <v>1037</v>
      </c>
      <c r="D487" s="27" t="s">
        <v>7053</v>
      </c>
      <c r="E487" s="27" t="s">
        <v>4756</v>
      </c>
      <c r="F487" s="27" t="s">
        <v>7591</v>
      </c>
    </row>
    <row r="488" spans="1:10" x14ac:dyDescent="0.3">
      <c r="A488" s="27" t="s">
        <v>4572</v>
      </c>
      <c r="B488" s="27" t="s">
        <v>5918</v>
      </c>
      <c r="C488" s="27" t="s">
        <v>6830</v>
      </c>
      <c r="D488" s="27" t="s">
        <v>6778</v>
      </c>
      <c r="E488" s="27" t="s">
        <v>6228</v>
      </c>
      <c r="F488" s="27" t="s">
        <v>3862</v>
      </c>
    </row>
    <row r="489" spans="1:10" s="10" customFormat="1" x14ac:dyDescent="0.3">
      <c r="A489" s="27" t="s">
        <v>3215</v>
      </c>
      <c r="B489" s="27" t="s">
        <v>3219</v>
      </c>
      <c r="C489" s="27" t="s">
        <v>802</v>
      </c>
      <c r="D489" s="27" t="s">
        <v>7624</v>
      </c>
      <c r="E489" s="27" t="s">
        <v>6578</v>
      </c>
      <c r="F489" s="27" t="s">
        <v>808</v>
      </c>
      <c r="G489" s="27" t="s">
        <v>812</v>
      </c>
      <c r="H489" s="27"/>
      <c r="I489" s="27"/>
      <c r="J489" s="27"/>
    </row>
    <row r="490" spans="1:10" x14ac:dyDescent="0.3">
      <c r="A490" s="10" t="s">
        <v>416</v>
      </c>
      <c r="B490" s="10" t="s">
        <v>5698</v>
      </c>
      <c r="C490" s="10" t="s">
        <v>3870</v>
      </c>
      <c r="D490" s="10"/>
      <c r="E490" s="10"/>
      <c r="F490" s="10"/>
      <c r="G490" s="10"/>
      <c r="H490" s="10"/>
      <c r="I490" s="10"/>
      <c r="J490" s="10"/>
    </row>
    <row r="491" spans="1:10" x14ac:dyDescent="0.35">
      <c r="A491" s="27" t="s">
        <v>1073</v>
      </c>
      <c r="B491" s="28" t="s">
        <v>1051</v>
      </c>
      <c r="C491" s="27" t="s">
        <v>1069</v>
      </c>
      <c r="D491" s="27" t="s">
        <v>1029</v>
      </c>
      <c r="E491" s="27" t="s">
        <v>1120</v>
      </c>
      <c r="F491" s="27" t="s">
        <v>674</v>
      </c>
      <c r="G491" s="27" t="s">
        <v>3553</v>
      </c>
      <c r="H491" s="27" t="s">
        <v>1055</v>
      </c>
    </row>
    <row r="492" spans="1:10" s="10" customFormat="1" x14ac:dyDescent="0.3">
      <c r="A492" s="27" t="s">
        <v>5908</v>
      </c>
      <c r="B492" s="27" t="s">
        <v>2725</v>
      </c>
      <c r="C492" s="27" t="s">
        <v>4307</v>
      </c>
      <c r="D492" s="27" t="s">
        <v>9513</v>
      </c>
      <c r="E492" s="27"/>
      <c r="F492" s="27"/>
      <c r="G492" s="27"/>
      <c r="H492" s="27"/>
      <c r="I492" s="27"/>
      <c r="J492" s="27"/>
    </row>
    <row r="493" spans="1:10" s="10" customFormat="1" x14ac:dyDescent="0.35">
      <c r="A493" s="27" t="s">
        <v>4580</v>
      </c>
      <c r="B493" s="28" t="s">
        <v>6504</v>
      </c>
      <c r="C493" s="28" t="s">
        <v>4425</v>
      </c>
      <c r="D493" s="28" t="s">
        <v>2608</v>
      </c>
      <c r="E493" s="27" t="s">
        <v>5719</v>
      </c>
      <c r="F493" s="27" t="s">
        <v>2876</v>
      </c>
      <c r="G493" s="27" t="s">
        <v>5984</v>
      </c>
      <c r="H493" s="27"/>
      <c r="I493" s="27"/>
      <c r="J493" s="27"/>
    </row>
    <row r="494" spans="1:10" x14ac:dyDescent="0.3">
      <c r="A494" s="27" t="s">
        <v>4588</v>
      </c>
      <c r="B494" s="27" t="s">
        <v>6670</v>
      </c>
      <c r="C494" s="27" t="s">
        <v>1617</v>
      </c>
      <c r="D494" s="27" t="s">
        <v>1627</v>
      </c>
      <c r="E494" s="27" t="s">
        <v>1622</v>
      </c>
    </row>
    <row r="495" spans="1:10" x14ac:dyDescent="0.3">
      <c r="A495" s="27" t="s">
        <v>3219</v>
      </c>
      <c r="B495" s="27" t="s">
        <v>6578</v>
      </c>
      <c r="C495" s="27" t="s">
        <v>7624</v>
      </c>
      <c r="D495" s="27" t="s">
        <v>802</v>
      </c>
      <c r="E495" s="27" t="s">
        <v>808</v>
      </c>
      <c r="F495" s="27" t="s">
        <v>3208</v>
      </c>
      <c r="G495" s="27" t="s">
        <v>3211</v>
      </c>
      <c r="H495" s="27" t="s">
        <v>812</v>
      </c>
      <c r="I495" s="27" t="s">
        <v>7153</v>
      </c>
    </row>
    <row r="496" spans="1:10" s="10" customFormat="1" x14ac:dyDescent="0.3">
      <c r="A496" s="10" t="s">
        <v>1293</v>
      </c>
      <c r="B496" s="10" t="s">
        <v>1169</v>
      </c>
      <c r="C496" s="10" t="s">
        <v>1319</v>
      </c>
      <c r="D496" s="10" t="s">
        <v>3758</v>
      </c>
    </row>
    <row r="497" spans="1:10" x14ac:dyDescent="0.35">
      <c r="A497" s="27" t="s">
        <v>5911</v>
      </c>
      <c r="B497" s="28" t="s">
        <v>1678</v>
      </c>
      <c r="C497" s="28" t="s">
        <v>1540</v>
      </c>
      <c r="D497" s="28" t="s">
        <v>3326</v>
      </c>
      <c r="E497" s="27" t="s">
        <v>1537</v>
      </c>
      <c r="F497" s="27" t="s">
        <v>1545</v>
      </c>
      <c r="G497" s="27" t="s">
        <v>1555</v>
      </c>
      <c r="H497" s="27" t="s">
        <v>1594</v>
      </c>
      <c r="I497" s="27" t="s">
        <v>7460</v>
      </c>
    </row>
    <row r="498" spans="1:10" x14ac:dyDescent="0.3">
      <c r="A498" s="27" t="s">
        <v>4592</v>
      </c>
      <c r="B498" s="27" t="s">
        <v>6073</v>
      </c>
      <c r="C498" s="27" t="s">
        <v>5719</v>
      </c>
      <c r="D498" s="27" t="s">
        <v>6410</v>
      </c>
      <c r="E498" s="27" t="s">
        <v>3870</v>
      </c>
    </row>
    <row r="499" spans="1:10" x14ac:dyDescent="0.3">
      <c r="A499" s="10" t="s">
        <v>3185</v>
      </c>
      <c r="B499" s="10" t="s">
        <v>34</v>
      </c>
      <c r="C499" s="10" t="s">
        <v>3181</v>
      </c>
      <c r="D499" s="35" t="s">
        <v>3836</v>
      </c>
      <c r="E499" s="10" t="s">
        <v>3188</v>
      </c>
      <c r="F499" s="10" t="s">
        <v>3197</v>
      </c>
      <c r="G499" s="10" t="s">
        <v>5706</v>
      </c>
      <c r="H499" s="10" t="s">
        <v>4323</v>
      </c>
      <c r="I499" s="10"/>
      <c r="J499" s="10"/>
    </row>
    <row r="500" spans="1:10" x14ac:dyDescent="0.3">
      <c r="A500" s="10" t="s">
        <v>5918</v>
      </c>
      <c r="B500" s="10" t="s">
        <v>4126</v>
      </c>
      <c r="C500" s="10" t="s">
        <v>4716</v>
      </c>
      <c r="D500" s="10" t="s">
        <v>6073</v>
      </c>
      <c r="E500" s="10" t="s">
        <v>6830</v>
      </c>
      <c r="F500" s="10" t="s">
        <v>6778</v>
      </c>
      <c r="G500" s="10" t="s">
        <v>6228</v>
      </c>
      <c r="H500" s="10" t="s">
        <v>7142</v>
      </c>
      <c r="I500" s="10" t="s">
        <v>3185</v>
      </c>
      <c r="J500" s="10" t="s">
        <v>835</v>
      </c>
    </row>
    <row r="501" spans="1:10" s="10" customFormat="1" x14ac:dyDescent="0.3">
      <c r="A501" s="27" t="s">
        <v>5926</v>
      </c>
      <c r="B501" s="27" t="s">
        <v>34</v>
      </c>
      <c r="C501" s="27" t="s">
        <v>3344</v>
      </c>
      <c r="D501" s="27" t="s">
        <v>5297</v>
      </c>
      <c r="E501" s="27" t="s">
        <v>9551</v>
      </c>
      <c r="F501" s="27" t="s">
        <v>7604</v>
      </c>
      <c r="G501" s="27"/>
      <c r="H501" s="27"/>
      <c r="I501" s="27"/>
      <c r="J501" s="27"/>
    </row>
    <row r="502" spans="1:10" x14ac:dyDescent="0.3">
      <c r="A502" s="27" t="s">
        <v>4597</v>
      </c>
      <c r="B502" s="27" t="s">
        <v>4080</v>
      </c>
    </row>
    <row r="503" spans="1:10" x14ac:dyDescent="0.3">
      <c r="A503" s="20" t="s">
        <v>6861</v>
      </c>
      <c r="B503" s="35" t="s">
        <v>4370</v>
      </c>
      <c r="C503" s="10" t="s">
        <v>3447</v>
      </c>
      <c r="D503" s="10" t="s">
        <v>4083</v>
      </c>
      <c r="E503" s="10" t="s">
        <v>4038</v>
      </c>
      <c r="F503" s="10" t="s">
        <v>7009</v>
      </c>
      <c r="G503" s="10" t="s">
        <v>6737</v>
      </c>
      <c r="H503" s="35" t="s">
        <v>2543</v>
      </c>
      <c r="I503" s="10"/>
      <c r="J503" s="10"/>
    </row>
    <row r="504" spans="1:10" x14ac:dyDescent="0.3">
      <c r="A504" s="27" t="s">
        <v>646</v>
      </c>
      <c r="B504" s="27" t="s">
        <v>5869</v>
      </c>
      <c r="C504" s="27" t="s">
        <v>6162</v>
      </c>
      <c r="D504" s="27" t="s">
        <v>1985</v>
      </c>
      <c r="E504" s="27" t="s">
        <v>4070</v>
      </c>
      <c r="F504" s="27" t="s">
        <v>4985</v>
      </c>
      <c r="G504" s="27" t="s">
        <v>4941</v>
      </c>
      <c r="H504" s="27" t="s">
        <v>6395</v>
      </c>
      <c r="I504" s="27" t="s">
        <v>9408</v>
      </c>
    </row>
    <row r="505" spans="1:10" x14ac:dyDescent="0.3">
      <c r="A505" s="27" t="s">
        <v>6878</v>
      </c>
      <c r="B505" s="27" t="s">
        <v>968</v>
      </c>
      <c r="C505" s="27" t="s">
        <v>9539</v>
      </c>
      <c r="D505" s="27" t="s">
        <v>4425</v>
      </c>
      <c r="E505" s="27" t="s">
        <v>5989</v>
      </c>
      <c r="F505" s="27" t="s">
        <v>876</v>
      </c>
      <c r="G505" s="27" t="s">
        <v>880</v>
      </c>
      <c r="H505" s="27" t="s">
        <v>904</v>
      </c>
      <c r="I505" s="27" t="s">
        <v>908</v>
      </c>
      <c r="J505" s="27" t="s">
        <v>912</v>
      </c>
    </row>
    <row r="506" spans="1:10" s="10" customFormat="1" x14ac:dyDescent="0.3">
      <c r="A506" s="27" t="s">
        <v>2622</v>
      </c>
      <c r="B506" s="27" t="s">
        <v>4370</v>
      </c>
      <c r="C506" s="27" t="s">
        <v>2618</v>
      </c>
      <c r="D506" s="27" t="s">
        <v>2614</v>
      </c>
      <c r="E506" s="27" t="s">
        <v>2851</v>
      </c>
      <c r="F506" s="27" t="s">
        <v>2861</v>
      </c>
      <c r="G506" s="27" t="s">
        <v>2876</v>
      </c>
      <c r="H506" s="27" t="s">
        <v>2867</v>
      </c>
      <c r="I506" s="27"/>
      <c r="J506" s="27"/>
    </row>
    <row r="507" spans="1:10" x14ac:dyDescent="0.35">
      <c r="A507" s="27" t="s">
        <v>653</v>
      </c>
      <c r="B507" s="27" t="s">
        <v>5882</v>
      </c>
      <c r="C507" s="27" t="s">
        <v>5865</v>
      </c>
      <c r="D507" s="28" t="s">
        <v>6049</v>
      </c>
      <c r="E507" s="27" t="s">
        <v>3725</v>
      </c>
      <c r="F507" s="27" t="s">
        <v>3995</v>
      </c>
    </row>
    <row r="508" spans="1:10" s="10" customFormat="1" x14ac:dyDescent="0.3">
      <c r="A508" s="10" t="s">
        <v>1248</v>
      </c>
      <c r="B508" s="10" t="s">
        <v>1169</v>
      </c>
      <c r="C508" s="10" t="s">
        <v>9624</v>
      </c>
      <c r="D508" s="35" t="s">
        <v>1216</v>
      </c>
      <c r="E508" s="10" t="s">
        <v>3758</v>
      </c>
    </row>
    <row r="509" spans="1:10" s="10" customFormat="1" x14ac:dyDescent="0.3">
      <c r="A509" s="27" t="s">
        <v>4601</v>
      </c>
      <c r="B509" s="27" t="s">
        <v>733</v>
      </c>
      <c r="C509" s="27" t="s">
        <v>2640</v>
      </c>
      <c r="D509" s="27" t="s">
        <v>7432</v>
      </c>
      <c r="E509" s="27" t="s">
        <v>7177</v>
      </c>
      <c r="F509" s="27" t="s">
        <v>3601</v>
      </c>
      <c r="G509" s="27"/>
      <c r="H509" s="27"/>
      <c r="I509" s="27"/>
      <c r="J509" s="27"/>
    </row>
    <row r="510" spans="1:10" s="10" customFormat="1" x14ac:dyDescent="0.35">
      <c r="A510" s="27" t="s">
        <v>4605</v>
      </c>
      <c r="B510" s="28" t="s">
        <v>1669</v>
      </c>
      <c r="C510" s="27" t="s">
        <v>3368</v>
      </c>
      <c r="D510" s="27" t="s">
        <v>2990</v>
      </c>
      <c r="E510" s="27" t="s">
        <v>4150</v>
      </c>
      <c r="F510" s="27" t="s">
        <v>1665</v>
      </c>
      <c r="G510" s="27" t="s">
        <v>880</v>
      </c>
      <c r="H510" s="28" t="s">
        <v>835</v>
      </c>
      <c r="I510" s="27" t="s">
        <v>9553</v>
      </c>
      <c r="J510" s="27"/>
    </row>
    <row r="511" spans="1:10" s="10" customFormat="1" x14ac:dyDescent="0.3">
      <c r="A511" s="27" t="s">
        <v>6733</v>
      </c>
      <c r="B511" s="27" t="s">
        <v>733</v>
      </c>
      <c r="C511" s="27" t="s">
        <v>1037</v>
      </c>
      <c r="D511" s="27" t="s">
        <v>7432</v>
      </c>
      <c r="E511" s="27" t="s">
        <v>1669</v>
      </c>
      <c r="F511" s="27"/>
      <c r="G511" s="27"/>
      <c r="H511" s="27"/>
      <c r="I511" s="27"/>
      <c r="J511" s="27"/>
    </row>
    <row r="512" spans="1:10" s="10" customFormat="1" x14ac:dyDescent="0.35">
      <c r="A512" s="27" t="s">
        <v>4613</v>
      </c>
      <c r="B512" s="28" t="s">
        <v>5648</v>
      </c>
      <c r="C512" s="27" t="s">
        <v>4087</v>
      </c>
      <c r="D512" s="27" t="s">
        <v>3987</v>
      </c>
      <c r="E512" s="27" t="s">
        <v>4134</v>
      </c>
      <c r="F512" s="27"/>
      <c r="G512" s="27"/>
      <c r="H512" s="27"/>
      <c r="I512" s="27"/>
      <c r="J512" s="27"/>
    </row>
    <row r="513" spans="1:10" s="10" customFormat="1" x14ac:dyDescent="0.3">
      <c r="A513" s="10" t="s">
        <v>426</v>
      </c>
      <c r="B513" s="10" t="s">
        <v>828</v>
      </c>
      <c r="C513" s="10" t="s">
        <v>3223</v>
      </c>
      <c r="D513" s="10" t="s">
        <v>786</v>
      </c>
      <c r="E513" s="10" t="s">
        <v>3233</v>
      </c>
      <c r="F513" s="10" t="s">
        <v>3229</v>
      </c>
    </row>
    <row r="514" spans="1:10" x14ac:dyDescent="0.3">
      <c r="A514" s="27" t="s">
        <v>4621</v>
      </c>
      <c r="B514" s="27" t="s">
        <v>73</v>
      </c>
      <c r="C514" s="27" t="s">
        <v>9569</v>
      </c>
      <c r="D514" s="27" t="s">
        <v>9577</v>
      </c>
      <c r="E514" s="27" t="s">
        <v>5293</v>
      </c>
      <c r="F514" s="27" t="s">
        <v>802</v>
      </c>
      <c r="G514" s="27" t="s">
        <v>808</v>
      </c>
      <c r="H514" s="27" t="s">
        <v>728</v>
      </c>
    </row>
    <row r="515" spans="1:10" x14ac:dyDescent="0.3">
      <c r="A515" s="10" t="s">
        <v>2737</v>
      </c>
      <c r="B515" s="10" t="s">
        <v>415</v>
      </c>
      <c r="C515" s="10" t="s">
        <v>3419</v>
      </c>
      <c r="D515" s="10" t="s">
        <v>23</v>
      </c>
      <c r="E515" s="10" t="s">
        <v>7624</v>
      </c>
      <c r="F515" s="10"/>
      <c r="G515" s="10"/>
      <c r="H515" s="10"/>
      <c r="I515" s="10"/>
      <c r="J515" s="10"/>
    </row>
    <row r="516" spans="1:10" x14ac:dyDescent="0.3">
      <c r="A516" s="10" t="s">
        <v>2123</v>
      </c>
      <c r="B516" s="35" t="s">
        <v>7601</v>
      </c>
      <c r="C516" s="10" t="s">
        <v>2128</v>
      </c>
      <c r="D516" s="10" t="s">
        <v>2123</v>
      </c>
      <c r="E516" s="10" t="s">
        <v>7365</v>
      </c>
      <c r="F516" s="10" t="s">
        <v>5843</v>
      </c>
      <c r="G516" s="10"/>
      <c r="H516" s="10"/>
      <c r="I516" s="10"/>
      <c r="J516" s="10"/>
    </row>
    <row r="517" spans="1:10" s="10" customFormat="1" x14ac:dyDescent="0.3">
      <c r="A517" s="20" t="s">
        <v>957</v>
      </c>
      <c r="B517" s="10" t="s">
        <v>948</v>
      </c>
      <c r="C517" s="10" t="s">
        <v>872</v>
      </c>
      <c r="D517" s="10" t="s">
        <v>867</v>
      </c>
    </row>
    <row r="518" spans="1:10" s="10" customFormat="1" x14ac:dyDescent="0.3">
      <c r="A518" s="10" t="s">
        <v>34</v>
      </c>
      <c r="B518" s="10" t="s">
        <v>5393</v>
      </c>
      <c r="C518" s="10" t="s">
        <v>29</v>
      </c>
    </row>
    <row r="519" spans="1:10" x14ac:dyDescent="0.3">
      <c r="A519" s="20" t="s">
        <v>5929</v>
      </c>
      <c r="B519" s="35" t="s">
        <v>6628</v>
      </c>
      <c r="C519" s="35" t="s">
        <v>6662</v>
      </c>
      <c r="D519" s="10" t="s">
        <v>3486</v>
      </c>
      <c r="E519" s="10" t="s">
        <v>6830</v>
      </c>
      <c r="F519" s="10" t="s">
        <v>4965</v>
      </c>
      <c r="G519" s="10" t="s">
        <v>5533</v>
      </c>
      <c r="H519" s="10" t="s">
        <v>5092</v>
      </c>
      <c r="I519" s="10" t="s">
        <v>6493</v>
      </c>
      <c r="J519" s="10"/>
    </row>
    <row r="520" spans="1:10" x14ac:dyDescent="0.35">
      <c r="A520" s="27" t="s">
        <v>4627</v>
      </c>
      <c r="B520" s="25" t="s">
        <v>2567</v>
      </c>
      <c r="C520" s="27" t="s">
        <v>6374</v>
      </c>
      <c r="D520" s="27" t="s">
        <v>2160</v>
      </c>
      <c r="E520" s="27" t="s">
        <v>1474</v>
      </c>
      <c r="F520" s="27" t="s">
        <v>1478</v>
      </c>
    </row>
    <row r="521" spans="1:10" x14ac:dyDescent="0.3">
      <c r="A521" s="27" t="s">
        <v>4631</v>
      </c>
      <c r="B521" s="27" t="s">
        <v>6578</v>
      </c>
      <c r="C521" s="27" t="s">
        <v>3292</v>
      </c>
      <c r="D521" s="27" t="s">
        <v>9460</v>
      </c>
      <c r="E521" s="27" t="s">
        <v>3309</v>
      </c>
      <c r="F521" s="27" t="s">
        <v>5937</v>
      </c>
      <c r="G521" s="27" t="s">
        <v>2128</v>
      </c>
    </row>
    <row r="522" spans="1:10" x14ac:dyDescent="0.3">
      <c r="A522" s="27" t="s">
        <v>4635</v>
      </c>
    </row>
    <row r="523" spans="1:10" x14ac:dyDescent="0.3">
      <c r="A523" s="10" t="s">
        <v>5937</v>
      </c>
      <c r="B523" s="10" t="s">
        <v>6578</v>
      </c>
      <c r="C523" s="10" t="s">
        <v>1021</v>
      </c>
      <c r="D523" s="10" t="s">
        <v>3309</v>
      </c>
      <c r="E523" s="10" t="s">
        <v>1106</v>
      </c>
      <c r="F523" s="10" t="s">
        <v>1094</v>
      </c>
      <c r="G523" s="10" t="s">
        <v>928</v>
      </c>
      <c r="H523" s="10" t="s">
        <v>932</v>
      </c>
      <c r="I523" s="10" t="s">
        <v>2394</v>
      </c>
      <c r="J523" s="10"/>
    </row>
    <row r="524" spans="1:10" x14ac:dyDescent="0.3">
      <c r="A524" s="10" t="s">
        <v>9417</v>
      </c>
      <c r="B524" s="10" t="s">
        <v>1846</v>
      </c>
      <c r="C524" s="10" t="s">
        <v>2012</v>
      </c>
      <c r="D524" s="10" t="s">
        <v>7407</v>
      </c>
      <c r="E524" s="35" t="s">
        <v>2067</v>
      </c>
      <c r="F524" s="10" t="s">
        <v>82</v>
      </c>
      <c r="G524" s="10" t="s">
        <v>5872</v>
      </c>
      <c r="H524" s="10" t="s">
        <v>5876</v>
      </c>
      <c r="I524" s="10"/>
      <c r="J524" s="10"/>
    </row>
    <row r="525" spans="1:10" s="10" customFormat="1" x14ac:dyDescent="0.3">
      <c r="A525" s="27" t="s">
        <v>4642</v>
      </c>
      <c r="B525" s="27" t="s">
        <v>1678</v>
      </c>
      <c r="C525" s="27" t="s">
        <v>1617</v>
      </c>
      <c r="D525" s="27" t="s">
        <v>1639</v>
      </c>
      <c r="E525" s="27" t="s">
        <v>6010</v>
      </c>
      <c r="F525" s="27" t="s">
        <v>2485</v>
      </c>
      <c r="G525" s="27"/>
      <c r="H525" s="27"/>
      <c r="I525" s="27"/>
      <c r="J525" s="27"/>
    </row>
    <row r="526" spans="1:10" s="10" customFormat="1" x14ac:dyDescent="0.3">
      <c r="A526" s="27" t="s">
        <v>5941</v>
      </c>
      <c r="B526" s="27" t="s">
        <v>5644</v>
      </c>
      <c r="C526" s="27" t="s">
        <v>6890</v>
      </c>
      <c r="D526" s="27" t="s">
        <v>5471</v>
      </c>
      <c r="E526" s="27"/>
      <c r="F526" s="27"/>
      <c r="G526" s="27"/>
      <c r="H526" s="27"/>
      <c r="I526" s="27"/>
      <c r="J526" s="27"/>
    </row>
    <row r="527" spans="1:10" s="10" customFormat="1" x14ac:dyDescent="0.3">
      <c r="A527" s="27" t="s">
        <v>6936</v>
      </c>
      <c r="B527" s="27" t="s">
        <v>5835</v>
      </c>
      <c r="C527" s="27" t="s">
        <v>535</v>
      </c>
      <c r="D527" s="27" t="s">
        <v>9586</v>
      </c>
      <c r="E527" s="27"/>
      <c r="F527" s="27"/>
      <c r="G527" s="27"/>
      <c r="H527" s="27"/>
      <c r="I527" s="27"/>
      <c r="J527" s="27"/>
    </row>
    <row r="528" spans="1:10" x14ac:dyDescent="0.3">
      <c r="A528" s="27" t="s">
        <v>4646</v>
      </c>
      <c r="B528" s="27" t="s">
        <v>6605</v>
      </c>
      <c r="C528" s="27" t="s">
        <v>4650</v>
      </c>
      <c r="D528" s="27" t="s">
        <v>2614</v>
      </c>
      <c r="E528" s="27" t="s">
        <v>2622</v>
      </c>
      <c r="F528" s="27" t="s">
        <v>2618</v>
      </c>
      <c r="G528" s="27" t="s">
        <v>2519</v>
      </c>
    </row>
    <row r="529" spans="1:10" x14ac:dyDescent="0.3">
      <c r="A529" s="27" t="s">
        <v>5949</v>
      </c>
      <c r="B529" s="27" t="s">
        <v>6395</v>
      </c>
      <c r="C529" s="27" t="s">
        <v>446</v>
      </c>
      <c r="D529" s="27" t="s">
        <v>6558</v>
      </c>
      <c r="E529" s="27" t="s">
        <v>5377</v>
      </c>
      <c r="F529" s="27" t="s">
        <v>5509</v>
      </c>
      <c r="G529" s="27" t="s">
        <v>6404</v>
      </c>
      <c r="H529" s="27" t="s">
        <v>6438</v>
      </c>
    </row>
    <row r="530" spans="1:10" x14ac:dyDescent="0.35">
      <c r="A530" s="27" t="s">
        <v>4650</v>
      </c>
      <c r="B530" s="27" t="s">
        <v>5434</v>
      </c>
      <c r="C530" s="28" t="s">
        <v>5976</v>
      </c>
      <c r="D530" s="28" t="s">
        <v>6481</v>
      </c>
      <c r="E530" s="27" t="s">
        <v>4805</v>
      </c>
      <c r="F530" s="27" t="s">
        <v>6174</v>
      </c>
    </row>
    <row r="531" spans="1:10" x14ac:dyDescent="0.3">
      <c r="A531" s="10" t="s">
        <v>884</v>
      </c>
      <c r="B531" s="10" t="s">
        <v>4552</v>
      </c>
      <c r="C531" s="10" t="s">
        <v>972</v>
      </c>
      <c r="D531" s="10" t="s">
        <v>1669</v>
      </c>
      <c r="E531" s="10" t="s">
        <v>3200</v>
      </c>
      <c r="F531" s="10" t="s">
        <v>5767</v>
      </c>
      <c r="G531" s="10" t="s">
        <v>3181</v>
      </c>
      <c r="H531" s="10" t="s">
        <v>3185</v>
      </c>
      <c r="I531" s="10"/>
      <c r="J531" s="10"/>
    </row>
    <row r="532" spans="1:10" x14ac:dyDescent="0.3">
      <c r="A532" s="10" t="s">
        <v>9531</v>
      </c>
      <c r="B532" s="10" t="s">
        <v>458</v>
      </c>
      <c r="C532" s="10" t="s">
        <v>2851</v>
      </c>
      <c r="D532" s="10" t="s">
        <v>7205</v>
      </c>
      <c r="E532" s="10"/>
      <c r="F532" s="10"/>
      <c r="G532" s="10"/>
      <c r="H532" s="10"/>
      <c r="I532" s="10"/>
      <c r="J532" s="10"/>
    </row>
    <row r="533" spans="1:10" x14ac:dyDescent="0.3">
      <c r="A533" s="10" t="s">
        <v>2160</v>
      </c>
      <c r="B533" s="10" t="s">
        <v>458</v>
      </c>
      <c r="C533" s="10" t="s">
        <v>6374</v>
      </c>
      <c r="D533" s="35" t="s">
        <v>3082</v>
      </c>
      <c r="E533" s="35" t="s">
        <v>3079</v>
      </c>
      <c r="F533" s="10"/>
      <c r="G533" s="10"/>
      <c r="H533" s="10"/>
      <c r="I533" s="10"/>
      <c r="J533" s="10"/>
    </row>
    <row r="534" spans="1:10" x14ac:dyDescent="0.3">
      <c r="A534" s="27" t="s">
        <v>5957</v>
      </c>
      <c r="B534" s="27" t="s">
        <v>4789</v>
      </c>
      <c r="C534" s="27" t="s">
        <v>6129</v>
      </c>
      <c r="D534" s="27" t="s">
        <v>4134</v>
      </c>
      <c r="E534" s="27" t="s">
        <v>4627</v>
      </c>
      <c r="F534" s="27" t="s">
        <v>6374</v>
      </c>
      <c r="G534" s="27" t="s">
        <v>5152</v>
      </c>
    </row>
    <row r="535" spans="1:10" s="10" customFormat="1" x14ac:dyDescent="0.3">
      <c r="A535" s="27" t="s">
        <v>4654</v>
      </c>
      <c r="B535" s="27" t="s">
        <v>1697</v>
      </c>
      <c r="C535" s="27" t="s">
        <v>6810</v>
      </c>
      <c r="D535" s="27" t="s">
        <v>5732</v>
      </c>
      <c r="E535" s="27" t="s">
        <v>1718</v>
      </c>
      <c r="F535" s="27"/>
      <c r="G535" s="27"/>
      <c r="H535" s="27"/>
      <c r="I535" s="27"/>
      <c r="J535" s="27"/>
    </row>
    <row r="536" spans="1:10" x14ac:dyDescent="0.35">
      <c r="A536" s="27" t="s">
        <v>5965</v>
      </c>
      <c r="B536" s="28" t="s">
        <v>415</v>
      </c>
      <c r="C536" s="27" t="s">
        <v>1558</v>
      </c>
      <c r="D536" s="25" t="s">
        <v>1513</v>
      </c>
      <c r="E536" s="27" t="s">
        <v>3902</v>
      </c>
    </row>
    <row r="537" spans="1:10" x14ac:dyDescent="0.35">
      <c r="A537" s="27" t="s">
        <v>622</v>
      </c>
      <c r="B537" s="27" t="s">
        <v>847</v>
      </c>
      <c r="C537" s="28" t="s">
        <v>4070</v>
      </c>
      <c r="D537" s="28" t="s">
        <v>1985</v>
      </c>
      <c r="E537" s="27" t="s">
        <v>3593</v>
      </c>
      <c r="F537" s="27" t="s">
        <v>2252</v>
      </c>
      <c r="G537" s="27" t="s">
        <v>3862</v>
      </c>
      <c r="H537" s="27" t="s">
        <v>3908</v>
      </c>
      <c r="I537" s="27" t="s">
        <v>7591</v>
      </c>
    </row>
    <row r="538" spans="1:10" x14ac:dyDescent="0.35">
      <c r="A538" s="27" t="s">
        <v>661</v>
      </c>
      <c r="B538" s="28" t="s">
        <v>458</v>
      </c>
      <c r="C538" s="28" t="s">
        <v>4743</v>
      </c>
      <c r="D538" s="28" t="s">
        <v>5861</v>
      </c>
      <c r="E538" s="28" t="s">
        <v>2128</v>
      </c>
      <c r="F538" s="28" t="s">
        <v>2133</v>
      </c>
    </row>
    <row r="539" spans="1:10" s="10" customFormat="1" x14ac:dyDescent="0.3">
      <c r="A539" s="27" t="s">
        <v>4658</v>
      </c>
      <c r="B539" s="27" t="s">
        <v>6391</v>
      </c>
      <c r="C539" s="27" t="s">
        <v>3121</v>
      </c>
      <c r="D539" s="27" t="s">
        <v>6795</v>
      </c>
      <c r="E539" s="27" t="s">
        <v>2725</v>
      </c>
      <c r="F539" s="27" t="s">
        <v>29</v>
      </c>
      <c r="G539" s="27" t="s">
        <v>3486</v>
      </c>
      <c r="H539" s="27" t="s">
        <v>4070</v>
      </c>
      <c r="I539" s="27"/>
      <c r="J539" s="27"/>
    </row>
    <row r="540" spans="1:10" x14ac:dyDescent="0.35">
      <c r="A540" s="27" t="s">
        <v>5969</v>
      </c>
      <c r="B540" s="27" t="s">
        <v>2594</v>
      </c>
      <c r="C540" s="27" t="s">
        <v>6939</v>
      </c>
      <c r="D540" s="27" t="s">
        <v>5182</v>
      </c>
      <c r="E540" s="27" t="s">
        <v>4654</v>
      </c>
      <c r="F540" s="27" t="s">
        <v>1718</v>
      </c>
      <c r="G540" s="28"/>
    </row>
    <row r="541" spans="1:10" x14ac:dyDescent="0.3">
      <c r="A541" s="10" t="s">
        <v>1617</v>
      </c>
      <c r="B541" s="10" t="s">
        <v>1678</v>
      </c>
      <c r="C541" s="10" t="s">
        <v>2898</v>
      </c>
      <c r="D541" s="10" t="s">
        <v>6737</v>
      </c>
      <c r="E541" s="10" t="s">
        <v>6956</v>
      </c>
      <c r="F541" s="10" t="s">
        <v>1669</v>
      </c>
      <c r="G541" s="10"/>
      <c r="H541" s="10"/>
      <c r="I541" s="10"/>
      <c r="J541" s="10"/>
    </row>
    <row r="542" spans="1:10" s="10" customFormat="1" x14ac:dyDescent="0.3">
      <c r="A542" s="27" t="s">
        <v>6942</v>
      </c>
      <c r="B542" s="27" t="s">
        <v>2373</v>
      </c>
      <c r="C542" s="27" t="s">
        <v>9505</v>
      </c>
      <c r="D542" s="27" t="s">
        <v>4691</v>
      </c>
      <c r="E542" s="27" t="s">
        <v>622</v>
      </c>
      <c r="F542" s="27" t="s">
        <v>4070</v>
      </c>
      <c r="G542" s="27" t="s">
        <v>3593</v>
      </c>
      <c r="H542" s="27" t="s">
        <v>642</v>
      </c>
      <c r="I542" s="27" t="s">
        <v>678</v>
      </c>
      <c r="J542" s="27"/>
    </row>
    <row r="543" spans="1:10" s="10" customFormat="1" x14ac:dyDescent="0.35">
      <c r="A543" s="27" t="s">
        <v>5976</v>
      </c>
      <c r="B543" s="27" t="s">
        <v>4650</v>
      </c>
      <c r="C543" s="28" t="s">
        <v>5805</v>
      </c>
      <c r="D543" s="27" t="s">
        <v>2321</v>
      </c>
      <c r="E543" s="27" t="s">
        <v>3398</v>
      </c>
      <c r="F543" s="27" t="s">
        <v>2851</v>
      </c>
      <c r="G543" s="25" t="s">
        <v>1117</v>
      </c>
      <c r="H543" s="25" t="s">
        <v>1114</v>
      </c>
      <c r="I543" s="27"/>
      <c r="J543" s="27"/>
    </row>
    <row r="544" spans="1:10" s="10" customFormat="1" x14ac:dyDescent="0.3">
      <c r="A544" s="27" t="s">
        <v>4662</v>
      </c>
      <c r="B544" s="27" t="s">
        <v>4862</v>
      </c>
      <c r="C544" s="27" t="s">
        <v>1669</v>
      </c>
      <c r="D544" s="27" t="s">
        <v>6566</v>
      </c>
      <c r="E544" s="27" t="s">
        <v>6041</v>
      </c>
      <c r="F544" s="27" t="s">
        <v>5487</v>
      </c>
      <c r="G544" s="27" t="s">
        <v>7771</v>
      </c>
      <c r="H544" s="27" t="s">
        <v>6081</v>
      </c>
      <c r="I544" s="27"/>
      <c r="J544" s="27"/>
    </row>
    <row r="545" spans="1:10" x14ac:dyDescent="0.3">
      <c r="A545" s="10" t="s">
        <v>828</v>
      </c>
      <c r="B545" s="35" t="s">
        <v>782</v>
      </c>
      <c r="C545" s="35" t="s">
        <v>786</v>
      </c>
      <c r="D545" s="10" t="s">
        <v>820</v>
      </c>
      <c r="E545" s="10" t="s">
        <v>823</v>
      </c>
      <c r="F545" s="35" t="s">
        <v>3205</v>
      </c>
      <c r="G545" s="10" t="s">
        <v>3185</v>
      </c>
      <c r="H545" s="10" t="s">
        <v>426</v>
      </c>
      <c r="I545" s="10" t="s">
        <v>7153</v>
      </c>
      <c r="J545" s="10" t="s">
        <v>2194</v>
      </c>
    </row>
    <row r="546" spans="1:10" x14ac:dyDescent="0.3">
      <c r="A546" s="27" t="s">
        <v>5980</v>
      </c>
      <c r="B546" s="27" t="s">
        <v>1927</v>
      </c>
      <c r="C546" s="27" t="s">
        <v>2809</v>
      </c>
      <c r="D546" s="27" t="s">
        <v>1939</v>
      </c>
      <c r="E546" s="27" t="s">
        <v>3313</v>
      </c>
      <c r="F546" s="27" t="s">
        <v>5406</v>
      </c>
      <c r="G546" s="27" t="s">
        <v>1529</v>
      </c>
    </row>
    <row r="547" spans="1:10" x14ac:dyDescent="0.35">
      <c r="A547" s="27" t="s">
        <v>5984</v>
      </c>
      <c r="B547" s="28" t="s">
        <v>4743</v>
      </c>
      <c r="C547" s="28" t="s">
        <v>5567</v>
      </c>
      <c r="D547" s="28" t="s">
        <v>5450</v>
      </c>
      <c r="E547" s="27" t="s">
        <v>2876</v>
      </c>
      <c r="F547" s="27" t="s">
        <v>908</v>
      </c>
      <c r="G547" s="27" t="s">
        <v>912</v>
      </c>
      <c r="H547" s="27" t="s">
        <v>2133</v>
      </c>
      <c r="I547" s="27" t="s">
        <v>4669</v>
      </c>
    </row>
    <row r="548" spans="1:10" s="10" customFormat="1" x14ac:dyDescent="0.3">
      <c r="A548" s="10" t="s">
        <v>872</v>
      </c>
      <c r="B548" s="10" t="s">
        <v>876</v>
      </c>
      <c r="C548" s="10" t="s">
        <v>867</v>
      </c>
      <c r="D548" s="10" t="s">
        <v>3509</v>
      </c>
      <c r="E548" s="10" t="s">
        <v>4675</v>
      </c>
      <c r="F548" s="10" t="s">
        <v>3200</v>
      </c>
    </row>
    <row r="549" spans="1:10" x14ac:dyDescent="0.3">
      <c r="A549" s="10" t="s">
        <v>2777</v>
      </c>
      <c r="B549" s="10" t="s">
        <v>34</v>
      </c>
      <c r="C549" s="10" t="s">
        <v>2767</v>
      </c>
      <c r="D549" s="10" t="s">
        <v>7432</v>
      </c>
      <c r="E549" s="10" t="s">
        <v>6239</v>
      </c>
      <c r="F549" s="10" t="s">
        <v>1037</v>
      </c>
      <c r="G549" s="10" t="s">
        <v>2791</v>
      </c>
      <c r="H549" s="10" t="s">
        <v>9665</v>
      </c>
      <c r="I549" s="10"/>
      <c r="J549" s="10"/>
    </row>
    <row r="550" spans="1:10" x14ac:dyDescent="0.3">
      <c r="A550" s="10" t="s">
        <v>908</v>
      </c>
      <c r="B550" s="10" t="s">
        <v>4775</v>
      </c>
      <c r="C550" s="10" t="s">
        <v>912</v>
      </c>
      <c r="D550" s="10" t="s">
        <v>904</v>
      </c>
      <c r="E550" s="10" t="s">
        <v>880</v>
      </c>
      <c r="F550" s="10" t="s">
        <v>960</v>
      </c>
      <c r="G550" s="10"/>
      <c r="H550" s="10"/>
      <c r="I550" s="10"/>
      <c r="J550" s="10"/>
    </row>
    <row r="551" spans="1:10" x14ac:dyDescent="0.35">
      <c r="A551" s="27" t="s">
        <v>4669</v>
      </c>
      <c r="B551" s="28" t="s">
        <v>4738</v>
      </c>
      <c r="C551" s="27" t="s">
        <v>5984</v>
      </c>
    </row>
    <row r="552" spans="1:10" x14ac:dyDescent="0.35">
      <c r="A552" s="27" t="s">
        <v>5989</v>
      </c>
      <c r="B552" s="27" t="s">
        <v>6817</v>
      </c>
      <c r="C552" s="28" t="s">
        <v>4775</v>
      </c>
      <c r="D552" s="27" t="s">
        <v>9539</v>
      </c>
      <c r="E552" s="27" t="s">
        <v>4425</v>
      </c>
      <c r="F552" s="27" t="s">
        <v>968</v>
      </c>
      <c r="G552" s="27" t="s">
        <v>872</v>
      </c>
      <c r="H552" s="27" t="s">
        <v>876</v>
      </c>
    </row>
    <row r="553" spans="1:10" s="10" customFormat="1" x14ac:dyDescent="0.3">
      <c r="A553" s="27" t="s">
        <v>5993</v>
      </c>
      <c r="B553" s="27" t="s">
        <v>6110</v>
      </c>
      <c r="C553" s="27" t="s">
        <v>6721</v>
      </c>
      <c r="D553" s="27" t="s">
        <v>6703</v>
      </c>
      <c r="E553" s="27"/>
      <c r="F553" s="27"/>
      <c r="G553" s="27"/>
      <c r="H553" s="27"/>
      <c r="I553" s="27"/>
      <c r="J553" s="27"/>
    </row>
    <row r="554" spans="1:10" x14ac:dyDescent="0.3">
      <c r="A554" s="10" t="s">
        <v>1622</v>
      </c>
      <c r="B554" s="10" t="s">
        <v>5033</v>
      </c>
      <c r="C554" s="10" t="s">
        <v>1630</v>
      </c>
      <c r="D554" s="10" t="s">
        <v>4985</v>
      </c>
      <c r="E554" s="10" t="s">
        <v>1627</v>
      </c>
      <c r="F554" s="10" t="s">
        <v>4698</v>
      </c>
      <c r="G554" s="35" t="s">
        <v>1661</v>
      </c>
      <c r="H554" s="10"/>
      <c r="I554" s="10"/>
      <c r="J554" s="10"/>
    </row>
    <row r="555" spans="1:10" s="10" customFormat="1" x14ac:dyDescent="0.35">
      <c r="A555" s="27" t="s">
        <v>4675</v>
      </c>
      <c r="B555" s="28" t="s">
        <v>6837</v>
      </c>
      <c r="C555" s="28" t="s">
        <v>876</v>
      </c>
      <c r="D555" s="27" t="s">
        <v>872</v>
      </c>
      <c r="E555" s="27" t="s">
        <v>880</v>
      </c>
      <c r="F555" s="27" t="s">
        <v>2128</v>
      </c>
      <c r="G555" s="27" t="s">
        <v>9602</v>
      </c>
      <c r="H555" s="27"/>
      <c r="I555" s="27"/>
      <c r="J555" s="27"/>
    </row>
    <row r="556" spans="1:10" x14ac:dyDescent="0.35">
      <c r="A556" s="27" t="s">
        <v>5996</v>
      </c>
      <c r="B556" s="28" t="s">
        <v>5463</v>
      </c>
      <c r="C556" s="28" t="s">
        <v>4738</v>
      </c>
      <c r="D556" s="28" t="s">
        <v>4743</v>
      </c>
      <c r="E556" s="27" t="s">
        <v>6097</v>
      </c>
    </row>
    <row r="557" spans="1:10" x14ac:dyDescent="0.35">
      <c r="A557" s="27" t="s">
        <v>1919</v>
      </c>
      <c r="B557" s="28" t="s">
        <v>1939</v>
      </c>
      <c r="C557" s="28" t="s">
        <v>7439</v>
      </c>
      <c r="D557" s="28" t="s">
        <v>7656</v>
      </c>
      <c r="E557" s="27" t="s">
        <v>2350</v>
      </c>
      <c r="F557" s="27" t="s">
        <v>1307</v>
      </c>
    </row>
    <row r="558" spans="1:10" x14ac:dyDescent="0.35">
      <c r="A558" s="27" t="s">
        <v>4683</v>
      </c>
      <c r="B558" s="28" t="s">
        <v>2816</v>
      </c>
      <c r="C558" s="28" t="s">
        <v>2365</v>
      </c>
      <c r="D558" s="28" t="s">
        <v>3844</v>
      </c>
      <c r="E558" s="28" t="s">
        <v>4805</v>
      </c>
      <c r="F558" s="28" t="s">
        <v>4862</v>
      </c>
      <c r="G558" s="27" t="s">
        <v>2573</v>
      </c>
    </row>
    <row r="559" spans="1:10" x14ac:dyDescent="0.3">
      <c r="A559" s="10" t="s">
        <v>1185</v>
      </c>
      <c r="B559" s="10" t="s">
        <v>1169</v>
      </c>
      <c r="C559" s="10" t="s">
        <v>278</v>
      </c>
      <c r="D559" s="10" t="s">
        <v>2830</v>
      </c>
      <c r="E559" s="10" t="s">
        <v>6920</v>
      </c>
      <c r="F559" s="10"/>
      <c r="G559" s="10"/>
      <c r="H559" s="10"/>
      <c r="I559" s="10"/>
      <c r="J559" s="10"/>
    </row>
    <row r="560" spans="1:10" s="10" customFormat="1" x14ac:dyDescent="0.3">
      <c r="A560" s="27" t="s">
        <v>6010</v>
      </c>
      <c r="B560" s="27" t="s">
        <v>2123</v>
      </c>
      <c r="C560" s="27" t="s">
        <v>2128</v>
      </c>
      <c r="D560" s="27" t="s">
        <v>2119</v>
      </c>
      <c r="E560" s="27" t="s">
        <v>2133</v>
      </c>
      <c r="F560" s="27" t="s">
        <v>3125</v>
      </c>
      <c r="G560" s="27" t="s">
        <v>3463</v>
      </c>
      <c r="H560" s="27" t="s">
        <v>7439</v>
      </c>
      <c r="I560" s="27" t="s">
        <v>3710</v>
      </c>
      <c r="J560" s="27"/>
    </row>
    <row r="561" spans="1:10" s="10" customFormat="1" x14ac:dyDescent="0.3">
      <c r="A561" s="10" t="s">
        <v>3374</v>
      </c>
      <c r="B561" s="10" t="s">
        <v>34</v>
      </c>
      <c r="C561" s="10" t="s">
        <v>2182</v>
      </c>
    </row>
    <row r="562" spans="1:10" x14ac:dyDescent="0.3">
      <c r="A562" s="27" t="s">
        <v>3125</v>
      </c>
      <c r="B562" s="27" t="s">
        <v>7601</v>
      </c>
      <c r="C562" s="27" t="s">
        <v>4210</v>
      </c>
    </row>
    <row r="563" spans="1:10" x14ac:dyDescent="0.3">
      <c r="A563" s="27" t="s">
        <v>6014</v>
      </c>
      <c r="B563" s="27" t="s">
        <v>458</v>
      </c>
      <c r="C563" s="27" t="s">
        <v>4070</v>
      </c>
      <c r="D563" s="27" t="s">
        <v>7716</v>
      </c>
      <c r="E563" s="27" t="s">
        <v>1988</v>
      </c>
      <c r="F563" s="27" t="s">
        <v>1996</v>
      </c>
      <c r="G563" s="27" t="s">
        <v>1992</v>
      </c>
      <c r="H563" s="27" t="s">
        <v>2008</v>
      </c>
      <c r="I563" s="27" t="s">
        <v>3959</v>
      </c>
      <c r="J563" s="27" t="s">
        <v>6295</v>
      </c>
    </row>
    <row r="564" spans="1:10" s="10" customFormat="1" x14ac:dyDescent="0.3">
      <c r="A564" s="27" t="s">
        <v>4691</v>
      </c>
      <c r="B564" s="27" t="s">
        <v>5989</v>
      </c>
      <c r="C564" s="27" t="s">
        <v>481</v>
      </c>
      <c r="D564" s="27" t="s">
        <v>1736</v>
      </c>
      <c r="E564" s="27" t="s">
        <v>7591</v>
      </c>
      <c r="F564" s="27" t="s">
        <v>9546</v>
      </c>
      <c r="G564" s="27" t="s">
        <v>944</v>
      </c>
      <c r="H564" s="27" t="s">
        <v>4412</v>
      </c>
      <c r="I564" s="27"/>
      <c r="J564" s="27"/>
    </row>
    <row r="565" spans="1:10" x14ac:dyDescent="0.3">
      <c r="A565" s="27" t="s">
        <v>69</v>
      </c>
      <c r="B565" s="27" t="s">
        <v>2816</v>
      </c>
      <c r="C565" s="27" t="s">
        <v>1678</v>
      </c>
      <c r="D565" s="27" t="s">
        <v>1622</v>
      </c>
      <c r="E565" s="27" t="s">
        <v>2825</v>
      </c>
      <c r="F565" s="27" t="s">
        <v>1627</v>
      </c>
      <c r="G565" s="27" t="s">
        <v>5899</v>
      </c>
      <c r="H565" s="27" t="s">
        <v>1169</v>
      </c>
      <c r="I565" s="27" t="s">
        <v>6863</v>
      </c>
      <c r="J565" s="27" t="s">
        <v>1939</v>
      </c>
    </row>
    <row r="566" spans="1:10" x14ac:dyDescent="0.3">
      <c r="A566" s="10" t="s">
        <v>4698</v>
      </c>
      <c r="B566" s="10" t="s">
        <v>932</v>
      </c>
      <c r="C566" s="10" t="s">
        <v>6041</v>
      </c>
      <c r="D566" s="35" t="s">
        <v>1661</v>
      </c>
      <c r="E566" s="10" t="s">
        <v>2394</v>
      </c>
      <c r="F566" s="10" t="s">
        <v>1622</v>
      </c>
      <c r="G566" s="10" t="s">
        <v>9408</v>
      </c>
      <c r="H566" s="10" t="s">
        <v>3309</v>
      </c>
      <c r="I566" s="10" t="s">
        <v>1094</v>
      </c>
      <c r="J566" s="10" t="s">
        <v>1106</v>
      </c>
    </row>
    <row r="567" spans="1:10" x14ac:dyDescent="0.3">
      <c r="A567" s="10" t="s">
        <v>1042</v>
      </c>
      <c r="B567" s="35" t="s">
        <v>7601</v>
      </c>
      <c r="C567" s="10" t="s">
        <v>1029</v>
      </c>
      <c r="D567" s="10" t="s">
        <v>324</v>
      </c>
      <c r="E567" s="10" t="s">
        <v>7293</v>
      </c>
      <c r="F567" s="10" t="s">
        <v>6845</v>
      </c>
      <c r="G567" s="10"/>
      <c r="H567" s="10"/>
      <c r="I567" s="10"/>
      <c r="J567" s="10"/>
    </row>
    <row r="568" spans="1:10" s="10" customFormat="1" x14ac:dyDescent="0.35">
      <c r="A568" s="27" t="s">
        <v>6022</v>
      </c>
      <c r="B568" s="27" t="s">
        <v>2614</v>
      </c>
      <c r="C568" s="28" t="s">
        <v>6890</v>
      </c>
      <c r="D568" s="28" t="s">
        <v>6798</v>
      </c>
      <c r="E568" s="27" t="s">
        <v>34</v>
      </c>
      <c r="F568" s="27"/>
      <c r="G568" s="27"/>
      <c r="H568" s="27"/>
      <c r="I568" s="27"/>
      <c r="J568" s="27"/>
    </row>
    <row r="569" spans="1:10" x14ac:dyDescent="0.3">
      <c r="A569" s="27" t="s">
        <v>1903</v>
      </c>
      <c r="B569" s="27" t="s">
        <v>1846</v>
      </c>
      <c r="C569" s="27" t="s">
        <v>2825</v>
      </c>
      <c r="D569" s="27" t="s">
        <v>9605</v>
      </c>
      <c r="E569" s="27" t="s">
        <v>6920</v>
      </c>
    </row>
    <row r="570" spans="1:10" s="10" customFormat="1" x14ac:dyDescent="0.3">
      <c r="A570" s="20" t="s">
        <v>6029</v>
      </c>
      <c r="B570" s="10" t="s">
        <v>3663</v>
      </c>
      <c r="C570" s="10" t="s">
        <v>5533</v>
      </c>
      <c r="D570" s="10" t="s">
        <v>5092</v>
      </c>
      <c r="E570" s="10" t="s">
        <v>6493</v>
      </c>
      <c r="F570" s="35" t="s">
        <v>3229</v>
      </c>
    </row>
    <row r="571" spans="1:10" x14ac:dyDescent="0.3">
      <c r="A571" s="27" t="s">
        <v>4702</v>
      </c>
      <c r="B571" s="27" t="s">
        <v>6806</v>
      </c>
      <c r="C571" s="27" t="s">
        <v>832</v>
      </c>
      <c r="D571" s="27" t="s">
        <v>2337</v>
      </c>
      <c r="E571" s="27" t="s">
        <v>4049</v>
      </c>
      <c r="F571" s="27" t="s">
        <v>5732</v>
      </c>
    </row>
    <row r="572" spans="1:10" x14ac:dyDescent="0.35">
      <c r="A572" s="27" t="s">
        <v>6033</v>
      </c>
      <c r="B572" s="27" t="s">
        <v>1872</v>
      </c>
      <c r="C572" s="27" t="s">
        <v>1907</v>
      </c>
      <c r="D572" s="27" t="s">
        <v>1862</v>
      </c>
      <c r="E572" s="28" t="s">
        <v>1899</v>
      </c>
    </row>
    <row r="573" spans="1:10" x14ac:dyDescent="0.3">
      <c r="A573" s="27" t="s">
        <v>6976</v>
      </c>
      <c r="B573" s="27" t="s">
        <v>7601</v>
      </c>
      <c r="C573" s="27" t="s">
        <v>6578</v>
      </c>
      <c r="D573" s="27" t="s">
        <v>3114</v>
      </c>
    </row>
    <row r="574" spans="1:10" x14ac:dyDescent="0.3">
      <c r="A574" s="10" t="s">
        <v>6041</v>
      </c>
      <c r="B574" s="10" t="s">
        <v>1661</v>
      </c>
      <c r="C574" s="10" t="s">
        <v>4862</v>
      </c>
      <c r="D574" s="10" t="s">
        <v>4698</v>
      </c>
      <c r="E574" s="10" t="s">
        <v>6566</v>
      </c>
      <c r="F574" s="10"/>
      <c r="G574" s="10"/>
      <c r="H574" s="10"/>
      <c r="I574" s="10"/>
      <c r="J574" s="10"/>
    </row>
    <row r="575" spans="1:10" s="10" customFormat="1" x14ac:dyDescent="0.35">
      <c r="A575" s="27" t="s">
        <v>4710</v>
      </c>
      <c r="B575" s="27" t="s">
        <v>670</v>
      </c>
      <c r="C575" s="25" t="s">
        <v>9467</v>
      </c>
      <c r="D575" s="25" t="s">
        <v>6605</v>
      </c>
      <c r="E575" s="27" t="s">
        <v>4357</v>
      </c>
      <c r="F575" s="28" t="s">
        <v>2325</v>
      </c>
      <c r="G575" s="28"/>
      <c r="H575" s="27"/>
      <c r="I575" s="27"/>
      <c r="J575" s="28"/>
    </row>
    <row r="576" spans="1:10" s="10" customFormat="1" x14ac:dyDescent="0.3">
      <c r="A576" s="10" t="s">
        <v>900</v>
      </c>
      <c r="B576" s="10" t="s">
        <v>1639</v>
      </c>
      <c r="C576" s="10" t="s">
        <v>976</v>
      </c>
      <c r="D576" s="10" t="s">
        <v>3836</v>
      </c>
      <c r="E576" s="10" t="s">
        <v>1773</v>
      </c>
      <c r="F576" s="10" t="s">
        <v>880</v>
      </c>
      <c r="G576" s="10" t="s">
        <v>3181</v>
      </c>
      <c r="H576" s="10" t="s">
        <v>3185</v>
      </c>
      <c r="I576" s="10" t="s">
        <v>2405</v>
      </c>
    </row>
    <row r="577" spans="1:10" x14ac:dyDescent="0.3">
      <c r="A577" s="27" t="s">
        <v>6049</v>
      </c>
      <c r="B577" s="27" t="s">
        <v>6029</v>
      </c>
      <c r="C577" s="27" t="s">
        <v>2337</v>
      </c>
      <c r="D577" s="27" t="s">
        <v>2080</v>
      </c>
      <c r="E577" s="27" t="s">
        <v>7604</v>
      </c>
    </row>
    <row r="578" spans="1:10" x14ac:dyDescent="0.35">
      <c r="A578" s="27" t="s">
        <v>6725</v>
      </c>
      <c r="B578" s="27" t="s">
        <v>1037</v>
      </c>
      <c r="C578" s="27" t="s">
        <v>733</v>
      </c>
      <c r="D578" s="27" t="s">
        <v>7177</v>
      </c>
      <c r="E578" s="25" t="s">
        <v>2543</v>
      </c>
      <c r="F578" s="25" t="s">
        <v>1257</v>
      </c>
      <c r="G578" s="27" t="s">
        <v>1265</v>
      </c>
      <c r="H578" s="27" t="s">
        <v>1269</v>
      </c>
      <c r="I578" s="27" t="s">
        <v>2123</v>
      </c>
    </row>
    <row r="579" spans="1:10" x14ac:dyDescent="0.3">
      <c r="A579" s="27" t="s">
        <v>6837</v>
      </c>
      <c r="B579" s="27" t="s">
        <v>415</v>
      </c>
    </row>
    <row r="580" spans="1:10" s="10" customFormat="1" x14ac:dyDescent="0.3">
      <c r="A580" s="27" t="s">
        <v>6845</v>
      </c>
      <c r="B580" s="27" t="s">
        <v>1042</v>
      </c>
      <c r="C580" s="27" t="s">
        <v>2378</v>
      </c>
      <c r="D580" s="27" t="s">
        <v>6258</v>
      </c>
      <c r="E580" s="27" t="s">
        <v>1846</v>
      </c>
      <c r="F580" s="27" t="s">
        <v>2012</v>
      </c>
      <c r="G580" s="27"/>
      <c r="H580" s="27"/>
      <c r="I580" s="27"/>
      <c r="J580" s="27"/>
    </row>
    <row r="581" spans="1:10" x14ac:dyDescent="0.3">
      <c r="A581" s="10" t="s">
        <v>1037</v>
      </c>
      <c r="B581" s="10" t="s">
        <v>7601</v>
      </c>
      <c r="C581" s="10" t="s">
        <v>1029</v>
      </c>
      <c r="D581" s="10" t="s">
        <v>7432</v>
      </c>
      <c r="E581" s="10"/>
      <c r="F581" s="10"/>
      <c r="G581" s="10"/>
      <c r="H581" s="10"/>
      <c r="I581" s="10"/>
      <c r="J581" s="10"/>
    </row>
    <row r="582" spans="1:10" s="10" customFormat="1" x14ac:dyDescent="0.3">
      <c r="A582" s="10" t="s">
        <v>1598</v>
      </c>
      <c r="B582" s="10" t="s">
        <v>2640</v>
      </c>
      <c r="C582" s="10" t="s">
        <v>1190</v>
      </c>
      <c r="D582" s="10" t="s">
        <v>2693</v>
      </c>
      <c r="E582" s="10" t="s">
        <v>2698</v>
      </c>
      <c r="F582" s="10" t="s">
        <v>6920</v>
      </c>
    </row>
    <row r="583" spans="1:10" x14ac:dyDescent="0.35">
      <c r="A583" s="27" t="s">
        <v>6852</v>
      </c>
      <c r="B583" s="27" t="s">
        <v>6418</v>
      </c>
      <c r="C583" s="28" t="s">
        <v>5918</v>
      </c>
      <c r="D583" s="27" t="s">
        <v>2252</v>
      </c>
      <c r="E583" s="27" t="s">
        <v>6014</v>
      </c>
    </row>
    <row r="584" spans="1:10" s="10" customFormat="1" x14ac:dyDescent="0.3">
      <c r="A584" s="27" t="s">
        <v>2063</v>
      </c>
      <c r="B584" s="27" t="s">
        <v>2012</v>
      </c>
      <c r="C584" s="27" t="s">
        <v>2640</v>
      </c>
      <c r="D584" s="27" t="s">
        <v>2714</v>
      </c>
      <c r="E584" s="27" t="s">
        <v>2048</v>
      </c>
      <c r="F584" s="27"/>
      <c r="G584" s="27"/>
      <c r="H584" s="27"/>
      <c r="I584" s="27"/>
      <c r="J584" s="27"/>
    </row>
    <row r="585" spans="1:10" s="10" customFormat="1" x14ac:dyDescent="0.35">
      <c r="A585" s="27" t="s">
        <v>6871</v>
      </c>
      <c r="B585" s="27" t="s">
        <v>5209</v>
      </c>
      <c r="C585" s="28" t="s">
        <v>2405</v>
      </c>
      <c r="D585" s="28" t="s">
        <v>4605</v>
      </c>
      <c r="E585" s="27"/>
      <c r="F585" s="27"/>
      <c r="G585" s="27"/>
      <c r="H585" s="27"/>
      <c r="I585" s="27"/>
      <c r="J585" s="27"/>
    </row>
    <row r="586" spans="1:10" x14ac:dyDescent="0.3">
      <c r="A586" s="10" t="s">
        <v>531</v>
      </c>
      <c r="B586" s="10" t="s">
        <v>458</v>
      </c>
      <c r="C586" s="10" t="s">
        <v>535</v>
      </c>
      <c r="D586" s="10" t="s">
        <v>521</v>
      </c>
      <c r="E586" s="10" t="s">
        <v>526</v>
      </c>
      <c r="F586" s="10" t="s">
        <v>5703</v>
      </c>
      <c r="G586" s="10"/>
      <c r="H586" s="10"/>
      <c r="I586" s="10"/>
      <c r="J586" s="10"/>
    </row>
    <row r="587" spans="1:10" x14ac:dyDescent="0.3">
      <c r="A587" s="27" t="s">
        <v>3141</v>
      </c>
      <c r="B587" s="27" t="s">
        <v>2123</v>
      </c>
      <c r="C587" s="27" t="s">
        <v>2119</v>
      </c>
      <c r="D587" s="27" t="s">
        <v>2143</v>
      </c>
      <c r="E587" s="27" t="s">
        <v>9723</v>
      </c>
    </row>
    <row r="588" spans="1:10" s="10" customFormat="1" x14ac:dyDescent="0.3">
      <c r="A588" s="10" t="s">
        <v>6882</v>
      </c>
      <c r="B588" s="10" t="s">
        <v>1661</v>
      </c>
      <c r="C588" s="10" t="s">
        <v>6041</v>
      </c>
      <c r="D588" s="35" t="s">
        <v>4862</v>
      </c>
      <c r="E588" s="35" t="s">
        <v>6620</v>
      </c>
      <c r="F588" s="35" t="s">
        <v>6489</v>
      </c>
      <c r="G588" s="35" t="s">
        <v>6081</v>
      </c>
    </row>
    <row r="589" spans="1:10" s="10" customFormat="1" x14ac:dyDescent="0.35">
      <c r="A589" s="27" t="s">
        <v>6886</v>
      </c>
      <c r="B589" s="27" t="s">
        <v>6073</v>
      </c>
      <c r="C589" s="28" t="s">
        <v>2160</v>
      </c>
      <c r="D589" s="28" t="s">
        <v>5957</v>
      </c>
      <c r="E589" s="27" t="s">
        <v>6374</v>
      </c>
      <c r="F589" s="25" t="s">
        <v>1368</v>
      </c>
      <c r="G589" s="27"/>
      <c r="H589" s="27"/>
      <c r="I589" s="27"/>
      <c r="J589" s="27"/>
    </row>
    <row r="590" spans="1:10" s="10" customFormat="1" x14ac:dyDescent="0.3">
      <c r="A590" s="10" t="s">
        <v>1060</v>
      </c>
      <c r="B590" s="21" t="s">
        <v>7601</v>
      </c>
      <c r="C590" s="10" t="s">
        <v>1029</v>
      </c>
      <c r="D590" s="10" t="s">
        <v>324</v>
      </c>
      <c r="E590" s="10" t="s">
        <v>3908</v>
      </c>
      <c r="F590" s="10" t="s">
        <v>670</v>
      </c>
    </row>
    <row r="591" spans="1:10" s="10" customFormat="1" x14ac:dyDescent="0.3">
      <c r="A591" s="10" t="s">
        <v>3193</v>
      </c>
      <c r="B591" s="35" t="s">
        <v>5706</v>
      </c>
      <c r="C591" s="35" t="s">
        <v>1029</v>
      </c>
      <c r="D591" s="10" t="s">
        <v>3836</v>
      </c>
      <c r="E591" s="10" t="s">
        <v>3181</v>
      </c>
      <c r="F591" s="10" t="s">
        <v>3185</v>
      </c>
      <c r="G591" s="10" t="s">
        <v>3197</v>
      </c>
    </row>
    <row r="592" spans="1:10" x14ac:dyDescent="0.3">
      <c r="A592" s="27" t="s">
        <v>3145</v>
      </c>
      <c r="B592" s="27" t="s">
        <v>3133</v>
      </c>
      <c r="C592" s="27" t="s">
        <v>7601</v>
      </c>
    </row>
    <row r="593" spans="1:10" x14ac:dyDescent="0.3">
      <c r="A593" s="27" t="s">
        <v>1331</v>
      </c>
      <c r="B593" s="27" t="s">
        <v>1169</v>
      </c>
      <c r="C593" s="27" t="s">
        <v>1303</v>
      </c>
      <c r="D593" s="27" t="s">
        <v>9624</v>
      </c>
    </row>
    <row r="594" spans="1:10" x14ac:dyDescent="0.3">
      <c r="A594" s="10" t="s">
        <v>6890</v>
      </c>
      <c r="B594" s="10" t="s">
        <v>6837</v>
      </c>
      <c r="C594" s="10" t="s">
        <v>73</v>
      </c>
      <c r="D594" s="10" t="s">
        <v>5941</v>
      </c>
      <c r="E594" s="10" t="s">
        <v>6497</v>
      </c>
      <c r="F594" s="10" t="s">
        <v>4813</v>
      </c>
      <c r="G594" s="10" t="s">
        <v>6718</v>
      </c>
      <c r="H594" s="10" t="s">
        <v>577</v>
      </c>
      <c r="I594" s="35" t="s">
        <v>569</v>
      </c>
      <c r="J594" s="10"/>
    </row>
    <row r="595" spans="1:10" x14ac:dyDescent="0.3">
      <c r="A595" s="10" t="s">
        <v>1639</v>
      </c>
      <c r="B595" s="10" t="s">
        <v>1661</v>
      </c>
      <c r="C595" s="10" t="s">
        <v>900</v>
      </c>
      <c r="D595" s="10" t="s">
        <v>2405</v>
      </c>
      <c r="E595" s="10" t="s">
        <v>1656</v>
      </c>
      <c r="F595" s="10"/>
      <c r="G595" s="10"/>
      <c r="H595" s="10"/>
      <c r="I595" s="10"/>
      <c r="J595" s="10"/>
    </row>
    <row r="596" spans="1:10" x14ac:dyDescent="0.3">
      <c r="A596" s="20" t="s">
        <v>4716</v>
      </c>
      <c r="B596" s="35" t="s">
        <v>9421</v>
      </c>
      <c r="C596" s="10" t="s">
        <v>5918</v>
      </c>
      <c r="D596" s="35" t="s">
        <v>5525</v>
      </c>
      <c r="E596" s="10" t="s">
        <v>9462</v>
      </c>
      <c r="F596" s="10"/>
      <c r="G596" s="10"/>
      <c r="H596" s="10"/>
      <c r="I596" s="10"/>
      <c r="J596" s="10"/>
    </row>
    <row r="597" spans="1:10" x14ac:dyDescent="0.3">
      <c r="A597" s="10" t="s">
        <v>3313</v>
      </c>
      <c r="B597" s="10" t="s">
        <v>702</v>
      </c>
      <c r="C597" s="10" t="s">
        <v>791</v>
      </c>
      <c r="D597" s="10" t="s">
        <v>4392</v>
      </c>
      <c r="E597" s="10" t="s">
        <v>713</v>
      </c>
      <c r="F597" s="10" t="s">
        <v>6920</v>
      </c>
      <c r="G597" s="10" t="s">
        <v>249</v>
      </c>
      <c r="H597" s="10"/>
      <c r="I597" s="10"/>
      <c r="J597" s="10"/>
    </row>
    <row r="598" spans="1:10" s="10" customFormat="1" x14ac:dyDescent="0.35">
      <c r="A598" s="27" t="s">
        <v>991</v>
      </c>
      <c r="B598" s="27" t="s">
        <v>4961</v>
      </c>
      <c r="C598" s="25" t="s">
        <v>9527</v>
      </c>
      <c r="D598" s="25" t="s">
        <v>6029</v>
      </c>
      <c r="E598" s="27"/>
      <c r="F598" s="27"/>
      <c r="G598" s="27"/>
      <c r="H598" s="27"/>
      <c r="I598" s="27"/>
      <c r="J598" s="27"/>
    </row>
    <row r="599" spans="1:10" s="10" customFormat="1" x14ac:dyDescent="0.35">
      <c r="A599" s="27" t="s">
        <v>4720</v>
      </c>
      <c r="B599" s="27" t="s">
        <v>1736</v>
      </c>
      <c r="C599" s="28" t="s">
        <v>1758</v>
      </c>
      <c r="D599" s="27" t="s">
        <v>5013</v>
      </c>
      <c r="E599" s="27" t="s">
        <v>4536</v>
      </c>
      <c r="F599" s="28" t="s">
        <v>4362</v>
      </c>
      <c r="G599" s="28" t="s">
        <v>2725</v>
      </c>
      <c r="H599" s="27"/>
      <c r="I599" s="27"/>
      <c r="J599" s="27"/>
    </row>
    <row r="600" spans="1:10" x14ac:dyDescent="0.35">
      <c r="A600" s="27" t="s">
        <v>6053</v>
      </c>
      <c r="B600" s="28" t="s">
        <v>6222</v>
      </c>
      <c r="C600" s="27" t="s">
        <v>5287</v>
      </c>
      <c r="D600" s="28" t="s">
        <v>23</v>
      </c>
      <c r="E600" s="27" t="s">
        <v>7749</v>
      </c>
      <c r="F600" s="27" t="s">
        <v>2012</v>
      </c>
      <c r="G600" s="27" t="s">
        <v>1846</v>
      </c>
      <c r="H600" s="27" t="s">
        <v>3419</v>
      </c>
    </row>
    <row r="601" spans="1:10" x14ac:dyDescent="0.35">
      <c r="A601" s="27" t="s">
        <v>4724</v>
      </c>
      <c r="B601" s="28" t="s">
        <v>2851</v>
      </c>
      <c r="C601" s="28" t="s">
        <v>9531</v>
      </c>
      <c r="D601" s="28" t="s">
        <v>7205</v>
      </c>
      <c r="E601" s="27" t="s">
        <v>5989</v>
      </c>
      <c r="F601" s="27" t="s">
        <v>5213</v>
      </c>
      <c r="G601" s="27" t="s">
        <v>5732</v>
      </c>
    </row>
    <row r="602" spans="1:10" s="10" customFormat="1" x14ac:dyDescent="0.3">
      <c r="A602" s="27" t="s">
        <v>6061</v>
      </c>
      <c r="B602" s="27" t="s">
        <v>2876</v>
      </c>
      <c r="C602" s="27" t="s">
        <v>2851</v>
      </c>
      <c r="D602" s="27" t="s">
        <v>7621</v>
      </c>
      <c r="E602" s="27" t="s">
        <v>3025</v>
      </c>
      <c r="F602" s="27" t="s">
        <v>5732</v>
      </c>
      <c r="G602" s="27"/>
      <c r="H602" s="27"/>
      <c r="I602" s="27"/>
      <c r="J602" s="27"/>
    </row>
    <row r="603" spans="1:10" x14ac:dyDescent="0.35">
      <c r="A603" s="27" t="s">
        <v>6065</v>
      </c>
      <c r="B603" s="27" t="s">
        <v>4134</v>
      </c>
      <c r="C603" s="27" t="s">
        <v>6374</v>
      </c>
      <c r="D603" s="28" t="s">
        <v>2296</v>
      </c>
      <c r="E603" s="28" t="s">
        <v>5385</v>
      </c>
    </row>
    <row r="604" spans="1:10" s="10" customFormat="1" x14ac:dyDescent="0.3">
      <c r="A604" s="10" t="s">
        <v>3267</v>
      </c>
      <c r="B604" s="10" t="s">
        <v>6578</v>
      </c>
      <c r="C604" s="10" t="s">
        <v>2133</v>
      </c>
      <c r="D604" s="10" t="s">
        <v>3292</v>
      </c>
      <c r="E604" s="10" t="s">
        <v>3262</v>
      </c>
      <c r="F604" s="10" t="s">
        <v>1568</v>
      </c>
      <c r="G604" s="10" t="s">
        <v>3275</v>
      </c>
      <c r="H604" s="35" t="s">
        <v>2394</v>
      </c>
    </row>
    <row r="605" spans="1:10" x14ac:dyDescent="0.3">
      <c r="A605" s="10" t="s">
        <v>6073</v>
      </c>
      <c r="B605" s="10" t="s">
        <v>9421</v>
      </c>
      <c r="C605" s="10" t="s">
        <v>2443</v>
      </c>
      <c r="D605" s="10" t="s">
        <v>3870</v>
      </c>
      <c r="E605" s="10" t="s">
        <v>6410</v>
      </c>
      <c r="F605" s="10" t="s">
        <v>5719</v>
      </c>
      <c r="G605" s="10" t="s">
        <v>6830</v>
      </c>
      <c r="H605" s="10" t="s">
        <v>5918</v>
      </c>
      <c r="I605" s="10"/>
      <c r="J605" s="10"/>
    </row>
    <row r="606" spans="1:10" x14ac:dyDescent="0.35">
      <c r="A606" s="27" t="s">
        <v>1935</v>
      </c>
      <c r="B606" s="27" t="s">
        <v>1939</v>
      </c>
      <c r="C606" s="28" t="s">
        <v>7656</v>
      </c>
      <c r="D606" s="28" t="s">
        <v>7439</v>
      </c>
      <c r="E606" s="27" t="s">
        <v>9484</v>
      </c>
      <c r="F606" s="27" t="s">
        <v>2809</v>
      </c>
    </row>
    <row r="607" spans="1:10" x14ac:dyDescent="0.35">
      <c r="A607" s="27" t="s">
        <v>6081</v>
      </c>
      <c r="B607" s="28" t="s">
        <v>4862</v>
      </c>
      <c r="C607" s="27" t="s">
        <v>4498</v>
      </c>
      <c r="D607" s="27" t="s">
        <v>6041</v>
      </c>
      <c r="E607" s="27" t="s">
        <v>5487</v>
      </c>
      <c r="F607" s="27" t="s">
        <v>4698</v>
      </c>
    </row>
    <row r="608" spans="1:10" x14ac:dyDescent="0.3">
      <c r="A608" s="10" t="s">
        <v>2098</v>
      </c>
      <c r="B608" s="10" t="s">
        <v>4941</v>
      </c>
      <c r="C608" s="10" t="s">
        <v>2816</v>
      </c>
      <c r="D608" s="10" t="s">
        <v>2825</v>
      </c>
      <c r="E608" s="10" t="s">
        <v>2809</v>
      </c>
      <c r="F608" s="10" t="s">
        <v>1678</v>
      </c>
      <c r="G608" s="10"/>
      <c r="H608" s="10"/>
      <c r="I608" s="10"/>
      <c r="J608" s="10"/>
    </row>
    <row r="609" spans="1:10" x14ac:dyDescent="0.3">
      <c r="A609" s="20" t="s">
        <v>988</v>
      </c>
      <c r="B609" s="10" t="s">
        <v>979</v>
      </c>
      <c r="C609" s="10" t="s">
        <v>985</v>
      </c>
      <c r="D609" s="10" t="s">
        <v>982</v>
      </c>
      <c r="E609" s="10"/>
      <c r="F609" s="10"/>
      <c r="G609" s="10"/>
      <c r="H609" s="10"/>
      <c r="I609" s="10"/>
      <c r="J609" s="10"/>
    </row>
    <row r="610" spans="1:10" x14ac:dyDescent="0.3">
      <c r="A610" s="27" t="s">
        <v>6089</v>
      </c>
      <c r="B610" s="27" t="s">
        <v>2851</v>
      </c>
      <c r="C610" s="27" t="s">
        <v>1490</v>
      </c>
    </row>
    <row r="611" spans="1:10" x14ac:dyDescent="0.35">
      <c r="A611" s="27" t="s">
        <v>4732</v>
      </c>
      <c r="B611" s="27" t="s">
        <v>3374</v>
      </c>
      <c r="C611" s="27" t="s">
        <v>34</v>
      </c>
      <c r="F611" s="28"/>
    </row>
    <row r="612" spans="1:10" s="10" customFormat="1" x14ac:dyDescent="0.3">
      <c r="A612" s="27" t="s">
        <v>690</v>
      </c>
      <c r="B612" s="27" t="s">
        <v>611</v>
      </c>
      <c r="C612" s="27" t="s">
        <v>615</v>
      </c>
      <c r="D612" s="27" t="s">
        <v>3593</v>
      </c>
      <c r="E612" s="27" t="s">
        <v>3818</v>
      </c>
      <c r="F612" s="27" t="s">
        <v>3862</v>
      </c>
      <c r="G612" s="27" t="s">
        <v>3908</v>
      </c>
      <c r="H612" s="27" t="s">
        <v>6450</v>
      </c>
      <c r="I612" s="27" t="s">
        <v>6778</v>
      </c>
      <c r="J612" s="27" t="s">
        <v>6228</v>
      </c>
    </row>
    <row r="613" spans="1:10" x14ac:dyDescent="0.3">
      <c r="A613" s="27" t="s">
        <v>4738</v>
      </c>
      <c r="B613" s="27" t="s">
        <v>5996</v>
      </c>
      <c r="C613" s="27" t="s">
        <v>4743</v>
      </c>
      <c r="D613" s="27" t="s">
        <v>4669</v>
      </c>
      <c r="E613" s="27" t="s">
        <v>5984</v>
      </c>
      <c r="F613" s="27" t="s">
        <v>6097</v>
      </c>
    </row>
    <row r="614" spans="1:10" x14ac:dyDescent="0.35">
      <c r="A614" s="27" t="s">
        <v>4743</v>
      </c>
      <c r="B614" s="28" t="s">
        <v>5996</v>
      </c>
      <c r="C614" s="28" t="s">
        <v>4738</v>
      </c>
      <c r="D614" s="27" t="s">
        <v>6216</v>
      </c>
    </row>
    <row r="615" spans="1:10" s="10" customFormat="1" x14ac:dyDescent="0.35">
      <c r="A615" s="27" t="s">
        <v>626</v>
      </c>
      <c r="B615" s="27" t="s">
        <v>6073</v>
      </c>
      <c r="C615" s="27" t="s">
        <v>847</v>
      </c>
      <c r="D615" s="28" t="s">
        <v>839</v>
      </c>
      <c r="E615" s="28" t="s">
        <v>843</v>
      </c>
      <c r="F615" s="28" t="s">
        <v>851</v>
      </c>
      <c r="G615" s="28" t="s">
        <v>855</v>
      </c>
      <c r="H615" s="28" t="s">
        <v>859</v>
      </c>
      <c r="I615" s="27" t="s">
        <v>4070</v>
      </c>
      <c r="J615" s="27" t="s">
        <v>6295</v>
      </c>
    </row>
    <row r="616" spans="1:10" x14ac:dyDescent="0.3">
      <c r="A616" s="27" t="s">
        <v>6102</v>
      </c>
      <c r="B616" s="27" t="s">
        <v>2876</v>
      </c>
      <c r="C616" s="27" t="s">
        <v>1490</v>
      </c>
      <c r="D616" s="27" t="s">
        <v>2867</v>
      </c>
      <c r="E616" s="27" t="s">
        <v>2080</v>
      </c>
      <c r="F616" s="27" t="s">
        <v>6928</v>
      </c>
    </row>
    <row r="617" spans="1:10" s="10" customFormat="1" x14ac:dyDescent="0.3">
      <c r="A617" s="10" t="s">
        <v>1157</v>
      </c>
      <c r="B617" s="10" t="s">
        <v>4392</v>
      </c>
      <c r="C617" s="10" t="s">
        <v>1340</v>
      </c>
      <c r="D617" s="35" t="s">
        <v>1598</v>
      </c>
      <c r="E617" s="10" t="s">
        <v>1678</v>
      </c>
      <c r="F617" s="35" t="s">
        <v>10047</v>
      </c>
      <c r="G617" s="10" t="s">
        <v>6920</v>
      </c>
    </row>
    <row r="618" spans="1:10" x14ac:dyDescent="0.3">
      <c r="A618" s="27" t="s">
        <v>4746</v>
      </c>
      <c r="B618" s="27" t="s">
        <v>3509</v>
      </c>
      <c r="C618" s="27" t="s">
        <v>2388</v>
      </c>
      <c r="D618" s="27" t="s">
        <v>876</v>
      </c>
      <c r="E618" s="27" t="s">
        <v>2160</v>
      </c>
      <c r="F618" s="27" t="s">
        <v>968</v>
      </c>
    </row>
    <row r="619" spans="1:10" x14ac:dyDescent="0.35">
      <c r="A619" s="27" t="s">
        <v>4750</v>
      </c>
      <c r="B619" s="28" t="s">
        <v>2133</v>
      </c>
      <c r="C619" s="27" t="s">
        <v>1169</v>
      </c>
      <c r="D619" s="27" t="s">
        <v>1939</v>
      </c>
    </row>
    <row r="620" spans="1:10" x14ac:dyDescent="0.3">
      <c r="A620" s="10" t="s">
        <v>6110</v>
      </c>
      <c r="B620" s="10" t="s">
        <v>7604</v>
      </c>
      <c r="C620" s="10" t="s">
        <v>82</v>
      </c>
      <c r="D620" s="10"/>
      <c r="E620" s="10"/>
      <c r="F620" s="10"/>
      <c r="G620" s="10"/>
      <c r="H620" s="10"/>
      <c r="I620" s="10"/>
      <c r="J620" s="10"/>
    </row>
    <row r="621" spans="1:10" x14ac:dyDescent="0.3">
      <c r="A621" s="27" t="s">
        <v>6118</v>
      </c>
      <c r="B621" s="27" t="s">
        <v>69</v>
      </c>
      <c r="C621" s="27" t="s">
        <v>1622</v>
      </c>
      <c r="D621" s="27" t="s">
        <v>5899</v>
      </c>
      <c r="E621" s="27" t="s">
        <v>5608</v>
      </c>
      <c r="F621" s="27" t="s">
        <v>1627</v>
      </c>
      <c r="G621" s="27" t="s">
        <v>1608</v>
      </c>
      <c r="H621" s="27" t="s">
        <v>7177</v>
      </c>
      <c r="I621" s="27" t="s">
        <v>1037</v>
      </c>
      <c r="J621" s="27" t="s">
        <v>6725</v>
      </c>
    </row>
    <row r="622" spans="1:10" x14ac:dyDescent="0.3">
      <c r="A622" s="10" t="s">
        <v>3114</v>
      </c>
      <c r="B622" s="10" t="s">
        <v>7601</v>
      </c>
      <c r="C622" s="10" t="s">
        <v>1846</v>
      </c>
      <c r="D622" s="10"/>
      <c r="E622" s="10"/>
      <c r="F622" s="10"/>
      <c r="G622" s="10"/>
      <c r="H622" s="10"/>
      <c r="I622" s="10"/>
      <c r="J622" s="10"/>
    </row>
    <row r="623" spans="1:10" s="10" customFormat="1" x14ac:dyDescent="0.3">
      <c r="A623" s="27" t="s">
        <v>1907</v>
      </c>
      <c r="B623" s="27" t="s">
        <v>1846</v>
      </c>
      <c r="C623" s="27" t="s">
        <v>2640</v>
      </c>
      <c r="D623" s="27" t="s">
        <v>6033</v>
      </c>
      <c r="E623" s="27" t="s">
        <v>5891</v>
      </c>
      <c r="F623" s="27" t="s">
        <v>6920</v>
      </c>
      <c r="G623" s="27" t="s">
        <v>3553</v>
      </c>
      <c r="H623" s="27"/>
      <c r="I623" s="27"/>
      <c r="J623" s="27"/>
    </row>
    <row r="624" spans="1:10" x14ac:dyDescent="0.35">
      <c r="A624" s="27" t="s">
        <v>4756</v>
      </c>
      <c r="B624" s="27" t="s">
        <v>1711</v>
      </c>
      <c r="C624" s="27" t="s">
        <v>5571</v>
      </c>
      <c r="D624" s="27" t="s">
        <v>4564</v>
      </c>
      <c r="E624" s="27" t="s">
        <v>7053</v>
      </c>
      <c r="F624" s="25" t="s">
        <v>2411</v>
      </c>
      <c r="G624" s="25" t="s">
        <v>9480</v>
      </c>
    </row>
    <row r="625" spans="1:10" x14ac:dyDescent="0.35">
      <c r="A625" s="27" t="s">
        <v>2268</v>
      </c>
      <c r="B625" s="27" t="s">
        <v>458</v>
      </c>
      <c r="C625" s="27" t="s">
        <v>4762</v>
      </c>
      <c r="D625" s="27" t="s">
        <v>6418</v>
      </c>
      <c r="E625" s="27" t="s">
        <v>3374</v>
      </c>
      <c r="F625" s="27" t="s">
        <v>2325</v>
      </c>
      <c r="G625" s="27" t="s">
        <v>6140</v>
      </c>
      <c r="H625" s="28" t="s">
        <v>6328</v>
      </c>
      <c r="I625" s="27" t="s">
        <v>6612</v>
      </c>
    </row>
    <row r="626" spans="1:10" s="10" customFormat="1" x14ac:dyDescent="0.3">
      <c r="A626" s="27" t="s">
        <v>4762</v>
      </c>
      <c r="B626" s="27" t="s">
        <v>3374</v>
      </c>
      <c r="C626" s="27" t="s">
        <v>2325</v>
      </c>
      <c r="D626" s="27" t="s">
        <v>2268</v>
      </c>
      <c r="E626" s="27" t="s">
        <v>6140</v>
      </c>
      <c r="F626" s="27" t="s">
        <v>6328</v>
      </c>
      <c r="G626" s="27" t="s">
        <v>6612</v>
      </c>
      <c r="H626" s="27" t="s">
        <v>6418</v>
      </c>
      <c r="I626" s="27"/>
      <c r="J626" s="27"/>
    </row>
    <row r="627" spans="1:10" x14ac:dyDescent="0.3">
      <c r="A627" s="27" t="s">
        <v>4770</v>
      </c>
      <c r="B627" s="27" t="s">
        <v>1029</v>
      </c>
      <c r="C627" s="27" t="s">
        <v>3121</v>
      </c>
      <c r="D627" s="27" t="s">
        <v>6787</v>
      </c>
      <c r="E627" s="27" t="s">
        <v>7032</v>
      </c>
      <c r="F627" s="27" t="s">
        <v>7167</v>
      </c>
    </row>
    <row r="628" spans="1:10" s="10" customFormat="1" x14ac:dyDescent="0.3">
      <c r="A628" s="10" t="s">
        <v>470</v>
      </c>
      <c r="B628" s="10" t="s">
        <v>473</v>
      </c>
      <c r="C628" s="10" t="s">
        <v>499</v>
      </c>
      <c r="D628" s="35" t="s">
        <v>490</v>
      </c>
      <c r="E628" s="10" t="s">
        <v>29</v>
      </c>
    </row>
    <row r="629" spans="1:10" s="10" customFormat="1" x14ac:dyDescent="0.35">
      <c r="A629" s="27" t="s">
        <v>4775</v>
      </c>
      <c r="B629" s="27" t="s">
        <v>9539</v>
      </c>
      <c r="C629" s="28" t="s">
        <v>4425</v>
      </c>
      <c r="D629" s="27" t="s">
        <v>968</v>
      </c>
      <c r="E629" s="27" t="s">
        <v>5989</v>
      </c>
      <c r="F629" s="27" t="s">
        <v>904</v>
      </c>
      <c r="G629" s="27" t="s">
        <v>908</v>
      </c>
      <c r="H629" s="27" t="s">
        <v>912</v>
      </c>
      <c r="I629" s="27"/>
      <c r="J629" s="27"/>
    </row>
    <row r="630" spans="1:10" x14ac:dyDescent="0.35">
      <c r="A630" s="27" t="s">
        <v>6122</v>
      </c>
      <c r="B630" s="27" t="s">
        <v>6073</v>
      </c>
      <c r="C630" s="28" t="s">
        <v>2611</v>
      </c>
      <c r="D630" s="27" t="s">
        <v>7621</v>
      </c>
      <c r="E630" s="27" t="s">
        <v>2851</v>
      </c>
      <c r="F630" s="27" t="s">
        <v>2173</v>
      </c>
    </row>
    <row r="631" spans="1:10" x14ac:dyDescent="0.3">
      <c r="A631" s="20" t="s">
        <v>458</v>
      </c>
      <c r="B631" s="10" t="s">
        <v>535</v>
      </c>
      <c r="C631" s="10" t="s">
        <v>544</v>
      </c>
      <c r="D631" s="10" t="s">
        <v>5835</v>
      </c>
      <c r="E631" s="10" t="s">
        <v>490</v>
      </c>
      <c r="F631" s="10" t="s">
        <v>481</v>
      </c>
      <c r="G631" s="10"/>
      <c r="H631" s="10"/>
      <c r="I631" s="10"/>
      <c r="J631" s="10"/>
    </row>
    <row r="632" spans="1:10" x14ac:dyDescent="0.3">
      <c r="A632" s="27" t="s">
        <v>4782</v>
      </c>
      <c r="B632" s="27" t="s">
        <v>415</v>
      </c>
      <c r="C632" s="27" t="s">
        <v>7036</v>
      </c>
      <c r="D632" s="27" t="s">
        <v>3601</v>
      </c>
      <c r="E632" s="27" t="s">
        <v>7392</v>
      </c>
    </row>
    <row r="633" spans="1:10" x14ac:dyDescent="0.3">
      <c r="A633" s="20" t="s">
        <v>7039</v>
      </c>
      <c r="B633" s="10" t="s">
        <v>4961</v>
      </c>
      <c r="C633" s="10" t="s">
        <v>3537</v>
      </c>
      <c r="D633" s="10" t="s">
        <v>3505</v>
      </c>
      <c r="E633" s="10" t="s">
        <v>7388</v>
      </c>
      <c r="F633" s="10"/>
      <c r="G633" s="10"/>
      <c r="H633" s="10"/>
      <c r="I633" s="10"/>
      <c r="J633" s="10"/>
    </row>
    <row r="634" spans="1:10" x14ac:dyDescent="0.3">
      <c r="A634" s="10" t="s">
        <v>1697</v>
      </c>
      <c r="B634" s="35" t="s">
        <v>5732</v>
      </c>
      <c r="C634" s="10"/>
      <c r="D634" s="10"/>
      <c r="E634" s="10"/>
      <c r="F634" s="10"/>
      <c r="G634" s="10"/>
      <c r="H634" s="10"/>
      <c r="I634" s="10"/>
      <c r="J634" s="10"/>
    </row>
    <row r="635" spans="1:10" s="10" customFormat="1" x14ac:dyDescent="0.35">
      <c r="A635" s="27" t="s">
        <v>2990</v>
      </c>
      <c r="B635" s="27" t="s">
        <v>4605</v>
      </c>
      <c r="C635" s="28" t="s">
        <v>2851</v>
      </c>
      <c r="D635" s="28" t="s">
        <v>900</v>
      </c>
      <c r="E635" s="27" t="s">
        <v>3368</v>
      </c>
      <c r="F635" s="27" t="s">
        <v>7607</v>
      </c>
      <c r="G635" s="27" t="s">
        <v>1617</v>
      </c>
      <c r="H635" s="27" t="s">
        <v>2898</v>
      </c>
      <c r="I635" s="27"/>
      <c r="J635" s="27"/>
    </row>
    <row r="636" spans="1:10" s="10" customFormat="1" x14ac:dyDescent="0.35">
      <c r="A636" s="27" t="s">
        <v>4789</v>
      </c>
      <c r="B636" s="27" t="s">
        <v>5957</v>
      </c>
      <c r="C636" s="27" t="s">
        <v>5660</v>
      </c>
      <c r="D636" s="28" t="s">
        <v>6129</v>
      </c>
      <c r="E636" s="27" t="s">
        <v>2160</v>
      </c>
      <c r="F636" s="27" t="s">
        <v>6374</v>
      </c>
      <c r="G636" s="27" t="s">
        <v>5152</v>
      </c>
      <c r="H636" s="27"/>
      <c r="I636" s="27"/>
      <c r="J636" s="27"/>
    </row>
    <row r="637" spans="1:10" x14ac:dyDescent="0.35">
      <c r="A637" s="27" t="s">
        <v>6129</v>
      </c>
      <c r="B637" s="27" t="s">
        <v>4789</v>
      </c>
      <c r="C637" s="28" t="s">
        <v>5957</v>
      </c>
      <c r="D637" s="27" t="s">
        <v>5660</v>
      </c>
      <c r="E637" s="27" t="s">
        <v>6374</v>
      </c>
      <c r="F637" s="27" t="s">
        <v>5152</v>
      </c>
    </row>
    <row r="638" spans="1:10" x14ac:dyDescent="0.35">
      <c r="A638" s="27" t="s">
        <v>4797</v>
      </c>
      <c r="B638" s="25" t="s">
        <v>6795</v>
      </c>
      <c r="C638" s="25" t="s">
        <v>7512</v>
      </c>
      <c r="D638" s="27" t="s">
        <v>458</v>
      </c>
      <c r="E638" s="27" t="s">
        <v>69</v>
      </c>
      <c r="F638" s="27" t="s">
        <v>2337</v>
      </c>
    </row>
    <row r="639" spans="1:10" x14ac:dyDescent="0.3">
      <c r="A639" s="27" t="s">
        <v>1950</v>
      </c>
      <c r="B639" s="27" t="s">
        <v>6014</v>
      </c>
      <c r="C639" s="27" t="s">
        <v>622</v>
      </c>
      <c r="D639" s="27" t="s">
        <v>4307</v>
      </c>
      <c r="E639" s="27" t="s">
        <v>4070</v>
      </c>
      <c r="F639" s="27" t="s">
        <v>670</v>
      </c>
      <c r="G639" s="27" t="s">
        <v>3908</v>
      </c>
      <c r="H639" s="27" t="s">
        <v>7716</v>
      </c>
    </row>
    <row r="640" spans="1:10" x14ac:dyDescent="0.3">
      <c r="A640" s="10" t="s">
        <v>2143</v>
      </c>
      <c r="B640" s="10" t="s">
        <v>7601</v>
      </c>
      <c r="C640" s="10" t="s">
        <v>2133</v>
      </c>
      <c r="D640" s="10" t="s">
        <v>6928</v>
      </c>
      <c r="E640" s="10" t="s">
        <v>3710</v>
      </c>
      <c r="F640" s="10" t="s">
        <v>3262</v>
      </c>
      <c r="G640" s="10" t="s">
        <v>1568</v>
      </c>
      <c r="H640" s="10" t="s">
        <v>6379</v>
      </c>
      <c r="I640" s="10" t="s">
        <v>9729</v>
      </c>
      <c r="J640" s="10" t="s">
        <v>10108</v>
      </c>
    </row>
    <row r="641" spans="1:10" x14ac:dyDescent="0.3">
      <c r="A641" s="20" t="s">
        <v>4805</v>
      </c>
      <c r="B641" s="10" t="s">
        <v>5033</v>
      </c>
      <c r="C641" s="35" t="s">
        <v>2437</v>
      </c>
      <c r="D641" s="10"/>
      <c r="E641" s="10"/>
      <c r="F641" s="10"/>
      <c r="G641" s="10"/>
      <c r="H641" s="10"/>
      <c r="I641" s="10"/>
      <c r="J641" s="10"/>
    </row>
    <row r="642" spans="1:10" x14ac:dyDescent="0.35">
      <c r="A642" s="27" t="s">
        <v>6133</v>
      </c>
      <c r="B642" s="28" t="s">
        <v>2012</v>
      </c>
      <c r="C642" s="28" t="s">
        <v>2361</v>
      </c>
      <c r="D642" s="28" t="s">
        <v>2365</v>
      </c>
      <c r="E642" s="28" t="s">
        <v>1051</v>
      </c>
      <c r="F642" s="28" t="s">
        <v>7046</v>
      </c>
      <c r="G642" s="27" t="s">
        <v>5849</v>
      </c>
      <c r="H642" s="27" t="s">
        <v>4009</v>
      </c>
      <c r="I642" s="27" t="s">
        <v>242</v>
      </c>
    </row>
    <row r="643" spans="1:10" x14ac:dyDescent="0.3">
      <c r="A643" s="27" t="s">
        <v>4813</v>
      </c>
      <c r="B643" s="27" t="s">
        <v>6890</v>
      </c>
      <c r="C643" s="27" t="s">
        <v>5471</v>
      </c>
      <c r="D643" s="27" t="s">
        <v>5199</v>
      </c>
    </row>
    <row r="644" spans="1:10" x14ac:dyDescent="0.3">
      <c r="A644" s="27" t="s">
        <v>6140</v>
      </c>
      <c r="B644" s="27" t="s">
        <v>4762</v>
      </c>
      <c r="C644" s="27" t="s">
        <v>2268</v>
      </c>
      <c r="D644" s="27" t="s">
        <v>2325</v>
      </c>
      <c r="E644" s="27" t="s">
        <v>6418</v>
      </c>
      <c r="F644" s="27" t="s">
        <v>3374</v>
      </c>
      <c r="G644" s="27" t="s">
        <v>6612</v>
      </c>
    </row>
    <row r="645" spans="1:10" s="10" customFormat="1" x14ac:dyDescent="0.3">
      <c r="A645" s="27" t="s">
        <v>7046</v>
      </c>
      <c r="B645" s="27" t="s">
        <v>5849</v>
      </c>
      <c r="C645" s="27" t="s">
        <v>6133</v>
      </c>
      <c r="D645" s="27" t="s">
        <v>4009</v>
      </c>
      <c r="E645" s="27" t="s">
        <v>1069</v>
      </c>
      <c r="F645" s="27" t="s">
        <v>1051</v>
      </c>
      <c r="G645" s="27"/>
      <c r="H645" s="27"/>
      <c r="I645" s="27"/>
      <c r="J645" s="27"/>
    </row>
    <row r="646" spans="1:10" x14ac:dyDescent="0.3">
      <c r="A646" s="27" t="s">
        <v>6148</v>
      </c>
      <c r="B646" s="27" t="s">
        <v>6258</v>
      </c>
      <c r="C646" s="27" t="s">
        <v>69</v>
      </c>
      <c r="D646" s="27" t="s">
        <v>410</v>
      </c>
      <c r="E646" s="27" t="s">
        <v>3313</v>
      </c>
      <c r="F646" s="27" t="s">
        <v>3332</v>
      </c>
    </row>
    <row r="647" spans="1:10" s="10" customFormat="1" x14ac:dyDescent="0.35">
      <c r="A647" s="27" t="s">
        <v>4821</v>
      </c>
      <c r="B647" s="28" t="s">
        <v>3114</v>
      </c>
      <c r="C647" s="28" t="s">
        <v>6554</v>
      </c>
      <c r="D647" s="28" t="s">
        <v>2296</v>
      </c>
      <c r="E647" s="28" t="s">
        <v>4528</v>
      </c>
      <c r="F647" s="27" t="s">
        <v>7522</v>
      </c>
      <c r="G647" s="27" t="s">
        <v>1931</v>
      </c>
      <c r="H647" s="27" t="s">
        <v>5256</v>
      </c>
      <c r="I647" s="27"/>
      <c r="J647" s="27"/>
    </row>
    <row r="648" spans="1:10" x14ac:dyDescent="0.35">
      <c r="A648" s="27" t="s">
        <v>4829</v>
      </c>
      <c r="B648" s="28" t="s">
        <v>1209</v>
      </c>
      <c r="C648" s="28" t="s">
        <v>1678</v>
      </c>
      <c r="D648" s="27" t="s">
        <v>6956</v>
      </c>
      <c r="E648" s="27" t="s">
        <v>6737</v>
      </c>
    </row>
    <row r="649" spans="1:10" x14ac:dyDescent="0.3">
      <c r="A649" s="27" t="s">
        <v>4837</v>
      </c>
      <c r="B649" s="27" t="s">
        <v>4756</v>
      </c>
      <c r="C649" s="27" t="s">
        <v>1711</v>
      </c>
    </row>
    <row r="650" spans="1:10" x14ac:dyDescent="0.3">
      <c r="A650" s="10" t="s">
        <v>4842</v>
      </c>
      <c r="B650" s="10" t="s">
        <v>82</v>
      </c>
      <c r="C650" s="10" t="s">
        <v>2098</v>
      </c>
      <c r="D650" s="10" t="s">
        <v>4438</v>
      </c>
      <c r="E650" s="10" t="s">
        <v>4941</v>
      </c>
      <c r="F650" s="10"/>
      <c r="G650" s="10"/>
      <c r="H650" s="10"/>
      <c r="I650" s="10"/>
      <c r="J650" s="10"/>
    </row>
    <row r="651" spans="1:10" s="10" customFormat="1" x14ac:dyDescent="0.3">
      <c r="A651" s="27" t="s">
        <v>6156</v>
      </c>
      <c r="B651" s="27" t="s">
        <v>34</v>
      </c>
      <c r="C651" s="27" t="s">
        <v>5297</v>
      </c>
      <c r="D651" s="27" t="s">
        <v>6379</v>
      </c>
      <c r="E651" s="27" t="s">
        <v>6166</v>
      </c>
      <c r="F651" s="27" t="s">
        <v>7646</v>
      </c>
      <c r="G651" s="27"/>
      <c r="H651" s="27"/>
      <c r="I651" s="27"/>
      <c r="J651" s="27"/>
    </row>
    <row r="652" spans="1:10" x14ac:dyDescent="0.3">
      <c r="A652" s="10" t="s">
        <v>4846</v>
      </c>
      <c r="B652" s="10" t="s">
        <v>1617</v>
      </c>
      <c r="C652" s="35" t="s">
        <v>6302</v>
      </c>
      <c r="D652" s="35" t="s">
        <v>1669</v>
      </c>
      <c r="E652" s="10" t="s">
        <v>6737</v>
      </c>
      <c r="F652" s="10" t="s">
        <v>6956</v>
      </c>
      <c r="G652" s="10" t="s">
        <v>5853</v>
      </c>
      <c r="H652" s="10"/>
      <c r="I652" s="10"/>
      <c r="J652" s="10"/>
    </row>
    <row r="653" spans="1:10" s="10" customFormat="1" x14ac:dyDescent="0.3">
      <c r="A653" s="27" t="s">
        <v>6162</v>
      </c>
      <c r="B653" s="27" t="s">
        <v>3455</v>
      </c>
      <c r="C653" s="27" t="s">
        <v>1736</v>
      </c>
      <c r="D653" s="27" t="s">
        <v>9625</v>
      </c>
      <c r="E653" s="27" t="s">
        <v>1758</v>
      </c>
      <c r="F653" s="27" t="s">
        <v>7238</v>
      </c>
      <c r="G653" s="27"/>
      <c r="H653" s="27"/>
      <c r="I653" s="27"/>
      <c r="J653" s="27"/>
    </row>
    <row r="654" spans="1:10" s="10" customFormat="1" x14ac:dyDescent="0.35">
      <c r="A654" s="27" t="s">
        <v>6166</v>
      </c>
      <c r="B654" s="27" t="s">
        <v>6379</v>
      </c>
      <c r="C654" s="28" t="s">
        <v>5434</v>
      </c>
      <c r="D654" s="27" t="s">
        <v>7646</v>
      </c>
      <c r="E654" s="27"/>
      <c r="F654" s="27"/>
      <c r="G654" s="27"/>
      <c r="H654" s="27"/>
      <c r="I654" s="27"/>
      <c r="J654" s="27"/>
    </row>
    <row r="655" spans="1:10" x14ac:dyDescent="0.3">
      <c r="A655" s="27" t="s">
        <v>4854</v>
      </c>
      <c r="B655" s="27" t="s">
        <v>1669</v>
      </c>
      <c r="C655" s="27" t="s">
        <v>1656</v>
      </c>
      <c r="D655" s="27" t="s">
        <v>1639</v>
      </c>
    </row>
    <row r="656" spans="1:10" x14ac:dyDescent="0.3">
      <c r="A656" s="10" t="s">
        <v>2816</v>
      </c>
      <c r="B656" s="10" t="s">
        <v>1648</v>
      </c>
      <c r="C656" s="35" t="s">
        <v>2809</v>
      </c>
      <c r="D656" s="35" t="s">
        <v>4977</v>
      </c>
      <c r="E656" s="10" t="s">
        <v>7429</v>
      </c>
      <c r="F656" s="10" t="s">
        <v>2825</v>
      </c>
      <c r="G656" s="10" t="s">
        <v>2012</v>
      </c>
      <c r="H656" s="10" t="s">
        <v>2048</v>
      </c>
      <c r="I656" s="10" t="s">
        <v>2055</v>
      </c>
      <c r="J656" s="10"/>
    </row>
    <row r="657" spans="1:10" s="10" customFormat="1" x14ac:dyDescent="0.35">
      <c r="A657" s="27" t="s">
        <v>6174</v>
      </c>
      <c r="B657" s="27" t="s">
        <v>4650</v>
      </c>
      <c r="C657" s="27" t="s">
        <v>6328</v>
      </c>
      <c r="D657" s="25" t="s">
        <v>9483</v>
      </c>
      <c r="E657" s="25" t="s">
        <v>2329</v>
      </c>
      <c r="F657" s="25" t="s">
        <v>2802</v>
      </c>
      <c r="G657" s="25" t="s">
        <v>2962</v>
      </c>
      <c r="H657" s="25" t="s">
        <v>2998</v>
      </c>
      <c r="I657" s="27"/>
      <c r="J657" s="27"/>
    </row>
    <row r="658" spans="1:10" x14ac:dyDescent="0.3">
      <c r="A658" s="10" t="s">
        <v>6178</v>
      </c>
      <c r="B658" s="35" t="s">
        <v>702</v>
      </c>
      <c r="C658" s="10" t="s">
        <v>6222</v>
      </c>
      <c r="D658" s="10" t="s">
        <v>6920</v>
      </c>
      <c r="E658" s="10"/>
      <c r="F658" s="10"/>
      <c r="G658" s="10"/>
      <c r="H658" s="10"/>
      <c r="I658" s="10"/>
      <c r="J658" s="10"/>
    </row>
    <row r="659" spans="1:10" x14ac:dyDescent="0.3">
      <c r="A659" s="10" t="s">
        <v>4862</v>
      </c>
      <c r="B659" s="10" t="s">
        <v>1661</v>
      </c>
      <c r="C659" s="10" t="s">
        <v>6041</v>
      </c>
      <c r="D659" s="10" t="s">
        <v>5911</v>
      </c>
      <c r="E659" s="10" t="s">
        <v>2573</v>
      </c>
      <c r="F659" s="10" t="s">
        <v>6081</v>
      </c>
      <c r="G659" s="10"/>
      <c r="H659" s="10"/>
      <c r="I659" s="10"/>
      <c r="J659" s="10"/>
    </row>
    <row r="660" spans="1:10" x14ac:dyDescent="0.35">
      <c r="A660" s="27" t="s">
        <v>4870</v>
      </c>
      <c r="B660" s="27" t="s">
        <v>6863</v>
      </c>
      <c r="C660" s="27" t="s">
        <v>7656</v>
      </c>
      <c r="D660" s="28" t="s">
        <v>7439</v>
      </c>
    </row>
    <row r="661" spans="1:10" s="10" customFormat="1" x14ac:dyDescent="0.35">
      <c r="A661" s="27" t="s">
        <v>9722</v>
      </c>
      <c r="B661" s="25" t="s">
        <v>7103</v>
      </c>
      <c r="C661" s="27" t="s">
        <v>3608</v>
      </c>
      <c r="D661" s="27" t="s">
        <v>6698</v>
      </c>
      <c r="E661" s="27" t="s">
        <v>5774</v>
      </c>
      <c r="F661" s="27" t="s">
        <v>3772</v>
      </c>
      <c r="G661" s="27"/>
      <c r="H661" s="27"/>
      <c r="I661" s="27"/>
      <c r="J661" s="27"/>
    </row>
    <row r="662" spans="1:10" s="10" customFormat="1" x14ac:dyDescent="0.3">
      <c r="A662" s="10" t="s">
        <v>4878</v>
      </c>
      <c r="B662" s="10" t="s">
        <v>6578</v>
      </c>
      <c r="C662" s="10" t="s">
        <v>3267</v>
      </c>
      <c r="D662" s="10" t="s">
        <v>3292</v>
      </c>
      <c r="E662" s="10" t="s">
        <v>2123</v>
      </c>
    </row>
    <row r="663" spans="1:10" x14ac:dyDescent="0.3">
      <c r="A663" s="27" t="s">
        <v>6181</v>
      </c>
      <c r="B663" s="27" t="s">
        <v>1032</v>
      </c>
      <c r="C663" s="27" t="s">
        <v>3114</v>
      </c>
      <c r="D663" s="27" t="s">
        <v>1169</v>
      </c>
      <c r="E663" s="27" t="s">
        <v>1216</v>
      </c>
      <c r="F663" s="27" t="s">
        <v>1212</v>
      </c>
      <c r="G663" s="27" t="s">
        <v>1229</v>
      </c>
      <c r="H663" s="27" t="s">
        <v>6140</v>
      </c>
      <c r="I663" s="27" t="s">
        <v>1175</v>
      </c>
    </row>
    <row r="664" spans="1:10" s="10" customFormat="1" x14ac:dyDescent="0.3">
      <c r="A664" s="27" t="s">
        <v>6188</v>
      </c>
      <c r="B664" s="27" t="s">
        <v>5882</v>
      </c>
      <c r="C664" s="27" t="s">
        <v>5668</v>
      </c>
      <c r="D664" s="27" t="s">
        <v>3663</v>
      </c>
      <c r="E664" s="27" t="s">
        <v>5092</v>
      </c>
      <c r="F664" s="27" t="s">
        <v>6493</v>
      </c>
      <c r="G664" s="27"/>
      <c r="H664" s="27"/>
      <c r="I664" s="27"/>
      <c r="J664" s="27"/>
    </row>
    <row r="665" spans="1:10" s="10" customFormat="1" x14ac:dyDescent="0.3">
      <c r="A665" s="27" t="s">
        <v>2637</v>
      </c>
      <c r="B665" s="27" t="s">
        <v>5256</v>
      </c>
      <c r="C665" s="27" t="s">
        <v>5719</v>
      </c>
      <c r="D665" s="27" t="s">
        <v>6410</v>
      </c>
      <c r="E665" s="27" t="s">
        <v>5672</v>
      </c>
      <c r="F665" s="27"/>
      <c r="G665" s="27"/>
      <c r="H665" s="27"/>
      <c r="I665" s="27"/>
      <c r="J665" s="27"/>
    </row>
    <row r="666" spans="1:10" x14ac:dyDescent="0.3">
      <c r="A666" s="10" t="s">
        <v>1857</v>
      </c>
      <c r="B666" s="10" t="s">
        <v>1846</v>
      </c>
      <c r="C666" s="10" t="s">
        <v>1335</v>
      </c>
      <c r="D666" s="10" t="s">
        <v>2825</v>
      </c>
      <c r="E666" s="10" t="s">
        <v>6920</v>
      </c>
      <c r="F666" s="10"/>
      <c r="G666" s="10"/>
      <c r="H666" s="10"/>
      <c r="I666" s="10"/>
      <c r="J666" s="10"/>
    </row>
    <row r="667" spans="1:10" x14ac:dyDescent="0.3">
      <c r="A667" s="10" t="s">
        <v>1274</v>
      </c>
      <c r="B667" s="10" t="s">
        <v>1169</v>
      </c>
      <c r="C667" s="10" t="s">
        <v>1678</v>
      </c>
      <c r="D667" s="10" t="s">
        <v>6956</v>
      </c>
      <c r="E667" s="35" t="s">
        <v>2719</v>
      </c>
      <c r="F667" s="35" t="s">
        <v>2722</v>
      </c>
      <c r="G667" s="10"/>
      <c r="H667" s="10"/>
      <c r="I667" s="10"/>
      <c r="J667" s="10"/>
    </row>
    <row r="668" spans="1:10" s="10" customFormat="1" x14ac:dyDescent="0.3">
      <c r="A668" s="27" t="s">
        <v>1017</v>
      </c>
      <c r="B668" s="27" t="s">
        <v>7601</v>
      </c>
      <c r="C668" s="27" t="s">
        <v>1021</v>
      </c>
      <c r="D668" s="27" t="s">
        <v>1013</v>
      </c>
      <c r="E668" s="27"/>
      <c r="F668" s="27"/>
      <c r="G668" s="27"/>
      <c r="H668" s="27"/>
      <c r="I668" s="27"/>
      <c r="J668" s="27"/>
    </row>
    <row r="669" spans="1:10" s="10" customFormat="1" x14ac:dyDescent="0.3">
      <c r="A669" s="10" t="s">
        <v>1345</v>
      </c>
      <c r="B669" s="10" t="s">
        <v>242</v>
      </c>
      <c r="C669" s="10" t="s">
        <v>5853</v>
      </c>
      <c r="D669" s="35" t="s">
        <v>2350</v>
      </c>
      <c r="E669" s="10" t="s">
        <v>6920</v>
      </c>
      <c r="F669" s="10" t="s">
        <v>23</v>
      </c>
      <c r="G669" s="10" t="s">
        <v>3739</v>
      </c>
    </row>
    <row r="670" spans="1:10" s="10" customFormat="1" x14ac:dyDescent="0.3">
      <c r="A670" s="10" t="s">
        <v>2173</v>
      </c>
      <c r="B670" s="10" t="s">
        <v>458</v>
      </c>
      <c r="C670" s="10" t="s">
        <v>6721</v>
      </c>
      <c r="D670" s="35" t="s">
        <v>4597</v>
      </c>
      <c r="E670" s="10" t="s">
        <v>2111</v>
      </c>
      <c r="F670" s="10" t="s">
        <v>73</v>
      </c>
    </row>
    <row r="671" spans="1:10" s="10" customFormat="1" x14ac:dyDescent="0.35">
      <c r="A671" s="27" t="s">
        <v>4882</v>
      </c>
      <c r="B671" s="27" t="s">
        <v>3541</v>
      </c>
      <c r="C671" s="27" t="s">
        <v>3925</v>
      </c>
      <c r="D671" s="27" t="s">
        <v>4477</v>
      </c>
      <c r="E671" s="25" t="s">
        <v>2467</v>
      </c>
      <c r="F671" s="27"/>
      <c r="G671" s="27"/>
      <c r="H671" s="27"/>
      <c r="I671" s="27"/>
      <c r="J671" s="27"/>
    </row>
    <row r="672" spans="1:10" x14ac:dyDescent="0.3">
      <c r="A672" s="27" t="s">
        <v>4885</v>
      </c>
      <c r="B672" s="27" t="s">
        <v>3114</v>
      </c>
      <c r="C672" s="27" t="s">
        <v>3896</v>
      </c>
      <c r="D672" s="27" t="s">
        <v>4134</v>
      </c>
      <c r="E672" s="27" t="s">
        <v>6374</v>
      </c>
      <c r="F672" s="27" t="s">
        <v>4789</v>
      </c>
      <c r="G672" s="27" t="s">
        <v>6129</v>
      </c>
      <c r="H672" s="27" t="s">
        <v>6065</v>
      </c>
      <c r="I672" s="27" t="s">
        <v>5385</v>
      </c>
    </row>
    <row r="673" spans="1:10" x14ac:dyDescent="0.3">
      <c r="A673" s="10" t="s">
        <v>1852</v>
      </c>
      <c r="B673" s="10" t="s">
        <v>1846</v>
      </c>
      <c r="C673" s="10" t="s">
        <v>6920</v>
      </c>
      <c r="D673" s="10" t="s">
        <v>1603</v>
      </c>
      <c r="E673" s="10" t="s">
        <v>7612</v>
      </c>
      <c r="F673" s="10"/>
      <c r="G673" s="10"/>
      <c r="H673" s="10"/>
      <c r="I673" s="10"/>
      <c r="J673" s="10"/>
    </row>
    <row r="674" spans="1:10" x14ac:dyDescent="0.3">
      <c r="A674" s="20" t="s">
        <v>2276</v>
      </c>
      <c r="B674" s="35" t="s">
        <v>458</v>
      </c>
      <c r="C674" s="10" t="s">
        <v>1665</v>
      </c>
      <c r="D674" s="10" t="s">
        <v>1686</v>
      </c>
      <c r="E674" s="35" t="s">
        <v>6336</v>
      </c>
      <c r="F674" s="10" t="s">
        <v>1678</v>
      </c>
      <c r="G674" s="10" t="s">
        <v>1764</v>
      </c>
      <c r="H674" s="35" t="s">
        <v>2417</v>
      </c>
      <c r="I674" s="10"/>
      <c r="J674" s="10"/>
    </row>
    <row r="675" spans="1:10" x14ac:dyDescent="0.3">
      <c r="A675" s="10" t="s">
        <v>2089</v>
      </c>
      <c r="B675" s="10" t="s">
        <v>4295</v>
      </c>
      <c r="C675" s="10" t="s">
        <v>7627</v>
      </c>
      <c r="D675" s="10" t="s">
        <v>2851</v>
      </c>
      <c r="E675" s="10" t="s">
        <v>1627</v>
      </c>
      <c r="F675" s="10"/>
      <c r="G675" s="10"/>
      <c r="H675" s="10"/>
      <c r="I675" s="10"/>
      <c r="J675" s="10"/>
    </row>
    <row r="676" spans="1:10" x14ac:dyDescent="0.3">
      <c r="A676" s="10" t="s">
        <v>3350</v>
      </c>
      <c r="B676" s="10" t="s">
        <v>34</v>
      </c>
      <c r="C676" s="10" t="s">
        <v>7484</v>
      </c>
      <c r="D676" s="10" t="s">
        <v>3398</v>
      </c>
      <c r="E676" s="10" t="s">
        <v>2455</v>
      </c>
      <c r="F676" s="10"/>
      <c r="G676" s="10"/>
      <c r="H676" s="10"/>
      <c r="I676" s="10"/>
      <c r="J676" s="10"/>
    </row>
    <row r="677" spans="1:10" x14ac:dyDescent="0.35">
      <c r="A677" s="27" t="s">
        <v>6196</v>
      </c>
      <c r="B677" s="27" t="s">
        <v>5937</v>
      </c>
      <c r="C677" s="28" t="s">
        <v>3309</v>
      </c>
      <c r="D677" s="28" t="s">
        <v>5604</v>
      </c>
      <c r="E677" s="27" t="s">
        <v>1106</v>
      </c>
    </row>
    <row r="678" spans="1:10" x14ac:dyDescent="0.3">
      <c r="A678" s="27" t="s">
        <v>6192</v>
      </c>
      <c r="B678" s="27" t="s">
        <v>2333</v>
      </c>
      <c r="C678" s="27" t="s">
        <v>1833</v>
      </c>
      <c r="D678" s="27" t="s">
        <v>9459</v>
      </c>
      <c r="E678" s="27" t="s">
        <v>1398</v>
      </c>
      <c r="F678" s="27" t="s">
        <v>6122</v>
      </c>
    </row>
    <row r="679" spans="1:10" x14ac:dyDescent="0.3">
      <c r="A679" s="27" t="s">
        <v>2970</v>
      </c>
      <c r="B679" s="27" t="s">
        <v>3350</v>
      </c>
      <c r="C679" s="27" t="s">
        <v>2851</v>
      </c>
      <c r="D679" s="27" t="s">
        <v>2854</v>
      </c>
      <c r="E679" s="27" t="s">
        <v>3916</v>
      </c>
      <c r="F679" s="27" t="s">
        <v>7314</v>
      </c>
    </row>
    <row r="680" spans="1:10" s="10" customFormat="1" x14ac:dyDescent="0.3">
      <c r="A680" s="27" t="s">
        <v>4893</v>
      </c>
      <c r="B680" s="27" t="s">
        <v>7092</v>
      </c>
      <c r="C680" s="27" t="s">
        <v>7079</v>
      </c>
      <c r="D680" s="27" t="s">
        <v>3608</v>
      </c>
      <c r="E680" s="27"/>
      <c r="F680" s="27"/>
      <c r="G680" s="27"/>
      <c r="H680" s="27"/>
      <c r="I680" s="27"/>
      <c r="J680" s="27"/>
    </row>
    <row r="681" spans="1:10" x14ac:dyDescent="0.3">
      <c r="A681" s="27" t="s">
        <v>7079</v>
      </c>
      <c r="B681" s="27" t="s">
        <v>4893</v>
      </c>
      <c r="C681" s="27" t="s">
        <v>7092</v>
      </c>
      <c r="D681" s="27" t="s">
        <v>3608</v>
      </c>
    </row>
    <row r="682" spans="1:10" x14ac:dyDescent="0.3">
      <c r="A682" s="27" t="s">
        <v>4899</v>
      </c>
      <c r="B682" s="27" t="s">
        <v>416</v>
      </c>
      <c r="C682" s="27" t="s">
        <v>2260</v>
      </c>
      <c r="D682" s="27" t="s">
        <v>5698</v>
      </c>
    </row>
    <row r="683" spans="1:10" x14ac:dyDescent="0.35">
      <c r="A683" s="27" t="s">
        <v>4906</v>
      </c>
      <c r="B683" s="27" t="s">
        <v>6222</v>
      </c>
      <c r="C683" s="28" t="s">
        <v>5743</v>
      </c>
      <c r="D683" s="27" t="s">
        <v>702</v>
      </c>
      <c r="E683" s="25" t="s">
        <v>767</v>
      </c>
    </row>
    <row r="684" spans="1:10" s="10" customFormat="1" x14ac:dyDescent="0.35">
      <c r="A684" s="27" t="s">
        <v>4914</v>
      </c>
      <c r="B684" s="27" t="s">
        <v>4650</v>
      </c>
      <c r="C684" s="28" t="s">
        <v>5853</v>
      </c>
      <c r="D684" s="28" t="s">
        <v>4392</v>
      </c>
      <c r="E684" s="28" t="s">
        <v>1355</v>
      </c>
      <c r="F684" s="27"/>
      <c r="G684" s="27"/>
      <c r="H684" s="27"/>
      <c r="I684" s="27"/>
      <c r="J684" s="27"/>
    </row>
    <row r="685" spans="1:10" x14ac:dyDescent="0.3">
      <c r="A685" s="10" t="s">
        <v>1190</v>
      </c>
      <c r="B685" s="10" t="s">
        <v>1169</v>
      </c>
      <c r="C685" s="10" t="s">
        <v>278</v>
      </c>
      <c r="D685" s="10" t="s">
        <v>4502</v>
      </c>
      <c r="E685" s="35" t="s">
        <v>1598</v>
      </c>
      <c r="F685" s="35" t="s">
        <v>2929</v>
      </c>
      <c r="G685" s="35" t="s">
        <v>2935</v>
      </c>
      <c r="H685" s="35" t="s">
        <v>2939</v>
      </c>
      <c r="I685" s="10" t="s">
        <v>6920</v>
      </c>
      <c r="J685" s="10"/>
    </row>
    <row r="686" spans="1:10" x14ac:dyDescent="0.3">
      <c r="A686" s="30" t="s">
        <v>7082</v>
      </c>
    </row>
    <row r="687" spans="1:10" x14ac:dyDescent="0.3">
      <c r="A687" s="27" t="s">
        <v>4918</v>
      </c>
      <c r="B687" s="27" t="s">
        <v>5054</v>
      </c>
      <c r="C687" s="27" t="s">
        <v>34</v>
      </c>
      <c r="D687" s="27" t="s">
        <v>3156</v>
      </c>
      <c r="E687" s="27" t="s">
        <v>5580</v>
      </c>
      <c r="F687" s="27" t="s">
        <v>278</v>
      </c>
      <c r="G687" s="27" t="s">
        <v>2876</v>
      </c>
    </row>
    <row r="688" spans="1:10" x14ac:dyDescent="0.3">
      <c r="A688" s="27" t="s">
        <v>4926</v>
      </c>
      <c r="B688" s="27" t="s">
        <v>2830</v>
      </c>
      <c r="C688" s="27" t="s">
        <v>278</v>
      </c>
      <c r="D688" s="27" t="s">
        <v>1175</v>
      </c>
      <c r="E688" s="27" t="s">
        <v>1185</v>
      </c>
      <c r="F688" s="27" t="s">
        <v>2809</v>
      </c>
      <c r="G688" s="27" t="s">
        <v>1927</v>
      </c>
      <c r="H688" s="27" t="s">
        <v>1935</v>
      </c>
    </row>
    <row r="689" spans="1:10" x14ac:dyDescent="0.3">
      <c r="A689" s="20" t="s">
        <v>7121</v>
      </c>
      <c r="B689" s="35" t="s">
        <v>4370</v>
      </c>
      <c r="C689" s="10" t="s">
        <v>4038</v>
      </c>
      <c r="D689" s="10" t="s">
        <v>4083</v>
      </c>
      <c r="E689" s="10" t="s">
        <v>3447</v>
      </c>
      <c r="F689" s="10" t="s">
        <v>7580</v>
      </c>
      <c r="G689" s="35" t="s">
        <v>2543</v>
      </c>
      <c r="H689" s="10"/>
      <c r="I689" s="10"/>
      <c r="J689" s="10"/>
    </row>
    <row r="690" spans="1:10" x14ac:dyDescent="0.3">
      <c r="A690" s="30" t="s">
        <v>7124</v>
      </c>
    </row>
    <row r="691" spans="1:10" x14ac:dyDescent="0.3">
      <c r="A691" s="29" t="s">
        <v>7126</v>
      </c>
      <c r="B691" s="27" t="s">
        <v>4425</v>
      </c>
      <c r="C691" s="27" t="s">
        <v>9539</v>
      </c>
      <c r="D691" s="27" t="s">
        <v>7009</v>
      </c>
    </row>
    <row r="692" spans="1:10" s="10" customFormat="1" x14ac:dyDescent="0.3">
      <c r="A692" s="27" t="s">
        <v>4934</v>
      </c>
      <c r="B692" s="27" t="s">
        <v>4597</v>
      </c>
      <c r="C692" s="27" t="s">
        <v>2173</v>
      </c>
      <c r="D692" s="27" t="s">
        <v>3601</v>
      </c>
      <c r="E692" s="27" t="s">
        <v>7392</v>
      </c>
      <c r="F692" s="27"/>
      <c r="G692" s="27"/>
      <c r="H692" s="27"/>
      <c r="I692" s="27"/>
      <c r="J692" s="27"/>
    </row>
    <row r="693" spans="1:10" x14ac:dyDescent="0.3">
      <c r="A693" s="27" t="s">
        <v>920</v>
      </c>
      <c r="B693" s="27" t="s">
        <v>912</v>
      </c>
      <c r="C693" s="27" t="s">
        <v>936</v>
      </c>
      <c r="D693" s="27" t="s">
        <v>2809</v>
      </c>
      <c r="E693" s="27" t="s">
        <v>2816</v>
      </c>
      <c r="F693" s="27" t="s">
        <v>5872</v>
      </c>
      <c r="G693" s="27" t="s">
        <v>5876</v>
      </c>
      <c r="H693" s="27" t="s">
        <v>924</v>
      </c>
      <c r="I693" s="27" t="s">
        <v>928</v>
      </c>
      <c r="J693" s="27" t="s">
        <v>932</v>
      </c>
    </row>
    <row r="694" spans="1:10" x14ac:dyDescent="0.35">
      <c r="A694" s="27" t="s">
        <v>3394</v>
      </c>
      <c r="B694" s="28" t="s">
        <v>3374</v>
      </c>
      <c r="C694" s="28" t="s">
        <v>5293</v>
      </c>
      <c r="D694" s="27" t="s">
        <v>3878</v>
      </c>
      <c r="E694" s="25" t="s">
        <v>2329</v>
      </c>
      <c r="F694" s="27" t="s">
        <v>728</v>
      </c>
      <c r="G694" s="27" t="s">
        <v>3156</v>
      </c>
    </row>
    <row r="695" spans="1:10" x14ac:dyDescent="0.3">
      <c r="A695" s="27" t="s">
        <v>6204</v>
      </c>
      <c r="B695" s="27" t="s">
        <v>3419</v>
      </c>
      <c r="C695" s="27" t="s">
        <v>7020</v>
      </c>
      <c r="D695" s="27" t="s">
        <v>1833</v>
      </c>
      <c r="E695" s="27" t="s">
        <v>9459</v>
      </c>
    </row>
    <row r="696" spans="1:10" x14ac:dyDescent="0.3">
      <c r="A696" s="27" t="s">
        <v>6208</v>
      </c>
      <c r="B696" s="27" t="s">
        <v>5533</v>
      </c>
      <c r="C696" s="27" t="s">
        <v>5092</v>
      </c>
      <c r="D696" s="27" t="s">
        <v>6493</v>
      </c>
      <c r="E696" s="27" t="s">
        <v>7167</v>
      </c>
      <c r="F696" s="27" t="s">
        <v>7032</v>
      </c>
    </row>
    <row r="697" spans="1:10" x14ac:dyDescent="0.3">
      <c r="A697" s="10" t="s">
        <v>2220</v>
      </c>
      <c r="B697" s="10" t="s">
        <v>458</v>
      </c>
      <c r="C697" s="35" t="s">
        <v>6628</v>
      </c>
      <c r="D697" s="35" t="s">
        <v>6662</v>
      </c>
      <c r="E697" s="10" t="s">
        <v>3486</v>
      </c>
      <c r="F697" s="10"/>
      <c r="G697" s="10"/>
      <c r="H697" s="10"/>
      <c r="I697" s="10"/>
      <c r="J697" s="10"/>
    </row>
    <row r="698" spans="1:10" x14ac:dyDescent="0.3">
      <c r="A698" s="27" t="s">
        <v>4941</v>
      </c>
      <c r="B698" s="27" t="s">
        <v>6928</v>
      </c>
      <c r="C698" s="27" t="s">
        <v>4985</v>
      </c>
      <c r="D698" s="27" t="s">
        <v>5608</v>
      </c>
      <c r="E698" s="27" t="s">
        <v>2143</v>
      </c>
      <c r="F698" s="27" t="s">
        <v>5899</v>
      </c>
    </row>
    <row r="699" spans="1:10" x14ac:dyDescent="0.35">
      <c r="A699" s="27" t="s">
        <v>4949</v>
      </c>
      <c r="B699" s="27" t="s">
        <v>1718</v>
      </c>
      <c r="C699" s="25" t="s">
        <v>459</v>
      </c>
    </row>
    <row r="700" spans="1:10" s="10" customFormat="1" x14ac:dyDescent="0.3">
      <c r="A700" s="27" t="s">
        <v>4953</v>
      </c>
      <c r="B700" s="27" t="s">
        <v>5732</v>
      </c>
      <c r="C700" s="27" t="s">
        <v>4805</v>
      </c>
      <c r="D700" s="27" t="s">
        <v>4698</v>
      </c>
      <c r="E700" s="27" t="s">
        <v>1678</v>
      </c>
      <c r="F700" s="27" t="s">
        <v>69</v>
      </c>
      <c r="G700" s="27"/>
      <c r="H700" s="27"/>
      <c r="I700" s="27"/>
      <c r="J700" s="27"/>
    </row>
    <row r="701" spans="1:10" s="10" customFormat="1" x14ac:dyDescent="0.35">
      <c r="A701" s="27" t="s">
        <v>666</v>
      </c>
      <c r="B701" s="27" t="s">
        <v>642</v>
      </c>
      <c r="C701" s="28" t="s">
        <v>678</v>
      </c>
      <c r="D701" s="27" t="s">
        <v>6721</v>
      </c>
      <c r="E701" s="27" t="s">
        <v>4455</v>
      </c>
      <c r="F701" s="27" t="s">
        <v>6972</v>
      </c>
      <c r="G701" s="27" t="s">
        <v>634</v>
      </c>
      <c r="H701" s="27" t="s">
        <v>786</v>
      </c>
      <c r="I701" s="27" t="s">
        <v>686</v>
      </c>
      <c r="J701" s="27" t="s">
        <v>3959</v>
      </c>
    </row>
    <row r="702" spans="1:10" x14ac:dyDescent="0.35">
      <c r="A702" s="27" t="s">
        <v>6212</v>
      </c>
      <c r="B702" s="27" t="s">
        <v>5882</v>
      </c>
      <c r="C702" s="27" t="s">
        <v>4743</v>
      </c>
      <c r="D702" s="28" t="s">
        <v>6795</v>
      </c>
    </row>
    <row r="703" spans="1:10" x14ac:dyDescent="0.35">
      <c r="A703" s="27" t="s">
        <v>4957</v>
      </c>
      <c r="B703" s="27" t="s">
        <v>4477</v>
      </c>
      <c r="C703" s="27" t="s">
        <v>1718</v>
      </c>
      <c r="D703" s="27" t="s">
        <v>4882</v>
      </c>
      <c r="E703" s="25" t="s">
        <v>2491</v>
      </c>
      <c r="F703" s="27" t="s">
        <v>6266</v>
      </c>
    </row>
    <row r="704" spans="1:10" x14ac:dyDescent="0.35">
      <c r="A704" s="27" t="s">
        <v>4961</v>
      </c>
      <c r="B704" s="27" t="s">
        <v>6029</v>
      </c>
      <c r="C704" s="28" t="s">
        <v>3663</v>
      </c>
    </row>
    <row r="705" spans="1:10" x14ac:dyDescent="0.3">
      <c r="A705" s="10" t="s">
        <v>6216</v>
      </c>
      <c r="B705" s="35" t="s">
        <v>82</v>
      </c>
      <c r="C705" s="35" t="s">
        <v>4743</v>
      </c>
      <c r="D705" s="10"/>
      <c r="E705" s="10"/>
      <c r="F705" s="10"/>
      <c r="G705" s="10"/>
      <c r="H705" s="10"/>
      <c r="I705" s="10"/>
      <c r="J705" s="10"/>
    </row>
    <row r="706" spans="1:10" x14ac:dyDescent="0.3">
      <c r="A706" s="20" t="s">
        <v>4965</v>
      </c>
      <c r="B706" s="10" t="s">
        <v>6628</v>
      </c>
      <c r="C706" s="10" t="s">
        <v>2123</v>
      </c>
      <c r="D706" s="10" t="s">
        <v>6764</v>
      </c>
      <c r="E706" s="10" t="s">
        <v>7000</v>
      </c>
      <c r="F706" s="10" t="s">
        <v>5025</v>
      </c>
      <c r="G706" s="10"/>
      <c r="H706" s="10"/>
      <c r="I706" s="10"/>
      <c r="J706" s="10"/>
    </row>
    <row r="707" spans="1:10" x14ac:dyDescent="0.3">
      <c r="A707" s="27" t="s">
        <v>4969</v>
      </c>
      <c r="B707" s="27" t="s">
        <v>1169</v>
      </c>
      <c r="C707" s="27" t="s">
        <v>1212</v>
      </c>
      <c r="D707" s="27" t="s">
        <v>1216</v>
      </c>
      <c r="E707" s="27" t="s">
        <v>1229</v>
      </c>
      <c r="F707" s="27" t="s">
        <v>1204</v>
      </c>
      <c r="G707" s="27" t="s">
        <v>1293</v>
      </c>
      <c r="H707" s="27" t="s">
        <v>7516</v>
      </c>
      <c r="I707" s="27" t="s">
        <v>1238</v>
      </c>
    </row>
    <row r="708" spans="1:10" x14ac:dyDescent="0.3">
      <c r="A708" s="27" t="s">
        <v>4977</v>
      </c>
      <c r="B708" s="27" t="s">
        <v>2816</v>
      </c>
      <c r="C708" s="27" t="s">
        <v>1648</v>
      </c>
      <c r="D708" s="27" t="s">
        <v>1678</v>
      </c>
      <c r="E708" s="27" t="s">
        <v>5872</v>
      </c>
      <c r="F708" s="27" t="s">
        <v>5876</v>
      </c>
    </row>
    <row r="709" spans="1:10" x14ac:dyDescent="0.35">
      <c r="A709" s="27" t="s">
        <v>1911</v>
      </c>
      <c r="B709" s="27" t="s">
        <v>1846</v>
      </c>
      <c r="C709" s="27" t="s">
        <v>5195</v>
      </c>
      <c r="D709" s="28" t="s">
        <v>1517</v>
      </c>
      <c r="E709" s="28" t="s">
        <v>1521</v>
      </c>
      <c r="F709" s="27" t="s">
        <v>6920</v>
      </c>
      <c r="G709" s="27" t="s">
        <v>3553</v>
      </c>
    </row>
    <row r="710" spans="1:10" x14ac:dyDescent="0.3">
      <c r="A710" s="27" t="s">
        <v>4985</v>
      </c>
      <c r="B710" s="27" t="s">
        <v>4941</v>
      </c>
      <c r="C710" s="27" t="s">
        <v>69</v>
      </c>
      <c r="D710" s="27" t="s">
        <v>6928</v>
      </c>
      <c r="E710" s="27" t="s">
        <v>6320</v>
      </c>
      <c r="F710" s="27" t="s">
        <v>9630</v>
      </c>
      <c r="G710" s="27" t="s">
        <v>9631</v>
      </c>
    </row>
    <row r="711" spans="1:10" x14ac:dyDescent="0.35">
      <c r="A711" s="27" t="s">
        <v>4993</v>
      </c>
      <c r="B711" s="27" t="s">
        <v>3025</v>
      </c>
      <c r="C711" s="27" t="s">
        <v>9640</v>
      </c>
      <c r="D711" s="25" t="s">
        <v>2555</v>
      </c>
      <c r="E711" s="27" t="s">
        <v>3710</v>
      </c>
      <c r="F711" s="27" t="s">
        <v>9408</v>
      </c>
      <c r="G711" s="27" t="s">
        <v>2889</v>
      </c>
      <c r="H711" s="27" t="s">
        <v>2867</v>
      </c>
    </row>
    <row r="712" spans="1:10" x14ac:dyDescent="0.3">
      <c r="A712" s="27" t="s">
        <v>5000</v>
      </c>
      <c r="B712" s="27" t="s">
        <v>6010</v>
      </c>
      <c r="C712" s="27" t="s">
        <v>3463</v>
      </c>
      <c r="D712" s="27" t="s">
        <v>3947</v>
      </c>
      <c r="E712" s="27" t="s">
        <v>3772</v>
      </c>
      <c r="F712" s="27" t="s">
        <v>3608</v>
      </c>
    </row>
    <row r="713" spans="1:10" x14ac:dyDescent="0.35">
      <c r="A713" s="27" t="s">
        <v>6222</v>
      </c>
      <c r="B713" s="27" t="s">
        <v>6328</v>
      </c>
      <c r="C713" s="25" t="s">
        <v>9483</v>
      </c>
      <c r="D713" s="28" t="s">
        <v>760</v>
      </c>
      <c r="E713" s="27" t="s">
        <v>733</v>
      </c>
      <c r="F713" s="27" t="s">
        <v>9642</v>
      </c>
    </row>
    <row r="714" spans="1:10" x14ac:dyDescent="0.3">
      <c r="A714" s="27" t="s">
        <v>6228</v>
      </c>
      <c r="B714" s="27" t="s">
        <v>6778</v>
      </c>
      <c r="C714" s="27" t="s">
        <v>5918</v>
      </c>
      <c r="D714" s="27" t="s">
        <v>6830</v>
      </c>
      <c r="E714" s="27" t="s">
        <v>7142</v>
      </c>
      <c r="F714" s="27" t="s">
        <v>3870</v>
      </c>
      <c r="G714" s="27" t="s">
        <v>3862</v>
      </c>
      <c r="H714" s="27" t="s">
        <v>7591</v>
      </c>
    </row>
    <row r="715" spans="1:10" x14ac:dyDescent="0.3">
      <c r="A715" s="27" t="s">
        <v>5005</v>
      </c>
      <c r="B715" s="27" t="s">
        <v>2816</v>
      </c>
      <c r="C715" s="27" t="s">
        <v>5418</v>
      </c>
      <c r="D715" s="27" t="s">
        <v>7526</v>
      </c>
      <c r="E715" s="27" t="s">
        <v>5853</v>
      </c>
      <c r="F715" s="27" t="s">
        <v>5580</v>
      </c>
      <c r="G715" s="27" t="s">
        <v>2012</v>
      </c>
      <c r="H715" s="27" t="s">
        <v>278</v>
      </c>
      <c r="I715" s="27" t="s">
        <v>2237</v>
      </c>
      <c r="J715" s="27" t="s">
        <v>2864</v>
      </c>
    </row>
    <row r="716" spans="1:10" x14ac:dyDescent="0.35">
      <c r="A716" s="27" t="s">
        <v>5013</v>
      </c>
      <c r="B716" s="27" t="s">
        <v>2725</v>
      </c>
      <c r="C716" s="28" t="s">
        <v>9625</v>
      </c>
      <c r="D716" s="27" t="s">
        <v>1736</v>
      </c>
      <c r="E716" s="27" t="s">
        <v>7238</v>
      </c>
      <c r="F716" s="27" t="s">
        <v>4362</v>
      </c>
      <c r="G716" s="27" t="s">
        <v>4720</v>
      </c>
    </row>
    <row r="717" spans="1:10" x14ac:dyDescent="0.3">
      <c r="A717" s="27" t="s">
        <v>6235</v>
      </c>
      <c r="B717" s="27" t="s">
        <v>6073</v>
      </c>
      <c r="C717" s="27" t="s">
        <v>3419</v>
      </c>
      <c r="D717" s="27" t="s">
        <v>7020</v>
      </c>
      <c r="E717" s="27" t="s">
        <v>2737</v>
      </c>
      <c r="F717" s="27" t="s">
        <v>4166</v>
      </c>
      <c r="G717" s="27" t="s">
        <v>23</v>
      </c>
      <c r="H717" s="27" t="s">
        <v>6578</v>
      </c>
      <c r="I717" s="27" t="s">
        <v>7624</v>
      </c>
      <c r="J717" s="27" t="s">
        <v>1568</v>
      </c>
    </row>
    <row r="718" spans="1:10" x14ac:dyDescent="0.3">
      <c r="A718" s="27" t="s">
        <v>6239</v>
      </c>
      <c r="B718" s="27" t="s">
        <v>2777</v>
      </c>
      <c r="C718" s="27" t="s">
        <v>5899</v>
      </c>
      <c r="D718" s="27" t="s">
        <v>6795</v>
      </c>
      <c r="E718" s="27" t="s">
        <v>1037</v>
      </c>
      <c r="F718" s="27" t="s">
        <v>7432</v>
      </c>
      <c r="G718" s="27" t="s">
        <v>7177</v>
      </c>
    </row>
    <row r="719" spans="1:10" x14ac:dyDescent="0.3">
      <c r="A719" s="27" t="s">
        <v>6247</v>
      </c>
      <c r="B719" s="27" t="s">
        <v>7591</v>
      </c>
      <c r="C719" s="27" t="s">
        <v>4756</v>
      </c>
      <c r="D719" s="27" t="s">
        <v>1711</v>
      </c>
    </row>
    <row r="720" spans="1:10" x14ac:dyDescent="0.3">
      <c r="A720" s="27" t="s">
        <v>6251</v>
      </c>
      <c r="B720" s="27" t="s">
        <v>1622</v>
      </c>
      <c r="C720" s="27" t="s">
        <v>4271</v>
      </c>
      <c r="D720" s="27" t="s">
        <v>6118</v>
      </c>
    </row>
    <row r="721" spans="1:10" s="10" customFormat="1" x14ac:dyDescent="0.35">
      <c r="A721" s="27" t="s">
        <v>6255</v>
      </c>
      <c r="B721" s="28" t="s">
        <v>4627</v>
      </c>
      <c r="C721" s="27" t="s">
        <v>2160</v>
      </c>
      <c r="D721" s="27" t="s">
        <v>5957</v>
      </c>
      <c r="E721" s="27" t="s">
        <v>4789</v>
      </c>
      <c r="F721" s="27" t="s">
        <v>6129</v>
      </c>
      <c r="G721" s="27" t="s">
        <v>6374</v>
      </c>
      <c r="H721" s="27" t="s">
        <v>5152</v>
      </c>
      <c r="I721" s="27" t="s">
        <v>4134</v>
      </c>
      <c r="J721" s="27"/>
    </row>
    <row r="722" spans="1:10" x14ac:dyDescent="0.35">
      <c r="A722" s="27" t="s">
        <v>1323</v>
      </c>
      <c r="B722" s="27" t="s">
        <v>9624</v>
      </c>
      <c r="C722" s="27" t="s">
        <v>7255</v>
      </c>
      <c r="D722" s="27" t="s">
        <v>4969</v>
      </c>
      <c r="E722" s="28" t="s">
        <v>1303</v>
      </c>
      <c r="F722" s="27" t="s">
        <v>1248</v>
      </c>
      <c r="G722" s="27" t="s">
        <v>1190</v>
      </c>
    </row>
    <row r="723" spans="1:10" s="10" customFormat="1" x14ac:dyDescent="0.3">
      <c r="A723" s="27" t="s">
        <v>5017</v>
      </c>
      <c r="B723" s="27" t="s">
        <v>5989</v>
      </c>
      <c r="C723" s="27" t="s">
        <v>458</v>
      </c>
      <c r="D723" s="27" t="s">
        <v>6826</v>
      </c>
      <c r="E723" s="27" t="s">
        <v>2725</v>
      </c>
      <c r="F723" s="27" t="s">
        <v>29</v>
      </c>
      <c r="G723" s="27" t="s">
        <v>6162</v>
      </c>
      <c r="H723" s="27" t="s">
        <v>1736</v>
      </c>
      <c r="I723" s="27"/>
      <c r="J723" s="27"/>
    </row>
    <row r="724" spans="1:10" x14ac:dyDescent="0.3">
      <c r="A724" s="27" t="s">
        <v>5021</v>
      </c>
      <c r="B724" s="27" t="s">
        <v>9531</v>
      </c>
      <c r="C724" s="27" t="s">
        <v>2851</v>
      </c>
      <c r="D724" s="27" t="s">
        <v>5471</v>
      </c>
      <c r="E724" s="27" t="s">
        <v>9498</v>
      </c>
    </row>
    <row r="725" spans="1:10" x14ac:dyDescent="0.3">
      <c r="A725" s="10" t="s">
        <v>6258</v>
      </c>
      <c r="B725" s="10" t="s">
        <v>23</v>
      </c>
      <c r="C725" s="10" t="s">
        <v>6920</v>
      </c>
      <c r="D725" s="10" t="s">
        <v>782</v>
      </c>
      <c r="E725" s="10" t="s">
        <v>786</v>
      </c>
      <c r="F725" s="10" t="s">
        <v>746</v>
      </c>
      <c r="G725" s="10" t="s">
        <v>750</v>
      </c>
      <c r="H725" s="10" t="s">
        <v>756</v>
      </c>
      <c r="I725" s="10" t="s">
        <v>733</v>
      </c>
      <c r="J725" s="10"/>
    </row>
    <row r="726" spans="1:10" s="10" customFormat="1" x14ac:dyDescent="0.35">
      <c r="A726" s="27" t="s">
        <v>630</v>
      </c>
      <c r="B726" s="27" t="s">
        <v>4070</v>
      </c>
      <c r="C726" s="27" t="s">
        <v>638</v>
      </c>
      <c r="D726" s="27" t="s">
        <v>626</v>
      </c>
      <c r="E726" s="27" t="s">
        <v>7213</v>
      </c>
      <c r="F726" s="27" t="s">
        <v>1985</v>
      </c>
      <c r="G726" s="25" t="s">
        <v>1114</v>
      </c>
      <c r="H726" s="25" t="s">
        <v>1117</v>
      </c>
      <c r="I726" s="27" t="s">
        <v>5719</v>
      </c>
      <c r="J726" s="27" t="s">
        <v>642</v>
      </c>
    </row>
    <row r="727" spans="1:10" x14ac:dyDescent="0.3">
      <c r="A727" s="20" t="s">
        <v>5025</v>
      </c>
      <c r="B727" s="10" t="s">
        <v>6628</v>
      </c>
      <c r="C727" s="10" t="s">
        <v>2123</v>
      </c>
      <c r="D727" s="10" t="s">
        <v>6764</v>
      </c>
      <c r="E727" s="10" t="s">
        <v>7000</v>
      </c>
      <c r="F727" s="10" t="s">
        <v>3862</v>
      </c>
      <c r="G727" s="10" t="s">
        <v>4965</v>
      </c>
      <c r="H727" s="10"/>
      <c r="I727" s="10"/>
      <c r="J727" s="10"/>
    </row>
    <row r="728" spans="1:10" x14ac:dyDescent="0.35">
      <c r="A728" s="27" t="s">
        <v>6262</v>
      </c>
      <c r="B728" s="25" t="s">
        <v>3951</v>
      </c>
      <c r="C728" s="27" t="s">
        <v>3181</v>
      </c>
      <c r="D728" s="28" t="s">
        <v>3185</v>
      </c>
      <c r="E728" s="28" t="s">
        <v>3836</v>
      </c>
    </row>
    <row r="729" spans="1:10" x14ac:dyDescent="0.35">
      <c r="A729" s="27" t="s">
        <v>6266</v>
      </c>
      <c r="B729" s="27" t="s">
        <v>4882</v>
      </c>
      <c r="C729" s="27" t="s">
        <v>4477</v>
      </c>
      <c r="D729" s="25" t="s">
        <v>2467</v>
      </c>
      <c r="E729" s="27" t="s">
        <v>3439</v>
      </c>
    </row>
    <row r="730" spans="1:10" x14ac:dyDescent="0.3">
      <c r="A730" s="10" t="s">
        <v>2749</v>
      </c>
      <c r="B730" s="10" t="s">
        <v>6178</v>
      </c>
      <c r="C730" s="10" t="s">
        <v>6920</v>
      </c>
      <c r="D730" s="10" t="s">
        <v>23</v>
      </c>
      <c r="E730" s="10" t="s">
        <v>2204</v>
      </c>
      <c r="F730" s="10"/>
      <c r="G730" s="10"/>
      <c r="H730" s="10"/>
      <c r="I730" s="10"/>
      <c r="J730" s="10"/>
    </row>
    <row r="731" spans="1:10" x14ac:dyDescent="0.3">
      <c r="A731" s="27" t="s">
        <v>6271</v>
      </c>
      <c r="B731" s="27" t="s">
        <v>5533</v>
      </c>
      <c r="C731" s="27" t="s">
        <v>5092</v>
      </c>
      <c r="D731" s="27" t="s">
        <v>6493</v>
      </c>
      <c r="E731" s="27" t="s">
        <v>6029</v>
      </c>
    </row>
    <row r="732" spans="1:10" x14ac:dyDescent="0.3">
      <c r="A732" s="27" t="s">
        <v>6275</v>
      </c>
      <c r="B732" s="27" t="s">
        <v>7412</v>
      </c>
      <c r="C732" s="27" t="s">
        <v>3463</v>
      </c>
      <c r="D732" s="27" t="s">
        <v>9539</v>
      </c>
      <c r="E732" s="27" t="s">
        <v>4425</v>
      </c>
      <c r="F732" s="27" t="s">
        <v>4985</v>
      </c>
      <c r="G732" s="27" t="s">
        <v>4941</v>
      </c>
      <c r="H732" s="27" t="s">
        <v>6928</v>
      </c>
    </row>
    <row r="733" spans="1:10" x14ac:dyDescent="0.35">
      <c r="A733" s="27" t="s">
        <v>1414</v>
      </c>
      <c r="B733" s="27" t="s">
        <v>9459</v>
      </c>
      <c r="C733" s="28" t="s">
        <v>1833</v>
      </c>
      <c r="D733" s="25" t="s">
        <v>1394</v>
      </c>
    </row>
    <row r="734" spans="1:10" s="10" customFormat="1" x14ac:dyDescent="0.35">
      <c r="A734" s="27" t="s">
        <v>2998</v>
      </c>
      <c r="B734" s="27" t="s">
        <v>2851</v>
      </c>
      <c r="C734" s="28" t="s">
        <v>2777</v>
      </c>
      <c r="D734" s="28" t="s">
        <v>7432</v>
      </c>
      <c r="E734" s="27" t="s">
        <v>5309</v>
      </c>
      <c r="F734" s="27" t="s">
        <v>5732</v>
      </c>
      <c r="G734" s="27"/>
      <c r="H734" s="27"/>
      <c r="I734" s="27"/>
      <c r="J734" s="27"/>
    </row>
    <row r="735" spans="1:10" x14ac:dyDescent="0.3">
      <c r="A735" s="27" t="s">
        <v>421</v>
      </c>
      <c r="B735" s="27" t="s">
        <v>73</v>
      </c>
      <c r="C735" s="27" t="s">
        <v>630</v>
      </c>
    </row>
    <row r="736" spans="1:10" s="10" customFormat="1" x14ac:dyDescent="0.35">
      <c r="A736" s="27" t="s">
        <v>1773</v>
      </c>
      <c r="B736" s="27" t="s">
        <v>3836</v>
      </c>
      <c r="C736" s="27" t="s">
        <v>3181</v>
      </c>
      <c r="D736" s="27" t="s">
        <v>3185</v>
      </c>
      <c r="E736" s="27" t="s">
        <v>4044</v>
      </c>
      <c r="F736" s="27"/>
      <c r="G736" s="28"/>
      <c r="H736" s="27"/>
      <c r="I736" s="27"/>
      <c r="J736" s="27"/>
    </row>
    <row r="737" spans="1:10" s="10" customFormat="1" x14ac:dyDescent="0.35">
      <c r="A737" s="27" t="s">
        <v>6279</v>
      </c>
      <c r="B737" s="27" t="s">
        <v>1042</v>
      </c>
      <c r="C737" s="27" t="s">
        <v>5152</v>
      </c>
      <c r="D737" s="28" t="s">
        <v>2394</v>
      </c>
      <c r="E737" s="28" t="s">
        <v>1106</v>
      </c>
      <c r="F737" s="27" t="s">
        <v>1094</v>
      </c>
      <c r="G737" s="27" t="s">
        <v>9643</v>
      </c>
      <c r="H737" s="27"/>
      <c r="I737" s="27"/>
      <c r="J737" s="27"/>
    </row>
    <row r="738" spans="1:10" s="10" customFormat="1" x14ac:dyDescent="0.3">
      <c r="A738" s="10" t="s">
        <v>6283</v>
      </c>
      <c r="B738" s="10" t="s">
        <v>34</v>
      </c>
      <c r="C738" s="10" t="s">
        <v>3354</v>
      </c>
      <c r="D738" s="10" t="s">
        <v>3181</v>
      </c>
      <c r="E738" s="10" t="s">
        <v>817</v>
      </c>
      <c r="F738" s="10" t="s">
        <v>6481</v>
      </c>
      <c r="G738" s="37" t="s">
        <v>2405</v>
      </c>
      <c r="H738" s="10" t="s">
        <v>3836</v>
      </c>
    </row>
    <row r="739" spans="1:10" x14ac:dyDescent="0.35">
      <c r="A739" s="27" t="s">
        <v>6287</v>
      </c>
      <c r="B739" s="27" t="s">
        <v>5732</v>
      </c>
      <c r="C739" s="28" t="s">
        <v>5309</v>
      </c>
    </row>
    <row r="740" spans="1:10" s="10" customFormat="1" x14ac:dyDescent="0.3">
      <c r="A740" s="10" t="s">
        <v>1161</v>
      </c>
      <c r="B740" s="10" t="s">
        <v>23</v>
      </c>
      <c r="C740" s="10" t="s">
        <v>5853</v>
      </c>
      <c r="D740" s="10" t="s">
        <v>2304</v>
      </c>
      <c r="E740" s="10" t="s">
        <v>6920</v>
      </c>
    </row>
    <row r="741" spans="1:10" x14ac:dyDescent="0.3">
      <c r="A741" s="10" t="s">
        <v>5029</v>
      </c>
      <c r="B741" s="10" t="s">
        <v>6578</v>
      </c>
      <c r="C741" s="10" t="s">
        <v>544</v>
      </c>
      <c r="D741" s="35" t="s">
        <v>490</v>
      </c>
      <c r="E741" s="10" t="s">
        <v>3967</v>
      </c>
      <c r="F741" s="10" t="s">
        <v>3280</v>
      </c>
      <c r="G741" s="10"/>
      <c r="H741" s="10"/>
      <c r="I741" s="10"/>
      <c r="J741" s="10"/>
    </row>
    <row r="742" spans="1:10" x14ac:dyDescent="0.3">
      <c r="A742" s="10" t="s">
        <v>779</v>
      </c>
      <c r="B742" s="10" t="s">
        <v>34</v>
      </c>
      <c r="C742" s="10" t="s">
        <v>1678</v>
      </c>
      <c r="D742" s="10" t="s">
        <v>702</v>
      </c>
      <c r="E742" s="10" t="s">
        <v>2767</v>
      </c>
      <c r="F742" s="35" t="s">
        <v>767</v>
      </c>
      <c r="G742" s="10" t="s">
        <v>2770</v>
      </c>
      <c r="H742" s="10" t="s">
        <v>5331</v>
      </c>
      <c r="I742" s="10" t="s">
        <v>5076</v>
      </c>
      <c r="J742" s="10" t="s">
        <v>2773</v>
      </c>
    </row>
    <row r="743" spans="1:10" x14ac:dyDescent="0.35">
      <c r="A743" s="27" t="s">
        <v>5033</v>
      </c>
      <c r="B743" s="28" t="s">
        <v>4650</v>
      </c>
      <c r="C743" s="28" t="s">
        <v>4805</v>
      </c>
      <c r="D743" s="28" t="s">
        <v>1622</v>
      </c>
      <c r="E743" s="28" t="s">
        <v>1630</v>
      </c>
    </row>
    <row r="744" spans="1:10" s="10" customFormat="1" x14ac:dyDescent="0.3">
      <c r="A744" s="10" t="s">
        <v>1630</v>
      </c>
      <c r="B744" s="10" t="s">
        <v>5033</v>
      </c>
      <c r="C744" s="10" t="s">
        <v>4805</v>
      </c>
      <c r="D744" s="10" t="s">
        <v>1622</v>
      </c>
      <c r="E744" s="10" t="s">
        <v>69</v>
      </c>
    </row>
    <row r="745" spans="1:10" x14ac:dyDescent="0.3">
      <c r="A745" s="27" t="s">
        <v>2640</v>
      </c>
      <c r="B745" s="27" t="s">
        <v>4450</v>
      </c>
      <c r="C745" s="27" t="s">
        <v>2626</v>
      </c>
      <c r="D745" s="27" t="s">
        <v>4103</v>
      </c>
      <c r="E745" s="27" t="s">
        <v>5377</v>
      </c>
    </row>
    <row r="746" spans="1:10" s="10" customFormat="1" x14ac:dyDescent="0.35">
      <c r="A746" s="27" t="s">
        <v>5041</v>
      </c>
      <c r="B746" s="28" t="s">
        <v>4498</v>
      </c>
      <c r="C746" s="28" t="s">
        <v>2816</v>
      </c>
      <c r="D746" s="28" t="s">
        <v>2809</v>
      </c>
      <c r="E746" s="27" t="s">
        <v>9411</v>
      </c>
      <c r="F746" s="27" t="s">
        <v>884</v>
      </c>
      <c r="G746" s="27" t="s">
        <v>3944</v>
      </c>
      <c r="H746" s="27" t="s">
        <v>69</v>
      </c>
      <c r="I746" s="27"/>
      <c r="J746" s="27"/>
    </row>
    <row r="747" spans="1:10" x14ac:dyDescent="0.35">
      <c r="A747" s="27" t="s">
        <v>5046</v>
      </c>
      <c r="B747" s="28" t="s">
        <v>2640</v>
      </c>
      <c r="C747" s="27" t="s">
        <v>9652</v>
      </c>
      <c r="D747" s="27" t="s">
        <v>9653</v>
      </c>
      <c r="E747" s="27" t="s">
        <v>2851</v>
      </c>
      <c r="F747" s="27" t="s">
        <v>2839</v>
      </c>
      <c r="G747" s="27" t="s">
        <v>2861</v>
      </c>
      <c r="H747" s="27" t="s">
        <v>2864</v>
      </c>
      <c r="I747" s="27" t="s">
        <v>2857</v>
      </c>
    </row>
    <row r="748" spans="1:10" x14ac:dyDescent="0.3">
      <c r="A748" s="10" t="s">
        <v>2876</v>
      </c>
      <c r="B748" s="10" t="s">
        <v>2851</v>
      </c>
      <c r="C748" s="35" t="s">
        <v>82</v>
      </c>
      <c r="D748" s="10" t="s">
        <v>7621</v>
      </c>
      <c r="E748" s="10" t="s">
        <v>3463</v>
      </c>
      <c r="F748" s="10"/>
      <c r="G748" s="10"/>
      <c r="H748" s="10"/>
      <c r="I748" s="10"/>
      <c r="J748" s="10"/>
    </row>
    <row r="749" spans="1:10" s="10" customFormat="1" x14ac:dyDescent="0.35">
      <c r="A749" s="27" t="s">
        <v>6291</v>
      </c>
      <c r="B749" s="27" t="s">
        <v>4111</v>
      </c>
      <c r="C749" s="27" t="s">
        <v>1032</v>
      </c>
      <c r="D749" s="27" t="s">
        <v>6481</v>
      </c>
      <c r="E749" s="27"/>
      <c r="F749" s="27"/>
      <c r="G749" s="28"/>
      <c r="H749" s="27"/>
      <c r="I749" s="27"/>
      <c r="J749" s="27"/>
    </row>
    <row r="750" spans="1:10" x14ac:dyDescent="0.3">
      <c r="A750" s="10" t="s">
        <v>2080</v>
      </c>
      <c r="B750" s="10" t="s">
        <v>2876</v>
      </c>
      <c r="C750" s="10" t="s">
        <v>6513</v>
      </c>
      <c r="D750" s="10" t="s">
        <v>82</v>
      </c>
      <c r="E750" s="10" t="s">
        <v>34</v>
      </c>
      <c r="F750" s="10" t="s">
        <v>4166</v>
      </c>
      <c r="G750" s="10" t="s">
        <v>6928</v>
      </c>
      <c r="H750" s="10" t="s">
        <v>2851</v>
      </c>
      <c r="I750" s="10" t="s">
        <v>7621</v>
      </c>
      <c r="J750" s="10"/>
    </row>
    <row r="751" spans="1:10" x14ac:dyDescent="0.35">
      <c r="A751" s="27" t="s">
        <v>6295</v>
      </c>
      <c r="B751" s="28" t="s">
        <v>7500</v>
      </c>
      <c r="C751" s="27" t="s">
        <v>638</v>
      </c>
      <c r="D751" s="27" t="s">
        <v>4070</v>
      </c>
      <c r="E751" s="27" t="s">
        <v>3593</v>
      </c>
      <c r="F751" s="27" t="s">
        <v>607</v>
      </c>
      <c r="G751" s="27" t="s">
        <v>1954</v>
      </c>
      <c r="H751" s="28" t="s">
        <v>6010</v>
      </c>
      <c r="I751" s="25" t="s">
        <v>7189</v>
      </c>
      <c r="J751" s="27" t="s">
        <v>1013</v>
      </c>
    </row>
    <row r="752" spans="1:10" s="10" customFormat="1" x14ac:dyDescent="0.3">
      <c r="A752" s="27" t="s">
        <v>6302</v>
      </c>
      <c r="B752" s="27" t="s">
        <v>4846</v>
      </c>
      <c r="C752" s="27" t="s">
        <v>5853</v>
      </c>
      <c r="D752" s="27" t="s">
        <v>1617</v>
      </c>
      <c r="E752" s="27" t="s">
        <v>6737</v>
      </c>
      <c r="F752" s="27"/>
      <c r="G752" s="27"/>
      <c r="H752" s="27"/>
      <c r="I752" s="27"/>
      <c r="J752" s="27"/>
    </row>
    <row r="753" spans="1:10" s="10" customFormat="1" x14ac:dyDescent="0.3">
      <c r="A753" s="10" t="s">
        <v>6312</v>
      </c>
      <c r="B753" s="10" t="s">
        <v>544</v>
      </c>
      <c r="C753" s="10" t="s">
        <v>490</v>
      </c>
    </row>
    <row r="754" spans="1:10" x14ac:dyDescent="0.35">
      <c r="A754" s="27" t="s">
        <v>6320</v>
      </c>
      <c r="B754" s="27" t="s">
        <v>6928</v>
      </c>
      <c r="C754" s="28" t="s">
        <v>4985</v>
      </c>
      <c r="D754" s="28" t="s">
        <v>6920</v>
      </c>
      <c r="E754" s="27" t="s">
        <v>3553</v>
      </c>
      <c r="F754" s="27" t="s">
        <v>9631</v>
      </c>
      <c r="G754" s="27" t="s">
        <v>9630</v>
      </c>
      <c r="H754" s="27" t="s">
        <v>2143</v>
      </c>
      <c r="I754" s="27" t="s">
        <v>3262</v>
      </c>
      <c r="J754" s="27" t="s">
        <v>1568</v>
      </c>
    </row>
    <row r="755" spans="1:10" s="10" customFormat="1" x14ac:dyDescent="0.3">
      <c r="A755" s="27" t="s">
        <v>936</v>
      </c>
      <c r="B755" s="27" t="s">
        <v>912</v>
      </c>
      <c r="C755" s="27" t="s">
        <v>4743</v>
      </c>
      <c r="D755" s="27" t="s">
        <v>920</v>
      </c>
      <c r="E755" s="27" t="s">
        <v>924</v>
      </c>
      <c r="F755" s="27" t="s">
        <v>928</v>
      </c>
      <c r="G755" s="27" t="s">
        <v>932</v>
      </c>
      <c r="H755" s="27" t="s">
        <v>968</v>
      </c>
      <c r="I755" s="27" t="s">
        <v>908</v>
      </c>
      <c r="J755" s="27"/>
    </row>
    <row r="756" spans="1:10" x14ac:dyDescent="0.3">
      <c r="A756" s="10" t="s">
        <v>2048</v>
      </c>
      <c r="B756" s="10" t="s">
        <v>2012</v>
      </c>
      <c r="C756" s="10" t="s">
        <v>9411</v>
      </c>
      <c r="D756" s="10" t="s">
        <v>5872</v>
      </c>
      <c r="E756" s="10" t="s">
        <v>6920</v>
      </c>
      <c r="F756" s="10" t="s">
        <v>1648</v>
      </c>
      <c r="G756" s="10" t="s">
        <v>2365</v>
      </c>
      <c r="H756" s="10" t="s">
        <v>5876</v>
      </c>
      <c r="I756" s="10"/>
      <c r="J756" s="10"/>
    </row>
    <row r="757" spans="1:10" x14ac:dyDescent="0.3">
      <c r="A757" s="10" t="s">
        <v>1841</v>
      </c>
      <c r="B757" s="10" t="s">
        <v>1833</v>
      </c>
      <c r="C757" s="10" t="s">
        <v>73</v>
      </c>
      <c r="D757" s="10" t="s">
        <v>7381</v>
      </c>
      <c r="E757" s="10" t="s">
        <v>1406</v>
      </c>
      <c r="F757" s="10"/>
      <c r="G757" s="10"/>
      <c r="H757" s="10"/>
      <c r="I757" s="10"/>
      <c r="J757" s="10"/>
    </row>
    <row r="758" spans="1:10" x14ac:dyDescent="0.35">
      <c r="A758" s="27" t="s">
        <v>5054</v>
      </c>
      <c r="B758" s="28" t="s">
        <v>2549</v>
      </c>
      <c r="C758" s="28" t="s">
        <v>3164</v>
      </c>
      <c r="D758" s="28" t="s">
        <v>3156</v>
      </c>
      <c r="E758" s="28" t="s">
        <v>6964</v>
      </c>
      <c r="F758" s="27" t="s">
        <v>7508</v>
      </c>
      <c r="G758" s="27" t="s">
        <v>3149</v>
      </c>
    </row>
    <row r="759" spans="1:10" s="10" customFormat="1" x14ac:dyDescent="0.3">
      <c r="A759" s="10" t="s">
        <v>3129</v>
      </c>
      <c r="B759" s="35" t="s">
        <v>7601</v>
      </c>
      <c r="C759" s="10" t="s">
        <v>1021</v>
      </c>
      <c r="D759" s="35" t="s">
        <v>1013</v>
      </c>
      <c r="E759" s="10" t="s">
        <v>5911</v>
      </c>
      <c r="F759" s="35" t="s">
        <v>2361</v>
      </c>
    </row>
    <row r="760" spans="1:10" x14ac:dyDescent="0.3">
      <c r="A760" s="27" t="s">
        <v>5062</v>
      </c>
      <c r="B760" s="27" t="s">
        <v>6374</v>
      </c>
      <c r="C760" s="27" t="s">
        <v>5957</v>
      </c>
      <c r="D760" s="27" t="s">
        <v>4627</v>
      </c>
      <c r="E760" s="27" t="s">
        <v>2160</v>
      </c>
      <c r="F760" s="27" t="s">
        <v>1474</v>
      </c>
      <c r="G760" s="27" t="s">
        <v>1478</v>
      </c>
      <c r="H760" s="27" t="s">
        <v>2296</v>
      </c>
      <c r="I760" s="27" t="s">
        <v>4789</v>
      </c>
      <c r="J760" s="27" t="s">
        <v>6129</v>
      </c>
    </row>
    <row r="761" spans="1:10" x14ac:dyDescent="0.3">
      <c r="A761" s="27" t="s">
        <v>5066</v>
      </c>
      <c r="B761" s="27" t="s">
        <v>2048</v>
      </c>
      <c r="C761" s="27" t="s">
        <v>5588</v>
      </c>
      <c r="D761" s="27" t="s">
        <v>1581</v>
      </c>
      <c r="E761" s="27" t="s">
        <v>6258</v>
      </c>
    </row>
    <row r="762" spans="1:10" x14ac:dyDescent="0.3">
      <c r="A762" s="10" t="s">
        <v>2773</v>
      </c>
      <c r="B762" s="10" t="s">
        <v>2123</v>
      </c>
      <c r="C762" s="10" t="s">
        <v>2119</v>
      </c>
      <c r="D762" s="10" t="s">
        <v>5331</v>
      </c>
      <c r="E762" s="10" t="s">
        <v>702</v>
      </c>
      <c r="F762" s="10" t="s">
        <v>2767</v>
      </c>
      <c r="G762" s="35" t="s">
        <v>767</v>
      </c>
      <c r="H762" s="10" t="s">
        <v>2770</v>
      </c>
      <c r="I762" s="10" t="s">
        <v>5076</v>
      </c>
      <c r="J762" s="10" t="s">
        <v>9665</v>
      </c>
    </row>
    <row r="763" spans="1:10" x14ac:dyDescent="0.3">
      <c r="A763" s="27" t="s">
        <v>634</v>
      </c>
      <c r="B763" s="27" t="s">
        <v>2229</v>
      </c>
      <c r="C763" s="27" t="s">
        <v>2252</v>
      </c>
      <c r="D763" s="27" t="s">
        <v>642</v>
      </c>
      <c r="E763" s="27" t="s">
        <v>678</v>
      </c>
      <c r="F763" s="27" t="s">
        <v>666</v>
      </c>
      <c r="G763" s="27" t="s">
        <v>4070</v>
      </c>
      <c r="H763" s="27" t="s">
        <v>3593</v>
      </c>
      <c r="I763" s="27" t="s">
        <v>686</v>
      </c>
    </row>
    <row r="764" spans="1:10" x14ac:dyDescent="0.3">
      <c r="A764" s="27" t="s">
        <v>6328</v>
      </c>
      <c r="B764" s="27" t="s">
        <v>6222</v>
      </c>
      <c r="C764" s="27" t="s">
        <v>5287</v>
      </c>
      <c r="D764" s="27" t="s">
        <v>6964</v>
      </c>
      <c r="E764" s="27" t="s">
        <v>4762</v>
      </c>
      <c r="F764" s="27" t="s">
        <v>2268</v>
      </c>
    </row>
    <row r="765" spans="1:10" s="10" customFormat="1" x14ac:dyDescent="0.3">
      <c r="A765" s="27" t="s">
        <v>6336</v>
      </c>
      <c r="B765" s="27" t="s">
        <v>5732</v>
      </c>
      <c r="C765" s="27" t="s">
        <v>4134</v>
      </c>
      <c r="D765" s="27" t="s">
        <v>2160</v>
      </c>
      <c r="E765" s="27" t="s">
        <v>2894</v>
      </c>
      <c r="F765" s="27" t="s">
        <v>2276</v>
      </c>
      <c r="G765" s="27" t="s">
        <v>6374</v>
      </c>
      <c r="H765" s="27" t="s">
        <v>1474</v>
      </c>
      <c r="I765" s="27" t="s">
        <v>1478</v>
      </c>
      <c r="J765" s="27"/>
    </row>
    <row r="766" spans="1:10" s="10" customFormat="1" x14ac:dyDescent="0.35">
      <c r="A766" s="27" t="s">
        <v>6340</v>
      </c>
      <c r="B766" s="28" t="s">
        <v>1718</v>
      </c>
      <c r="C766" s="27" t="s">
        <v>3818</v>
      </c>
      <c r="D766" s="27" t="s">
        <v>3862</v>
      </c>
      <c r="E766" s="27"/>
      <c r="F766" s="27"/>
      <c r="G766" s="28"/>
      <c r="H766" s="27"/>
      <c r="I766" s="27"/>
      <c r="J766" s="27"/>
    </row>
    <row r="767" spans="1:10" x14ac:dyDescent="0.3">
      <c r="A767" s="27" t="s">
        <v>6344</v>
      </c>
      <c r="B767" s="27" t="s">
        <v>4743</v>
      </c>
      <c r="C767" s="27" t="s">
        <v>73</v>
      </c>
    </row>
    <row r="768" spans="1:10" x14ac:dyDescent="0.3">
      <c r="A768" s="10" t="s">
        <v>1340</v>
      </c>
      <c r="B768" s="10" t="s">
        <v>242</v>
      </c>
      <c r="C768" s="35" t="s">
        <v>2584</v>
      </c>
      <c r="D768" s="10" t="s">
        <v>1157</v>
      </c>
      <c r="E768" s="35" t="s">
        <v>3322</v>
      </c>
      <c r="F768" s="35" t="s">
        <v>3317</v>
      </c>
      <c r="G768" s="10"/>
      <c r="H768" s="10"/>
      <c r="I768" s="10"/>
      <c r="J768" s="10"/>
    </row>
    <row r="769" spans="1:10" s="10" customFormat="1" x14ac:dyDescent="0.3">
      <c r="A769" s="10" t="s">
        <v>904</v>
      </c>
      <c r="B769" s="10" t="s">
        <v>4775</v>
      </c>
      <c r="C769" s="10" t="s">
        <v>912</v>
      </c>
      <c r="D769" s="10" t="s">
        <v>908</v>
      </c>
      <c r="E769" s="10" t="s">
        <v>880</v>
      </c>
    </row>
    <row r="770" spans="1:10" x14ac:dyDescent="0.35">
      <c r="A770" s="27" t="s">
        <v>5070</v>
      </c>
      <c r="B770" s="25" t="s">
        <v>2394</v>
      </c>
      <c r="C770" s="27" t="s">
        <v>4374</v>
      </c>
      <c r="D770" s="27" t="s">
        <v>3951</v>
      </c>
      <c r="E770" s="27" t="s">
        <v>3553</v>
      </c>
      <c r="F770" s="27" t="s">
        <v>6920</v>
      </c>
    </row>
    <row r="771" spans="1:10" x14ac:dyDescent="0.35">
      <c r="A771" s="27" t="s">
        <v>6349</v>
      </c>
      <c r="B771" s="27" t="s">
        <v>5608</v>
      </c>
      <c r="C771" s="28" t="s">
        <v>69</v>
      </c>
      <c r="D771" s="28" t="s">
        <v>4941</v>
      </c>
      <c r="E771" s="27" t="s">
        <v>4985</v>
      </c>
      <c r="F771" s="27" t="s">
        <v>6928</v>
      </c>
      <c r="G771" s="27" t="s">
        <v>3463</v>
      </c>
      <c r="H771" s="27" t="s">
        <v>6275</v>
      </c>
      <c r="I771" s="27" t="s">
        <v>6320</v>
      </c>
      <c r="J771" s="27" t="s">
        <v>9630</v>
      </c>
    </row>
    <row r="772" spans="1:10" x14ac:dyDescent="0.3">
      <c r="A772" s="10" t="s">
        <v>1279</v>
      </c>
      <c r="B772" s="10" t="s">
        <v>1169</v>
      </c>
      <c r="C772" s="10" t="s">
        <v>6379</v>
      </c>
      <c r="D772" s="10" t="s">
        <v>4750</v>
      </c>
      <c r="E772" s="10" t="s">
        <v>3758</v>
      </c>
      <c r="F772" s="10" t="s">
        <v>7648</v>
      </c>
      <c r="G772" s="10"/>
      <c r="H772" s="10"/>
      <c r="I772" s="10"/>
      <c r="J772" s="10"/>
    </row>
    <row r="773" spans="1:10" x14ac:dyDescent="0.35">
      <c r="A773" s="27" t="s">
        <v>3152</v>
      </c>
      <c r="B773" s="28" t="s">
        <v>3168</v>
      </c>
      <c r="C773" s="28" t="s">
        <v>6328</v>
      </c>
      <c r="D773" s="28" t="s">
        <v>3173</v>
      </c>
      <c r="E773" s="27" t="s">
        <v>1678</v>
      </c>
      <c r="F773" s="27" t="s">
        <v>6964</v>
      </c>
    </row>
    <row r="774" spans="1:10" x14ac:dyDescent="0.3">
      <c r="A774" s="27" t="s">
        <v>3398</v>
      </c>
      <c r="B774" s="27" t="s">
        <v>2321</v>
      </c>
      <c r="C774" s="27" t="s">
        <v>3350</v>
      </c>
      <c r="D774" s="27" t="s">
        <v>7484</v>
      </c>
      <c r="E774" s="27" t="s">
        <v>6991</v>
      </c>
      <c r="F774" s="27" t="s">
        <v>3971</v>
      </c>
    </row>
    <row r="775" spans="1:10" x14ac:dyDescent="0.3">
      <c r="A775" s="27" t="s">
        <v>6357</v>
      </c>
      <c r="B775" s="27" t="s">
        <v>4899</v>
      </c>
      <c r="C775" s="27" t="s">
        <v>1372</v>
      </c>
      <c r="D775" s="27" t="s">
        <v>1376</v>
      </c>
      <c r="E775" s="27" t="s">
        <v>9664</v>
      </c>
      <c r="F775" s="27" t="s">
        <v>1383</v>
      </c>
      <c r="G775" s="27" t="s">
        <v>1368</v>
      </c>
    </row>
    <row r="776" spans="1:10" x14ac:dyDescent="0.35">
      <c r="A776" s="27" t="s">
        <v>5076</v>
      </c>
      <c r="B776" s="27" t="s">
        <v>6481</v>
      </c>
      <c r="C776" s="27" t="s">
        <v>2784</v>
      </c>
      <c r="D776" s="27" t="s">
        <v>2788</v>
      </c>
      <c r="E776" s="27" t="s">
        <v>1678</v>
      </c>
      <c r="F776" s="25" t="s">
        <v>2573</v>
      </c>
      <c r="G776" s="27" t="s">
        <v>9665</v>
      </c>
    </row>
    <row r="777" spans="1:10" x14ac:dyDescent="0.3">
      <c r="A777" s="27" t="s">
        <v>7309</v>
      </c>
      <c r="B777" s="27" t="s">
        <v>1703</v>
      </c>
      <c r="C777" s="27" t="s">
        <v>2725</v>
      </c>
      <c r="D777" s="27" t="s">
        <v>29</v>
      </c>
    </row>
    <row r="778" spans="1:10" x14ac:dyDescent="0.3">
      <c r="A778" s="27" t="s">
        <v>916</v>
      </c>
      <c r="B778" s="27" t="s">
        <v>4775</v>
      </c>
      <c r="C778" s="27" t="s">
        <v>912</v>
      </c>
      <c r="D778" s="27" t="s">
        <v>4961</v>
      </c>
    </row>
    <row r="779" spans="1:10" x14ac:dyDescent="0.3">
      <c r="A779" s="27" t="s">
        <v>5080</v>
      </c>
      <c r="B779" s="27" t="s">
        <v>3870</v>
      </c>
      <c r="C779" s="27" t="s">
        <v>6073</v>
      </c>
    </row>
    <row r="780" spans="1:10" s="10" customFormat="1" x14ac:dyDescent="0.35">
      <c r="A780" s="27" t="s">
        <v>6362</v>
      </c>
      <c r="B780" s="27" t="s">
        <v>5843</v>
      </c>
      <c r="C780" s="28" t="s">
        <v>2123</v>
      </c>
      <c r="D780" s="27" t="s">
        <v>2119</v>
      </c>
      <c r="E780" s="27"/>
      <c r="F780" s="27"/>
      <c r="G780" s="27"/>
      <c r="H780" s="27"/>
      <c r="I780" s="27"/>
      <c r="J780" s="27"/>
    </row>
    <row r="781" spans="1:10" x14ac:dyDescent="0.35">
      <c r="A781" s="27" t="s">
        <v>6370</v>
      </c>
      <c r="B781" s="25" t="s">
        <v>2579</v>
      </c>
      <c r="C781" s="27" t="s">
        <v>5495</v>
      </c>
      <c r="D781" s="27" t="s">
        <v>2388</v>
      </c>
      <c r="E781" s="27" t="s">
        <v>5537</v>
      </c>
      <c r="F781" s="27" t="s">
        <v>6262</v>
      </c>
      <c r="G781" s="27" t="s">
        <v>3836</v>
      </c>
      <c r="H781" s="27" t="s">
        <v>4126</v>
      </c>
    </row>
    <row r="782" spans="1:10" x14ac:dyDescent="0.3">
      <c r="A782" s="27" t="s">
        <v>1327</v>
      </c>
      <c r="B782" s="27" t="s">
        <v>1169</v>
      </c>
      <c r="C782" s="27" t="s">
        <v>2825</v>
      </c>
      <c r="D782" s="27" t="s">
        <v>9411</v>
      </c>
      <c r="E782" s="27" t="s">
        <v>1846</v>
      </c>
    </row>
    <row r="783" spans="1:10" s="10" customFormat="1" x14ac:dyDescent="0.3">
      <c r="A783" s="10" t="s">
        <v>1558</v>
      </c>
      <c r="B783" s="10" t="s">
        <v>702</v>
      </c>
      <c r="C783" s="10" t="s">
        <v>5911</v>
      </c>
      <c r="D783" s="10" t="s">
        <v>1678</v>
      </c>
      <c r="E783" s="10" t="s">
        <v>3553</v>
      </c>
      <c r="F783" s="10" t="s">
        <v>733</v>
      </c>
      <c r="G783" s="10" t="s">
        <v>2584</v>
      </c>
    </row>
    <row r="784" spans="1:10" s="10" customFormat="1" x14ac:dyDescent="0.3">
      <c r="A784" s="27" t="s">
        <v>5084</v>
      </c>
      <c r="B784" s="27" t="s">
        <v>5562</v>
      </c>
      <c r="C784" s="27"/>
      <c r="D784" s="27"/>
      <c r="E784" s="27"/>
      <c r="F784" s="27"/>
      <c r="G784" s="27"/>
      <c r="H784" s="27"/>
      <c r="I784" s="27"/>
      <c r="J784" s="27"/>
    </row>
    <row r="785" spans="1:10" x14ac:dyDescent="0.3">
      <c r="A785" s="27" t="s">
        <v>5088</v>
      </c>
      <c r="B785" s="27" t="s">
        <v>6721</v>
      </c>
      <c r="C785" s="27" t="s">
        <v>4455</v>
      </c>
    </row>
    <row r="786" spans="1:10" x14ac:dyDescent="0.3">
      <c r="A786" s="10" t="s">
        <v>514</v>
      </c>
      <c r="B786" s="10" t="s">
        <v>29</v>
      </c>
      <c r="C786" s="10" t="s">
        <v>473</v>
      </c>
      <c r="D786" s="10" t="s">
        <v>490</v>
      </c>
      <c r="E786" s="10" t="s">
        <v>3967</v>
      </c>
      <c r="F786" s="10" t="s">
        <v>470</v>
      </c>
      <c r="G786" s="10" t="s">
        <v>467</v>
      </c>
      <c r="H786" s="10"/>
      <c r="I786" s="10"/>
      <c r="J786" s="10"/>
    </row>
    <row r="787" spans="1:10" s="10" customFormat="1" x14ac:dyDescent="0.3">
      <c r="A787" s="10" t="s">
        <v>892</v>
      </c>
      <c r="B787" s="10" t="s">
        <v>4552</v>
      </c>
      <c r="C787" s="35" t="s">
        <v>1669</v>
      </c>
      <c r="D787" s="10" t="s">
        <v>6383</v>
      </c>
      <c r="E787" s="10" t="s">
        <v>4605</v>
      </c>
      <c r="F787" s="10" t="s">
        <v>249</v>
      </c>
      <c r="G787" s="10" t="s">
        <v>976</v>
      </c>
      <c r="H787" s="10" t="s">
        <v>3836</v>
      </c>
      <c r="I787" s="10" t="s">
        <v>3181</v>
      </c>
      <c r="J787" s="10" t="s">
        <v>3185</v>
      </c>
    </row>
    <row r="788" spans="1:10" x14ac:dyDescent="0.3">
      <c r="A788" s="27" t="s">
        <v>6379</v>
      </c>
      <c r="B788" s="27" t="s">
        <v>5113</v>
      </c>
      <c r="C788" s="27" t="s">
        <v>7646</v>
      </c>
      <c r="D788" s="27" t="s">
        <v>6166</v>
      </c>
      <c r="E788" s="27" t="s">
        <v>6928</v>
      </c>
      <c r="F788" s="27" t="s">
        <v>1648</v>
      </c>
      <c r="G788" s="27" t="s">
        <v>5876</v>
      </c>
      <c r="H788" s="27" t="s">
        <v>5580</v>
      </c>
      <c r="I788" s="27" t="s">
        <v>5872</v>
      </c>
    </row>
    <row r="789" spans="1:10" x14ac:dyDescent="0.3">
      <c r="A789" s="27" t="s">
        <v>1418</v>
      </c>
      <c r="B789" s="27" t="s">
        <v>1406</v>
      </c>
    </row>
    <row r="790" spans="1:10" x14ac:dyDescent="0.3">
      <c r="A790" s="10" t="s">
        <v>1669</v>
      </c>
      <c r="B790" s="10" t="s">
        <v>1661</v>
      </c>
      <c r="C790" s="10" t="s">
        <v>880</v>
      </c>
      <c r="D790" s="10" t="s">
        <v>4605</v>
      </c>
      <c r="E790" s="35" t="s">
        <v>2405</v>
      </c>
      <c r="F790" s="10" t="s">
        <v>7607</v>
      </c>
      <c r="G790" s="10"/>
      <c r="H790" s="10"/>
      <c r="I790" s="10"/>
      <c r="J790" s="10"/>
    </row>
    <row r="791" spans="1:10" x14ac:dyDescent="0.3">
      <c r="A791" s="27" t="s">
        <v>5092</v>
      </c>
      <c r="B791" s="27" t="s">
        <v>6493</v>
      </c>
      <c r="C791" s="27" t="s">
        <v>5533</v>
      </c>
      <c r="D791" s="27" t="s">
        <v>6029</v>
      </c>
    </row>
    <row r="792" spans="1:10" x14ac:dyDescent="0.35">
      <c r="A792" s="27" t="s">
        <v>6383</v>
      </c>
      <c r="B792" s="27" t="s">
        <v>3181</v>
      </c>
      <c r="C792" s="28" t="s">
        <v>3185</v>
      </c>
      <c r="D792" s="28" t="s">
        <v>3836</v>
      </c>
      <c r="E792" s="27" t="s">
        <v>3188</v>
      </c>
      <c r="F792" s="27" t="s">
        <v>3197</v>
      </c>
      <c r="G792" s="27" t="s">
        <v>3193</v>
      </c>
      <c r="H792" s="27" t="s">
        <v>1773</v>
      </c>
    </row>
    <row r="793" spans="1:10" x14ac:dyDescent="0.3">
      <c r="A793" s="27" t="s">
        <v>670</v>
      </c>
      <c r="B793" s="27" t="s">
        <v>1060</v>
      </c>
      <c r="C793" s="27" t="s">
        <v>3117</v>
      </c>
      <c r="D793" s="27" t="s">
        <v>3908</v>
      </c>
      <c r="E793" s="27" t="s">
        <v>3862</v>
      </c>
      <c r="F793" s="27" t="s">
        <v>3593</v>
      </c>
      <c r="G793" s="27" t="s">
        <v>4070</v>
      </c>
      <c r="H793" s="27" t="s">
        <v>5495</v>
      </c>
      <c r="I793" s="27" t="s">
        <v>3818</v>
      </c>
      <c r="J793" s="27" t="s">
        <v>3478</v>
      </c>
    </row>
    <row r="794" spans="1:10" x14ac:dyDescent="0.3">
      <c r="A794" s="27" t="s">
        <v>5096</v>
      </c>
      <c r="B794" s="27" t="s">
        <v>89</v>
      </c>
      <c r="C794" s="27" t="s">
        <v>6549</v>
      </c>
    </row>
    <row r="795" spans="1:10" x14ac:dyDescent="0.3">
      <c r="A795" s="27" t="s">
        <v>5099</v>
      </c>
      <c r="B795" s="27" t="s">
        <v>7314</v>
      </c>
      <c r="C795" s="27" t="s">
        <v>4054</v>
      </c>
      <c r="D795" s="27" t="s">
        <v>3780</v>
      </c>
      <c r="E795" s="27" t="s">
        <v>3785</v>
      </c>
    </row>
    <row r="796" spans="1:10" s="10" customFormat="1" x14ac:dyDescent="0.3">
      <c r="A796" s="27" t="s">
        <v>7321</v>
      </c>
      <c r="B796" s="27" t="s">
        <v>3564</v>
      </c>
      <c r="C796" s="27"/>
      <c r="D796" s="27"/>
      <c r="E796" s="27"/>
      <c r="F796" s="27"/>
      <c r="G796" s="27"/>
      <c r="H796" s="27"/>
      <c r="I796" s="27"/>
      <c r="J796" s="27"/>
    </row>
    <row r="797" spans="1:10" x14ac:dyDescent="0.35">
      <c r="A797" s="27" t="s">
        <v>674</v>
      </c>
      <c r="B797" s="28" t="s">
        <v>6566</v>
      </c>
      <c r="C797" s="28" t="s">
        <v>5264</v>
      </c>
      <c r="D797" s="27" t="s">
        <v>1051</v>
      </c>
      <c r="E797" s="27" t="s">
        <v>4070</v>
      </c>
      <c r="F797" s="27" t="s">
        <v>3593</v>
      </c>
      <c r="G797" s="27" t="s">
        <v>1985</v>
      </c>
      <c r="H797" s="27" t="s">
        <v>2825</v>
      </c>
      <c r="I797" s="27" t="s">
        <v>6882</v>
      </c>
      <c r="J797" s="27" t="s">
        <v>4862</v>
      </c>
    </row>
    <row r="798" spans="1:10" x14ac:dyDescent="0.3">
      <c r="A798" s="27" t="s">
        <v>6386</v>
      </c>
      <c r="B798" s="27" t="s">
        <v>5774</v>
      </c>
      <c r="C798" s="27" t="s">
        <v>3608</v>
      </c>
      <c r="D798" s="27" t="s">
        <v>7092</v>
      </c>
      <c r="E798" s="27" t="s">
        <v>7443</v>
      </c>
      <c r="F798" s="27" t="s">
        <v>5517</v>
      </c>
    </row>
    <row r="799" spans="1:10" s="10" customFormat="1" x14ac:dyDescent="0.3">
      <c r="A799" s="10" t="s">
        <v>2714</v>
      </c>
      <c r="B799" s="35" t="s">
        <v>2012</v>
      </c>
      <c r="C799" s="10" t="s">
        <v>2394</v>
      </c>
      <c r="D799" s="10" t="s">
        <v>5911</v>
      </c>
      <c r="E799" s="10" t="s">
        <v>6920</v>
      </c>
    </row>
    <row r="800" spans="1:10" x14ac:dyDescent="0.3">
      <c r="A800" s="27" t="s">
        <v>7323</v>
      </c>
      <c r="B800" s="27" t="s">
        <v>458</v>
      </c>
    </row>
    <row r="801" spans="1:10" s="10" customFormat="1" x14ac:dyDescent="0.3">
      <c r="A801" s="27" t="s">
        <v>5106</v>
      </c>
      <c r="B801" s="27" t="s">
        <v>1678</v>
      </c>
      <c r="C801" s="27" t="s">
        <v>3553</v>
      </c>
      <c r="D801" s="27"/>
      <c r="E801" s="27"/>
      <c r="F801" s="27"/>
      <c r="G801" s="27"/>
      <c r="H801" s="27"/>
      <c r="I801" s="27"/>
      <c r="J801" s="27"/>
    </row>
    <row r="802" spans="1:10" x14ac:dyDescent="0.3">
      <c r="A802" s="10" t="s">
        <v>1229</v>
      </c>
      <c r="B802" s="10" t="s">
        <v>1169</v>
      </c>
      <c r="C802" s="10" t="s">
        <v>2313</v>
      </c>
      <c r="D802" s="10" t="s">
        <v>4969</v>
      </c>
      <c r="E802" s="10" t="s">
        <v>3332</v>
      </c>
      <c r="F802" s="10"/>
      <c r="G802" s="10"/>
      <c r="H802" s="10"/>
      <c r="I802" s="10"/>
      <c r="J802" s="10"/>
    </row>
    <row r="803" spans="1:10" x14ac:dyDescent="0.35">
      <c r="A803" s="27" t="s">
        <v>6391</v>
      </c>
      <c r="B803" s="28" t="s">
        <v>4658</v>
      </c>
      <c r="C803" s="28" t="s">
        <v>3121</v>
      </c>
      <c r="D803" s="27" t="s">
        <v>6795</v>
      </c>
      <c r="E803" s="27" t="s">
        <v>3033</v>
      </c>
      <c r="F803" s="27" t="s">
        <v>29</v>
      </c>
      <c r="G803" s="28" t="s">
        <v>6608</v>
      </c>
      <c r="H803" s="27" t="s">
        <v>6737</v>
      </c>
      <c r="I803" s="27" t="s">
        <v>1723</v>
      </c>
      <c r="J803" s="27" t="s">
        <v>5321</v>
      </c>
    </row>
    <row r="804" spans="1:10" x14ac:dyDescent="0.3">
      <c r="A804" s="20" t="s">
        <v>985</v>
      </c>
      <c r="B804" s="10" t="s">
        <v>979</v>
      </c>
      <c r="C804" s="10" t="s">
        <v>982</v>
      </c>
      <c r="D804" s="10" t="s">
        <v>988</v>
      </c>
      <c r="E804" s="20"/>
      <c r="F804" s="10"/>
      <c r="G804" s="10"/>
      <c r="H804" s="10"/>
      <c r="I804" s="10"/>
      <c r="J804" s="10"/>
    </row>
    <row r="805" spans="1:10" x14ac:dyDescent="0.3">
      <c r="A805" s="27" t="s">
        <v>678</v>
      </c>
      <c r="B805" s="27" t="s">
        <v>642</v>
      </c>
      <c r="C805" s="27" t="s">
        <v>666</v>
      </c>
      <c r="D805" s="27" t="s">
        <v>686</v>
      </c>
      <c r="E805" s="27" t="s">
        <v>2252</v>
      </c>
      <c r="F805" s="27" t="s">
        <v>6014</v>
      </c>
      <c r="G805" s="27" t="s">
        <v>634</v>
      </c>
      <c r="H805" s="27" t="s">
        <v>4070</v>
      </c>
      <c r="I805" s="27" t="s">
        <v>3593</v>
      </c>
      <c r="J805" s="27" t="s">
        <v>7716</v>
      </c>
    </row>
    <row r="806" spans="1:10" s="10" customFormat="1" x14ac:dyDescent="0.35">
      <c r="A806" s="27" t="s">
        <v>6395</v>
      </c>
      <c r="B806" s="28" t="s">
        <v>3710</v>
      </c>
      <c r="C806" s="27" t="s">
        <v>6404</v>
      </c>
      <c r="D806" s="27" t="s">
        <v>6656</v>
      </c>
      <c r="E806" s="27" t="s">
        <v>5377</v>
      </c>
      <c r="F806" s="27" t="s">
        <v>832</v>
      </c>
      <c r="G806" s="27" t="s">
        <v>666</v>
      </c>
      <c r="H806" s="27" t="s">
        <v>6558</v>
      </c>
      <c r="I806" s="27" t="s">
        <v>6438</v>
      </c>
      <c r="J806" s="27" t="s">
        <v>553</v>
      </c>
    </row>
    <row r="807" spans="1:10" s="10" customFormat="1" x14ac:dyDescent="0.3">
      <c r="A807" s="27" t="s">
        <v>3133</v>
      </c>
      <c r="B807" s="27" t="s">
        <v>3145</v>
      </c>
      <c r="C807" s="27" t="s">
        <v>7601</v>
      </c>
      <c r="D807" s="27" t="s">
        <v>4210</v>
      </c>
      <c r="E807" s="27" t="s">
        <v>3125</v>
      </c>
      <c r="F807" s="27"/>
      <c r="G807" s="27"/>
      <c r="H807" s="27"/>
      <c r="I807" s="27"/>
      <c r="J807" s="27"/>
    </row>
    <row r="808" spans="1:10" x14ac:dyDescent="0.35">
      <c r="A808" s="27" t="s">
        <v>6404</v>
      </c>
      <c r="B808" s="28" t="s">
        <v>6395</v>
      </c>
      <c r="C808" s="28" t="s">
        <v>666</v>
      </c>
      <c r="D808" s="28" t="s">
        <v>5377</v>
      </c>
      <c r="E808" s="28" t="s">
        <v>553</v>
      </c>
      <c r="F808" s="27" t="s">
        <v>6438</v>
      </c>
    </row>
    <row r="809" spans="1:10" x14ac:dyDescent="0.3">
      <c r="A809" s="10" t="s">
        <v>6410</v>
      </c>
      <c r="B809" s="10" t="s">
        <v>6073</v>
      </c>
      <c r="C809" s="10" t="s">
        <v>3870</v>
      </c>
      <c r="D809" s="10" t="s">
        <v>5719</v>
      </c>
      <c r="E809" s="10" t="s">
        <v>2123</v>
      </c>
      <c r="F809" s="10" t="s">
        <v>2119</v>
      </c>
      <c r="G809" s="10"/>
      <c r="H809" s="10"/>
      <c r="I809" s="10"/>
      <c r="J809" s="10"/>
    </row>
    <row r="810" spans="1:10" s="10" customFormat="1" x14ac:dyDescent="0.3">
      <c r="A810" s="10" t="s">
        <v>1335</v>
      </c>
      <c r="B810" s="10" t="s">
        <v>2584</v>
      </c>
      <c r="C810" s="10" t="s">
        <v>3326</v>
      </c>
      <c r="D810" s="10" t="s">
        <v>5110</v>
      </c>
      <c r="E810" s="10" t="s">
        <v>6920</v>
      </c>
      <c r="F810" s="10" t="s">
        <v>3553</v>
      </c>
    </row>
    <row r="811" spans="1:10" x14ac:dyDescent="0.3">
      <c r="A811" s="27" t="s">
        <v>5110</v>
      </c>
      <c r="B811" s="27" t="s">
        <v>4459</v>
      </c>
      <c r="C811" s="27" t="s">
        <v>5442</v>
      </c>
      <c r="D811" s="27" t="s">
        <v>1335</v>
      </c>
    </row>
    <row r="812" spans="1:10" s="10" customFormat="1" x14ac:dyDescent="0.35">
      <c r="A812" s="27" t="s">
        <v>5113</v>
      </c>
      <c r="B812" s="27" t="s">
        <v>6178</v>
      </c>
      <c r="C812" s="28" t="s">
        <v>6379</v>
      </c>
      <c r="D812" s="28" t="s">
        <v>832</v>
      </c>
      <c r="E812" s="28" t="s">
        <v>6648</v>
      </c>
      <c r="F812" s="27" t="s">
        <v>782</v>
      </c>
      <c r="G812" s="27" t="s">
        <v>3149</v>
      </c>
      <c r="H812" s="27" t="s">
        <v>7646</v>
      </c>
      <c r="I812" s="27" t="s">
        <v>6166</v>
      </c>
      <c r="J812" s="27"/>
    </row>
    <row r="813" spans="1:10" x14ac:dyDescent="0.3">
      <c r="A813" s="10" t="s">
        <v>1744</v>
      </c>
      <c r="B813" s="10" t="s">
        <v>7591</v>
      </c>
      <c r="C813" s="10" t="s">
        <v>324</v>
      </c>
      <c r="D813" s="10"/>
      <c r="E813" s="10"/>
      <c r="F813" s="10"/>
      <c r="G813" s="10"/>
      <c r="H813" s="10"/>
      <c r="I813" s="10"/>
      <c r="J813" s="10"/>
    </row>
    <row r="814" spans="1:10" x14ac:dyDescent="0.35">
      <c r="A814" s="30" t="s">
        <v>7338</v>
      </c>
      <c r="B814" s="25"/>
    </row>
    <row r="815" spans="1:10" x14ac:dyDescent="0.3">
      <c r="A815" s="10" t="s">
        <v>782</v>
      </c>
      <c r="B815" s="10" t="s">
        <v>702</v>
      </c>
      <c r="C815" s="10" t="s">
        <v>786</v>
      </c>
      <c r="D815" s="35" t="s">
        <v>6920</v>
      </c>
      <c r="E815" s="10" t="s">
        <v>746</v>
      </c>
      <c r="F815" s="10" t="s">
        <v>750</v>
      </c>
      <c r="G815" s="35" t="s">
        <v>756</v>
      </c>
      <c r="H815" s="10" t="s">
        <v>835</v>
      </c>
      <c r="I815" s="10"/>
      <c r="J815" s="10"/>
    </row>
    <row r="816" spans="1:10" x14ac:dyDescent="0.35">
      <c r="A816" s="27" t="s">
        <v>6418</v>
      </c>
      <c r="B816" s="27" t="s">
        <v>2268</v>
      </c>
      <c r="C816" s="28" t="s">
        <v>2268</v>
      </c>
      <c r="D816" s="28" t="s">
        <v>6628</v>
      </c>
      <c r="E816" s="27" t="s">
        <v>4242</v>
      </c>
    </row>
    <row r="817" spans="1:10" s="10" customFormat="1" x14ac:dyDescent="0.3">
      <c r="A817" s="27" t="s">
        <v>6422</v>
      </c>
      <c r="B817" s="27" t="s">
        <v>6578</v>
      </c>
      <c r="C817" s="27" t="s">
        <v>702</v>
      </c>
      <c r="D817" s="27" t="s">
        <v>7615</v>
      </c>
      <c r="E817" s="27" t="s">
        <v>3739</v>
      </c>
      <c r="F817" s="27"/>
      <c r="G817" s="27"/>
      <c r="H817" s="27"/>
      <c r="I817" s="27"/>
      <c r="J817" s="27"/>
    </row>
    <row r="818" spans="1:10" s="10" customFormat="1" x14ac:dyDescent="0.35">
      <c r="A818" s="27" t="s">
        <v>5117</v>
      </c>
      <c r="B818" s="27" t="s">
        <v>5054</v>
      </c>
      <c r="C818" s="25" t="s">
        <v>2549</v>
      </c>
      <c r="D818" s="27" t="s">
        <v>6964</v>
      </c>
      <c r="E818" s="27" t="s">
        <v>2773</v>
      </c>
      <c r="F818" s="27" t="s">
        <v>3215</v>
      </c>
      <c r="G818" s="27" t="s">
        <v>802</v>
      </c>
      <c r="H818" s="27" t="s">
        <v>808</v>
      </c>
      <c r="I818" s="27" t="s">
        <v>7508</v>
      </c>
      <c r="J818" s="27"/>
    </row>
    <row r="819" spans="1:10" x14ac:dyDescent="0.3">
      <c r="A819" s="27" t="s">
        <v>1977</v>
      </c>
      <c r="B819" s="27" t="s">
        <v>607</v>
      </c>
      <c r="C819" s="27" t="s">
        <v>9695</v>
      </c>
      <c r="D819" s="27" t="s">
        <v>4070</v>
      </c>
      <c r="E819" s="27" t="s">
        <v>6295</v>
      </c>
    </row>
    <row r="820" spans="1:10" x14ac:dyDescent="0.3">
      <c r="A820" s="10" t="s">
        <v>526</v>
      </c>
      <c r="B820" s="10" t="s">
        <v>458</v>
      </c>
      <c r="C820" s="10" t="s">
        <v>544</v>
      </c>
      <c r="D820" s="10" t="s">
        <v>514</v>
      </c>
      <c r="E820" s="10" t="s">
        <v>531</v>
      </c>
      <c r="F820" s="10" t="s">
        <v>5703</v>
      </c>
      <c r="G820" s="10"/>
      <c r="H820" s="10"/>
      <c r="I820" s="10"/>
      <c r="J820" s="10"/>
    </row>
    <row r="821" spans="1:10" x14ac:dyDescent="0.3">
      <c r="A821" s="20" t="s">
        <v>976</v>
      </c>
      <c r="B821" s="35" t="s">
        <v>3951</v>
      </c>
      <c r="C821" s="10" t="s">
        <v>892</v>
      </c>
      <c r="D821" s="10" t="s">
        <v>900</v>
      </c>
      <c r="E821" s="10" t="s">
        <v>3836</v>
      </c>
      <c r="F821" s="10" t="s">
        <v>3181</v>
      </c>
      <c r="G821" s="10" t="s">
        <v>3185</v>
      </c>
      <c r="H821" s="10" t="s">
        <v>972</v>
      </c>
      <c r="I821" s="10"/>
      <c r="J821" s="10"/>
    </row>
    <row r="822" spans="1:10" x14ac:dyDescent="0.3">
      <c r="A822" s="27" t="s">
        <v>6430</v>
      </c>
      <c r="B822" s="27" t="s">
        <v>5434</v>
      </c>
      <c r="C822" s="27" t="s">
        <v>4805</v>
      </c>
    </row>
    <row r="823" spans="1:10" x14ac:dyDescent="0.35">
      <c r="A823" s="27" t="s">
        <v>5121</v>
      </c>
      <c r="B823" s="28" t="s">
        <v>6566</v>
      </c>
      <c r="C823" s="28" t="s">
        <v>6882</v>
      </c>
      <c r="D823" s="27" t="s">
        <v>6620</v>
      </c>
      <c r="E823" s="27" t="s">
        <v>6489</v>
      </c>
      <c r="F823" s="27" t="s">
        <v>4862</v>
      </c>
      <c r="G823" s="27" t="s">
        <v>6041</v>
      </c>
      <c r="H823" s="27" t="s">
        <v>5487</v>
      </c>
      <c r="I823" s="27" t="s">
        <v>6081</v>
      </c>
      <c r="J823" s="25" t="s">
        <v>2573</v>
      </c>
    </row>
    <row r="824" spans="1:10" x14ac:dyDescent="0.3">
      <c r="A824" s="27" t="s">
        <v>5129</v>
      </c>
      <c r="B824" s="27" t="s">
        <v>1750</v>
      </c>
      <c r="C824" s="27" t="s">
        <v>4477</v>
      </c>
      <c r="D824" s="27" t="s">
        <v>3439</v>
      </c>
      <c r="E824" s="27" t="s">
        <v>3033</v>
      </c>
      <c r="F824" s="27" t="s">
        <v>2725</v>
      </c>
      <c r="G824" s="27" t="s">
        <v>29</v>
      </c>
      <c r="H824" s="27" t="s">
        <v>7591</v>
      </c>
      <c r="I824" s="27" t="s">
        <v>7365</v>
      </c>
    </row>
    <row r="825" spans="1:10" s="10" customFormat="1" x14ac:dyDescent="0.3">
      <c r="A825" s="27" t="s">
        <v>5137</v>
      </c>
      <c r="B825" s="27" t="s">
        <v>6481</v>
      </c>
      <c r="C825" s="27" t="s">
        <v>69</v>
      </c>
      <c r="D825" s="27" t="s">
        <v>3836</v>
      </c>
      <c r="E825" s="27" t="s">
        <v>5541</v>
      </c>
      <c r="F825" s="27" t="s">
        <v>3944</v>
      </c>
      <c r="G825" s="27"/>
      <c r="H825" s="27"/>
      <c r="I825" s="27"/>
      <c r="J825" s="27"/>
    </row>
    <row r="826" spans="1:10" x14ac:dyDescent="0.35">
      <c r="A826" s="27" t="s">
        <v>6438</v>
      </c>
      <c r="B826" s="28" t="s">
        <v>6395</v>
      </c>
      <c r="C826" s="28" t="s">
        <v>5509</v>
      </c>
      <c r="D826" s="28" t="s">
        <v>5377</v>
      </c>
      <c r="E826" s="27" t="s">
        <v>553</v>
      </c>
      <c r="F826" s="27" t="s">
        <v>569</v>
      </c>
    </row>
    <row r="827" spans="1:10" x14ac:dyDescent="0.35">
      <c r="A827" s="27" t="s">
        <v>6446</v>
      </c>
      <c r="B827" s="28" t="s">
        <v>6110</v>
      </c>
      <c r="C827" s="25" t="s">
        <v>1430</v>
      </c>
      <c r="D827" s="28"/>
      <c r="E827" s="28"/>
    </row>
    <row r="828" spans="1:10" x14ac:dyDescent="0.3">
      <c r="A828" s="10" t="s">
        <v>1029</v>
      </c>
      <c r="B828" s="10" t="s">
        <v>7601</v>
      </c>
      <c r="C828" s="10" t="s">
        <v>324</v>
      </c>
      <c r="D828" s="10" t="s">
        <v>1037</v>
      </c>
      <c r="E828" s="10" t="s">
        <v>1051</v>
      </c>
      <c r="F828" s="10" t="s">
        <v>1060</v>
      </c>
      <c r="G828" s="35" t="s">
        <v>1032</v>
      </c>
      <c r="H828" s="10"/>
      <c r="I828" s="10"/>
      <c r="J828" s="10"/>
    </row>
    <row r="829" spans="1:10" x14ac:dyDescent="0.3">
      <c r="A829" s="27" t="s">
        <v>6450</v>
      </c>
      <c r="B829" s="27" t="s">
        <v>3870</v>
      </c>
      <c r="C829" s="27" t="s">
        <v>6073</v>
      </c>
      <c r="D829" s="27" t="s">
        <v>5719</v>
      </c>
      <c r="E829" s="27" t="s">
        <v>6410</v>
      </c>
      <c r="F829" s="27" t="s">
        <v>5918</v>
      </c>
      <c r="G829" s="27" t="s">
        <v>6830</v>
      </c>
      <c r="H829" s="27" t="s">
        <v>6778</v>
      </c>
      <c r="I829" s="27" t="s">
        <v>6228</v>
      </c>
      <c r="J829" s="27" t="s">
        <v>4702</v>
      </c>
    </row>
    <row r="830" spans="1:10" x14ac:dyDescent="0.3">
      <c r="A830" s="27" t="s">
        <v>6457</v>
      </c>
      <c r="B830" s="27" t="s">
        <v>2394</v>
      </c>
      <c r="C830" s="27" t="s">
        <v>7771</v>
      </c>
      <c r="D830" s="27" t="s">
        <v>5759</v>
      </c>
      <c r="E830" s="27" t="s">
        <v>1669</v>
      </c>
      <c r="F830" s="27" t="s">
        <v>6041</v>
      </c>
      <c r="G830" s="27" t="s">
        <v>5487</v>
      </c>
      <c r="H830" s="27" t="s">
        <v>6566</v>
      </c>
      <c r="I830" s="27" t="s">
        <v>4862</v>
      </c>
    </row>
    <row r="831" spans="1:10" x14ac:dyDescent="0.3">
      <c r="A831" s="27" t="s">
        <v>7346</v>
      </c>
      <c r="B831" s="27" t="s">
        <v>2394</v>
      </c>
      <c r="C831" s="27" t="s">
        <v>7771</v>
      </c>
      <c r="D831" s="27" t="s">
        <v>5759</v>
      </c>
    </row>
    <row r="832" spans="1:10" x14ac:dyDescent="0.35">
      <c r="A832" s="27" t="s">
        <v>6465</v>
      </c>
      <c r="B832" s="27" t="s">
        <v>5698</v>
      </c>
      <c r="C832" s="27" t="s">
        <v>6690</v>
      </c>
      <c r="D832" s="28" t="s">
        <v>416</v>
      </c>
      <c r="E832" s="27" t="s">
        <v>2260</v>
      </c>
      <c r="F832" s="27" t="s">
        <v>4899</v>
      </c>
    </row>
    <row r="833" spans="1:10" x14ac:dyDescent="0.3">
      <c r="A833" s="27" t="s">
        <v>5145</v>
      </c>
    </row>
    <row r="834" spans="1:10" s="10" customFormat="1" x14ac:dyDescent="0.35">
      <c r="A834" s="27" t="s">
        <v>6473</v>
      </c>
      <c r="B834" s="27" t="s">
        <v>702</v>
      </c>
      <c r="C834" s="27" t="s">
        <v>828</v>
      </c>
      <c r="D834" s="27" t="s">
        <v>750</v>
      </c>
      <c r="E834" s="27" t="s">
        <v>756</v>
      </c>
      <c r="F834" s="27" t="s">
        <v>753</v>
      </c>
      <c r="G834" s="27" t="s">
        <v>3262</v>
      </c>
      <c r="H834" s="25" t="s">
        <v>3258</v>
      </c>
      <c r="I834" s="25" t="s">
        <v>2329</v>
      </c>
      <c r="J834" s="27"/>
    </row>
    <row r="835" spans="1:10" s="10" customFormat="1" x14ac:dyDescent="0.35">
      <c r="A835" s="27" t="s">
        <v>6481</v>
      </c>
      <c r="B835" s="27" t="s">
        <v>4650</v>
      </c>
      <c r="C835" s="28" t="s">
        <v>5813</v>
      </c>
      <c r="D835" s="28" t="s">
        <v>6578</v>
      </c>
      <c r="E835" s="28" t="s">
        <v>7624</v>
      </c>
      <c r="F835" s="27" t="s">
        <v>5076</v>
      </c>
      <c r="G835" s="27" t="s">
        <v>3164</v>
      </c>
      <c r="H835" s="27"/>
      <c r="I835" s="27"/>
      <c r="J835" s="27"/>
    </row>
    <row r="836" spans="1:10" x14ac:dyDescent="0.3">
      <c r="A836" s="27" t="s">
        <v>1923</v>
      </c>
      <c r="B836" s="27" t="s">
        <v>5813</v>
      </c>
      <c r="C836" s="27" t="s">
        <v>1931</v>
      </c>
    </row>
    <row r="837" spans="1:10" x14ac:dyDescent="0.3">
      <c r="A837" s="10" t="s">
        <v>3378</v>
      </c>
      <c r="B837" s="10" t="s">
        <v>34</v>
      </c>
      <c r="C837" s="10" t="s">
        <v>3383</v>
      </c>
      <c r="D837" s="35" t="s">
        <v>4862</v>
      </c>
      <c r="E837" s="10"/>
      <c r="F837" s="10"/>
      <c r="G837" s="10"/>
      <c r="H837" s="10"/>
      <c r="I837" s="10"/>
      <c r="J837" s="10"/>
    </row>
    <row r="838" spans="1:10" s="10" customFormat="1" x14ac:dyDescent="0.3">
      <c r="A838" s="10" t="s">
        <v>2024</v>
      </c>
      <c r="B838" s="10" t="s">
        <v>1846</v>
      </c>
      <c r="C838" s="10" t="s">
        <v>2361</v>
      </c>
      <c r="D838" s="35" t="s">
        <v>2640</v>
      </c>
      <c r="E838" s="10" t="s">
        <v>5872</v>
      </c>
      <c r="F838" s="10" t="s">
        <v>6920</v>
      </c>
      <c r="G838" s="10" t="s">
        <v>1648</v>
      </c>
      <c r="H838" s="10" t="s">
        <v>5876</v>
      </c>
    </row>
    <row r="839" spans="1:10" x14ac:dyDescent="0.35">
      <c r="A839" s="27" t="s">
        <v>6489</v>
      </c>
      <c r="B839" s="27" t="s">
        <v>5495</v>
      </c>
      <c r="C839" s="27" t="s">
        <v>670</v>
      </c>
      <c r="D839" s="27" t="s">
        <v>3908</v>
      </c>
      <c r="E839" s="27" t="s">
        <v>5121</v>
      </c>
      <c r="F839" s="28" t="s">
        <v>6620</v>
      </c>
      <c r="G839" s="27" t="s">
        <v>6566</v>
      </c>
      <c r="H839" s="27" t="s">
        <v>4862</v>
      </c>
      <c r="I839" s="27" t="s">
        <v>6041</v>
      </c>
      <c r="J839" s="27" t="s">
        <v>5487</v>
      </c>
    </row>
    <row r="840" spans="1:10" s="10" customFormat="1" x14ac:dyDescent="0.35">
      <c r="A840" s="27" t="s">
        <v>1021</v>
      </c>
      <c r="B840" s="27" t="s">
        <v>7601</v>
      </c>
      <c r="C840" s="28" t="s">
        <v>9524</v>
      </c>
      <c r="D840" s="28" t="s">
        <v>1025</v>
      </c>
      <c r="E840" s="28" t="s">
        <v>2128</v>
      </c>
      <c r="F840" s="28" t="s">
        <v>1077</v>
      </c>
      <c r="G840" s="28" t="s">
        <v>1013</v>
      </c>
      <c r="H840" s="27"/>
      <c r="I840" s="27"/>
      <c r="J840" s="27"/>
    </row>
    <row r="841" spans="1:10" x14ac:dyDescent="0.3">
      <c r="A841" s="20" t="s">
        <v>972</v>
      </c>
      <c r="B841" s="10" t="s">
        <v>3200</v>
      </c>
      <c r="C841" s="10" t="s">
        <v>880</v>
      </c>
      <c r="D841" s="10" t="s">
        <v>6764</v>
      </c>
      <c r="E841" s="10" t="s">
        <v>1669</v>
      </c>
      <c r="F841" s="10" t="s">
        <v>976</v>
      </c>
      <c r="G841" s="10"/>
      <c r="H841" s="10"/>
      <c r="I841" s="10"/>
      <c r="J841" s="10"/>
    </row>
    <row r="842" spans="1:10" x14ac:dyDescent="0.35">
      <c r="A842" s="27" t="s">
        <v>6493</v>
      </c>
      <c r="B842" s="27" t="s">
        <v>6271</v>
      </c>
      <c r="C842" s="28" t="s">
        <v>5092</v>
      </c>
      <c r="D842" s="27" t="s">
        <v>5533</v>
      </c>
      <c r="E842" s="27" t="s">
        <v>3229</v>
      </c>
    </row>
    <row r="843" spans="1:10" s="10" customFormat="1" x14ac:dyDescent="0.3">
      <c r="A843" s="20" t="s">
        <v>979</v>
      </c>
      <c r="B843" s="10" t="s">
        <v>982</v>
      </c>
      <c r="C843" s="10" t="s">
        <v>985</v>
      </c>
      <c r="D843" s="10" t="s">
        <v>988</v>
      </c>
    </row>
    <row r="844" spans="1:10" x14ac:dyDescent="0.3">
      <c r="A844" s="27" t="s">
        <v>6497</v>
      </c>
      <c r="B844" s="27" t="s">
        <v>5199</v>
      </c>
      <c r="C844" s="27" t="s">
        <v>6890</v>
      </c>
      <c r="D844" s="27" t="s">
        <v>5471</v>
      </c>
    </row>
    <row r="845" spans="1:10" x14ac:dyDescent="0.35">
      <c r="A845" s="27" t="s">
        <v>5152</v>
      </c>
      <c r="B845" s="25" t="s">
        <v>9480</v>
      </c>
      <c r="C845" s="27" t="s">
        <v>4489</v>
      </c>
      <c r="D845" s="27" t="s">
        <v>7534</v>
      </c>
      <c r="E845" s="27" t="s">
        <v>5957</v>
      </c>
      <c r="F845" s="27" t="s">
        <v>4789</v>
      </c>
      <c r="G845" s="27" t="s">
        <v>6129</v>
      </c>
      <c r="H845" s="27" t="s">
        <v>5495</v>
      </c>
      <c r="I845" s="27" t="s">
        <v>4374</v>
      </c>
    </row>
    <row r="846" spans="1:10" x14ac:dyDescent="0.3">
      <c r="A846" s="10" t="s">
        <v>2867</v>
      </c>
      <c r="B846" s="10" t="s">
        <v>1482</v>
      </c>
      <c r="C846" s="10" t="s">
        <v>1490</v>
      </c>
      <c r="D846" s="10" t="s">
        <v>5412</v>
      </c>
      <c r="E846" s="10" t="s">
        <v>3463</v>
      </c>
      <c r="F846" s="10"/>
      <c r="G846" s="10"/>
      <c r="H846" s="10"/>
      <c r="I846" s="10"/>
      <c r="J846" s="10"/>
    </row>
    <row r="847" spans="1:10" s="10" customFormat="1" x14ac:dyDescent="0.35">
      <c r="A847" s="27" t="s">
        <v>6504</v>
      </c>
      <c r="B847" s="27" t="s">
        <v>4580</v>
      </c>
      <c r="C847" s="28" t="s">
        <v>5719</v>
      </c>
      <c r="D847" s="27" t="s">
        <v>6410</v>
      </c>
      <c r="E847" s="27" t="s">
        <v>9421</v>
      </c>
      <c r="F847" s="27" t="s">
        <v>2123</v>
      </c>
      <c r="G847" s="27"/>
      <c r="H847" s="27"/>
      <c r="I847" s="27"/>
      <c r="J847" s="27"/>
    </row>
    <row r="848" spans="1:10" s="10" customFormat="1" x14ac:dyDescent="0.35">
      <c r="A848" s="27" t="s">
        <v>7375</v>
      </c>
      <c r="B848" s="27" t="s">
        <v>5537</v>
      </c>
      <c r="C848" s="27" t="s">
        <v>6262</v>
      </c>
      <c r="D848" s="25" t="s">
        <v>2388</v>
      </c>
      <c r="E848" s="27" t="s">
        <v>6370</v>
      </c>
      <c r="F848" s="27" t="s">
        <v>5245</v>
      </c>
      <c r="G848" s="27"/>
      <c r="H848" s="27"/>
      <c r="I848" s="27"/>
      <c r="J848" s="27"/>
    </row>
    <row r="849" spans="1:10" s="10" customFormat="1" x14ac:dyDescent="0.35">
      <c r="A849" s="27" t="s">
        <v>7378</v>
      </c>
      <c r="B849" s="27" t="s">
        <v>7632</v>
      </c>
      <c r="C849" s="27" t="s">
        <v>4605</v>
      </c>
      <c r="D849" s="28" t="s">
        <v>1037</v>
      </c>
      <c r="E849" s="28" t="s">
        <v>7432</v>
      </c>
      <c r="F849" s="27" t="s">
        <v>5264</v>
      </c>
      <c r="G849" s="27" t="s">
        <v>733</v>
      </c>
      <c r="H849" s="27"/>
      <c r="I849" s="27"/>
      <c r="J849" s="27"/>
    </row>
    <row r="850" spans="1:10" x14ac:dyDescent="0.3">
      <c r="A850" s="20" t="s">
        <v>73</v>
      </c>
      <c r="B850" s="10" t="s">
        <v>7381</v>
      </c>
      <c r="C850" s="35" t="s">
        <v>2186</v>
      </c>
      <c r="D850" s="10" t="s">
        <v>5929</v>
      </c>
      <c r="E850" s="35" t="s">
        <v>2173</v>
      </c>
      <c r="F850" s="35" t="s">
        <v>2178</v>
      </c>
      <c r="G850" s="35" t="s">
        <v>9531</v>
      </c>
      <c r="H850" s="35" t="s">
        <v>2216</v>
      </c>
      <c r="I850" s="10" t="s">
        <v>2111</v>
      </c>
      <c r="J850" s="10" t="s">
        <v>2107</v>
      </c>
    </row>
    <row r="851" spans="1:10" x14ac:dyDescent="0.3">
      <c r="A851" s="20" t="s">
        <v>7385</v>
      </c>
      <c r="B851" s="35" t="s">
        <v>2394</v>
      </c>
      <c r="C851" s="35" t="s">
        <v>2474</v>
      </c>
      <c r="D851" s="35" t="s">
        <v>2485</v>
      </c>
      <c r="E851" s="35" t="s">
        <v>2519</v>
      </c>
      <c r="F851" s="35" t="s">
        <v>2513</v>
      </c>
      <c r="G851" s="35" t="s">
        <v>2378</v>
      </c>
      <c r="H851" s="35" t="s">
        <v>2400</v>
      </c>
      <c r="I851" s="35" t="s">
        <v>2411</v>
      </c>
      <c r="J851" s="35" t="s">
        <v>2417</v>
      </c>
    </row>
    <row r="852" spans="1:10" x14ac:dyDescent="0.3">
      <c r="A852" s="10" t="s">
        <v>1711</v>
      </c>
      <c r="B852" s="10" t="s">
        <v>7591</v>
      </c>
      <c r="C852" s="10" t="s">
        <v>4756</v>
      </c>
      <c r="D852" s="10" t="s">
        <v>4564</v>
      </c>
      <c r="E852" s="10"/>
      <c r="F852" s="10"/>
      <c r="G852" s="10"/>
      <c r="H852" s="10"/>
      <c r="I852" s="10"/>
      <c r="J852" s="10"/>
    </row>
    <row r="853" spans="1:10" x14ac:dyDescent="0.3">
      <c r="A853" s="27" t="s">
        <v>1311</v>
      </c>
      <c r="B853" s="27" t="s">
        <v>1288</v>
      </c>
      <c r="C853" s="27" t="s">
        <v>1042</v>
      </c>
    </row>
    <row r="854" spans="1:10" x14ac:dyDescent="0.35">
      <c r="A854" s="27" t="s">
        <v>9518</v>
      </c>
      <c r="B854" s="27" t="s">
        <v>2825</v>
      </c>
      <c r="C854" s="27" t="s">
        <v>2805</v>
      </c>
      <c r="D854" s="27" t="s">
        <v>5434</v>
      </c>
      <c r="E854" s="27" t="s">
        <v>1665</v>
      </c>
      <c r="F854" s="25" t="s">
        <v>3402</v>
      </c>
    </row>
    <row r="855" spans="1:10" x14ac:dyDescent="0.35">
      <c r="A855" s="27" t="s">
        <v>7388</v>
      </c>
      <c r="B855" s="27" t="s">
        <v>4961</v>
      </c>
      <c r="C855" s="25" t="s">
        <v>2588</v>
      </c>
      <c r="D855" s="27" t="s">
        <v>3505</v>
      </c>
    </row>
    <row r="856" spans="1:10" x14ac:dyDescent="0.3">
      <c r="A856" s="27" t="s">
        <v>6513</v>
      </c>
      <c r="B856" s="27" t="s">
        <v>2080</v>
      </c>
      <c r="C856" s="27" t="s">
        <v>6928</v>
      </c>
      <c r="D856" s="27" t="s">
        <v>2876</v>
      </c>
      <c r="E856" s="27" t="s">
        <v>2851</v>
      </c>
    </row>
    <row r="857" spans="1:10" x14ac:dyDescent="0.35">
      <c r="A857" s="27" t="s">
        <v>6517</v>
      </c>
      <c r="B857" s="27" t="s">
        <v>3718</v>
      </c>
      <c r="C857" s="28"/>
    </row>
    <row r="858" spans="1:10" x14ac:dyDescent="0.3">
      <c r="A858" s="27" t="s">
        <v>6525</v>
      </c>
      <c r="B858" s="27" t="s">
        <v>2321</v>
      </c>
    </row>
    <row r="859" spans="1:10" s="10" customFormat="1" x14ac:dyDescent="0.3">
      <c r="A859" s="27" t="s">
        <v>6533</v>
      </c>
      <c r="B859" s="27" t="s">
        <v>5911</v>
      </c>
      <c r="C859" s="27" t="s">
        <v>3718</v>
      </c>
      <c r="D859" s="27" t="s">
        <v>6541</v>
      </c>
      <c r="E859" s="27"/>
      <c r="F859" s="27"/>
      <c r="G859" s="27"/>
      <c r="H859" s="27"/>
      <c r="I859" s="27"/>
      <c r="J859" s="27"/>
    </row>
    <row r="860" spans="1:10" x14ac:dyDescent="0.3">
      <c r="A860" s="27" t="s">
        <v>6541</v>
      </c>
      <c r="B860" s="27" t="s">
        <v>5911</v>
      </c>
      <c r="C860" s="27" t="s">
        <v>3718</v>
      </c>
      <c r="D860" s="27" t="s">
        <v>6533</v>
      </c>
    </row>
    <row r="861" spans="1:10" x14ac:dyDescent="0.35">
      <c r="A861" s="27" t="s">
        <v>6549</v>
      </c>
      <c r="B861" s="27" t="s">
        <v>5096</v>
      </c>
      <c r="C861" s="27" t="s">
        <v>89</v>
      </c>
      <c r="D861" s="28"/>
    </row>
    <row r="862" spans="1:10" s="10" customFormat="1" x14ac:dyDescent="0.3">
      <c r="A862" s="10" t="s">
        <v>1152</v>
      </c>
      <c r="B862" s="10" t="s">
        <v>6578</v>
      </c>
      <c r="C862" s="10" t="s">
        <v>661</v>
      </c>
      <c r="D862" s="35" t="s">
        <v>5861</v>
      </c>
    </row>
    <row r="863" spans="1:10" x14ac:dyDescent="0.35">
      <c r="A863" s="27" t="s">
        <v>6895</v>
      </c>
      <c r="B863" s="27" t="s">
        <v>4961</v>
      </c>
      <c r="C863" s="25" t="s">
        <v>9483</v>
      </c>
      <c r="D863" s="27" t="s">
        <v>6029</v>
      </c>
    </row>
    <row r="864" spans="1:10" s="10" customFormat="1" x14ac:dyDescent="0.3">
      <c r="A864" s="27" t="s">
        <v>6900</v>
      </c>
      <c r="B864" s="27"/>
      <c r="C864" s="27"/>
      <c r="D864" s="27"/>
      <c r="E864" s="27"/>
      <c r="F864" s="27"/>
      <c r="G864" s="27"/>
      <c r="H864" s="27"/>
      <c r="I864" s="27"/>
      <c r="J864" s="27"/>
    </row>
    <row r="865" spans="1:10" s="10" customFormat="1" x14ac:dyDescent="0.3">
      <c r="A865" s="10" t="s">
        <v>6904</v>
      </c>
      <c r="B865" s="35" t="s">
        <v>5393</v>
      </c>
      <c r="C865" s="10" t="s">
        <v>2851</v>
      </c>
    </row>
    <row r="866" spans="1:10" s="10" customFormat="1" x14ac:dyDescent="0.3">
      <c r="A866" s="27" t="s">
        <v>3410</v>
      </c>
      <c r="B866" s="27" t="s">
        <v>5221</v>
      </c>
      <c r="C866" s="27" t="s">
        <v>3608</v>
      </c>
      <c r="D866" s="27" t="s">
        <v>3772</v>
      </c>
      <c r="E866" s="27" t="s">
        <v>3925</v>
      </c>
      <c r="F866" s="27" t="s">
        <v>3541</v>
      </c>
      <c r="G866" s="27" t="s">
        <v>9459</v>
      </c>
      <c r="H866" s="27"/>
      <c r="I866" s="27"/>
      <c r="J866" s="27"/>
    </row>
    <row r="867" spans="1:10" s="10" customFormat="1" x14ac:dyDescent="0.3">
      <c r="A867" s="20" t="s">
        <v>3419</v>
      </c>
      <c r="B867" s="10" t="s">
        <v>23</v>
      </c>
      <c r="C867" s="10" t="s">
        <v>415</v>
      </c>
      <c r="D867" s="10" t="s">
        <v>9459</v>
      </c>
      <c r="E867" s="21" t="s">
        <v>1833</v>
      </c>
      <c r="F867" s="21" t="s">
        <v>2737</v>
      </c>
      <c r="G867" s="35" t="s">
        <v>4789</v>
      </c>
      <c r="H867" s="10" t="s">
        <v>4166</v>
      </c>
    </row>
    <row r="868" spans="1:10" x14ac:dyDescent="0.3">
      <c r="A868" s="20" t="s">
        <v>3439</v>
      </c>
      <c r="B868" s="10" t="s">
        <v>5249</v>
      </c>
      <c r="C868" s="10" t="s">
        <v>458</v>
      </c>
      <c r="D868" s="10" t="s">
        <v>9625</v>
      </c>
      <c r="E868" s="10" t="s">
        <v>1736</v>
      </c>
      <c r="F868" s="10"/>
      <c r="G868" s="10"/>
      <c r="H868" s="10"/>
      <c r="I868" s="10"/>
      <c r="J868" s="10"/>
    </row>
    <row r="869" spans="1:10" s="10" customFormat="1" x14ac:dyDescent="0.3">
      <c r="A869" s="20" t="s">
        <v>3455</v>
      </c>
      <c r="B869" s="10" t="s">
        <v>458</v>
      </c>
      <c r="C869" s="10" t="s">
        <v>3033</v>
      </c>
      <c r="D869" s="10" t="s">
        <v>459</v>
      </c>
      <c r="E869" s="10" t="s">
        <v>467</v>
      </c>
      <c r="F869" s="10" t="s">
        <v>470</v>
      </c>
      <c r="G869" s="10" t="s">
        <v>9625</v>
      </c>
    </row>
    <row r="870" spans="1:10" s="10" customFormat="1" x14ac:dyDescent="0.3">
      <c r="A870" s="20" t="s">
        <v>3463</v>
      </c>
      <c r="B870" s="10" t="s">
        <v>6670</v>
      </c>
      <c r="C870" s="10" t="s">
        <v>2851</v>
      </c>
      <c r="D870" s="10" t="s">
        <v>2143</v>
      </c>
      <c r="E870" s="35" t="s">
        <v>2839</v>
      </c>
      <c r="F870" s="35" t="s">
        <v>2867</v>
      </c>
    </row>
    <row r="871" spans="1:10" s="10" customFormat="1" x14ac:dyDescent="0.3">
      <c r="A871" s="27" t="s">
        <v>3471</v>
      </c>
      <c r="B871" s="27" t="s">
        <v>6806</v>
      </c>
      <c r="C871" s="27" t="s">
        <v>4702</v>
      </c>
      <c r="D871" s="27" t="s">
        <v>3818</v>
      </c>
      <c r="E871" s="27" t="s">
        <v>3862</v>
      </c>
      <c r="F871" s="27" t="s">
        <v>3908</v>
      </c>
      <c r="G871" s="27" t="s">
        <v>4291</v>
      </c>
      <c r="H871" s="27"/>
      <c r="I871" s="27"/>
      <c r="J871" s="27"/>
    </row>
    <row r="872" spans="1:10" s="10" customFormat="1" x14ac:dyDescent="0.3">
      <c r="A872" s="20" t="s">
        <v>3478</v>
      </c>
      <c r="B872" s="10" t="s">
        <v>3117</v>
      </c>
      <c r="C872" s="10" t="s">
        <v>670</v>
      </c>
      <c r="D872" s="10" t="s">
        <v>1060</v>
      </c>
      <c r="E872" s="10" t="s">
        <v>7000</v>
      </c>
      <c r="F872" s="10" t="s">
        <v>3725</v>
      </c>
      <c r="G872" s="10" t="s">
        <v>2337</v>
      </c>
    </row>
    <row r="873" spans="1:10" x14ac:dyDescent="0.3">
      <c r="A873" s="20" t="s">
        <v>3486</v>
      </c>
      <c r="B873" s="10" t="s">
        <v>1029</v>
      </c>
      <c r="C873" s="10" t="s">
        <v>3121</v>
      </c>
      <c r="D873" s="10" t="s">
        <v>6830</v>
      </c>
      <c r="E873" s="10" t="s">
        <v>3870</v>
      </c>
      <c r="F873" s="10" t="s">
        <v>4070</v>
      </c>
      <c r="G873" s="10" t="s">
        <v>6956</v>
      </c>
      <c r="H873" s="10" t="s">
        <v>7621</v>
      </c>
      <c r="I873" s="10"/>
      <c r="J873" s="10"/>
    </row>
    <row r="874" spans="1:10" s="10" customFormat="1" x14ac:dyDescent="0.3">
      <c r="A874" s="20" t="s">
        <v>3509</v>
      </c>
      <c r="B874" s="10" t="s">
        <v>4746</v>
      </c>
      <c r="C874" s="10" t="s">
        <v>876</v>
      </c>
      <c r="D874" s="10" t="s">
        <v>872</v>
      </c>
      <c r="E874" s="10" t="s">
        <v>2160</v>
      </c>
      <c r="F874" s="10" t="s">
        <v>1474</v>
      </c>
      <c r="G874" s="10" t="s">
        <v>1478</v>
      </c>
    </row>
    <row r="875" spans="1:10" x14ac:dyDescent="0.3">
      <c r="A875" s="10" t="s">
        <v>3529</v>
      </c>
      <c r="B875" s="10" t="s">
        <v>415</v>
      </c>
      <c r="C875" s="10" t="s">
        <v>5232</v>
      </c>
      <c r="D875" s="35" t="s">
        <v>3344</v>
      </c>
      <c r="E875" s="10" t="s">
        <v>5297</v>
      </c>
      <c r="F875" s="35" t="s">
        <v>2946</v>
      </c>
      <c r="G875" s="35" t="s">
        <v>3033</v>
      </c>
      <c r="H875" s="10" t="s">
        <v>29</v>
      </c>
      <c r="I875" s="10"/>
      <c r="J875" s="10"/>
    </row>
    <row r="876" spans="1:10" x14ac:dyDescent="0.3">
      <c r="A876" s="27" t="s">
        <v>3533</v>
      </c>
      <c r="B876" s="27" t="s">
        <v>3818</v>
      </c>
      <c r="C876" s="27" t="s">
        <v>5182</v>
      </c>
      <c r="D876" s="27" t="s">
        <v>6939</v>
      </c>
      <c r="E876" s="27" t="s">
        <v>9498</v>
      </c>
    </row>
    <row r="877" spans="1:10" x14ac:dyDescent="0.3">
      <c r="A877" s="20" t="s">
        <v>3553</v>
      </c>
      <c r="B877" s="10" t="s">
        <v>5911</v>
      </c>
      <c r="C877" s="35" t="s">
        <v>1051</v>
      </c>
      <c r="D877" s="10" t="s">
        <v>4489</v>
      </c>
      <c r="E877" s="10" t="s">
        <v>3137</v>
      </c>
      <c r="F877" s="10" t="s">
        <v>1678</v>
      </c>
      <c r="G877" s="10" t="s">
        <v>1540</v>
      </c>
      <c r="H877" s="35" t="s">
        <v>1552</v>
      </c>
      <c r="I877" s="35" t="s">
        <v>1533</v>
      </c>
      <c r="J877" s="10" t="s">
        <v>733</v>
      </c>
    </row>
    <row r="878" spans="1:10" s="10" customFormat="1" x14ac:dyDescent="0.3">
      <c r="A878" s="27" t="s">
        <v>3566</v>
      </c>
      <c r="B878" s="27" t="s">
        <v>3601</v>
      </c>
      <c r="C878" s="27" t="s">
        <v>7392</v>
      </c>
      <c r="D878" s="27"/>
      <c r="E878" s="27"/>
      <c r="F878" s="27"/>
      <c r="G878" s="27"/>
      <c r="H878" s="27"/>
      <c r="I878" s="27"/>
      <c r="J878" s="27"/>
    </row>
    <row r="879" spans="1:10" s="10" customFormat="1" x14ac:dyDescent="0.3">
      <c r="A879" s="27" t="s">
        <v>3576</v>
      </c>
      <c r="B879" s="27" t="s">
        <v>9498</v>
      </c>
      <c r="C879" s="27" t="s">
        <v>7205</v>
      </c>
      <c r="D879" s="27" t="s">
        <v>9531</v>
      </c>
      <c r="E879" s="27" t="s">
        <v>5021</v>
      </c>
      <c r="F879" s="27" t="s">
        <v>3587</v>
      </c>
      <c r="G879" s="27"/>
      <c r="H879" s="27"/>
      <c r="I879" s="27"/>
      <c r="J879" s="27"/>
    </row>
    <row r="880" spans="1:10" x14ac:dyDescent="0.35">
      <c r="A880" s="27" t="s">
        <v>3587</v>
      </c>
      <c r="B880" s="27" t="s">
        <v>3368</v>
      </c>
      <c r="C880" s="27" t="s">
        <v>9652</v>
      </c>
      <c r="D880" s="27" t="s">
        <v>3219</v>
      </c>
      <c r="E880" s="27" t="s">
        <v>3185</v>
      </c>
      <c r="F880" s="27" t="s">
        <v>3262</v>
      </c>
      <c r="G880" s="27" t="s">
        <v>3267</v>
      </c>
      <c r="H880" s="27" t="s">
        <v>3292</v>
      </c>
      <c r="I880" s="25" t="s">
        <v>3258</v>
      </c>
    </row>
    <row r="881" spans="1:10" x14ac:dyDescent="0.3">
      <c r="A881" s="20" t="s">
        <v>3593</v>
      </c>
      <c r="B881" s="10" t="s">
        <v>3117</v>
      </c>
      <c r="C881" s="35" t="s">
        <v>1051</v>
      </c>
      <c r="D881" s="35" t="s">
        <v>1060</v>
      </c>
      <c r="E881" s="10" t="s">
        <v>3862</v>
      </c>
      <c r="F881" s="10" t="s">
        <v>674</v>
      </c>
      <c r="G881" s="10" t="s">
        <v>6295</v>
      </c>
      <c r="H881" s="10" t="s">
        <v>615</v>
      </c>
      <c r="I881" s="10"/>
      <c r="J881" s="10"/>
    </row>
    <row r="882" spans="1:10" s="10" customFormat="1" x14ac:dyDescent="0.3">
      <c r="A882" s="20" t="s">
        <v>3601</v>
      </c>
      <c r="B882" s="35" t="s">
        <v>458</v>
      </c>
      <c r="C882" s="10" t="s">
        <v>415</v>
      </c>
      <c r="D882" s="10" t="s">
        <v>7177</v>
      </c>
      <c r="E882" s="10" t="s">
        <v>7392</v>
      </c>
    </row>
    <row r="883" spans="1:10" x14ac:dyDescent="0.3">
      <c r="A883" s="27" t="s">
        <v>3608</v>
      </c>
      <c r="B883" s="27" t="s">
        <v>7092</v>
      </c>
      <c r="C883" s="27" t="s">
        <v>4893</v>
      </c>
      <c r="D883" s="27" t="s">
        <v>6386</v>
      </c>
      <c r="E883" s="27" t="s">
        <v>5774</v>
      </c>
      <c r="F883" s="27" t="s">
        <v>7443</v>
      </c>
    </row>
    <row r="884" spans="1:10" x14ac:dyDescent="0.35">
      <c r="A884" s="27" t="s">
        <v>3619</v>
      </c>
      <c r="B884" s="27" t="s">
        <v>3117</v>
      </c>
      <c r="C884" s="27" t="s">
        <v>7000</v>
      </c>
      <c r="D884" s="25" t="s">
        <v>3851</v>
      </c>
      <c r="E884" s="27" t="s">
        <v>3862</v>
      </c>
      <c r="F884" s="27" t="s">
        <v>6340</v>
      </c>
    </row>
    <row r="885" spans="1:10" x14ac:dyDescent="0.3">
      <c r="A885" s="20" t="s">
        <v>3639</v>
      </c>
      <c r="B885" s="10" t="s">
        <v>6830</v>
      </c>
      <c r="C885" s="10" t="s">
        <v>3486</v>
      </c>
      <c r="D885" s="10" t="s">
        <v>6920</v>
      </c>
      <c r="E885" s="10" t="s">
        <v>4070</v>
      </c>
      <c r="F885" s="10" t="s">
        <v>3764</v>
      </c>
      <c r="G885" s="10" t="s">
        <v>6928</v>
      </c>
      <c r="H885" s="10" t="s">
        <v>968</v>
      </c>
      <c r="I885" s="10" t="s">
        <v>4985</v>
      </c>
      <c r="J885" s="10" t="s">
        <v>3978</v>
      </c>
    </row>
    <row r="886" spans="1:10" x14ac:dyDescent="0.35">
      <c r="A886" s="27" t="s">
        <v>3646</v>
      </c>
      <c r="B886" s="27" t="s">
        <v>4357</v>
      </c>
      <c r="C886" s="25" t="s">
        <v>9527</v>
      </c>
    </row>
    <row r="887" spans="1:10" x14ac:dyDescent="0.3">
      <c r="A887" s="27" t="s">
        <v>3657</v>
      </c>
      <c r="B887" s="27" t="s">
        <v>3862</v>
      </c>
      <c r="C887" s="27" t="s">
        <v>3121</v>
      </c>
      <c r="D887" s="27" t="s">
        <v>7167</v>
      </c>
      <c r="E887" s="27" t="s">
        <v>6787</v>
      </c>
      <c r="F887" s="27" t="s">
        <v>4770</v>
      </c>
      <c r="G887" s="27" t="s">
        <v>1060</v>
      </c>
    </row>
    <row r="888" spans="1:10" x14ac:dyDescent="0.35">
      <c r="A888" s="27" t="s">
        <v>3663</v>
      </c>
      <c r="B888" s="27" t="s">
        <v>6029</v>
      </c>
      <c r="C888" s="28" t="s">
        <v>5533</v>
      </c>
      <c r="D888" s="27" t="s">
        <v>3229</v>
      </c>
      <c r="E888" s="27" t="s">
        <v>5092</v>
      </c>
      <c r="F888" s="27" t="s">
        <v>6271</v>
      </c>
    </row>
    <row r="889" spans="1:10" s="10" customFormat="1" x14ac:dyDescent="0.3">
      <c r="A889" s="27" t="s">
        <v>3677</v>
      </c>
      <c r="B889" s="27" t="s">
        <v>7285</v>
      </c>
      <c r="C889" s="27" t="s">
        <v>5025</v>
      </c>
      <c r="D889" s="27" t="s">
        <v>5608</v>
      </c>
      <c r="E889" s="27"/>
      <c r="F889" s="27"/>
      <c r="G889" s="27"/>
      <c r="H889" s="27"/>
      <c r="I889" s="27"/>
      <c r="J889" s="27"/>
    </row>
    <row r="890" spans="1:10" x14ac:dyDescent="0.3">
      <c r="A890" s="27" t="s">
        <v>3681</v>
      </c>
      <c r="B890" s="27" t="s">
        <v>1372</v>
      </c>
      <c r="C890" s="27" t="s">
        <v>1376</v>
      </c>
      <c r="D890" s="27" t="s">
        <v>1383</v>
      </c>
      <c r="E890" s="27" t="s">
        <v>9664</v>
      </c>
    </row>
    <row r="891" spans="1:10" x14ac:dyDescent="0.35">
      <c r="A891" s="27" t="s">
        <v>3702</v>
      </c>
      <c r="B891" s="27" t="s">
        <v>5996</v>
      </c>
      <c r="C891" s="28" t="s">
        <v>756</v>
      </c>
      <c r="D891" s="27" t="s">
        <v>6718</v>
      </c>
    </row>
    <row r="892" spans="1:10" x14ac:dyDescent="0.3">
      <c r="A892" s="20" t="s">
        <v>3710</v>
      </c>
      <c r="B892" s="10" t="s">
        <v>2143</v>
      </c>
      <c r="C892" s="10" t="s">
        <v>2133</v>
      </c>
      <c r="D892" s="10" t="s">
        <v>3463</v>
      </c>
      <c r="E892" s="10" t="s">
        <v>4985</v>
      </c>
      <c r="F892" s="10" t="s">
        <v>1568</v>
      </c>
      <c r="G892" s="10" t="s">
        <v>3262</v>
      </c>
      <c r="H892" s="10" t="s">
        <v>9729</v>
      </c>
      <c r="I892" s="10"/>
      <c r="J892" s="10"/>
    </row>
    <row r="893" spans="1:10" x14ac:dyDescent="0.35">
      <c r="A893" s="27" t="s">
        <v>3725</v>
      </c>
      <c r="B893" s="27" t="s">
        <v>3117</v>
      </c>
      <c r="C893" s="27" t="s">
        <v>1051</v>
      </c>
      <c r="D893" s="27" t="s">
        <v>7000</v>
      </c>
      <c r="E893" s="27" t="s">
        <v>670</v>
      </c>
      <c r="F893" s="27" t="s">
        <v>1690</v>
      </c>
      <c r="G893" s="25" t="s">
        <v>2388</v>
      </c>
      <c r="H893" s="27" t="s">
        <v>1060</v>
      </c>
      <c r="I893" s="27" t="s">
        <v>3908</v>
      </c>
    </row>
    <row r="894" spans="1:10" x14ac:dyDescent="0.3">
      <c r="A894" s="27" t="s">
        <v>3733</v>
      </c>
      <c r="B894" s="27" t="s">
        <v>7167</v>
      </c>
      <c r="C894" s="27" t="s">
        <v>6787</v>
      </c>
      <c r="D894" s="27" t="s">
        <v>4770</v>
      </c>
      <c r="E894" s="27" t="s">
        <v>3121</v>
      </c>
    </row>
    <row r="895" spans="1:10" x14ac:dyDescent="0.35">
      <c r="A895" s="27" t="s">
        <v>3739</v>
      </c>
      <c r="B895" s="27" t="s">
        <v>760</v>
      </c>
      <c r="C895" s="27" t="s">
        <v>10047</v>
      </c>
      <c r="D895" s="27" t="s">
        <v>1678</v>
      </c>
      <c r="E895" s="27" t="s">
        <v>1157</v>
      </c>
      <c r="F895" s="25" t="s">
        <v>9407</v>
      </c>
      <c r="G895" s="27" t="s">
        <v>1161</v>
      </c>
      <c r="H895" s="27" t="s">
        <v>2012</v>
      </c>
    </row>
    <row r="896" spans="1:10" s="10" customFormat="1" x14ac:dyDescent="0.35">
      <c r="A896" s="27" t="s">
        <v>3764</v>
      </c>
      <c r="B896" s="28" t="s">
        <v>670</v>
      </c>
      <c r="C896" s="27" t="s">
        <v>6295</v>
      </c>
      <c r="D896" s="27" t="s">
        <v>622</v>
      </c>
      <c r="E896" s="27" t="s">
        <v>7716</v>
      </c>
      <c r="F896" s="27" t="s">
        <v>7177</v>
      </c>
      <c r="G896" s="28" t="s">
        <v>7601</v>
      </c>
      <c r="H896" s="27"/>
      <c r="I896" s="27"/>
      <c r="J896" s="27"/>
    </row>
    <row r="897" spans="1:10" x14ac:dyDescent="0.3">
      <c r="A897" s="27" t="s">
        <v>3772</v>
      </c>
      <c r="B897" s="27" t="s">
        <v>3608</v>
      </c>
      <c r="C897" s="27" t="s">
        <v>4893</v>
      </c>
      <c r="D897" s="27" t="s">
        <v>7092</v>
      </c>
      <c r="E897" s="27" t="s">
        <v>7443</v>
      </c>
    </row>
    <row r="898" spans="1:10" s="10" customFormat="1" x14ac:dyDescent="0.35">
      <c r="A898" s="27" t="s">
        <v>3794</v>
      </c>
      <c r="B898" s="27" t="s">
        <v>4965</v>
      </c>
      <c r="C898" s="28" t="s">
        <v>6628</v>
      </c>
      <c r="D898" s="27" t="s">
        <v>7000</v>
      </c>
      <c r="E898" s="27" t="s">
        <v>3862</v>
      </c>
      <c r="F898" s="27" t="s">
        <v>5025</v>
      </c>
      <c r="G898" s="27"/>
      <c r="H898" s="27"/>
      <c r="I898" s="27"/>
      <c r="J898" s="27"/>
    </row>
    <row r="899" spans="1:10" s="10" customFormat="1" x14ac:dyDescent="0.3">
      <c r="A899" s="20" t="s">
        <v>3801</v>
      </c>
      <c r="B899" s="10" t="s">
        <v>2485</v>
      </c>
      <c r="C899" s="10" t="s">
        <v>3364</v>
      </c>
      <c r="D899" s="10" t="s">
        <v>6612</v>
      </c>
    </row>
    <row r="900" spans="1:10" s="10" customFormat="1" x14ac:dyDescent="0.3">
      <c r="A900" s="27" t="s">
        <v>3809</v>
      </c>
      <c r="B900" s="27" t="s">
        <v>7167</v>
      </c>
      <c r="C900" s="27" t="s">
        <v>6787</v>
      </c>
      <c r="D900" s="27" t="s">
        <v>4770</v>
      </c>
      <c r="E900" s="27" t="s">
        <v>3121</v>
      </c>
      <c r="F900" s="27" t="s">
        <v>4044</v>
      </c>
      <c r="G900" s="27" t="s">
        <v>7392</v>
      </c>
      <c r="H900" s="27"/>
      <c r="I900" s="27"/>
      <c r="J900" s="27"/>
    </row>
    <row r="901" spans="1:10" x14ac:dyDescent="0.3">
      <c r="A901" s="20" t="s">
        <v>3818</v>
      </c>
      <c r="B901" s="10" t="s">
        <v>1051</v>
      </c>
      <c r="C901" s="10" t="s">
        <v>670</v>
      </c>
      <c r="D901" s="10" t="s">
        <v>7000</v>
      </c>
      <c r="E901" s="10"/>
      <c r="F901" s="10"/>
      <c r="G901" s="10"/>
      <c r="H901" s="10"/>
      <c r="I901" s="10"/>
      <c r="J901" s="10"/>
    </row>
    <row r="902" spans="1:10" s="10" customFormat="1" x14ac:dyDescent="0.3">
      <c r="A902" s="20" t="s">
        <v>3830</v>
      </c>
      <c r="B902" s="10" t="s">
        <v>415</v>
      </c>
      <c r="C902" s="10" t="s">
        <v>2123</v>
      </c>
      <c r="D902" s="10" t="s">
        <v>2321</v>
      </c>
      <c r="E902" s="10" t="s">
        <v>4893</v>
      </c>
      <c r="F902" s="10" t="s">
        <v>6920</v>
      </c>
      <c r="G902" s="10" t="s">
        <v>3553</v>
      </c>
      <c r="H902" s="10" t="s">
        <v>3439</v>
      </c>
      <c r="I902" s="10" t="s">
        <v>1846</v>
      </c>
      <c r="J902" s="10" t="s">
        <v>5620</v>
      </c>
    </row>
    <row r="903" spans="1:10" s="10" customFormat="1" x14ac:dyDescent="0.3">
      <c r="A903" s="20" t="s">
        <v>3836</v>
      </c>
      <c r="B903" s="10" t="s">
        <v>900</v>
      </c>
      <c r="C903" s="10" t="s">
        <v>3181</v>
      </c>
      <c r="D903" s="10" t="s">
        <v>3185</v>
      </c>
      <c r="E903" s="10" t="s">
        <v>3188</v>
      </c>
      <c r="F903" s="10" t="s">
        <v>3197</v>
      </c>
      <c r="G903" s="10" t="s">
        <v>3193</v>
      </c>
      <c r="H903" s="10" t="s">
        <v>6283</v>
      </c>
      <c r="I903" s="35" t="s">
        <v>2405</v>
      </c>
    </row>
    <row r="904" spans="1:10" x14ac:dyDescent="0.3">
      <c r="A904" s="27" t="s">
        <v>3857</v>
      </c>
      <c r="B904" s="27" t="s">
        <v>3608</v>
      </c>
      <c r="C904" s="27" t="s">
        <v>4893</v>
      </c>
      <c r="D904" s="27" t="s">
        <v>3677</v>
      </c>
    </row>
    <row r="905" spans="1:10" s="10" customFormat="1" x14ac:dyDescent="0.3">
      <c r="A905" s="20" t="s">
        <v>3862</v>
      </c>
      <c r="B905" s="10" t="s">
        <v>1060</v>
      </c>
      <c r="C905" s="35" t="s">
        <v>670</v>
      </c>
      <c r="D905" s="10" t="s">
        <v>5495</v>
      </c>
      <c r="E905" s="10" t="s">
        <v>7000</v>
      </c>
    </row>
    <row r="906" spans="1:10" x14ac:dyDescent="0.3">
      <c r="A906" s="20" t="s">
        <v>3870</v>
      </c>
      <c r="B906" s="10" t="s">
        <v>5719</v>
      </c>
      <c r="C906" s="10" t="s">
        <v>6410</v>
      </c>
      <c r="D906" s="35" t="s">
        <v>6073</v>
      </c>
      <c r="E906" s="10" t="s">
        <v>2123</v>
      </c>
      <c r="F906" s="10" t="s">
        <v>2119</v>
      </c>
      <c r="G906" s="10" t="s">
        <v>3233</v>
      </c>
      <c r="H906" s="10" t="s">
        <v>9443</v>
      </c>
      <c r="I906" s="10"/>
      <c r="J906" s="10"/>
    </row>
    <row r="907" spans="1:10" x14ac:dyDescent="0.35">
      <c r="A907" s="27" t="s">
        <v>3908</v>
      </c>
      <c r="B907" s="28" t="s">
        <v>1060</v>
      </c>
      <c r="C907" s="28" t="s">
        <v>670</v>
      </c>
      <c r="D907" s="27" t="s">
        <v>5495</v>
      </c>
      <c r="E907" s="27" t="s">
        <v>3862</v>
      </c>
      <c r="F907" s="27" t="s">
        <v>7000</v>
      </c>
    </row>
    <row r="908" spans="1:10" s="10" customFormat="1" x14ac:dyDescent="0.3">
      <c r="A908" s="20" t="s">
        <v>3916</v>
      </c>
      <c r="B908" s="10" t="s">
        <v>34</v>
      </c>
      <c r="C908" s="10" t="s">
        <v>2851</v>
      </c>
      <c r="D908" s="10" t="s">
        <v>3350</v>
      </c>
      <c r="E908" s="10" t="s">
        <v>3354</v>
      </c>
      <c r="F908" s="10" t="s">
        <v>702</v>
      </c>
      <c r="G908" s="10" t="s">
        <v>817</v>
      </c>
      <c r="H908" s="10" t="s">
        <v>3181</v>
      </c>
      <c r="I908" s="10" t="s">
        <v>2767</v>
      </c>
      <c r="J908" s="10" t="s">
        <v>4054</v>
      </c>
    </row>
    <row r="909" spans="1:10" x14ac:dyDescent="0.3">
      <c r="A909" s="27" t="s">
        <v>3929</v>
      </c>
      <c r="B909" s="27" t="s">
        <v>6656</v>
      </c>
      <c r="C909" s="27" t="s">
        <v>7624</v>
      </c>
      <c r="D909" s="27" t="s">
        <v>6578</v>
      </c>
      <c r="E909" s="27" t="s">
        <v>3541</v>
      </c>
      <c r="F909" s="27" t="s">
        <v>5029</v>
      </c>
      <c r="G909" s="27" t="s">
        <v>3280</v>
      </c>
      <c r="H909" s="27" t="s">
        <v>9460</v>
      </c>
      <c r="I909" s="27" t="s">
        <v>3267</v>
      </c>
      <c r="J909" s="27" t="s">
        <v>5711</v>
      </c>
    </row>
    <row r="910" spans="1:10" s="10" customFormat="1" x14ac:dyDescent="0.3">
      <c r="A910" s="27" t="s">
        <v>3937</v>
      </c>
      <c r="B910" s="27" t="s">
        <v>3657</v>
      </c>
      <c r="C910" s="27" t="s">
        <v>5533</v>
      </c>
      <c r="D910" s="27" t="s">
        <v>6493</v>
      </c>
      <c r="E910" s="27" t="s">
        <v>6628</v>
      </c>
      <c r="F910" s="27" t="s">
        <v>5092</v>
      </c>
      <c r="G910" s="27" t="s">
        <v>6949</v>
      </c>
      <c r="H910" s="27"/>
      <c r="I910" s="27"/>
      <c r="J910" s="27"/>
    </row>
    <row r="911" spans="1:10" s="10" customFormat="1" x14ac:dyDescent="0.3">
      <c r="A911" s="10" t="s">
        <v>3947</v>
      </c>
      <c r="B911" s="21" t="s">
        <v>3149</v>
      </c>
      <c r="C911" s="10" t="s">
        <v>3553</v>
      </c>
      <c r="D911" s="10" t="s">
        <v>6920</v>
      </c>
      <c r="E911" s="10" t="s">
        <v>3463</v>
      </c>
      <c r="F911" s="10" t="s">
        <v>6928</v>
      </c>
      <c r="G911" s="10" t="s">
        <v>3710</v>
      </c>
      <c r="H911" s="10" t="s">
        <v>4985</v>
      </c>
      <c r="I911" s="10" t="s">
        <v>2839</v>
      </c>
      <c r="J911" s="10" t="s">
        <v>4941</v>
      </c>
    </row>
    <row r="912" spans="1:10" x14ac:dyDescent="0.3">
      <c r="A912" s="27" t="s">
        <v>3959</v>
      </c>
      <c r="B912" s="27" t="s">
        <v>5596</v>
      </c>
      <c r="C912" s="27" t="s">
        <v>642</v>
      </c>
      <c r="D912" s="27" t="s">
        <v>7716</v>
      </c>
      <c r="E912" s="27" t="s">
        <v>5668</v>
      </c>
      <c r="F912" s="27" t="s">
        <v>3995</v>
      </c>
      <c r="G912" s="27" t="s">
        <v>7567</v>
      </c>
    </row>
    <row r="913" spans="1:10" x14ac:dyDescent="0.3">
      <c r="A913" s="20" t="s">
        <v>3971</v>
      </c>
      <c r="B913" s="10" t="s">
        <v>3350</v>
      </c>
      <c r="C913" s="10" t="s">
        <v>3354</v>
      </c>
      <c r="D913" s="10" t="s">
        <v>779</v>
      </c>
      <c r="E913" s="10" t="s">
        <v>2123</v>
      </c>
      <c r="F913" s="10" t="s">
        <v>2119</v>
      </c>
      <c r="G913" s="10"/>
      <c r="H913" s="10"/>
      <c r="I913" s="10"/>
      <c r="J913" s="10"/>
    </row>
    <row r="914" spans="1:10" x14ac:dyDescent="0.3">
      <c r="A914" s="20" t="s">
        <v>3978</v>
      </c>
      <c r="B914" s="35" t="s">
        <v>4425</v>
      </c>
      <c r="C914" s="10" t="s">
        <v>6830</v>
      </c>
      <c r="D914" s="10" t="s">
        <v>6920</v>
      </c>
      <c r="E914" s="10" t="s">
        <v>4070</v>
      </c>
      <c r="F914" s="10" t="s">
        <v>3764</v>
      </c>
      <c r="G914" s="10" t="s">
        <v>4985</v>
      </c>
      <c r="H914" s="10" t="s">
        <v>4941</v>
      </c>
      <c r="I914" s="10" t="s">
        <v>3639</v>
      </c>
      <c r="J914" s="10"/>
    </row>
    <row r="915" spans="1:10" x14ac:dyDescent="0.3">
      <c r="A915" s="27" t="s">
        <v>3987</v>
      </c>
      <c r="B915" s="27" t="s">
        <v>5690</v>
      </c>
      <c r="C915" s="27" t="s">
        <v>2123</v>
      </c>
      <c r="D915" s="27" t="s">
        <v>4087</v>
      </c>
      <c r="E915" s="27" t="s">
        <v>4362</v>
      </c>
      <c r="F915" s="27" t="s">
        <v>5732</v>
      </c>
      <c r="G915" s="27" t="s">
        <v>4134</v>
      </c>
      <c r="H915" s="27" t="s">
        <v>2173</v>
      </c>
      <c r="I915" s="27" t="s">
        <v>9473</v>
      </c>
    </row>
    <row r="916" spans="1:10" x14ac:dyDescent="0.3">
      <c r="A916" s="27" t="s">
        <v>3995</v>
      </c>
      <c r="B916" s="27" t="s">
        <v>5668</v>
      </c>
      <c r="C916" s="27" t="s">
        <v>6395</v>
      </c>
      <c r="D916" s="27" t="s">
        <v>6558</v>
      </c>
      <c r="E916" s="27" t="s">
        <v>7567</v>
      </c>
    </row>
    <row r="917" spans="1:10" s="10" customFormat="1" x14ac:dyDescent="0.3">
      <c r="A917" s="27" t="s">
        <v>4009</v>
      </c>
      <c r="B917" s="27" t="s">
        <v>5849</v>
      </c>
      <c r="C917" s="27"/>
      <c r="D917" s="27"/>
      <c r="E917" s="27"/>
      <c r="F917" s="27"/>
      <c r="G917" s="27"/>
      <c r="H917" s="27"/>
      <c r="I917" s="27"/>
      <c r="J917" s="27"/>
    </row>
    <row r="918" spans="1:10" x14ac:dyDescent="0.3">
      <c r="A918" s="27" t="s">
        <v>4044</v>
      </c>
      <c r="B918" s="27" t="s">
        <v>3121</v>
      </c>
      <c r="C918" s="27" t="s">
        <v>7032</v>
      </c>
      <c r="D918" s="27" t="s">
        <v>7167</v>
      </c>
      <c r="E918" s="27" t="s">
        <v>6787</v>
      </c>
      <c r="F918" s="27" t="s">
        <v>6795</v>
      </c>
      <c r="G918" s="27" t="s">
        <v>1773</v>
      </c>
    </row>
    <row r="919" spans="1:10" x14ac:dyDescent="0.35">
      <c r="A919" s="27" t="s">
        <v>4064</v>
      </c>
      <c r="B919" s="27" t="s">
        <v>6837</v>
      </c>
      <c r="C919" s="28" t="s">
        <v>4103</v>
      </c>
      <c r="D919" s="27" t="s">
        <v>5377</v>
      </c>
      <c r="E919" s="27" t="s">
        <v>2321</v>
      </c>
      <c r="F919" s="27" t="s">
        <v>4906</v>
      </c>
      <c r="G919" s="27" t="s">
        <v>5279</v>
      </c>
    </row>
    <row r="920" spans="1:10" x14ac:dyDescent="0.3">
      <c r="A920" s="20" t="s">
        <v>4070</v>
      </c>
      <c r="B920" s="10" t="s">
        <v>1985</v>
      </c>
      <c r="C920" s="10" t="s">
        <v>1073</v>
      </c>
      <c r="D920" s="10" t="s">
        <v>1060</v>
      </c>
      <c r="E920" s="10" t="s">
        <v>674</v>
      </c>
      <c r="F920" s="10" t="s">
        <v>622</v>
      </c>
      <c r="G920" s="10" t="s">
        <v>6295</v>
      </c>
      <c r="H920" s="10" t="s">
        <v>5882</v>
      </c>
      <c r="I920" s="10" t="s">
        <v>473</v>
      </c>
      <c r="J920" s="10" t="s">
        <v>6628</v>
      </c>
    </row>
    <row r="921" spans="1:10" s="10" customFormat="1" x14ac:dyDescent="0.35">
      <c r="A921" s="27" t="s">
        <v>5279</v>
      </c>
      <c r="B921" s="27" t="s">
        <v>4064</v>
      </c>
      <c r="C921" s="27" t="s">
        <v>4103</v>
      </c>
      <c r="D921" s="27" t="s">
        <v>5377</v>
      </c>
      <c r="E921" s="27" t="s">
        <v>4805</v>
      </c>
      <c r="F921" s="25" t="s">
        <v>6861</v>
      </c>
      <c r="G921" s="27" t="s">
        <v>6656</v>
      </c>
      <c r="H921" s="27" t="s">
        <v>3125</v>
      </c>
      <c r="I921" s="27"/>
      <c r="J921" s="27"/>
    </row>
    <row r="922" spans="1:10" s="10" customFormat="1" x14ac:dyDescent="0.35">
      <c r="A922" s="27" t="s">
        <v>5331</v>
      </c>
      <c r="B922" s="27" t="s">
        <v>2773</v>
      </c>
      <c r="C922" s="27" t="s">
        <v>2770</v>
      </c>
      <c r="D922" s="25" t="s">
        <v>767</v>
      </c>
      <c r="E922" s="27" t="s">
        <v>3177</v>
      </c>
      <c r="F922" s="27" t="s">
        <v>9704</v>
      </c>
      <c r="G922" s="27" t="s">
        <v>710</v>
      </c>
      <c r="H922" s="27" t="s">
        <v>802</v>
      </c>
      <c r="I922" s="25" t="s">
        <v>2549</v>
      </c>
      <c r="J922" s="27" t="s">
        <v>779</v>
      </c>
    </row>
    <row r="923" spans="1:10" s="10" customFormat="1" x14ac:dyDescent="0.35">
      <c r="A923" s="27" t="s">
        <v>6764</v>
      </c>
      <c r="B923" s="27" t="s">
        <v>2128</v>
      </c>
      <c r="C923" s="28" t="s">
        <v>2133</v>
      </c>
      <c r="D923" s="27" t="s">
        <v>786</v>
      </c>
      <c r="E923" s="27" t="s">
        <v>1985</v>
      </c>
      <c r="F923" s="27" t="s">
        <v>607</v>
      </c>
      <c r="G923" s="27"/>
      <c r="H923" s="27"/>
      <c r="I923" s="27"/>
      <c r="J923" s="27"/>
    </row>
    <row r="924" spans="1:10" x14ac:dyDescent="0.3">
      <c r="A924" s="20" t="s">
        <v>6830</v>
      </c>
      <c r="B924" s="10" t="s">
        <v>1037</v>
      </c>
      <c r="C924" s="10" t="s">
        <v>5918</v>
      </c>
      <c r="D924" s="10" t="s">
        <v>4716</v>
      </c>
      <c r="E924" s="10" t="s">
        <v>4126</v>
      </c>
      <c r="F924" s="10" t="s">
        <v>4702</v>
      </c>
      <c r="G924" s="10" t="s">
        <v>6733</v>
      </c>
      <c r="H924" s="10"/>
      <c r="I924" s="10"/>
      <c r="J924" s="10"/>
    </row>
    <row r="925" spans="1:10" s="10" customFormat="1" x14ac:dyDescent="0.3">
      <c r="A925" s="20" t="s">
        <v>6920</v>
      </c>
      <c r="B925" s="35" t="s">
        <v>1051</v>
      </c>
      <c r="C925" s="10" t="s">
        <v>1055</v>
      </c>
      <c r="D925" s="35" t="s">
        <v>1846</v>
      </c>
      <c r="E925" s="35" t="s">
        <v>2012</v>
      </c>
      <c r="F925" s="35" t="s">
        <v>1581</v>
      </c>
      <c r="G925" s="35" t="s">
        <v>1603</v>
      </c>
      <c r="H925" s="10" t="s">
        <v>7630</v>
      </c>
      <c r="I925" s="10" t="s">
        <v>3137</v>
      </c>
    </row>
    <row r="926" spans="1:10" x14ac:dyDescent="0.3">
      <c r="A926" s="20" t="s">
        <v>6928</v>
      </c>
      <c r="B926" s="10" t="s">
        <v>2143</v>
      </c>
      <c r="C926" s="10" t="s">
        <v>2133</v>
      </c>
      <c r="D926" s="10" t="s">
        <v>3463</v>
      </c>
      <c r="E926" s="10" t="s">
        <v>4941</v>
      </c>
      <c r="F926" s="10" t="s">
        <v>4985</v>
      </c>
      <c r="G926" s="10" t="s">
        <v>3710</v>
      </c>
      <c r="H926" s="10" t="s">
        <v>1568</v>
      </c>
      <c r="I926" s="10" t="s">
        <v>3262</v>
      </c>
      <c r="J926" s="10" t="s">
        <v>9729</v>
      </c>
    </row>
    <row r="927" spans="1:10" x14ac:dyDescent="0.3">
      <c r="A927" s="27" t="s">
        <v>6939</v>
      </c>
      <c r="B927" s="27" t="s">
        <v>5969</v>
      </c>
      <c r="C927" s="27" t="s">
        <v>5182</v>
      </c>
      <c r="D927" s="27" t="s">
        <v>3818</v>
      </c>
    </row>
    <row r="928" spans="1:10" x14ac:dyDescent="0.3">
      <c r="A928" s="20" t="s">
        <v>6945</v>
      </c>
      <c r="B928" s="10" t="s">
        <v>2485</v>
      </c>
      <c r="C928" s="10" t="s">
        <v>3364</v>
      </c>
      <c r="D928" s="10" t="s">
        <v>6612</v>
      </c>
      <c r="E928" s="10"/>
      <c r="F928" s="10"/>
      <c r="G928" s="10"/>
      <c r="H928" s="10"/>
      <c r="I928" s="10"/>
      <c r="J928" s="10"/>
    </row>
    <row r="929" spans="1:10" x14ac:dyDescent="0.3">
      <c r="A929" s="27" t="s">
        <v>6949</v>
      </c>
      <c r="B929" s="27" t="s">
        <v>2119</v>
      </c>
      <c r="C929" s="27" t="s">
        <v>7177</v>
      </c>
      <c r="D929" s="27" t="s">
        <v>7432</v>
      </c>
    </row>
    <row r="930" spans="1:10" x14ac:dyDescent="0.35">
      <c r="A930" s="27" t="s">
        <v>6956</v>
      </c>
      <c r="B930" s="28" t="s">
        <v>4829</v>
      </c>
      <c r="C930" s="28" t="s">
        <v>6395</v>
      </c>
      <c r="D930" s="28" t="s">
        <v>2128</v>
      </c>
      <c r="E930" s="28" t="s">
        <v>2133</v>
      </c>
      <c r="F930" s="27" t="s">
        <v>5899</v>
      </c>
      <c r="G930" s="27" t="s">
        <v>1617</v>
      </c>
      <c r="H930" s="28" t="s">
        <v>1678</v>
      </c>
      <c r="I930" s="27" t="s">
        <v>5076</v>
      </c>
      <c r="J930" s="27" t="s">
        <v>6737</v>
      </c>
    </row>
    <row r="931" spans="1:10" s="10" customFormat="1" x14ac:dyDescent="0.35">
      <c r="A931" s="27" t="s">
        <v>6964</v>
      </c>
      <c r="B931" s="27" t="s">
        <v>5054</v>
      </c>
      <c r="C931" s="28" t="s">
        <v>3164</v>
      </c>
      <c r="D931" s="28" t="s">
        <v>6328</v>
      </c>
      <c r="E931" s="25" t="s">
        <v>2549</v>
      </c>
      <c r="F931" s="27" t="s">
        <v>5331</v>
      </c>
      <c r="G931" s="27" t="s">
        <v>7508</v>
      </c>
      <c r="H931" s="27" t="s">
        <v>9704</v>
      </c>
      <c r="I931" s="25" t="s">
        <v>3173</v>
      </c>
      <c r="J931" s="27"/>
    </row>
    <row r="932" spans="1:10" s="10" customFormat="1" x14ac:dyDescent="0.3">
      <c r="A932" s="27" t="s">
        <v>6983</v>
      </c>
      <c r="B932" s="27" t="s">
        <v>3818</v>
      </c>
      <c r="C932" s="27" t="s">
        <v>3794</v>
      </c>
      <c r="D932" s="27"/>
      <c r="E932" s="27"/>
      <c r="F932" s="27"/>
      <c r="G932" s="27"/>
      <c r="H932" s="27"/>
      <c r="I932" s="27"/>
      <c r="J932" s="27"/>
    </row>
    <row r="933" spans="1:10" x14ac:dyDescent="0.3">
      <c r="A933" s="27" t="s">
        <v>6987</v>
      </c>
      <c r="B933" s="27" t="s">
        <v>7032</v>
      </c>
      <c r="C933" s="27" t="s">
        <v>4770</v>
      </c>
      <c r="D933" s="27" t="s">
        <v>6787</v>
      </c>
      <c r="E933" s="27" t="s">
        <v>3121</v>
      </c>
    </row>
    <row r="934" spans="1:10" s="10" customFormat="1" x14ac:dyDescent="0.3">
      <c r="A934" s="20" t="s">
        <v>6991</v>
      </c>
      <c r="B934" s="10" t="s">
        <v>3350</v>
      </c>
      <c r="C934" s="10" t="s">
        <v>3354</v>
      </c>
      <c r="D934" s="10" t="s">
        <v>779</v>
      </c>
      <c r="E934" s="10" t="s">
        <v>9642</v>
      </c>
      <c r="F934" s="10" t="s">
        <v>5426</v>
      </c>
      <c r="G934" s="10" t="s">
        <v>6690</v>
      </c>
      <c r="H934" s="10" t="s">
        <v>5698</v>
      </c>
      <c r="I934" s="10" t="s">
        <v>2123</v>
      </c>
      <c r="J934" s="10" t="s">
        <v>2119</v>
      </c>
    </row>
    <row r="935" spans="1:10" x14ac:dyDescent="0.3">
      <c r="A935" s="20" t="s">
        <v>7000</v>
      </c>
      <c r="B935" s="10" t="s">
        <v>3117</v>
      </c>
      <c r="C935" s="35" t="s">
        <v>1051</v>
      </c>
      <c r="D935" s="35" t="s">
        <v>1069</v>
      </c>
      <c r="E935" s="10" t="s">
        <v>4489</v>
      </c>
      <c r="F935" s="10" t="s">
        <v>3862</v>
      </c>
      <c r="G935" s="10" t="s">
        <v>3908</v>
      </c>
      <c r="H935" s="10" t="s">
        <v>670</v>
      </c>
      <c r="I935" s="10" t="s">
        <v>1060</v>
      </c>
      <c r="J935" s="10"/>
    </row>
    <row r="936" spans="1:10" s="10" customFormat="1" x14ac:dyDescent="0.35">
      <c r="A936" s="27" t="s">
        <v>6097</v>
      </c>
      <c r="B936" s="28" t="s">
        <v>2725</v>
      </c>
      <c r="C936" s="27" t="s">
        <v>410</v>
      </c>
      <c r="D936" s="27" t="s">
        <v>7591</v>
      </c>
      <c r="E936" s="27" t="s">
        <v>4985</v>
      </c>
      <c r="F936" s="27" t="s">
        <v>6391</v>
      </c>
      <c r="G936" s="25" t="s">
        <v>7289</v>
      </c>
      <c r="H936" s="27"/>
      <c r="I936" s="27"/>
      <c r="J936" s="27"/>
    </row>
    <row r="937" spans="1:10" s="10" customFormat="1" x14ac:dyDescent="0.3">
      <c r="A937" s="20" t="s">
        <v>7009</v>
      </c>
      <c r="B937" s="10" t="s">
        <v>3463</v>
      </c>
      <c r="C937" s="10" t="s">
        <v>2851</v>
      </c>
      <c r="D937" s="10" t="s">
        <v>2867</v>
      </c>
      <c r="E937" s="10" t="s">
        <v>2857</v>
      </c>
      <c r="F937" s="10" t="s">
        <v>2876</v>
      </c>
      <c r="G937" s="10" t="s">
        <v>2889</v>
      </c>
      <c r="H937" s="10" t="s">
        <v>6737</v>
      </c>
      <c r="I937" s="10" t="s">
        <v>5349</v>
      </c>
    </row>
    <row r="938" spans="1:10" x14ac:dyDescent="0.3">
      <c r="A938" s="27" t="s">
        <v>7020</v>
      </c>
      <c r="B938" s="27" t="s">
        <v>9459</v>
      </c>
      <c r="C938" s="27" t="s">
        <v>1833</v>
      </c>
      <c r="D938" s="27" t="s">
        <v>3419</v>
      </c>
      <c r="E938" s="27" t="s">
        <v>23</v>
      </c>
      <c r="F938" s="27" t="s">
        <v>6578</v>
      </c>
      <c r="G938" s="27" t="s">
        <v>7624</v>
      </c>
      <c r="H938" s="27" t="s">
        <v>1568</v>
      </c>
      <c r="I938" s="27" t="s">
        <v>4384</v>
      </c>
    </row>
    <row r="939" spans="1:10" s="10" customFormat="1" x14ac:dyDescent="0.3">
      <c r="A939" s="20" t="s">
        <v>7032</v>
      </c>
      <c r="B939" s="10" t="s">
        <v>1029</v>
      </c>
      <c r="C939" s="10" t="s">
        <v>3121</v>
      </c>
      <c r="D939" s="10" t="s">
        <v>5957</v>
      </c>
      <c r="E939" s="10" t="s">
        <v>6920</v>
      </c>
      <c r="F939" s="10" t="s">
        <v>3553</v>
      </c>
      <c r="G939" s="10" t="s">
        <v>6830</v>
      </c>
      <c r="H939" s="10" t="s">
        <v>3486</v>
      </c>
    </row>
    <row r="940" spans="1:10" s="10" customFormat="1" x14ac:dyDescent="0.3">
      <c r="A940" s="20" t="s">
        <v>7036</v>
      </c>
      <c r="B940" s="35" t="s">
        <v>415</v>
      </c>
      <c r="C940" s="10" t="s">
        <v>2321</v>
      </c>
      <c r="D940" s="10" t="s">
        <v>2333</v>
      </c>
      <c r="E940" s="10" t="s">
        <v>9459</v>
      </c>
      <c r="F940" s="10" t="s">
        <v>2337</v>
      </c>
      <c r="G940" s="10" t="s">
        <v>3309</v>
      </c>
      <c r="H940" s="10" t="s">
        <v>9460</v>
      </c>
    </row>
    <row r="941" spans="1:10" x14ac:dyDescent="0.3">
      <c r="A941" s="27" t="s">
        <v>7049</v>
      </c>
      <c r="B941" s="27" t="s">
        <v>4756</v>
      </c>
      <c r="C941" s="27" t="s">
        <v>3818</v>
      </c>
      <c r="D941" s="27" t="s">
        <v>4837</v>
      </c>
      <c r="E941" s="27" t="s">
        <v>3439</v>
      </c>
    </row>
    <row r="942" spans="1:10" x14ac:dyDescent="0.3">
      <c r="A942" s="20" t="s">
        <v>7053</v>
      </c>
      <c r="B942" s="10" t="s">
        <v>4564</v>
      </c>
      <c r="C942" s="10" t="s">
        <v>324</v>
      </c>
      <c r="D942" s="10" t="s">
        <v>2411</v>
      </c>
      <c r="E942" s="10" t="s">
        <v>1711</v>
      </c>
      <c r="F942" s="10" t="s">
        <v>1703</v>
      </c>
      <c r="G942" s="10"/>
      <c r="H942" s="10"/>
      <c r="I942" s="10"/>
      <c r="J942" s="10"/>
    </row>
    <row r="943" spans="1:10" s="10" customFormat="1" x14ac:dyDescent="0.3">
      <c r="A943" s="20" t="s">
        <v>7063</v>
      </c>
      <c r="B943" s="10" t="s">
        <v>2128</v>
      </c>
      <c r="C943" s="10" t="s">
        <v>1008</v>
      </c>
      <c r="D943" s="10" t="s">
        <v>4446</v>
      </c>
      <c r="E943" s="10" t="s">
        <v>6320</v>
      </c>
      <c r="F943" s="10" t="s">
        <v>473</v>
      </c>
    </row>
    <row r="944" spans="1:10" s="10" customFormat="1" x14ac:dyDescent="0.35">
      <c r="A944" s="27" t="s">
        <v>7071</v>
      </c>
      <c r="B944" s="28" t="s">
        <v>6379</v>
      </c>
      <c r="C944" s="28" t="s">
        <v>2123</v>
      </c>
      <c r="D944" s="27" t="s">
        <v>4965</v>
      </c>
      <c r="E944" s="27"/>
      <c r="F944" s="27"/>
      <c r="G944" s="27"/>
      <c r="H944" s="27"/>
      <c r="I944" s="27"/>
      <c r="J944" s="27"/>
    </row>
    <row r="945" spans="1:10" x14ac:dyDescent="0.3">
      <c r="A945" s="27" t="s">
        <v>7084</v>
      </c>
      <c r="B945" s="27" t="s">
        <v>4724</v>
      </c>
      <c r="C945" s="27" t="s">
        <v>7205</v>
      </c>
      <c r="D945" s="27" t="s">
        <v>9531</v>
      </c>
      <c r="E945" s="27" t="s">
        <v>2816</v>
      </c>
      <c r="F945" s="27" t="s">
        <v>1648</v>
      </c>
      <c r="G945" s="27" t="s">
        <v>1669</v>
      </c>
      <c r="H945" s="27" t="s">
        <v>1678</v>
      </c>
    </row>
    <row r="946" spans="1:10" x14ac:dyDescent="0.3">
      <c r="A946" s="20" t="s">
        <v>7092</v>
      </c>
      <c r="B946" s="10" t="s">
        <v>4893</v>
      </c>
      <c r="C946" s="10" t="s">
        <v>2611</v>
      </c>
      <c r="D946" s="10" t="s">
        <v>3608</v>
      </c>
      <c r="E946" s="10" t="s">
        <v>3772</v>
      </c>
      <c r="F946" s="10"/>
      <c r="G946" s="10"/>
      <c r="H946" s="10"/>
      <c r="I946" s="10"/>
      <c r="J946" s="10"/>
    </row>
    <row r="947" spans="1:10" x14ac:dyDescent="0.3">
      <c r="A947" s="20" t="s">
        <v>7107</v>
      </c>
      <c r="B947" s="10" t="s">
        <v>415</v>
      </c>
      <c r="C947" s="10" t="s">
        <v>2123</v>
      </c>
      <c r="D947" s="10" t="s">
        <v>2119</v>
      </c>
      <c r="E947" s="10" t="s">
        <v>6312</v>
      </c>
      <c r="F947" s="10" t="s">
        <v>2851</v>
      </c>
      <c r="G947" s="10" t="s">
        <v>2867</v>
      </c>
      <c r="H947" s="10" t="s">
        <v>2857</v>
      </c>
      <c r="I947" s="10" t="s">
        <v>2889</v>
      </c>
      <c r="J947" s="10" t="s">
        <v>2876</v>
      </c>
    </row>
    <row r="948" spans="1:10" x14ac:dyDescent="0.3">
      <c r="A948" s="27" t="s">
        <v>7114</v>
      </c>
      <c r="B948" s="27" t="s">
        <v>7126</v>
      </c>
      <c r="C948" s="27" t="s">
        <v>6258</v>
      </c>
      <c r="D948" s="27" t="s">
        <v>6608</v>
      </c>
      <c r="E948" s="27" t="s">
        <v>6737</v>
      </c>
    </row>
    <row r="949" spans="1:10" x14ac:dyDescent="0.3">
      <c r="A949" s="27" t="s">
        <v>7130</v>
      </c>
      <c r="B949" s="27" t="s">
        <v>3471</v>
      </c>
      <c r="C949" s="27" t="s">
        <v>6806</v>
      </c>
      <c r="D949" s="27" t="s">
        <v>5732</v>
      </c>
      <c r="E949" s="27" t="s">
        <v>3818</v>
      </c>
    </row>
    <row r="950" spans="1:10" x14ac:dyDescent="0.35">
      <c r="A950" s="27" t="s">
        <v>7138</v>
      </c>
      <c r="B950" s="27" t="s">
        <v>4949</v>
      </c>
      <c r="C950" s="25" t="s">
        <v>459</v>
      </c>
      <c r="D950" s="27" t="s">
        <v>1718</v>
      </c>
      <c r="E950" s="27" t="s">
        <v>2725</v>
      </c>
    </row>
    <row r="951" spans="1:10" x14ac:dyDescent="0.3">
      <c r="A951" s="27" t="s">
        <v>7142</v>
      </c>
      <c r="B951" s="27" t="s">
        <v>6778</v>
      </c>
      <c r="C951" s="27" t="s">
        <v>6228</v>
      </c>
      <c r="D951" s="27" t="s">
        <v>7000</v>
      </c>
      <c r="E951" s="27" t="s">
        <v>5918</v>
      </c>
      <c r="F951" s="27" t="s">
        <v>3862</v>
      </c>
      <c r="G951" s="27" t="s">
        <v>3117</v>
      </c>
      <c r="H951" s="27" t="s">
        <v>670</v>
      </c>
      <c r="I951" s="27" t="s">
        <v>7591</v>
      </c>
    </row>
    <row r="952" spans="1:10" x14ac:dyDescent="0.35">
      <c r="A952" s="27" t="s">
        <v>7146</v>
      </c>
      <c r="B952" s="27" t="s">
        <v>1648</v>
      </c>
      <c r="C952" s="28" t="s">
        <v>2123</v>
      </c>
      <c r="D952" s="28"/>
    </row>
    <row r="953" spans="1:10" x14ac:dyDescent="0.3">
      <c r="A953" s="27" t="s">
        <v>7153</v>
      </c>
      <c r="B953" s="27" t="s">
        <v>7624</v>
      </c>
      <c r="C953" s="27" t="s">
        <v>6578</v>
      </c>
      <c r="D953" s="27" t="s">
        <v>3205</v>
      </c>
      <c r="E953" s="27" t="s">
        <v>5918</v>
      </c>
      <c r="F953" s="27" t="s">
        <v>6748</v>
      </c>
    </row>
    <row r="954" spans="1:10" s="10" customFormat="1" x14ac:dyDescent="0.3">
      <c r="A954" s="27" t="s">
        <v>7160</v>
      </c>
      <c r="B954" s="27" t="s">
        <v>2337</v>
      </c>
      <c r="C954" s="27" t="s">
        <v>7289</v>
      </c>
      <c r="D954" s="27"/>
      <c r="E954" s="27"/>
      <c r="F954" s="27"/>
      <c r="G954" s="27"/>
      <c r="H954" s="27"/>
      <c r="I954" s="27"/>
      <c r="J954" s="27"/>
    </row>
    <row r="955" spans="1:10" x14ac:dyDescent="0.3">
      <c r="A955" s="27" t="s">
        <v>7167</v>
      </c>
      <c r="B955" s="27" t="s">
        <v>7032</v>
      </c>
      <c r="C955" s="27" t="s">
        <v>4770</v>
      </c>
      <c r="D955" s="27" t="s">
        <v>6787</v>
      </c>
      <c r="E955" s="27" t="s">
        <v>3121</v>
      </c>
      <c r="F955" s="27" t="s">
        <v>4044</v>
      </c>
      <c r="G955" s="27" t="s">
        <v>6208</v>
      </c>
    </row>
    <row r="956" spans="1:10" x14ac:dyDescent="0.3">
      <c r="A956" s="27" t="s">
        <v>7171</v>
      </c>
      <c r="B956" s="27" t="s">
        <v>3608</v>
      </c>
    </row>
    <row r="957" spans="1:10" x14ac:dyDescent="0.3">
      <c r="A957" s="20" t="s">
        <v>7177</v>
      </c>
      <c r="B957" s="35" t="s">
        <v>1037</v>
      </c>
      <c r="C957" s="10" t="s">
        <v>6725</v>
      </c>
      <c r="D957" s="10" t="s">
        <v>6795</v>
      </c>
      <c r="E957" s="10" t="s">
        <v>7432</v>
      </c>
      <c r="F957" s="10"/>
      <c r="G957" s="10"/>
      <c r="H957" s="10"/>
      <c r="I957" s="10"/>
      <c r="J957" s="10"/>
    </row>
    <row r="958" spans="1:10" x14ac:dyDescent="0.3">
      <c r="A958" s="27" t="s">
        <v>7192</v>
      </c>
      <c r="B958" s="27" t="s">
        <v>7432</v>
      </c>
      <c r="C958" s="27" t="s">
        <v>7177</v>
      </c>
      <c r="D958" s="27" t="s">
        <v>1037</v>
      </c>
    </row>
    <row r="959" spans="1:10" x14ac:dyDescent="0.3">
      <c r="A959" s="27" t="s">
        <v>7197</v>
      </c>
      <c r="B959" s="27" t="s">
        <v>1729</v>
      </c>
      <c r="C959" s="27" t="s">
        <v>6357</v>
      </c>
      <c r="D959" s="27" t="s">
        <v>1736</v>
      </c>
      <c r="E959" s="27" t="s">
        <v>5517</v>
      </c>
      <c r="F959" s="27" t="s">
        <v>5249</v>
      </c>
    </row>
    <row r="960" spans="1:10" s="10" customFormat="1" x14ac:dyDescent="0.3">
      <c r="A960" s="27" t="s">
        <v>7205</v>
      </c>
      <c r="B960" s="27" t="s">
        <v>9531</v>
      </c>
      <c r="C960" s="27" t="s">
        <v>5471</v>
      </c>
      <c r="D960" s="27" t="s">
        <v>2851</v>
      </c>
      <c r="E960" s="27" t="s">
        <v>2839</v>
      </c>
      <c r="F960" s="27" t="s">
        <v>2864</v>
      </c>
      <c r="G960" s="27" t="s">
        <v>5021</v>
      </c>
      <c r="H960" s="27"/>
      <c r="I960" s="27"/>
      <c r="J960" s="27"/>
    </row>
    <row r="961" spans="1:10" x14ac:dyDescent="0.3">
      <c r="A961" s="27" t="s">
        <v>7213</v>
      </c>
      <c r="B961" s="27" t="s">
        <v>3891</v>
      </c>
      <c r="C961" s="27" t="s">
        <v>3818</v>
      </c>
      <c r="D961" s="27" t="s">
        <v>3870</v>
      </c>
      <c r="E961" s="27" t="s">
        <v>4961</v>
      </c>
      <c r="F961" s="27" t="s">
        <v>3725</v>
      </c>
      <c r="G961" s="27" t="s">
        <v>3117</v>
      </c>
      <c r="H961" s="27" t="s">
        <v>670</v>
      </c>
    </row>
    <row r="962" spans="1:10" s="10" customFormat="1" x14ac:dyDescent="0.3">
      <c r="A962" s="27" t="s">
        <v>7219</v>
      </c>
      <c r="B962" s="27" t="s">
        <v>2337</v>
      </c>
      <c r="C962" s="27" t="s">
        <v>4965</v>
      </c>
      <c r="D962" s="27" t="s">
        <v>7285</v>
      </c>
      <c r="E962" s="27" t="s">
        <v>7092</v>
      </c>
      <c r="F962" s="27" t="s">
        <v>7443</v>
      </c>
      <c r="G962" s="27"/>
      <c r="H962" s="27"/>
      <c r="I962" s="27"/>
      <c r="J962" s="27"/>
    </row>
    <row r="963" spans="1:10" x14ac:dyDescent="0.3">
      <c r="A963" s="20" t="s">
        <v>7228</v>
      </c>
      <c r="B963" s="10" t="s">
        <v>34</v>
      </c>
      <c r="C963" s="10" t="s">
        <v>7375</v>
      </c>
      <c r="D963" s="10" t="s">
        <v>6830</v>
      </c>
      <c r="E963" s="10" t="s">
        <v>6262</v>
      </c>
      <c r="F963" s="10" t="s">
        <v>3836</v>
      </c>
      <c r="G963" s="10"/>
      <c r="H963" s="10"/>
      <c r="I963" s="10"/>
      <c r="J963" s="10"/>
    </row>
    <row r="964" spans="1:10" x14ac:dyDescent="0.3">
      <c r="A964" s="27" t="s">
        <v>7234</v>
      </c>
      <c r="B964" s="27" t="s">
        <v>5668</v>
      </c>
      <c r="C964" s="27" t="s">
        <v>3995</v>
      </c>
      <c r="D964" s="27" t="s">
        <v>6558</v>
      </c>
    </row>
    <row r="965" spans="1:10" s="10" customFormat="1" x14ac:dyDescent="0.3">
      <c r="A965" s="20" t="s">
        <v>7238</v>
      </c>
      <c r="B965" s="10" t="s">
        <v>1736</v>
      </c>
      <c r="C965" s="10" t="s">
        <v>9625</v>
      </c>
      <c r="D965" s="10" t="s">
        <v>2411</v>
      </c>
      <c r="E965" s="10" t="s">
        <v>324</v>
      </c>
      <c r="F965" s="10" t="s">
        <v>1051</v>
      </c>
      <c r="G965" s="10" t="s">
        <v>1073</v>
      </c>
    </row>
    <row r="966" spans="1:10" x14ac:dyDescent="0.3">
      <c r="A966" s="27" t="s">
        <v>7260</v>
      </c>
      <c r="B966" s="27" t="s">
        <v>5843</v>
      </c>
      <c r="C966" s="27" t="s">
        <v>2123</v>
      </c>
      <c r="D966" s="27" t="s">
        <v>7301</v>
      </c>
    </row>
    <row r="967" spans="1:10" x14ac:dyDescent="0.35">
      <c r="A967" s="27" t="s">
        <v>7275</v>
      </c>
      <c r="B967" s="27" t="s">
        <v>6379</v>
      </c>
      <c r="C967" s="27" t="s">
        <v>2133</v>
      </c>
      <c r="D967" s="28" t="s">
        <v>2143</v>
      </c>
      <c r="G967" s="28"/>
    </row>
    <row r="968" spans="1:10" x14ac:dyDescent="0.3">
      <c r="A968" s="20" t="s">
        <v>7285</v>
      </c>
      <c r="B968" s="10" t="s">
        <v>3121</v>
      </c>
      <c r="C968" s="10" t="s">
        <v>3486</v>
      </c>
      <c r="D968" s="10" t="s">
        <v>4070</v>
      </c>
      <c r="E968" s="10" t="s">
        <v>3593</v>
      </c>
      <c r="F968" s="10" t="s">
        <v>6956</v>
      </c>
      <c r="G968" s="10" t="s">
        <v>3764</v>
      </c>
      <c r="H968" s="10"/>
      <c r="I968" s="10"/>
      <c r="J968" s="10"/>
    </row>
    <row r="969" spans="1:10" x14ac:dyDescent="0.35">
      <c r="A969" s="27" t="s">
        <v>7289</v>
      </c>
      <c r="B969" s="27" t="s">
        <v>6391</v>
      </c>
      <c r="C969" s="27" t="s">
        <v>4658</v>
      </c>
      <c r="D969" s="27" t="s">
        <v>7160</v>
      </c>
      <c r="E969" s="27" t="s">
        <v>6795</v>
      </c>
      <c r="F969" s="27" t="s">
        <v>4797</v>
      </c>
      <c r="G969" s="27" t="s">
        <v>2337</v>
      </c>
      <c r="H969" s="25" t="s">
        <v>7512</v>
      </c>
    </row>
    <row r="970" spans="1:10" s="10" customFormat="1" x14ac:dyDescent="0.35">
      <c r="A970" s="27" t="s">
        <v>7293</v>
      </c>
      <c r="B970" s="28" t="s">
        <v>6845</v>
      </c>
      <c r="C970" s="28" t="s">
        <v>1042</v>
      </c>
      <c r="D970" s="27"/>
      <c r="E970" s="27"/>
      <c r="F970" s="27"/>
      <c r="G970" s="27"/>
      <c r="H970" s="27"/>
      <c r="I970" s="27"/>
      <c r="J970" s="27"/>
    </row>
    <row r="971" spans="1:10" x14ac:dyDescent="0.3">
      <c r="A971" s="27" t="s">
        <v>7301</v>
      </c>
      <c r="B971" s="27" t="s">
        <v>2123</v>
      </c>
      <c r="C971" s="27" t="s">
        <v>2128</v>
      </c>
      <c r="D971" s="27" t="s">
        <v>4813</v>
      </c>
    </row>
    <row r="972" spans="1:10" x14ac:dyDescent="0.35">
      <c r="A972" s="27" t="s">
        <v>6374</v>
      </c>
      <c r="B972" s="27" t="s">
        <v>4134</v>
      </c>
      <c r="C972" s="28" t="s">
        <v>2160</v>
      </c>
      <c r="D972" s="28" t="s">
        <v>2296</v>
      </c>
      <c r="E972" s="28" t="s">
        <v>5385</v>
      </c>
      <c r="F972" s="28" t="s">
        <v>2128</v>
      </c>
      <c r="G972" s="27" t="s">
        <v>9473</v>
      </c>
      <c r="H972" s="27" t="s">
        <v>1474</v>
      </c>
      <c r="I972" s="27" t="s">
        <v>4789</v>
      </c>
      <c r="J972" s="27" t="s">
        <v>6129</v>
      </c>
    </row>
    <row r="973" spans="1:10" x14ac:dyDescent="0.3">
      <c r="A973" s="20" t="s">
        <v>7314</v>
      </c>
      <c r="B973" s="10" t="s">
        <v>34</v>
      </c>
      <c r="C973" s="10" t="s">
        <v>2851</v>
      </c>
      <c r="D973" s="10" t="s">
        <v>3350</v>
      </c>
      <c r="E973" s="10" t="s">
        <v>3354</v>
      </c>
      <c r="F973" s="10" t="s">
        <v>702</v>
      </c>
      <c r="G973" s="10" t="s">
        <v>817</v>
      </c>
      <c r="H973" s="10" t="s">
        <v>3181</v>
      </c>
      <c r="I973" s="10" t="s">
        <v>2767</v>
      </c>
      <c r="J973" s="10" t="s">
        <v>3944</v>
      </c>
    </row>
    <row r="974" spans="1:10" s="10" customFormat="1" x14ac:dyDescent="0.3">
      <c r="A974" s="27" t="s">
        <v>7334</v>
      </c>
      <c r="B974" s="27" t="s">
        <v>3794</v>
      </c>
      <c r="C974" s="27" t="s">
        <v>5401</v>
      </c>
      <c r="D974" s="27" t="s">
        <v>5249</v>
      </c>
      <c r="E974" s="27" t="s">
        <v>6357</v>
      </c>
      <c r="F974" s="27"/>
      <c r="G974" s="27"/>
      <c r="H974" s="27"/>
      <c r="I974" s="27"/>
      <c r="J974" s="27"/>
    </row>
    <row r="975" spans="1:10" x14ac:dyDescent="0.3">
      <c r="A975" s="27" t="s">
        <v>7340</v>
      </c>
      <c r="B975" s="27" t="s">
        <v>2123</v>
      </c>
      <c r="C975" s="27" t="s">
        <v>2128</v>
      </c>
    </row>
    <row r="976" spans="1:10" s="10" customFormat="1" x14ac:dyDescent="0.3">
      <c r="A976" s="27" t="s">
        <v>7350</v>
      </c>
      <c r="B976" s="27" t="s">
        <v>2123</v>
      </c>
      <c r="C976" s="27" t="s">
        <v>6283</v>
      </c>
      <c r="D976" s="27" t="s">
        <v>1269</v>
      </c>
      <c r="E976" s="27" t="s">
        <v>1257</v>
      </c>
      <c r="F976" s="27" t="s">
        <v>1265</v>
      </c>
      <c r="G976" s="27"/>
      <c r="H976" s="27"/>
      <c r="I976" s="27"/>
      <c r="J976" s="27"/>
    </row>
    <row r="977" spans="1:10" s="10" customFormat="1" x14ac:dyDescent="0.3">
      <c r="A977" s="20" t="s">
        <v>7358</v>
      </c>
      <c r="B977" s="10" t="s">
        <v>2123</v>
      </c>
      <c r="C977" s="10" t="s">
        <v>2133</v>
      </c>
      <c r="D977" s="10" t="s">
        <v>4134</v>
      </c>
      <c r="E977" s="10" t="s">
        <v>6065</v>
      </c>
    </row>
    <row r="978" spans="1:10" s="10" customFormat="1" x14ac:dyDescent="0.3">
      <c r="A978" s="27" t="s">
        <v>7365</v>
      </c>
      <c r="B978" s="27" t="s">
        <v>2123</v>
      </c>
      <c r="C978" s="27" t="s">
        <v>2119</v>
      </c>
      <c r="D978" s="27" t="s">
        <v>5129</v>
      </c>
      <c r="E978" s="27" t="s">
        <v>7591</v>
      </c>
      <c r="F978" s="27"/>
      <c r="G978" s="27"/>
      <c r="H978" s="27"/>
      <c r="I978" s="27"/>
      <c r="J978" s="27"/>
    </row>
    <row r="979" spans="1:10" s="10" customFormat="1" x14ac:dyDescent="0.3">
      <c r="A979" s="20" t="s">
        <v>7381</v>
      </c>
      <c r="B979" s="10" t="s">
        <v>6656</v>
      </c>
      <c r="C979" s="10" t="s">
        <v>5117</v>
      </c>
      <c r="D979" s="10" t="s">
        <v>1841</v>
      </c>
      <c r="E979" s="10" t="s">
        <v>3223</v>
      </c>
      <c r="F979" s="10" t="s">
        <v>2111</v>
      </c>
      <c r="G979" s="35" t="s">
        <v>2107</v>
      </c>
      <c r="H979" s="35" t="s">
        <v>1430</v>
      </c>
    </row>
    <row r="980" spans="1:10" s="10" customFormat="1" x14ac:dyDescent="0.3">
      <c r="A980" s="20" t="s">
        <v>7392</v>
      </c>
      <c r="B980" s="35" t="s">
        <v>458</v>
      </c>
      <c r="C980" s="10" t="s">
        <v>415</v>
      </c>
      <c r="D980" s="10" t="s">
        <v>3601</v>
      </c>
      <c r="E980" s="10" t="s">
        <v>7177</v>
      </c>
    </row>
    <row r="981" spans="1:10" x14ac:dyDescent="0.3">
      <c r="A981" s="20" t="s">
        <v>7407</v>
      </c>
      <c r="B981" s="10" t="s">
        <v>415</v>
      </c>
      <c r="C981" s="10" t="s">
        <v>2284</v>
      </c>
      <c r="D981" s="35" t="s">
        <v>1833</v>
      </c>
      <c r="E981" s="35" t="s">
        <v>9417</v>
      </c>
      <c r="F981" s="10" t="s">
        <v>2737</v>
      </c>
      <c r="G981" s="10" t="s">
        <v>4166</v>
      </c>
      <c r="H981" s="10" t="s">
        <v>5232</v>
      </c>
      <c r="I981" s="10"/>
      <c r="J981" s="10"/>
    </row>
    <row r="982" spans="1:10" s="10" customFormat="1" x14ac:dyDescent="0.3">
      <c r="A982" s="20" t="s">
        <v>7412</v>
      </c>
      <c r="B982" s="10" t="s">
        <v>34</v>
      </c>
      <c r="C982" s="10" t="s">
        <v>630</v>
      </c>
      <c r="D982" s="10" t="s">
        <v>642</v>
      </c>
      <c r="E982" s="10" t="s">
        <v>6928</v>
      </c>
      <c r="F982" s="10" t="s">
        <v>4941</v>
      </c>
      <c r="G982" s="10" t="s">
        <v>4985</v>
      </c>
      <c r="H982" s="10" t="s">
        <v>6920</v>
      </c>
      <c r="I982" s="10" t="s">
        <v>3553</v>
      </c>
    </row>
    <row r="983" spans="1:10" x14ac:dyDescent="0.3">
      <c r="A983" s="20" t="s">
        <v>7432</v>
      </c>
      <c r="B983" s="10" t="s">
        <v>1037</v>
      </c>
      <c r="C983" s="35" t="s">
        <v>6733</v>
      </c>
      <c r="D983" s="35" t="s">
        <v>6725</v>
      </c>
      <c r="E983" s="10" t="s">
        <v>458</v>
      </c>
      <c r="F983" s="10" t="s">
        <v>1169</v>
      </c>
      <c r="G983" s="10" t="s">
        <v>5393</v>
      </c>
      <c r="H983" s="10" t="s">
        <v>69</v>
      </c>
      <c r="I983" s="10" t="s">
        <v>1622</v>
      </c>
      <c r="J983" s="10" t="s">
        <v>1257</v>
      </c>
    </row>
    <row r="984" spans="1:10" x14ac:dyDescent="0.3">
      <c r="A984" s="27" t="s">
        <v>7439</v>
      </c>
      <c r="B984" s="27" t="s">
        <v>6863</v>
      </c>
      <c r="C984" s="27" t="s">
        <v>5264</v>
      </c>
      <c r="D984" s="27" t="s">
        <v>1661</v>
      </c>
      <c r="E984" s="27" t="s">
        <v>2889</v>
      </c>
      <c r="F984" s="27" t="s">
        <v>1935</v>
      </c>
      <c r="G984" s="27" t="s">
        <v>4528</v>
      </c>
      <c r="H984" s="27" t="s">
        <v>1927</v>
      </c>
      <c r="I984" s="27" t="s">
        <v>1919</v>
      </c>
      <c r="J984" s="27" t="s">
        <v>2643</v>
      </c>
    </row>
    <row r="985" spans="1:10" s="10" customFormat="1" x14ac:dyDescent="0.3">
      <c r="A985" s="20" t="s">
        <v>7443</v>
      </c>
      <c r="B985" s="10" t="s">
        <v>6698</v>
      </c>
      <c r="C985" s="35" t="s">
        <v>5774</v>
      </c>
      <c r="D985" s="10" t="s">
        <v>3772</v>
      </c>
      <c r="E985" s="10" t="s">
        <v>3463</v>
      </c>
      <c r="F985" s="10" t="s">
        <v>6920</v>
      </c>
      <c r="G985" s="10" t="s">
        <v>3553</v>
      </c>
      <c r="H985" s="10" t="s">
        <v>4070</v>
      </c>
      <c r="I985" s="10" t="s">
        <v>6945</v>
      </c>
      <c r="J985" s="10" t="s">
        <v>3801</v>
      </c>
    </row>
    <row r="986" spans="1:10" x14ac:dyDescent="0.3">
      <c r="A986" s="27" t="s">
        <v>6737</v>
      </c>
      <c r="B986" s="27" t="s">
        <v>6608</v>
      </c>
      <c r="C986" s="27" t="s">
        <v>6262</v>
      </c>
      <c r="D986" s="27" t="s">
        <v>646</v>
      </c>
      <c r="E986" s="27" t="s">
        <v>2889</v>
      </c>
      <c r="F986" s="27" t="s">
        <v>2898</v>
      </c>
      <c r="G986" s="27" t="s">
        <v>1499</v>
      </c>
      <c r="H986" s="27" t="s">
        <v>6791</v>
      </c>
      <c r="I986" s="27" t="s">
        <v>4846</v>
      </c>
    </row>
    <row r="987" spans="1:10" x14ac:dyDescent="0.3">
      <c r="A987" s="27" t="s">
        <v>6554</v>
      </c>
      <c r="B987" s="27" t="s">
        <v>4821</v>
      </c>
      <c r="C987" s="27" t="s">
        <v>2160</v>
      </c>
      <c r="D987" s="27" t="s">
        <v>4627</v>
      </c>
      <c r="E987" s="27" t="s">
        <v>6374</v>
      </c>
      <c r="F987" s="27" t="s">
        <v>4532</v>
      </c>
    </row>
    <row r="988" spans="1:10" x14ac:dyDescent="0.3">
      <c r="A988" s="10" t="s">
        <v>1175</v>
      </c>
      <c r="B988" s="10" t="s">
        <v>1169</v>
      </c>
      <c r="C988" s="10" t="s">
        <v>278</v>
      </c>
      <c r="D988" s="10" t="s">
        <v>2830</v>
      </c>
      <c r="E988" s="10" t="s">
        <v>1585</v>
      </c>
      <c r="F988" s="10" t="s">
        <v>3332</v>
      </c>
      <c r="G988" s="10" t="s">
        <v>5406</v>
      </c>
      <c r="H988" s="35" t="s">
        <v>2912</v>
      </c>
      <c r="I988" s="10" t="s">
        <v>6920</v>
      </c>
      <c r="J988" s="10"/>
    </row>
    <row r="989" spans="1:10" x14ac:dyDescent="0.3">
      <c r="A989" s="27" t="s">
        <v>5158</v>
      </c>
      <c r="B989" s="27" t="s">
        <v>4642</v>
      </c>
      <c r="C989" s="27" t="s">
        <v>1678</v>
      </c>
      <c r="D989" s="27" t="s">
        <v>1617</v>
      </c>
      <c r="E989" s="27" t="s">
        <v>5899</v>
      </c>
      <c r="F989" s="27" t="s">
        <v>1639</v>
      </c>
      <c r="G989" s="27" t="s">
        <v>6010</v>
      </c>
    </row>
    <row r="990" spans="1:10" x14ac:dyDescent="0.3">
      <c r="A990" s="27" t="s">
        <v>6558</v>
      </c>
      <c r="B990" s="27" t="s">
        <v>5596</v>
      </c>
      <c r="C990" s="27" t="s">
        <v>3995</v>
      </c>
      <c r="D990" s="27" t="s">
        <v>5668</v>
      </c>
      <c r="E990" s="27" t="s">
        <v>6395</v>
      </c>
    </row>
    <row r="991" spans="1:10" s="10" customFormat="1" x14ac:dyDescent="0.35">
      <c r="A991" s="27" t="s">
        <v>794</v>
      </c>
      <c r="B991" s="27" t="s">
        <v>746</v>
      </c>
      <c r="C991" s="28" t="s">
        <v>756</v>
      </c>
      <c r="D991" s="28" t="s">
        <v>750</v>
      </c>
      <c r="E991" s="28" t="s">
        <v>753</v>
      </c>
      <c r="F991" s="28" t="s">
        <v>737</v>
      </c>
      <c r="G991" s="28" t="s">
        <v>733</v>
      </c>
      <c r="H991" s="28" t="s">
        <v>6178</v>
      </c>
      <c r="I991" s="25" t="s">
        <v>767</v>
      </c>
      <c r="J991" s="27" t="s">
        <v>9704</v>
      </c>
    </row>
    <row r="992" spans="1:10" x14ac:dyDescent="0.35">
      <c r="A992" s="27" t="s">
        <v>5166</v>
      </c>
      <c r="B992" s="27" t="s">
        <v>6608</v>
      </c>
      <c r="C992" s="28" t="s">
        <v>2758</v>
      </c>
      <c r="D992" s="28" t="s">
        <v>1499</v>
      </c>
      <c r="E992" s="28" t="s">
        <v>6737</v>
      </c>
      <c r="F992" s="27" t="s">
        <v>6578</v>
      </c>
      <c r="G992" s="25" t="s">
        <v>2802</v>
      </c>
      <c r="H992" s="27" t="s">
        <v>2791</v>
      </c>
    </row>
    <row r="993" spans="1:10" x14ac:dyDescent="0.3">
      <c r="A993" s="27" t="s">
        <v>5174</v>
      </c>
      <c r="B993" s="27" t="s">
        <v>2485</v>
      </c>
      <c r="C993" s="27" t="s">
        <v>1622</v>
      </c>
      <c r="D993" s="27" t="s">
        <v>1627</v>
      </c>
    </row>
    <row r="994" spans="1:10" s="10" customFormat="1" x14ac:dyDescent="0.3">
      <c r="A994" s="10" t="s">
        <v>2839</v>
      </c>
      <c r="B994" s="10" t="s">
        <v>5046</v>
      </c>
      <c r="C994" s="10" t="s">
        <v>646</v>
      </c>
      <c r="D994" s="10" t="s">
        <v>2133</v>
      </c>
    </row>
    <row r="995" spans="1:10" s="10" customFormat="1" x14ac:dyDescent="0.3">
      <c r="A995" s="27" t="s">
        <v>6561</v>
      </c>
      <c r="B995" s="27" t="s">
        <v>6481</v>
      </c>
      <c r="C995" s="27" t="s">
        <v>3267</v>
      </c>
      <c r="D995" s="27" t="s">
        <v>820</v>
      </c>
      <c r="E995" s="27"/>
      <c r="F995" s="27"/>
      <c r="G995" s="27"/>
      <c r="H995" s="27"/>
      <c r="I995" s="27"/>
      <c r="J995" s="27"/>
    </row>
    <row r="996" spans="1:10" x14ac:dyDescent="0.3">
      <c r="A996" s="27" t="s">
        <v>7403</v>
      </c>
      <c r="B996" s="27" t="s">
        <v>2714</v>
      </c>
    </row>
    <row r="997" spans="1:10" s="10" customFormat="1" x14ac:dyDescent="0.3">
      <c r="A997" s="20" t="s">
        <v>2284</v>
      </c>
      <c r="B997" s="10" t="s">
        <v>458</v>
      </c>
      <c r="C997" s="10" t="s">
        <v>2737</v>
      </c>
      <c r="D997" s="10" t="s">
        <v>4166</v>
      </c>
      <c r="E997" s="10" t="s">
        <v>9417</v>
      </c>
      <c r="F997" s="10" t="s">
        <v>1833</v>
      </c>
      <c r="G997" s="10" t="s">
        <v>7407</v>
      </c>
    </row>
    <row r="998" spans="1:10" x14ac:dyDescent="0.3">
      <c r="A998" s="10" t="s">
        <v>6566</v>
      </c>
      <c r="B998" s="10" t="s">
        <v>5264</v>
      </c>
      <c r="C998" s="10" t="s">
        <v>6882</v>
      </c>
      <c r="D998" s="10" t="s">
        <v>6041</v>
      </c>
      <c r="E998" s="10" t="s">
        <v>4862</v>
      </c>
      <c r="F998" s="10" t="s">
        <v>6081</v>
      </c>
      <c r="G998" s="10"/>
      <c r="H998" s="10"/>
      <c r="I998" s="10"/>
      <c r="J998" s="10"/>
    </row>
    <row r="999" spans="1:10" s="10" customFormat="1" x14ac:dyDescent="0.3">
      <c r="A999" s="27" t="s">
        <v>5178</v>
      </c>
      <c r="B999" s="27" t="s">
        <v>7407</v>
      </c>
      <c r="C999" s="27" t="s">
        <v>2284</v>
      </c>
      <c r="D999" s="27" t="s">
        <v>2737</v>
      </c>
      <c r="E999" s="27" t="s">
        <v>4166</v>
      </c>
      <c r="F999" s="27" t="s">
        <v>5651</v>
      </c>
      <c r="G999" s="27" t="s">
        <v>3419</v>
      </c>
      <c r="H999" s="27" t="s">
        <v>1833</v>
      </c>
      <c r="I999" s="27"/>
      <c r="J999" s="27"/>
    </row>
    <row r="1000" spans="1:10" s="10" customFormat="1" x14ac:dyDescent="0.3">
      <c r="A1000" s="10" t="s">
        <v>1003</v>
      </c>
      <c r="B1000" s="35" t="s">
        <v>7601</v>
      </c>
      <c r="C1000" s="10" t="s">
        <v>1021</v>
      </c>
    </row>
    <row r="1001" spans="1:10" s="10" customFormat="1" x14ac:dyDescent="0.35">
      <c r="A1001" s="27" t="s">
        <v>5182</v>
      </c>
      <c r="B1001" s="27" t="s">
        <v>2594</v>
      </c>
      <c r="C1001" s="27" t="s">
        <v>3818</v>
      </c>
      <c r="D1001" s="27" t="s">
        <v>5969</v>
      </c>
      <c r="E1001" s="27" t="s">
        <v>6939</v>
      </c>
      <c r="F1001" s="27"/>
      <c r="G1001" s="28"/>
      <c r="H1001" s="27"/>
      <c r="I1001" s="27"/>
      <c r="J1001" s="27"/>
    </row>
    <row r="1002" spans="1:10" x14ac:dyDescent="0.3">
      <c r="A1002" s="10" t="s">
        <v>733</v>
      </c>
      <c r="B1002" s="10" t="s">
        <v>6222</v>
      </c>
      <c r="C1002" s="10" t="s">
        <v>5911</v>
      </c>
      <c r="D1002" s="10" t="s">
        <v>3553</v>
      </c>
      <c r="E1002" s="10" t="s">
        <v>1051</v>
      </c>
      <c r="F1002" s="10"/>
      <c r="G1002" s="10"/>
      <c r="H1002" s="10"/>
      <c r="I1002" s="10"/>
      <c r="J1002" s="10"/>
    </row>
    <row r="1003" spans="1:10" x14ac:dyDescent="0.3">
      <c r="A1003" s="10" t="s">
        <v>3309</v>
      </c>
      <c r="B1003" s="10" t="s">
        <v>6578</v>
      </c>
      <c r="C1003" s="35" t="s">
        <v>7624</v>
      </c>
      <c r="D1003" s="10" t="s">
        <v>1021</v>
      </c>
      <c r="E1003" s="10" t="s">
        <v>2128</v>
      </c>
      <c r="F1003" s="35" t="s">
        <v>928</v>
      </c>
      <c r="G1003" s="35" t="s">
        <v>932</v>
      </c>
      <c r="H1003" s="10"/>
      <c r="I1003" s="10"/>
      <c r="J1003" s="10"/>
    </row>
    <row r="1004" spans="1:10" s="10" customFormat="1" x14ac:dyDescent="0.3">
      <c r="A1004" s="10" t="s">
        <v>1581</v>
      </c>
      <c r="B1004" s="10" t="s">
        <v>1175</v>
      </c>
      <c r="C1004" s="10" t="s">
        <v>1180</v>
      </c>
      <c r="D1004" s="10" t="s">
        <v>1190</v>
      </c>
      <c r="E1004" s="10" t="s">
        <v>4210</v>
      </c>
      <c r="F1004" s="10" t="s">
        <v>6920</v>
      </c>
      <c r="G1004" s="10" t="s">
        <v>3739</v>
      </c>
      <c r="H1004" s="10" t="s">
        <v>7615</v>
      </c>
    </row>
    <row r="1005" spans="1:10" s="10" customFormat="1" x14ac:dyDescent="0.35">
      <c r="A1005" s="27" t="s">
        <v>5187</v>
      </c>
      <c r="B1005" s="27" t="s">
        <v>458</v>
      </c>
      <c r="C1005" s="27" t="s">
        <v>5213</v>
      </c>
      <c r="D1005" s="27" t="s">
        <v>4087</v>
      </c>
      <c r="E1005" s="27" t="s">
        <v>4362</v>
      </c>
      <c r="F1005" s="25" t="s">
        <v>9480</v>
      </c>
      <c r="G1005" s="27" t="s">
        <v>4134</v>
      </c>
      <c r="H1005" s="27" t="s">
        <v>6374</v>
      </c>
      <c r="I1005" s="27" t="s">
        <v>9473</v>
      </c>
      <c r="J1005" s="27"/>
    </row>
    <row r="1006" spans="1:10" x14ac:dyDescent="0.3">
      <c r="A1006" s="27" t="s">
        <v>5191</v>
      </c>
      <c r="B1006" s="27" t="s">
        <v>458</v>
      </c>
      <c r="C1006" s="27" t="s">
        <v>1169</v>
      </c>
      <c r="D1006" s="27" t="s">
        <v>7429</v>
      </c>
      <c r="E1006" s="27" t="s">
        <v>968</v>
      </c>
      <c r="F1006" s="27" t="s">
        <v>912</v>
      </c>
      <c r="G1006" s="27" t="s">
        <v>5321</v>
      </c>
      <c r="H1006" s="27" t="s">
        <v>3033</v>
      </c>
      <c r="I1006" s="27" t="s">
        <v>29</v>
      </c>
      <c r="J1006" s="27" t="s">
        <v>7381</v>
      </c>
    </row>
    <row r="1007" spans="1:10" x14ac:dyDescent="0.3">
      <c r="A1007" s="10" t="s">
        <v>6582</v>
      </c>
      <c r="B1007" s="10" t="s">
        <v>34</v>
      </c>
      <c r="C1007" s="10" t="s">
        <v>3344</v>
      </c>
      <c r="D1007" s="10" t="s">
        <v>3344</v>
      </c>
      <c r="E1007" s="10" t="s">
        <v>2080</v>
      </c>
      <c r="F1007" s="10" t="s">
        <v>7604</v>
      </c>
      <c r="G1007" s="10"/>
      <c r="H1007" s="10"/>
      <c r="I1007" s="10"/>
      <c r="J1007" s="10"/>
    </row>
    <row r="1008" spans="1:10" x14ac:dyDescent="0.3">
      <c r="A1008" s="10" t="s">
        <v>82</v>
      </c>
      <c r="B1008" s="10" t="s">
        <v>2080</v>
      </c>
      <c r="C1008" s="10" t="s">
        <v>6798</v>
      </c>
      <c r="D1008" s="35" t="s">
        <v>2851</v>
      </c>
      <c r="E1008" s="10"/>
      <c r="F1008" s="10"/>
      <c r="G1008" s="10"/>
      <c r="H1008" s="10"/>
      <c r="I1008" s="10"/>
      <c r="J1008" s="10"/>
    </row>
    <row r="1009" spans="1:12" s="10" customFormat="1" x14ac:dyDescent="0.3">
      <c r="A1009" s="27" t="s">
        <v>1422</v>
      </c>
      <c r="B1009" s="27" t="s">
        <v>1406</v>
      </c>
      <c r="C1009" s="27" t="s">
        <v>7020</v>
      </c>
      <c r="D1009" s="27" t="s">
        <v>4384</v>
      </c>
      <c r="E1009" s="27"/>
      <c r="F1009" s="27"/>
      <c r="G1009" s="27"/>
      <c r="H1009" s="27"/>
      <c r="I1009" s="27"/>
      <c r="J1009" s="27"/>
    </row>
    <row r="1010" spans="1:12" x14ac:dyDescent="0.3">
      <c r="A1010" s="27" t="s">
        <v>5199</v>
      </c>
      <c r="B1010" s="27" t="s">
        <v>5976</v>
      </c>
      <c r="C1010" s="27" t="s">
        <v>6497</v>
      </c>
    </row>
    <row r="1011" spans="1:12" x14ac:dyDescent="0.3">
      <c r="A1011" s="27" t="s">
        <v>5206</v>
      </c>
      <c r="B1011" s="27" t="s">
        <v>2725</v>
      </c>
      <c r="C1011" s="27" t="s">
        <v>6826</v>
      </c>
      <c r="D1011" s="27" t="s">
        <v>7432</v>
      </c>
    </row>
    <row r="1012" spans="1:12" s="10" customFormat="1" x14ac:dyDescent="0.3">
      <c r="A1012" s="20" t="s">
        <v>9640</v>
      </c>
      <c r="B1012" s="10" t="s">
        <v>3025</v>
      </c>
      <c r="C1012" s="35" t="s">
        <v>2555</v>
      </c>
      <c r="D1012" s="10" t="s">
        <v>2851</v>
      </c>
      <c r="E1012" s="10" t="s">
        <v>2867</v>
      </c>
      <c r="F1012" s="10" t="s">
        <v>2889</v>
      </c>
      <c r="G1012" s="10" t="s">
        <v>2848</v>
      </c>
      <c r="H1012" s="10" t="s">
        <v>3710</v>
      </c>
      <c r="I1012" s="10" t="s">
        <v>6956</v>
      </c>
    </row>
    <row r="1013" spans="1:12" s="10" customFormat="1" x14ac:dyDescent="0.35">
      <c r="A1013" s="27" t="s">
        <v>3025</v>
      </c>
      <c r="B1013" s="27" t="s">
        <v>4993</v>
      </c>
      <c r="C1013" s="25" t="s">
        <v>2555</v>
      </c>
      <c r="D1013" s="27" t="s">
        <v>2889</v>
      </c>
      <c r="E1013" s="27" t="s">
        <v>2867</v>
      </c>
      <c r="F1013" s="27" t="s">
        <v>2851</v>
      </c>
      <c r="G1013" s="27"/>
      <c r="H1013" s="27"/>
      <c r="I1013" s="27"/>
      <c r="J1013" s="27"/>
    </row>
    <row r="1014" spans="1:12" s="10" customFormat="1" x14ac:dyDescent="0.3">
      <c r="A1014" s="27" t="s">
        <v>7429</v>
      </c>
      <c r="B1014" s="27" t="s">
        <v>5191</v>
      </c>
      <c r="C1014" s="27" t="s">
        <v>458</v>
      </c>
      <c r="D1014" s="27" t="s">
        <v>1169</v>
      </c>
      <c r="E1014" s="27" t="s">
        <v>1939</v>
      </c>
      <c r="F1014" s="27" t="s">
        <v>2816</v>
      </c>
      <c r="G1014" s="27" t="s">
        <v>2809</v>
      </c>
      <c r="H1014" s="27"/>
      <c r="I1014" s="27"/>
      <c r="J1014" s="27"/>
    </row>
    <row r="1015" spans="1:12" x14ac:dyDescent="0.3">
      <c r="A1015" s="10" t="s">
        <v>6597</v>
      </c>
      <c r="B1015" s="10" t="s">
        <v>535</v>
      </c>
      <c r="C1015" s="10" t="s">
        <v>544</v>
      </c>
      <c r="D1015" s="10" t="s">
        <v>7604</v>
      </c>
      <c r="E1015" s="10"/>
      <c r="F1015" s="10"/>
      <c r="G1015" s="10"/>
      <c r="H1015" s="10"/>
      <c r="I1015" s="10"/>
      <c r="J1015" s="10"/>
    </row>
    <row r="1016" spans="1:12" s="10" customFormat="1" x14ac:dyDescent="0.3">
      <c r="A1016" s="10" t="s">
        <v>2851</v>
      </c>
      <c r="B1016" s="10" t="s">
        <v>7621</v>
      </c>
      <c r="C1016" s="10" t="s">
        <v>2876</v>
      </c>
      <c r="D1016" s="35" t="s">
        <v>3238</v>
      </c>
      <c r="E1016" s="35" t="s">
        <v>9652</v>
      </c>
      <c r="F1016" s="10" t="s">
        <v>3463</v>
      </c>
    </row>
    <row r="1017" spans="1:12" x14ac:dyDescent="0.3">
      <c r="A1017" s="10" t="s">
        <v>3117</v>
      </c>
      <c r="B1017" s="35" t="s">
        <v>7601</v>
      </c>
      <c r="C1017" s="10" t="s">
        <v>1029</v>
      </c>
      <c r="D1017" s="10" t="s">
        <v>1051</v>
      </c>
      <c r="E1017" s="10" t="s">
        <v>1077</v>
      </c>
      <c r="F1017" s="10" t="s">
        <v>670</v>
      </c>
      <c r="G1017" s="10" t="s">
        <v>7000</v>
      </c>
      <c r="H1017" s="10" t="s">
        <v>3593</v>
      </c>
      <c r="I1017" s="10" t="s">
        <v>3908</v>
      </c>
      <c r="J1017" s="10"/>
    </row>
    <row r="1018" spans="1:12" x14ac:dyDescent="0.3">
      <c r="A1018" s="27" t="s">
        <v>6601</v>
      </c>
      <c r="B1018" s="27" t="s">
        <v>1833</v>
      </c>
      <c r="C1018" s="27" t="s">
        <v>832</v>
      </c>
      <c r="D1018" s="27" t="s">
        <v>3233</v>
      </c>
      <c r="E1018" s="27" t="s">
        <v>2337</v>
      </c>
      <c r="F1018" s="27" t="s">
        <v>7107</v>
      </c>
    </row>
    <row r="1019" spans="1:12" x14ac:dyDescent="0.3">
      <c r="A1019" s="10" t="s">
        <v>3009</v>
      </c>
      <c r="B1019" s="10" t="s">
        <v>2851</v>
      </c>
      <c r="C1019" s="10" t="s">
        <v>7621</v>
      </c>
      <c r="D1019" s="10" t="s">
        <v>3463</v>
      </c>
      <c r="E1019" s="10" t="s">
        <v>2876</v>
      </c>
      <c r="F1019" s="10" t="s">
        <v>7672</v>
      </c>
      <c r="G1019" s="10"/>
      <c r="H1019" s="10"/>
      <c r="I1019" s="10"/>
      <c r="J1019" s="10"/>
    </row>
    <row r="1020" spans="1:12" x14ac:dyDescent="0.35">
      <c r="A1020" s="27" t="s">
        <v>6605</v>
      </c>
      <c r="B1020" s="27" t="s">
        <v>670</v>
      </c>
      <c r="C1020" s="28" t="s">
        <v>5495</v>
      </c>
      <c r="D1020" s="27" t="s">
        <v>3908</v>
      </c>
      <c r="E1020" s="27" t="s">
        <v>1060</v>
      </c>
      <c r="F1020" s="27" t="s">
        <v>5725</v>
      </c>
      <c r="G1020" s="27" t="s">
        <v>4829</v>
      </c>
    </row>
    <row r="1021" spans="1:12" x14ac:dyDescent="0.3">
      <c r="A1021" s="27" t="s">
        <v>6608</v>
      </c>
      <c r="B1021" s="27" t="s">
        <v>6737</v>
      </c>
      <c r="C1021" s="27" t="s">
        <v>2889</v>
      </c>
      <c r="D1021" s="27" t="s">
        <v>2898</v>
      </c>
      <c r="E1021" s="27" t="s">
        <v>2867</v>
      </c>
      <c r="F1021" s="27" t="s">
        <v>5166</v>
      </c>
      <c r="G1021" s="27" t="s">
        <v>5349</v>
      </c>
    </row>
    <row r="1022" spans="1:12" s="10" customFormat="1" x14ac:dyDescent="0.3">
      <c r="A1022" s="27" t="s">
        <v>7456</v>
      </c>
      <c r="B1022" s="27" t="s">
        <v>753</v>
      </c>
      <c r="C1022" s="27" t="s">
        <v>705</v>
      </c>
      <c r="D1022" s="27" t="s">
        <v>5767</v>
      </c>
      <c r="E1022" s="27" t="s">
        <v>6920</v>
      </c>
      <c r="F1022" s="27"/>
      <c r="G1022" s="27"/>
      <c r="H1022" s="27"/>
      <c r="I1022" s="27"/>
      <c r="J1022" s="27"/>
      <c r="K1022" s="20"/>
      <c r="L1022" s="20"/>
    </row>
    <row r="1023" spans="1:12" x14ac:dyDescent="0.3">
      <c r="A1023" s="27" t="s">
        <v>7452</v>
      </c>
    </row>
    <row r="1024" spans="1:12" x14ac:dyDescent="0.35">
      <c r="A1024" s="27" t="s">
        <v>5209</v>
      </c>
      <c r="B1024" s="27" t="s">
        <v>6216</v>
      </c>
      <c r="C1024" s="27" t="s">
        <v>6744</v>
      </c>
      <c r="D1024" s="28" t="s">
        <v>6344</v>
      </c>
    </row>
    <row r="1025" spans="1:10" x14ac:dyDescent="0.35">
      <c r="A1025" s="25" t="s">
        <v>767</v>
      </c>
      <c r="B1025" s="27" t="s">
        <v>1678</v>
      </c>
      <c r="C1025" s="27" t="s">
        <v>5331</v>
      </c>
      <c r="D1025" s="27" t="s">
        <v>779</v>
      </c>
      <c r="E1025" s="27" t="s">
        <v>3177</v>
      </c>
      <c r="F1025" s="27" t="s">
        <v>3164</v>
      </c>
      <c r="G1025" s="27" t="s">
        <v>794</v>
      </c>
      <c r="H1025" s="27" t="s">
        <v>9665</v>
      </c>
      <c r="I1025" s="27" t="s">
        <v>9704</v>
      </c>
    </row>
    <row r="1026" spans="1:10" x14ac:dyDescent="0.3">
      <c r="A1026" s="26" t="s">
        <v>9475</v>
      </c>
      <c r="B1026" s="27" t="s">
        <v>5264</v>
      </c>
      <c r="C1026" s="27" t="s">
        <v>1051</v>
      </c>
      <c r="D1026" s="27" t="s">
        <v>1042</v>
      </c>
      <c r="E1026" s="27" t="s">
        <v>4070</v>
      </c>
      <c r="F1026" s="27" t="s">
        <v>3593</v>
      </c>
      <c r="G1026" s="27" t="s">
        <v>3725</v>
      </c>
    </row>
    <row r="1027" spans="1:10" x14ac:dyDescent="0.3">
      <c r="A1027" s="26" t="s">
        <v>1568</v>
      </c>
      <c r="B1027" s="27" t="s">
        <v>2143</v>
      </c>
      <c r="C1027" s="27" t="s">
        <v>9729</v>
      </c>
      <c r="D1027" s="27" t="s">
        <v>10108</v>
      </c>
      <c r="E1027" s="27" t="s">
        <v>3262</v>
      </c>
      <c r="F1027" s="27" t="s">
        <v>6928</v>
      </c>
      <c r="G1027" s="27" t="s">
        <v>3710</v>
      </c>
      <c r="H1027" s="27" t="s">
        <v>4985</v>
      </c>
      <c r="I1027" s="27" t="s">
        <v>4941</v>
      </c>
      <c r="J1027" s="27" t="s">
        <v>3267</v>
      </c>
    </row>
    <row r="1028" spans="1:10" x14ac:dyDescent="0.3">
      <c r="A1028" s="26" t="s">
        <v>9729</v>
      </c>
      <c r="B1028" s="27" t="s">
        <v>1568</v>
      </c>
    </row>
    <row r="1029" spans="1:10" x14ac:dyDescent="0.3">
      <c r="A1029" s="26" t="s">
        <v>3233</v>
      </c>
      <c r="B1029" s="27" t="s">
        <v>3223</v>
      </c>
      <c r="C1029" s="27" t="s">
        <v>10074</v>
      </c>
      <c r="D1029" s="27" t="s">
        <v>426</v>
      </c>
      <c r="E1029" s="27" t="s">
        <v>416</v>
      </c>
      <c r="F1029" s="27" t="s">
        <v>4384</v>
      </c>
      <c r="G1029" s="27" t="s">
        <v>786</v>
      </c>
    </row>
    <row r="1030" spans="1:10" x14ac:dyDescent="0.3">
      <c r="A1030" s="26" t="s">
        <v>10074</v>
      </c>
      <c r="B1030" s="27" t="s">
        <v>3233</v>
      </c>
      <c r="C1030" s="27" t="s">
        <v>416</v>
      </c>
      <c r="D1030" s="27" t="s">
        <v>4384</v>
      </c>
      <c r="E1030" s="27" t="s">
        <v>426</v>
      </c>
      <c r="F1030" s="27" t="s">
        <v>3223</v>
      </c>
    </row>
    <row r="1031" spans="1:10" x14ac:dyDescent="0.3">
      <c r="A1031" s="26"/>
    </row>
    <row r="1032" spans="1:10" x14ac:dyDescent="0.3">
      <c r="A1032" s="26"/>
    </row>
    <row r="1033" spans="1:10" x14ac:dyDescent="0.3">
      <c r="A1033" s="26"/>
    </row>
  </sheetData>
  <autoFilter ref="A1:J1025" xr:uid="{CF04E47E-BF23-4A75-990A-58F95122F1A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5"/>
  <sheetViews>
    <sheetView showGridLines="0" topLeftCell="A45" workbookViewId="0">
      <selection activeCell="B48" sqref="B48"/>
    </sheetView>
  </sheetViews>
  <sheetFormatPr baseColWidth="10" defaultRowHeight="15.6" x14ac:dyDescent="0.3"/>
  <cols>
    <col min="1" max="1" width="22.796875" style="16" customWidth="1"/>
    <col min="2" max="2" width="28.796875" style="16" customWidth="1"/>
  </cols>
  <sheetData>
    <row r="1" spans="1:2" ht="15.6" customHeight="1" x14ac:dyDescent="0.3">
      <c r="A1" t="s">
        <v>89</v>
      </c>
      <c r="B1" t="s">
        <v>2</v>
      </c>
    </row>
    <row r="2" spans="1:2" ht="15.6" customHeight="1" x14ac:dyDescent="0.3">
      <c r="A2" t="s">
        <v>18</v>
      </c>
      <c r="B2" t="s">
        <v>91</v>
      </c>
    </row>
    <row r="3" spans="1:2" ht="15.6" customHeight="1" x14ac:dyDescent="0.3">
      <c r="A3" t="s">
        <v>18</v>
      </c>
      <c r="B3" t="s">
        <v>97</v>
      </c>
    </row>
    <row r="4" spans="1:2" ht="15.6" customHeight="1" x14ac:dyDescent="0.3">
      <c r="A4" t="s">
        <v>18</v>
      </c>
      <c r="B4" t="s">
        <v>102</v>
      </c>
    </row>
    <row r="5" spans="1:2" ht="15.6" customHeight="1" x14ac:dyDescent="0.3">
      <c r="A5" t="s">
        <v>24</v>
      </c>
      <c r="B5" t="s">
        <v>7690</v>
      </c>
    </row>
    <row r="6" spans="1:2" ht="15.6" customHeight="1" x14ac:dyDescent="0.3">
      <c r="A6" t="s">
        <v>24</v>
      </c>
      <c r="B6" t="s">
        <v>7691</v>
      </c>
    </row>
    <row r="7" spans="1:2" ht="15.6" customHeight="1" x14ac:dyDescent="0.3">
      <c r="A7" t="s">
        <v>24</v>
      </c>
      <c r="B7" t="s">
        <v>113</v>
      </c>
    </row>
    <row r="8" spans="1:2" ht="15.6" customHeight="1" x14ac:dyDescent="0.3">
      <c r="A8" t="s">
        <v>24</v>
      </c>
      <c r="B8" t="s">
        <v>118</v>
      </c>
    </row>
    <row r="9" spans="1:2" ht="15.6" customHeight="1" x14ac:dyDescent="0.3">
      <c r="A9" t="s">
        <v>77</v>
      </c>
      <c r="B9" t="s">
        <v>122</v>
      </c>
    </row>
    <row r="10" spans="1:2" ht="15.6" customHeight="1" x14ac:dyDescent="0.3">
      <c r="A10" t="s">
        <v>77</v>
      </c>
      <c r="B10" t="s">
        <v>126</v>
      </c>
    </row>
    <row r="11" spans="1:2" ht="15.6" customHeight="1" x14ac:dyDescent="0.3">
      <c r="A11" t="s">
        <v>77</v>
      </c>
      <c r="B11" t="s">
        <v>131</v>
      </c>
    </row>
    <row r="12" spans="1:2" ht="15.6" customHeight="1" x14ac:dyDescent="0.3">
      <c r="A12" t="s">
        <v>41</v>
      </c>
      <c r="B12" t="s">
        <v>134</v>
      </c>
    </row>
    <row r="13" spans="1:2" ht="15.6" customHeight="1" x14ac:dyDescent="0.3">
      <c r="A13" t="s">
        <v>41</v>
      </c>
      <c r="B13" t="s">
        <v>138</v>
      </c>
    </row>
    <row r="14" spans="1:2" ht="15.6" customHeight="1" x14ac:dyDescent="0.3">
      <c r="A14" t="s">
        <v>41</v>
      </c>
      <c r="B14" t="s">
        <v>143</v>
      </c>
    </row>
    <row r="15" spans="1:2" ht="15.6" customHeight="1" x14ac:dyDescent="0.3">
      <c r="A15" t="s">
        <v>41</v>
      </c>
      <c r="B15" t="s">
        <v>148</v>
      </c>
    </row>
    <row r="16" spans="1:2" ht="15.6" customHeight="1" x14ac:dyDescent="0.3">
      <c r="A16" t="s">
        <v>41</v>
      </c>
      <c r="B16" t="s">
        <v>153</v>
      </c>
    </row>
    <row r="17" spans="1:2" ht="15.6" customHeight="1" x14ac:dyDescent="0.3">
      <c r="A17" t="s">
        <v>41</v>
      </c>
      <c r="B17" t="s">
        <v>157</v>
      </c>
    </row>
    <row r="18" spans="1:2" ht="15.6" customHeight="1" x14ac:dyDescent="0.3">
      <c r="A18" t="s">
        <v>30</v>
      </c>
      <c r="B18" t="s">
        <v>160</v>
      </c>
    </row>
    <row r="19" spans="1:2" ht="15.6" customHeight="1" x14ac:dyDescent="0.3">
      <c r="A19" t="s">
        <v>30</v>
      </c>
      <c r="B19" t="s">
        <v>165</v>
      </c>
    </row>
    <row r="20" spans="1:2" ht="15.6" customHeight="1" x14ac:dyDescent="0.3">
      <c r="A20" t="s">
        <v>30</v>
      </c>
      <c r="B20" t="s">
        <v>168</v>
      </c>
    </row>
    <row r="21" spans="1:2" ht="15.6" customHeight="1" x14ac:dyDescent="0.3">
      <c r="A21" t="s">
        <v>30</v>
      </c>
      <c r="B21" t="s">
        <v>171</v>
      </c>
    </row>
    <row r="22" spans="1:2" ht="15.6" customHeight="1" x14ac:dyDescent="0.3">
      <c r="A22" t="s">
        <v>30</v>
      </c>
      <c r="B22" t="s">
        <v>175</v>
      </c>
    </row>
    <row r="23" spans="1:2" ht="15.6" customHeight="1" x14ac:dyDescent="0.3">
      <c r="A23" t="s">
        <v>30</v>
      </c>
      <c r="B23" t="s">
        <v>179</v>
      </c>
    </row>
    <row r="24" spans="1:2" ht="15.6" customHeight="1" x14ac:dyDescent="0.3">
      <c r="A24" t="s">
        <v>35</v>
      </c>
      <c r="B24" t="s">
        <v>183</v>
      </c>
    </row>
    <row r="25" spans="1:2" ht="15.6" customHeight="1" x14ac:dyDescent="0.3">
      <c r="A25" t="s">
        <v>35</v>
      </c>
      <c r="B25" t="s">
        <v>187</v>
      </c>
    </row>
    <row r="26" spans="1:2" ht="15.6" customHeight="1" x14ac:dyDescent="0.3">
      <c r="A26" t="s">
        <v>35</v>
      </c>
      <c r="B26" t="s">
        <v>192</v>
      </c>
    </row>
    <row r="27" spans="1:2" ht="15.6" customHeight="1" x14ac:dyDescent="0.3">
      <c r="A27" t="s">
        <v>35</v>
      </c>
      <c r="B27" t="s">
        <v>197</v>
      </c>
    </row>
    <row r="28" spans="1:2" ht="15.6" customHeight="1" x14ac:dyDescent="0.3">
      <c r="A28" t="s">
        <v>35</v>
      </c>
      <c r="B28" t="s">
        <v>202</v>
      </c>
    </row>
    <row r="29" spans="1:2" ht="15.6" customHeight="1" x14ac:dyDescent="0.3">
      <c r="A29" t="s">
        <v>35</v>
      </c>
      <c r="B29" t="s">
        <v>206</v>
      </c>
    </row>
    <row r="30" spans="1:2" ht="15.6" customHeight="1" x14ac:dyDescent="0.3">
      <c r="A30" t="s">
        <v>35</v>
      </c>
      <c r="B30" t="s">
        <v>211</v>
      </c>
    </row>
    <row r="31" spans="1:2" ht="15.6" customHeight="1" x14ac:dyDescent="0.3">
      <c r="A31" t="s">
        <v>35</v>
      </c>
      <c r="B31" t="s">
        <v>214</v>
      </c>
    </row>
    <row r="32" spans="1:2" ht="15.6" customHeight="1" x14ac:dyDescent="0.3">
      <c r="A32" t="s">
        <v>35</v>
      </c>
      <c r="B32" t="s">
        <v>219</v>
      </c>
    </row>
    <row r="33" spans="1:2" ht="15.6" customHeight="1" x14ac:dyDescent="0.3">
      <c r="A33" t="s">
        <v>24</v>
      </c>
      <c r="B33" t="s">
        <v>223</v>
      </c>
    </row>
    <row r="34" spans="1:2" ht="15.6" customHeight="1" x14ac:dyDescent="0.3">
      <c r="A34" t="s">
        <v>24</v>
      </c>
      <c r="B34" t="s">
        <v>227</v>
      </c>
    </row>
    <row r="35" spans="1:2" ht="15.6" customHeight="1" x14ac:dyDescent="0.3">
      <c r="A35" t="s">
        <v>24</v>
      </c>
      <c r="B35" t="s">
        <v>232</v>
      </c>
    </row>
    <row r="36" spans="1:2" ht="15.6" customHeight="1" x14ac:dyDescent="0.3">
      <c r="A36" t="s">
        <v>24</v>
      </c>
      <c r="B36" t="s">
        <v>236</v>
      </c>
    </row>
    <row r="37" spans="1:2" ht="15.6" customHeight="1" x14ac:dyDescent="0.3">
      <c r="A37" t="s">
        <v>24</v>
      </c>
      <c r="B37" t="s">
        <v>238</v>
      </c>
    </row>
    <row r="38" spans="1:2" ht="15.6" customHeight="1" x14ac:dyDescent="0.3">
      <c r="A38" t="s">
        <v>24</v>
      </c>
      <c r="B38" t="s">
        <v>243</v>
      </c>
    </row>
    <row r="39" spans="1:2" ht="15.6" customHeight="1" x14ac:dyDescent="0.3">
      <c r="A39" t="s">
        <v>24</v>
      </c>
      <c r="B39" t="s">
        <v>246</v>
      </c>
    </row>
    <row r="40" spans="1:2" ht="15.6" customHeight="1" x14ac:dyDescent="0.3">
      <c r="A40" t="s">
        <v>24</v>
      </c>
      <c r="B40" t="s">
        <v>250</v>
      </c>
    </row>
    <row r="41" spans="1:2" ht="15.6" customHeight="1" x14ac:dyDescent="0.3">
      <c r="A41" t="s">
        <v>59</v>
      </c>
      <c r="B41" t="s">
        <v>252</v>
      </c>
    </row>
    <row r="42" spans="1:2" ht="15.6" customHeight="1" x14ac:dyDescent="0.3">
      <c r="A42" t="s">
        <v>59</v>
      </c>
      <c r="B42" t="s">
        <v>256</v>
      </c>
    </row>
    <row r="43" spans="1:2" ht="15.6" customHeight="1" x14ac:dyDescent="0.3">
      <c r="A43" t="s">
        <v>59</v>
      </c>
      <c r="B43" t="s">
        <v>260</v>
      </c>
    </row>
    <row r="44" spans="1:2" ht="15.6" customHeight="1" x14ac:dyDescent="0.3">
      <c r="A44" t="s">
        <v>59</v>
      </c>
      <c r="B44" t="s">
        <v>265</v>
      </c>
    </row>
    <row r="45" spans="1:2" ht="15.6" customHeight="1" x14ac:dyDescent="0.3">
      <c r="A45" t="s">
        <v>59</v>
      </c>
      <c r="B45" t="s">
        <v>270</v>
      </c>
    </row>
    <row r="46" spans="1:2" ht="15.6" customHeight="1" x14ac:dyDescent="0.3">
      <c r="A46" t="s">
        <v>65</v>
      </c>
      <c r="B46" t="s">
        <v>275</v>
      </c>
    </row>
    <row r="47" spans="1:2" ht="15.6" customHeight="1" x14ac:dyDescent="0.3">
      <c r="A47" t="s">
        <v>65</v>
      </c>
      <c r="B47" t="s">
        <v>279</v>
      </c>
    </row>
    <row r="48" spans="1:2" ht="15.6" customHeight="1" x14ac:dyDescent="0.3">
      <c r="A48" t="s">
        <v>65</v>
      </c>
      <c r="B48" t="s">
        <v>284</v>
      </c>
    </row>
    <row r="49" spans="1:2" ht="15.6" customHeight="1" x14ac:dyDescent="0.3">
      <c r="A49" t="s">
        <v>65</v>
      </c>
      <c r="B49" t="s">
        <v>289</v>
      </c>
    </row>
    <row r="50" spans="1:2" ht="15.6" customHeight="1" x14ac:dyDescent="0.3">
      <c r="A50" t="s">
        <v>65</v>
      </c>
      <c r="B50" t="s">
        <v>294</v>
      </c>
    </row>
    <row r="51" spans="1:2" ht="15.6" customHeight="1" x14ac:dyDescent="0.3">
      <c r="A51" t="s">
        <v>53</v>
      </c>
      <c r="B51" t="s">
        <v>299</v>
      </c>
    </row>
    <row r="52" spans="1:2" ht="15.6" customHeight="1" x14ac:dyDescent="0.3">
      <c r="A52" t="s">
        <v>53</v>
      </c>
      <c r="B52" t="s">
        <v>304</v>
      </c>
    </row>
    <row r="53" spans="1:2" ht="15.6" customHeight="1" x14ac:dyDescent="0.3">
      <c r="A53" t="s">
        <v>53</v>
      </c>
      <c r="B53" t="s">
        <v>310</v>
      </c>
    </row>
    <row r="54" spans="1:2" ht="15.6" customHeight="1" x14ac:dyDescent="0.3">
      <c r="A54" t="s">
        <v>53</v>
      </c>
      <c r="B54" t="s">
        <v>314</v>
      </c>
    </row>
    <row r="55" spans="1:2" ht="15.6" customHeight="1" x14ac:dyDescent="0.3">
      <c r="A55" t="s">
        <v>53</v>
      </c>
      <c r="B55" t="s">
        <v>320</v>
      </c>
    </row>
    <row r="56" spans="1:2" ht="15.6" customHeight="1" x14ac:dyDescent="0.3">
      <c r="A56" t="s">
        <v>47</v>
      </c>
      <c r="B56" t="s">
        <v>325</v>
      </c>
    </row>
    <row r="57" spans="1:2" ht="15.6" customHeight="1" x14ac:dyDescent="0.3">
      <c r="A57" t="s">
        <v>47</v>
      </c>
      <c r="B57" t="s">
        <v>327</v>
      </c>
    </row>
    <row r="58" spans="1:2" ht="15.6" customHeight="1" x14ac:dyDescent="0.3">
      <c r="A58" t="s">
        <v>47</v>
      </c>
      <c r="B58" t="s">
        <v>330</v>
      </c>
    </row>
    <row r="59" spans="1:2" x14ac:dyDescent="0.3">
      <c r="A59" t="s">
        <v>47</v>
      </c>
      <c r="B59" t="s">
        <v>336</v>
      </c>
    </row>
    <row r="60" spans="1:2" x14ac:dyDescent="0.3">
      <c r="A60" t="s">
        <v>70</v>
      </c>
      <c r="B60" t="s">
        <v>339</v>
      </c>
    </row>
    <row r="61" spans="1:2" x14ac:dyDescent="0.3">
      <c r="A61" t="s">
        <v>70</v>
      </c>
      <c r="B61" t="s">
        <v>343</v>
      </c>
    </row>
    <row r="62" spans="1:2" x14ac:dyDescent="0.3">
      <c r="A62" t="s">
        <v>70</v>
      </c>
      <c r="B62" t="s">
        <v>346</v>
      </c>
    </row>
    <row r="63" spans="1:2" x14ac:dyDescent="0.3">
      <c r="A63" t="s">
        <v>70</v>
      </c>
      <c r="B63" t="s">
        <v>349</v>
      </c>
    </row>
    <row r="64" spans="1:2" x14ac:dyDescent="0.3">
      <c r="A64" t="s">
        <v>74</v>
      </c>
      <c r="B64" t="s">
        <v>353</v>
      </c>
    </row>
    <row r="65" spans="1:2" x14ac:dyDescent="0.3">
      <c r="A65" t="s">
        <v>74</v>
      </c>
      <c r="B65" t="s">
        <v>358</v>
      </c>
    </row>
    <row r="66" spans="1:2" x14ac:dyDescent="0.3">
      <c r="A66" t="s">
        <v>74</v>
      </c>
      <c r="B66" t="s">
        <v>363</v>
      </c>
    </row>
    <row r="67" spans="1:2" x14ac:dyDescent="0.3">
      <c r="A67" t="s">
        <v>83</v>
      </c>
      <c r="B67" t="s">
        <v>367</v>
      </c>
    </row>
    <row r="68" spans="1:2" x14ac:dyDescent="0.3">
      <c r="A68" t="s">
        <v>83</v>
      </c>
      <c r="B68" t="s">
        <v>370</v>
      </c>
    </row>
    <row r="69" spans="1:2" x14ac:dyDescent="0.3">
      <c r="A69" t="s">
        <v>83</v>
      </c>
      <c r="B69" t="s">
        <v>374</v>
      </c>
    </row>
    <row r="70" spans="1:2" x14ac:dyDescent="0.3">
      <c r="A70" t="s">
        <v>13</v>
      </c>
      <c r="B70" t="s">
        <v>379</v>
      </c>
    </row>
    <row r="71" spans="1:2" x14ac:dyDescent="0.3">
      <c r="A71" t="s">
        <v>13</v>
      </c>
      <c r="B71" t="s">
        <v>382</v>
      </c>
    </row>
    <row r="72" spans="1:2" x14ac:dyDescent="0.3">
      <c r="A72" t="s">
        <v>8</v>
      </c>
      <c r="B72" t="s">
        <v>388</v>
      </c>
    </row>
    <row r="73" spans="1:2" x14ac:dyDescent="0.3">
      <c r="A73" t="s">
        <v>8</v>
      </c>
      <c r="B73" t="s">
        <v>7692</v>
      </c>
    </row>
    <row r="74" spans="1:2" x14ac:dyDescent="0.3">
      <c r="A74" t="s">
        <v>8</v>
      </c>
      <c r="B74" t="s">
        <v>386</v>
      </c>
    </row>
    <row r="75" spans="1:2" x14ac:dyDescent="0.3">
      <c r="A75" t="s">
        <v>8</v>
      </c>
      <c r="B75" t="s">
        <v>396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58"/>
  <sheetViews>
    <sheetView workbookViewId="0">
      <pane xSplit="1" ySplit="6" topLeftCell="B188" activePane="bottomRight" state="frozen"/>
      <selection pane="topRight"/>
      <selection pane="bottomLeft"/>
      <selection pane="bottomRight" activeCell="E206" sqref="E206"/>
    </sheetView>
  </sheetViews>
  <sheetFormatPr baseColWidth="10" defaultColWidth="8.796875" defaultRowHeight="15.6" x14ac:dyDescent="0.3"/>
  <cols>
    <col min="1" max="1" width="12" style="16" customWidth="1"/>
    <col min="2" max="9" width="18.69921875" style="16" customWidth="1"/>
  </cols>
  <sheetData>
    <row r="1" spans="1:9" ht="18" customHeight="1" x14ac:dyDescent="0.35">
      <c r="A1" s="46" t="s">
        <v>7693</v>
      </c>
      <c r="B1" s="47"/>
      <c r="C1" s="47"/>
      <c r="D1" s="47"/>
      <c r="E1" s="47"/>
      <c r="F1" s="47"/>
      <c r="G1" s="47"/>
      <c r="H1" s="47"/>
      <c r="I1" s="47"/>
    </row>
    <row r="3" spans="1:9" x14ac:dyDescent="0.3">
      <c r="A3" s="1" t="s">
        <v>7694</v>
      </c>
      <c r="B3" s="2">
        <f>COUNTIF(B7:I1058,"✗*")</f>
        <v>0</v>
      </c>
    </row>
    <row r="4" spans="1:9" x14ac:dyDescent="0.3">
      <c r="A4" s="48" t="s">
        <v>7695</v>
      </c>
      <c r="B4" s="47"/>
      <c r="C4" s="47"/>
      <c r="D4" s="47"/>
      <c r="E4" s="47"/>
      <c r="F4" s="47"/>
      <c r="G4" s="47"/>
      <c r="H4" s="47"/>
      <c r="I4" s="47"/>
    </row>
    <row r="6" spans="1:9" x14ac:dyDescent="0.3">
      <c r="A6" s="3" t="s">
        <v>7696</v>
      </c>
      <c r="B6" s="3" t="s">
        <v>7680</v>
      </c>
      <c r="C6" s="3" t="s">
        <v>7681</v>
      </c>
      <c r="D6" s="3" t="s">
        <v>7682</v>
      </c>
      <c r="E6" s="3" t="s">
        <v>7683</v>
      </c>
      <c r="F6" s="3" t="s">
        <v>7684</v>
      </c>
      <c r="G6" s="3" t="s">
        <v>7685</v>
      </c>
      <c r="H6" s="3" t="s">
        <v>7686</v>
      </c>
      <c r="I6" s="3" t="s">
        <v>7687</v>
      </c>
    </row>
    <row r="7" spans="1:9" x14ac:dyDescent="0.3">
      <c r="A7">
        <v>2</v>
      </c>
      <c r="B7" t="str">
        <f>IF(Liens!A2="","",IF(COUNTIF(Mots!A:A,Liens!A2)&gt;0,"✓ "&amp;Liens!A2,"✗ "&amp;Liens!A2&amp;" (introuvable)"))</f>
        <v>✓ a_arme</v>
      </c>
      <c r="C7" t="str">
        <f>IF(Liens!B2="","",IF(COUNTIF(Mots!A:A,Liens!B2)&gt;0,"✓ "&amp;Liens!B2,"✗ "&amp;Liens!B2&amp;" (introuvable)"))</f>
        <v>✓ policier</v>
      </c>
      <c r="D7" t="str">
        <f>IF(Liens!C2="","",IF(COUNTIF(Mots!A:A,Liens!C2)&gt;0,"✓ "&amp;Liens!C2,"✗ "&amp;Liens!C2&amp;" (introuvable)"))</f>
        <v>✓ couteau</v>
      </c>
      <c r="E7" t="str">
        <f>IF(Liens!D2="","",IF(COUNTIF(Mots!A:A,Liens!D2)&gt;0,"✓ "&amp;Liens!D2,"✗ "&amp;Liens!D2&amp;" (introuvable)"))</f>
        <v/>
      </c>
      <c r="F7" t="str">
        <f>IF(Liens!E2="","",IF(COUNTIF(Mots!A:A,Liens!E2)&gt;0,"✓ "&amp;Liens!E2,"✗ "&amp;Liens!E2&amp;" (introuvable)"))</f>
        <v/>
      </c>
      <c r="G7" t="str">
        <f>IF(Liens!F2="","",IF(COUNTIF(Mots!A:A,Liens!F2)&gt;0,"✓ "&amp;Liens!F2,"✗ "&amp;Liens!F2&amp;" (introuvable)"))</f>
        <v/>
      </c>
      <c r="H7" t="str">
        <f>IF(Liens!G2="","",IF(COUNTIF(Mots!A:A,Liens!G2)&gt;0,"✓ "&amp;Liens!G2,"✗ "&amp;Liens!G2&amp;" (introuvable)"))</f>
        <v/>
      </c>
      <c r="I7" t="str">
        <f>IF(Liens!H2="","",IF(COUNTIF(Mots!A:A,Liens!H2)&gt;0,"✓ "&amp;Liens!H2,"✗ "&amp;Liens!H2&amp;" (introuvable)"))</f>
        <v/>
      </c>
    </row>
    <row r="8" spans="1:9" x14ac:dyDescent="0.3">
      <c r="A8">
        <v>3</v>
      </c>
      <c r="B8" t="str">
        <f>IF(Liens!A3="","",IF(COUNTIF(Mots!A:A,Liens!A3)&gt;0,"✓ "&amp;Liens!A3,"✗ "&amp;Liens!A3&amp;" (introuvable)"))</f>
        <v>✓ a_casse</v>
      </c>
      <c r="C8" t="str">
        <f>IF(Liens!B3="","",IF(COUNTIF(Mots!A:A,Liens!B3)&gt;0,"✓ "&amp;Liens!B3,"✗ "&amp;Liens!B3&amp;" (introuvable)"))</f>
        <v>✓ v_tomber</v>
      </c>
      <c r="D8" t="str">
        <f>IF(Liens!C3="","",IF(COUNTIF(Mots!A:A,Liens!C3)&gt;0,"✓ "&amp;Liens!C3,"✗ "&amp;Liens!C3&amp;" (introuvable)"))</f>
        <v>✓ verre</v>
      </c>
      <c r="E8" t="str">
        <f>IF(Liens!D3="","",IF(COUNTIF(Mots!A:A,Liens!D3)&gt;0,"✓ "&amp;Liens!D3,"✗ "&amp;Liens!D3&amp;" (introuvable)"))</f>
        <v>✓ morceau</v>
      </c>
      <c r="F8" t="str">
        <f>IF(Liens!E3="","",IF(COUNTIF(Mots!A:A,Liens!E3)&gt;0,"✓ "&amp;Liens!E3,"✗ "&amp;Liens!E3&amp;" (introuvable)"))</f>
        <v>✓ dangereux</v>
      </c>
      <c r="G8" t="str">
        <f>IF(Liens!F3="","",IF(COUNTIF(Mots!A:A,Liens!F3)&gt;0,"✓ "&amp;Liens!F3,"✗ "&amp;Liens!F3&amp;" (introuvable)"))</f>
        <v>✓ doigt</v>
      </c>
      <c r="H8" t="str">
        <f>IF(Liens!G3="","",IF(COUNTIF(Mots!A:A,Liens!G3)&gt;0,"✓ "&amp;Liens!G3,"✗ "&amp;Liens!G3&amp;" (introuvable)"))</f>
        <v>✓ v_casser</v>
      </c>
      <c r="I8" t="str">
        <f>IF(Liens!H3="","",IF(COUNTIF(Mots!A:A,Liens!H3)&gt;0,"✓ "&amp;Liens!H3,"✗ "&amp;Liens!H3&amp;" (introuvable)"))</f>
        <v/>
      </c>
    </row>
    <row r="9" spans="1:9" x14ac:dyDescent="0.3">
      <c r="A9">
        <v>4</v>
      </c>
      <c r="B9" s="35" t="str">
        <f>IF(Liens!A4="","",IF(COUNTIF(Mots!A:A,Liens!A4)&gt;0,"✓ "&amp;Liens!A4,"✗ "&amp;Liens!A4&amp;" (introuvable)"))</f>
        <v>✓ a_colore</v>
      </c>
      <c r="C9" s="35" t="str">
        <f>IF(Liens!B4="","",IF(COUNTIF(Mots!A:A,Liens!B4)&gt;0,"✓ "&amp;Liens!B4,"✗ "&amp;Liens!B4&amp;" (introuvable)"))</f>
        <v>✓ couleur</v>
      </c>
      <c r="D9" s="35" t="str">
        <f>IF(Liens!C4="","",IF(COUNTIF(Mots!A:A,Liens!C4)&gt;0,"✓ "&amp;Liens!C4,"✗ "&amp;Liens!C4&amp;" (introuvable)"))</f>
        <v>✓ arc_en_ciel</v>
      </c>
      <c r="E9" s="35" t="str">
        <f>IF(Liens!D4="","",IF(COUNTIF(Mots!A:A,Liens!D4)&gt;0,"✓ "&amp;Liens!D4,"✗ "&amp;Liens!D4&amp;" (introuvable)"))</f>
        <v>✓ feu_artifice</v>
      </c>
      <c r="F9" s="35" t="str">
        <f>IF(Liens!E4="","",IF(COUNTIF(Mots!A:A,Liens!E4)&gt;0,"✓ "&amp;Liens!E4,"✗ "&amp;Liens!E4&amp;" (introuvable)"))</f>
        <v/>
      </c>
      <c r="G9" s="35" t="str">
        <f>IF(Liens!F4="","",IF(COUNTIF(Mots!A:A,Liens!F4)&gt;0,"✓ "&amp;Liens!F4,"✗ "&amp;Liens!F4&amp;" (introuvable)"))</f>
        <v/>
      </c>
      <c r="H9" s="35" t="str">
        <f>IF(Liens!G4="","",IF(COUNTIF(Mots!A:A,Liens!G4)&gt;0,"✓ "&amp;Liens!G4,"✗ "&amp;Liens!G4&amp;" (introuvable)"))</f>
        <v/>
      </c>
      <c r="I9" s="35" t="str">
        <f>IF(Liens!H4="","",IF(COUNTIF(Mots!A:A,Liens!H4)&gt;0,"✓ "&amp;Liens!H4,"✗ "&amp;Liens!H4&amp;" (introuvable)"))</f>
        <v/>
      </c>
    </row>
    <row r="10" spans="1:9" x14ac:dyDescent="0.3">
      <c r="A10">
        <v>5</v>
      </c>
      <c r="B10" s="35" t="str">
        <f>IF(Liens!A5="","",IF(COUNTIF(Mots!A:A,Liens!A5)&gt;0,"✓ "&amp;Liens!A5,"✗ "&amp;Liens!A5&amp;" (introuvable)"))</f>
        <v>✓ a_different</v>
      </c>
      <c r="C10" s="35" t="str">
        <f>IF(Liens!B5="","",IF(COUNTIF(Mots!A:A,Liens!B5)&gt;0,"✓ "&amp;Liens!B5,"✗ "&amp;Liens!B5&amp;" (introuvable)"))</f>
        <v>✓ difference</v>
      </c>
      <c r="D10" s="35" t="str">
        <f>IF(Liens!C5="","",IF(COUNTIF(Mots!A:A,Liens!C5)&gt;0,"✓ "&amp;Liens!C5,"✗ "&amp;Liens!C5&amp;" (introuvable)"))</f>
        <v>✓ v_comparer</v>
      </c>
      <c r="E10" s="35" t="str">
        <f>IF(Liens!D5="","",IF(COUNTIF(Mots!A:A,Liens!D5)&gt;0,"✓ "&amp;Liens!D5,"✗ "&amp;Liens!D5&amp;" (introuvable)"))</f>
        <v/>
      </c>
      <c r="F10" s="35" t="str">
        <f>IF(Liens!E5="","",IF(COUNTIF(Mots!A:A,Liens!E5)&gt;0,"✓ "&amp;Liens!E5,"✗ "&amp;Liens!E5&amp;" (introuvable)"))</f>
        <v/>
      </c>
      <c r="G10" s="35" t="str">
        <f>IF(Liens!F5="","",IF(COUNTIF(Mots!A:A,Liens!F5)&gt;0,"✓ "&amp;Liens!F5,"✗ "&amp;Liens!F5&amp;" (introuvable)"))</f>
        <v/>
      </c>
      <c r="H10" s="35" t="str">
        <f>IF(Liens!G5="","",IF(COUNTIF(Mots!A:A,Liens!G5)&gt;0,"✓ "&amp;Liens!G5,"✗ "&amp;Liens!G5&amp;" (introuvable)"))</f>
        <v/>
      </c>
      <c r="I10" s="35" t="str">
        <f>IF(Liens!H5="","",IF(COUNTIF(Mots!A:A,Liens!H5)&gt;0,"✓ "&amp;Liens!H5,"✗ "&amp;Liens!H5&amp;" (introuvable)"))</f>
        <v/>
      </c>
    </row>
    <row r="11" spans="1:9" x14ac:dyDescent="0.3">
      <c r="A11">
        <v>6</v>
      </c>
      <c r="B11" s="35" t="str">
        <f>IF(Liens!A6="","",IF(COUNTIF(Mots!A:A,Liens!A6)&gt;0,"✓ "&amp;Liens!A6,"✗ "&amp;Liens!A6&amp;" (introuvable)"))</f>
        <v>✓ a_electrique</v>
      </c>
      <c r="C11" s="35" t="str">
        <f>IF(Liens!B6="","",IF(COUNTIF(Mots!A:A,Liens!B6)&gt;0,"✓ "&amp;Liens!B6,"✗ "&amp;Liens!B6&amp;" (introuvable)"))</f>
        <v>✓ prise</v>
      </c>
      <c r="D11" s="35" t="str">
        <f>IF(Liens!C6="","",IF(COUNTIF(Mots!A:A,Liens!C6)&gt;0,"✓ "&amp;Liens!C6,"✗ "&amp;Liens!C6&amp;" (introuvable)"))</f>
        <v>✓ fusibles_pour_lelectricite</v>
      </c>
      <c r="E11" s="35" t="str">
        <f>IF(Liens!D6="","",IF(COUNTIF(Mots!A:A,Liens!D6)&gt;0,"✓ "&amp;Liens!D6,"✗ "&amp;Liens!D6&amp;" (introuvable)"))</f>
        <v>✓ appareil</v>
      </c>
      <c r="F11" s="35" t="str">
        <f>IF(Liens!E6="","",IF(COUNTIF(Mots!A:A,Liens!E6)&gt;0,"✓ "&amp;Liens!E6,"✗ "&amp;Liens!E6&amp;" (introuvable)"))</f>
        <v>✓ ampoule</v>
      </c>
      <c r="G11" s="35" t="str">
        <f>IF(Liens!F6="","",IF(COUNTIF(Mots!A:A,Liens!F6)&gt;0,"✓ "&amp;Liens!F6,"✗ "&amp;Liens!F6&amp;" (introuvable)"))</f>
        <v>✓ lampe</v>
      </c>
      <c r="H11" s="35" t="str">
        <f>IF(Liens!G6="","",IF(COUNTIF(Mots!A:A,Liens!G6)&gt;0,"✓ "&amp;Liens!G6,"✗ "&amp;Liens!G6&amp;" (introuvable)"))</f>
        <v>✓ chargeur_phone</v>
      </c>
      <c r="I11" s="35" t="str">
        <f>IF(Liens!H6="","",IF(COUNTIF(Mots!A:A,Liens!H6)&gt;0,"✓ "&amp;Liens!H6,"✗ "&amp;Liens!H6&amp;" (introuvable)"))</f>
        <v/>
      </c>
    </row>
    <row r="12" spans="1:9" x14ac:dyDescent="0.3">
      <c r="A12">
        <v>7</v>
      </c>
      <c r="B12" s="35" t="str">
        <f>IF(Liens!A7="","",IF(COUNTIF(Mots!A:A,Liens!A7)&gt;0,"✓ "&amp;Liens!A7,"✗ "&amp;Liens!A7&amp;" (introuvable)"))</f>
        <v>✓ a_eleve</v>
      </c>
      <c r="C12" s="35" t="str">
        <f>IF(Liens!B7="","",IF(COUNTIF(Mots!A:A,Liens!B7)&gt;0,"✓ "&amp;Liens!B7,"✗ "&amp;Liens!B7&amp;" (introuvable)"))</f>
        <v>✓ a_chaud_froid</v>
      </c>
      <c r="D12" s="35" t="str">
        <f>IF(Liens!C7="","",IF(COUNTIF(Mots!A:A,Liens!C7)&gt;0,"✓ "&amp;Liens!C7,"✗ "&amp;Liens!C7&amp;" (introuvable)"))</f>
        <v>✓ a_fort_doucement</v>
      </c>
      <c r="E12" s="35" t="str">
        <f>IF(Liens!D7="","",IF(COUNTIF(Mots!A:A,Liens!D7)&gt;0,"✓ "&amp;Liens!D7,"✗ "&amp;Liens!D7&amp;" (introuvable)"))</f>
        <v>✓ montagne</v>
      </c>
      <c r="F12" s="35" t="str">
        <f>IF(Liens!E7="","",IF(COUNTIF(Mots!A:A,Liens!E7)&gt;0,"✓ "&amp;Liens!E7,"✗ "&amp;Liens!E7&amp;" (introuvable)"))</f>
        <v>✓ temperature</v>
      </c>
      <c r="G12" s="35" t="str">
        <f>IF(Liens!F7="","",IF(COUNTIF(Mots!A:A,Liens!F7)&gt;0,"✓ "&amp;Liens!F7,"✗ "&amp;Liens!F7&amp;" (introuvable)"))</f>
        <v/>
      </c>
      <c r="H12" s="35" t="str">
        <f>IF(Liens!G7="","",IF(COUNTIF(Mots!A:A,Liens!G7)&gt;0,"✓ "&amp;Liens!G7,"✗ "&amp;Liens!G7&amp;" (introuvable)"))</f>
        <v/>
      </c>
      <c r="I12" s="35" t="str">
        <f>IF(Liens!H7="","",IF(COUNTIF(Mots!A:A,Liens!H7)&gt;0,"✓ "&amp;Liens!H7,"✗ "&amp;Liens!H7&amp;" (introuvable)"))</f>
        <v/>
      </c>
    </row>
    <row r="13" spans="1:9" x14ac:dyDescent="0.3">
      <c r="A13">
        <v>8</v>
      </c>
      <c r="B13" s="35" t="str">
        <f>IF(Liens!A8="","",IF(COUNTIF(Mots!A:A,Liens!A8)&gt;0,"✓ "&amp;Liens!A8,"✗ "&amp;Liens!A8&amp;" (introuvable)"))</f>
        <v>✓ a_enflamme</v>
      </c>
      <c r="C13" s="35" t="str">
        <f>IF(Liens!B8="","",IF(COUNTIF(Mots!A:A,Liens!B8)&gt;0,"✓ "&amp;Liens!B8,"✗ "&amp;Liens!B8&amp;" (introuvable)"))</f>
        <v>✓ c_rouge</v>
      </c>
      <c r="D13" s="35" t="str">
        <f>IF(Liens!C8="","",IF(COUNTIF(Mots!A:A,Liens!C8)&gt;0,"✓ "&amp;Liens!C8,"✗ "&amp;Liens!C8&amp;" (introuvable)"))</f>
        <v>✓ douleur</v>
      </c>
      <c r="E13" s="35" t="str">
        <f>IF(Liens!D8="","",IF(COUNTIF(Mots!A:A,Liens!D8)&gt;0,"✓ "&amp;Liens!D8,"✗ "&amp;Liens!D8&amp;" (introuvable)"))</f>
        <v>✓ peau</v>
      </c>
      <c r="F13" s="35" t="str">
        <f>IF(Liens!E8="","",IF(COUNTIF(Mots!A:A,Liens!E8)&gt;0,"✓ "&amp;Liens!E8,"✗ "&amp;Liens!E8&amp;" (introuvable)"))</f>
        <v>✓ oeil</v>
      </c>
      <c r="G13" s="35" t="str">
        <f>IF(Liens!F8="","",IF(COUNTIF(Mots!A:A,Liens!F8)&gt;0,"✓ "&amp;Liens!F8,"✗ "&amp;Liens!F8&amp;" (introuvable)"))</f>
        <v/>
      </c>
      <c r="H13" s="35" t="str">
        <f>IF(Liens!G8="","",IF(COUNTIF(Mots!A:A,Liens!G8)&gt;0,"✓ "&amp;Liens!G8,"✗ "&amp;Liens!G8&amp;" (introuvable)"))</f>
        <v/>
      </c>
      <c r="I13" s="35" t="str">
        <f>IF(Liens!H8="","",IF(COUNTIF(Mots!A:A,Liens!H8)&gt;0,"✓ "&amp;Liens!H8,"✗ "&amp;Liens!H8&amp;" (introuvable)"))</f>
        <v/>
      </c>
    </row>
    <row r="14" spans="1:9" x14ac:dyDescent="0.3">
      <c r="A14">
        <v>9</v>
      </c>
      <c r="B14" s="35" t="str">
        <f>IF(Liens!A9="","",IF(COUNTIF(Mots!A:A,Liens!A9)&gt;0,"✓ "&amp;Liens!A9,"✗ "&amp;Liens!A9&amp;" (introuvable)"))</f>
        <v>✓ a_equitable</v>
      </c>
      <c r="C14" s="35" t="str">
        <f>IF(Liens!B9="","",IF(COUNTIF(Mots!A:A,Liens!B9)&gt;0,"✓ "&amp;Liens!B9,"✗ "&amp;Liens!B9&amp;" (introuvable)"))</f>
        <v>✓ juste</v>
      </c>
      <c r="D14" s="35" t="str">
        <f>IF(Liens!C9="","",IF(COUNTIF(Mots!A:A,Liens!C9)&gt;0,"✓ "&amp;Liens!C9,"✗ "&amp;Liens!C9&amp;" (introuvable)"))</f>
        <v>✓ correct</v>
      </c>
      <c r="E14" s="35" t="str">
        <f>IF(Liens!D9="","",IF(COUNTIF(Mots!A:A,Liens!D9)&gt;0,"✓ "&amp;Liens!D9,"✗ "&amp;Liens!D9&amp;" (introuvable)"))</f>
        <v>✓ a_heureux</v>
      </c>
      <c r="F14" s="35" t="str">
        <f>IF(Liens!E9="","",IF(COUNTIF(Mots!A:A,Liens!E9)&gt;0,"✓ "&amp;Liens!E9,"✗ "&amp;Liens!E9&amp;" (introuvable)"))</f>
        <v>✓ a_content_triste</v>
      </c>
      <c r="G14" s="35" t="str">
        <f>IF(Liens!F9="","",IF(COUNTIF(Mots!A:A,Liens!F9)&gt;0,"✓ "&amp;Liens!F9,"✗ "&amp;Liens!F9&amp;" (introuvable)"))</f>
        <v/>
      </c>
      <c r="H14" s="35" t="str">
        <f>IF(Liens!G9="","",IF(COUNTIF(Mots!A:A,Liens!G9)&gt;0,"✓ "&amp;Liens!G9,"✗ "&amp;Liens!G9&amp;" (introuvable)"))</f>
        <v/>
      </c>
      <c r="I14" s="35" t="str">
        <f>IF(Liens!H9="","",IF(COUNTIF(Mots!A:A,Liens!H9)&gt;0,"✓ "&amp;Liens!H9,"✗ "&amp;Liens!H9&amp;" (introuvable)"))</f>
        <v/>
      </c>
    </row>
    <row r="15" spans="1:9" x14ac:dyDescent="0.3">
      <c r="A15">
        <v>10</v>
      </c>
      <c r="B15" s="35" t="str">
        <f>IF(Liens!A10="","",IF(COUNTIF(Mots!A:A,Liens!A10)&gt;0,"✓ "&amp;Liens!A10,"✗ "&amp;Liens!A10&amp;" (introuvable)"))</f>
        <v>✓ a_fatigue</v>
      </c>
      <c r="C15" s="35" t="str">
        <f>IF(Liens!B10="","",IF(COUNTIF(Mots!A:A,Liens!B10)&gt;0,"✓ "&amp;Liens!B10,"✗ "&amp;Liens!B10&amp;" (introuvable)"))</f>
        <v>✓ travail</v>
      </c>
      <c r="D15" s="35" t="str">
        <f>IF(Liens!C10="","",IF(COUNTIF(Mots!A:A,Liens!C10)&gt;0,"✓ "&amp;Liens!C10,"✗ "&amp;Liens!C10&amp;" (introuvable)"))</f>
        <v>✓ force</v>
      </c>
      <c r="E15" s="35" t="str">
        <f>IF(Liens!D10="","",IF(COUNTIF(Mots!A:A,Liens!D10)&gt;0,"✓ "&amp;Liens!D10,"✗ "&amp;Liens!D10&amp;" (introuvable)"))</f>
        <v>✓ v_travailler</v>
      </c>
      <c r="F15" s="35" t="str">
        <f>IF(Liens!E10="","",IF(COUNTIF(Mots!A:A,Liens!E10)&gt;0,"✓ "&amp;Liens!E10,"✗ "&amp;Liens!E10&amp;" (introuvable)"))</f>
        <v>✓ v_apprendre</v>
      </c>
      <c r="G15" s="35" t="str">
        <f>IF(Liens!F10="","",IF(COUNTIF(Mots!A:A,Liens!F10)&gt;0,"✓ "&amp;Liens!F10,"✗ "&amp;Liens!F10&amp;" (introuvable)"))</f>
        <v>✓ v_jouer</v>
      </c>
      <c r="H15" s="35" t="str">
        <f>IF(Liens!G10="","",IF(COUNTIF(Mots!A:A,Liens!G10)&gt;0,"✓ "&amp;Liens!G10,"✗ "&amp;Liens!G10&amp;" (introuvable)"))</f>
        <v>✓ repos</v>
      </c>
      <c r="I15" s="35" t="str">
        <f>IF(Liens!H10="","",IF(COUNTIF(Mots!A:A,Liens!H10)&gt;0,"✓ "&amp;Liens!H10,"✗ "&amp;Liens!H10&amp;" (introuvable)"))</f>
        <v>✓ v_dormir</v>
      </c>
    </row>
    <row r="16" spans="1:9" x14ac:dyDescent="0.3">
      <c r="A16">
        <v>11</v>
      </c>
      <c r="B16" s="35" t="str">
        <f>IF(Liens!A11="","",IF(COUNTIF(Mots!A:A,Liens!A11)&gt;0,"✓ "&amp;Liens!A11,"✗ "&amp;Liens!A11&amp;" (introuvable)"))</f>
        <v>✓ a_frais</v>
      </c>
      <c r="C16" s="35" t="str">
        <f>IF(Liens!B11="","",IF(COUNTIF(Mots!A:A,Liens!B11)&gt;0,"✓ "&amp;Liens!B11,"✗ "&amp;Liens!B11&amp;" (introuvable)"))</f>
        <v>✓ a_chaud_froid</v>
      </c>
      <c r="D16" s="35" t="str">
        <f>IF(Liens!C11="","",IF(COUNTIF(Mots!A:A,Liens!C11)&gt;0,"✓ "&amp;Liens!C11,"✗ "&amp;Liens!C11&amp;" (introuvable)"))</f>
        <v>✓ frigo</v>
      </c>
      <c r="E16" s="35" t="str">
        <f>IF(Liens!D11="","",IF(COUNTIF(Mots!A:A,Liens!D11)&gt;0,"✓ "&amp;Liens!D11,"✗ "&amp;Liens!D11&amp;" (introuvable)"))</f>
        <v>✓ automne</v>
      </c>
      <c r="F16" s="35" t="str">
        <f>IF(Liens!E11="","",IF(COUNTIF(Mots!A:A,Liens!E11)&gt;0,"✓ "&amp;Liens!E11,"✗ "&amp;Liens!E11&amp;" (introuvable)"))</f>
        <v>✓ hiver</v>
      </c>
      <c r="G16" s="35" t="str">
        <f>IF(Liens!F11="","",IF(COUNTIF(Mots!A:A,Liens!F11)&gt;0,"✓ "&amp;Liens!F11,"✗ "&amp;Liens!F11&amp;" (introuvable)"))</f>
        <v>✓ pluie</v>
      </c>
      <c r="H16" s="35" t="str">
        <f>IF(Liens!G11="","",IF(COUNTIF(Mots!A:A,Liens!G11)&gt;0,"✓ "&amp;Liens!G11,"✗ "&amp;Liens!G11&amp;" (introuvable)"))</f>
        <v>✓ nuage</v>
      </c>
      <c r="I16" s="35" t="str">
        <f>IF(Liens!H11="","",IF(COUNTIF(Mots!A:A,Liens!H11)&gt;0,"✓ "&amp;Liens!H11,"✗ "&amp;Liens!H11&amp;" (introuvable)"))</f>
        <v>✓ eau</v>
      </c>
    </row>
    <row r="17" spans="1:9" x14ac:dyDescent="0.3">
      <c r="A17">
        <v>12</v>
      </c>
      <c r="B17" s="35" t="str">
        <f>IF(Liens!A12="","",IF(COUNTIF(Mots!A:A,Liens!A12)&gt;0,"✓ "&amp;Liens!A12,"✗ "&amp;Liens!A12&amp;" (introuvable)"))</f>
        <v>✓ a_habituel</v>
      </c>
      <c r="C17" s="35" t="str">
        <f>IF(Liens!B12="","",IF(COUNTIF(Mots!A:A,Liens!B12)&gt;0,"✓ "&amp;Liens!B12,"✗ "&amp;Liens!B12&amp;" (introuvable)"))</f>
        <v>✓ repetition</v>
      </c>
      <c r="D17" s="35" t="str">
        <f>IF(Liens!C12="","",IF(COUNTIF(Mots!A:A,Liens!C12)&gt;0,"✓ "&amp;Liens!C12,"✗ "&amp;Liens!C12&amp;" (introuvable)"))</f>
        <v>✓ v_jouer</v>
      </c>
      <c r="E17" s="35" t="str">
        <f>IF(Liens!D12="","",IF(COUNTIF(Mots!A:A,Liens!D12)&gt;0,"✓ "&amp;Liens!D12,"✗ "&amp;Liens!D12&amp;" (introuvable)"))</f>
        <v>✓ v_manger</v>
      </c>
      <c r="F17" s="35" t="str">
        <f>IF(Liens!E12="","",IF(COUNTIF(Mots!A:A,Liens!E12)&gt;0,"✓ "&amp;Liens!E12,"✗ "&amp;Liens!E12&amp;" (introuvable)"))</f>
        <v>✓ repas</v>
      </c>
      <c r="G17" s="35" t="str">
        <f>IF(Liens!F12="","",IF(COUNTIF(Mots!A:A,Liens!F12)&gt;0,"✓ "&amp;Liens!F12,"✗ "&amp;Liens!F12&amp;" (introuvable)"))</f>
        <v>✓ v_boire</v>
      </c>
      <c r="H17" s="35" t="str">
        <f>IF(Liens!G12="","",IF(COUNTIF(Mots!A:A,Liens!G12)&gt;0,"✓ "&amp;Liens!G12,"✗ "&amp;Liens!G12&amp;" (introuvable)"))</f>
        <v>✓ v_dormir</v>
      </c>
      <c r="I17" s="35" t="str">
        <f>IF(Liens!H12="","",IF(COUNTIF(Mots!A:A,Liens!H12)&gt;0,"✓ "&amp;Liens!H12,"✗ "&amp;Liens!H12&amp;" (introuvable)"))</f>
        <v>✓ a_regulier</v>
      </c>
    </row>
    <row r="18" spans="1:9" x14ac:dyDescent="0.3">
      <c r="A18">
        <v>13</v>
      </c>
      <c r="B18" s="35" t="str">
        <f>IF(Liens!A13="","",IF(COUNTIF(Mots!A:A,Liens!A13)&gt;0,"✓ "&amp;Liens!A13,"✗ "&amp;Liens!A13&amp;" (introuvable)"))</f>
        <v>✓ a_haut_bas</v>
      </c>
      <c r="C18" s="35" t="str">
        <f>IF(Liens!B13="","",IF(COUNTIF(Mots!A:A,Liens!B13)&gt;0,"✓ "&amp;Liens!B13,"✗ "&amp;Liens!B13&amp;" (introuvable)"))</f>
        <v>✓ hauteur</v>
      </c>
      <c r="D18" s="35" t="str">
        <f>IF(Liens!C13="","",IF(COUNTIF(Mots!A:A,Liens!C13)&gt;0,"✓ "&amp;Liens!C13,"✗ "&amp;Liens!C13&amp;" (introuvable)"))</f>
        <v>✓ a_eleve</v>
      </c>
      <c r="E18" s="35" t="str">
        <f>IF(Liens!D13="","",IF(COUNTIF(Mots!A:A,Liens!D13)&gt;0,"✓ "&amp;Liens!D13,"✗ "&amp;Liens!D13&amp;" (introuvable)"))</f>
        <v/>
      </c>
      <c r="F18" s="35" t="str">
        <f>IF(Liens!E13="","",IF(COUNTIF(Mots!A:A,Liens!E13)&gt;0,"✓ "&amp;Liens!E13,"✗ "&amp;Liens!E13&amp;" (introuvable)"))</f>
        <v/>
      </c>
      <c r="G18" s="35" t="str">
        <f>IF(Liens!F13="","",IF(COUNTIF(Mots!A:A,Liens!F13)&gt;0,"✓ "&amp;Liens!F13,"✗ "&amp;Liens!F13&amp;" (introuvable)"))</f>
        <v/>
      </c>
      <c r="H18" s="35" t="str">
        <f>IF(Liens!G13="","",IF(COUNTIF(Mots!A:A,Liens!G13)&gt;0,"✓ "&amp;Liens!G13,"✗ "&amp;Liens!G13&amp;" (introuvable)"))</f>
        <v/>
      </c>
      <c r="I18" s="35" t="str">
        <f>IF(Liens!H13="","",IF(COUNTIF(Mots!A:A,Liens!H13)&gt;0,"✓ "&amp;Liens!H13,"✗ "&amp;Liens!H13&amp;" (introuvable)"))</f>
        <v/>
      </c>
    </row>
    <row r="19" spans="1:9" x14ac:dyDescent="0.3">
      <c r="A19">
        <v>14</v>
      </c>
      <c r="B19" s="35" t="str">
        <f>IF(Liens!A14="","",IF(COUNTIF(Mots!A:A,Liens!A14)&gt;0,"✓ "&amp;Liens!A14,"✗ "&amp;Liens!A14&amp;" (introuvable)"))</f>
        <v>✓ a_heureux</v>
      </c>
      <c r="C19" s="35" t="str">
        <f>IF(Liens!B14="","",IF(COUNTIF(Mots!A:A,Liens!B14)&gt;0,"✓ "&amp;Liens!B14,"✗ "&amp;Liens!B14&amp;" (introuvable)"))</f>
        <v>✓ joie</v>
      </c>
      <c r="D19" s="35" t="str">
        <f>IF(Liens!C14="","",IF(COUNTIF(Mots!A:A,Liens!C14)&gt;0,"✓ "&amp;Liens!C14,"✗ "&amp;Liens!C14&amp;" (introuvable)"))</f>
        <v>✓ a_content_triste</v>
      </c>
      <c r="E19" s="35" t="str">
        <f>IF(Liens!D14="","",IF(COUNTIF(Mots!A:A,Liens!D14)&gt;0,"✓ "&amp;Liens!D14,"✗ "&amp;Liens!D14&amp;" (introuvable)"))</f>
        <v>✓ v_rire</v>
      </c>
      <c r="F19" s="35" t="str">
        <f>IF(Liens!E14="","",IF(COUNTIF(Mots!A:A,Liens!E14)&gt;0,"✓ "&amp;Liens!E14,"✗ "&amp;Liens!E14&amp;" (introuvable)"))</f>
        <v>✓ gaiete</v>
      </c>
      <c r="G19" s="35" t="str">
        <f>IF(Liens!F14="","",IF(COUNTIF(Mots!A:A,Liens!F14)&gt;0,"✓ "&amp;Liens!F14,"✗ "&amp;Liens!F14&amp;" (introuvable)"))</f>
        <v/>
      </c>
      <c r="H19" s="35" t="str">
        <f>IF(Liens!G14="","",IF(COUNTIF(Mots!A:A,Liens!G14)&gt;0,"✓ "&amp;Liens!G14,"✗ "&amp;Liens!G14&amp;" (introuvable)"))</f>
        <v/>
      </c>
      <c r="I19" s="35" t="str">
        <f>IF(Liens!H14="","",IF(COUNTIF(Mots!A:A,Liens!H14)&gt;0,"✓ "&amp;Liens!H14,"✗ "&amp;Liens!H14&amp;" (introuvable)"))</f>
        <v/>
      </c>
    </row>
    <row r="20" spans="1:9" x14ac:dyDescent="0.3">
      <c r="A20">
        <v>15</v>
      </c>
      <c r="B20" s="35" t="str">
        <f>IF(Liens!A15="","",IF(COUNTIF(Mots!A:A,Liens!A15)&gt;0,"✓ "&amp;Liens!A15,"✗ "&amp;Liens!A15&amp;" (introuvable)"))</f>
        <v>✓ a_humain</v>
      </c>
      <c r="C20" s="35" t="str">
        <f>IF(Liens!B15="","",IF(COUNTIF(Mots!A:A,Liens!B15)&gt;0,"✓ "&amp;Liens!B15,"✗ "&amp;Liens!B15&amp;" (introuvable)"))</f>
        <v>✓ homme</v>
      </c>
      <c r="D20" s="35" t="str">
        <f>IF(Liens!C15="","",IF(COUNTIF(Mots!A:A,Liens!C15)&gt;0,"✓ "&amp;Liens!C15,"✗ "&amp;Liens!C15&amp;" (introuvable)"))</f>
        <v>✓ femme</v>
      </c>
      <c r="E20" s="35" t="str">
        <f>IF(Liens!D15="","",IF(COUNTIF(Mots!A:A,Liens!D15)&gt;0,"✓ "&amp;Liens!D15,"✗ "&amp;Liens!D15&amp;" (introuvable)"))</f>
        <v>✓ personne</v>
      </c>
      <c r="F20" s="35" t="str">
        <f>IF(Liens!E15="","",IF(COUNTIF(Mots!A:A,Liens!E15)&gt;0,"✓ "&amp;Liens!E15,"✗ "&amp;Liens!E15&amp;" (introuvable)"))</f>
        <v>✓ gens</v>
      </c>
      <c r="G20" s="35" t="str">
        <f>IF(Liens!F15="","",IF(COUNTIF(Mots!A:A,Liens!F15)&gt;0,"✓ "&amp;Liens!F15,"✗ "&amp;Liens!F15&amp;" (introuvable)"))</f>
        <v>✓ foule</v>
      </c>
      <c r="H20" s="35" t="str">
        <f>IF(Liens!G15="","",IF(COUNTIF(Mots!A:A,Liens!G15)&gt;0,"✓ "&amp;Liens!G15,"✗ "&amp;Liens!G15&amp;" (introuvable)"))</f>
        <v>✓ emotion</v>
      </c>
      <c r="I20" s="35" t="str">
        <f>IF(Liens!H15="","",IF(COUNTIF(Mots!A:A,Liens!H15)&gt;0,"✓ "&amp;Liens!H15,"✗ "&amp;Liens!H15&amp;" (introuvable)"))</f>
        <v>✓ v_penser</v>
      </c>
    </row>
    <row r="21" spans="1:9" x14ac:dyDescent="0.3">
      <c r="A21">
        <v>16</v>
      </c>
      <c r="B21" s="35" t="str">
        <f>IF(Liens!A16="","",IF(COUNTIF(Mots!A:A,Liens!A16)&gt;0,"✓ "&amp;Liens!A16,"✗ "&amp;Liens!A16&amp;" (introuvable)"))</f>
        <v>✓ a_important</v>
      </c>
      <c r="C21" s="35" t="str">
        <f>IF(Liens!B16="","",IF(COUNTIF(Mots!A:A,Liens!B16)&gt;0,"✓ "&amp;Liens!B16,"✗ "&amp;Liens!B16&amp;" (introuvable)"))</f>
        <v>✓ famille</v>
      </c>
      <c r="D21" s="35" t="str">
        <f>IF(Liens!C16="","",IF(COUNTIF(Mots!A:A,Liens!C16)&gt;0,"✓ "&amp;Liens!C16,"✗ "&amp;Liens!C16&amp;" (introuvable)"))</f>
        <v>✓ mes_enfants</v>
      </c>
      <c r="E21" s="35" t="str">
        <f>IF(Liens!D16="","",IF(COUNTIF(Mots!A:A,Liens!D16)&gt;0,"✓ "&amp;Liens!D16,"✗ "&amp;Liens!D16&amp;" (introuvable)"))</f>
        <v>✓ dangereux</v>
      </c>
      <c r="F21" s="35" t="str">
        <f>IF(Liens!E16="","",IF(COUNTIF(Mots!A:A,Liens!E16)&gt;0,"✓ "&amp;Liens!E16,"✗ "&amp;Liens!E16&amp;" (introuvable)"))</f>
        <v>✓ danger</v>
      </c>
      <c r="G21" s="35" t="str">
        <f>IF(Liens!F16="","",IF(COUNTIF(Mots!A:A,Liens!F16)&gt;0,"✓ "&amp;Liens!F16,"✗ "&amp;Liens!F16&amp;" (introuvable)"))</f>
        <v>✓ a_urgent</v>
      </c>
      <c r="H21" s="35" t="str">
        <f>IF(Liens!G16="","",IF(COUNTIF(Mots!A:A,Liens!G16)&gt;0,"✓ "&amp;Liens!G16,"✗ "&amp;Liens!G16&amp;" (introuvable)"))</f>
        <v/>
      </c>
      <c r="I21" s="35" t="str">
        <f>IF(Liens!H16="","",IF(COUNTIF(Mots!A:A,Liens!H16)&gt;0,"✓ "&amp;Liens!H16,"✗ "&amp;Liens!H16&amp;" (introuvable)"))</f>
        <v/>
      </c>
    </row>
    <row r="22" spans="1:9" x14ac:dyDescent="0.3">
      <c r="A22">
        <v>17</v>
      </c>
      <c r="B22" s="35" t="str">
        <f>IF(Liens!A17="","",IF(COUNTIF(Mots!A:A,Liens!A17)&gt;0,"✓ "&amp;Liens!A17,"✗ "&amp;Liens!A17&amp;" (introuvable)"))</f>
        <v>✓ a_joyeux</v>
      </c>
      <c r="C22" s="35" t="str">
        <f>IF(Liens!B17="","",IF(COUNTIF(Mots!A:A,Liens!B17)&gt;0,"✓ "&amp;Liens!B17,"✗ "&amp;Liens!B17&amp;" (introuvable)"))</f>
        <v>✓ gaiete</v>
      </c>
      <c r="D22" s="35" t="str">
        <f>IF(Liens!C17="","",IF(COUNTIF(Mots!A:A,Liens!C17)&gt;0,"✓ "&amp;Liens!C17,"✗ "&amp;Liens!C17&amp;" (introuvable)"))</f>
        <v>✓ joie</v>
      </c>
      <c r="E22" s="35" t="str">
        <f>IF(Liens!D17="","",IF(COUNTIF(Mots!A:A,Liens!D17)&gt;0,"✓ "&amp;Liens!D17,"✗ "&amp;Liens!D17&amp;" (introuvable)"))</f>
        <v>✓ a_heureux</v>
      </c>
      <c r="F22" s="35" t="str">
        <f>IF(Liens!E17="","",IF(COUNTIF(Mots!A:A,Liens!E17)&gt;0,"✓ "&amp;Liens!E17,"✗ "&amp;Liens!E17&amp;" (introuvable)"))</f>
        <v>✓ v_rire</v>
      </c>
      <c r="G22" s="35" t="str">
        <f>IF(Liens!F17="","",IF(COUNTIF(Mots!A:A,Liens!F17)&gt;0,"✓ "&amp;Liens!F17,"✗ "&amp;Liens!F17&amp;" (introuvable)"))</f>
        <v>✓ a_content_triste</v>
      </c>
      <c r="H22" s="35" t="str">
        <f>IF(Liens!G17="","",IF(COUNTIF(Mots!A:A,Liens!G17)&gt;0,"✓ "&amp;Liens!G17,"✗ "&amp;Liens!G17&amp;" (introuvable)"))</f>
        <v>✓ tristesse</v>
      </c>
      <c r="I22" s="35" t="str">
        <f>IF(Liens!H17="","",IF(COUNTIF(Mots!A:A,Liens!H17)&gt;0,"✓ "&amp;Liens!H17,"✗ "&amp;Liens!H17&amp;" (introuvable)"))</f>
        <v/>
      </c>
    </row>
    <row r="23" spans="1:9" x14ac:dyDescent="0.3">
      <c r="A23">
        <v>18</v>
      </c>
      <c r="B23" s="35" t="str">
        <f>IF(Liens!A18="","",IF(COUNTIF(Mots!A:A,Liens!A18)&gt;0,"✓ "&amp;Liens!A18,"✗ "&amp;Liens!A18&amp;" (introuvable)"))</f>
        <v>✓ a_mal</v>
      </c>
      <c r="C23" s="35" t="str">
        <f>IF(Liens!B18="","",IF(COUNTIF(Mots!A:A,Liens!B18)&gt;0,"✓ "&amp;Liens!B18,"✗ "&amp;Liens!B18&amp;" (introuvable)"))</f>
        <v>✓ bien</v>
      </c>
      <c r="D23" s="35" t="str">
        <f>IF(Liens!C18="","",IF(COUNTIF(Mots!A:A,Liens!C18)&gt;0,"✓ "&amp;Liens!C18,"✗ "&amp;Liens!C18&amp;" (introuvable)"))</f>
        <v>✓ a_content_triste</v>
      </c>
      <c r="E23" s="35" t="str">
        <f>IF(Liens!D18="","",IF(COUNTIF(Mots!A:A,Liens!D18)&gt;0,"✓ "&amp;Liens!D18,"✗ "&amp;Liens!D18&amp;" (introuvable)"))</f>
        <v/>
      </c>
      <c r="F23" s="35" t="str">
        <f>IF(Liens!E18="","",IF(COUNTIF(Mots!A:A,Liens!E18)&gt;0,"✓ "&amp;Liens!E18,"✗ "&amp;Liens!E18&amp;" (introuvable)"))</f>
        <v/>
      </c>
      <c r="G23" s="35" t="str">
        <f>IF(Liens!F18="","",IF(COUNTIF(Mots!A:A,Liens!F18)&gt;0,"✓ "&amp;Liens!F18,"✗ "&amp;Liens!F18&amp;" (introuvable)"))</f>
        <v/>
      </c>
      <c r="H23" s="35" t="str">
        <f>IF(Liens!G18="","",IF(COUNTIF(Mots!A:A,Liens!G18)&gt;0,"✓ "&amp;Liens!G18,"✗ "&amp;Liens!G18&amp;" (introuvable)"))</f>
        <v/>
      </c>
      <c r="I23" s="35" t="str">
        <f>IF(Liens!H18="","",IF(COUNTIF(Mots!A:A,Liens!H18)&gt;0,"✓ "&amp;Liens!H18,"✗ "&amp;Liens!H18&amp;" (introuvable)"))</f>
        <v/>
      </c>
    </row>
    <row r="24" spans="1:9" x14ac:dyDescent="0.3">
      <c r="A24">
        <v>19</v>
      </c>
      <c r="B24" s="35" t="str">
        <f>IF(Liens!A19="","",IF(COUNTIF(Mots!A:A,Liens!A19)&gt;0,"✓ "&amp;Liens!A19,"✗ "&amp;Liens!A19&amp;" (introuvable)"))</f>
        <v>✓ a_malin</v>
      </c>
      <c r="C24" s="35" t="str">
        <f>IF(Liens!B19="","",IF(COUNTIF(Mots!A:A,Liens!B19)&gt;0,"✓ "&amp;Liens!B19,"✗ "&amp;Liens!B19&amp;" (introuvable)"))</f>
        <v>✓ a_ruse</v>
      </c>
      <c r="D24" s="35" t="str">
        <f>IF(Liens!C19="","",IF(COUNTIF(Mots!A:A,Liens!C19)&gt;0,"✓ "&amp;Liens!C19,"✗ "&amp;Liens!C19&amp;" (introuvable)"))</f>
        <v>✓ renard</v>
      </c>
      <c r="E24" s="35" t="str">
        <f>IF(Liens!D19="","",IF(COUNTIF(Mots!A:A,Liens!D19)&gt;0,"✓ "&amp;Liens!D19,"✗ "&amp;Liens!D19&amp;" (introuvable)"))</f>
        <v>✓ a_intelligent_bete</v>
      </c>
      <c r="F24" s="35" t="str">
        <f>IF(Liens!E19="","",IF(COUNTIF(Mots!A:A,Liens!E19)&gt;0,"✓ "&amp;Liens!E19,"✗ "&amp;Liens!E19&amp;" (introuvable)"))</f>
        <v/>
      </c>
      <c r="G24" s="35" t="str">
        <f>IF(Liens!F19="","",IF(COUNTIF(Mots!A:A,Liens!F19)&gt;0,"✓ "&amp;Liens!F19,"✗ "&amp;Liens!F19&amp;" (introuvable)"))</f>
        <v/>
      </c>
      <c r="H24" s="35" t="str">
        <f>IF(Liens!G19="","",IF(COUNTIF(Mots!A:A,Liens!G19)&gt;0,"✓ "&amp;Liens!G19,"✗ "&amp;Liens!G19&amp;" (introuvable)"))</f>
        <v/>
      </c>
      <c r="I24" s="35" t="str">
        <f>IF(Liens!H19="","",IF(COUNTIF(Mots!A:A,Liens!H19)&gt;0,"✓ "&amp;Liens!H19,"✗ "&amp;Liens!H19&amp;" (introuvable)"))</f>
        <v/>
      </c>
    </row>
    <row r="25" spans="1:9" x14ac:dyDescent="0.3">
      <c r="A25">
        <v>20</v>
      </c>
      <c r="B25" s="35" t="str">
        <f>IF(Liens!A20="","",IF(COUNTIF(Mots!A:A,Liens!A20)&gt;0,"✓ "&amp;Liens!A20,"✗ "&amp;Liens!A20&amp;" (introuvable)"))</f>
        <v>✓ a_nombreux</v>
      </c>
      <c r="C25" s="35" t="str">
        <f>IF(Liens!B20="","",IF(COUNTIF(Mots!A:A,Liens!B20)&gt;0,"✓ "&amp;Liens!B20,"✗ "&amp;Liens!B20&amp;" (introuvable)"))</f>
        <v>✓ quantite</v>
      </c>
      <c r="D25" s="35" t="str">
        <f>IF(Liens!C20="","",IF(COUNTIF(Mots!A:A,Liens!C20)&gt;0,"✓ "&amp;Liens!C20,"✗ "&amp;Liens!C20&amp;" (introuvable)"))</f>
        <v>✓ nombre</v>
      </c>
      <c r="E25" s="35" t="str">
        <f>IF(Liens!D20="","",IF(COUNTIF(Mots!A:A,Liens!D20)&gt;0,"✓ "&amp;Liens!D20,"✗ "&amp;Liens!D20&amp;" (introuvable)"))</f>
        <v>✓ v_compter</v>
      </c>
      <c r="F25" s="35" t="str">
        <f>IF(Liens!E20="","",IF(COUNTIF(Mots!A:A,Liens!E20)&gt;0,"✓ "&amp;Liens!E20,"✗ "&amp;Liens!E20&amp;" (introuvable)"))</f>
        <v>✓ gens</v>
      </c>
      <c r="G25" s="35" t="str">
        <f>IF(Liens!F20="","",IF(COUNTIF(Mots!A:A,Liens!F20)&gt;0,"✓ "&amp;Liens!F20,"✗ "&amp;Liens!F20&amp;" (introuvable)"))</f>
        <v>✓ foule</v>
      </c>
      <c r="H25" s="35" t="str">
        <f>IF(Liens!G20="","",IF(COUNTIF(Mots!A:A,Liens!G20)&gt;0,"✓ "&amp;Liens!G20,"✗ "&amp;Liens!G20&amp;" (introuvable)"))</f>
        <v>✓ peu</v>
      </c>
      <c r="I25" s="35" t="str">
        <f>IF(Liens!H20="","",IF(COUNTIF(Mots!A:A,Liens!H20)&gt;0,"✓ "&amp;Liens!H20,"✗ "&amp;Liens!H20&amp;" (introuvable)"))</f>
        <v/>
      </c>
    </row>
    <row r="26" spans="1:9" x14ac:dyDescent="0.3">
      <c r="A26">
        <v>21</v>
      </c>
      <c r="B26" s="35" t="str">
        <f>IF(Liens!A21="","",IF(COUNTIF(Mots!A:A,Liens!A21)&gt;0,"✓ "&amp;Liens!A21,"✗ "&amp;Liens!A21&amp;" (introuvable)"))</f>
        <v>✓ a_pareil</v>
      </c>
      <c r="C26" s="35" t="str">
        <f>IF(Liens!B21="","",IF(COUNTIF(Mots!A:A,Liens!B21)&gt;0,"✓ "&amp;Liens!B21,"✗ "&amp;Liens!B21&amp;" (introuvable)"))</f>
        <v>✓ v_comparer</v>
      </c>
      <c r="D26" s="35" t="str">
        <f>IF(Liens!C21="","",IF(COUNTIF(Mots!A:A,Liens!C21)&gt;0,"✓ "&amp;Liens!C21,"✗ "&amp;Liens!C21&amp;" (introuvable)"))</f>
        <v>✓ difference</v>
      </c>
      <c r="E26" s="35" t="str">
        <f>IF(Liens!D21="","",IF(COUNTIF(Mots!A:A,Liens!D21)&gt;0,"✓ "&amp;Liens!D21,"✗ "&amp;Liens!D21&amp;" (introuvable)"))</f>
        <v/>
      </c>
      <c r="F26" s="35" t="str">
        <f>IF(Liens!E21="","",IF(COUNTIF(Mots!A:A,Liens!E21)&gt;0,"✓ "&amp;Liens!E21,"✗ "&amp;Liens!E21&amp;" (introuvable)"))</f>
        <v/>
      </c>
      <c r="G26" s="35" t="str">
        <f>IF(Liens!F21="","",IF(COUNTIF(Mots!A:A,Liens!F21)&gt;0,"✓ "&amp;Liens!F21,"✗ "&amp;Liens!F21&amp;" (introuvable)"))</f>
        <v/>
      </c>
      <c r="H26" s="35" t="str">
        <f>IF(Liens!G21="","",IF(COUNTIF(Mots!A:A,Liens!G21)&gt;0,"✓ "&amp;Liens!G21,"✗ "&amp;Liens!G21&amp;" (introuvable)"))</f>
        <v/>
      </c>
      <c r="I26" s="35" t="str">
        <f>IF(Liens!H21="","",IF(COUNTIF(Mots!A:A,Liens!H21)&gt;0,"✓ "&amp;Liens!H21,"✗ "&amp;Liens!H21&amp;" (introuvable)"))</f>
        <v/>
      </c>
    </row>
    <row r="27" spans="1:9" x14ac:dyDescent="0.3">
      <c r="A27">
        <v>22</v>
      </c>
      <c r="B27" s="35" t="str">
        <f>IF(Liens!A22="","",IF(COUNTIF(Mots!A:A,Liens!A22)&gt;0,"✓ "&amp;Liens!A22,"✗ "&amp;Liens!A22&amp;" (introuvable)"))</f>
        <v>✓ a_pratique</v>
      </c>
      <c r="C27" s="35" t="str">
        <f>IF(Liens!B22="","",IF(COUNTIF(Mots!A:A,Liens!B22)&gt;0,"✓ "&amp;Liens!B22,"✗ "&amp;Liens!B22&amp;" (introuvable)"))</f>
        <v>✓ a_utile</v>
      </c>
      <c r="D27" s="35" t="str">
        <f>IF(Liens!C22="","",IF(COUNTIF(Mots!A:A,Liens!C22)&gt;0,"✓ "&amp;Liens!C22,"✗ "&amp;Liens!C22&amp;" (introuvable)"))</f>
        <v>✓ a_facile_difficile</v>
      </c>
      <c r="E27" s="35" t="str">
        <f>IF(Liens!D22="","",IF(COUNTIF(Mots!A:A,Liens!D22)&gt;0,"✓ "&amp;Liens!D22,"✗ "&amp;Liens!D22&amp;" (introuvable)"))</f>
        <v>✓ chose</v>
      </c>
      <c r="F27" s="35" t="str">
        <f>IF(Liens!E22="","",IF(COUNTIF(Mots!A:A,Liens!E22)&gt;0,"✓ "&amp;Liens!E22,"✗ "&amp;Liens!E22&amp;" (introuvable)"))</f>
        <v>✓ outil</v>
      </c>
      <c r="G27" s="35" t="str">
        <f>IF(Liens!F22="","",IF(COUNTIF(Mots!A:A,Liens!F22)&gt;0,"✓ "&amp;Liens!F22,"✗ "&amp;Liens!F22&amp;" (introuvable)"))</f>
        <v/>
      </c>
      <c r="H27" s="35" t="str">
        <f>IF(Liens!G22="","",IF(COUNTIF(Mots!A:A,Liens!G22)&gt;0,"✓ "&amp;Liens!G22,"✗ "&amp;Liens!G22&amp;" (introuvable)"))</f>
        <v/>
      </c>
      <c r="I27" s="35" t="str">
        <f>IF(Liens!H22="","",IF(COUNTIF(Mots!A:A,Liens!H22)&gt;0,"✓ "&amp;Liens!H22,"✗ "&amp;Liens!H22&amp;" (introuvable)"))</f>
        <v/>
      </c>
    </row>
    <row r="28" spans="1:9" x14ac:dyDescent="0.3">
      <c r="A28">
        <v>23</v>
      </c>
      <c r="B28" s="35" t="str">
        <f>IF(Liens!A23="","",IF(COUNTIF(Mots!A:A,Liens!A23)&gt;0,"✓ "&amp;Liens!A23,"✗ "&amp;Liens!A23&amp;" (introuvable)"))</f>
        <v>✓ a_precis</v>
      </c>
      <c r="C28" s="35" t="str">
        <f>IF(Liens!B23="","",IF(COUNTIF(Mots!A:A,Liens!B23)&gt;0,"✓ "&amp;Liens!B23,"✗ "&amp;Liens!B23&amp;" (introuvable)"))</f>
        <v>✓ juste</v>
      </c>
      <c r="D28" s="35" t="str">
        <f>IF(Liens!C23="","",IF(COUNTIF(Mots!A:A,Liens!C23)&gt;0,"✓ "&amp;Liens!C23,"✗ "&amp;Liens!C23&amp;" (introuvable)"))</f>
        <v>✓ erreur</v>
      </c>
      <c r="E28" s="35" t="str">
        <f>IF(Liens!D23="","",IF(COUNTIF(Mots!A:A,Liens!D23)&gt;0,"✓ "&amp;Liens!D23,"✗ "&amp;Liens!D23&amp;" (introuvable)"))</f>
        <v>✓ correct</v>
      </c>
      <c r="F28" s="35" t="str">
        <f>IF(Liens!E23="","",IF(COUNTIF(Mots!A:A,Liens!E23)&gt;0,"✓ "&amp;Liens!E23,"✗ "&amp;Liens!E23&amp;" (introuvable)"))</f>
        <v>✓ montre</v>
      </c>
      <c r="G28" s="35" t="str">
        <f>IF(Liens!F23="","",IF(COUNTIF(Mots!A:A,Liens!F23)&gt;0,"✓ "&amp;Liens!F23,"✗ "&amp;Liens!F23&amp;" (introuvable)"))</f>
        <v/>
      </c>
      <c r="H28" s="35" t="str">
        <f>IF(Liens!G23="","",IF(COUNTIF(Mots!A:A,Liens!G23)&gt;0,"✓ "&amp;Liens!G23,"✗ "&amp;Liens!G23&amp;" (introuvable)"))</f>
        <v/>
      </c>
      <c r="I28" s="35" t="str">
        <f>IF(Liens!H23="","",IF(COUNTIF(Mots!A:A,Liens!H23)&gt;0,"✓ "&amp;Liens!H23,"✗ "&amp;Liens!H23&amp;" (introuvable)"))</f>
        <v/>
      </c>
    </row>
    <row r="29" spans="1:9" x14ac:dyDescent="0.3">
      <c r="A29">
        <v>24</v>
      </c>
      <c r="B29" s="35" t="str">
        <f>IF(Liens!A24="","",IF(COUNTIF(Mots!A:A,Liens!A24)&gt;0,"✓ "&amp;Liens!A24,"✗ "&amp;Liens!A24&amp;" (introuvable)"))</f>
        <v>✓ a_prefere</v>
      </c>
      <c r="C29" s="35" t="str">
        <f>IF(Liens!B24="","",IF(COUNTIF(Mots!A:A,Liens!B24)&gt;0,"✓ "&amp;Liens!B24,"✗ "&amp;Liens!B24&amp;" (introuvable)"))</f>
        <v>✓ v_aimer</v>
      </c>
      <c r="D29" s="35" t="str">
        <f>IF(Liens!C24="","",IF(COUNTIF(Mots!A:A,Liens!C24)&gt;0,"✓ "&amp;Liens!C24,"✗ "&amp;Liens!C24&amp;" (introuvable)"))</f>
        <v/>
      </c>
      <c r="E29" s="35" t="str">
        <f>IF(Liens!D24="","",IF(COUNTIF(Mots!A:A,Liens!D24)&gt;0,"✓ "&amp;Liens!D24,"✗ "&amp;Liens!D24&amp;" (introuvable)"))</f>
        <v/>
      </c>
      <c r="F29" s="35" t="str">
        <f>IF(Liens!E24="","",IF(COUNTIF(Mots!A:A,Liens!E24)&gt;0,"✓ "&amp;Liens!E24,"✗ "&amp;Liens!E24&amp;" (introuvable)"))</f>
        <v/>
      </c>
      <c r="G29" s="35" t="str">
        <f>IF(Liens!F24="","",IF(COUNTIF(Mots!A:A,Liens!F24)&gt;0,"✓ "&amp;Liens!F24,"✗ "&amp;Liens!F24&amp;" (introuvable)"))</f>
        <v/>
      </c>
      <c r="H29" s="35" t="str">
        <f>IF(Liens!G24="","",IF(COUNTIF(Mots!A:A,Liens!G24)&gt;0,"✓ "&amp;Liens!G24,"✗ "&amp;Liens!G24&amp;" (introuvable)"))</f>
        <v/>
      </c>
      <c r="I29" s="35" t="str">
        <f>IF(Liens!H24="","",IF(COUNTIF(Mots!A:A,Liens!H24)&gt;0,"✓ "&amp;Liens!H24,"✗ "&amp;Liens!H24&amp;" (introuvable)"))</f>
        <v/>
      </c>
    </row>
    <row r="30" spans="1:9" x14ac:dyDescent="0.3">
      <c r="A30">
        <v>25</v>
      </c>
      <c r="B30" s="35" t="str">
        <f>IF(Liens!A25="","",IF(COUNTIF(Mots!A:A,Liens!A25)&gt;0,"✓ "&amp;Liens!A25,"✗ "&amp;Liens!A25&amp;" (introuvable)"))</f>
        <v>✓ a_profond</v>
      </c>
      <c r="C30" s="35" t="str">
        <f>IF(Liens!B25="","",IF(COUNTIF(Mots!A:A,Liens!B25)&gt;0,"✓ "&amp;Liens!B25,"✗ "&amp;Liens!B25&amp;" (introuvable)"))</f>
        <v>✓ fond</v>
      </c>
      <c r="D30" s="35" t="str">
        <f>IF(Liens!C25="","",IF(COUNTIF(Mots!A:A,Liens!C25)&gt;0,"✓ "&amp;Liens!C25,"✗ "&amp;Liens!C25&amp;" (introuvable)"))</f>
        <v>✓ piscine</v>
      </c>
      <c r="E30" s="35" t="str">
        <f>IF(Liens!D25="","",IF(COUNTIF(Mots!A:A,Liens!D25)&gt;0,"✓ "&amp;Liens!D25,"✗ "&amp;Liens!D25&amp;" (introuvable)"))</f>
        <v>✓ trou</v>
      </c>
      <c r="F30" s="35" t="str">
        <f>IF(Liens!E25="","",IF(COUNTIF(Mots!A:A,Liens!E25)&gt;0,"✓ "&amp;Liens!E25,"✗ "&amp;Liens!E25&amp;" (introuvable)"))</f>
        <v>✓ v_descendre</v>
      </c>
      <c r="G30" s="35" t="str">
        <f>IF(Liens!F25="","",IF(COUNTIF(Mots!A:A,Liens!F25)&gt;0,"✓ "&amp;Liens!F25,"✗ "&amp;Liens!F25&amp;" (introuvable)"))</f>
        <v>✓ danger</v>
      </c>
      <c r="H30" s="35" t="str">
        <f>IF(Liens!G25="","",IF(COUNTIF(Mots!A:A,Liens!G25)&gt;0,"✓ "&amp;Liens!G25,"✗ "&amp;Liens!G25&amp;" (introuvable)"))</f>
        <v>✓ dangereux</v>
      </c>
      <c r="I30" s="35" t="str">
        <f>IF(Liens!H25="","",IF(COUNTIF(Mots!A:A,Liens!H25)&gt;0,"✓ "&amp;Liens!H25,"✗ "&amp;Liens!H25&amp;" (introuvable)"))</f>
        <v/>
      </c>
    </row>
    <row r="31" spans="1:9" x14ac:dyDescent="0.3">
      <c r="A31">
        <v>26</v>
      </c>
      <c r="B31" s="35" t="str">
        <f>IF(Liens!A26="","",IF(COUNTIF(Mots!A:A,Liens!A26)&gt;0,"✓ "&amp;Liens!A26,"✗ "&amp;Liens!A26&amp;" (introuvable)"))</f>
        <v>✓ a_regulier</v>
      </c>
      <c r="C31" s="35" t="str">
        <f>IF(Liens!B26="","",IF(COUNTIF(Mots!A:A,Liens!B26)&gt;0,"✓ "&amp;Liens!B26,"✗ "&amp;Liens!B26&amp;" (introuvable)"))</f>
        <v>✓ a_habituel</v>
      </c>
      <c r="D31" s="35" t="str">
        <f>IF(Liens!C26="","",IF(COUNTIF(Mots!A:A,Liens!C26)&gt;0,"✓ "&amp;Liens!C26,"✗ "&amp;Liens!C26&amp;" (introuvable)"))</f>
        <v>✓ v_jouer</v>
      </c>
      <c r="E31" s="35" t="str">
        <f>IF(Liens!D26="","",IF(COUNTIF(Mots!A:A,Liens!D26)&gt;0,"✓ "&amp;Liens!D26,"✗ "&amp;Liens!D26&amp;" (introuvable)"))</f>
        <v>✓ v_manger</v>
      </c>
      <c r="F31" s="35" t="str">
        <f>IF(Liens!E26="","",IF(COUNTIF(Mots!A:A,Liens!E26)&gt;0,"✓ "&amp;Liens!E26,"✗ "&amp;Liens!E26&amp;" (introuvable)"))</f>
        <v>✓ repas</v>
      </c>
      <c r="G31" s="35" t="str">
        <f>IF(Liens!F26="","",IF(COUNTIF(Mots!A:A,Liens!F26)&gt;0,"✓ "&amp;Liens!F26,"✗ "&amp;Liens!F26&amp;" (introuvable)"))</f>
        <v>✓ v_boire</v>
      </c>
      <c r="H31" s="35" t="str">
        <f>IF(Liens!G26="","",IF(COUNTIF(Mots!A:A,Liens!G26)&gt;0,"✓ "&amp;Liens!G26,"✗ "&amp;Liens!G26&amp;" (introuvable)"))</f>
        <v>✓ v_dormir</v>
      </c>
      <c r="I31" s="35" t="str">
        <f>IF(Liens!H26="","",IF(COUNTIF(Mots!A:A,Liens!H26)&gt;0,"✓ "&amp;Liens!H26,"✗ "&amp;Liens!H26&amp;" (introuvable)"))</f>
        <v/>
      </c>
    </row>
    <row r="32" spans="1:9" x14ac:dyDescent="0.3">
      <c r="A32">
        <v>27</v>
      </c>
      <c r="B32" s="35" t="str">
        <f>IF(Liens!A27="","",IF(COUNTIF(Mots!A:A,Liens!A27)&gt;0,"✓ "&amp;Liens!A27,"✗ "&amp;Liens!A27&amp;" (introuvable)"))</f>
        <v>✓ a_resistant</v>
      </c>
      <c r="C32" s="35" t="str">
        <f>IF(Liens!B27="","",IF(COUNTIF(Mots!A:A,Liens!B27)&gt;0,"✓ "&amp;Liens!B27,"✗ "&amp;Liens!B27&amp;" (introuvable)"))</f>
        <v>✓ corde</v>
      </c>
      <c r="D32" s="35" t="str">
        <f>IF(Liens!C27="","",IF(COUNTIF(Mots!A:A,Liens!C27)&gt;0,"✓ "&amp;Liens!C27,"✗ "&amp;Liens!C27&amp;" (introuvable)"))</f>
        <v>✓ lien</v>
      </c>
      <c r="E32" s="35" t="str">
        <f>IF(Liens!D27="","",IF(COUNTIF(Mots!A:A,Liens!D27)&gt;0,"✓ "&amp;Liens!D27,"✗ "&amp;Liens!D27&amp;" (introuvable)"))</f>
        <v>✓ matiere</v>
      </c>
      <c r="F32" s="35" t="str">
        <f>IF(Liens!E27="","",IF(COUNTIF(Mots!A:A,Liens!E27)&gt;0,"✓ "&amp;Liens!E27,"✗ "&amp;Liens!E27&amp;" (introuvable)"))</f>
        <v>✓ tissu</v>
      </c>
      <c r="G32" s="35" t="str">
        <f>IF(Liens!F27="","",IF(COUNTIF(Mots!A:A,Liens!F27)&gt;0,"✓ "&amp;Liens!F27,"✗ "&amp;Liens!F27&amp;" (introuvable)"))</f>
        <v>✓ personne</v>
      </c>
      <c r="H32" s="35" t="str">
        <f>IF(Liens!G27="","",IF(COUNTIF(Mots!A:A,Liens!G27)&gt;0,"✓ "&amp;Liens!G27,"✗ "&amp;Liens!G27&amp;" (introuvable)"))</f>
        <v/>
      </c>
      <c r="I32" s="35" t="str">
        <f>IF(Liens!H27="","",IF(COUNTIF(Mots!A:A,Liens!H27)&gt;0,"✓ "&amp;Liens!H27,"✗ "&amp;Liens!H27&amp;" (introuvable)"))</f>
        <v/>
      </c>
    </row>
    <row r="33" spans="1:9" x14ac:dyDescent="0.3">
      <c r="A33">
        <v>28</v>
      </c>
      <c r="B33" s="35" t="str">
        <f>IF(Liens!A28="","",IF(COUNTIF(Mots!A:A,Liens!A28)&gt;0,"✓ "&amp;Liens!A28,"✗ "&amp;Liens!A28&amp;" (introuvable)"))</f>
        <v>✓ a_rude</v>
      </c>
      <c r="C33" s="35" t="str">
        <f>IF(Liens!B28="","",IF(COUNTIF(Mots!A:A,Liens!B28)&gt;0,"✓ "&amp;Liens!B28,"✗ "&amp;Liens!B28&amp;" (introuvable)"))</f>
        <v>✓ tissu</v>
      </c>
      <c r="D33" s="35" t="str">
        <f>IF(Liens!C28="","",IF(COUNTIF(Mots!A:A,Liens!C28)&gt;0,"✓ "&amp;Liens!C28,"✗ "&amp;Liens!C28&amp;" (introuvable)"))</f>
        <v>✓ personne</v>
      </c>
      <c r="E33" s="35" t="str">
        <f>IF(Liens!D28="","",IF(COUNTIF(Mots!A:A,Liens!D28)&gt;0,"✓ "&amp;Liens!D28,"✗ "&amp;Liens!D28&amp;" (introuvable)"))</f>
        <v>✓ hiver</v>
      </c>
      <c r="F33" s="35" t="str">
        <f>IF(Liens!E28="","",IF(COUNTIF(Mots!A:A,Liens!E28)&gt;0,"✓ "&amp;Liens!E28,"✗ "&amp;Liens!E28&amp;" (introuvable)"))</f>
        <v>✓ peine</v>
      </c>
      <c r="G33" s="35" t="str">
        <f>IF(Liens!F28="","",IF(COUNTIF(Mots!A:A,Liens!F28)&gt;0,"✓ "&amp;Liens!F28,"✗ "&amp;Liens!F28&amp;" (introuvable)"))</f>
        <v>✓ blessure</v>
      </c>
      <c r="H33" s="35" t="str">
        <f>IF(Liens!G28="","",IF(COUNTIF(Mots!A:A,Liens!G28)&gt;0,"✓ "&amp;Liens!G28,"✗ "&amp;Liens!G28&amp;" (introuvable)"))</f>
        <v/>
      </c>
      <c r="I33" s="35" t="str">
        <f>IF(Liens!H28="","",IF(COUNTIF(Mots!A:A,Liens!H28)&gt;0,"✓ "&amp;Liens!H28,"✗ "&amp;Liens!H28&amp;" (introuvable)"))</f>
        <v/>
      </c>
    </row>
    <row r="34" spans="1:9" x14ac:dyDescent="0.3">
      <c r="A34">
        <v>29</v>
      </c>
      <c r="B34" s="35" t="str">
        <f>IF(Liens!A29="","",IF(COUNTIF(Mots!A:A,Liens!A29)&gt;0,"✓ "&amp;Liens!A29,"✗ "&amp;Liens!A29&amp;" (introuvable)"))</f>
        <v>✓ a_ruse</v>
      </c>
      <c r="C34" s="35" t="str">
        <f>IF(Liens!B29="","",IF(COUNTIF(Mots!A:A,Liens!B29)&gt;0,"✓ "&amp;Liens!B29,"✗ "&amp;Liens!B29&amp;" (introuvable)"))</f>
        <v>✓ a_malin</v>
      </c>
      <c r="D34" s="35" t="str">
        <f>IF(Liens!C29="","",IF(COUNTIF(Mots!A:A,Liens!C29)&gt;0,"✓ "&amp;Liens!C29,"✗ "&amp;Liens!C29&amp;" (introuvable)"))</f>
        <v>✓ renard</v>
      </c>
      <c r="E34" s="35" t="str">
        <f>IF(Liens!D29="","",IF(COUNTIF(Mots!A:A,Liens!D29)&gt;0,"✓ "&amp;Liens!D29,"✗ "&amp;Liens!D29&amp;" (introuvable)"))</f>
        <v>✓ a_intelligent_bete</v>
      </c>
      <c r="F34" s="35" t="str">
        <f>IF(Liens!E29="","",IF(COUNTIF(Mots!A:A,Liens!E29)&gt;0,"✓ "&amp;Liens!E29,"✗ "&amp;Liens!E29&amp;" (introuvable)"))</f>
        <v/>
      </c>
      <c r="G34" s="35" t="str">
        <f>IF(Liens!F29="","",IF(COUNTIF(Mots!A:A,Liens!F29)&gt;0,"✓ "&amp;Liens!F29,"✗ "&amp;Liens!F29&amp;" (introuvable)"))</f>
        <v/>
      </c>
      <c r="H34" s="35" t="str">
        <f>IF(Liens!G29="","",IF(COUNTIF(Mots!A:A,Liens!G29)&gt;0,"✓ "&amp;Liens!G29,"✗ "&amp;Liens!G29&amp;" (introuvable)"))</f>
        <v/>
      </c>
      <c r="I34" s="35" t="str">
        <f>IF(Liens!H29="","",IF(COUNTIF(Mots!A:A,Liens!H29)&gt;0,"✓ "&amp;Liens!H29,"✗ "&amp;Liens!H29&amp;" (introuvable)"))</f>
        <v/>
      </c>
    </row>
    <row r="35" spans="1:9" x14ac:dyDescent="0.3">
      <c r="A35">
        <v>30</v>
      </c>
      <c r="B35" s="35" t="str">
        <f>IF(Liens!A30="","",IF(COUNTIF(Mots!A:A,Liens!A30)&gt;0,"✓ "&amp;Liens!A30,"✗ "&amp;Liens!A30&amp;" (introuvable)"))</f>
        <v>✓ a_sauvage</v>
      </c>
      <c r="C35" s="35" t="str">
        <f>IF(Liens!B30="","",IF(COUNTIF(Mots!A:A,Liens!B30)&gt;0,"✓ "&amp;Liens!B30,"✗ "&amp;Liens!B30&amp;" (introuvable)"))</f>
        <v>✓ nature</v>
      </c>
      <c r="D35" s="35" t="str">
        <f>IF(Liens!C30="","",IF(COUNTIF(Mots!A:A,Liens!C30)&gt;0,"✓ "&amp;Liens!C30,"✗ "&amp;Liens!C30&amp;" (introuvable)"))</f>
        <v>✓ loup</v>
      </c>
      <c r="E35" s="35" t="str">
        <f>IF(Liens!D30="","",IF(COUNTIF(Mots!A:A,Liens!D30)&gt;0,"✓ "&amp;Liens!D30,"✗ "&amp;Liens!D30&amp;" (introuvable)"))</f>
        <v>✓ chamois</v>
      </c>
      <c r="F35" s="35" t="str">
        <f>IF(Liens!E30="","",IF(COUNTIF(Mots!A:A,Liens!E30)&gt;0,"✓ "&amp;Liens!E30,"✗ "&amp;Liens!E30&amp;" (introuvable)"))</f>
        <v>✓ cerf</v>
      </c>
      <c r="G35" s="35" t="str">
        <f>IF(Liens!F30="","",IF(COUNTIF(Mots!A:A,Liens!F30)&gt;0,"✓ "&amp;Liens!F30,"✗ "&amp;Liens!F30&amp;" (introuvable)"))</f>
        <v>✓ chevreuil</v>
      </c>
      <c r="H35" s="35" t="str">
        <f>IF(Liens!G30="","",IF(COUNTIF(Mots!A:A,Liens!G30)&gt;0,"✓ "&amp;Liens!G30,"✗ "&amp;Liens!G30&amp;" (introuvable)"))</f>
        <v>✓ biche</v>
      </c>
      <c r="I35" s="35" t="str">
        <f>IF(Liens!H30="","",IF(COUNTIF(Mots!A:A,Liens!H30)&gt;0,"✓ "&amp;Liens!H30,"✗ "&amp;Liens!H30&amp;" (introuvable)"))</f>
        <v>✓ lion</v>
      </c>
    </row>
    <row r="36" spans="1:9" x14ac:dyDescent="0.3">
      <c r="A36">
        <v>31</v>
      </c>
      <c r="B36" s="35" t="str">
        <f>IF(Liens!A31="","",IF(COUNTIF(Mots!A:A,Liens!A31)&gt;0,"✓ "&amp;Liens!A31,"✗ "&amp;Liens!A31&amp;" (introuvable)"))</f>
        <v>✓ a_touffu</v>
      </c>
      <c r="C36" s="35" t="str">
        <f>IF(Liens!B31="","",IF(COUNTIF(Mots!A:A,Liens!B31)&gt;0,"✓ "&amp;Liens!B31,"✗ "&amp;Liens!B31&amp;" (introuvable)"))</f>
        <v>✓ cheveux</v>
      </c>
      <c r="D36" s="35" t="str">
        <f>IF(Liens!C31="","",IF(COUNTIF(Mots!A:A,Liens!C31)&gt;0,"✓ "&amp;Liens!C31,"✗ "&amp;Liens!C31&amp;" (introuvable)"))</f>
        <v>✓ poil</v>
      </c>
      <c r="E36" s="35" t="str">
        <f>IF(Liens!D31="","",IF(COUNTIF(Mots!A:A,Liens!D31)&gt;0,"✓ "&amp;Liens!D31,"✗ "&amp;Liens!D31&amp;" (introuvable)"))</f>
        <v>✓ a_nombreux</v>
      </c>
      <c r="F36" s="35" t="str">
        <f>IF(Liens!E31="","",IF(COUNTIF(Mots!A:A,Liens!E31)&gt;0,"✓ "&amp;Liens!E31,"✗ "&amp;Liens!E31&amp;" (introuvable)"))</f>
        <v/>
      </c>
      <c r="G36" s="35" t="str">
        <f>IF(Liens!F31="","",IF(COUNTIF(Mots!A:A,Liens!F31)&gt;0,"✓ "&amp;Liens!F31,"✗ "&amp;Liens!F31&amp;" (introuvable)"))</f>
        <v/>
      </c>
      <c r="H36" s="35" t="str">
        <f>IF(Liens!G31="","",IF(COUNTIF(Mots!A:A,Liens!G31)&gt;0,"✓ "&amp;Liens!G31,"✗ "&amp;Liens!G31&amp;" (introuvable)"))</f>
        <v/>
      </c>
      <c r="I36" s="35" t="str">
        <f>IF(Liens!H31="","",IF(COUNTIF(Mots!A:A,Liens!H31)&gt;0,"✓ "&amp;Liens!H31,"✗ "&amp;Liens!H31&amp;" (introuvable)"))</f>
        <v/>
      </c>
    </row>
    <row r="37" spans="1:9" x14ac:dyDescent="0.3">
      <c r="A37">
        <v>32</v>
      </c>
      <c r="B37" s="35" t="str">
        <f>IF(Liens!A32="","",IF(COUNTIF(Mots!A:A,Liens!A32)&gt;0,"✓ "&amp;Liens!A32,"✗ "&amp;Liens!A32&amp;" (introuvable)"))</f>
        <v>✓ a_urgent</v>
      </c>
      <c r="C37" s="35" t="str">
        <f>IF(Liens!B32="","",IF(COUNTIF(Mots!A:A,Liens!B32)&gt;0,"✓ "&amp;Liens!B32,"✗ "&amp;Liens!B32&amp;" (introuvable)"))</f>
        <v>✓ maintenant</v>
      </c>
      <c r="D37" s="35" t="str">
        <f>IF(Liens!C32="","",IF(COUNTIF(Mots!A:A,Liens!C32)&gt;0,"✓ "&amp;Liens!C32,"✗ "&amp;Liens!C32&amp;" (introuvable)"))</f>
        <v>✓ a_important</v>
      </c>
      <c r="E37" s="35" t="str">
        <f>IF(Liens!D32="","",IF(COUNTIF(Mots!A:A,Liens!D32)&gt;0,"✓ "&amp;Liens!D32,"✗ "&amp;Liens!D32&amp;" (introuvable)"))</f>
        <v>✓ d_abord</v>
      </c>
      <c r="F37" s="35" t="str">
        <f>IF(Liens!E32="","",IF(COUNTIF(Mots!A:A,Liens!E32)&gt;0,"✓ "&amp;Liens!E32,"✗ "&amp;Liens!E32&amp;" (introuvable)"))</f>
        <v/>
      </c>
      <c r="G37" s="35" t="str">
        <f>IF(Liens!F32="","",IF(COUNTIF(Mots!A:A,Liens!F32)&gt;0,"✓ "&amp;Liens!F32,"✗ "&amp;Liens!F32&amp;" (introuvable)"))</f>
        <v/>
      </c>
      <c r="H37" s="35" t="str">
        <f>IF(Liens!G32="","",IF(COUNTIF(Mots!A:A,Liens!G32)&gt;0,"✓ "&amp;Liens!G32,"✗ "&amp;Liens!G32&amp;" (introuvable)"))</f>
        <v/>
      </c>
      <c r="I37" s="35" t="str">
        <f>IF(Liens!H32="","",IF(COUNTIF(Mots!A:A,Liens!H32)&gt;0,"✓ "&amp;Liens!H32,"✗ "&amp;Liens!H32&amp;" (introuvable)"))</f>
        <v/>
      </c>
    </row>
    <row r="38" spans="1:9" x14ac:dyDescent="0.3">
      <c r="A38">
        <v>33</v>
      </c>
      <c r="B38" s="35" t="str">
        <f>IF(Liens!A33="","",IF(COUNTIF(Mots!A:A,Liens!A33)&gt;0,"✓ "&amp;Liens!A33,"✗ "&amp;Liens!A33&amp;" (introuvable)"))</f>
        <v>✓ a_utile</v>
      </c>
      <c r="C38" s="35" t="str">
        <f>IF(Liens!B33="","",IF(COUNTIF(Mots!A:A,Liens!B33)&gt;0,"✓ "&amp;Liens!B33,"✗ "&amp;Liens!B33&amp;" (introuvable)"))</f>
        <v>✓ a_pratique</v>
      </c>
      <c r="D38" s="35" t="str">
        <f>IF(Liens!C33="","",IF(COUNTIF(Mots!A:A,Liens!C33)&gt;0,"✓ "&amp;Liens!C33,"✗ "&amp;Liens!C33&amp;" (introuvable)"))</f>
        <v>✓ a_facile_difficile</v>
      </c>
      <c r="E38" s="35" t="str">
        <f>IF(Liens!D33="","",IF(COUNTIF(Mots!A:A,Liens!D33)&gt;0,"✓ "&amp;Liens!D33,"✗ "&amp;Liens!D33&amp;" (introuvable)"))</f>
        <v>✓ chose</v>
      </c>
      <c r="F38" s="35" t="str">
        <f>IF(Liens!E33="","",IF(COUNTIF(Mots!A:A,Liens!E33)&gt;0,"✓ "&amp;Liens!E33,"✗ "&amp;Liens!E33&amp;" (introuvable)"))</f>
        <v>✓ outil</v>
      </c>
      <c r="G38" s="35" t="str">
        <f>IF(Liens!F33="","",IF(COUNTIF(Mots!A:A,Liens!F33)&gt;0,"✓ "&amp;Liens!F33,"✗ "&amp;Liens!F33&amp;" (introuvable)"))</f>
        <v/>
      </c>
      <c r="H38" s="35" t="str">
        <f>IF(Liens!G33="","",IF(COUNTIF(Mots!A:A,Liens!G33)&gt;0,"✓ "&amp;Liens!G33,"✗ "&amp;Liens!G33&amp;" (introuvable)"))</f>
        <v/>
      </c>
      <c r="I38" s="35" t="str">
        <f>IF(Liens!H33="","",IF(COUNTIF(Mots!A:A,Liens!H33)&gt;0,"✓ "&amp;Liens!H33,"✗ "&amp;Liens!H33&amp;" (introuvable)"))</f>
        <v/>
      </c>
    </row>
    <row r="39" spans="1:9" x14ac:dyDescent="0.3">
      <c r="A39">
        <v>34</v>
      </c>
      <c r="B39" s="35" t="str">
        <f>IF(Liens!A34="","",IF(COUNTIF(Mots!A:A,Liens!A34)&gt;0,"✓ "&amp;Liens!A34,"✗ "&amp;Liens!A34&amp;" (introuvable)"))</f>
        <v>✓ a_vif</v>
      </c>
      <c r="C39" s="35" t="str">
        <f>IF(Liens!B34="","",IF(COUNTIF(Mots!A:A,Liens!B34)&gt;0,"✓ "&amp;Liens!B34,"✗ "&amp;Liens!B34&amp;" (introuvable)"))</f>
        <v>✓ a_rapide_lent</v>
      </c>
      <c r="D39" s="35" t="str">
        <f>IF(Liens!C34="","",IF(COUNTIF(Mots!A:A,Liens!C34)&gt;0,"✓ "&amp;Liens!C34,"✗ "&amp;Liens!C34&amp;" (introuvable)"))</f>
        <v>✓ a_calme_agite</v>
      </c>
      <c r="E39" s="35" t="str">
        <f>IF(Liens!D34="","",IF(COUNTIF(Mots!A:A,Liens!D34)&gt;0,"✓ "&amp;Liens!D34,"✗ "&amp;Liens!D34&amp;" (introuvable)"))</f>
        <v>✓ v_comprendre</v>
      </c>
      <c r="F39" s="35" t="str">
        <f>IF(Liens!E34="","",IF(COUNTIF(Mots!A:A,Liens!E34)&gt;0,"✓ "&amp;Liens!E34,"✗ "&amp;Liens!E34&amp;" (introuvable)"))</f>
        <v/>
      </c>
      <c r="G39" s="35" t="str">
        <f>IF(Liens!F34="","",IF(COUNTIF(Mots!A:A,Liens!F34)&gt;0,"✓ "&amp;Liens!F34,"✗ "&amp;Liens!F34&amp;" (introuvable)"))</f>
        <v/>
      </c>
      <c r="H39" s="35" t="str">
        <f>IF(Liens!G34="","",IF(COUNTIF(Mots!A:A,Liens!G34)&gt;0,"✓ "&amp;Liens!G34,"✗ "&amp;Liens!G34&amp;" (introuvable)"))</f>
        <v/>
      </c>
      <c r="I39" s="35" t="str">
        <f>IF(Liens!H34="","",IF(COUNTIF(Mots!A:A,Liens!H34)&gt;0,"✓ "&amp;Liens!H34,"✗ "&amp;Liens!H34&amp;" (introuvable)"))</f>
        <v/>
      </c>
    </row>
    <row r="40" spans="1:9" x14ac:dyDescent="0.3">
      <c r="A40">
        <v>35</v>
      </c>
      <c r="B40" s="35" t="str">
        <f>IF(Liens!A35="","",IF(COUNTIF(Mots!A:A,Liens!A35)&gt;0,"✓ "&amp;Liens!A35,"✗ "&amp;Liens!A35&amp;" (introuvable)"))</f>
        <v>✓ a_vitre</v>
      </c>
      <c r="C40" s="35" t="str">
        <f>IF(Liens!B35="","",IF(COUNTIF(Mots!A:A,Liens!B35)&gt;0,"✓ "&amp;Liens!B35,"✗ "&amp;Liens!B35&amp;" (introuvable)"))</f>
        <v>✓ fenetre</v>
      </c>
      <c r="D40" s="35" t="str">
        <f>IF(Liens!C35="","",IF(COUNTIF(Mots!A:A,Liens!C35)&gt;0,"✓ "&amp;Liens!C35,"✗ "&amp;Liens!C35&amp;" (introuvable)"))</f>
        <v>✓ transparent</v>
      </c>
      <c r="E40" s="35" t="str">
        <f>IF(Liens!D35="","",IF(COUNTIF(Mots!A:A,Liens!D35)&gt;0,"✓ "&amp;Liens!D35,"✗ "&amp;Liens!D35&amp;" (introuvable)"))</f>
        <v>✓ e_verre</v>
      </c>
      <c r="F40" s="35" t="str">
        <f>IF(Liens!E35="","",IF(COUNTIF(Mots!A:A,Liens!E35)&gt;0,"✓ "&amp;Liens!E35,"✗ "&amp;Liens!E35&amp;" (introuvable)"))</f>
        <v>✓ rideau</v>
      </c>
      <c r="G40" s="35" t="str">
        <f>IF(Liens!F35="","",IF(COUNTIF(Mots!A:A,Liens!F35)&gt;0,"✓ "&amp;Liens!F35,"✗ "&amp;Liens!F35&amp;" (introuvable)"))</f>
        <v/>
      </c>
      <c r="H40" s="35" t="str">
        <f>IF(Liens!G35="","",IF(COUNTIF(Mots!A:A,Liens!G35)&gt;0,"✓ "&amp;Liens!G35,"✗ "&amp;Liens!G35&amp;" (introuvable)"))</f>
        <v/>
      </c>
      <c r="I40" s="35" t="str">
        <f>IF(Liens!H35="","",IF(COUNTIF(Mots!A:A,Liens!H35)&gt;0,"✓ "&amp;Liens!H35,"✗ "&amp;Liens!H35&amp;" (introuvable)"))</f>
        <v/>
      </c>
    </row>
    <row r="41" spans="1:9" x14ac:dyDescent="0.3">
      <c r="A41">
        <v>36</v>
      </c>
      <c r="B41" s="35" t="str">
        <f>IF(Liens!A36="","",IF(COUNTIF(Mots!A:A,Liens!A36)&gt;0,"✓ "&amp;Liens!A36,"✗ "&amp;Liens!A36&amp;" (introuvable)"))</f>
        <v>✓ abeille</v>
      </c>
      <c r="C41" s="35" t="str">
        <f>IF(Liens!B36="","",IF(COUNTIF(Mots!A:A,Liens!B36)&gt;0,"✓ "&amp;Liens!B36,"✗ "&amp;Liens!B36&amp;" (introuvable)"))</f>
        <v>✓ insecte</v>
      </c>
      <c r="D41" s="35" t="str">
        <f>IF(Liens!C36="","",IF(COUNTIF(Mots!A:A,Liens!C36)&gt;0,"✓ "&amp;Liens!C36,"✗ "&amp;Liens!C36&amp;" (introuvable)"))</f>
        <v>✓ aile_animal</v>
      </c>
      <c r="E41" s="35" t="str">
        <f>IF(Liens!D36="","",IF(COUNTIF(Mots!A:A,Liens!D36)&gt;0,"✓ "&amp;Liens!D36,"✗ "&amp;Liens!D36&amp;" (introuvable)"))</f>
        <v>✓ v_voler</v>
      </c>
      <c r="F41" s="35" t="str">
        <f>IF(Liens!E36="","",IF(COUNTIF(Mots!A:A,Liens!E36)&gt;0,"✓ "&amp;Liens!E36,"✗ "&amp;Liens!E36&amp;" (introuvable)"))</f>
        <v>✓ miel</v>
      </c>
      <c r="G41" s="35" t="str">
        <f>IF(Liens!F36="","",IF(COUNTIF(Mots!A:A,Liens!F36)&gt;0,"✓ "&amp;Liens!F36,"✗ "&amp;Liens!F36&amp;" (introuvable)"))</f>
        <v>✓ c_jaune</v>
      </c>
      <c r="H41" s="35" t="str">
        <f>IF(Liens!G36="","",IF(COUNTIF(Mots!A:A,Liens!G36)&gt;0,"✓ "&amp;Liens!G36,"✗ "&amp;Liens!G36&amp;" (introuvable)"))</f>
        <v>✓ c_noir</v>
      </c>
      <c r="I41" s="35" t="str">
        <f>IF(Liens!H36="","",IF(COUNTIF(Mots!A:A,Liens!H36)&gt;0,"✓ "&amp;Liens!H36,"✗ "&amp;Liens!H36&amp;" (introuvable)"))</f>
        <v/>
      </c>
    </row>
    <row r="42" spans="1:9" x14ac:dyDescent="0.3">
      <c r="A42">
        <v>37</v>
      </c>
      <c r="B42" s="35" t="str">
        <f>IF(Liens!A37="","",IF(COUNTIF(Mots!A:A,Liens!A37)&gt;0,"✓ "&amp;Liens!A37,"✗ "&amp;Liens!A37&amp;" (introuvable)"))</f>
        <v>✓ accident</v>
      </c>
      <c r="C42" s="35" t="str">
        <f>IF(Liens!B37="","",IF(COUNTIF(Mots!A:A,Liens!B37)&gt;0,"✓ "&amp;Liens!B37,"✗ "&amp;Liens!B37&amp;" (introuvable)"))</f>
        <v>✓ voiture</v>
      </c>
      <c r="D42" s="35" t="str">
        <f>IF(Liens!C37="","",IF(COUNTIF(Mots!A:A,Liens!C37)&gt;0,"✓ "&amp;Liens!C37,"✗ "&amp;Liens!C37&amp;" (introuvable)"))</f>
        <v>✓ degat</v>
      </c>
      <c r="E42" s="35" t="str">
        <f>IF(Liens!D37="","",IF(COUNTIF(Mots!A:A,Liens!D37)&gt;0,"✓ "&amp;Liens!D37,"✗ "&amp;Liens!D37&amp;" (introuvable)"))</f>
        <v>✓ v_tomber</v>
      </c>
      <c r="F42" s="35" t="str">
        <f>IF(Liens!E37="","",IF(COUNTIF(Mots!A:A,Liens!E37)&gt;0,"✓ "&amp;Liens!E37,"✗ "&amp;Liens!E37&amp;" (introuvable)"))</f>
        <v>✓ v_skier</v>
      </c>
      <c r="G42" s="35" t="str">
        <f>IF(Liens!F37="","",IF(COUNTIF(Mots!A:A,Liens!F37)&gt;0,"✓ "&amp;Liens!F37,"✗ "&amp;Liens!F37&amp;" (introuvable)"))</f>
        <v>✓ blessure</v>
      </c>
      <c r="H42" s="35" t="str">
        <f>IF(Liens!G37="","",IF(COUNTIF(Mots!A:A,Liens!G37)&gt;0,"✓ "&amp;Liens!G37,"✗ "&amp;Liens!G37&amp;" (introuvable)"))</f>
        <v>✓ v_soigner</v>
      </c>
      <c r="I42" s="35" t="str">
        <f>IF(Liens!H37="","",IF(COUNTIF(Mots!A:A,Liens!H37)&gt;0,"✓ "&amp;Liens!H37,"✗ "&amp;Liens!H37&amp;" (introuvable)"))</f>
        <v>✓ hopital_sion</v>
      </c>
    </row>
    <row r="43" spans="1:9" x14ac:dyDescent="0.3">
      <c r="A43">
        <v>38</v>
      </c>
      <c r="B43" s="35" t="str">
        <f>IF(Liens!A38="","",IF(COUNTIF(Mots!A:A,Liens!A38)&gt;0,"✓ "&amp;Liens!A38,"✗ "&amp;Liens!A38&amp;" (introuvable)"))</f>
        <v>✓ accord</v>
      </c>
      <c r="C43" s="35" t="str">
        <f>IF(Liens!B38="","",IF(COUNTIF(Mots!A:A,Liens!B38)&gt;0,"✓ "&amp;Liens!B38,"✗ "&amp;Liens!B38&amp;" (introuvable)"))</f>
        <v>✓ idee</v>
      </c>
      <c r="D43" s="35" t="str">
        <f>IF(Liens!C38="","",IF(COUNTIF(Mots!A:A,Liens!C38)&gt;0,"✓ "&amp;Liens!C38,"✗ "&amp;Liens!C38&amp;" (introuvable)"))</f>
        <v>✓ ami</v>
      </c>
      <c r="E43" s="35" t="str">
        <f>IF(Liens!D38="","",IF(COUNTIF(Mots!A:A,Liens!D38)&gt;0,"✓ "&amp;Liens!D38,"✗ "&amp;Liens!D38&amp;" (introuvable)"))</f>
        <v>✓ famille</v>
      </c>
      <c r="F43" s="35" t="str">
        <f>IF(Liens!E38="","",IF(COUNTIF(Mots!A:A,Liens!E38)&gt;0,"✓ "&amp;Liens!E38,"✗ "&amp;Liens!E38&amp;" (introuvable)"))</f>
        <v>✓ mes_enfants</v>
      </c>
      <c r="G43" s="35" t="str">
        <f>IF(Liens!F38="","",IF(COUNTIF(Mots!A:A,Liens!F38)&gt;0,"✓ "&amp;Liens!F38,"✗ "&amp;Liens!F38&amp;" (introuvable)"))</f>
        <v>✓ harmonie</v>
      </c>
      <c r="H43" s="35" t="str">
        <f>IF(Liens!G38="","",IF(COUNTIF(Mots!A:A,Liens!G38)&gt;0,"✓ "&amp;Liens!G38,"✗ "&amp;Liens!G38&amp;" (introuvable)"))</f>
        <v>✓ paix</v>
      </c>
      <c r="I43" s="35" t="str">
        <f>IF(Liens!H38="","",IF(COUNTIF(Mots!A:A,Liens!H38)&gt;0,"✓ "&amp;Liens!H38,"✗ "&amp;Liens!H38&amp;" (introuvable)"))</f>
        <v>✓ joie</v>
      </c>
    </row>
    <row r="44" spans="1:9" x14ac:dyDescent="0.3">
      <c r="A44">
        <v>39</v>
      </c>
      <c r="B44" s="35" t="str">
        <f>IF(Liens!A39="","",IF(COUNTIF(Mots!A:A,Liens!A39)&gt;0,"✓ "&amp;Liens!A39,"✗ "&amp;Liens!A39&amp;" (introuvable)"))</f>
        <v>✓ achat</v>
      </c>
      <c r="C44" s="35" t="str">
        <f>IF(Liens!B39="","",IF(COUNTIF(Mots!A:A,Liens!B39)&gt;0,"✓ "&amp;Liens!B39,"✗ "&amp;Liens!B39&amp;" (introuvable)"))</f>
        <v>✓ v_acheter</v>
      </c>
      <c r="D44" s="35" t="str">
        <f>IF(Liens!C39="","",IF(COUNTIF(Mots!A:A,Liens!C39)&gt;0,"✓ "&amp;Liens!C39,"✗ "&amp;Liens!C39&amp;" (introuvable)"))</f>
        <v>✓ carte_debit</v>
      </c>
      <c r="E44" s="35" t="str">
        <f>IF(Liens!D39="","",IF(COUNTIF(Mots!A:A,Liens!D39)&gt;0,"✓ "&amp;Liens!D39,"✗ "&amp;Liens!D39&amp;" (introuvable)"))</f>
        <v>✓ nourriture</v>
      </c>
      <c r="F44" s="35" t="str">
        <f>IF(Liens!E39="","",IF(COUNTIF(Mots!A:A,Liens!E39)&gt;0,"✓ "&amp;Liens!E39,"✗ "&amp;Liens!E39&amp;" (introuvable)"))</f>
        <v>✓ voiture</v>
      </c>
      <c r="G44" s="35" t="str">
        <f>IF(Liens!F39="","",IF(COUNTIF(Mots!A:A,Liens!F39)&gt;0,"✓ "&amp;Liens!F39,"✗ "&amp;Liens!F39&amp;" (introuvable)"))</f>
        <v>✓ maison</v>
      </c>
      <c r="H44" s="35" t="str">
        <f>IF(Liens!G39="","",IF(COUNTIF(Mots!A:A,Liens!G39)&gt;0,"✓ "&amp;Liens!G39,"✗ "&amp;Liens!G39&amp;" (introuvable)"))</f>
        <v>✓ appartement</v>
      </c>
      <c r="I44" s="35" t="str">
        <f>IF(Liens!H39="","",IF(COUNTIF(Mots!A:A,Liens!H39)&gt;0,"✓ "&amp;Liens!H39,"✗ "&amp;Liens!H39&amp;" (introuvable)"))</f>
        <v>✓ vetement</v>
      </c>
    </row>
    <row r="45" spans="1:9" x14ac:dyDescent="0.3">
      <c r="A45">
        <v>40</v>
      </c>
      <c r="B45" s="35" t="str">
        <f>IF(Liens!A40="","",IF(COUNTIF(Mots!A:A,Liens!A40)&gt;0,"✓ "&amp;Liens!A40,"✗ "&amp;Liens!A40&amp;" (introuvable)"))</f>
        <v>✓ acteur</v>
      </c>
      <c r="C45" s="35" t="str">
        <f>IF(Liens!B40="","",IF(COUNTIF(Mots!A:A,Liens!B40)&gt;0,"✓ "&amp;Liens!B40,"✗ "&amp;Liens!B40&amp;" (introuvable)"))</f>
        <v>✓ personne</v>
      </c>
      <c r="D45" s="35" t="str">
        <f>IF(Liens!C40="","",IF(COUNTIF(Mots!A:A,Liens!C40)&gt;0,"✓ "&amp;Liens!C40,"✗ "&amp;Liens!C40&amp;" (introuvable)"))</f>
        <v>✓ film</v>
      </c>
      <c r="E45" s="35" t="str">
        <f>IF(Liens!D40="","",IF(COUNTIF(Mots!A:A,Liens!D40)&gt;0,"✓ "&amp;Liens!D40,"✗ "&amp;Liens!D40&amp;" (introuvable)"))</f>
        <v>✓ v_jouer</v>
      </c>
      <c r="F45" s="35" t="str">
        <f>IF(Liens!E40="","",IF(COUNTIF(Mots!A:A,Liens!E40)&gt;0,"✓ "&amp;Liens!E40,"✗ "&amp;Liens!E40&amp;" (introuvable)"))</f>
        <v>✓ v_chanter</v>
      </c>
      <c r="G45" s="35" t="str">
        <f>IF(Liens!F40="","",IF(COUNTIF(Mots!A:A,Liens!F40)&gt;0,"✓ "&amp;Liens!F40,"✗ "&amp;Liens!F40&amp;" (introuvable)"))</f>
        <v>✓ v_danser</v>
      </c>
      <c r="H45" s="35" t="str">
        <f>IF(Liens!G40="","",IF(COUNTIF(Mots!A:A,Liens!G40)&gt;0,"✓ "&amp;Liens!G40,"✗ "&amp;Liens!G40&amp;" (introuvable)"))</f>
        <v>✓ emotion</v>
      </c>
      <c r="I45" s="35" t="str">
        <f>IF(Liens!H40="","",IF(COUNTIF(Mots!A:A,Liens!H40)&gt;0,"✓ "&amp;Liens!H40,"✗ "&amp;Liens!H40&amp;" (introuvable)"))</f>
        <v>✓ cinema</v>
      </c>
    </row>
    <row r="46" spans="1:9" x14ac:dyDescent="0.3">
      <c r="A46">
        <v>41</v>
      </c>
      <c r="B46" s="35" t="str">
        <f>IF(Liens!A41="","",IF(COUNTIF(Mots!A:A,Liens!A41)&gt;0,"✓ "&amp;Liens!A41,"✗ "&amp;Liens!A41&amp;" (introuvable)"))</f>
        <v>✓ adulte</v>
      </c>
      <c r="C46" s="35" t="str">
        <f>IF(Liens!B41="","",IF(COUNTIF(Mots!A:A,Liens!B41)&gt;0,"✓ "&amp;Liens!B41,"✗ "&amp;Liens!B41&amp;" (introuvable)"))</f>
        <v>✓ homme</v>
      </c>
      <c r="D46" s="35" t="str">
        <f>IF(Liens!C41="","",IF(COUNTIF(Mots!A:A,Liens!C41)&gt;0,"✓ "&amp;Liens!C41,"✗ "&amp;Liens!C41&amp;" (introuvable)"))</f>
        <v>✓ femme</v>
      </c>
      <c r="E46" s="35" t="str">
        <f>IF(Liens!D41="","",IF(COUNTIF(Mots!A:A,Liens!D41)&gt;0,"✓ "&amp;Liens!D41,"✗ "&amp;Liens!D41&amp;" (introuvable)"))</f>
        <v>✓ pere</v>
      </c>
      <c r="F46" s="35" t="str">
        <f>IF(Liens!E41="","",IF(COUNTIF(Mots!A:A,Liens!E41)&gt;0,"✓ "&amp;Liens!E41,"✗ "&amp;Liens!E41&amp;" (introuvable)"))</f>
        <v>✓ mere</v>
      </c>
      <c r="G46" s="35" t="str">
        <f>IF(Liens!F41="","",IF(COUNTIF(Mots!A:A,Liens!F41)&gt;0,"✓ "&amp;Liens!F41,"✗ "&amp;Liens!F41&amp;" (introuvable)"))</f>
        <v>✓ grand_pere</v>
      </c>
      <c r="H46" s="35" t="str">
        <f>IF(Liens!G41="","",IF(COUNTIF(Mots!A:A,Liens!G41)&gt;0,"✓ "&amp;Liens!G41,"✗ "&amp;Liens!G41&amp;" (introuvable)"))</f>
        <v>✓ grand_mere</v>
      </c>
      <c r="I46" s="35" t="str">
        <f>IF(Liens!H41="","",IF(COUNTIF(Mots!A:A,Liens!H41)&gt;0,"✓ "&amp;Liens!H41,"✗ "&amp;Liens!H41&amp;" (introuvable)"))</f>
        <v>✓ enfants</v>
      </c>
    </row>
    <row r="47" spans="1:9" x14ac:dyDescent="0.3">
      <c r="A47">
        <v>42</v>
      </c>
      <c r="B47" s="35" t="str">
        <f>IF(Liens!A42="","",IF(COUNTIF(Mots!A:A,Liens!A42)&gt;0,"✓ "&amp;Liens!A42,"✗ "&amp;Liens!A42&amp;" (introuvable)"))</f>
        <v>✓ adv_environ</v>
      </c>
      <c r="C47" s="35" t="str">
        <f>IF(Liens!B42="","",IF(COUNTIF(Mots!A:A,Liens!B42)&gt;0,"✓ "&amp;Liens!B42,"✗ "&amp;Liens!B42&amp;" (introuvable)"))</f>
        <v>✓ quantite</v>
      </c>
      <c r="D47" s="35" t="str">
        <f>IF(Liens!C42="","",IF(COUNTIF(Mots!A:A,Liens!C42)&gt;0,"✓ "&amp;Liens!C42,"✗ "&amp;Liens!C42&amp;" (introuvable)"))</f>
        <v>✓ nombre</v>
      </c>
      <c r="E47" s="35" t="str">
        <f>IF(Liens!D42="","",IF(COUNTIF(Mots!A:A,Liens!D42)&gt;0,"✓ "&amp;Liens!D42,"✗ "&amp;Liens!D42&amp;" (introuvable)"))</f>
        <v/>
      </c>
      <c r="F47" s="35" t="str">
        <f>IF(Liens!E42="","",IF(COUNTIF(Mots!A:A,Liens!E42)&gt;0,"✓ "&amp;Liens!E42,"✗ "&amp;Liens!E42&amp;" (introuvable)"))</f>
        <v/>
      </c>
      <c r="G47" s="35" t="str">
        <f>IF(Liens!F42="","",IF(COUNTIF(Mots!A:A,Liens!F42)&gt;0,"✓ "&amp;Liens!F42,"✗ "&amp;Liens!F42&amp;" (introuvable)"))</f>
        <v/>
      </c>
      <c r="H47" s="35" t="str">
        <f>IF(Liens!G42="","",IF(COUNTIF(Mots!A:A,Liens!G42)&gt;0,"✓ "&amp;Liens!G42,"✗ "&amp;Liens!G42&amp;" (introuvable)"))</f>
        <v/>
      </c>
      <c r="I47" s="35" t="str">
        <f>IF(Liens!H42="","",IF(COUNTIF(Mots!A:A,Liens!H42)&gt;0,"✓ "&amp;Liens!H42,"✗ "&amp;Liens!H42&amp;" (introuvable)"))</f>
        <v/>
      </c>
    </row>
    <row r="48" spans="1:9" x14ac:dyDescent="0.3">
      <c r="A48">
        <v>43</v>
      </c>
      <c r="B48" s="35" t="str">
        <f>IF(Liens!A43="","",IF(COUNTIF(Mots!A:A,Liens!A43)&gt;0,"✓ "&amp;Liens!A43,"✗ "&amp;Liens!A43&amp;" (introuvable)"))</f>
        <v>✓ adv_partout</v>
      </c>
      <c r="C48" s="35" t="str">
        <f>IF(Liens!B43="","",IF(COUNTIF(Mots!A:A,Liens!B43)&gt;0,"✓ "&amp;Liens!B43,"✗ "&amp;Liens!B43&amp;" (introuvable)"))</f>
        <v>✓ endroit</v>
      </c>
      <c r="D48" s="35" t="str">
        <f>IF(Liens!C43="","",IF(COUNTIF(Mots!A:A,Liens!C43)&gt;0,"✓ "&amp;Liens!C43,"✗ "&amp;Liens!C43&amp;" (introuvable)"))</f>
        <v>✓ ici</v>
      </c>
      <c r="E48" s="35" t="str">
        <f>IF(Liens!D43="","",IF(COUNTIF(Mots!A:A,Liens!D43)&gt;0,"✓ "&amp;Liens!D43,"✗ "&amp;Liens!D43&amp;" (introuvable)"))</f>
        <v>✓ la</v>
      </c>
      <c r="F48" s="35" t="str">
        <f>IF(Liens!E43="","",IF(COUNTIF(Mots!A:A,Liens!E43)&gt;0,"✓ "&amp;Liens!E43,"✗ "&amp;Liens!E43&amp;" (introuvable)"))</f>
        <v/>
      </c>
      <c r="G48" s="35" t="str">
        <f>IF(Liens!F43="","",IF(COUNTIF(Mots!A:A,Liens!F43)&gt;0,"✓ "&amp;Liens!F43,"✗ "&amp;Liens!F43&amp;" (introuvable)"))</f>
        <v/>
      </c>
      <c r="H48" s="35" t="str">
        <f>IF(Liens!G43="","",IF(COUNTIF(Mots!A:A,Liens!G43)&gt;0,"✓ "&amp;Liens!G43,"✗ "&amp;Liens!G43&amp;" (introuvable)"))</f>
        <v/>
      </c>
      <c r="I48" s="35" t="str">
        <f>IF(Liens!H43="","",IF(COUNTIF(Mots!A:A,Liens!H43)&gt;0,"✓ "&amp;Liens!H43,"✗ "&amp;Liens!H43&amp;" (introuvable)"))</f>
        <v/>
      </c>
    </row>
    <row r="49" spans="1:9" x14ac:dyDescent="0.3">
      <c r="A49">
        <v>44</v>
      </c>
      <c r="B49" s="35" t="str">
        <f>IF(Liens!A44="","",IF(COUNTIF(Mots!A:A,Liens!A44)&gt;0,"✓ "&amp;Liens!A44,"✗ "&amp;Liens!A44&amp;" (introuvable)"))</f>
        <v>✓ adv_rarement</v>
      </c>
      <c r="C49" s="35" t="str">
        <f>IF(Liens!B44="","",IF(COUNTIF(Mots!A:A,Liens!B44)&gt;0,"✓ "&amp;Liens!B44,"✗ "&amp;Liens!B44&amp;" (introuvable)"))</f>
        <v>✓ quantite</v>
      </c>
      <c r="D49" s="35" t="str">
        <f>IF(Liens!C44="","",IF(COUNTIF(Mots!A:A,Liens!C44)&gt;0,"✓ "&amp;Liens!C44,"✗ "&amp;Liens!C44&amp;" (introuvable)"))</f>
        <v>✓ peu</v>
      </c>
      <c r="E49" s="35" t="str">
        <f>IF(Liens!D44="","",IF(COUNTIF(Mots!A:A,Liens!D44)&gt;0,"✓ "&amp;Liens!D44,"✗ "&amp;Liens!D44&amp;" (introuvable)"))</f>
        <v>✓ jamais</v>
      </c>
      <c r="F49" s="35" t="str">
        <f>IF(Liens!E44="","",IF(COUNTIF(Mots!A:A,Liens!E44)&gt;0,"✓ "&amp;Liens!E44,"✗ "&amp;Liens!E44&amp;" (introuvable)"))</f>
        <v>✓ souvent</v>
      </c>
      <c r="G49" s="35" t="str">
        <f>IF(Liens!F44="","",IF(COUNTIF(Mots!A:A,Liens!F44)&gt;0,"✓ "&amp;Liens!F44,"✗ "&amp;Liens!F44&amp;" (introuvable)"))</f>
        <v>✓ beaucoup</v>
      </c>
      <c r="H49" s="35" t="str">
        <f>IF(Liens!G44="","",IF(COUNTIF(Mots!A:A,Liens!G44)&gt;0,"✓ "&amp;Liens!G44,"✗ "&amp;Liens!G44&amp;" (introuvable)"))</f>
        <v/>
      </c>
      <c r="I49" s="35" t="str">
        <f>IF(Liens!H44="","",IF(COUNTIF(Mots!A:A,Liens!H44)&gt;0,"✓ "&amp;Liens!H44,"✗ "&amp;Liens!H44&amp;" (introuvable)"))</f>
        <v/>
      </c>
    </row>
    <row r="50" spans="1:9" x14ac:dyDescent="0.3">
      <c r="A50">
        <v>45</v>
      </c>
      <c r="B50" s="35" t="str">
        <f>IF(Liens!A45="","",IF(COUNTIF(Mots!A:A,Liens!A45)&gt;0,"✓ "&amp;Liens!A45,"✗ "&amp;Liens!A45&amp;" (introuvable)"))</f>
        <v>✓ adv_seulement</v>
      </c>
      <c r="C50" s="35" t="str">
        <f>IF(Liens!B45="","",IF(COUNTIF(Mots!A:A,Liens!B45)&gt;0,"✓ "&amp;Liens!B45,"✗ "&amp;Liens!B45&amp;" (introuvable)"))</f>
        <v/>
      </c>
      <c r="D50" s="35" t="str">
        <f>IF(Liens!C45="","",IF(COUNTIF(Mots!A:A,Liens!C45)&gt;0,"✓ "&amp;Liens!C45,"✗ "&amp;Liens!C45&amp;" (introuvable)"))</f>
        <v/>
      </c>
      <c r="E50" s="35" t="str">
        <f>IF(Liens!D45="","",IF(COUNTIF(Mots!A:A,Liens!D45)&gt;0,"✓ "&amp;Liens!D45,"✗ "&amp;Liens!D45&amp;" (introuvable)"))</f>
        <v/>
      </c>
      <c r="F50" s="35" t="str">
        <f>IF(Liens!E45="","",IF(COUNTIF(Mots!A:A,Liens!E45)&gt;0,"✓ "&amp;Liens!E45,"✗ "&amp;Liens!E45&amp;" (introuvable)"))</f>
        <v/>
      </c>
      <c r="G50" s="35" t="str">
        <f>IF(Liens!F45="","",IF(COUNTIF(Mots!A:A,Liens!F45)&gt;0,"✓ "&amp;Liens!F45,"✗ "&amp;Liens!F45&amp;" (introuvable)"))</f>
        <v/>
      </c>
      <c r="H50" s="35" t="str">
        <f>IF(Liens!G45="","",IF(COUNTIF(Mots!A:A,Liens!G45)&gt;0,"✓ "&amp;Liens!G45,"✗ "&amp;Liens!G45&amp;" (introuvable)"))</f>
        <v/>
      </c>
      <c r="I50" s="35" t="str">
        <f>IF(Liens!H45="","",IF(COUNTIF(Mots!A:A,Liens!H45)&gt;0,"✓ "&amp;Liens!H45,"✗ "&amp;Liens!H45&amp;" (introuvable)"))</f>
        <v/>
      </c>
    </row>
    <row r="51" spans="1:9" x14ac:dyDescent="0.3">
      <c r="A51">
        <v>46</v>
      </c>
      <c r="B51" s="35" t="str">
        <f>IF(Liens!A46="","",IF(COUNTIF(Mots!A:A,Liens!A46)&gt;0,"✓ "&amp;Liens!A46,"✗ "&amp;Liens!A46&amp;" (introuvable)"))</f>
        <v>✓ adv_vraiment</v>
      </c>
      <c r="C51" s="35" t="str">
        <f>IF(Liens!B46="","",IF(COUNTIF(Mots!A:A,Liens!B46)&gt;0,"✓ "&amp;Liens!B46,"✗ "&amp;Liens!B46&amp;" (introuvable)"))</f>
        <v>✓ a_vrai_faux</v>
      </c>
      <c r="D51" s="35" t="str">
        <f>IF(Liens!C46="","",IF(COUNTIF(Mots!A:A,Liens!C46)&gt;0,"✓ "&amp;Liens!C46,"✗ "&amp;Liens!C46&amp;" (introuvable)"))</f>
        <v>✓ juste</v>
      </c>
      <c r="E51" s="35" t="str">
        <f>IF(Liens!D46="","",IF(COUNTIF(Mots!A:A,Liens!D46)&gt;0,"✓ "&amp;Liens!D46,"✗ "&amp;Liens!D46&amp;" (introuvable)"))</f>
        <v/>
      </c>
      <c r="F51" s="35" t="str">
        <f>IF(Liens!E46="","",IF(COUNTIF(Mots!A:A,Liens!E46)&gt;0,"✓ "&amp;Liens!E46,"✗ "&amp;Liens!E46&amp;" (introuvable)"))</f>
        <v/>
      </c>
      <c r="G51" s="35" t="str">
        <f>IF(Liens!F46="","",IF(COUNTIF(Mots!A:A,Liens!F46)&gt;0,"✓ "&amp;Liens!F46,"✗ "&amp;Liens!F46&amp;" (introuvable)"))</f>
        <v/>
      </c>
      <c r="H51" s="35" t="str">
        <f>IF(Liens!G46="","",IF(COUNTIF(Mots!A:A,Liens!G46)&gt;0,"✓ "&amp;Liens!G46,"✗ "&amp;Liens!G46&amp;" (introuvable)"))</f>
        <v/>
      </c>
      <c r="I51" s="35" t="str">
        <f>IF(Liens!H46="","",IF(COUNTIF(Mots!A:A,Liens!H46)&gt;0,"✓ "&amp;Liens!H46,"✗ "&amp;Liens!H46&amp;" (introuvable)"))</f>
        <v/>
      </c>
    </row>
    <row r="52" spans="1:9" x14ac:dyDescent="0.3">
      <c r="A52">
        <v>47</v>
      </c>
      <c r="B52" s="35" t="str">
        <f>IF(Liens!A47="","",IF(COUNTIF(Mots!A:A,Liens!A47)&gt;0,"✓ "&amp;Liens!A47,"✗ "&amp;Liens!A47&amp;" (introuvable)"))</f>
        <v>✓ age</v>
      </c>
      <c r="C52" s="35" t="str">
        <f>IF(Liens!B47="","",IF(COUNTIF(Mots!A:A,Liens!B47)&gt;0,"✓ "&amp;Liens!B47,"✗ "&amp;Liens!B47&amp;" (introuvable)"))</f>
        <v>✓ nombre</v>
      </c>
      <c r="D52" s="35" t="str">
        <f>IF(Liens!C47="","",IF(COUNTIF(Mots!A:A,Liens!C47)&gt;0,"✓ "&amp;Liens!C47,"✗ "&amp;Liens!C47&amp;" (introuvable)"))</f>
        <v>✓ annee</v>
      </c>
      <c r="E52" s="35" t="str">
        <f>IF(Liens!D47="","",IF(COUNTIF(Mots!A:A,Liens!D47)&gt;0,"✓ "&amp;Liens!D47,"✗ "&amp;Liens!D47&amp;" (introuvable)"))</f>
        <v>✓ anniversaire</v>
      </c>
      <c r="F52" s="35" t="str">
        <f>IF(Liens!E47="","",IF(COUNTIF(Mots!A:A,Liens!E47)&gt;0,"✓ "&amp;Liens!E47,"✗ "&amp;Liens!E47&amp;" (introuvable)"))</f>
        <v>✓ naissance</v>
      </c>
      <c r="G52" s="35" t="str">
        <f>IF(Liens!F47="","",IF(COUNTIF(Mots!A:A,Liens!F47)&gt;0,"✓ "&amp;Liens!F47,"✗ "&amp;Liens!F47&amp;" (introuvable)"))</f>
        <v>✓ a_jeune_vieux</v>
      </c>
      <c r="H52" s="35" t="str">
        <f>IF(Liens!G47="","",IF(COUNTIF(Mots!A:A,Liens!G47)&gt;0,"✓ "&amp;Liens!G47,"✗ "&amp;Liens!G47&amp;" (introuvable)"))</f>
        <v>✓ enfants</v>
      </c>
      <c r="I52" s="35" t="str">
        <f>IF(Liens!H47="","",IF(COUNTIF(Mots!A:A,Liens!H47)&gt;0,"✓ "&amp;Liens!H47,"✗ "&amp;Liens!H47&amp;" (introuvable)"))</f>
        <v>✓ adulte</v>
      </c>
    </row>
    <row r="53" spans="1:9" x14ac:dyDescent="0.3">
      <c r="A53">
        <v>48</v>
      </c>
      <c r="B53" s="35" t="str">
        <f>IF(Liens!A48="","",IF(COUNTIF(Mots!A:A,Liens!A48)&gt;0,"✓ "&amp;Liens!A48,"✗ "&amp;Liens!A48&amp;" (introuvable)"))</f>
        <v>✓ agenda</v>
      </c>
      <c r="C53" s="35" t="str">
        <f>IF(Liens!B48="","",IF(COUNTIF(Mots!A:A,Liens!B48)&gt;0,"✓ "&amp;Liens!B48,"✗ "&amp;Liens!B48&amp;" (introuvable)"))</f>
        <v>✓ annee</v>
      </c>
      <c r="D53" s="35" t="str">
        <f>IF(Liens!C48="","",IF(COUNTIF(Mots!A:A,Liens!C48)&gt;0,"✓ "&amp;Liens!C48,"✗ "&amp;Liens!C48&amp;" (introuvable)"))</f>
        <v>✓ mois</v>
      </c>
      <c r="E53" s="35" t="str">
        <f>IF(Liens!D48="","",IF(COUNTIF(Mots!A:A,Liens!D48)&gt;0,"✓ "&amp;Liens!D48,"✗ "&amp;Liens!D48&amp;" (introuvable)"))</f>
        <v>✓ jour</v>
      </c>
      <c r="F53" s="35" t="str">
        <f>IF(Liens!E48="","",IF(COUNTIF(Mots!A:A,Liens!E48)&gt;0,"✓ "&amp;Liens!E48,"✗ "&amp;Liens!E48&amp;" (introuvable)"))</f>
        <v>✓ a_important</v>
      </c>
      <c r="G53" s="35" t="str">
        <f>IF(Liens!F48="","",IF(COUNTIF(Mots!A:A,Liens!F48)&gt;0,"✓ "&amp;Liens!F48,"✗ "&amp;Liens!F48&amp;" (introuvable)"))</f>
        <v>✓ v_ecrire</v>
      </c>
      <c r="H53" s="35" t="str">
        <f>IF(Liens!G48="","",IF(COUNTIF(Mots!A:A,Liens!G48)&gt;0,"✓ "&amp;Liens!G48,"✗ "&amp;Liens!G48&amp;" (introuvable)"))</f>
        <v>✓ ma_generaliste</v>
      </c>
      <c r="I53" s="35" t="str">
        <f>IF(Liens!H48="","",IF(COUNTIF(Mots!A:A,Liens!H48)&gt;0,"✓ "&amp;Liens!H48,"✗ "&amp;Liens!H48&amp;" (introuvable)"))</f>
        <v>✓ medicament</v>
      </c>
    </row>
    <row r="54" spans="1:9" x14ac:dyDescent="0.3">
      <c r="A54">
        <v>49</v>
      </c>
      <c r="B54" s="35" t="str">
        <f>IF(Liens!A49="","",IF(COUNTIF(Mots!A:A,Liens!A49)&gt;0,"✓ "&amp;Liens!A49,"✗ "&amp;Liens!A49&amp;" (introuvable)"))</f>
        <v>✓ agitation</v>
      </c>
      <c r="C54" s="35" t="str">
        <f>IF(Liens!B49="","",IF(COUNTIF(Mots!A:A,Liens!B49)&gt;0,"✓ "&amp;Liens!B49,"✗ "&amp;Liens!B49&amp;" (introuvable)"))</f>
        <v>✓ bruit</v>
      </c>
      <c r="D54" s="35" t="str">
        <f>IF(Liens!C49="","",IF(COUNTIF(Mots!A:A,Liens!C49)&gt;0,"✓ "&amp;Liens!C49,"✗ "&amp;Liens!C49&amp;" (introuvable)"))</f>
        <v>✓ v_entendre</v>
      </c>
      <c r="E54" s="35" t="str">
        <f>IF(Liens!D49="","",IF(COUNTIF(Mots!A:A,Liens!D49)&gt;0,"✓ "&amp;Liens!D49,"✗ "&amp;Liens!D49&amp;" (introuvable)"))</f>
        <v>✓ a_calme_agite</v>
      </c>
      <c r="F54" s="35" t="str">
        <f>IF(Liens!E49="","",IF(COUNTIF(Mots!A:A,Liens!E49)&gt;0,"✓ "&amp;Liens!E49,"✗ "&amp;Liens!E49&amp;" (introuvable)"))</f>
        <v>✓ a_fatigue</v>
      </c>
      <c r="G54" s="35" t="str">
        <f>IF(Liens!F49="","",IF(COUNTIF(Mots!A:A,Liens!F49)&gt;0,"✓ "&amp;Liens!F49,"✗ "&amp;Liens!F49&amp;" (introuvable)"))</f>
        <v>✓ repos</v>
      </c>
      <c r="H54" s="35" t="str">
        <f>IF(Liens!G49="","",IF(COUNTIF(Mots!A:A,Liens!G49)&gt;0,"✓ "&amp;Liens!G49,"✗ "&amp;Liens!G49&amp;" (introuvable)"))</f>
        <v/>
      </c>
      <c r="I54" s="35" t="str">
        <f>IF(Liens!H49="","",IF(COUNTIF(Mots!A:A,Liens!H49)&gt;0,"✓ "&amp;Liens!H49,"✗ "&amp;Liens!H49&amp;" (introuvable)"))</f>
        <v/>
      </c>
    </row>
    <row r="55" spans="1:9" x14ac:dyDescent="0.3">
      <c r="A55">
        <v>50</v>
      </c>
      <c r="B55" s="35" t="str">
        <f>IF(Liens!A50="","",IF(COUNTIF(Mots!A:A,Liens!A50)&gt;0,"✓ "&amp;Liens!A50,"✗ "&amp;Liens!A50&amp;" (introuvable)"))</f>
        <v>✓ agriculteur</v>
      </c>
      <c r="C55" s="35" t="str">
        <f>IF(Liens!B50="","",IF(COUNTIF(Mots!A:A,Liens!B50)&gt;0,"✓ "&amp;Liens!B50,"✗ "&amp;Liens!B50&amp;" (introuvable)"))</f>
        <v>✓ personne</v>
      </c>
      <c r="D55" s="35" t="str">
        <f>IF(Liens!C50="","",IF(COUNTIF(Mots!A:A,Liens!C50)&gt;0,"✓ "&amp;Liens!C50,"✗ "&amp;Liens!C50&amp;" (introuvable)"))</f>
        <v>✓ ferme</v>
      </c>
      <c r="E55" s="35" t="str">
        <f>IF(Liens!D50="","",IF(COUNTIF(Mots!A:A,Liens!D50)&gt;0,"✓ "&amp;Liens!D50,"✗ "&amp;Liens!D50&amp;" (introuvable)"))</f>
        <v>✓ e_terre</v>
      </c>
      <c r="F55" s="35" t="str">
        <f>IF(Liens!E50="","",IF(COUNTIF(Mots!A:A,Liens!E50)&gt;0,"✓ "&amp;Liens!E50,"✗ "&amp;Liens!E50&amp;" (introuvable)"))</f>
        <v>✓ champ</v>
      </c>
      <c r="G55" s="35" t="str">
        <f>IF(Liens!F50="","",IF(COUNTIF(Mots!A:A,Liens!F50)&gt;0,"✓ "&amp;Liens!F50,"✗ "&amp;Liens!F50&amp;" (introuvable)"))</f>
        <v>✓ tracteur</v>
      </c>
      <c r="H55" s="35" t="str">
        <f>IF(Liens!G50="","",IF(COUNTIF(Mots!A:A,Liens!G50)&gt;0,"✓ "&amp;Liens!G50,"✗ "&amp;Liens!G50&amp;" (introuvable)"))</f>
        <v>✓ vache</v>
      </c>
      <c r="I55" s="35" t="str">
        <f>IF(Liens!H50="","",IF(COUNTIF(Mots!A:A,Liens!H50)&gt;0,"✓ "&amp;Liens!H50,"✗ "&amp;Liens!H50&amp;" (introuvable)"))</f>
        <v>✓ cochon</v>
      </c>
    </row>
    <row r="56" spans="1:9" x14ac:dyDescent="0.3">
      <c r="A56">
        <v>51</v>
      </c>
      <c r="B56" s="35" t="str">
        <f>IF(Liens!A51="","",IF(COUNTIF(Mots!A:A,Liens!A51)&gt;0,"✓ "&amp;Liens!A51,"✗ "&amp;Liens!A51&amp;" (introuvable)"))</f>
        <v>✓ aide</v>
      </c>
      <c r="C56" s="35" t="str">
        <f>IF(Liens!B51="","",IF(COUNTIF(Mots!A:A,Liens!B51)&gt;0,"✓ "&amp;Liens!B51,"✗ "&amp;Liens!B51&amp;" (introuvable)"))</f>
        <v>✓ personne</v>
      </c>
      <c r="D56" s="35" t="str">
        <f>IF(Liens!C51="","",IF(COUNTIF(Mots!A:A,Liens!C51)&gt;0,"✓ "&amp;Liens!C51,"✗ "&amp;Liens!C51&amp;" (introuvable)"))</f>
        <v>✓ v_aider</v>
      </c>
      <c r="E56" s="35" t="str">
        <f>IF(Liens!D51="","",IF(COUNTIF(Mots!A:A,Liens!D51)&gt;0,"✓ "&amp;Liens!D51,"✗ "&amp;Liens!D51&amp;" (introuvable)"))</f>
        <v>✓ a_heureux</v>
      </c>
      <c r="F56" s="35" t="str">
        <f>IF(Liens!E51="","",IF(COUNTIF(Mots!A:A,Liens!E51)&gt;0,"✓ "&amp;Liens!E51,"✗ "&amp;Liens!E51&amp;" (introuvable)"))</f>
        <v>✓ joie</v>
      </c>
      <c r="G56" s="35" t="str">
        <f>IF(Liens!F51="","",IF(COUNTIF(Mots!A:A,Liens!F51)&gt;0,"✓ "&amp;Liens!F51,"✗ "&amp;Liens!F51&amp;" (introuvable)"))</f>
        <v>✓ service</v>
      </c>
      <c r="H56" s="35" t="str">
        <f>IF(Liens!G51="","",IF(COUNTIF(Mots!A:A,Liens!G51)&gt;0,"✓ "&amp;Liens!G51,"✗ "&amp;Liens!G51&amp;" (introuvable)"))</f>
        <v/>
      </c>
      <c r="I56" s="35" t="str">
        <f>IF(Liens!H51="","",IF(COUNTIF(Mots!A:A,Liens!H51)&gt;0,"✓ "&amp;Liens!H51,"✗ "&amp;Liens!H51&amp;" (introuvable)"))</f>
        <v/>
      </c>
    </row>
    <row r="57" spans="1:9" x14ac:dyDescent="0.3">
      <c r="A57">
        <v>52</v>
      </c>
      <c r="B57" s="35" t="str">
        <f>IF(Liens!A52="","",IF(COUNTIF(Mots!A:A,Liens!A52)&gt;0,"✓ "&amp;Liens!A52,"✗ "&amp;Liens!A52&amp;" (introuvable)"))</f>
        <v>✓ aiguille</v>
      </c>
      <c r="C57" s="35" t="str">
        <f>IF(Liens!B52="","",IF(COUNTIF(Mots!A:A,Liens!B52)&gt;0,"✓ "&amp;Liens!B52,"✗ "&amp;Liens!B52&amp;" (introuvable)"))</f>
        <v>✓ piqure</v>
      </c>
      <c r="D57" s="35" t="str">
        <f>IF(Liens!C52="","",IF(COUNTIF(Mots!A:A,Liens!C52)&gt;0,"✓ "&amp;Liens!C52,"✗ "&amp;Liens!C52&amp;" (introuvable)"))</f>
        <v>✓ ma_generaliste</v>
      </c>
      <c r="E57" s="35" t="str">
        <f>IF(Liens!D52="","",IF(COUNTIF(Mots!A:A,Liens!D52)&gt;0,"✓ "&amp;Liens!D52,"✗ "&amp;Liens!D52&amp;" (introuvable)"))</f>
        <v>✓ infirmier</v>
      </c>
      <c r="F57" s="35" t="str">
        <f>IF(Liens!E52="","",IF(COUNTIF(Mots!A:A,Liens!E52)&gt;0,"✓ "&amp;Liens!E52,"✗ "&amp;Liens!E52&amp;" (introuvable)"))</f>
        <v/>
      </c>
      <c r="G57" s="35" t="str">
        <f>IF(Liens!F52="","",IF(COUNTIF(Mots!A:A,Liens!F52)&gt;0,"✓ "&amp;Liens!F52,"✗ "&amp;Liens!F52&amp;" (introuvable)"))</f>
        <v/>
      </c>
      <c r="H57" s="35" t="str">
        <f>IF(Liens!G52="","",IF(COUNTIF(Mots!A:A,Liens!G52)&gt;0,"✓ "&amp;Liens!G52,"✗ "&amp;Liens!G52&amp;" (introuvable)"))</f>
        <v/>
      </c>
      <c r="I57" s="35" t="str">
        <f>IF(Liens!H52="","",IF(COUNTIF(Mots!A:A,Liens!H52)&gt;0,"✓ "&amp;Liens!H52,"✗ "&amp;Liens!H52&amp;" (introuvable)"))</f>
        <v/>
      </c>
    </row>
    <row r="58" spans="1:9" x14ac:dyDescent="0.3">
      <c r="A58">
        <v>53</v>
      </c>
      <c r="B58" s="35" t="str">
        <f>IF(Liens!A53="","",IF(COUNTIF(Mots!A:A,Liens!A53)&gt;0,"✓ "&amp;Liens!A53,"✗ "&amp;Liens!A53&amp;" (introuvable)"))</f>
        <v>✓ aile_animal</v>
      </c>
      <c r="C58" s="35" t="str">
        <f>IF(Liens!B53="","",IF(COUNTIF(Mots!A:A,Liens!B53)&gt;0,"✓ "&amp;Liens!B53,"✗ "&amp;Liens!B53&amp;" (introuvable)"))</f>
        <v>✓ oiseau</v>
      </c>
      <c r="D58" s="35" t="str">
        <f>IF(Liens!C53="","",IF(COUNTIF(Mots!A:A,Liens!C53)&gt;0,"✓ "&amp;Liens!C53,"✗ "&amp;Liens!C53&amp;" (introuvable)"))</f>
        <v>✓ insecte</v>
      </c>
      <c r="E58" s="35" t="str">
        <f>IF(Liens!D53="","",IF(COUNTIF(Mots!A:A,Liens!D53)&gt;0,"✓ "&amp;Liens!D53,"✗ "&amp;Liens!D53&amp;" (introuvable)"))</f>
        <v>✓ v_voler</v>
      </c>
      <c r="F58" s="35" t="str">
        <f>IF(Liens!E53="","",IF(COUNTIF(Mots!A:A,Liens!E53)&gt;0,"✓ "&amp;Liens!E53,"✗ "&amp;Liens!E53&amp;" (introuvable)"))</f>
        <v>✓ plume</v>
      </c>
      <c r="G58" s="35" t="str">
        <f>IF(Liens!F53="","",IF(COUNTIF(Mots!A:A,Liens!F53)&gt;0,"✓ "&amp;Liens!F53,"✗ "&amp;Liens!F53&amp;" (introuvable)"))</f>
        <v>✓ aigle</v>
      </c>
      <c r="H58" s="35" t="str">
        <f>IF(Liens!G53="","",IF(COUNTIF(Mots!A:A,Liens!G53)&gt;0,"✓ "&amp;Liens!G53,"✗ "&amp;Liens!G53&amp;" (introuvable)"))</f>
        <v>✓ gypaete_barbu</v>
      </c>
      <c r="I58" s="35" t="str">
        <f>IF(Liens!H53="","",IF(COUNTIF(Mots!A:A,Liens!H53)&gt;0,"✓ "&amp;Liens!H53,"✗ "&amp;Liens!H53&amp;" (introuvable)"))</f>
        <v>✓ mouche</v>
      </c>
    </row>
    <row r="59" spans="1:9" x14ac:dyDescent="0.3">
      <c r="A59">
        <v>54</v>
      </c>
      <c r="B59" s="35" t="str">
        <f>IF(Liens!A54="","",IF(COUNTIF(Mots!A:A,Liens!A54)&gt;0,"✓ "&amp;Liens!A54,"✗ "&amp;Liens!A54&amp;" (introuvable)"))</f>
        <v>✓ aile_avion</v>
      </c>
      <c r="C59" s="35" t="str">
        <f>IF(Liens!B54="","",IF(COUNTIF(Mots!A:A,Liens!B54)&gt;0,"✓ "&amp;Liens!B54,"✗ "&amp;Liens!B54&amp;" (introuvable)"))</f>
        <v/>
      </c>
      <c r="D59" s="35" t="str">
        <f>IF(Liens!C54="","",IF(COUNTIF(Mots!A:A,Liens!C54)&gt;0,"✓ "&amp;Liens!C54,"✗ "&amp;Liens!C54&amp;" (introuvable)"))</f>
        <v/>
      </c>
      <c r="E59" s="35" t="str">
        <f>IF(Liens!D54="","",IF(COUNTIF(Mots!A:A,Liens!D54)&gt;0,"✓ "&amp;Liens!D54,"✗ "&amp;Liens!D54&amp;" (introuvable)"))</f>
        <v/>
      </c>
      <c r="F59" s="35" t="str">
        <f>IF(Liens!E54="","",IF(COUNTIF(Mots!A:A,Liens!E54)&gt;0,"✓ "&amp;Liens!E54,"✗ "&amp;Liens!E54&amp;" (introuvable)"))</f>
        <v/>
      </c>
      <c r="G59" s="35" t="str">
        <f>IF(Liens!F54="","",IF(COUNTIF(Mots!A:A,Liens!F54)&gt;0,"✓ "&amp;Liens!F54,"✗ "&amp;Liens!F54&amp;" (introuvable)"))</f>
        <v/>
      </c>
      <c r="H59" s="35" t="str">
        <f>IF(Liens!G54="","",IF(COUNTIF(Mots!A:A,Liens!G54)&gt;0,"✓ "&amp;Liens!G54,"✗ "&amp;Liens!G54&amp;" (introuvable)"))</f>
        <v/>
      </c>
      <c r="I59" s="35" t="str">
        <f>IF(Liens!H54="","",IF(COUNTIF(Mots!A:A,Liens!H54)&gt;0,"✓ "&amp;Liens!H54,"✗ "&amp;Liens!H54&amp;" (introuvable)"))</f>
        <v/>
      </c>
    </row>
    <row r="60" spans="1:9" x14ac:dyDescent="0.3">
      <c r="A60">
        <v>55</v>
      </c>
      <c r="B60" s="35" t="str">
        <f>IF(Liens!A55="","",IF(COUNTIF(Mots!A:A,Liens!A55)&gt;0,"✓ "&amp;Liens!A55,"✗ "&amp;Liens!A55&amp;" (introuvable)"))</f>
        <v>✓ ailleurs</v>
      </c>
      <c r="C60" s="35" t="str">
        <f>IF(Liens!B55="","",IF(COUNTIF(Mots!A:A,Liens!B55)&gt;0,"✓ "&amp;Liens!B55,"✗ "&amp;Liens!B55&amp;" (introuvable)"))</f>
        <v>✓ endroit</v>
      </c>
      <c r="D60" s="35" t="str">
        <f>IF(Liens!C55="","",IF(COUNTIF(Mots!A:A,Liens!C55)&gt;0,"✓ "&amp;Liens!C55,"✗ "&amp;Liens!C55&amp;" (introuvable)"))</f>
        <v>✓ loin</v>
      </c>
      <c r="E60" s="35" t="str">
        <f>IF(Liens!D55="","",IF(COUNTIF(Mots!A:A,Liens!D55)&gt;0,"✓ "&amp;Liens!D55,"✗ "&amp;Liens!D55&amp;" (introuvable)"))</f>
        <v>✓ a_proche_eloigne</v>
      </c>
      <c r="F60" s="35" t="str">
        <f>IF(Liens!E55="","",IF(COUNTIF(Mots!A:A,Liens!E55)&gt;0,"✓ "&amp;Liens!E55,"✗ "&amp;Liens!E55&amp;" (introuvable)"))</f>
        <v>✓ la</v>
      </c>
      <c r="G60" s="35" t="str">
        <f>IF(Liens!F55="","",IF(COUNTIF(Mots!A:A,Liens!F55)&gt;0,"✓ "&amp;Liens!F55,"✗ "&amp;Liens!F55&amp;" (introuvable)"))</f>
        <v>✓ ici</v>
      </c>
      <c r="H60" s="35" t="str">
        <f>IF(Liens!G55="","",IF(COUNTIF(Mots!A:A,Liens!G55)&gt;0,"✓ "&amp;Liens!G55,"✗ "&amp;Liens!G55&amp;" (introuvable)"))</f>
        <v/>
      </c>
      <c r="I60" s="35" t="str">
        <f>IF(Liens!H55="","",IF(COUNTIF(Mots!A:A,Liens!H55)&gt;0,"✓ "&amp;Liens!H55,"✗ "&amp;Liens!H55&amp;" (introuvable)"))</f>
        <v/>
      </c>
    </row>
    <row r="61" spans="1:9" x14ac:dyDescent="0.3">
      <c r="A61">
        <v>56</v>
      </c>
      <c r="B61" s="35" t="str">
        <f>IF(Liens!A56="","",IF(COUNTIF(Mots!A:A,Liens!A56)&gt;0,"✓ "&amp;Liens!A56,"✗ "&amp;Liens!A56&amp;" (introuvable)"))</f>
        <v>✓ aimable</v>
      </c>
      <c r="C61" s="35" t="str">
        <f>IF(Liens!B56="","",IF(COUNTIF(Mots!A:A,Liens!B56)&gt;0,"✓ "&amp;Liens!B56,"✗ "&amp;Liens!B56&amp;" (introuvable)"))</f>
        <v>✓ amour</v>
      </c>
      <c r="D61" s="35" t="str">
        <f>IF(Liens!C56="","",IF(COUNTIF(Mots!A:A,Liens!C56)&gt;0,"✓ "&amp;Liens!C56,"✗ "&amp;Liens!C56&amp;" (introuvable)"))</f>
        <v>✓ a_gentil_mechant</v>
      </c>
      <c r="E61" s="35" t="str">
        <f>IF(Liens!D56="","",IF(COUNTIF(Mots!A:A,Liens!D56)&gt;0,"✓ "&amp;Liens!D56,"✗ "&amp;Liens!D56&amp;" (introuvable)"))</f>
        <v/>
      </c>
      <c r="F61" s="35" t="str">
        <f>IF(Liens!E56="","",IF(COUNTIF(Mots!A:A,Liens!E56)&gt;0,"✓ "&amp;Liens!E56,"✗ "&amp;Liens!E56&amp;" (introuvable)"))</f>
        <v/>
      </c>
      <c r="G61" s="35" t="str">
        <f>IF(Liens!F56="","",IF(COUNTIF(Mots!A:A,Liens!F56)&gt;0,"✓ "&amp;Liens!F56,"✗ "&amp;Liens!F56&amp;" (introuvable)"))</f>
        <v/>
      </c>
      <c r="H61" s="35" t="str">
        <f>IF(Liens!G56="","",IF(COUNTIF(Mots!A:A,Liens!G56)&gt;0,"✓ "&amp;Liens!G56,"✗ "&amp;Liens!G56&amp;" (introuvable)"))</f>
        <v/>
      </c>
      <c r="I61" s="35" t="str">
        <f>IF(Liens!H56="","",IF(COUNTIF(Mots!A:A,Liens!H56)&gt;0,"✓ "&amp;Liens!H56,"✗ "&amp;Liens!H56&amp;" (introuvable)"))</f>
        <v/>
      </c>
    </row>
    <row r="62" spans="1:9" x14ac:dyDescent="0.3">
      <c r="A62">
        <v>57</v>
      </c>
      <c r="B62" s="35" t="str">
        <f>IF(Liens!A57="","",IF(COUNTIF(Mots!A:A,Liens!A57)&gt;0,"✓ "&amp;Liens!A57,"✗ "&amp;Liens!A57&amp;" (introuvable)"))</f>
        <v>✓ air</v>
      </c>
      <c r="C62" s="35" t="str">
        <f>IF(Liens!B57="","",IF(COUNTIF(Mots!A:A,Liens!B57)&gt;0,"✓ "&amp;Liens!B57,"✗ "&amp;Liens!B57&amp;" (introuvable)"))</f>
        <v>✓ invisible</v>
      </c>
      <c r="D62" s="35" t="str">
        <f>IF(Liens!C57="","",IF(COUNTIF(Mots!A:A,Liens!C57)&gt;0,"✓ "&amp;Liens!C57,"✗ "&amp;Liens!C57&amp;" (introuvable)"))</f>
        <v>✓ vent</v>
      </c>
      <c r="E62" s="35" t="str">
        <f>IF(Liens!D57="","",IF(COUNTIF(Mots!A:A,Liens!D57)&gt;0,"✓ "&amp;Liens!D57,"✗ "&amp;Liens!D57&amp;" (introuvable)"))</f>
        <v>✓ v_respirer</v>
      </c>
      <c r="F62" s="35" t="str">
        <f>IF(Liens!E57="","",IF(COUNTIF(Mots!A:A,Liens!E57)&gt;0,"✓ "&amp;Liens!E57,"✗ "&amp;Liens!E57&amp;" (introuvable)"))</f>
        <v>✓ souffle</v>
      </c>
      <c r="G62" s="35" t="str">
        <f>IF(Liens!F57="","",IF(COUNTIF(Mots!A:A,Liens!F57)&gt;0,"✓ "&amp;Liens!F57,"✗ "&amp;Liens!F57&amp;" (introuvable)"))</f>
        <v/>
      </c>
      <c r="H62" s="35" t="str">
        <f>IF(Liens!G57="","",IF(COUNTIF(Mots!A:A,Liens!G57)&gt;0,"✓ "&amp;Liens!G57,"✗ "&amp;Liens!G57&amp;" (introuvable)"))</f>
        <v/>
      </c>
      <c r="I62" s="35" t="str">
        <f>IF(Liens!H57="","",IF(COUNTIF(Mots!A:A,Liens!H57)&gt;0,"✓ "&amp;Liens!H57,"✗ "&amp;Liens!H57&amp;" (introuvable)"))</f>
        <v/>
      </c>
    </row>
    <row r="63" spans="1:9" x14ac:dyDescent="0.3">
      <c r="A63">
        <v>58</v>
      </c>
      <c r="B63" s="35" t="str">
        <f>IF(Liens!A58="","",IF(COUNTIF(Mots!A:A,Liens!A58)&gt;0,"✓ "&amp;Liens!A58,"✗ "&amp;Liens!A58&amp;" (introuvable)"))</f>
        <v>✓ allergie</v>
      </c>
      <c r="C63" s="35" t="str">
        <f>IF(Liens!B58="","",IF(COUNTIF(Mots!A:A,Liens!B58)&gt;0,"✓ "&amp;Liens!B58,"✗ "&amp;Liens!B58&amp;" (introuvable)"))</f>
        <v>✓ corps_humain</v>
      </c>
      <c r="D63" s="35" t="str">
        <f>IF(Liens!C58="","",IF(COUNTIF(Mots!A:A,Liens!C58)&gt;0,"✓ "&amp;Liens!C58,"✗ "&amp;Liens!C58&amp;" (introuvable)"))</f>
        <v>✓ reaction</v>
      </c>
      <c r="E63" s="35" t="str">
        <f>IF(Liens!D58="","",IF(COUNTIF(Mots!A:A,Liens!D58)&gt;0,"✓ "&amp;Liens!D58,"✗ "&amp;Liens!D58&amp;" (introuvable)"))</f>
        <v>✓ a_enflamme</v>
      </c>
      <c r="F63" s="35" t="str">
        <f>IF(Liens!E58="","",IF(COUNTIF(Mots!A:A,Liens!E58)&gt;0,"✓ "&amp;Liens!E58,"✗ "&amp;Liens!E58&amp;" (introuvable)"))</f>
        <v>✓ c_rouge</v>
      </c>
      <c r="G63" s="35" t="str">
        <f>IF(Liens!F58="","",IF(COUNTIF(Mots!A:A,Liens!F58)&gt;0,"✓ "&amp;Liens!F58,"✗ "&amp;Liens!F58&amp;" (introuvable)"))</f>
        <v>✓ douleur</v>
      </c>
      <c r="H63" s="35" t="str">
        <f>IF(Liens!G58="","",IF(COUNTIF(Mots!A:A,Liens!G58)&gt;0,"✓ "&amp;Liens!G58,"✗ "&amp;Liens!G58&amp;" (introuvable)"))</f>
        <v>✓ a_mal_douloureux</v>
      </c>
      <c r="I63" s="35" t="str">
        <f>IF(Liens!H58="","",IF(COUNTIF(Mots!A:A,Liens!H58)&gt;0,"✓ "&amp;Liens!H58,"✗ "&amp;Liens!H58&amp;" (introuvable)"))</f>
        <v/>
      </c>
    </row>
    <row r="64" spans="1:9" x14ac:dyDescent="0.3">
      <c r="A64">
        <v>59</v>
      </c>
      <c r="B64" s="35" t="str">
        <f>IF(Liens!A59="","",IF(COUNTIF(Mots!A:A,Liens!A59)&gt;0,"✓ "&amp;Liens!A59,"✗ "&amp;Liens!A59&amp;" (introuvable)"))</f>
        <v>✓ allumette</v>
      </c>
      <c r="C64" s="35" t="str">
        <f>IF(Liens!B59="","",IF(COUNTIF(Mots!A:A,Liens!B59)&gt;0,"✓ "&amp;Liens!B59,"✗ "&amp;Liens!B59&amp;" (introuvable)"))</f>
        <v>✓ feu</v>
      </c>
      <c r="D64" s="35" t="str">
        <f>IF(Liens!C59="","",IF(COUNTIF(Mots!A:A,Liens!C59)&gt;0,"✓ "&amp;Liens!C59,"✗ "&amp;Liens!C59&amp;" (introuvable)"))</f>
        <v>✓ fourneau_bois</v>
      </c>
      <c r="E64" s="35" t="str">
        <f>IF(Liens!D59="","",IF(COUNTIF(Mots!A:A,Liens!D59)&gt;0,"✓ "&amp;Liens!D59,"✗ "&amp;Liens!D59&amp;" (introuvable)"))</f>
        <v>✓ bois</v>
      </c>
      <c r="F64" s="35" t="str">
        <f>IF(Liens!E59="","",IF(COUNTIF(Mots!A:A,Liens!E59)&gt;0,"✓ "&amp;Liens!E59,"✗ "&amp;Liens!E59&amp;" (introuvable)"))</f>
        <v>✓ v_chauffer</v>
      </c>
      <c r="G64" s="35" t="str">
        <f>IF(Liens!F59="","",IF(COUNTIF(Mots!A:A,Liens!F59)&gt;0,"✓ "&amp;Liens!F59,"✗ "&amp;Liens!F59&amp;" (introuvable)"))</f>
        <v/>
      </c>
      <c r="H64" s="35" t="str">
        <f>IF(Liens!G59="","",IF(COUNTIF(Mots!A:A,Liens!G59)&gt;0,"✓ "&amp;Liens!G59,"✗ "&amp;Liens!G59&amp;" (introuvable)"))</f>
        <v/>
      </c>
      <c r="I64" s="35" t="str">
        <f>IF(Liens!H59="","",IF(COUNTIF(Mots!A:A,Liens!H59)&gt;0,"✓ "&amp;Liens!H59,"✗ "&amp;Liens!H59&amp;" (introuvable)"))</f>
        <v/>
      </c>
    </row>
    <row r="65" spans="1:9" x14ac:dyDescent="0.3">
      <c r="A65">
        <v>60</v>
      </c>
      <c r="B65" s="35" t="str">
        <f>IF(Liens!A60="","",IF(COUNTIF(Mots!A:A,Liens!A60)&gt;0,"✓ "&amp;Liens!A60,"✗ "&amp;Liens!A60&amp;" (introuvable)"))</f>
        <v>✓ ami</v>
      </c>
      <c r="C65" s="35" t="str">
        <f>IF(Liens!B60="","",IF(COUNTIF(Mots!A:A,Liens!B60)&gt;0,"✓ "&amp;Liens!B60,"✗ "&amp;Liens!B60&amp;" (introuvable)"))</f>
        <v>✓ personne</v>
      </c>
      <c r="D65" s="35" t="str">
        <f>IF(Liens!C60="","",IF(COUNTIF(Mots!A:A,Liens!C60)&gt;0,"✓ "&amp;Liens!C60,"✗ "&amp;Liens!C60&amp;" (introuvable)"))</f>
        <v>✓ amitie</v>
      </c>
      <c r="E65" s="35" t="str">
        <f>IF(Liens!D60="","",IF(COUNTIF(Mots!A:A,Liens!D60)&gt;0,"✓ "&amp;Liens!D60,"✗ "&amp;Liens!D60&amp;" (introuvable)"))</f>
        <v>✓ copain</v>
      </c>
      <c r="F65" s="35" t="str">
        <f>IF(Liens!E60="","",IF(COUNTIF(Mots!A:A,Liens!E60)&gt;0,"✓ "&amp;Liens!E60,"✗ "&amp;Liens!E60&amp;" (introuvable)"))</f>
        <v>✓ complice</v>
      </c>
      <c r="G65" s="35" t="str">
        <f>IF(Liens!F60="","",IF(COUNTIF(Mots!A:A,Liens!F60)&gt;0,"✓ "&amp;Liens!F60,"✗ "&amp;Liens!F60&amp;" (introuvable)"))</f>
        <v>✓ emotion</v>
      </c>
      <c r="H65" s="35" t="str">
        <f>IF(Liens!G60="","",IF(COUNTIF(Mots!A:A,Liens!G60)&gt;0,"✓ "&amp;Liens!G60,"✗ "&amp;Liens!G60&amp;" (introuvable)"))</f>
        <v>✓ v_partager</v>
      </c>
      <c r="I65" s="35" t="str">
        <f>IF(Liens!H60="","",IF(COUNTIF(Mots!A:A,Liens!H60)&gt;0,"✓ "&amp;Liens!H60,"✗ "&amp;Liens!H60&amp;" (introuvable)"))</f>
        <v/>
      </c>
    </row>
    <row r="66" spans="1:9" x14ac:dyDescent="0.3">
      <c r="A66">
        <v>61</v>
      </c>
      <c r="B66" s="35" t="str">
        <f>IF(Liens!A61="","",IF(COUNTIF(Mots!A:A,Liens!A61)&gt;0,"✓ "&amp;Liens!A61,"✗ "&amp;Liens!A61&amp;" (introuvable)"))</f>
        <v>✓ amitie</v>
      </c>
      <c r="C66" s="35" t="str">
        <f>IF(Liens!B61="","",IF(COUNTIF(Mots!A:A,Liens!B61)&gt;0,"✓ "&amp;Liens!B61,"✗ "&amp;Liens!B61&amp;" (introuvable)"))</f>
        <v>✓ lien</v>
      </c>
      <c r="D66" s="35" t="str">
        <f>IF(Liens!C61="","",IF(COUNTIF(Mots!A:A,Liens!C61)&gt;0,"✓ "&amp;Liens!C61,"✗ "&amp;Liens!C61&amp;" (introuvable)"))</f>
        <v>✓ ami</v>
      </c>
      <c r="E66" s="35" t="str">
        <f>IF(Liens!D61="","",IF(COUNTIF(Mots!A:A,Liens!D61)&gt;0,"✓ "&amp;Liens!D61,"✗ "&amp;Liens!D61&amp;" (introuvable)"))</f>
        <v>✓ complice</v>
      </c>
      <c r="F66" s="35" t="str">
        <f>IF(Liens!E61="","",IF(COUNTIF(Mots!A:A,Liens!E61)&gt;0,"✓ "&amp;Liens!E61,"✗ "&amp;Liens!E61&amp;" (introuvable)"))</f>
        <v>✓ v_partager</v>
      </c>
      <c r="G66" s="35" t="str">
        <f>IF(Liens!F61="","",IF(COUNTIF(Mots!A:A,Liens!F61)&gt;0,"✓ "&amp;Liens!F61,"✗ "&amp;Liens!F61&amp;" (introuvable)"))</f>
        <v/>
      </c>
      <c r="H66" s="35" t="str">
        <f>IF(Liens!G61="","",IF(COUNTIF(Mots!A:A,Liens!G61)&gt;0,"✓ "&amp;Liens!G61,"✗ "&amp;Liens!G61&amp;" (introuvable)"))</f>
        <v/>
      </c>
      <c r="I66" s="35" t="str">
        <f>IF(Liens!H61="","",IF(COUNTIF(Mots!A:A,Liens!H61)&gt;0,"✓ "&amp;Liens!H61,"✗ "&amp;Liens!H61&amp;" (introuvable)"))</f>
        <v/>
      </c>
    </row>
    <row r="67" spans="1:9" x14ac:dyDescent="0.3">
      <c r="A67">
        <v>62</v>
      </c>
      <c r="B67" s="35" t="str">
        <f>IF(Liens!A62="","",IF(COUNTIF(Mots!A:A,Liens!A62)&gt;0,"✓ "&amp;Liens!A62,"✗ "&amp;Liens!A62&amp;" (introuvable)"))</f>
        <v>✓ amour</v>
      </c>
      <c r="C67" s="35" t="str">
        <f>IF(Liens!B62="","",IF(COUNTIF(Mots!A:A,Liens!B62)&gt;0,"✓ "&amp;Liens!B62,"✗ "&amp;Liens!B62&amp;" (introuvable)"))</f>
        <v>✓ mari_et_femme</v>
      </c>
      <c r="D67" s="35" t="str">
        <f>IF(Liens!C62="","",IF(COUNTIF(Mots!A:A,Liens!C62)&gt;0,"✓ "&amp;Liens!C62,"✗ "&amp;Liens!C62&amp;" (introuvable)"))</f>
        <v>✓ enfants</v>
      </c>
      <c r="E67" s="35" t="str">
        <f>IF(Liens!D62="","",IF(COUNTIF(Mots!A:A,Liens!D62)&gt;0,"✓ "&amp;Liens!D62,"✗ "&amp;Liens!D62&amp;" (introuvable)"))</f>
        <v>✓ mere</v>
      </c>
      <c r="F67" s="35" t="str">
        <f>IF(Liens!E62="","",IF(COUNTIF(Mots!A:A,Liens!E62)&gt;0,"✓ "&amp;Liens!E62,"✗ "&amp;Liens!E62&amp;" (introuvable)"))</f>
        <v>✓ pere</v>
      </c>
      <c r="G67" s="35" t="str">
        <f>IF(Liens!F62="","",IF(COUNTIF(Mots!A:A,Liens!F62)&gt;0,"✓ "&amp;Liens!F62,"✗ "&amp;Liens!F62&amp;" (introuvable)"))</f>
        <v>✓ famille</v>
      </c>
      <c r="H67" s="35" t="str">
        <f>IF(Liens!G62="","",IF(COUNTIF(Mots!A:A,Liens!G62)&gt;0,"✓ "&amp;Liens!G62,"✗ "&amp;Liens!G62&amp;" (introuvable)"))</f>
        <v>✓ ami</v>
      </c>
      <c r="I67" s="35" t="str">
        <f>IF(Liens!H62="","",IF(COUNTIF(Mots!A:A,Liens!H62)&gt;0,"✓ "&amp;Liens!H62,"✗ "&amp;Liens!H62&amp;" (introuvable)"))</f>
        <v/>
      </c>
    </row>
    <row r="68" spans="1:9" x14ac:dyDescent="0.3">
      <c r="A68">
        <v>63</v>
      </c>
      <c r="B68" s="35" t="str">
        <f>IF(Liens!A63="","",IF(COUNTIF(Mots!A:A,Liens!A63)&gt;0,"✓ "&amp;Liens!A63,"✗ "&amp;Liens!A63&amp;" (introuvable)"))</f>
        <v>✓ ampoule</v>
      </c>
      <c r="C68" s="35" t="str">
        <f>IF(Liens!B63="","",IF(COUNTIF(Mots!A:A,Liens!B63)&gt;0,"✓ "&amp;Liens!B63,"✗ "&amp;Liens!B63&amp;" (introuvable)"))</f>
        <v>✓ maison</v>
      </c>
      <c r="D68" s="35" t="str">
        <f>IF(Liens!C63="","",IF(COUNTIF(Mots!A:A,Liens!C63)&gt;0,"✓ "&amp;Liens!C63,"✗ "&amp;Liens!C63&amp;" (introuvable)"))</f>
        <v>✓ lampe</v>
      </c>
      <c r="E68" s="35" t="str">
        <f>IF(Liens!D63="","",IF(COUNTIF(Mots!A:A,Liens!D63)&gt;0,"✓ "&amp;Liens!D63,"✗ "&amp;Liens!D63&amp;" (introuvable)"))</f>
        <v>✓ lumiere</v>
      </c>
      <c r="F68" s="35" t="str">
        <f>IF(Liens!E63="","",IF(COUNTIF(Mots!A:A,Liens!E63)&gt;0,"✓ "&amp;Liens!E63,"✗ "&amp;Liens!E63&amp;" (introuvable)"))</f>
        <v>✓ v_eclairer</v>
      </c>
      <c r="G68" s="35" t="str">
        <f>IF(Liens!F63="","",IF(COUNTIF(Mots!A:A,Liens!F63)&gt;0,"✓ "&amp;Liens!F63,"✗ "&amp;Liens!F63&amp;" (introuvable)"))</f>
        <v/>
      </c>
      <c r="H68" s="35" t="str">
        <f>IF(Liens!G63="","",IF(COUNTIF(Mots!A:A,Liens!G63)&gt;0,"✓ "&amp;Liens!G63,"✗ "&amp;Liens!G63&amp;" (introuvable)"))</f>
        <v/>
      </c>
      <c r="I68" s="35" t="str">
        <f>IF(Liens!H63="","",IF(COUNTIF(Mots!A:A,Liens!H63)&gt;0,"✓ "&amp;Liens!H63,"✗ "&amp;Liens!H63&amp;" (introuvable)"))</f>
        <v/>
      </c>
    </row>
    <row r="69" spans="1:9" x14ac:dyDescent="0.3">
      <c r="A69">
        <v>64</v>
      </c>
      <c r="B69" s="35" t="str">
        <f>IF(Liens!A64="","",IF(COUNTIF(Mots!A:A,Liens!A64)&gt;0,"✓ "&amp;Liens!A64,"✗ "&amp;Liens!A64&amp;" (introuvable)"))</f>
        <v>✓ annee</v>
      </c>
      <c r="C69" s="35" t="str">
        <f>IF(Liens!B64="","",IF(COUNTIF(Mots!A:A,Liens!B64)&gt;0,"✓ "&amp;Liens!B64,"✗ "&amp;Liens!B64&amp;" (introuvable)"))</f>
        <v>✓ periode</v>
      </c>
      <c r="D69" s="35" t="str">
        <f>IF(Liens!C64="","",IF(COUNTIF(Mots!A:A,Liens!C64)&gt;0,"✓ "&amp;Liens!C64,"✗ "&amp;Liens!C64&amp;" (introuvable)"))</f>
        <v>✓ jour</v>
      </c>
      <c r="E69" s="35" t="str">
        <f>IF(Liens!D64="","",IF(COUNTIF(Mots!A:A,Liens!D64)&gt;0,"✓ "&amp;Liens!D64,"✗ "&amp;Liens!D64&amp;" (introuvable)"))</f>
        <v>✓ semaine</v>
      </c>
      <c r="F69" s="35" t="str">
        <f>IF(Liens!E64="","",IF(COUNTIF(Mots!A:A,Liens!E64)&gt;0,"✓ "&amp;Liens!E64,"✗ "&amp;Liens!E64&amp;" (introuvable)"))</f>
        <v>✓ mois</v>
      </c>
      <c r="G69" s="35" t="str">
        <f>IF(Liens!F64="","",IF(COUNTIF(Mots!A:A,Liens!F64)&gt;0,"✓ "&amp;Liens!F64,"✗ "&amp;Liens!F64&amp;" (introuvable)"))</f>
        <v>✓ saison</v>
      </c>
      <c r="H69" s="35" t="str">
        <f>IF(Liens!G64="","",IF(COUNTIF(Mots!A:A,Liens!G64)&gt;0,"✓ "&amp;Liens!G64,"✗ "&amp;Liens!G64&amp;" (introuvable)"))</f>
        <v>✓ printemps</v>
      </c>
      <c r="I69" s="35" t="str">
        <f>IF(Liens!H64="","",IF(COUNTIF(Mots!A:A,Liens!H64)&gt;0,"✓ "&amp;Liens!H64,"✗ "&amp;Liens!H64&amp;" (introuvable)"))</f>
        <v>✓ ete</v>
      </c>
    </row>
    <row r="70" spans="1:9" x14ac:dyDescent="0.3">
      <c r="A70">
        <v>65</v>
      </c>
      <c r="B70" s="35" t="str">
        <f>IF(Liens!A65="","",IF(COUNTIF(Mots!A:A,Liens!A65)&gt;0,"✓ "&amp;Liens!A65,"✗ "&amp;Liens!A65&amp;" (introuvable)"))</f>
        <v>✓ anniversaire</v>
      </c>
      <c r="C70" s="35" t="str">
        <f>IF(Liens!B65="","",IF(COUNTIF(Mots!A:A,Liens!B65)&gt;0,"✓ "&amp;Liens!B65,"✗ "&amp;Liens!B65&amp;" (introuvable)"))</f>
        <v>✓ jour</v>
      </c>
      <c r="D70" s="35" t="str">
        <f>IF(Liens!C65="","",IF(COUNTIF(Mots!A:A,Liens!C65)&gt;0,"✓ "&amp;Liens!C65,"✗ "&amp;Liens!C65&amp;" (introuvable)"))</f>
        <v>✓ mois</v>
      </c>
      <c r="E70" s="35" t="str">
        <f>IF(Liens!D65="","",IF(COUNTIF(Mots!A:A,Liens!D65)&gt;0,"✓ "&amp;Liens!D65,"✗ "&amp;Liens!D65&amp;" (introuvable)"))</f>
        <v>✓ annee</v>
      </c>
      <c r="F70" s="35" t="str">
        <f>IF(Liens!E65="","",IF(COUNTIF(Mots!A:A,Liens!E65)&gt;0,"✓ "&amp;Liens!E65,"✗ "&amp;Liens!E65&amp;" (introuvable)"))</f>
        <v>✓ date</v>
      </c>
      <c r="G70" s="35" t="str">
        <f>IF(Liens!F65="","",IF(COUNTIF(Mots!A:A,Liens!F65)&gt;0,"✓ "&amp;Liens!F65,"✗ "&amp;Liens!F65&amp;" (introuvable)"))</f>
        <v>✓ naissance</v>
      </c>
      <c r="H70" s="35" t="str">
        <f>IF(Liens!G65="","",IF(COUNTIF(Mots!A:A,Liens!G65)&gt;0,"✓ "&amp;Liens!G65,"✗ "&amp;Liens!G65&amp;" (introuvable)"))</f>
        <v>✓ fete</v>
      </c>
      <c r="I70" s="35" t="str">
        <f>IF(Liens!H65="","",IF(COUNTIF(Mots!A:A,Liens!H65)&gt;0,"✓ "&amp;Liens!H65,"✗ "&amp;Liens!H65&amp;" (introuvable)"))</f>
        <v/>
      </c>
    </row>
    <row r="71" spans="1:9" x14ac:dyDescent="0.3">
      <c r="A71">
        <v>66</v>
      </c>
      <c r="B71" s="35" t="str">
        <f>IF(Liens!A66="","",IF(COUNTIF(Mots!A:A,Liens!A66)&gt;0,"✓ "&amp;Liens!A66,"✗ "&amp;Liens!A66&amp;" (introuvable)"))</f>
        <v>✓ anse</v>
      </c>
      <c r="C71" s="35" t="str">
        <f>IF(Liens!B66="","",IF(COUNTIF(Mots!A:A,Liens!B66)&gt;0,"✓ "&amp;Liens!B66,"✗ "&amp;Liens!B66&amp;" (introuvable)"))</f>
        <v>✓ partie</v>
      </c>
      <c r="D71" s="35" t="str">
        <f>IF(Liens!C66="","",IF(COUNTIF(Mots!A:A,Liens!C66)&gt;0,"✓ "&amp;Liens!C66,"✗ "&amp;Liens!C66&amp;" (introuvable)"))</f>
        <v>✓ objet</v>
      </c>
      <c r="E71" s="35" t="str">
        <f>IF(Liens!D66="","",IF(COUNTIF(Mots!A:A,Liens!D66)&gt;0,"✓ "&amp;Liens!D66,"✗ "&amp;Liens!D66&amp;" (introuvable)"))</f>
        <v>✓ courbe</v>
      </c>
      <c r="F71" s="35" t="str">
        <f>IF(Liens!E66="","",IF(COUNTIF(Mots!A:A,Liens!E66)&gt;0,"✓ "&amp;Liens!E66,"✗ "&amp;Liens!E66&amp;" (introuvable)"))</f>
        <v>✓ tasse</v>
      </c>
      <c r="G71" s="35" t="str">
        <f>IF(Liens!F66="","",IF(COUNTIF(Mots!A:A,Liens!F66)&gt;0,"✓ "&amp;Liens!F66,"✗ "&amp;Liens!F66&amp;" (introuvable)"))</f>
        <v>✓ seau</v>
      </c>
      <c r="H71" s="35" t="str">
        <f>IF(Liens!G66="","",IF(COUNTIF(Mots!A:A,Liens!G66)&gt;0,"✓ "&amp;Liens!G66,"✗ "&amp;Liens!G66&amp;" (introuvable)"))</f>
        <v>✓ pot_ou_mesure</v>
      </c>
      <c r="I71" s="35" t="str">
        <f>IF(Liens!H66="","",IF(COUNTIF(Mots!A:A,Liens!H66)&gt;0,"✓ "&amp;Liens!H66,"✗ "&amp;Liens!H66&amp;" (introuvable)"))</f>
        <v/>
      </c>
    </row>
    <row r="72" spans="1:9" x14ac:dyDescent="0.3">
      <c r="A72">
        <v>67</v>
      </c>
      <c r="B72" s="35" t="str">
        <f>IF(Liens!A67="","",IF(COUNTIF(Mots!A:A,Liens!A67)&gt;0,"✓ "&amp;Liens!A67,"✗ "&amp;Liens!A67&amp;" (introuvable)"))</f>
        <v>✓ appareil</v>
      </c>
      <c r="C72" s="35" t="str">
        <f>IF(Liens!B67="","",IF(COUNTIF(Mots!A:A,Liens!B67)&gt;0,"✓ "&amp;Liens!B67,"✗ "&amp;Liens!B67&amp;" (introuvable)"))</f>
        <v>✓ machine</v>
      </c>
      <c r="D72" s="35" t="str">
        <f>IF(Liens!C67="","",IF(COUNTIF(Mots!A:A,Liens!C67)&gt;0,"✓ "&amp;Liens!C67,"✗ "&amp;Liens!C67&amp;" (introuvable)"))</f>
        <v>✓ travail</v>
      </c>
      <c r="E72" s="35" t="str">
        <f>IF(Liens!D67="","",IF(COUNTIF(Mots!A:A,Liens!D67)&gt;0,"✓ "&amp;Liens!D67,"✗ "&amp;Liens!D67&amp;" (introuvable)"))</f>
        <v>✓ a_precis</v>
      </c>
      <c r="F72" s="35" t="str">
        <f>IF(Liens!E67="","",IF(COUNTIF(Mots!A:A,Liens!E67)&gt;0,"✓ "&amp;Liens!E67,"✗ "&amp;Liens!E67&amp;" (introuvable)"))</f>
        <v>✓ aspirateur</v>
      </c>
      <c r="G72" s="35" t="str">
        <f>IF(Liens!F67="","",IF(COUNTIF(Mots!A:A,Liens!F67)&gt;0,"✓ "&amp;Liens!F67,"✗ "&amp;Liens!F67&amp;" (introuvable)"))</f>
        <v>✓ frigo</v>
      </c>
      <c r="H72" s="35" t="str">
        <f>IF(Liens!G67="","",IF(COUNTIF(Mots!A:A,Liens!G67)&gt;0,"✓ "&amp;Liens!G67,"✗ "&amp;Liens!G67&amp;" (introuvable)"))</f>
        <v>✓ lave_vaisselle</v>
      </c>
      <c r="I72" s="35" t="str">
        <f>IF(Liens!H67="","",IF(COUNTIF(Mots!A:A,Liens!H67)&gt;0,"✓ "&amp;Liens!H67,"✗ "&amp;Liens!H67&amp;" (introuvable)"))</f>
        <v>✓ four</v>
      </c>
    </row>
    <row r="73" spans="1:9" x14ac:dyDescent="0.3">
      <c r="A73">
        <v>68</v>
      </c>
      <c r="B73" s="35" t="str">
        <f>IF(Liens!A68="","",IF(COUNTIF(Mots!A:A,Liens!A68)&gt;0,"✓ "&amp;Liens!A68,"✗ "&amp;Liens!A68&amp;" (introuvable)"))</f>
        <v>✓ appartement</v>
      </c>
      <c r="C73" s="35" t="str">
        <f>IF(Liens!B68="","",IF(COUNTIF(Mots!A:A,Liens!B68)&gt;0,"✓ "&amp;Liens!B68,"✗ "&amp;Liens!B68&amp;" (introuvable)"))</f>
        <v>✓ logement</v>
      </c>
      <c r="D73" s="35" t="str">
        <f>IF(Liens!C68="","",IF(COUNTIF(Mots!A:A,Liens!C68)&gt;0,"✓ "&amp;Liens!C68,"✗ "&amp;Liens!C68&amp;" (introuvable)"))</f>
        <v>✓ immeuble</v>
      </c>
      <c r="E73" s="35" t="str">
        <f>IF(Liens!D68="","",IF(COUNTIF(Mots!A:A,Liens!D68)&gt;0,"✓ "&amp;Liens!D68,"✗ "&amp;Liens!D68&amp;" (introuvable)"))</f>
        <v>✓ v_habiter</v>
      </c>
      <c r="F73" s="35" t="str">
        <f>IF(Liens!E68="","",IF(COUNTIF(Mots!A:A,Liens!E68)&gt;0,"✓ "&amp;Liens!E68,"✗ "&amp;Liens!E68&amp;" (introuvable)"))</f>
        <v/>
      </c>
      <c r="G73" s="35" t="str">
        <f>IF(Liens!F68="","",IF(COUNTIF(Mots!A:A,Liens!F68)&gt;0,"✓ "&amp;Liens!F68,"✗ "&amp;Liens!F68&amp;" (introuvable)"))</f>
        <v/>
      </c>
      <c r="H73" s="35" t="str">
        <f>IF(Liens!G68="","",IF(COUNTIF(Mots!A:A,Liens!G68)&gt;0,"✓ "&amp;Liens!G68,"✗ "&amp;Liens!G68&amp;" (introuvable)"))</f>
        <v/>
      </c>
      <c r="I73" s="35" t="str">
        <f>IF(Liens!H68="","",IF(COUNTIF(Mots!A:A,Liens!H68)&gt;0,"✓ "&amp;Liens!H68,"✗ "&amp;Liens!H68&amp;" (introuvable)"))</f>
        <v/>
      </c>
    </row>
    <row r="74" spans="1:9" x14ac:dyDescent="0.3">
      <c r="A74">
        <v>69</v>
      </c>
      <c r="B74" s="35" t="str">
        <f>IF(Liens!A69="","",IF(COUNTIF(Mots!A:A,Liens!A69)&gt;0,"✓ "&amp;Liens!A69,"✗ "&amp;Liens!A69&amp;" (introuvable)"))</f>
        <v>✓ applaudissements</v>
      </c>
      <c r="C74" s="35" t="str">
        <f>IF(Liens!B69="","",IF(COUNTIF(Mots!A:A,Liens!B69)&gt;0,"✓ "&amp;Liens!B69,"✗ "&amp;Liens!B69&amp;" (introuvable)"))</f>
        <v>✓ bruit</v>
      </c>
      <c r="D74" s="35" t="str">
        <f>IF(Liens!C69="","",IF(COUNTIF(Mots!A:A,Liens!C69)&gt;0,"✓ "&amp;Liens!C69,"✗ "&amp;Liens!C69&amp;" (introuvable)"))</f>
        <v>✓ main</v>
      </c>
      <c r="E74" s="35" t="str">
        <f>IF(Liens!D69="","",IF(COUNTIF(Mots!A:A,Liens!D69)&gt;0,"✓ "&amp;Liens!D69,"✗ "&amp;Liens!D69&amp;" (introuvable)"))</f>
        <v>✓ v_feliciter</v>
      </c>
      <c r="F74" s="35" t="str">
        <f>IF(Liens!E69="","",IF(COUNTIF(Mots!A:A,Liens!E69)&gt;0,"✓ "&amp;Liens!E69,"✗ "&amp;Liens!E69&amp;" (introuvable)"))</f>
        <v>✓ concert</v>
      </c>
      <c r="G74" s="35" t="str">
        <f>IF(Liens!F69="","",IF(COUNTIF(Mots!A:A,Liens!F69)&gt;0,"✓ "&amp;Liens!F69,"✗ "&amp;Liens!F69&amp;" (introuvable)"))</f>
        <v>✓ public</v>
      </c>
      <c r="H74" s="35" t="str">
        <f>IF(Liens!G69="","",IF(COUNTIF(Mots!A:A,Liens!G69)&gt;0,"✓ "&amp;Liens!G69,"✗ "&amp;Liens!G69&amp;" (introuvable)"))</f>
        <v>✓ v_entendre</v>
      </c>
      <c r="I74" s="35" t="str">
        <f>IF(Liens!H69="","",IF(COUNTIF(Mots!A:A,Liens!H69)&gt;0,"✓ "&amp;Liens!H69,"✗ "&amp;Liens!H69&amp;" (introuvable)"))</f>
        <v>✓ emotion</v>
      </c>
    </row>
    <row r="75" spans="1:9" x14ac:dyDescent="0.3">
      <c r="A75">
        <v>70</v>
      </c>
      <c r="B75" s="35" t="str">
        <f>IF(Liens!A70="","",IF(COUNTIF(Mots!A:A,Liens!A70)&gt;0,"✓ "&amp;Liens!A70,"✗ "&amp;Liens!A70&amp;" (introuvable)"))</f>
        <v>✓ araignee</v>
      </c>
      <c r="C75" s="35" t="str">
        <f>IF(Liens!B70="","",IF(COUNTIF(Mots!A:A,Liens!B70)&gt;0,"✓ "&amp;Liens!B70,"✗ "&amp;Liens!B70&amp;" (introuvable)"))</f>
        <v>✓ insecte</v>
      </c>
      <c r="D75" s="35" t="str">
        <f>IF(Liens!C70="","",IF(COUNTIF(Mots!A:A,Liens!C70)&gt;0,"✓ "&amp;Liens!C70,"✗ "&amp;Liens!C70&amp;" (introuvable)"))</f>
        <v>✓ toile</v>
      </c>
      <c r="E75" s="35" t="str">
        <f>IF(Liens!D70="","",IF(COUNTIF(Mots!A:A,Liens!D70)&gt;0,"✓ "&amp;Liens!D70,"✗ "&amp;Liens!D70&amp;" (introuvable)"))</f>
        <v>✓ patte</v>
      </c>
      <c r="F75" s="35" t="str">
        <f>IF(Liens!E70="","",IF(COUNTIF(Mots!A:A,Liens!E70)&gt;0,"✓ "&amp;Liens!E70,"✗ "&amp;Liens!E70&amp;" (introuvable)"))</f>
        <v>✓ mouche</v>
      </c>
      <c r="G75" s="35" t="str">
        <f>IF(Liens!F70="","",IF(COUNTIF(Mots!A:A,Liens!F70)&gt;0,"✓ "&amp;Liens!F70,"✗ "&amp;Liens!F70&amp;" (introuvable)"))</f>
        <v/>
      </c>
      <c r="H75" s="35" t="str">
        <f>IF(Liens!G70="","",IF(COUNTIF(Mots!A:A,Liens!G70)&gt;0,"✓ "&amp;Liens!G70,"✗ "&amp;Liens!G70&amp;" (introuvable)"))</f>
        <v/>
      </c>
      <c r="I75" s="35" t="str">
        <f>IF(Liens!H70="","",IF(COUNTIF(Mots!A:A,Liens!H70)&gt;0,"✓ "&amp;Liens!H70,"✗ "&amp;Liens!H70&amp;" (introuvable)"))</f>
        <v/>
      </c>
    </row>
    <row r="76" spans="1:9" x14ac:dyDescent="0.3">
      <c r="A76">
        <v>71</v>
      </c>
      <c r="B76" s="35" t="str">
        <f>IF(Liens!A71="","",IF(COUNTIF(Mots!A:A,Liens!A71)&gt;0,"✓ "&amp;Liens!A71,"✗ "&amp;Liens!A71&amp;" (introuvable)"))</f>
        <v>✓ arbre</v>
      </c>
      <c r="C76" s="35" t="str">
        <f>IF(Liens!B71="","",IF(COUNTIF(Mots!A:A,Liens!B71)&gt;0,"✓ "&amp;Liens!B71,"✗ "&amp;Liens!B71&amp;" (introuvable)"))</f>
        <v>✓ plante</v>
      </c>
      <c r="D76" s="35" t="str">
        <f>IF(Liens!C71="","",IF(COUNTIF(Mots!A:A,Liens!C71)&gt;0,"✓ "&amp;Liens!C71,"✗ "&amp;Liens!C71&amp;" (introuvable)"))</f>
        <v>✓ tronc_arbre</v>
      </c>
      <c r="E76" s="35" t="str">
        <f>IF(Liens!D71="","",IF(COUNTIF(Mots!A:A,Liens!D71)&gt;0,"✓ "&amp;Liens!D71,"✗ "&amp;Liens!D71&amp;" (introuvable)"))</f>
        <v>✓ branche</v>
      </c>
      <c r="F76" s="35" t="str">
        <f>IF(Liens!E71="","",IF(COUNTIF(Mots!A:A,Liens!E71)&gt;0,"✓ "&amp;Liens!E71,"✗ "&amp;Liens!E71&amp;" (introuvable)"))</f>
        <v>✓ feuille_plante</v>
      </c>
      <c r="G76" s="35" t="str">
        <f>IF(Liens!F71="","",IF(COUNTIF(Mots!A:A,Liens!F71)&gt;0,"✓ "&amp;Liens!F71,"✗ "&amp;Liens!F71&amp;" (introuvable)"))</f>
        <v>✓ fruit</v>
      </c>
      <c r="H76" s="35" t="str">
        <f>IF(Liens!G71="","",IF(COUNTIF(Mots!A:A,Liens!G71)&gt;0,"✓ "&amp;Liens!G71,"✗ "&amp;Liens!G71&amp;" (introuvable)"))</f>
        <v>✓ parc</v>
      </c>
      <c r="I76" s="35" t="str">
        <f>IF(Liens!H71="","",IF(COUNTIF(Mots!A:A,Liens!H71)&gt;0,"✓ "&amp;Liens!H71,"✗ "&amp;Liens!H71&amp;" (introuvable)"))</f>
        <v>✓ bois</v>
      </c>
    </row>
    <row r="77" spans="1:9" x14ac:dyDescent="0.3">
      <c r="A77">
        <v>72</v>
      </c>
      <c r="B77" s="35" t="str">
        <f>IF(Liens!A72="","",IF(COUNTIF(Mots!A:A,Liens!A72)&gt;0,"✓ "&amp;Liens!A72,"✗ "&amp;Liens!A72&amp;" (introuvable)"))</f>
        <v>✓ arc_en_ciel</v>
      </c>
      <c r="C77" s="35" t="str">
        <f>IF(Liens!B72="","",IF(COUNTIF(Mots!A:A,Liens!B72)&gt;0,"✓ "&amp;Liens!B72,"✗ "&amp;Liens!B72&amp;" (introuvable)"))</f>
        <v>✓ ciel</v>
      </c>
      <c r="D77" s="35" t="str">
        <f>IF(Liens!C72="","",IF(COUNTIF(Mots!A:A,Liens!C72)&gt;0,"✓ "&amp;Liens!C72,"✗ "&amp;Liens!C72&amp;" (introuvable)"))</f>
        <v>✓ pluie</v>
      </c>
      <c r="E77" s="35" t="str">
        <f>IF(Liens!D72="","",IF(COUNTIF(Mots!A:A,Liens!D72)&gt;0,"✓ "&amp;Liens!D72,"✗ "&amp;Liens!D72&amp;" (introuvable)"))</f>
        <v>✓ soleil</v>
      </c>
      <c r="F77" s="35" t="str">
        <f>IF(Liens!E72="","",IF(COUNTIF(Mots!A:A,Liens!E72)&gt;0,"✓ "&amp;Liens!E72,"✗ "&amp;Liens!E72&amp;" (introuvable)"))</f>
        <v>✓ couleur</v>
      </c>
      <c r="G77" s="35" t="str">
        <f>IF(Liens!F72="","",IF(COUNTIF(Mots!A:A,Liens!F72)&gt;0,"✓ "&amp;Liens!F72,"✗ "&amp;Liens!F72&amp;" (introuvable)"))</f>
        <v>✓ a_colore</v>
      </c>
      <c r="H77" s="35" t="str">
        <f>IF(Liens!G72="","",IF(COUNTIF(Mots!A:A,Liens!G72)&gt;0,"✓ "&amp;Liens!G72,"✗ "&amp;Liens!G72&amp;" (introuvable)"))</f>
        <v>✓ courbe</v>
      </c>
      <c r="I77" s="35" t="str">
        <f>IF(Liens!H72="","",IF(COUNTIF(Mots!A:A,Liens!H72)&gt;0,"✓ "&amp;Liens!H72,"✗ "&amp;Liens!H72&amp;" (introuvable)"))</f>
        <v/>
      </c>
    </row>
    <row r="78" spans="1:9" x14ac:dyDescent="0.3">
      <c r="A78">
        <v>73</v>
      </c>
      <c r="B78" s="35" t="str">
        <f>IF(Liens!A73="","",IF(COUNTIF(Mots!A:A,Liens!A73)&gt;0,"✓ "&amp;Liens!A73,"✗ "&amp;Liens!A73&amp;" (introuvable)"))</f>
        <v>✓ argent</v>
      </c>
      <c r="C78" s="35" t="str">
        <f>IF(Liens!B73="","",IF(COUNTIF(Mots!A:A,Liens!B73)&gt;0,"✓ "&amp;Liens!B73,"✗ "&amp;Liens!B73&amp;" (introuvable)"))</f>
        <v>✓ porte_monnaie</v>
      </c>
      <c r="D78" s="35" t="str">
        <f>IF(Liens!C73="","",IF(COUNTIF(Mots!A:A,Liens!C73)&gt;0,"✓ "&amp;Liens!C73,"✗ "&amp;Liens!C73&amp;" (introuvable)"))</f>
        <v>✓ portefeuille</v>
      </c>
      <c r="E78" s="35" t="str">
        <f>IF(Liens!D73="","",IF(COUNTIF(Mots!A:A,Liens!D73)&gt;0,"✓ "&amp;Liens!D73,"✗ "&amp;Liens!D73&amp;" (introuvable)"))</f>
        <v>✓ billet_banque</v>
      </c>
      <c r="F78" s="35" t="str">
        <f>IF(Liens!E73="","",IF(COUNTIF(Mots!A:A,Liens!E73)&gt;0,"✓ "&amp;Liens!E73,"✗ "&amp;Liens!E73&amp;" (introuvable)"))</f>
        <v>✓ piece_monnaie</v>
      </c>
      <c r="G78" s="35" t="str">
        <f>IF(Liens!F73="","",IF(COUNTIF(Mots!A:A,Liens!F73)&gt;0,"✓ "&amp;Liens!F73,"✗ "&amp;Liens!F73&amp;" (introuvable)"))</f>
        <v>✓ carte_debit</v>
      </c>
      <c r="H78" s="35" t="str">
        <f>IF(Liens!G73="","",IF(COUNTIF(Mots!A:A,Liens!G73)&gt;0,"✓ "&amp;Liens!G73,"✗ "&amp;Liens!G73&amp;" (introuvable)"))</f>
        <v>✓ v_payer</v>
      </c>
      <c r="I78" s="35" t="str">
        <f>IF(Liens!H73="","",IF(COUNTIF(Mots!A:A,Liens!H73)&gt;0,"✓ "&amp;Liens!H73,"✗ "&amp;Liens!H73&amp;" (introuvable)"))</f>
        <v>✓ v_acheter</v>
      </c>
    </row>
    <row r="79" spans="1:9" x14ac:dyDescent="0.3">
      <c r="A79">
        <v>74</v>
      </c>
      <c r="B79" s="35" t="str">
        <f>IF(Liens!A74="","",IF(COUNTIF(Mots!A:A,Liens!A74)&gt;0,"✓ "&amp;Liens!A74,"✗ "&amp;Liens!A74&amp;" (introuvable)"))</f>
        <v>✓ armoire</v>
      </c>
      <c r="C79" s="35" t="str">
        <f>IF(Liens!B74="","",IF(COUNTIF(Mots!A:A,Liens!B74)&gt;0,"✓ "&amp;Liens!B74,"✗ "&amp;Liens!B74&amp;" (introuvable)"))</f>
        <v>✓ chambre</v>
      </c>
      <c r="D79" s="35" t="str">
        <f>IF(Liens!C74="","",IF(COUNTIF(Mots!A:A,Liens!C74)&gt;0,"✓ "&amp;Liens!C74,"✗ "&amp;Liens!C74&amp;" (introuvable)"))</f>
        <v>✓ meuble</v>
      </c>
      <c r="E79" s="35" t="str">
        <f>IF(Liens!D74="","",IF(COUNTIF(Mots!A:A,Liens!D74)&gt;0,"✓ "&amp;Liens!D74,"✗ "&amp;Liens!D74&amp;" (introuvable)"))</f>
        <v>✓ vetement</v>
      </c>
      <c r="F79" s="35" t="str">
        <f>IF(Liens!E74="","",IF(COUNTIF(Mots!A:A,Liens!E74)&gt;0,"✓ "&amp;Liens!E74,"✗ "&amp;Liens!E74&amp;" (introuvable)"))</f>
        <v/>
      </c>
      <c r="G79" s="35" t="str">
        <f>IF(Liens!F74="","",IF(COUNTIF(Mots!A:A,Liens!F74)&gt;0,"✓ "&amp;Liens!F74,"✗ "&amp;Liens!F74&amp;" (introuvable)"))</f>
        <v/>
      </c>
      <c r="H79" s="35" t="str">
        <f>IF(Liens!G74="","",IF(COUNTIF(Mots!A:A,Liens!G74)&gt;0,"✓ "&amp;Liens!G74,"✗ "&amp;Liens!G74&amp;" (introuvable)"))</f>
        <v/>
      </c>
      <c r="I79" s="35" t="str">
        <f>IF(Liens!H74="","",IF(COUNTIF(Mots!A:A,Liens!H74)&gt;0,"✓ "&amp;Liens!H74,"✗ "&amp;Liens!H74&amp;" (introuvable)"))</f>
        <v/>
      </c>
    </row>
    <row r="80" spans="1:9" x14ac:dyDescent="0.3">
      <c r="A80">
        <v>75</v>
      </c>
      <c r="B80" s="35" t="str">
        <f>IF(Liens!A75="","",IF(COUNTIF(Mots!A:A,Liens!A75)&gt;0,"✓ "&amp;Liens!A75,"✗ "&amp;Liens!A75&amp;" (introuvable)"))</f>
        <v>✓ arrondi</v>
      </c>
      <c r="C80" s="35" t="str">
        <f>IF(Liens!B75="","",IF(COUNTIF(Mots!A:A,Liens!B75)&gt;0,"✓ "&amp;Liens!B75,"✗ "&amp;Liens!B75&amp;" (introuvable)"))</f>
        <v>✓ forme</v>
      </c>
      <c r="D80" s="35" t="str">
        <f>IF(Liens!C75="","",IF(COUNTIF(Mots!A:A,Liens!C75)&gt;0,"✓ "&amp;Liens!C75,"✗ "&amp;Liens!C75&amp;" (introuvable)"))</f>
        <v>✓ rond</v>
      </c>
      <c r="E80" s="35" t="str">
        <f>IF(Liens!D75="","",IF(COUNTIF(Mots!A:A,Liens!D75)&gt;0,"✓ "&amp;Liens!D75,"✗ "&amp;Liens!D75&amp;" (introuvable)"))</f>
        <v/>
      </c>
      <c r="F80" s="35" t="str">
        <f>IF(Liens!E75="","",IF(COUNTIF(Mots!A:A,Liens!E75)&gt;0,"✓ "&amp;Liens!E75,"✗ "&amp;Liens!E75&amp;" (introuvable)"))</f>
        <v/>
      </c>
      <c r="G80" s="35" t="str">
        <f>IF(Liens!F75="","",IF(COUNTIF(Mots!A:A,Liens!F75)&gt;0,"✓ "&amp;Liens!F75,"✗ "&amp;Liens!F75&amp;" (introuvable)"))</f>
        <v/>
      </c>
      <c r="H80" s="35" t="str">
        <f>IF(Liens!G75="","",IF(COUNTIF(Mots!A:A,Liens!G75)&gt;0,"✓ "&amp;Liens!G75,"✗ "&amp;Liens!G75&amp;" (introuvable)"))</f>
        <v/>
      </c>
      <c r="I80" s="35" t="str">
        <f>IF(Liens!H75="","",IF(COUNTIF(Mots!A:A,Liens!H75)&gt;0,"✓ "&amp;Liens!H75,"✗ "&amp;Liens!H75&amp;" (introuvable)"))</f>
        <v/>
      </c>
    </row>
    <row r="81" spans="1:9" x14ac:dyDescent="0.3">
      <c r="A81">
        <v>76</v>
      </c>
      <c r="B81" s="35" t="str">
        <f>IF(Liens!A76="","",IF(COUNTIF(Mots!A:A,Liens!A76)&gt;0,"✓ "&amp;Liens!A76,"✗ "&amp;Liens!A76&amp;" (introuvable)"))</f>
        <v>✓ aspirateur</v>
      </c>
      <c r="C81" s="35" t="str">
        <f>IF(Liens!B76="","",IF(COUNTIF(Mots!A:A,Liens!B76)&gt;0,"✓ "&amp;Liens!B76,"✗ "&amp;Liens!B76&amp;" (introuvable)"))</f>
        <v>✓ maison</v>
      </c>
      <c r="D81" s="35" t="str">
        <f>IF(Liens!C76="","",IF(COUNTIF(Mots!A:A,Liens!C76)&gt;0,"✓ "&amp;Liens!C76,"✗ "&amp;Liens!C76&amp;" (introuvable)"))</f>
        <v>✓ poussiere</v>
      </c>
      <c r="E81" s="35" t="str">
        <f>IF(Liens!D76="","",IF(COUNTIF(Mots!A:A,Liens!D76)&gt;0,"✓ "&amp;Liens!D76,"✗ "&amp;Liens!D76&amp;" (introuvable)"))</f>
        <v>✓ sol</v>
      </c>
      <c r="F81" s="35" t="str">
        <f>IF(Liens!E76="","",IF(COUNTIF(Mots!A:A,Liens!E76)&gt;0,"✓ "&amp;Liens!E76,"✗ "&amp;Liens!E76&amp;" (introuvable)"))</f>
        <v>✓ v_nettoyer</v>
      </c>
      <c r="G81" s="35" t="str">
        <f>IF(Liens!F76="","",IF(COUNTIF(Mots!A:A,Liens!F76)&gt;0,"✓ "&amp;Liens!F76,"✗ "&amp;Liens!F76&amp;" (introuvable)"))</f>
        <v/>
      </c>
      <c r="H81" s="35" t="str">
        <f>IF(Liens!G76="","",IF(COUNTIF(Mots!A:A,Liens!G76)&gt;0,"✓ "&amp;Liens!G76,"✗ "&amp;Liens!G76&amp;" (introuvable)"))</f>
        <v/>
      </c>
      <c r="I81" s="35" t="str">
        <f>IF(Liens!H76="","",IF(COUNTIF(Mots!A:A,Liens!H76)&gt;0,"✓ "&amp;Liens!H76,"✗ "&amp;Liens!H76&amp;" (introuvable)"))</f>
        <v/>
      </c>
    </row>
    <row r="82" spans="1:9" x14ac:dyDescent="0.3">
      <c r="A82">
        <v>77</v>
      </c>
      <c r="B82" s="35" t="str">
        <f>IF(Liens!A77="","",IF(COUNTIF(Mots!A:A,Liens!A77)&gt;0,"✓ "&amp;Liens!A77,"✗ "&amp;Liens!A77&amp;" (introuvable)"))</f>
        <v>✓ assez</v>
      </c>
      <c r="C82" s="35" t="str">
        <f>IF(Liens!B77="","",IF(COUNTIF(Mots!A:A,Liens!B77)&gt;0,"✓ "&amp;Liens!B77,"✗ "&amp;Liens!B77&amp;" (introuvable)"))</f>
        <v>✓ quantite</v>
      </c>
      <c r="D82" s="35" t="str">
        <f>IF(Liens!C77="","",IF(COUNTIF(Mots!A:A,Liens!C77)&gt;0,"✓ "&amp;Liens!C77,"✗ "&amp;Liens!C77&amp;" (introuvable)"))</f>
        <v>✓ trop</v>
      </c>
      <c r="E82" s="35" t="str">
        <f>IF(Liens!D77="","",IF(COUNTIF(Mots!A:A,Liens!D77)&gt;0,"✓ "&amp;Liens!D77,"✗ "&amp;Liens!D77&amp;" (introuvable)"))</f>
        <v>✓ beaucoup</v>
      </c>
      <c r="F82" s="35" t="str">
        <f>IF(Liens!E77="","",IF(COUNTIF(Mots!A:A,Liens!E77)&gt;0,"✓ "&amp;Liens!E77,"✗ "&amp;Liens!E77&amp;" (introuvable)"))</f>
        <v>✓ peu</v>
      </c>
      <c r="G82" s="35" t="str">
        <f>IF(Liens!F77="","",IF(COUNTIF(Mots!A:A,Liens!F77)&gt;0,"✓ "&amp;Liens!F77,"✗ "&amp;Liens!F77&amp;" (introuvable)"))</f>
        <v>✓ a_nombreux</v>
      </c>
      <c r="H82" s="35" t="str">
        <f>IF(Liens!G77="","",IF(COUNTIF(Mots!A:A,Liens!G77)&gt;0,"✓ "&amp;Liens!G77,"✗ "&amp;Liens!G77&amp;" (introuvable)"))</f>
        <v/>
      </c>
      <c r="I82" s="35" t="str">
        <f>IF(Liens!H77="","",IF(COUNTIF(Mots!A:A,Liens!H77)&gt;0,"✓ "&amp;Liens!H77,"✗ "&amp;Liens!H77&amp;" (introuvable)"))</f>
        <v/>
      </c>
    </row>
    <row r="83" spans="1:9" x14ac:dyDescent="0.3">
      <c r="A83">
        <v>78</v>
      </c>
      <c r="B83" s="35" t="str">
        <f>IF(Liens!A78="","",IF(COUNTIF(Mots!A:A,Liens!A78)&gt;0,"✓ "&amp;Liens!A78,"✗ "&amp;Liens!A78&amp;" (introuvable)"))</f>
        <v>✓ assiette</v>
      </c>
      <c r="C83" s="35" t="str">
        <f>IF(Liens!B78="","",IF(COUNTIF(Mots!A:A,Liens!B78)&gt;0,"✓ "&amp;Liens!B78,"✗ "&amp;Liens!B78&amp;" (introuvable)"))</f>
        <v>✓ plat</v>
      </c>
      <c r="D83" s="35" t="str">
        <f>IF(Liens!C78="","",IF(COUNTIF(Mots!A:A,Liens!C78)&gt;0,"✓ "&amp;Liens!C78,"✗ "&amp;Liens!C78&amp;" (introuvable)"))</f>
        <v>✓ rond</v>
      </c>
      <c r="E83" s="35" t="str">
        <f>IF(Liens!D78="","",IF(COUNTIF(Mots!A:A,Liens!D78)&gt;0,"✓ "&amp;Liens!D78,"✗ "&amp;Liens!D78&amp;" (introuvable)"))</f>
        <v>✓ v_manger</v>
      </c>
      <c r="F83" s="35" t="str">
        <f>IF(Liens!E78="","",IF(COUNTIF(Mots!A:A,Liens!E78)&gt;0,"✓ "&amp;Liens!E78,"✗ "&amp;Liens!E78&amp;" (introuvable)"))</f>
        <v>✓ couteau</v>
      </c>
      <c r="G83" s="35" t="str">
        <f>IF(Liens!F78="","",IF(COUNTIF(Mots!A:A,Liens!F78)&gt;0,"✓ "&amp;Liens!F78,"✗ "&amp;Liens!F78&amp;" (introuvable)"))</f>
        <v>✓ fourchette</v>
      </c>
      <c r="H83" s="35" t="str">
        <f>IF(Liens!G78="","",IF(COUNTIF(Mots!A:A,Liens!G78)&gt;0,"✓ "&amp;Liens!G78,"✗ "&amp;Liens!G78&amp;" (introuvable)"))</f>
        <v>✓ verre</v>
      </c>
      <c r="I83" s="35" t="str">
        <f>IF(Liens!H78="","",IF(COUNTIF(Mots!A:A,Liens!H78)&gt;0,"✓ "&amp;Liens!H78,"✗ "&amp;Liens!H78&amp;" (introuvable)"))</f>
        <v/>
      </c>
    </row>
    <row r="84" spans="1:9" x14ac:dyDescent="0.3">
      <c r="A84">
        <v>79</v>
      </c>
      <c r="B84" s="35" t="str">
        <f>IF(Liens!A79="","",IF(COUNTIF(Mots!A:A,Liens!A79)&gt;0,"✓ "&amp;Liens!A79,"✗ "&amp;Liens!A79&amp;" (introuvable)"))</f>
        <v>✓ attention</v>
      </c>
      <c r="C84" s="35" t="str">
        <f>IF(Liens!B79="","",IF(COUNTIF(Mots!A:A,Liens!B79)&gt;0,"✓ "&amp;Liens!B79,"✗ "&amp;Liens!B79&amp;" (introuvable)"))</f>
        <v>✓ v_regarder</v>
      </c>
      <c r="D84" s="35" t="str">
        <f>IF(Liens!C79="","",IF(COUNTIF(Mots!A:A,Liens!C79)&gt;0,"✓ "&amp;Liens!C79,"✗ "&amp;Liens!C79&amp;" (introuvable)"))</f>
        <v>✓ a_important</v>
      </c>
      <c r="E84" s="35" t="str">
        <f>IF(Liens!D79="","",IF(COUNTIF(Mots!A:A,Liens!D79)&gt;0,"✓ "&amp;Liens!D79,"✗ "&amp;Liens!D79&amp;" (introuvable)"))</f>
        <v>✓ danger</v>
      </c>
      <c r="F84" s="35" t="str">
        <f>IF(Liens!E79="","",IF(COUNTIF(Mots!A:A,Liens!E79)&gt;0,"✓ "&amp;Liens!E79,"✗ "&amp;Liens!E79&amp;" (introuvable)"))</f>
        <v>✓ dangereux</v>
      </c>
      <c r="G84" s="35" t="str">
        <f>IF(Liens!F79="","",IF(COUNTIF(Mots!A:A,Liens!F79)&gt;0,"✓ "&amp;Liens!F79,"✗ "&amp;Liens!F79&amp;" (introuvable)"))</f>
        <v/>
      </c>
      <c r="H84" s="35" t="str">
        <f>IF(Liens!G79="","",IF(COUNTIF(Mots!A:A,Liens!G79)&gt;0,"✓ "&amp;Liens!G79,"✗ "&amp;Liens!G79&amp;" (introuvable)"))</f>
        <v/>
      </c>
      <c r="I84" s="35" t="str">
        <f>IF(Liens!H79="","",IF(COUNTIF(Mots!A:A,Liens!H79)&gt;0,"✓ "&amp;Liens!H79,"✗ "&amp;Liens!H79&amp;" (introuvable)"))</f>
        <v/>
      </c>
    </row>
    <row r="85" spans="1:9" x14ac:dyDescent="0.3">
      <c r="A85">
        <v>80</v>
      </c>
      <c r="B85" s="35" t="str">
        <f>IF(Liens!A80="","",IF(COUNTIF(Mots!A:A,Liens!A80)&gt;0,"✓ "&amp;Liens!A80,"✗ "&amp;Liens!A80&amp;" (introuvable)"))</f>
        <v>✓ aujourd_hui</v>
      </c>
      <c r="C85" s="35" t="str">
        <f>IF(Liens!B80="","",IF(COUNTIF(Mots!A:A,Liens!B80)&gt;0,"✓ "&amp;Liens!B80,"✗ "&amp;Liens!B80&amp;" (introuvable)"))</f>
        <v>✓ maintenant</v>
      </c>
      <c r="D85" s="35" t="str">
        <f>IF(Liens!C80="","",IF(COUNTIF(Mots!A:A,Liens!C80)&gt;0,"✓ "&amp;Liens!C80,"✗ "&amp;Liens!C80&amp;" (introuvable)"))</f>
        <v>✓ demain</v>
      </c>
      <c r="E85" s="35" t="str">
        <f>IF(Liens!D80="","",IF(COUNTIF(Mots!A:A,Liens!D80)&gt;0,"✓ "&amp;Liens!D80,"✗ "&amp;Liens!D80&amp;" (introuvable)"))</f>
        <v>✓ hier</v>
      </c>
      <c r="F85" s="35" t="str">
        <f>IF(Liens!E80="","",IF(COUNTIF(Mots!A:A,Liens!E80)&gt;0,"✓ "&amp;Liens!E80,"✗ "&amp;Liens!E80&amp;" (introuvable)"))</f>
        <v/>
      </c>
      <c r="G85" s="35" t="str">
        <f>IF(Liens!F80="","",IF(COUNTIF(Mots!A:A,Liens!F80)&gt;0,"✓ "&amp;Liens!F80,"✗ "&amp;Liens!F80&amp;" (introuvable)"))</f>
        <v/>
      </c>
      <c r="H85" s="35" t="str">
        <f>IF(Liens!G80="","",IF(COUNTIF(Mots!A:A,Liens!G80)&gt;0,"✓ "&amp;Liens!G80,"✗ "&amp;Liens!G80&amp;" (introuvable)"))</f>
        <v/>
      </c>
      <c r="I85" s="35" t="str">
        <f>IF(Liens!H80="","",IF(COUNTIF(Mots!A:A,Liens!H80)&gt;0,"✓ "&amp;Liens!H80,"✗ "&amp;Liens!H80&amp;" (introuvable)"))</f>
        <v/>
      </c>
    </row>
    <row r="86" spans="1:9" x14ac:dyDescent="0.3">
      <c r="A86">
        <v>81</v>
      </c>
      <c r="B86" s="35" t="str">
        <f>IF(Liens!A81="","",IF(COUNTIF(Mots!A:A,Liens!A81)&gt;0,"✓ "&amp;Liens!A81,"✗ "&amp;Liens!A81&amp;" (introuvable)"))</f>
        <v>✓ aussi</v>
      </c>
      <c r="C86" s="35" t="str">
        <f>IF(Liens!B81="","",IF(COUNTIF(Mots!A:A,Liens!B81)&gt;0,"✓ "&amp;Liens!B81,"✗ "&amp;Liens!B81&amp;" (introuvable)"))</f>
        <v/>
      </c>
      <c r="D86" s="35" t="str">
        <f>IF(Liens!C81="","",IF(COUNTIF(Mots!A:A,Liens!C81)&gt;0,"✓ "&amp;Liens!C81,"✗ "&amp;Liens!C81&amp;" (introuvable)"))</f>
        <v/>
      </c>
      <c r="E86" s="35" t="str">
        <f>IF(Liens!D81="","",IF(COUNTIF(Mots!A:A,Liens!D81)&gt;0,"✓ "&amp;Liens!D81,"✗ "&amp;Liens!D81&amp;" (introuvable)"))</f>
        <v/>
      </c>
      <c r="F86" s="35" t="str">
        <f>IF(Liens!E81="","",IF(COUNTIF(Mots!A:A,Liens!E81)&gt;0,"✓ "&amp;Liens!E81,"✗ "&amp;Liens!E81&amp;" (introuvable)"))</f>
        <v/>
      </c>
      <c r="G86" s="35" t="str">
        <f>IF(Liens!F81="","",IF(COUNTIF(Mots!A:A,Liens!F81)&gt;0,"✓ "&amp;Liens!F81,"✗ "&amp;Liens!F81&amp;" (introuvable)"))</f>
        <v/>
      </c>
      <c r="H86" s="35" t="str">
        <f>IF(Liens!G81="","",IF(COUNTIF(Mots!A:A,Liens!G81)&gt;0,"✓ "&amp;Liens!G81,"✗ "&amp;Liens!G81&amp;" (introuvable)"))</f>
        <v/>
      </c>
      <c r="I86" s="35" t="str">
        <f>IF(Liens!H81="","",IF(COUNTIF(Mots!A:A,Liens!H81)&gt;0,"✓ "&amp;Liens!H81,"✗ "&amp;Liens!H81&amp;" (introuvable)"))</f>
        <v/>
      </c>
    </row>
    <row r="87" spans="1:9" x14ac:dyDescent="0.3">
      <c r="A87">
        <v>82</v>
      </c>
      <c r="B87" s="35" t="str">
        <f>IF(Liens!A82="","",IF(COUNTIF(Mots!A:A,Liens!A82)&gt;0,"✓ "&amp;Liens!A82,"✗ "&amp;Liens!A82&amp;" (introuvable)"))</f>
        <v>✓ autant</v>
      </c>
      <c r="C87" s="35" t="str">
        <f>IF(Liens!B82="","",IF(COUNTIF(Mots!A:A,Liens!B82)&gt;0,"✓ "&amp;Liens!B82,"✗ "&amp;Liens!B82&amp;" (introuvable)"))</f>
        <v>✓ quantite</v>
      </c>
      <c r="D87" s="35" t="str">
        <f>IF(Liens!C82="","",IF(COUNTIF(Mots!A:A,Liens!C82)&gt;0,"✓ "&amp;Liens!C82,"✗ "&amp;Liens!C82&amp;" (introuvable)"))</f>
        <v>✓ v_comparer</v>
      </c>
      <c r="E87" s="35" t="str">
        <f>IF(Liens!D82="","",IF(COUNTIF(Mots!A:A,Liens!D82)&gt;0,"✓ "&amp;Liens!D82,"✗ "&amp;Liens!D82&amp;" (introuvable)"))</f>
        <v>✓ a_pareil</v>
      </c>
      <c r="F87" s="35" t="str">
        <f>IF(Liens!E82="","",IF(COUNTIF(Mots!A:A,Liens!E82)&gt;0,"✓ "&amp;Liens!E82,"✗ "&amp;Liens!E82&amp;" (introuvable)"))</f>
        <v/>
      </c>
      <c r="G87" s="35" t="str">
        <f>IF(Liens!H82="","",IF(COUNTIF(Mots!A:A,Liens!H82)&gt;0,"✓ "&amp;Liens!H82,"✗ "&amp;Liens!H82&amp;" (introuvable)"))</f>
        <v/>
      </c>
      <c r="H87" s="35" t="str">
        <f>IF(Liens!F82="","",IF(COUNTIF(Mots!A:A,Liens!F82)&gt;0,"✓ "&amp;Liens!F82,"✗ "&amp;Liens!F82&amp;" (introuvable)"))</f>
        <v/>
      </c>
      <c r="I87" s="35" t="str">
        <f>IF(Liens!G82="","",IF(COUNTIF(Mots!A:A,Liens!G82)&gt;0,"✓ "&amp;Liens!G82,"✗ "&amp;Liens!G82&amp;" (introuvable)"))</f>
        <v/>
      </c>
    </row>
    <row r="88" spans="1:9" x14ac:dyDescent="0.3">
      <c r="A88">
        <v>83</v>
      </c>
      <c r="B88" s="35" t="str">
        <f>IF(Liens!A83="","",IF(COUNTIF(Mots!A:A,Liens!A83)&gt;0,"✓ "&amp;Liens!A83,"✗ "&amp;Liens!A83&amp;" (introuvable)"))</f>
        <v>✓ automne</v>
      </c>
      <c r="C88" s="35" t="str">
        <f>IF(Liens!B83="","",IF(COUNTIF(Mots!A:A,Liens!B83)&gt;0,"✓ "&amp;Liens!B83,"✗ "&amp;Liens!B83&amp;" (introuvable)"))</f>
        <v>✓ annee</v>
      </c>
      <c r="D88" s="35" t="str">
        <f>IF(Liens!C83="","",IF(COUNTIF(Mots!A:A,Liens!C83)&gt;0,"✓ "&amp;Liens!C83,"✗ "&amp;Liens!C83&amp;" (introuvable)"))</f>
        <v>✓ saison</v>
      </c>
      <c r="E88" s="35" t="str">
        <f>IF(Liens!D83="","",IF(COUNTIF(Mots!A:A,Liens!D83)&gt;0,"✓ "&amp;Liens!D83,"✗ "&amp;Liens!D83&amp;" (introuvable)"))</f>
        <v>✓ feuille_plante</v>
      </c>
      <c r="F88" s="35" t="str">
        <f>IF(Liens!E83="","",IF(COUNTIF(Mots!A:A,Liens!E83)&gt;0,"✓ "&amp;Liens!E83,"✗ "&amp;Liens!E83&amp;" (introuvable)"))</f>
        <v>✓ v_tomber</v>
      </c>
      <c r="G88" s="35" t="str">
        <f>IF(Liens!F83="","",IF(COUNTIF(Mots!A:A,Liens!F83)&gt;0,"✓ "&amp;Liens!F83,"✗ "&amp;Liens!F83&amp;" (introuvable)"))</f>
        <v>✓ pluie</v>
      </c>
      <c r="H88" s="35" t="str">
        <f>IF(Liens!G83="","",IF(COUNTIF(Mots!A:A,Liens!G83)&gt;0,"✓ "&amp;Liens!G83,"✗ "&amp;Liens!G83&amp;" (introuvable)"))</f>
        <v>✓ nuage</v>
      </c>
      <c r="I88" s="35" t="str">
        <f>IF(Liens!H83="","",IF(COUNTIF(Mots!A:A,Liens!H83)&gt;0,"✓ "&amp;Liens!H83,"✗ "&amp;Liens!H83&amp;" (introuvable)"))</f>
        <v>✓ printemps</v>
      </c>
    </row>
    <row r="89" spans="1:9" x14ac:dyDescent="0.3">
      <c r="A89">
        <v>84</v>
      </c>
      <c r="B89" s="35" t="str">
        <f>IF(Liens!A84="","",IF(COUNTIF(Mots!A:A,Liens!A84)&gt;0,"✓ "&amp;Liens!A84,"✗ "&amp;Liens!A84&amp;" (introuvable)"))</f>
        <v>✓ autoroute</v>
      </c>
      <c r="C89" s="35" t="str">
        <f>IF(Liens!B84="","",IF(COUNTIF(Mots!A:A,Liens!B84)&gt;0,"✓ "&amp;Liens!B84,"✗ "&amp;Liens!B84&amp;" (introuvable)"))</f>
        <v>✓ route</v>
      </c>
      <c r="D89" s="35" t="str">
        <f>IF(Liens!C84="","",IF(COUNTIF(Mots!A:A,Liens!C84)&gt;0,"✓ "&amp;Liens!C84,"✗ "&amp;Liens!C84&amp;" (introuvable)"))</f>
        <v>✓ voiture</v>
      </c>
      <c r="E89" s="35" t="str">
        <f>IF(Liens!D84="","",IF(COUNTIF(Mots!A:A,Liens!D84)&gt;0,"✓ "&amp;Liens!D84,"✗ "&amp;Liens!D84&amp;" (introuvable)"))</f>
        <v>✓ tunnel</v>
      </c>
      <c r="F89" s="35" t="str">
        <f>IF(Liens!E84="","",IF(COUNTIF(Mots!A:A,Liens!E84)&gt;0,"✓ "&amp;Liens!E84,"✗ "&amp;Liens!E84&amp;" (introuvable)"))</f>
        <v>✓ pont</v>
      </c>
      <c r="G89" s="35" t="str">
        <f>IF(Liens!F84="","",IF(COUNTIF(Mots!A:A,Liens!F84)&gt;0,"✓ "&amp;Liens!F84,"✗ "&amp;Liens!F84&amp;" (introuvable)"))</f>
        <v>✓ circulation</v>
      </c>
      <c r="H89" s="35" t="str">
        <f>IF(Liens!G84="","",IF(COUNTIF(Mots!A:A,Liens!G84)&gt;0,"✓ "&amp;Liens!G84,"✗ "&amp;Liens!G84&amp;" (introuvable)"))</f>
        <v>✓ v_aller</v>
      </c>
      <c r="I89" s="35" t="str">
        <f>IF(Liens!H84="","",IF(COUNTIF(Mots!A:A,Liens!H84)&gt;0,"✓ "&amp;Liens!H84,"✗ "&amp;Liens!H84&amp;" (introuvable)"))</f>
        <v/>
      </c>
    </row>
    <row r="90" spans="1:9" x14ac:dyDescent="0.3">
      <c r="A90">
        <v>85</v>
      </c>
      <c r="B90" s="35" t="str">
        <f>IF(Liens!A85="","",IF(COUNTIF(Mots!A:A,Liens!A85)&gt;0,"✓ "&amp;Liens!A85,"✗ "&amp;Liens!A85&amp;" (introuvable)"))</f>
        <v>✓ autour</v>
      </c>
      <c r="C90" s="35" t="str">
        <f>IF(Liens!B85="","",IF(COUNTIF(Mots!A:A,Liens!B85)&gt;0,"✓ "&amp;Liens!B85,"✗ "&amp;Liens!B85&amp;" (introuvable)"))</f>
        <v>✓ cote</v>
      </c>
      <c r="D90" s="35" t="str">
        <f>IF(Liens!C85="","",IF(COUNTIF(Mots!A:A,Liens!C85)&gt;0,"✓ "&amp;Liens!C85,"✗ "&amp;Liens!C85&amp;" (introuvable)"))</f>
        <v/>
      </c>
      <c r="E90" s="35" t="str">
        <f>IF(Liens!D85="","",IF(COUNTIF(Mots!A:A,Liens!D85)&gt;0,"✓ "&amp;Liens!D85,"✗ "&amp;Liens!D85&amp;" (introuvable)"))</f>
        <v/>
      </c>
      <c r="F90" s="35" t="str">
        <f>IF(Liens!E85="","",IF(COUNTIF(Mots!A:A,Liens!E85)&gt;0,"✓ "&amp;Liens!E85,"✗ "&amp;Liens!E85&amp;" (introuvable)"))</f>
        <v/>
      </c>
      <c r="G90" s="35" t="str">
        <f>IF(Liens!F85="","",IF(COUNTIF(Mots!A:A,Liens!F85)&gt;0,"✓ "&amp;Liens!F85,"✗ "&amp;Liens!F85&amp;" (introuvable)"))</f>
        <v/>
      </c>
      <c r="H90" s="35" t="str">
        <f>IF(Liens!G85="","",IF(COUNTIF(Mots!A:A,Liens!G85)&gt;0,"✓ "&amp;Liens!G85,"✗ "&amp;Liens!G85&amp;" (introuvable)"))</f>
        <v/>
      </c>
      <c r="I90" s="35" t="str">
        <f>IF(Liens!H85="","",IF(COUNTIF(Mots!A:A,Liens!H85)&gt;0,"✓ "&amp;Liens!H85,"✗ "&amp;Liens!H85&amp;" (introuvable)"))</f>
        <v/>
      </c>
    </row>
    <row r="91" spans="1:9" x14ac:dyDescent="0.3">
      <c r="A91">
        <v>86</v>
      </c>
      <c r="B91" s="35" t="str">
        <f>IF(Liens!A86="","",IF(COUNTIF(Mots!A:A,Liens!A86)&gt;0,"✓ "&amp;Liens!A86,"✗ "&amp;Liens!A86&amp;" (introuvable)"))</f>
        <v>✓ aventure</v>
      </c>
      <c r="C91" s="35" t="str">
        <f>IF(Liens!B86="","",IF(COUNTIF(Mots!A:A,Liens!B86)&gt;0,"✓ "&amp;Liens!B86,"✗ "&amp;Liens!B86&amp;" (introuvable)"))</f>
        <v>✓ emotion</v>
      </c>
      <c r="D91" s="35" t="str">
        <f>IF(Liens!C86="","",IF(COUNTIF(Mots!A:A,Liens!C86)&gt;0,"✓ "&amp;Liens!C86,"✗ "&amp;Liens!C86&amp;" (introuvable)"))</f>
        <v>✓ sensation</v>
      </c>
      <c r="E91" s="35" t="str">
        <f>IF(Liens!D86="","",IF(COUNTIF(Mots!A:A,Liens!D86)&gt;0,"✓ "&amp;Liens!D86,"✗ "&amp;Liens!D86&amp;" (introuvable)"))</f>
        <v>✓ randonnee</v>
      </c>
      <c r="F91" s="35" t="str">
        <f>IF(Liens!E86="","",IF(COUNTIF(Mots!A:A,Liens!E86)&gt;0,"✓ "&amp;Liens!E86,"✗ "&amp;Liens!E86&amp;" (introuvable)"))</f>
        <v>✓ voyage</v>
      </c>
      <c r="G91" s="35" t="str">
        <f>IF(Liens!F86="","",IF(COUNTIF(Mots!A:A,Liens!F86)&gt;0,"✓ "&amp;Liens!F86,"✗ "&amp;Liens!F86&amp;" (introuvable)"))</f>
        <v>✓ vacances</v>
      </c>
      <c r="H91" s="35" t="str">
        <f>IF(Liens!G86="","",IF(COUNTIF(Mots!A:A,Liens!G86)&gt;0,"✓ "&amp;Liens!G86,"✗ "&amp;Liens!G86&amp;" (introuvable)"))</f>
        <v>✓ danger</v>
      </c>
      <c r="I91" s="35" t="str">
        <f>IF(Liens!H86="","",IF(COUNTIF(Mots!A:A,Liens!H86)&gt;0,"✓ "&amp;Liens!H86,"✗ "&amp;Liens!H86&amp;" (introuvable)"))</f>
        <v/>
      </c>
    </row>
    <row r="92" spans="1:9" x14ac:dyDescent="0.3">
      <c r="A92">
        <v>87</v>
      </c>
      <c r="B92" s="35" t="str">
        <f>IF(Liens!A87="","",IF(COUNTIF(Mots!A:A,Liens!A87)&gt;0,"✓ "&amp;Liens!A87,"✗ "&amp;Liens!A87&amp;" (introuvable)"))</f>
        <v>✓ avion</v>
      </c>
      <c r="C92" s="35" t="str">
        <f>IF(Liens!B87="","",IF(COUNTIF(Mots!A:A,Liens!B87)&gt;0,"✓ "&amp;Liens!B87,"✗ "&amp;Liens!B87&amp;" (introuvable)"))</f>
        <v>✓ aeroport</v>
      </c>
      <c r="D92" s="35" t="str">
        <f>IF(Liens!C87="","",IF(COUNTIF(Mots!A:A,Liens!C87)&gt;0,"✓ "&amp;Liens!C87,"✗ "&amp;Liens!C87&amp;" (introuvable)"))</f>
        <v>✓ v_voler</v>
      </c>
      <c r="E92" s="35" t="str">
        <f>IF(Liens!D87="","",IF(COUNTIF(Mots!A:A,Liens!D87)&gt;0,"✓ "&amp;Liens!D87,"✗ "&amp;Liens!D87&amp;" (introuvable)"))</f>
        <v>✓ valise</v>
      </c>
      <c r="F92" s="35" t="str">
        <f>IF(Liens!E87="","",IF(COUNTIF(Mots!A:A,Liens!E87)&gt;0,"✓ "&amp;Liens!E87,"✗ "&amp;Liens!E87&amp;" (introuvable)"))</f>
        <v>✓ vacances</v>
      </c>
      <c r="G92" s="35" t="str">
        <f>IF(Liens!F87="","",IF(COUNTIF(Mots!A:A,Liens!F87)&gt;0,"✓ "&amp;Liens!F87,"✗ "&amp;Liens!F87&amp;" (introuvable)"))</f>
        <v>✓ v_aller</v>
      </c>
      <c r="H92" s="35" t="str">
        <f>IF(Liens!G87="","",IF(COUNTIF(Mots!A:A,Liens!G87)&gt;0,"✓ "&amp;Liens!G87,"✗ "&amp;Liens!G87&amp;" (introuvable)"))</f>
        <v/>
      </c>
      <c r="I92" s="35" t="str">
        <f>IF(Liens!H87="","",IF(COUNTIF(Mots!A:A,Liens!H87)&gt;0,"✓ "&amp;Liens!H87,"✗ "&amp;Liens!H87&amp;" (introuvable)"))</f>
        <v/>
      </c>
    </row>
    <row r="93" spans="1:9" x14ac:dyDescent="0.3">
      <c r="A93">
        <v>88</v>
      </c>
      <c r="B93" s="35" t="str">
        <f>IF(Liens!A88="","",IF(COUNTIF(Mots!A:A,Liens!A88)&gt;0,"✓ "&amp;Liens!A88,"✗ "&amp;Liens!A88&amp;" (introuvable)"))</f>
        <v>✓ avis</v>
      </c>
      <c r="C93" s="35" t="str">
        <f>IF(Liens!B88="","",IF(COUNTIF(Mots!A:A,Liens!B88)&gt;0,"✓ "&amp;Liens!B88,"✗ "&amp;Liens!B88&amp;" (introuvable)"))</f>
        <v>✓ idee</v>
      </c>
      <c r="D93" s="35" t="str">
        <f>IF(Liens!C88="","",IF(COUNTIF(Mots!A:A,Liens!C88)&gt;0,"✓ "&amp;Liens!C88,"✗ "&amp;Liens!C88&amp;" (introuvable)"))</f>
        <v>✓ pensee</v>
      </c>
      <c r="E93" s="35" t="str">
        <f>IF(Liens!D88="","",IF(COUNTIF(Mots!A:A,Liens!D88)&gt;0,"✓ "&amp;Liens!D88,"✗ "&amp;Liens!D88&amp;" (introuvable)"))</f>
        <v>✓ v_dire</v>
      </c>
      <c r="F93" s="35" t="str">
        <f>IF(Liens!E88="","",IF(COUNTIF(Mots!A:A,Liens!E88)&gt;0,"✓ "&amp;Liens!E88,"✗ "&amp;Liens!E88&amp;" (introuvable)"))</f>
        <v>✓ v_parler</v>
      </c>
      <c r="G93" s="35" t="str">
        <f>IF(Liens!F88="","",IF(COUNTIF(Mots!A:A,Liens!F88)&gt;0,"✓ "&amp;Liens!F88,"✗ "&amp;Liens!F88&amp;" (introuvable)"))</f>
        <v>✓ personne</v>
      </c>
      <c r="H93" s="35" t="str">
        <f>IF(Liens!G88="","",IF(COUNTIF(Mots!A:A,Liens!G88)&gt;0,"✓ "&amp;Liens!G88,"✗ "&amp;Liens!G88&amp;" (introuvable)"))</f>
        <v>✓ tete</v>
      </c>
      <c r="I93" s="35" t="str">
        <f>IF(Liens!H88="","",IF(COUNTIF(Mots!A:A,Liens!H88)&gt;0,"✓ "&amp;Liens!H88,"✗ "&amp;Liens!H88&amp;" (introuvable)"))</f>
        <v>✓ cerveau</v>
      </c>
    </row>
    <row r="94" spans="1:9" x14ac:dyDescent="0.3">
      <c r="A94">
        <v>89</v>
      </c>
      <c r="B94" s="35" t="str">
        <f>IF(Liens!A89="","",IF(COUNTIF(Mots!A:A,Liens!A89)&gt;0,"✓ "&amp;Liens!A89,"✗ "&amp;Liens!A89&amp;" (introuvable)"))</f>
        <v>✓ bagage</v>
      </c>
      <c r="C94" s="35" t="str">
        <f>IF(Liens!B89="","",IF(COUNTIF(Mots!A:A,Liens!B89)&gt;0,"✓ "&amp;Liens!B89,"✗ "&amp;Liens!B89&amp;" (introuvable)"))</f>
        <v>✓ valise</v>
      </c>
      <c r="D94" s="35" t="str">
        <f>IF(Liens!C89="","",IF(COUNTIF(Mots!A:A,Liens!C89)&gt;0,"✓ "&amp;Liens!C89,"✗ "&amp;Liens!C89&amp;" (introuvable)"))</f>
        <v>✓ habit</v>
      </c>
      <c r="E94" s="35" t="str">
        <f>IF(Liens!D89="","",IF(COUNTIF(Mots!A:A,Liens!D89)&gt;0,"✓ "&amp;Liens!D89,"✗ "&amp;Liens!D89&amp;" (introuvable)"))</f>
        <v>✓ vetement</v>
      </c>
      <c r="F94" s="35" t="str">
        <f>IF(Liens!E89="","",IF(COUNTIF(Mots!A:A,Liens!E89)&gt;0,"✓ "&amp;Liens!E89,"✗ "&amp;Liens!E89&amp;" (introuvable)"))</f>
        <v>✓ vacances</v>
      </c>
      <c r="G94" s="35" t="str">
        <f>IF(Liens!F89="","",IF(COUNTIF(Mots!A:A,Liens!F89)&gt;0,"✓ "&amp;Liens!F89,"✗ "&amp;Liens!F89&amp;" (introuvable)"))</f>
        <v>✓ avion</v>
      </c>
      <c r="H94" s="35" t="str">
        <f>IF(Liens!G89="","",IF(COUNTIF(Mots!A:A,Liens!G89)&gt;0,"✓ "&amp;Liens!G89,"✗ "&amp;Liens!G89&amp;" (introuvable)"))</f>
        <v>✓ aeroport</v>
      </c>
      <c r="I94" s="35" t="str">
        <f>IF(Liens!H89="","",IF(COUNTIF(Mots!A:A,Liens!H89)&gt;0,"✓ "&amp;Liens!H89,"✗ "&amp;Liens!H89&amp;" (introuvable)"))</f>
        <v>✓ voyage</v>
      </c>
    </row>
    <row r="95" spans="1:9" x14ac:dyDescent="0.3">
      <c r="A95">
        <v>90</v>
      </c>
      <c r="B95" s="35" t="str">
        <f>IF(Liens!A90="","",IF(COUNTIF(Mots!A:A,Liens!A90)&gt;0,"✓ "&amp;Liens!A90,"✗ "&amp;Liens!A90&amp;" (introuvable)"))</f>
        <v>✓ bagarre</v>
      </c>
      <c r="C95" s="35" t="str">
        <f>IF(Liens!B90="","",IF(COUNTIF(Mots!A:A,Liens!B90)&gt;0,"✓ "&amp;Liens!B90,"✗ "&amp;Liens!B90&amp;" (introuvable)"))</f>
        <v>✓ dispute</v>
      </c>
      <c r="D95" s="35" t="str">
        <f>IF(Liens!C90="","",IF(COUNTIF(Mots!A:A,Liens!C90)&gt;0,"✓ "&amp;Liens!C90,"✗ "&amp;Liens!C90&amp;" (introuvable)"))</f>
        <v>✓ combat</v>
      </c>
      <c r="E95" s="35" t="str">
        <f>IF(Liens!D90="","",IF(COUNTIF(Mots!A:A,Liens!D90)&gt;0,"✓ "&amp;Liens!D90,"✗ "&amp;Liens!D90&amp;" (introuvable)"))</f>
        <v>✓ v_frapper</v>
      </c>
      <c r="F95" s="35" t="str">
        <f>IF(Liens!E90="","",IF(COUNTIF(Mots!A:A,Liens!E90)&gt;0,"✓ "&amp;Liens!E90,"✗ "&amp;Liens!E90&amp;" (introuvable)"))</f>
        <v>✓ dangereux</v>
      </c>
      <c r="G95" s="35" t="str">
        <f>IF(Liens!F90="","",IF(COUNTIF(Mots!A:A,Liens!F90)&gt;0,"✓ "&amp;Liens!F90,"✗ "&amp;Liens!F90&amp;" (introuvable)"))</f>
        <v>✓ blessure</v>
      </c>
      <c r="H95" s="35" t="str">
        <f>IF(Liens!G90="","",IF(COUNTIF(Mots!A:A,Liens!G90)&gt;0,"✓ "&amp;Liens!G90,"✗ "&amp;Liens!G90&amp;" (introuvable)"))</f>
        <v>✓ policier</v>
      </c>
      <c r="I95" s="35" t="str">
        <f>IF(Liens!H90="","",IF(COUNTIF(Mots!A:A,Liens!H90)&gt;0,"✓ "&amp;Liens!H90,"✗ "&amp;Liens!H90&amp;" (introuvable)"))</f>
        <v>✓ v_soigner</v>
      </c>
    </row>
    <row r="96" spans="1:9" x14ac:dyDescent="0.3">
      <c r="A96">
        <v>91</v>
      </c>
      <c r="B96" s="35" t="str">
        <f>IF(Liens!A91="","",IF(COUNTIF(Mots!A:A,Liens!A91)&gt;0,"✓ "&amp;Liens!A91,"✗ "&amp;Liens!A91&amp;" (introuvable)"))</f>
        <v>✓ baguette</v>
      </c>
      <c r="C96" s="35" t="str">
        <f>IF(Liens!B91="","",IF(COUNTIF(Mots!A:A,Liens!B91)&gt;0,"✓ "&amp;Liens!B91,"✗ "&amp;Liens!B91&amp;" (introuvable)"))</f>
        <v>✓ directeur</v>
      </c>
      <c r="D96" s="35" t="str">
        <f>IF(Liens!C91="","",IF(COUNTIF(Mots!A:A,Liens!C91)&gt;0,"✓ "&amp;Liens!C91,"✗ "&amp;Liens!C91&amp;" (introuvable)"))</f>
        <v>✓ tambour</v>
      </c>
      <c r="E96" s="35" t="str">
        <f>IF(Liens!D91="","",IF(COUNTIF(Mots!A:A,Liens!D91)&gt;0,"✓ "&amp;Liens!D91,"✗ "&amp;Liens!D91&amp;" (introuvable)"))</f>
        <v>✓ v_jouer</v>
      </c>
      <c r="F96" s="35" t="str">
        <f>IF(Liens!E91="","",IF(COUNTIF(Mots!A:A,Liens!E91)&gt;0,"✓ "&amp;Liens!E91,"✗ "&amp;Liens!E91&amp;" (introuvable)"))</f>
        <v>✓ rythme</v>
      </c>
      <c r="G96" s="35" t="str">
        <f>IF(Liens!F91="","",IF(COUNTIF(Mots!A:A,Liens!F91)&gt;0,"✓ "&amp;Liens!F91,"✗ "&amp;Liens!F91&amp;" (introuvable)"))</f>
        <v>✓ ensemble</v>
      </c>
      <c r="H96" s="35" t="str">
        <f>IF(Liens!G91="","",IF(COUNTIF(Mots!A:A,Liens!G91)&gt;0,"✓ "&amp;Liens!G91,"✗ "&amp;Liens!G91&amp;" (introuvable)"))</f>
        <v>✓ harmonie</v>
      </c>
      <c r="I96" s="35" t="str">
        <f>IF(Liens!H91="","",IF(COUNTIF(Mots!A:A,Liens!H91)&gt;0,"✓ "&amp;Liens!H91,"✗ "&amp;Liens!H91&amp;" (introuvable)"))</f>
        <v>✓ portee_et_mesures</v>
      </c>
    </row>
    <row r="97" spans="1:9" x14ac:dyDescent="0.3">
      <c r="A97">
        <v>92</v>
      </c>
      <c r="B97" s="35" t="str">
        <f>IF(Liens!A92="","",IF(COUNTIF(Mots!A:A,Liens!A92)&gt;0,"✓ "&amp;Liens!A92,"✗ "&amp;Liens!A92&amp;" (introuvable)"))</f>
        <v>✓ baignoire</v>
      </c>
      <c r="C97" s="35" t="str">
        <f>IF(Liens!B92="","",IF(COUNTIF(Mots!A:A,Liens!B92)&gt;0,"✓ "&amp;Liens!B92,"✗ "&amp;Liens!B92&amp;" (introuvable)"))</f>
        <v>✓ salle_de_bain</v>
      </c>
      <c r="D97" s="35" t="str">
        <f>IF(Liens!C92="","",IF(COUNTIF(Mots!A:A,Liens!C92)&gt;0,"✓ "&amp;Liens!C92,"✗ "&amp;Liens!C92&amp;" (introuvable)"))</f>
        <v>✓ eau</v>
      </c>
      <c r="E97" s="35" t="str">
        <f>IF(Liens!D92="","",IF(COUNTIF(Mots!A:A,Liens!D92)&gt;0,"✓ "&amp;Liens!D92,"✗ "&amp;Liens!D92&amp;" (introuvable)"))</f>
        <v>✓ bain</v>
      </c>
      <c r="F97" s="35" t="str">
        <f>IF(Liens!E92="","",IF(COUNTIF(Mots!A:A,Liens!E92)&gt;0,"✓ "&amp;Liens!E92,"✗ "&amp;Liens!E92&amp;" (introuvable)"))</f>
        <v>✓ v_laver</v>
      </c>
      <c r="G97" s="35" t="str">
        <f>IF(Liens!F92="","",IF(COUNTIF(Mots!A:A,Liens!F92)&gt;0,"✓ "&amp;Liens!F92,"✗ "&amp;Liens!F92&amp;" (introuvable)"))</f>
        <v>✓ serviette</v>
      </c>
      <c r="H97" s="35" t="str">
        <f>IF(Liens!G92="","",IF(COUNTIF(Mots!A:A,Liens!G92)&gt;0,"✓ "&amp;Liens!G92,"✗ "&amp;Liens!G92&amp;" (introuvable)"))</f>
        <v>✓ v_essuyer</v>
      </c>
      <c r="I97" s="35" t="str">
        <f>IF(Liens!H92="","",IF(COUNTIF(Mots!A:A,Liens!H92)&gt;0,"✓ "&amp;Liens!H92,"✗ "&amp;Liens!H92&amp;" (introuvable)"))</f>
        <v>✓ savon</v>
      </c>
    </row>
    <row r="98" spans="1:9" x14ac:dyDescent="0.3">
      <c r="A98">
        <v>93</v>
      </c>
      <c r="B98" s="35" t="str">
        <f>IF(Liens!A93="","",IF(COUNTIF(Mots!A:A,Liens!A93)&gt;0,"✓ "&amp;Liens!A93,"✗ "&amp;Liens!A93&amp;" (introuvable)"))</f>
        <v>✓ bain</v>
      </c>
      <c r="C98" s="35" t="str">
        <f>IF(Liens!B93="","",IF(COUNTIF(Mots!A:A,Liens!B93)&gt;0,"✓ "&amp;Liens!B93,"✗ "&amp;Liens!B93&amp;" (introuvable)"))</f>
        <v>✓ salle_de_bain</v>
      </c>
      <c r="D98" s="35" t="str">
        <f>IF(Liens!C93="","",IF(COUNTIF(Mots!A:A,Liens!C93)&gt;0,"✓ "&amp;Liens!C93,"✗ "&amp;Liens!C93&amp;" (introuvable)"))</f>
        <v>✓ baignoire</v>
      </c>
      <c r="E98" s="35" t="str">
        <f>IF(Liens!D93="","",IF(COUNTIF(Mots!A:A,Liens!D93)&gt;0,"✓ "&amp;Liens!D93,"✗ "&amp;Liens!D93&amp;" (introuvable)"))</f>
        <v>✓ eau</v>
      </c>
      <c r="F98" s="35" t="str">
        <f>IF(Liens!E93="","",IF(COUNTIF(Mots!A:A,Liens!E93)&gt;0,"✓ "&amp;Liens!E93,"✗ "&amp;Liens!E93&amp;" (introuvable)"))</f>
        <v>✓ produit_de_douche</v>
      </c>
      <c r="G98" s="35" t="str">
        <f>IF(Liens!F93="","",IF(COUNTIF(Mots!A:A,Liens!F93)&gt;0,"✓ "&amp;Liens!F93,"✗ "&amp;Liens!F93&amp;" (introuvable)"))</f>
        <v>✓ v_laver</v>
      </c>
      <c r="H98" s="35" t="str">
        <f>IF(Liens!G93="","",IF(COUNTIF(Mots!A:A,Liens!G93)&gt;0,"✓ "&amp;Liens!G93,"✗ "&amp;Liens!G93&amp;" (introuvable)"))</f>
        <v>✓ serviette</v>
      </c>
      <c r="I98" s="35" t="str">
        <f>IF(Liens!H93="","",IF(COUNTIF(Mots!A:A,Liens!H93)&gt;0,"✓ "&amp;Liens!H93,"✗ "&amp;Liens!H93&amp;" (introuvable)"))</f>
        <v/>
      </c>
    </row>
    <row r="99" spans="1:9" x14ac:dyDescent="0.3">
      <c r="A99">
        <v>94</v>
      </c>
      <c r="B99" s="35" t="str">
        <f>IF(Liens!A94="","",IF(COUNTIF(Mots!A:A,Liens!A94)&gt;0,"✓ "&amp;Liens!A94,"✗ "&amp;Liens!A94&amp;" (introuvable)"))</f>
        <v>✓ balai</v>
      </c>
      <c r="C99" s="35" t="str">
        <f>IF(Liens!B94="","",IF(COUNTIF(Mots!A:A,Liens!B94)&gt;0,"✓ "&amp;Liens!B94,"✗ "&amp;Liens!B94&amp;" (introuvable)"))</f>
        <v>✓ maison</v>
      </c>
      <c r="D99" s="35" t="str">
        <f>IF(Liens!C94="","",IF(COUNTIF(Mots!A:A,Liens!C94)&gt;0,"✓ "&amp;Liens!C94,"✗ "&amp;Liens!C94&amp;" (introuvable)"))</f>
        <v>✓ v_nettoyer</v>
      </c>
      <c r="E99" s="35" t="str">
        <f>IF(Liens!D94="","",IF(COUNTIF(Mots!A:A,Liens!D94)&gt;0,"✓ "&amp;Liens!D94,"✗ "&amp;Liens!D94&amp;" (introuvable)"))</f>
        <v>✓ sol</v>
      </c>
      <c r="F99" s="35" t="str">
        <f>IF(Liens!E94="","",IF(COUNTIF(Mots!A:A,Liens!E94)&gt;0,"✓ "&amp;Liens!E94,"✗ "&amp;Liens!E94&amp;" (introuvable)"))</f>
        <v>✓ manche</v>
      </c>
      <c r="G99" s="35" t="str">
        <f>IF(Liens!F94="","",IF(COUNTIF(Mots!A:A,Liens!F94)&gt;0,"✓ "&amp;Liens!F94,"✗ "&amp;Liens!F94&amp;" (introuvable)"))</f>
        <v>✓ v_recurrer</v>
      </c>
      <c r="H99" s="35" t="str">
        <f>IF(Liens!G94="","",IF(COUNTIF(Mots!A:A,Liens!G94)&gt;0,"✓ "&amp;Liens!G94,"✗ "&amp;Liens!G94&amp;" (introuvable)"))</f>
        <v>✓ materiel_recurrer</v>
      </c>
      <c r="I99" s="35" t="str">
        <f>IF(Liens!H94="","",IF(COUNTIF(Mots!A:A,Liens!H94)&gt;0,"✓ "&amp;Liens!H94,"✗ "&amp;Liens!H94&amp;" (introuvable)"))</f>
        <v/>
      </c>
    </row>
    <row r="100" spans="1:9" x14ac:dyDescent="0.3">
      <c r="A100">
        <v>95</v>
      </c>
      <c r="B100" s="35" t="str">
        <f>IF(Liens!A95="","",IF(COUNTIF(Mots!A:A,Liens!A95)&gt;0,"✓ "&amp;Liens!A95,"✗ "&amp;Liens!A95&amp;" (introuvable)"))</f>
        <v>✓ balance</v>
      </c>
      <c r="C100" s="35" t="str">
        <f>IF(Liens!B95="","",IF(COUNTIF(Mots!A:A,Liens!B95)&gt;0,"✓ "&amp;Liens!B95,"✗ "&amp;Liens!B95&amp;" (introuvable)"))</f>
        <v/>
      </c>
      <c r="D100" s="35" t="str">
        <f>IF(Liens!C95="","",IF(COUNTIF(Mots!A:A,Liens!C95)&gt;0,"✓ "&amp;Liens!C95,"✗ "&amp;Liens!C95&amp;" (introuvable)"))</f>
        <v/>
      </c>
      <c r="E100" s="35" t="str">
        <f>IF(Liens!D95="","",IF(COUNTIF(Mots!A:A,Liens!D95)&gt;0,"✓ "&amp;Liens!D95,"✗ "&amp;Liens!D95&amp;" (introuvable)"))</f>
        <v/>
      </c>
      <c r="F100" s="35" t="str">
        <f>IF(Liens!E95="","",IF(COUNTIF(Mots!A:A,Liens!E95)&gt;0,"✓ "&amp;Liens!E95,"✗ "&amp;Liens!E95&amp;" (introuvable)"))</f>
        <v/>
      </c>
      <c r="G100" s="35" t="str">
        <f>IF(Liens!F95="","",IF(COUNTIF(Mots!A:A,Liens!F95)&gt;0,"✓ "&amp;Liens!F95,"✗ "&amp;Liens!F95&amp;" (introuvable)"))</f>
        <v/>
      </c>
      <c r="H100" s="35" t="str">
        <f>IF(Liens!G95="","",IF(COUNTIF(Mots!A:A,Liens!G95)&gt;0,"✓ "&amp;Liens!G95,"✗ "&amp;Liens!G95&amp;" (introuvable)"))</f>
        <v/>
      </c>
      <c r="I100" s="35" t="str">
        <f>IF(Liens!H95="","",IF(COUNTIF(Mots!A:A,Liens!H95)&gt;0,"✓ "&amp;Liens!H95,"✗ "&amp;Liens!H95&amp;" (introuvable)"))</f>
        <v/>
      </c>
    </row>
    <row r="101" spans="1:9" x14ac:dyDescent="0.3">
      <c r="A101">
        <v>96</v>
      </c>
      <c r="B101" s="35" t="str">
        <f>IF(Liens!A96="","",IF(COUNTIF(Mots!A:A,Liens!A96)&gt;0,"✓ "&amp;Liens!A96,"✗ "&amp;Liens!A96&amp;" (introuvable)"))</f>
        <v>✓ balcon</v>
      </c>
      <c r="C101" s="35" t="str">
        <f>IF(Liens!B96="","",IF(COUNTIF(Mots!A:A,Liens!B96)&gt;0,"✓ "&amp;Liens!B96,"✗ "&amp;Liens!B96&amp;" (introuvable)"))</f>
        <v>✓ maison</v>
      </c>
      <c r="D101" s="35" t="str">
        <f>IF(Liens!C96="","",IF(COUNTIF(Mots!A:A,Liens!C96)&gt;0,"✓ "&amp;Liens!C96,"✗ "&amp;Liens!C96&amp;" (introuvable)"))</f>
        <v>✓ fenetre</v>
      </c>
      <c r="E101" s="35" t="str">
        <f>IF(Liens!D96="","",IF(COUNTIF(Mots!A:A,Liens!D96)&gt;0,"✓ "&amp;Liens!D96,"✗ "&amp;Liens!D96&amp;" (introuvable)"))</f>
        <v>✓ barriere</v>
      </c>
      <c r="F101" s="35" t="str">
        <f>IF(Liens!E96="","",IF(COUNTIF(Mots!A:A,Liens!E96)&gt;0,"✓ "&amp;Liens!E96,"✗ "&amp;Liens!E96&amp;" (introuvable)"))</f>
        <v>✓ air</v>
      </c>
      <c r="G101" s="35" t="str">
        <f>IF(Liens!F96="","",IF(COUNTIF(Mots!A:A,Liens!F96)&gt;0,"✓ "&amp;Liens!F96,"✗ "&amp;Liens!F96&amp;" (introuvable)"))</f>
        <v>✓ soleil</v>
      </c>
      <c r="H101" s="35" t="str">
        <f>IF(Liens!G96="","",IF(COUNTIF(Mots!A:A,Liens!G96)&gt;0,"✓ "&amp;Liens!G96,"✗ "&amp;Liens!G96&amp;" (introuvable)"))</f>
        <v>✓ ciel</v>
      </c>
      <c r="I101" s="35" t="str">
        <f>IF(Liens!H96="","",IF(COUNTIF(Mots!A:A,Liens!H96)&gt;0,"✓ "&amp;Liens!H96,"✗ "&amp;Liens!H96&amp;" (introuvable)"))</f>
        <v>✓ rideau</v>
      </c>
    </row>
    <row r="102" spans="1:9" x14ac:dyDescent="0.3">
      <c r="A102">
        <v>97</v>
      </c>
      <c r="B102" s="35" t="str">
        <f>IF(Liens!A97="","",IF(COUNTIF(Mots!A:A,Liens!A97)&gt;0,"✓ "&amp;Liens!A97,"✗ "&amp;Liens!A97&amp;" (introuvable)"))</f>
        <v>✓ balle</v>
      </c>
      <c r="C102" s="35" t="str">
        <f>IF(Liens!B97="","",IF(COUNTIF(Mots!A:A,Liens!B97)&gt;0,"✓ "&amp;Liens!B97,"✗ "&amp;Liens!B97&amp;" (introuvable)"))</f>
        <v>✓ boule</v>
      </c>
      <c r="D102" s="35" t="str">
        <f>IF(Liens!C97="","",IF(COUNTIF(Mots!A:A,Liens!C97)&gt;0,"✓ "&amp;Liens!C97,"✗ "&amp;Liens!C97&amp;" (introuvable)"))</f>
        <v>✓ v_jouer</v>
      </c>
      <c r="E102" s="35" t="str">
        <f>IF(Liens!D97="","",IF(COUNTIF(Mots!A:A,Liens!D97)&gt;0,"✓ "&amp;Liens!D97,"✗ "&amp;Liens!D97&amp;" (introuvable)"))</f>
        <v>✓ sport</v>
      </c>
      <c r="F102" s="35" t="str">
        <f>IF(Liens!E97="","",IF(COUNTIF(Mots!A:A,Liens!E97)&gt;0,"✓ "&amp;Liens!E97,"✗ "&amp;Liens!E97&amp;" (introuvable)"))</f>
        <v>✓ main</v>
      </c>
      <c r="G102" s="35" t="str">
        <f>IF(Liens!F97="","",IF(COUNTIF(Mots!A:A,Liens!F97)&gt;0,"✓ "&amp;Liens!F97,"✗ "&amp;Liens!F97&amp;" (introuvable)"))</f>
        <v>✓ pied</v>
      </c>
      <c r="H102" s="35" t="str">
        <f>IF(Liens!G97="","",IF(COUNTIF(Mots!A:A,Liens!G97)&gt;0,"✓ "&amp;Liens!G97,"✗ "&amp;Liens!G97&amp;" (introuvable)"))</f>
        <v/>
      </c>
      <c r="I102" s="35" t="str">
        <f>IF(Liens!H97="","",IF(COUNTIF(Mots!A:A,Liens!H97)&gt;0,"✓ "&amp;Liens!H97,"✗ "&amp;Liens!H97&amp;" (introuvable)"))</f>
        <v/>
      </c>
    </row>
    <row r="103" spans="1:9" x14ac:dyDescent="0.3">
      <c r="A103">
        <v>98</v>
      </c>
      <c r="B103" s="35" t="str">
        <f>IF(Liens!A98="","",IF(COUNTIF(Mots!A:A,Liens!A98)&gt;0,"✓ "&amp;Liens!A98,"✗ "&amp;Liens!A98&amp;" (introuvable)"))</f>
        <v>✓ ballon</v>
      </c>
      <c r="C103" s="35" t="str">
        <f>IF(Liens!B98="","",IF(COUNTIF(Mots!A:A,Liens!B98)&gt;0,"✓ "&amp;Liens!B98,"✗ "&amp;Liens!B98&amp;" (introuvable)"))</f>
        <v>✓ rond</v>
      </c>
      <c r="D103" s="35" t="str">
        <f>IF(Liens!C98="","",IF(COUNTIF(Mots!A:A,Liens!C98)&gt;0,"✓ "&amp;Liens!C98,"✗ "&amp;Liens!C98&amp;" (introuvable)"))</f>
        <v>✓ v_jouer</v>
      </c>
      <c r="E103" s="35" t="str">
        <f>IF(Liens!D98="","",IF(COUNTIF(Mots!A:A,Liens!D98)&gt;0,"✓ "&amp;Liens!D98,"✗ "&amp;Liens!D98&amp;" (introuvable)"))</f>
        <v>✓ sport</v>
      </c>
      <c r="F103" s="35" t="str">
        <f>IF(Liens!E98="","",IF(COUNTIF(Mots!A:A,Liens!E98)&gt;0,"✓ "&amp;Liens!E98,"✗ "&amp;Liens!E98&amp;" (introuvable)"))</f>
        <v>✓ pied</v>
      </c>
      <c r="G103" s="35" t="str">
        <f>IF(Liens!F98="","",IF(COUNTIF(Mots!A:A,Liens!F98)&gt;0,"✓ "&amp;Liens!F98,"✗ "&amp;Liens!F98&amp;" (introuvable)"))</f>
        <v>✓ but_foot</v>
      </c>
      <c r="H103" s="35" t="str">
        <f>IF(Liens!G98="","",IF(COUNTIF(Mots!A:A,Liens!G98)&gt;0,"✓ "&amp;Liens!G98,"✗ "&amp;Liens!G98&amp;" (introuvable)"))</f>
        <v>✓ stade</v>
      </c>
      <c r="I103" s="35" t="str">
        <f>IF(Liens!H98="","",IF(COUNTIF(Mots!A:A,Liens!H98)&gt;0,"✓ "&amp;Liens!H98,"✗ "&amp;Liens!H98&amp;" (introuvable)"))</f>
        <v>✓ terrain</v>
      </c>
    </row>
    <row r="104" spans="1:9" x14ac:dyDescent="0.3">
      <c r="A104">
        <v>99</v>
      </c>
      <c r="B104" s="35" t="str">
        <f>IF(Liens!A99="","",IF(COUNTIF(Mots!A:A,Liens!A99)&gt;0,"✓ "&amp;Liens!A99,"✗ "&amp;Liens!A99&amp;" (introuvable)"))</f>
        <v>✓ banane</v>
      </c>
      <c r="C104" s="35" t="str">
        <f>IF(Liens!B99="","",IF(COUNTIF(Mots!A:A,Liens!B99)&gt;0,"✓ "&amp;Liens!B99,"✗ "&amp;Liens!B99&amp;" (introuvable)"))</f>
        <v>✓ fruit</v>
      </c>
      <c r="D104" s="35" t="str">
        <f>IF(Liens!C99="","",IF(COUNTIF(Mots!A:A,Liens!C99)&gt;0,"✓ "&amp;Liens!C99,"✗ "&amp;Liens!C99&amp;" (introuvable)"))</f>
        <v>✓ c_jaune</v>
      </c>
      <c r="E104" s="35" t="str">
        <f>IF(Liens!D99="","",IF(COUNTIF(Mots!A:A,Liens!D99)&gt;0,"✓ "&amp;Liens!D99,"✗ "&amp;Liens!D99&amp;" (introuvable)"))</f>
        <v>✓ v_manger</v>
      </c>
      <c r="F104" s="35" t="str">
        <f>IF(Liens!E99="","",IF(COUNTIF(Mots!A:A,Liens!E99)&gt;0,"✓ "&amp;Liens!E99,"✗ "&amp;Liens!E99&amp;" (introuvable)"))</f>
        <v/>
      </c>
      <c r="G104" s="35" t="str">
        <f>IF(Liens!F99="","",IF(COUNTIF(Mots!A:A,Liens!F99)&gt;0,"✓ "&amp;Liens!F99,"✗ "&amp;Liens!F99&amp;" (introuvable)"))</f>
        <v/>
      </c>
      <c r="H104" s="35" t="str">
        <f>IF(Liens!G99="","",IF(COUNTIF(Mots!A:A,Liens!G99)&gt;0,"✓ "&amp;Liens!G99,"✗ "&amp;Liens!G99&amp;" (introuvable)"))</f>
        <v/>
      </c>
      <c r="I104" s="35" t="str">
        <f>IF(Liens!H99="","",IF(COUNTIF(Mots!A:A,Liens!H99)&gt;0,"✓ "&amp;Liens!H99,"✗ "&amp;Liens!H99&amp;" (introuvable)"))</f>
        <v/>
      </c>
    </row>
    <row r="105" spans="1:9" x14ac:dyDescent="0.3">
      <c r="A105">
        <v>100</v>
      </c>
      <c r="B105" s="35" t="str">
        <f>IF(Liens!A100="","",IF(COUNTIF(Mots!A:A,Liens!A100)&gt;0,"✓ "&amp;Liens!A100,"✗ "&amp;Liens!A100&amp;" (introuvable)"))</f>
        <v>✓ bandage</v>
      </c>
      <c r="C105" s="35" t="str">
        <f>IF(Liens!B100="","",IF(COUNTIF(Mots!A:A,Liens!B100)&gt;0,"✓ "&amp;Liens!B100,"✗ "&amp;Liens!B100&amp;" (introuvable)"))</f>
        <v>✓ bande</v>
      </c>
      <c r="D105" s="35" t="str">
        <f>IF(Liens!C100="","",IF(COUNTIF(Mots!A:A,Liens!C100)&gt;0,"✓ "&amp;Liens!C100,"✗ "&amp;Liens!C100&amp;" (introuvable)"))</f>
        <v>✓ tissu</v>
      </c>
      <c r="E105" s="35" t="str">
        <f>IF(Liens!D100="","",IF(COUNTIF(Mots!A:A,Liens!D100)&gt;0,"✓ "&amp;Liens!D100,"✗ "&amp;Liens!D100&amp;" (introuvable)"))</f>
        <v>✓ blessure</v>
      </c>
      <c r="F105" s="35" t="str">
        <f>IF(Liens!E100="","",IF(COUNTIF(Mots!A:A,Liens!E100)&gt;0,"✓ "&amp;Liens!E100,"✗ "&amp;Liens!E100&amp;" (introuvable)"))</f>
        <v>✓ infirmier</v>
      </c>
      <c r="G105" s="35" t="str">
        <f>IF(Liens!F100="","",IF(COUNTIF(Mots!A:A,Liens!F100)&gt;0,"✓ "&amp;Liens!F100,"✗ "&amp;Liens!F100&amp;" (introuvable)"))</f>
        <v>✓ v_soigner</v>
      </c>
      <c r="H105" s="35" t="str">
        <f>IF(Liens!G100="","",IF(COUNTIF(Mots!A:A,Liens!G100)&gt;0,"✓ "&amp;Liens!G100,"✗ "&amp;Liens!G100&amp;" (introuvable)"))</f>
        <v/>
      </c>
      <c r="I105" s="35" t="str">
        <f>IF(Liens!H100="","",IF(COUNTIF(Mots!A:A,Liens!H100)&gt;0,"✓ "&amp;Liens!H100,"✗ "&amp;Liens!H100&amp;" (introuvable)"))</f>
        <v/>
      </c>
    </row>
    <row r="106" spans="1:9" x14ac:dyDescent="0.3">
      <c r="A106">
        <v>101</v>
      </c>
      <c r="B106" s="35" t="str">
        <f>IF(Liens!A101="","",IF(COUNTIF(Mots!A:A,Liens!A101)&gt;0,"✓ "&amp;Liens!A101,"✗ "&amp;Liens!A101&amp;" (introuvable)"))</f>
        <v>✓ bande</v>
      </c>
      <c r="C106" s="35" t="str">
        <f>IF(Liens!B101="","",IF(COUNTIF(Mots!A:A,Liens!B101)&gt;0,"✓ "&amp;Liens!B101,"✗ "&amp;Liens!B101&amp;" (introuvable)"))</f>
        <v>✓ bandage</v>
      </c>
      <c r="D106" s="35" t="str">
        <f>IF(Liens!C101="","",IF(COUNTIF(Mots!A:A,Liens!C101)&gt;0,"✓ "&amp;Liens!C101,"✗ "&amp;Liens!C101&amp;" (introuvable)"))</f>
        <v>✓ tissu</v>
      </c>
      <c r="E106" s="35" t="str">
        <f>IF(Liens!D101="","",IF(COUNTIF(Mots!A:A,Liens!D101)&gt;0,"✓ "&amp;Liens!D101,"✗ "&amp;Liens!D101&amp;" (introuvable)"))</f>
        <v>✓ blessure</v>
      </c>
      <c r="F106" s="35" t="str">
        <f>IF(Liens!E101="","",IF(COUNTIF(Mots!A:A,Liens!E101)&gt;0,"✓ "&amp;Liens!E101,"✗ "&amp;Liens!E101&amp;" (introuvable)"))</f>
        <v>✓ v_soigner</v>
      </c>
      <c r="G106" s="35" t="str">
        <f>IF(Liens!F101="","",IF(COUNTIF(Mots!A:A,Liens!F101)&gt;0,"✓ "&amp;Liens!F101,"✗ "&amp;Liens!F101&amp;" (introuvable)"))</f>
        <v/>
      </c>
      <c r="H106" s="35" t="str">
        <f>IF(Liens!G101="","",IF(COUNTIF(Mots!A:A,Liens!G101)&gt;0,"✓ "&amp;Liens!G101,"✗ "&amp;Liens!G101&amp;" (introuvable)"))</f>
        <v/>
      </c>
      <c r="I106" s="35" t="str">
        <f>IF(Liens!H101="","",IF(COUNTIF(Mots!A:A,Liens!H101)&gt;0,"✓ "&amp;Liens!H101,"✗ "&amp;Liens!H101&amp;" (introuvable)"))</f>
        <v/>
      </c>
    </row>
    <row r="107" spans="1:9" x14ac:dyDescent="0.3">
      <c r="A107">
        <v>102</v>
      </c>
      <c r="B107" s="35" t="str">
        <f>IF(Liens!A102="","",IF(COUNTIF(Mots!A:A,Liens!A102)&gt;0,"✓ "&amp;Liens!A102,"✗ "&amp;Liens!A102&amp;" (introuvable)"))</f>
        <v>✓ banque</v>
      </c>
      <c r="C107" s="35" t="str">
        <f>IF(Liens!B102="","",IF(COUNTIF(Mots!A:A,Liens!B102)&gt;0,"✓ "&amp;Liens!B102,"✗ "&amp;Liens!B102&amp;" (introuvable)"))</f>
        <v>✓ carte_debit</v>
      </c>
      <c r="D107" s="35" t="str">
        <f>IF(Liens!C102="","",IF(COUNTIF(Mots!A:A,Liens!C102)&gt;0,"✓ "&amp;Liens!C102,"✗ "&amp;Liens!C102&amp;" (introuvable)"))</f>
        <v>✓ compte</v>
      </c>
      <c r="E107" s="35" t="str">
        <f>IF(Liens!D102="","",IF(COUNTIF(Mots!A:A,Liens!D102)&gt;0,"✓ "&amp;Liens!D102,"✗ "&amp;Liens!D102&amp;" (introuvable)"))</f>
        <v>✓ banque_migros</v>
      </c>
      <c r="F107" s="35" t="str">
        <f>IF(Liens!E102="","",IF(COUNTIF(Mots!A:A,Liens!E102)&gt;0,"✓ "&amp;Liens!E102,"✗ "&amp;Liens!E102&amp;" (introuvable)"))</f>
        <v>✓ banque_raiffeisen</v>
      </c>
      <c r="G107" s="35" t="str">
        <f>IF(Liens!F102="","",IF(COUNTIF(Mots!A:A,Liens!F102)&gt;0,"✓ "&amp;Liens!F102,"✗ "&amp;Liens!F102&amp;" (introuvable)"))</f>
        <v>✓ v_payer</v>
      </c>
      <c r="H107" s="35" t="str">
        <f>IF(Liens!G102="","",IF(COUNTIF(Mots!A:A,Liens!G102)&gt;0,"✓ "&amp;Liens!G102,"✗ "&amp;Liens!G102&amp;" (introuvable)"))</f>
        <v/>
      </c>
      <c r="I107" s="35" t="str">
        <f>IF(Liens!H102="","",IF(COUNTIF(Mots!A:A,Liens!H102)&gt;0,"✓ "&amp;Liens!H102,"✗ "&amp;Liens!H102&amp;" (introuvable)"))</f>
        <v/>
      </c>
    </row>
    <row r="108" spans="1:9" x14ac:dyDescent="0.3">
      <c r="A108">
        <v>103</v>
      </c>
      <c r="B108" s="35" t="str">
        <f>IF(Liens!A103="","",IF(COUNTIF(Mots!A:A,Liens!A103)&gt;0,"✓ "&amp;Liens!A103,"✗ "&amp;Liens!A103&amp;" (introuvable)"))</f>
        <v>✓ banquier</v>
      </c>
      <c r="C108" s="35" t="str">
        <f>IF(Liens!B103="","",IF(COUNTIF(Mots!A:A,Liens!B103)&gt;0,"✓ "&amp;Liens!B103,"✗ "&amp;Liens!B103&amp;" (introuvable)"))</f>
        <v>✓ personne</v>
      </c>
      <c r="D108" s="35" t="str">
        <f>IF(Liens!C103="","",IF(COUNTIF(Mots!A:A,Liens!C103)&gt;0,"✓ "&amp;Liens!C103,"✗ "&amp;Liens!C103&amp;" (introuvable)"))</f>
        <v>✓ banque</v>
      </c>
      <c r="E108" s="35" t="str">
        <f>IF(Liens!D103="","",IF(COUNTIF(Mots!A:A,Liens!D103)&gt;0,"✓ "&amp;Liens!D103,"✗ "&amp;Liens!D103&amp;" (introuvable)"))</f>
        <v>✓ carte_debit</v>
      </c>
      <c r="F108" s="35" t="str">
        <f>IF(Liens!E103="","",IF(COUNTIF(Mots!A:A,Liens!E103)&gt;0,"✓ "&amp;Liens!E103,"✗ "&amp;Liens!E103&amp;" (introuvable)"))</f>
        <v>✓ compte</v>
      </c>
      <c r="G108" s="35" t="str">
        <f>IF(Liens!F103="","",IF(COUNTIF(Mots!A:A,Liens!F103)&gt;0,"✓ "&amp;Liens!F103,"✗ "&amp;Liens!F103&amp;" (introuvable)"))</f>
        <v>✓ service</v>
      </c>
      <c r="H108" s="35" t="str">
        <f>IF(Liens!G103="","",IF(COUNTIF(Mots!A:A,Liens!G103)&gt;0,"✓ "&amp;Liens!G103,"✗ "&amp;Liens!G103&amp;" (introuvable)"))</f>
        <v>✓ banque_migros</v>
      </c>
      <c r="I108" s="35" t="str">
        <f>IF(Liens!H103="","",IF(COUNTIF(Mots!A:A,Liens!H103)&gt;0,"✓ "&amp;Liens!H103,"✗ "&amp;Liens!H103&amp;" (introuvable)"))</f>
        <v>✓ banque_raiffeisen</v>
      </c>
    </row>
    <row r="109" spans="1:9" x14ac:dyDescent="0.3">
      <c r="A109">
        <v>104</v>
      </c>
      <c r="B109" s="35" t="str">
        <f>IF(Liens!A104="","",IF(COUNTIF(Mots!A:A,Liens!A104)&gt;0,"✓ "&amp;Liens!A104,"✗ "&amp;Liens!A104&amp;" (introuvable)"))</f>
        <v>✓ barbe</v>
      </c>
      <c r="C109" s="35" t="str">
        <f>IF(Liens!B104="","",IF(COUNTIF(Mots!A:A,Liens!B104)&gt;0,"✓ "&amp;Liens!B104,"✗ "&amp;Liens!B104&amp;" (introuvable)"))</f>
        <v>✓ poil</v>
      </c>
      <c r="D109" s="35" t="str">
        <f>IF(Liens!C104="","",IF(COUNTIF(Mots!A:A,Liens!C104)&gt;0,"✓ "&amp;Liens!C104,"✗ "&amp;Liens!C104&amp;" (introuvable)"))</f>
        <v>✓ visage</v>
      </c>
      <c r="E109" s="35" t="str">
        <f>IF(Liens!D104="","",IF(COUNTIF(Mots!A:A,Liens!D104)&gt;0,"✓ "&amp;Liens!D104,"✗ "&amp;Liens!D104&amp;" (introuvable)"))</f>
        <v>✓ homme</v>
      </c>
      <c r="F109" s="35" t="str">
        <f>IF(Liens!E104="","",IF(COUNTIF(Mots!A:A,Liens!E104)&gt;0,"✓ "&amp;Liens!E104,"✗ "&amp;Liens!E104&amp;" (introuvable)"))</f>
        <v>✓ nez</v>
      </c>
      <c r="G109" s="35" t="str">
        <f>IF(Liens!F104="","",IF(COUNTIF(Mots!A:A,Liens!F104)&gt;0,"✓ "&amp;Liens!F104,"✗ "&amp;Liens!F104&amp;" (introuvable)"))</f>
        <v>✓ ciseaux</v>
      </c>
      <c r="H109" s="35" t="str">
        <f>IF(Liens!G104="","",IF(COUNTIF(Mots!A:A,Liens!G104)&gt;0,"✓ "&amp;Liens!G104,"✗ "&amp;Liens!G104&amp;" (introuvable)"))</f>
        <v/>
      </c>
      <c r="I109" s="35" t="str">
        <f>IF(Liens!H104="","",IF(COUNTIF(Mots!A:A,Liens!H104)&gt;0,"✓ "&amp;Liens!H104,"✗ "&amp;Liens!H104&amp;" (introuvable)"))</f>
        <v/>
      </c>
    </row>
    <row r="110" spans="1:9" x14ac:dyDescent="0.3">
      <c r="A110">
        <v>105</v>
      </c>
      <c r="B110" s="35" t="str">
        <f>IF(Liens!A105="","",IF(COUNTIF(Mots!A:A,Liens!A105)&gt;0,"✓ "&amp;Liens!A105,"✗ "&amp;Liens!A105&amp;" (introuvable)"))</f>
        <v>✓ barriere</v>
      </c>
      <c r="C110" s="35" t="str">
        <f>IF(Liens!B105="","",IF(COUNTIF(Mots!A:A,Liens!B105)&gt;0,"✓ "&amp;Liens!B105,"✗ "&amp;Liens!B105&amp;" (introuvable)"))</f>
        <v>✓ maison</v>
      </c>
      <c r="D110" s="35" t="str">
        <f>IF(Liens!C105="","",IF(COUNTIF(Mots!A:A,Liens!C105)&gt;0,"✓ "&amp;Liens!C105,"✗ "&amp;Liens!C105&amp;" (introuvable)"))</f>
        <v>✓ balcon</v>
      </c>
      <c r="E110" s="35" t="str">
        <f>IF(Liens!D105="","",IF(COUNTIF(Mots!A:A,Liens!D105)&gt;0,"✓ "&amp;Liens!D105,"✗ "&amp;Liens!D105&amp;" (introuvable)"))</f>
        <v>✓ ferme</v>
      </c>
      <c r="F110" s="35" t="str">
        <f>IF(Liens!E105="","",IF(COUNTIF(Mots!A:A,Liens!E105)&gt;0,"✓ "&amp;Liens!E105,"✗ "&amp;Liens!E105&amp;" (introuvable)"))</f>
        <v>✓ cloture</v>
      </c>
      <c r="G110" s="35" t="str">
        <f>IF(Liens!F105="","",IF(COUNTIF(Mots!A:A,Liens!F105)&gt;0,"✓ "&amp;Liens!F105,"✗ "&amp;Liens!F105&amp;" (introuvable)"))</f>
        <v>✓ vache</v>
      </c>
      <c r="H110" s="35" t="str">
        <f>IF(Liens!G105="","",IF(COUNTIF(Mots!A:A,Liens!G105)&gt;0,"✓ "&amp;Liens!G105,"✗ "&amp;Liens!G105&amp;" (introuvable)"))</f>
        <v>✓ cochon</v>
      </c>
      <c r="I110" s="35" t="str">
        <f>IF(Liens!H105="","",IF(COUNTIF(Mots!A:A,Liens!H105)&gt;0,"✓ "&amp;Liens!H105,"✗ "&amp;Liens!H105&amp;" (introuvable)"))</f>
        <v>✓ v_fermer</v>
      </c>
    </row>
    <row r="111" spans="1:9" x14ac:dyDescent="0.3">
      <c r="A111">
        <v>106</v>
      </c>
      <c r="B111" s="35" t="str">
        <f>IF(Liens!A106="","",IF(COUNTIF(Mots!A:A,Liens!A106)&gt;0,"✓ "&amp;Liens!A106,"✗ "&amp;Liens!A106&amp;" (introuvable)"))</f>
        <v>✓ bas</v>
      </c>
      <c r="C111" s="35" t="str">
        <f>IF(Liens!B106="","",IF(COUNTIF(Mots!A:A,Liens!B106)&gt;0,"✓ "&amp;Liens!B106,"✗ "&amp;Liens!B106&amp;" (introuvable)"))</f>
        <v>✓ pied</v>
      </c>
      <c r="D111" s="35" t="str">
        <f>IF(Liens!C106="","",IF(COUNTIF(Mots!A:A,Liens!C106)&gt;0,"✓ "&amp;Liens!C106,"✗ "&amp;Liens!C106&amp;" (introuvable)"))</f>
        <v>✓ souliers</v>
      </c>
      <c r="E111" s="35" t="str">
        <f>IF(Liens!D106="","",IF(COUNTIF(Mots!A:A,Liens!D106)&gt;0,"✓ "&amp;Liens!D106,"✗ "&amp;Liens!D106&amp;" (introuvable)"))</f>
        <v>✓ jambe</v>
      </c>
      <c r="F111" s="35" t="str">
        <f>IF(Liens!E106="","",IF(COUNTIF(Mots!A:A,Liens!E106)&gt;0,"✓ "&amp;Liens!E106,"✗ "&amp;Liens!E106&amp;" (introuvable)"))</f>
        <v>✓ v_marcher</v>
      </c>
      <c r="G111" s="35" t="str">
        <f>IF(Liens!F106="","",IF(COUNTIF(Mots!A:A,Liens!F106)&gt;0,"✓ "&amp;Liens!F106,"✗ "&amp;Liens!F106&amp;" (introuvable)"))</f>
        <v>✓ v_courir</v>
      </c>
      <c r="H111" s="35" t="str">
        <f>IF(Liens!G106="","",IF(COUNTIF(Mots!A:A,Liens!G106)&gt;0,"✓ "&amp;Liens!G106,"✗ "&amp;Liens!G106&amp;" (introuvable)"))</f>
        <v>✓ lacet</v>
      </c>
      <c r="I111" s="35" t="str">
        <f>IF(Liens!H106="","",IF(COUNTIF(Mots!A:A,Liens!H106)&gt;0,"✓ "&amp;Liens!H106,"✗ "&amp;Liens!H106&amp;" (introuvable)"))</f>
        <v/>
      </c>
    </row>
    <row r="112" spans="1:9" x14ac:dyDescent="0.3">
      <c r="A112">
        <v>107</v>
      </c>
      <c r="B112" s="35" t="str">
        <f>IF(Liens!A107="","",IF(COUNTIF(Mots!A:A,Liens!A107)&gt;0,"✓ "&amp;Liens!A107,"✗ "&amp;Liens!A107&amp;" (introuvable)"))</f>
        <v>✓ bassin</v>
      </c>
      <c r="C112" s="35" t="str">
        <f>IF(Liens!B107="","",IF(COUNTIF(Mots!A:A,Liens!B107)&gt;0,"✓ "&amp;Liens!B107,"✗ "&amp;Liens!B107&amp;" (introuvable)"))</f>
        <v>✓ recipient</v>
      </c>
      <c r="D112" s="35" t="str">
        <f>IF(Liens!C107="","",IF(COUNTIF(Mots!A:A,Liens!C107)&gt;0,"✓ "&amp;Liens!C107,"✗ "&amp;Liens!C107&amp;" (introuvable)"))</f>
        <v>✓ eau</v>
      </c>
      <c r="E112" s="35" t="str">
        <f>IF(Liens!D107="","",IF(COUNTIF(Mots!A:A,Liens!D107)&gt;0,"✓ "&amp;Liens!D107,"✗ "&amp;Liens!D107&amp;" (introuvable)"))</f>
        <v>✓ vache</v>
      </c>
      <c r="F112" s="35" t="str">
        <f>IF(Liens!E107="","",IF(COUNTIF(Mots!A:A,Liens!E107)&gt;0,"✓ "&amp;Liens!E107,"✗ "&amp;Liens!E107&amp;" (introuvable)"))</f>
        <v>✓ v_boire</v>
      </c>
      <c r="G112" s="35" t="str">
        <f>IF(Liens!F107="","",IF(COUNTIF(Mots!A:A,Liens!F107)&gt;0,"✓ "&amp;Liens!F107,"✗ "&amp;Liens!F107&amp;" (introuvable)"))</f>
        <v/>
      </c>
      <c r="H112" s="35" t="str">
        <f>IF(Liens!G107="","",IF(COUNTIF(Mots!A:A,Liens!G107)&gt;0,"✓ "&amp;Liens!G107,"✗ "&amp;Liens!G107&amp;" (introuvable)"))</f>
        <v/>
      </c>
      <c r="I112" s="35" t="str">
        <f>IF(Liens!H107="","",IF(COUNTIF(Mots!A:A,Liens!H107)&gt;0,"✓ "&amp;Liens!H107,"✗ "&amp;Liens!H107&amp;" (introuvable)"))</f>
        <v/>
      </c>
    </row>
    <row r="113" spans="1:9" x14ac:dyDescent="0.3">
      <c r="A113">
        <v>108</v>
      </c>
      <c r="B113" s="35" t="str">
        <f>IF(Liens!A108="","",IF(COUNTIF(Mots!A:A,Liens!A108)&gt;0,"✓ "&amp;Liens!A108,"✗ "&amp;Liens!A108&amp;" (introuvable)"))</f>
        <v>✓ bataille</v>
      </c>
      <c r="C113" s="35" t="str">
        <f>IF(Liens!B108="","",IF(COUNTIF(Mots!A:A,Liens!B108)&gt;0,"✓ "&amp;Liens!B108,"✗ "&amp;Liens!B108&amp;" (introuvable)"))</f>
        <v>✓ combat</v>
      </c>
      <c r="D113" s="35" t="str">
        <f>IF(Liens!C108="","",IF(COUNTIF(Mots!A:A,Liens!C108)&gt;0,"✓ "&amp;Liens!C108,"✗ "&amp;Liens!C108&amp;" (introuvable)"))</f>
        <v>✓ groupe</v>
      </c>
      <c r="E113" s="35" t="str">
        <f>IF(Liens!D108="","",IF(COUNTIF(Mots!A:A,Liens!D108)&gt;0,"✓ "&amp;Liens!D108,"✗ "&amp;Liens!D108&amp;" (introuvable)"))</f>
        <v>✓ v_frapper</v>
      </c>
      <c r="F113" s="35" t="str">
        <f>IF(Liens!E108="","",IF(COUNTIF(Mots!A:A,Liens!E108)&gt;0,"✓ "&amp;Liens!E108,"✗ "&amp;Liens!E108&amp;" (introuvable)"))</f>
        <v>✓ dangereux</v>
      </c>
      <c r="G113" s="35" t="str">
        <f>IF(Liens!F108="","",IF(COUNTIF(Mots!A:A,Liens!F108)&gt;0,"✓ "&amp;Liens!F108,"✗ "&amp;Liens!F108&amp;" (introuvable)"))</f>
        <v>✓ blessure</v>
      </c>
      <c r="H113" s="35" t="str">
        <f>IF(Liens!G108="","",IF(COUNTIF(Mots!A:A,Liens!G108)&gt;0,"✓ "&amp;Liens!G108,"✗ "&amp;Liens!G108&amp;" (introuvable)"))</f>
        <v>✓ v_soigner</v>
      </c>
      <c r="I113" s="35" t="str">
        <f>IF(Liens!H108="","",IF(COUNTIF(Mots!A:A,Liens!H108)&gt;0,"✓ "&amp;Liens!H108,"✗ "&amp;Liens!H108&amp;" (introuvable)"))</f>
        <v>✓ ambulance</v>
      </c>
    </row>
    <row r="114" spans="1:9" x14ac:dyDescent="0.3">
      <c r="A114">
        <v>109</v>
      </c>
      <c r="B114" s="35" t="str">
        <f>IF(Liens!A109="","",IF(COUNTIF(Mots!A:A,Liens!A109)&gt;0,"✓ "&amp;Liens!A109,"✗ "&amp;Liens!A109&amp;" (introuvable)"))</f>
        <v>✓ bateau</v>
      </c>
      <c r="C114" s="35" t="str">
        <f>IF(Liens!B109="","",IF(COUNTIF(Mots!A:A,Liens!B109)&gt;0,"✓ "&amp;Liens!B109,"✗ "&amp;Liens!B109&amp;" (introuvable)"))</f>
        <v>✓ mer</v>
      </c>
      <c r="D114" s="35" t="str">
        <f>IF(Liens!C109="","",IF(COUNTIF(Mots!A:A,Liens!C109)&gt;0,"✓ "&amp;Liens!C109,"✗ "&amp;Liens!C109&amp;" (introuvable)"))</f>
        <v>✓ eau</v>
      </c>
      <c r="E114" s="35" t="str">
        <f>IF(Liens!D109="","",IF(COUNTIF(Mots!A:A,Liens!D109)&gt;0,"✓ "&amp;Liens!D109,"✗ "&amp;Liens!D109&amp;" (introuvable)"))</f>
        <v>✓ vacances</v>
      </c>
      <c r="F114" s="35" t="str">
        <f>IF(Liens!E109="","",IF(COUNTIF(Mots!A:A,Liens!E109)&gt;0,"✓ "&amp;Liens!E109,"✗ "&amp;Liens!E109&amp;" (introuvable)"))</f>
        <v>✓ billet</v>
      </c>
      <c r="G114" s="35" t="str">
        <f>IF(Liens!F109="","",IF(COUNTIF(Mots!A:A,Liens!F109)&gt;0,"✓ "&amp;Liens!F109,"✗ "&amp;Liens!F109&amp;" (introuvable)"))</f>
        <v>✓ v_aller</v>
      </c>
      <c r="H114" s="35" t="str">
        <f>IF(Liens!G109="","",IF(COUNTIF(Mots!A:A,Liens!G109)&gt;0,"✓ "&amp;Liens!G109,"✗ "&amp;Liens!G109&amp;" (introuvable)"))</f>
        <v/>
      </c>
      <c r="I114" s="35" t="str">
        <f>IF(Liens!H109="","",IF(COUNTIF(Mots!A:A,Liens!H109)&gt;0,"✓ "&amp;Liens!H109,"✗ "&amp;Liens!H109&amp;" (introuvable)"))</f>
        <v/>
      </c>
    </row>
    <row r="115" spans="1:9" x14ac:dyDescent="0.3">
      <c r="A115">
        <v>110</v>
      </c>
      <c r="B115" s="35" t="str">
        <f>IF(Liens!A110="","",IF(COUNTIF(Mots!A:A,Liens!A110)&gt;0,"✓ "&amp;Liens!A110,"✗ "&amp;Liens!A110&amp;" (introuvable)"))</f>
        <v>✓ batiment</v>
      </c>
      <c r="C115" s="35" t="str">
        <f>IF(Liens!B110="","",IF(COUNTIF(Mots!A:A,Liens!B110)&gt;0,"✓ "&amp;Liens!B110,"✗ "&amp;Liens!B110&amp;" (introuvable)"))</f>
        <v>✓ construction</v>
      </c>
      <c r="D115" s="35" t="str">
        <f>IF(Liens!C110="","",IF(COUNTIF(Mots!A:A,Liens!C110)&gt;0,"✓ "&amp;Liens!C110,"✗ "&amp;Liens!C110&amp;" (introuvable)"))</f>
        <v>✓ immeuble</v>
      </c>
      <c r="E115" s="35" t="str">
        <f>IF(Liens!D110="","",IF(COUNTIF(Mots!A:A,Liens!D110)&gt;0,"✓ "&amp;Liens!D110,"✗ "&amp;Liens!D110&amp;" (introuvable)"))</f>
        <v>✓ maison</v>
      </c>
      <c r="F115" s="35" t="str">
        <f>IF(Liens!E110="","",IF(COUNTIF(Mots!A:A,Liens!E110)&gt;0,"✓ "&amp;Liens!E110,"✗ "&amp;Liens!E110&amp;" (introuvable)"))</f>
        <v>✓ chalet</v>
      </c>
      <c r="G115" s="35" t="str">
        <f>IF(Liens!F110="","",IF(COUNTIF(Mots!A:A,Liens!F110)&gt;0,"✓ "&amp;Liens!F110,"✗ "&amp;Liens!F110&amp;" (introuvable)"))</f>
        <v>✓ usine</v>
      </c>
      <c r="H115" s="35" t="str">
        <f>IF(Liens!G110="","",IF(COUNTIF(Mots!A:A,Liens!G110)&gt;0,"✓ "&amp;Liens!G110,"✗ "&amp;Liens!G110&amp;" (introuvable)"))</f>
        <v>✓ mur</v>
      </c>
      <c r="I115" s="35" t="str">
        <f>IF(Liens!H110="","",IF(COUNTIF(Mots!A:A,Liens!H110)&gt;0,"✓ "&amp;Liens!H110,"✗ "&amp;Liens!H110&amp;" (introuvable)"))</f>
        <v>✓ macon</v>
      </c>
    </row>
    <row r="116" spans="1:9" x14ac:dyDescent="0.3">
      <c r="A116">
        <v>111</v>
      </c>
      <c r="B116" s="35" t="str">
        <f>IF(Liens!A111="","",IF(COUNTIF(Mots!A:A,Liens!A111)&gt;0,"✓ "&amp;Liens!A111,"✗ "&amp;Liens!A111&amp;" (introuvable)"))</f>
        <v>✓ beaucoup</v>
      </c>
      <c r="C116" s="35" t="str">
        <f>IF(Liens!B111="","",IF(COUNTIF(Mots!A:A,Liens!B111)&gt;0,"✓ "&amp;Liens!B111,"✗ "&amp;Liens!B111&amp;" (introuvable)"))</f>
        <v>✓ quantite</v>
      </c>
      <c r="D116" s="35" t="str">
        <f>IF(Liens!C111="","",IF(COUNTIF(Mots!A:A,Liens!C111)&gt;0,"✓ "&amp;Liens!C111,"✗ "&amp;Liens!C111&amp;" (introuvable)"))</f>
        <v>✓ peu</v>
      </c>
      <c r="E116" s="35" t="str">
        <f>IF(Liens!D111="","",IF(COUNTIF(Mots!A:A,Liens!D111)&gt;0,"✓ "&amp;Liens!D111,"✗ "&amp;Liens!D111&amp;" (introuvable)"))</f>
        <v>✓ gens</v>
      </c>
      <c r="F116" s="35" t="str">
        <f>IF(Liens!E111="","",IF(COUNTIF(Mots!A:A,Liens!E111)&gt;0,"✓ "&amp;Liens!E111,"✗ "&amp;Liens!E111&amp;" (introuvable)"))</f>
        <v>✓ a_nombreux</v>
      </c>
      <c r="G116" s="35" t="str">
        <f>IF(Liens!F111="","",IF(COUNTIF(Mots!A:A,Liens!F111)&gt;0,"✓ "&amp;Liens!F111,"✗ "&amp;Liens!F111&amp;" (introuvable)"))</f>
        <v>✓ foule</v>
      </c>
      <c r="H116" s="35" t="str">
        <f>IF(Liens!G111="","",IF(COUNTIF(Mots!A:A,Liens!G111)&gt;0,"✓ "&amp;Liens!G111,"✗ "&amp;Liens!G111&amp;" (introuvable)"))</f>
        <v>✓ trop</v>
      </c>
      <c r="I116" s="35" t="str">
        <f>IF(Liens!H111="","",IF(COUNTIF(Mots!A:A,Liens!H111)&gt;0,"✓ "&amp;Liens!H111,"✗ "&amp;Liens!H111&amp;" (introuvable)"))</f>
        <v>✓ assez</v>
      </c>
    </row>
    <row r="117" spans="1:9" x14ac:dyDescent="0.3">
      <c r="A117">
        <v>112</v>
      </c>
      <c r="B117" s="35" t="str">
        <f>IF(Liens!A112="","",IF(COUNTIF(Mots!A:A,Liens!A112)&gt;0,"✓ "&amp;Liens!A112,"✗ "&amp;Liens!A112&amp;" (introuvable)"))</f>
        <v>✓ bebe</v>
      </c>
      <c r="C117" s="35" t="str">
        <f>IF(Liens!B112="","",IF(COUNTIF(Mots!A:A,Liens!B112)&gt;0,"✓ "&amp;Liens!B112,"✗ "&amp;Liens!B112&amp;" (introuvable)"))</f>
        <v>✓ famille</v>
      </c>
      <c r="D117" s="35" t="str">
        <f>IF(Liens!C112="","",IF(COUNTIF(Mots!A:A,Liens!C112)&gt;0,"✓ "&amp;Liens!C112,"✗ "&amp;Liens!C112&amp;" (introuvable)"))</f>
        <v>✓ enfants</v>
      </c>
      <c r="E117" s="35" t="str">
        <f>IF(Liens!D112="","",IF(COUNTIF(Mots!A:A,Liens!D112)&gt;0,"✓ "&amp;Liens!D112,"✗ "&amp;Liens!D112&amp;" (introuvable)"))</f>
        <v>✓ pere</v>
      </c>
      <c r="F117" s="35" t="str">
        <f>IF(Liens!E112="","",IF(COUNTIF(Mots!A:A,Liens!E112)&gt;0,"✓ "&amp;Liens!E112,"✗ "&amp;Liens!E112&amp;" (introuvable)"))</f>
        <v>✓ mere</v>
      </c>
      <c r="G117" s="35" t="str">
        <f>IF(Liens!F112="","",IF(COUNTIF(Mots!A:A,Liens!F112)&gt;0,"✓ "&amp;Liens!F112,"✗ "&amp;Liens!F112&amp;" (introuvable)"))</f>
        <v/>
      </c>
      <c r="H117" s="35" t="str">
        <f>IF(Liens!G112="","",IF(COUNTIF(Mots!A:A,Liens!G112)&gt;0,"✓ "&amp;Liens!G112,"✗ "&amp;Liens!G112&amp;" (introuvable)"))</f>
        <v/>
      </c>
      <c r="I117" s="35" t="str">
        <f>IF(Liens!H112="","",IF(COUNTIF(Mots!A:A,Liens!H112)&gt;0,"✓ "&amp;Liens!H112,"✗ "&amp;Liens!H112&amp;" (introuvable)"))</f>
        <v/>
      </c>
    </row>
    <row r="118" spans="1:9" x14ac:dyDescent="0.3">
      <c r="A118">
        <v>113</v>
      </c>
      <c r="B118" s="35" t="str">
        <f>IF(Liens!A113="","",IF(COUNTIF(Mots!A:A,Liens!A113)&gt;0,"✓ "&amp;Liens!A113,"✗ "&amp;Liens!A113&amp;" (introuvable)"))</f>
        <v>✓ besoin</v>
      </c>
      <c r="C118" s="35" t="str">
        <f>IF(Liens!B113="","",IF(COUNTIF(Mots!A:A,Liens!B113)&gt;0,"✓ "&amp;Liens!B113,"✗ "&amp;Liens!B113&amp;" (introuvable)"))</f>
        <v>✓ personne</v>
      </c>
      <c r="D118" s="35" t="str">
        <f>IF(Liens!C113="","",IF(COUNTIF(Mots!A:A,Liens!C113)&gt;0,"✓ "&amp;Liens!C113,"✗ "&amp;Liens!C113&amp;" (introuvable)"))</f>
        <v>✓ envie</v>
      </c>
      <c r="E118" s="35" t="str">
        <f>IF(Liens!D113="","",IF(COUNTIF(Mots!A:A,Liens!D113)&gt;0,"✓ "&amp;Liens!D113,"✗ "&amp;Liens!D113&amp;" (introuvable)"))</f>
        <v/>
      </c>
      <c r="F118" s="35" t="str">
        <f>IF(Liens!E113="","",IF(COUNTIF(Mots!A:A,Liens!E113)&gt;0,"✓ "&amp;Liens!E113,"✗ "&amp;Liens!E113&amp;" (introuvable)"))</f>
        <v/>
      </c>
      <c r="G118" s="35" t="str">
        <f>IF(Liens!F113="","",IF(COUNTIF(Mots!A:A,Liens!F113)&gt;0,"✓ "&amp;Liens!F113,"✗ "&amp;Liens!F113&amp;" (introuvable)"))</f>
        <v/>
      </c>
      <c r="H118" s="35" t="str">
        <f>IF(Liens!G113="","",IF(COUNTIF(Mots!A:A,Liens!G113)&gt;0,"✓ "&amp;Liens!G113,"✗ "&amp;Liens!G113&amp;" (introuvable)"))</f>
        <v/>
      </c>
      <c r="I118" s="35" t="str">
        <f>IF(Liens!H113="","",IF(COUNTIF(Mots!A:A,Liens!H113)&gt;0,"✓ "&amp;Liens!H113,"✗ "&amp;Liens!H113&amp;" (introuvable)"))</f>
        <v/>
      </c>
    </row>
    <row r="119" spans="1:9" x14ac:dyDescent="0.3">
      <c r="A119">
        <v>114</v>
      </c>
      <c r="B119" s="35" t="str">
        <f>IF(Liens!A114="","",IF(COUNTIF(Mots!A:A,Liens!A114)&gt;0,"✓ "&amp;Liens!A114,"✗ "&amp;Liens!A114&amp;" (introuvable)"))</f>
        <v>✓ beurre</v>
      </c>
      <c r="C119" s="35" t="str">
        <f>IF(Liens!B114="","",IF(COUNTIF(Mots!A:A,Liens!B114)&gt;0,"✓ "&amp;Liens!B114,"✗ "&amp;Liens!B114&amp;" (introuvable)"))</f>
        <v>✓ vache</v>
      </c>
      <c r="D119" s="35" t="str">
        <f>IF(Liens!C114="","",IF(COUNTIF(Mots!A:A,Liens!C114)&gt;0,"✓ "&amp;Liens!C114,"✗ "&amp;Liens!C114&amp;" (introuvable)"))</f>
        <v>✓ lait</v>
      </c>
      <c r="E119" s="35" t="str">
        <f>IF(Liens!D114="","",IF(COUNTIF(Mots!A:A,Liens!D114)&gt;0,"✓ "&amp;Liens!D114,"✗ "&amp;Liens!D114&amp;" (introuvable)"))</f>
        <v>✓ creme</v>
      </c>
      <c r="F119" s="35" t="str">
        <f>IF(Liens!E114="","",IF(COUNTIF(Mots!A:A,Liens!E114)&gt;0,"✓ "&amp;Liens!E114,"✗ "&amp;Liens!E114&amp;" (introuvable)"))</f>
        <v>✓ pain</v>
      </c>
      <c r="G119" s="35" t="str">
        <f>IF(Liens!F114="","",IF(COUNTIF(Mots!A:A,Liens!F114)&gt;0,"✓ "&amp;Liens!F114,"✗ "&amp;Liens!F114&amp;" (introuvable)"))</f>
        <v>✓ confiture</v>
      </c>
      <c r="H119" s="35" t="str">
        <f>IF(Liens!G114="","",IF(COUNTIF(Mots!A:A,Liens!G114)&gt;0,"✓ "&amp;Liens!G114,"✗ "&amp;Liens!G114&amp;" (introuvable)"))</f>
        <v>✓ ferme</v>
      </c>
      <c r="I119" s="35" t="str">
        <f>IF(Liens!H114="","",IF(COUNTIF(Mots!A:A,Liens!H114)&gt;0,"✓ "&amp;Liens!H114,"✗ "&amp;Liens!H114&amp;" (introuvable)"))</f>
        <v>✓ agriculteur</v>
      </c>
    </row>
    <row r="120" spans="1:9" x14ac:dyDescent="0.3">
      <c r="A120">
        <v>115</v>
      </c>
      <c r="B120" s="35" t="str">
        <f>IF(Liens!A115="","",IF(COUNTIF(Mots!A:A,Liens!A115)&gt;0,"✓ "&amp;Liens!A115,"✗ "&amp;Liens!A115&amp;" (introuvable)"))</f>
        <v>✓ bibliotheque</v>
      </c>
      <c r="C120" s="35" t="str">
        <f>IF(Liens!B115="","",IF(COUNTIF(Mots!A:A,Liens!B115)&gt;0,"✓ "&amp;Liens!B115,"✗ "&amp;Liens!B115&amp;" (introuvable)"))</f>
        <v>✓ livre</v>
      </c>
      <c r="D120" s="35" t="str">
        <f>IF(Liens!C115="","",IF(COUNTIF(Mots!A:A,Liens!C115)&gt;0,"✓ "&amp;Liens!C115,"✗ "&amp;Liens!C115&amp;" (introuvable)"))</f>
        <v>✓ v_lire</v>
      </c>
      <c r="E120" s="35" t="str">
        <f>IF(Liens!D115="","",IF(COUNTIF(Mots!A:A,Liens!D115)&gt;0,"✓ "&amp;Liens!D115,"✗ "&amp;Liens!D115&amp;" (introuvable)"))</f>
        <v>✓ silence</v>
      </c>
      <c r="F120" s="35" t="str">
        <f>IF(Liens!E115="","",IF(COUNTIF(Mots!A:A,Liens!E115)&gt;0,"✓ "&amp;Liens!E115,"✗ "&amp;Liens!E115&amp;" (introuvable)"))</f>
        <v/>
      </c>
      <c r="G120" s="35" t="str">
        <f>IF(Liens!F115="","",IF(COUNTIF(Mots!A:A,Liens!F115)&gt;0,"✓ "&amp;Liens!F115,"✗ "&amp;Liens!F115&amp;" (introuvable)"))</f>
        <v/>
      </c>
      <c r="H120" s="35" t="str">
        <f>IF(Liens!G115="","",IF(COUNTIF(Mots!A:A,Liens!G115)&gt;0,"✓ "&amp;Liens!G115,"✗ "&amp;Liens!G115&amp;" (introuvable)"))</f>
        <v/>
      </c>
      <c r="I120" s="35" t="str">
        <f>IF(Liens!H115="","",IF(COUNTIF(Mots!A:A,Liens!H115)&gt;0,"✓ "&amp;Liens!H115,"✗ "&amp;Liens!H115&amp;" (introuvable)"))</f>
        <v/>
      </c>
    </row>
    <row r="121" spans="1:9" x14ac:dyDescent="0.3">
      <c r="A121">
        <v>116</v>
      </c>
      <c r="B121" s="35" t="str">
        <f>IF(Liens!A116="","",IF(COUNTIF(Mots!A:A,Liens!A116)&gt;0,"✓ "&amp;Liens!A116,"✗ "&amp;Liens!A116&amp;" (introuvable)"))</f>
        <v>✓ bien</v>
      </c>
      <c r="C121" s="35" t="str">
        <f>IF(Liens!B116="","",IF(COUNTIF(Mots!A:A,Liens!B116)&gt;0,"✓ "&amp;Liens!B116,"✗ "&amp;Liens!B116&amp;" (introuvable)"))</f>
        <v>✓ a_mal</v>
      </c>
      <c r="D121" s="35" t="str">
        <f>IF(Liens!C116="","",IF(COUNTIF(Mots!A:A,Liens!C116)&gt;0,"✓ "&amp;Liens!C116,"✗ "&amp;Liens!C116&amp;" (introuvable)"))</f>
        <v>✓ a_heureux</v>
      </c>
      <c r="E121" s="35" t="str">
        <f>IF(Liens!D116="","",IF(COUNTIF(Mots!A:A,Liens!D116)&gt;0,"✓ "&amp;Liens!D116,"✗ "&amp;Liens!D116&amp;" (introuvable)"))</f>
        <v>✓ a_content_triste</v>
      </c>
      <c r="F121" s="35" t="str">
        <f>IF(Liens!E116="","",IF(COUNTIF(Mots!A:A,Liens!E116)&gt;0,"✓ "&amp;Liens!E116,"✗ "&amp;Liens!E116&amp;" (introuvable)"))</f>
        <v/>
      </c>
      <c r="G121" s="35" t="str">
        <f>IF(Liens!F116="","",IF(COUNTIF(Mots!A:A,Liens!F116)&gt;0,"✓ "&amp;Liens!F116,"✗ "&amp;Liens!F116&amp;" (introuvable)"))</f>
        <v/>
      </c>
      <c r="H121" s="35" t="str">
        <f>IF(Liens!G116="","",IF(COUNTIF(Mots!A:A,Liens!G116)&gt;0,"✓ "&amp;Liens!G116,"✗ "&amp;Liens!G116&amp;" (introuvable)"))</f>
        <v/>
      </c>
      <c r="I121" s="35" t="str">
        <f>IF(Liens!H116="","",IF(COUNTIF(Mots!A:A,Liens!H116)&gt;0,"✓ "&amp;Liens!H116,"✗ "&amp;Liens!H116&amp;" (introuvable)"))</f>
        <v/>
      </c>
    </row>
    <row r="122" spans="1:9" x14ac:dyDescent="0.3">
      <c r="A122">
        <v>117</v>
      </c>
      <c r="B122" s="35" t="str">
        <f>IF(Liens!A117="","",IF(COUNTIF(Mots!A:A,Liens!A117)&gt;0,"✓ "&amp;Liens!A117,"✗ "&amp;Liens!A117&amp;" (introuvable)"))</f>
        <v>✓ bientot</v>
      </c>
      <c r="C122" s="35" t="str">
        <f>IF(Liens!B117="","",IF(COUNTIF(Mots!A:A,Liens!B117)&gt;0,"✓ "&amp;Liens!B117,"✗ "&amp;Liens!B117&amp;" (introuvable)"))</f>
        <v>✓ deja</v>
      </c>
      <c r="D122" s="35" t="str">
        <f>IF(Liens!C117="","",IF(COUNTIF(Mots!A:A,Liens!C117)&gt;0,"✓ "&amp;Liens!C117,"✗ "&amp;Liens!C117&amp;" (introuvable)"))</f>
        <v>✓ encore</v>
      </c>
      <c r="E122" s="35" t="str">
        <f>IF(Liens!D117="","",IF(COUNTIF(Mots!A:A,Liens!D117)&gt;0,"✓ "&amp;Liens!D117,"✗ "&amp;Liens!D117&amp;" (introuvable)"))</f>
        <v>✓ v_partir</v>
      </c>
      <c r="F122" s="35" t="str">
        <f>IF(Liens!E117="","",IF(COUNTIF(Mots!A:A,Liens!E117)&gt;0,"✓ "&amp;Liens!E117,"✗ "&amp;Liens!E117&amp;" (introuvable)"))</f>
        <v>✓ v_aller</v>
      </c>
      <c r="G122" s="35" t="str">
        <f>IF(Liens!F117="","",IF(COUNTIF(Mots!A:A,Liens!F117)&gt;0,"✓ "&amp;Liens!F117,"✗ "&amp;Liens!F117&amp;" (introuvable)"))</f>
        <v>✓ v_manger</v>
      </c>
      <c r="H122" s="35" t="str">
        <f>IF(Liens!G117="","",IF(COUNTIF(Mots!A:A,Liens!G117)&gt;0,"✓ "&amp;Liens!G117,"✗ "&amp;Liens!G117&amp;" (introuvable)"))</f>
        <v>✓ v_boire</v>
      </c>
      <c r="I122" s="35" t="str">
        <f>IF(Liens!H117="","",IF(COUNTIF(Mots!A:A,Liens!H117)&gt;0,"✓ "&amp;Liens!H117,"✗ "&amp;Liens!H117&amp;" (introuvable)"))</f>
        <v>✓ v_finir</v>
      </c>
    </row>
    <row r="123" spans="1:9" x14ac:dyDescent="0.3">
      <c r="A123">
        <v>118</v>
      </c>
      <c r="B123" s="35" t="str">
        <f>IF(Liens!A118="","",IF(COUNTIF(Mots!A:A,Liens!A118)&gt;0,"✓ "&amp;Liens!A118,"✗ "&amp;Liens!A118&amp;" (introuvable)"))</f>
        <v>✓ billet</v>
      </c>
      <c r="C123" s="35" t="str">
        <f>IF(Liens!B118="","",IF(COUNTIF(Mots!A:A,Liens!B118)&gt;0,"✓ "&amp;Liens!B118,"✗ "&amp;Liens!B118&amp;" (introuvable)"))</f>
        <v>✓ papier</v>
      </c>
      <c r="D123" s="35" t="str">
        <f>IF(Liens!C118="","",IF(COUNTIF(Mots!A:A,Liens!C118)&gt;0,"✓ "&amp;Liens!C118,"✗ "&amp;Liens!C118&amp;" (introuvable)"))</f>
        <v>✓ train</v>
      </c>
      <c r="E123" s="35" t="str">
        <f>IF(Liens!D118="","",IF(COUNTIF(Mots!A:A,Liens!D118)&gt;0,"✓ "&amp;Liens!D118,"✗ "&amp;Liens!D118&amp;" (introuvable)"))</f>
        <v>✓ car_postal</v>
      </c>
      <c r="F123" s="35" t="str">
        <f>IF(Liens!E118="","",IF(COUNTIF(Mots!A:A,Liens!E118)&gt;0,"✓ "&amp;Liens!E118,"✗ "&amp;Liens!E118&amp;" (introuvable)"))</f>
        <v>✓ voyage</v>
      </c>
      <c r="G123" s="35" t="str">
        <f>IF(Liens!F118="","",IF(COUNTIF(Mots!A:A,Liens!F118)&gt;0,"✓ "&amp;Liens!F118,"✗ "&amp;Liens!F118&amp;" (introuvable)"))</f>
        <v/>
      </c>
      <c r="H123" s="35" t="str">
        <f>IF(Liens!G118="","",IF(COUNTIF(Mots!A:A,Liens!G118)&gt;0,"✓ "&amp;Liens!G118,"✗ "&amp;Liens!G118&amp;" (introuvable)"))</f>
        <v/>
      </c>
      <c r="I123" s="35" t="str">
        <f>IF(Liens!H118="","",IF(COUNTIF(Mots!A:A,Liens!H118)&gt;0,"✓ "&amp;Liens!H118,"✗ "&amp;Liens!H118&amp;" (introuvable)"))</f>
        <v/>
      </c>
    </row>
    <row r="124" spans="1:9" x14ac:dyDescent="0.3">
      <c r="A124">
        <v>119</v>
      </c>
      <c r="B124" s="35" t="str">
        <f>IF(Liens!A119="","",IF(COUNTIF(Mots!A:A,Liens!A119)&gt;0,"✓ "&amp;Liens!A119,"✗ "&amp;Liens!A119&amp;" (introuvable)"))</f>
        <v>✓ ble</v>
      </c>
      <c r="C124" s="35" t="str">
        <f>IF(Liens!B119="","",IF(COUNTIF(Mots!A:A,Liens!B119)&gt;0,"✓ "&amp;Liens!B119,"✗ "&amp;Liens!B119&amp;" (introuvable)"))</f>
        <v>✓ plante</v>
      </c>
      <c r="D124" s="35" t="str">
        <f>IF(Liens!C119="","",IF(COUNTIF(Mots!A:A,Liens!C119)&gt;0,"✓ "&amp;Liens!C119,"✗ "&amp;Liens!C119&amp;" (introuvable)"))</f>
        <v>✓ champ</v>
      </c>
      <c r="E124" s="35" t="str">
        <f>IF(Liens!D119="","",IF(COUNTIF(Mots!A:A,Liens!D119)&gt;0,"✓ "&amp;Liens!D119,"✗ "&amp;Liens!D119&amp;" (introuvable)"))</f>
        <v>✓ farine</v>
      </c>
      <c r="F124" s="35" t="str">
        <f>IF(Liens!E119="","",IF(COUNTIF(Mots!A:A,Liens!E119)&gt;0,"✓ "&amp;Liens!E119,"✗ "&amp;Liens!E119&amp;" (introuvable)"))</f>
        <v>✓ pain</v>
      </c>
      <c r="G124" s="35" t="str">
        <f>IF(Liens!F119="","",IF(COUNTIF(Mots!A:A,Liens!F119)&gt;0,"✓ "&amp;Liens!F119,"✗ "&amp;Liens!F119&amp;" (introuvable)"))</f>
        <v>✓ grain</v>
      </c>
      <c r="H124" s="35" t="str">
        <f>IF(Liens!G119="","",IF(COUNTIF(Mots!A:A,Liens!G119)&gt;0,"✓ "&amp;Liens!G119,"✗ "&amp;Liens!G119&amp;" (introuvable)"))</f>
        <v/>
      </c>
      <c r="I124" s="35" t="str">
        <f>IF(Liens!H119="","",IF(COUNTIF(Mots!A:A,Liens!H119)&gt;0,"✓ "&amp;Liens!H119,"✗ "&amp;Liens!H119&amp;" (introuvable)"))</f>
        <v/>
      </c>
    </row>
    <row r="125" spans="1:9" x14ac:dyDescent="0.3">
      <c r="A125">
        <v>120</v>
      </c>
      <c r="B125" s="35" t="str">
        <f>IF(Liens!A120="","",IF(COUNTIF(Mots!A:A,Liens!A120)&gt;0,"✓ "&amp;Liens!A120,"✗ "&amp;Liens!A120&amp;" (introuvable)"))</f>
        <v>✓ blessure</v>
      </c>
      <c r="C125" s="35" t="str">
        <f>IF(Liens!B120="","",IF(COUNTIF(Mots!A:A,Liens!B120)&gt;0,"✓ "&amp;Liens!B120,"✗ "&amp;Liens!B120&amp;" (introuvable)"))</f>
        <v>✓ douleur</v>
      </c>
      <c r="D125" s="35" t="str">
        <f>IF(Liens!C120="","",IF(COUNTIF(Mots!A:A,Liens!C120)&gt;0,"✓ "&amp;Liens!C120,"✗ "&amp;Liens!C120&amp;" (introuvable)"))</f>
        <v>✓ v_soigner</v>
      </c>
      <c r="E125" s="35" t="str">
        <f>IF(Liens!D120="","",IF(COUNTIF(Mots!A:A,Liens!D120)&gt;0,"✓ "&amp;Liens!D120,"✗ "&amp;Liens!D120&amp;" (introuvable)"))</f>
        <v>✓ infirmier</v>
      </c>
      <c r="F125" s="35" t="str">
        <f>IF(Liens!E120="","",IF(COUNTIF(Mots!A:A,Liens!E120)&gt;0,"✓ "&amp;Liens!E120,"✗ "&amp;Liens!E120&amp;" (introuvable)"))</f>
        <v>✓ medecin</v>
      </c>
      <c r="G125" s="35" t="str">
        <f>IF(Liens!F120="","",IF(COUNTIF(Mots!A:A,Liens!F120)&gt;0,"✓ "&amp;Liens!F120,"✗ "&amp;Liens!F120&amp;" (introuvable)"))</f>
        <v>✓ corps_humain</v>
      </c>
      <c r="H125" s="35" t="str">
        <f>IF(Liens!G120="","",IF(COUNTIF(Mots!A:A,Liens!G120)&gt;0,"✓ "&amp;Liens!G120,"✗ "&amp;Liens!G120&amp;" (introuvable)"))</f>
        <v>✓ bandage</v>
      </c>
      <c r="I125" s="35" t="str">
        <f>IF(Liens!H120="","",IF(COUNTIF(Mots!A:A,Liens!H120)&gt;0,"✓ "&amp;Liens!H120,"✗ "&amp;Liens!H120&amp;" (introuvable)"))</f>
        <v>✓ bande</v>
      </c>
    </row>
    <row r="126" spans="1:9" x14ac:dyDescent="0.3">
      <c r="A126">
        <v>121</v>
      </c>
      <c r="B126" s="35" t="str">
        <f>IF(Liens!A121="","",IF(COUNTIF(Mots!A:A,Liens!A121)&gt;0,"✓ "&amp;Liens!A121,"✗ "&amp;Liens!A121&amp;" (introuvable)"))</f>
        <v>✓ bocal</v>
      </c>
      <c r="C126" s="35" t="str">
        <f>IF(Liens!B121="","",IF(COUNTIF(Mots!A:A,Liens!B121)&gt;0,"✓ "&amp;Liens!B121,"✗ "&amp;Liens!B121&amp;" (introuvable)"))</f>
        <v>✓ recipient</v>
      </c>
      <c r="D126" s="35" t="str">
        <f>IF(Liens!C121="","",IF(COUNTIF(Mots!A:A,Liens!C121)&gt;0,"✓ "&amp;Liens!C121,"✗ "&amp;Liens!C121&amp;" (introuvable)"))</f>
        <v>✓ verre</v>
      </c>
      <c r="E126" s="35" t="str">
        <f>IF(Liens!D121="","",IF(COUNTIF(Mots!A:A,Liens!D121)&gt;0,"✓ "&amp;Liens!D121,"✗ "&amp;Liens!D121&amp;" (introuvable)"))</f>
        <v>✓ couvercle</v>
      </c>
      <c r="F126" s="35" t="str">
        <f>IF(Liens!E121="","",IF(COUNTIF(Mots!A:A,Liens!E121)&gt;0,"✓ "&amp;Liens!E121,"✗ "&amp;Liens!E121&amp;" (introuvable)"))</f>
        <v>✓ confiture</v>
      </c>
      <c r="G126" s="35" t="str">
        <f>IF(Liens!F121="","",IF(COUNTIF(Mots!A:A,Liens!F121)&gt;0,"✓ "&amp;Liens!F121,"✗ "&amp;Liens!F121&amp;" (introuvable)"))</f>
        <v>✓ cornichon</v>
      </c>
      <c r="H126" s="35" t="str">
        <f>IF(Liens!G121="","",IF(COUNTIF(Mots!A:A,Liens!G121)&gt;0,"✓ "&amp;Liens!G121,"✗ "&amp;Liens!G121&amp;" (introuvable)"))</f>
        <v/>
      </c>
      <c r="I126" s="35" t="str">
        <f>IF(Liens!H121="","",IF(COUNTIF(Mots!A:A,Liens!H121)&gt;0,"✓ "&amp;Liens!H121,"✗ "&amp;Liens!H121&amp;" (introuvable)"))</f>
        <v/>
      </c>
    </row>
    <row r="127" spans="1:9" x14ac:dyDescent="0.3">
      <c r="A127">
        <v>122</v>
      </c>
      <c r="B127" s="35" t="str">
        <f>IF(Liens!A122="","",IF(COUNTIF(Mots!A:A,Liens!A122)&gt;0,"✓ "&amp;Liens!A122,"✗ "&amp;Liens!A122&amp;" (introuvable)"))</f>
        <v>✓ bois</v>
      </c>
      <c r="C127" s="35" t="str">
        <f>IF(Liens!B122="","",IF(COUNTIF(Mots!A:A,Liens!B122)&gt;0,"✓ "&amp;Liens!B122,"✗ "&amp;Liens!B122&amp;" (introuvable)"))</f>
        <v>✓ matiere</v>
      </c>
      <c r="D127" s="35" t="str">
        <f>IF(Liens!C122="","",IF(COUNTIF(Mots!A:A,Liens!C122)&gt;0,"✓ "&amp;Liens!C122,"✗ "&amp;Liens!C122&amp;" (introuvable)"))</f>
        <v>✓ arbre</v>
      </c>
      <c r="E127" s="35" t="str">
        <f>IF(Liens!D122="","",IF(COUNTIF(Mots!A:A,Liens!D122)&gt;0,"✓ "&amp;Liens!D122,"✗ "&amp;Liens!D122&amp;" (introuvable)"))</f>
        <v>✓ tronc_arbre</v>
      </c>
      <c r="F127" s="35" t="str">
        <f>IF(Liens!E122="","",IF(COUNTIF(Mots!A:A,Liens!E122)&gt;0,"✓ "&amp;Liens!E122,"✗ "&amp;Liens!E122&amp;" (introuvable)"))</f>
        <v>✓ branche</v>
      </c>
      <c r="G127" s="35" t="str">
        <f>IF(Liens!F122="","",IF(COUNTIF(Mots!A:A,Liens!F122)&gt;0,"✓ "&amp;Liens!F122,"✗ "&amp;Liens!F122&amp;" (introuvable)"))</f>
        <v>✓ feu</v>
      </c>
      <c r="H127" s="35" t="str">
        <f>IF(Liens!G122="","",IF(COUNTIF(Mots!A:A,Liens!G122)&gt;0,"✓ "&amp;Liens!G122,"✗ "&amp;Liens!G122&amp;" (introuvable)"))</f>
        <v>✓ tronconneuse</v>
      </c>
      <c r="I127" s="35" t="str">
        <f>IF(Liens!H122="","",IF(COUNTIF(Mots!A:A,Liens!H122)&gt;0,"✓ "&amp;Liens!H122,"✗ "&amp;Liens!H122&amp;" (introuvable)"))</f>
        <v/>
      </c>
    </row>
    <row r="128" spans="1:9" x14ac:dyDescent="0.3">
      <c r="A128">
        <v>123</v>
      </c>
      <c r="B128" s="35" t="str">
        <f>IF(Liens!A123="","",IF(COUNTIF(Mots!A:A,Liens!A123)&gt;0,"✓ "&amp;Liens!A123,"✗ "&amp;Liens!A123&amp;" (introuvable)"))</f>
        <v>✓ boite</v>
      </c>
      <c r="C128" s="35" t="str">
        <f>IF(Liens!B123="","",IF(COUNTIF(Mots!A:A,Liens!B123)&gt;0,"✓ "&amp;Liens!B123,"✗ "&amp;Liens!B123&amp;" (introuvable)"))</f>
        <v>✓ chose</v>
      </c>
      <c r="D128" s="35" t="str">
        <f>IF(Liens!C123="","",IF(COUNTIF(Mots!A:A,Liens!C123)&gt;0,"✓ "&amp;Liens!C123,"✗ "&amp;Liens!C123&amp;" (introuvable)"))</f>
        <v>✓ recipient</v>
      </c>
      <c r="E128" s="35" t="str">
        <f>IF(Liens!D123="","",IF(COUNTIF(Mots!A:A,Liens!D123)&gt;0,"✓ "&amp;Liens!D123,"✗ "&amp;Liens!D123&amp;" (introuvable)"))</f>
        <v>✓ couvercle</v>
      </c>
      <c r="F128" s="35" t="str">
        <f>IF(Liens!E123="","",IF(COUNTIF(Mots!A:A,Liens!E123)&gt;0,"✓ "&amp;Liens!E123,"✗ "&amp;Liens!E123&amp;" (introuvable)"))</f>
        <v/>
      </c>
      <c r="G128" s="35" t="str">
        <f>IF(Liens!F123="","",IF(COUNTIF(Mots!A:A,Liens!F123)&gt;0,"✓ "&amp;Liens!F123,"✗ "&amp;Liens!F123&amp;" (introuvable)"))</f>
        <v/>
      </c>
      <c r="H128" s="35" t="str">
        <f>IF(Liens!G123="","",IF(COUNTIF(Mots!A:A,Liens!G123)&gt;0,"✓ "&amp;Liens!G123,"✗ "&amp;Liens!G123&amp;" (introuvable)"))</f>
        <v/>
      </c>
      <c r="I128" s="35" t="str">
        <f>IF(Liens!H123="","",IF(COUNTIF(Mots!A:A,Liens!H123)&gt;0,"✓ "&amp;Liens!H123,"✗ "&amp;Liens!H123&amp;" (introuvable)"))</f>
        <v/>
      </c>
    </row>
    <row r="129" spans="1:9" x14ac:dyDescent="0.3">
      <c r="A129">
        <v>124</v>
      </c>
      <c r="B129" s="35" t="str">
        <f>IF(Liens!A124="","",IF(COUNTIF(Mots!A:A,Liens!A124)&gt;0,"✓ "&amp;Liens!A124,"✗ "&amp;Liens!A124&amp;" (introuvable)"))</f>
        <v>✓ bonbon</v>
      </c>
      <c r="C129" s="35" t="str">
        <f>IF(Liens!B124="","",IF(COUNTIF(Mots!A:A,Liens!B124)&gt;0,"✓ "&amp;Liens!B124,"✗ "&amp;Liens!B124&amp;" (introuvable)"))</f>
        <v>✓ sucrerie</v>
      </c>
      <c r="D129" s="35" t="str">
        <f>IF(Liens!C124="","",IF(COUNTIF(Mots!A:A,Liens!C124)&gt;0,"✓ "&amp;Liens!C124,"✗ "&amp;Liens!C124&amp;" (introuvable)"))</f>
        <v>✓ enfants</v>
      </c>
      <c r="E129" s="35" t="str">
        <f>IF(Liens!D124="","",IF(COUNTIF(Mots!A:A,Liens!D124)&gt;0,"✓ "&amp;Liens!D124,"✗ "&amp;Liens!D124&amp;" (introuvable)"))</f>
        <v>✓ cuisine</v>
      </c>
      <c r="F129" s="35" t="str">
        <f>IF(Liens!E124="","",IF(COUNTIF(Mots!A:A,Liens!E124)&gt;0,"✓ "&amp;Liens!E124,"✗ "&amp;Liens!E124&amp;" (introuvable)"))</f>
        <v>✓ v_manger</v>
      </c>
      <c r="G129" s="35" t="str">
        <f>IF(Liens!F124="","",IF(COUNTIF(Mots!A:A,Liens!F124)&gt;0,"✓ "&amp;Liens!F124,"✗ "&amp;Liens!F124&amp;" (introuvable)"))</f>
        <v>✓ dent</v>
      </c>
      <c r="H129" s="35" t="str">
        <f>IF(Liens!G124="","",IF(COUNTIF(Mots!A:A,Liens!G124)&gt;0,"✓ "&amp;Liens!G124,"✗ "&amp;Liens!G124&amp;" (introuvable)"))</f>
        <v>✓ v_avaler</v>
      </c>
      <c r="I129" s="35" t="str">
        <f>IF(Liens!H124="","",IF(COUNTIF(Mots!A:A,Liens!H124)&gt;0,"✓ "&amp;Liens!H124,"✗ "&amp;Liens!H124&amp;" (introuvable)"))</f>
        <v/>
      </c>
    </row>
    <row r="130" spans="1:9" x14ac:dyDescent="0.3">
      <c r="A130">
        <v>125</v>
      </c>
      <c r="B130" s="35" t="str">
        <f>IF(Liens!A125="","",IF(COUNTIF(Mots!A:A,Liens!A125)&gt;0,"✓ "&amp;Liens!A125,"✗ "&amp;Liens!A125&amp;" (introuvable)"))</f>
        <v>✓ bonheur</v>
      </c>
      <c r="C130" s="35" t="str">
        <f>IF(Liens!B125="","",IF(COUNTIF(Mots!A:A,Liens!B125)&gt;0,"✓ "&amp;Liens!B125,"✗ "&amp;Liens!B125&amp;" (introuvable)"))</f>
        <v>✓ joie</v>
      </c>
      <c r="D130" s="35" t="str">
        <f>IF(Liens!C125="","",IF(COUNTIF(Mots!A:A,Liens!C125)&gt;0,"✓ "&amp;Liens!C125,"✗ "&amp;Liens!C125&amp;" (introuvable)"))</f>
        <v>✓ visage</v>
      </c>
      <c r="E130" s="35" t="str">
        <f>IF(Liens!D125="","",IF(COUNTIF(Mots!A:A,Liens!D125)&gt;0,"✓ "&amp;Liens!D125,"✗ "&amp;Liens!D125&amp;" (introuvable)"))</f>
        <v>✓ bouche</v>
      </c>
      <c r="F130" s="35" t="str">
        <f>IF(Liens!E125="","",IF(COUNTIF(Mots!A:A,Liens!E125)&gt;0,"✓ "&amp;Liens!E125,"✗ "&amp;Liens!E125&amp;" (introuvable)"))</f>
        <v>✓ levre</v>
      </c>
      <c r="G130" s="35" t="str">
        <f>IF(Liens!F125="","",IF(COUNTIF(Mots!A:A,Liens!F125)&gt;0,"✓ "&amp;Liens!F125,"✗ "&amp;Liens!F125&amp;" (introuvable)"))</f>
        <v>✓ a_heureux</v>
      </c>
      <c r="H130" s="35" t="str">
        <f>IF(Liens!G125="","",IF(COUNTIF(Mots!A:A,Liens!G125)&gt;0,"✓ "&amp;Liens!G125,"✗ "&amp;Liens!G125&amp;" (introuvable)"))</f>
        <v/>
      </c>
      <c r="I130" s="35" t="str">
        <f>IF(Liens!H125="","",IF(COUNTIF(Mots!A:A,Liens!H125)&gt;0,"✓ "&amp;Liens!H125,"✗ "&amp;Liens!H125&amp;" (introuvable)"))</f>
        <v/>
      </c>
    </row>
    <row r="131" spans="1:9" x14ac:dyDescent="0.3">
      <c r="A131">
        <v>126</v>
      </c>
      <c r="B131" s="35" t="str">
        <f>IF(Liens!A126="","",IF(COUNTIF(Mots!A:A,Liens!A126)&gt;0,"✓ "&amp;Liens!A126,"✗ "&amp;Liens!A126&amp;" (introuvable)"))</f>
        <v>✓ bonnet</v>
      </c>
      <c r="C131" s="35" t="str">
        <f>IF(Liens!B126="","",IF(COUNTIF(Mots!A:A,Liens!B126)&gt;0,"✓ "&amp;Liens!B126,"✗ "&amp;Liens!B126&amp;" (introuvable)"))</f>
        <v>✓ habit</v>
      </c>
      <c r="D131" s="35" t="str">
        <f>IF(Liens!C126="","",IF(COUNTIF(Mots!A:A,Liens!C126)&gt;0,"✓ "&amp;Liens!C126,"✗ "&amp;Liens!C126&amp;" (introuvable)"))</f>
        <v>✓ tete</v>
      </c>
      <c r="E131" s="35" t="str">
        <f>IF(Liens!D126="","",IF(COUNTIF(Mots!A:A,Liens!D126)&gt;0,"✓ "&amp;Liens!D126,"✗ "&amp;Liens!D126&amp;" (introuvable)"))</f>
        <v>✓ hiver</v>
      </c>
      <c r="F131" s="35" t="str">
        <f>IF(Liens!E126="","",IF(COUNTIF(Mots!A:A,Liens!E126)&gt;0,"✓ "&amp;Liens!E126,"✗ "&amp;Liens!E126&amp;" (introuvable)"))</f>
        <v>✓ a_chaud_froid</v>
      </c>
      <c r="G131" s="35" t="str">
        <f>IF(Liens!F126="","",IF(COUNTIF(Mots!A:A,Liens!F126)&gt;0,"✓ "&amp;Liens!F126,"✗ "&amp;Liens!F126&amp;" (introuvable)"))</f>
        <v>✓ chapeau</v>
      </c>
      <c r="H131" s="35" t="str">
        <f>IF(Liens!G126="","",IF(COUNTIF(Mots!A:A,Liens!G126)&gt;0,"✓ "&amp;Liens!G126,"✗ "&amp;Liens!G126&amp;" (introuvable)"))</f>
        <v/>
      </c>
      <c r="I131" s="35" t="str">
        <f>IF(Liens!H126="","",IF(COUNTIF(Mots!A:A,Liens!H126)&gt;0,"✓ "&amp;Liens!H126,"✗ "&amp;Liens!H126&amp;" (introuvable)"))</f>
        <v/>
      </c>
    </row>
    <row r="132" spans="1:9" x14ac:dyDescent="0.3">
      <c r="A132">
        <v>127</v>
      </c>
      <c r="B132" s="35" t="str">
        <f>IF(Liens!A127="","",IF(COUNTIF(Mots!A:A,Liens!A127)&gt;0,"✓ "&amp;Liens!A127,"✗ "&amp;Liens!A127&amp;" (introuvable)"))</f>
        <v>✓ bord</v>
      </c>
      <c r="C132" s="35" t="str">
        <f>IF(Liens!B127="","",IF(COUNTIF(Mots!A:A,Liens!B127)&gt;0,"✓ "&amp;Liens!B127,"✗ "&amp;Liens!B127&amp;" (introuvable)"))</f>
        <v>✓ partie</v>
      </c>
      <c r="D132" s="35" t="str">
        <f>IF(Liens!C127="","",IF(COUNTIF(Mots!A:A,Liens!C127)&gt;0,"✓ "&amp;Liens!C127,"✗ "&amp;Liens!C127&amp;" (introuvable)"))</f>
        <v>✓ limite</v>
      </c>
      <c r="E132" s="35" t="str">
        <f>IF(Liens!D127="","",IF(COUNTIF(Mots!A:A,Liens!D127)&gt;0,"✓ "&amp;Liens!D127,"✗ "&amp;Liens!D127&amp;" (introuvable)"))</f>
        <v>✓ piscine</v>
      </c>
      <c r="F132" s="35" t="str">
        <f>IF(Liens!E127="","",IF(COUNTIF(Mots!A:A,Liens!E127)&gt;0,"✓ "&amp;Liens!E127,"✗ "&amp;Liens!E127&amp;" (introuvable)"))</f>
        <v>✓ mur</v>
      </c>
      <c r="G132" s="35" t="str">
        <f>IF(Liens!F127="","",IF(COUNTIF(Mots!A:A,Liens!F127)&gt;0,"✓ "&amp;Liens!F127,"✗ "&amp;Liens!F127&amp;" (introuvable)"))</f>
        <v/>
      </c>
      <c r="H132" s="35" t="str">
        <f>IF(Liens!G127="","",IF(COUNTIF(Mots!A:A,Liens!G127)&gt;0,"✓ "&amp;Liens!G127,"✗ "&amp;Liens!G127&amp;" (introuvable)"))</f>
        <v/>
      </c>
      <c r="I132" s="35" t="str">
        <f>IF(Liens!H127="","",IF(COUNTIF(Mots!A:A,Liens!H127)&gt;0,"✓ "&amp;Liens!H127,"✗ "&amp;Liens!H127&amp;" (introuvable)"))</f>
        <v/>
      </c>
    </row>
    <row r="133" spans="1:9" x14ac:dyDescent="0.3">
      <c r="A133">
        <v>128</v>
      </c>
      <c r="B133" s="35" t="str">
        <f>IF(Liens!A128="","",IF(COUNTIF(Mots!A:A,Liens!A128)&gt;0,"✓ "&amp;Liens!A128,"✗ "&amp;Liens!A128&amp;" (introuvable)"))</f>
        <v>✓ bouche</v>
      </c>
      <c r="C133" s="35" t="str">
        <f>IF(Liens!B128="","",IF(COUNTIF(Mots!A:A,Liens!B128)&gt;0,"✓ "&amp;Liens!B128,"✗ "&amp;Liens!B128&amp;" (introuvable)"))</f>
        <v>✓ corps_humain</v>
      </c>
      <c r="D133" s="35" t="str">
        <f>IF(Liens!C128="","",IF(COUNTIF(Mots!A:A,Liens!C128)&gt;0,"✓ "&amp;Liens!C128,"✗ "&amp;Liens!C128&amp;" (introuvable)"))</f>
        <v>✓ tete</v>
      </c>
      <c r="E133" s="35" t="str">
        <f>IF(Liens!D128="","",IF(COUNTIF(Mots!A:A,Liens!D128)&gt;0,"✓ "&amp;Liens!D128,"✗ "&amp;Liens!D128&amp;" (introuvable)"))</f>
        <v>✓ visage</v>
      </c>
      <c r="F133" s="35" t="str">
        <f>IF(Liens!E128="","",IF(COUNTIF(Mots!A:A,Liens!E128)&gt;0,"✓ "&amp;Liens!E128,"✗ "&amp;Liens!E128&amp;" (introuvable)"))</f>
        <v>✓ v_manger</v>
      </c>
      <c r="G133" s="35" t="str">
        <f>IF(Liens!F128="","",IF(COUNTIF(Mots!A:A,Liens!F128)&gt;0,"✓ "&amp;Liens!F128,"✗ "&amp;Liens!F128&amp;" (introuvable)"))</f>
        <v>✓ dent</v>
      </c>
      <c r="H133" s="35" t="str">
        <f>IF(Liens!G128="","",IF(COUNTIF(Mots!A:A,Liens!G128)&gt;0,"✓ "&amp;Liens!G128,"✗ "&amp;Liens!G128&amp;" (introuvable)"))</f>
        <v>✓ nourriture</v>
      </c>
      <c r="I133" s="35" t="str">
        <f>IF(Liens!H128="","",IF(COUNTIF(Mots!A:A,Liens!H128)&gt;0,"✓ "&amp;Liens!H128,"✗ "&amp;Liens!H128&amp;" (introuvable)"))</f>
        <v/>
      </c>
    </row>
    <row r="134" spans="1:9" x14ac:dyDescent="0.3">
      <c r="A134">
        <v>129</v>
      </c>
      <c r="B134" s="35" t="str">
        <f>IF(Liens!A129="","",IF(COUNTIF(Mots!A:A,Liens!A129)&gt;0,"✓ "&amp;Liens!A129,"✗ "&amp;Liens!A129&amp;" (introuvable)"))</f>
        <v>✓ bougie</v>
      </c>
      <c r="C134" s="35" t="str">
        <f>IF(Liens!B129="","",IF(COUNTIF(Mots!A:A,Liens!B129)&gt;0,"✓ "&amp;Liens!B129,"✗ "&amp;Liens!B129&amp;" (introuvable)"))</f>
        <v>✓ lumiere</v>
      </c>
      <c r="D134" s="35" t="str">
        <f>IF(Liens!C129="","",IF(COUNTIF(Mots!A:A,Liens!C129)&gt;0,"✓ "&amp;Liens!C129,"✗ "&amp;Liens!C129&amp;" (introuvable)"))</f>
        <v>✓ feu</v>
      </c>
      <c r="E134" s="35" t="str">
        <f>IF(Liens!D129="","",IF(COUNTIF(Mots!A:A,Liens!D129)&gt;0,"✓ "&amp;Liens!D129,"✗ "&amp;Liens!D129&amp;" (introuvable)"))</f>
        <v>✓ allumette</v>
      </c>
      <c r="F134" s="35" t="str">
        <f>IF(Liens!E129="","",IF(COUNTIF(Mots!A:A,Liens!E129)&gt;0,"✓ "&amp;Liens!E129,"✗ "&amp;Liens!E129&amp;" (introuvable)"))</f>
        <v>✓ anniversaire</v>
      </c>
      <c r="G134" s="35" t="str">
        <f>IF(Liens!F129="","",IF(COUNTIF(Mots!A:A,Liens!F129)&gt;0,"✓ "&amp;Liens!F129,"✗ "&amp;Liens!F129&amp;" (introuvable)"))</f>
        <v>✓ gateau</v>
      </c>
      <c r="H134" s="35" t="str">
        <f>IF(Liens!G129="","",IF(COUNTIF(Mots!A:A,Liens!G129)&gt;0,"✓ "&amp;Liens!G129,"✗ "&amp;Liens!G129&amp;" (introuvable)"))</f>
        <v>✓ eglise</v>
      </c>
      <c r="I134" s="35" t="str">
        <f>IF(Liens!H129="","",IF(COUNTIF(Mots!A:A,Liens!H129)&gt;0,"✓ "&amp;Liens!H129,"✗ "&amp;Liens!H129&amp;" (introuvable)"))</f>
        <v/>
      </c>
    </row>
    <row r="135" spans="1:9" x14ac:dyDescent="0.3">
      <c r="A135">
        <v>130</v>
      </c>
      <c r="B135" s="35" t="str">
        <f>IF(Liens!A130="","",IF(COUNTIF(Mots!A:A,Liens!A130)&gt;0,"✓ "&amp;Liens!A130,"✗ "&amp;Liens!A130&amp;" (introuvable)"))</f>
        <v>✓ boulanger</v>
      </c>
      <c r="C135" s="35" t="str">
        <f>IF(Liens!B130="","",IF(COUNTIF(Mots!A:A,Liens!B130)&gt;0,"✓ "&amp;Liens!B130,"✗ "&amp;Liens!B130&amp;" (introuvable)"))</f>
        <v>✓ personne</v>
      </c>
      <c r="D135" s="35" t="str">
        <f>IF(Liens!C130="","",IF(COUNTIF(Mots!A:A,Liens!C130)&gt;0,"✓ "&amp;Liens!C130,"✗ "&amp;Liens!C130&amp;" (introuvable)"))</f>
        <v>✓ pain</v>
      </c>
      <c r="E135" s="35" t="str">
        <f>IF(Liens!D130="","",IF(COUNTIF(Mots!A:A,Liens!D130)&gt;0,"✓ "&amp;Liens!D130,"✗ "&amp;Liens!D130&amp;" (introuvable)"))</f>
        <v>✓ farine</v>
      </c>
      <c r="F135" s="35" t="str">
        <f>IF(Liens!E130="","",IF(COUNTIF(Mots!A:A,Liens!E130)&gt;0,"✓ "&amp;Liens!E130,"✗ "&amp;Liens!E130&amp;" (introuvable)"))</f>
        <v>✓ sel</v>
      </c>
      <c r="G135" s="35" t="str">
        <f>IF(Liens!F130="","",IF(COUNTIF(Mots!A:A,Liens!F130)&gt;0,"✓ "&amp;Liens!F130,"✗ "&amp;Liens!F130&amp;" (introuvable)"))</f>
        <v>✓ v_manger</v>
      </c>
      <c r="H135" s="35" t="str">
        <f>IF(Liens!G130="","",IF(COUNTIF(Mots!A:A,Liens!G130)&gt;0,"✓ "&amp;Liens!G130,"✗ "&amp;Liens!G130&amp;" (introuvable)"))</f>
        <v>✓ four</v>
      </c>
      <c r="I135" s="35" t="str">
        <f>IF(Liens!H130="","",IF(COUNTIF(Mots!A:A,Liens!H130)&gt;0,"✓ "&amp;Liens!H130,"✗ "&amp;Liens!H130&amp;" (introuvable)"))</f>
        <v/>
      </c>
    </row>
    <row r="136" spans="1:9" x14ac:dyDescent="0.3">
      <c r="A136">
        <v>131</v>
      </c>
      <c r="B136" s="35" t="str">
        <f>IF(Liens!A131="","",IF(COUNTIF(Mots!A:A,Liens!A131)&gt;0,"✓ "&amp;Liens!A131,"✗ "&amp;Liens!A131&amp;" (introuvable)"))</f>
        <v>✓ boule</v>
      </c>
      <c r="C136" s="35" t="str">
        <f>IF(Liens!B131="","",IF(COUNTIF(Mots!A:A,Liens!B131)&gt;0,"✓ "&amp;Liens!B131,"✗ "&amp;Liens!B131&amp;" (introuvable)"))</f>
        <v>✓ balle</v>
      </c>
      <c r="D136" s="35" t="str">
        <f>IF(Liens!C131="","",IF(COUNTIF(Mots!A:A,Liens!C131)&gt;0,"✓ "&amp;Liens!C131,"✗ "&amp;Liens!C131&amp;" (introuvable)"))</f>
        <v>✓ rond</v>
      </c>
      <c r="E136" s="35" t="str">
        <f>IF(Liens!D131="","",IF(COUNTIF(Mots!A:A,Liens!D131)&gt;0,"✓ "&amp;Liens!D131,"✗ "&amp;Liens!D131&amp;" (introuvable)"))</f>
        <v>✓ jeu</v>
      </c>
      <c r="F136" s="35" t="str">
        <f>IF(Liens!E131="","",IF(COUNTIF(Mots!A:A,Liens!E131)&gt;0,"✓ "&amp;Liens!E131,"✗ "&amp;Liens!E131&amp;" (introuvable)"))</f>
        <v>✓ enfants</v>
      </c>
      <c r="G136" s="35" t="str">
        <f>IF(Liens!F131="","",IF(COUNTIF(Mots!A:A,Liens!F131)&gt;0,"✓ "&amp;Liens!F131,"✗ "&amp;Liens!F131&amp;" (introuvable)"))</f>
        <v/>
      </c>
      <c r="H136" s="35" t="str">
        <f>IF(Liens!G131="","",IF(COUNTIF(Mots!A:A,Liens!G131)&gt;0,"✓ "&amp;Liens!G131,"✗ "&amp;Liens!G131&amp;" (introuvable)"))</f>
        <v/>
      </c>
      <c r="I136" s="35" t="str">
        <f>IF(Liens!H131="","",IF(COUNTIF(Mots!A:A,Liens!H131)&gt;0,"✓ "&amp;Liens!H131,"✗ "&amp;Liens!H131&amp;" (introuvable)"))</f>
        <v/>
      </c>
    </row>
    <row r="137" spans="1:9" x14ac:dyDescent="0.3">
      <c r="A137">
        <v>132</v>
      </c>
      <c r="B137" s="35" t="str">
        <f>IF(Liens!A132="","",IF(COUNTIF(Mots!A:A,Liens!A132)&gt;0,"✓ "&amp;Liens!A132,"✗ "&amp;Liens!A132&amp;" (introuvable)"))</f>
        <v>✓ bourgeon</v>
      </c>
      <c r="C137" s="35" t="str">
        <f>IF(Liens!B132="","",IF(COUNTIF(Mots!A:A,Liens!B132)&gt;0,"✓ "&amp;Liens!B132,"✗ "&amp;Liens!B132&amp;" (introuvable)"))</f>
        <v>✓ plante</v>
      </c>
      <c r="D137" s="35" t="str">
        <f>IF(Liens!C132="","",IF(COUNTIF(Mots!A:A,Liens!C132)&gt;0,"✓ "&amp;Liens!C132,"✗ "&amp;Liens!C132&amp;" (introuvable)"))</f>
        <v>✓ arbre</v>
      </c>
      <c r="E137" s="35" t="str">
        <f>IF(Liens!D132="","",IF(COUNTIF(Mots!A:A,Liens!D132)&gt;0,"✓ "&amp;Liens!D132,"✗ "&amp;Liens!D132&amp;" (introuvable)"))</f>
        <v>✓ branche</v>
      </c>
      <c r="F137" s="35" t="str">
        <f>IF(Liens!E132="","",IF(COUNTIF(Mots!A:A,Liens!E132)&gt;0,"✓ "&amp;Liens!E132,"✗ "&amp;Liens!E132&amp;" (introuvable)"))</f>
        <v>✓ fleur</v>
      </c>
      <c r="G137" s="35" t="str">
        <f>IF(Liens!F132="","",IF(COUNTIF(Mots!A:A,Liens!F132)&gt;0,"✓ "&amp;Liens!F132,"✗ "&amp;Liens!F132&amp;" (introuvable)"))</f>
        <v>✓ fruit</v>
      </c>
      <c r="H137" s="35" t="str">
        <f>IF(Liens!G132="","",IF(COUNTIF(Mots!A:A,Liens!G132)&gt;0,"✓ "&amp;Liens!G132,"✗ "&amp;Liens!G132&amp;" (introuvable)"))</f>
        <v/>
      </c>
      <c r="I137" s="35" t="str">
        <f>IF(Liens!H132="","",IF(COUNTIF(Mots!A:A,Liens!H132)&gt;0,"✓ "&amp;Liens!H132,"✗ "&amp;Liens!H132&amp;" (introuvable)"))</f>
        <v/>
      </c>
    </row>
    <row r="138" spans="1:9" x14ac:dyDescent="0.3">
      <c r="A138">
        <v>133</v>
      </c>
      <c r="B138" s="35" t="str">
        <f>IF(Liens!A133="","",IF(COUNTIF(Mots!A:A,Liens!A133)&gt;0,"✓ "&amp;Liens!A133,"✗ "&amp;Liens!A133&amp;" (introuvable)"))</f>
        <v>✓ bout</v>
      </c>
      <c r="C138" s="35" t="str">
        <f>IF(Liens!B133="","",IF(COUNTIF(Mots!A:A,Liens!B133)&gt;0,"✓ "&amp;Liens!B133,"✗ "&amp;Liens!B133&amp;" (introuvable)"))</f>
        <v>✓ fin</v>
      </c>
      <c r="D138" s="35" t="str">
        <f>IF(Liens!C133="","",IF(COUNTIF(Mots!A:A,Liens!C133)&gt;0,"✓ "&amp;Liens!C133,"✗ "&amp;Liens!C133&amp;" (introuvable)"))</f>
        <v>✓ doigt</v>
      </c>
      <c r="E138" s="35" t="str">
        <f>IF(Liens!D133="","",IF(COUNTIF(Mots!A:A,Liens!D133)&gt;0,"✓ "&amp;Liens!D133,"✗ "&amp;Liens!D133&amp;" (introuvable)"))</f>
        <v>✓ orteil</v>
      </c>
      <c r="F138" s="35" t="str">
        <f>IF(Liens!E133="","",IF(COUNTIF(Mots!A:A,Liens!E133)&gt;0,"✓ "&amp;Liens!E133,"✗ "&amp;Liens!E133&amp;" (introuvable)"))</f>
        <v/>
      </c>
      <c r="G138" s="35" t="str">
        <f>IF(Liens!F133="","",IF(COUNTIF(Mots!A:A,Liens!F133)&gt;0,"✓ "&amp;Liens!F133,"✗ "&amp;Liens!F133&amp;" (introuvable)"))</f>
        <v/>
      </c>
      <c r="H138" s="35" t="str">
        <f>IF(Liens!G133="","",IF(COUNTIF(Mots!A:A,Liens!G133)&gt;0,"✓ "&amp;Liens!G133,"✗ "&amp;Liens!G133&amp;" (introuvable)"))</f>
        <v/>
      </c>
      <c r="I138" s="35" t="str">
        <f>IF(Liens!H133="","",IF(COUNTIF(Mots!A:A,Liens!H133)&gt;0,"✓ "&amp;Liens!H133,"✗ "&amp;Liens!H133&amp;" (introuvable)"))</f>
        <v/>
      </c>
    </row>
    <row r="139" spans="1:9" x14ac:dyDescent="0.3">
      <c r="A139">
        <v>134</v>
      </c>
      <c r="B139" s="35" t="str">
        <f>IF(Liens!A134="","",IF(COUNTIF(Mots!A:A,Liens!A134)&gt;0,"✓ "&amp;Liens!A134,"✗ "&amp;Liens!A134&amp;" (introuvable)"))</f>
        <v>✓ bouteille</v>
      </c>
      <c r="C139" s="35" t="str">
        <f>IF(Liens!B134="","",IF(COUNTIF(Mots!A:A,Liens!B134)&gt;0,"✓ "&amp;Liens!B134,"✗ "&amp;Liens!B134&amp;" (introuvable)"))</f>
        <v>✓ recipient</v>
      </c>
      <c r="D139" s="35" t="str">
        <f>IF(Liens!C134="","",IF(COUNTIF(Mots!A:A,Liens!C134)&gt;0,"✓ "&amp;Liens!C134,"✗ "&amp;Liens!C134&amp;" (introuvable)"))</f>
        <v>✓ liquide</v>
      </c>
      <c r="E139" s="35" t="str">
        <f>IF(Liens!D134="","",IF(COUNTIF(Mots!A:A,Liens!D134)&gt;0,"✓ "&amp;Liens!D134,"✗ "&amp;Liens!D134&amp;" (introuvable)"))</f>
        <v>✓ eau</v>
      </c>
      <c r="F139" s="35" t="str">
        <f>IF(Liens!E134="","",IF(COUNTIF(Mots!A:A,Liens!E134)&gt;0,"✓ "&amp;Liens!E134,"✗ "&amp;Liens!E134&amp;" (introuvable)"))</f>
        <v>✓ coca_cola</v>
      </c>
      <c r="G139" s="35" t="str">
        <f>IF(Liens!F134="","",IF(COUNTIF(Mots!A:A,Liens!F134)&gt;0,"✓ "&amp;Liens!F134,"✗ "&amp;Liens!F134&amp;" (introuvable)"))</f>
        <v>✓ eau_minerale</v>
      </c>
      <c r="H139" s="35" t="str">
        <f>IF(Liens!G134="","",IF(COUNTIF(Mots!A:A,Liens!G134)&gt;0,"✓ "&amp;Liens!G134,"✗ "&amp;Liens!G134&amp;" (introuvable)"))</f>
        <v>✓ jus_de_pomme</v>
      </c>
      <c r="I139" s="35" t="str">
        <f>IF(Liens!H134="","",IF(COUNTIF(Mots!A:A,Liens!H134)&gt;0,"✓ "&amp;Liens!H134,"✗ "&amp;Liens!H134&amp;" (introuvable)"))</f>
        <v>✓ sirop</v>
      </c>
    </row>
    <row r="140" spans="1:9" x14ac:dyDescent="0.3">
      <c r="A140">
        <v>135</v>
      </c>
      <c r="B140" s="35" t="str">
        <f>IF(Liens!A135="","",IF(COUNTIF(Mots!A:A,Liens!A135)&gt;0,"✓ "&amp;Liens!A135,"✗ "&amp;Liens!A135&amp;" (introuvable)"))</f>
        <v>✓ boutique</v>
      </c>
      <c r="C140" s="35" t="str">
        <f>IF(Liens!B135="","",IF(COUNTIF(Mots!A:A,Liens!B135)&gt;0,"✓ "&amp;Liens!B135,"✗ "&amp;Liens!B135&amp;" (introuvable)"))</f>
        <v>✓ habit</v>
      </c>
      <c r="D140" s="35" t="str">
        <f>IF(Liens!C135="","",IF(COUNTIF(Mots!A:A,Liens!C135)&gt;0,"✓ "&amp;Liens!C135,"✗ "&amp;Liens!C135&amp;" (introuvable)"))</f>
        <v>✓ souliers</v>
      </c>
      <c r="E140" s="35" t="str">
        <f>IF(Liens!D135="","",IF(COUNTIF(Mots!A:A,Liens!D135)&gt;0,"✓ "&amp;Liens!D135,"✗ "&amp;Liens!D135&amp;" (introuvable)"))</f>
        <v>✓ v_acheter</v>
      </c>
      <c r="F140" s="35" t="str">
        <f>IF(Liens!E135="","",IF(COUNTIF(Mots!A:A,Liens!E135)&gt;0,"✓ "&amp;Liens!E135,"✗ "&amp;Liens!E135&amp;" (introuvable)"))</f>
        <v>✓ achat</v>
      </c>
      <c r="G140" s="35" t="str">
        <f>IF(Liens!F135="","",IF(COUNTIF(Mots!A:A,Liens!F135)&gt;0,"✓ "&amp;Liens!F135,"✗ "&amp;Liens!F135&amp;" (introuvable)"))</f>
        <v>✓ carte_debit</v>
      </c>
      <c r="H140" s="35" t="str">
        <f>IF(Liens!G135="","",IF(COUNTIF(Mots!A:A,Liens!G135)&gt;0,"✓ "&amp;Liens!G135,"✗ "&amp;Liens!G135&amp;" (introuvable)"))</f>
        <v>✓ porte_monnaie</v>
      </c>
      <c r="I140" s="35" t="str">
        <f>IF(Liens!H135="","",IF(COUNTIF(Mots!A:A,Liens!H135)&gt;0,"✓ "&amp;Liens!H135,"✗ "&amp;Liens!H135&amp;" (introuvable)"))</f>
        <v>✓ v_essayer</v>
      </c>
    </row>
    <row r="141" spans="1:9" x14ac:dyDescent="0.3">
      <c r="A141">
        <v>136</v>
      </c>
      <c r="B141" s="35" t="str">
        <f>IF(Liens!A136="","",IF(COUNTIF(Mots!A:A,Liens!A136)&gt;0,"✓ "&amp;Liens!A136,"✗ "&amp;Liens!A136&amp;" (introuvable)"))</f>
        <v>✓ bouton</v>
      </c>
      <c r="C141" s="35" t="str">
        <f>IF(Liens!B136="","",IF(COUNTIF(Mots!A:A,Liens!B136)&gt;0,"✓ "&amp;Liens!B136,"✗ "&amp;Liens!B136&amp;" (introuvable)"))</f>
        <v>✓ vetement</v>
      </c>
      <c r="D141" s="35" t="str">
        <f>IF(Liens!C136="","",IF(COUNTIF(Mots!A:A,Liens!C136)&gt;0,"✓ "&amp;Liens!C136,"✗ "&amp;Liens!C136&amp;" (introuvable)"))</f>
        <v>✓ chemise</v>
      </c>
      <c r="E141" s="35" t="str">
        <f>IF(Liens!D136="","",IF(COUNTIF(Mots!A:A,Liens!D136)&gt;0,"✓ "&amp;Liens!D136,"✗ "&amp;Liens!D136&amp;" (introuvable)"))</f>
        <v>✓ manche</v>
      </c>
      <c r="F141" s="35" t="str">
        <f>IF(Liens!E136="","",IF(COUNTIF(Mots!A:A,Liens!E136)&gt;0,"✓ "&amp;Liens!E136,"✗ "&amp;Liens!E136&amp;" (introuvable)"))</f>
        <v/>
      </c>
      <c r="G141" s="35" t="str">
        <f>IF(Liens!F136="","",IF(COUNTIF(Mots!A:A,Liens!F136)&gt;0,"✓ "&amp;Liens!F136,"✗ "&amp;Liens!F136&amp;" (introuvable)"))</f>
        <v/>
      </c>
      <c r="H141" s="35" t="str">
        <f>IF(Liens!G136="","",IF(COUNTIF(Mots!A:A,Liens!G136)&gt;0,"✓ "&amp;Liens!G136,"✗ "&amp;Liens!G136&amp;" (introuvable)"))</f>
        <v/>
      </c>
      <c r="I141" s="35" t="str">
        <f>IF(Liens!H136="","",IF(COUNTIF(Mots!A:A,Liens!H136)&gt;0,"✓ "&amp;Liens!H136,"✗ "&amp;Liens!H136&amp;" (introuvable)"))</f>
        <v/>
      </c>
    </row>
    <row r="142" spans="1:9" x14ac:dyDescent="0.3">
      <c r="A142">
        <v>137</v>
      </c>
      <c r="B142" s="35" t="str">
        <f>IF(Liens!A137="","",IF(COUNTIF(Mots!A:A,Liens!A137)&gt;0,"✓ "&amp;Liens!A137,"✗ "&amp;Liens!A137&amp;" (introuvable)"))</f>
        <v>✓ branche</v>
      </c>
      <c r="C142" s="35" t="str">
        <f>IF(Liens!B137="","",IF(COUNTIF(Mots!A:A,Liens!B137)&gt;0,"✓ "&amp;Liens!B137,"✗ "&amp;Liens!B137&amp;" (introuvable)"))</f>
        <v>✓ plante</v>
      </c>
      <c r="D142" s="35" t="str">
        <f>IF(Liens!C137="","",IF(COUNTIF(Mots!A:A,Liens!C137)&gt;0,"✓ "&amp;Liens!C137,"✗ "&amp;Liens!C137&amp;" (introuvable)"))</f>
        <v>✓ arbre</v>
      </c>
      <c r="E142" s="35" t="str">
        <f>IF(Liens!D137="","",IF(COUNTIF(Mots!A:A,Liens!D137)&gt;0,"✓ "&amp;Liens!D137,"✗ "&amp;Liens!D137&amp;" (introuvable)"))</f>
        <v>✓ tronc_arbre</v>
      </c>
      <c r="F142" s="35" t="str">
        <f>IF(Liens!E137="","",IF(COUNTIF(Mots!A:A,Liens!E137)&gt;0,"✓ "&amp;Liens!E137,"✗ "&amp;Liens!E137&amp;" (introuvable)"))</f>
        <v>✓ feuille_plante</v>
      </c>
      <c r="G142" s="35" t="str">
        <f>IF(Liens!F137="","",IF(COUNTIF(Mots!A:A,Liens!F137)&gt;0,"✓ "&amp;Liens!F137,"✗ "&amp;Liens!F137&amp;" (introuvable)"))</f>
        <v>✓ bourgeon</v>
      </c>
      <c r="H142" s="35" t="str">
        <f>IF(Liens!G137="","",IF(COUNTIF(Mots!A:A,Liens!G137)&gt;0,"✓ "&amp;Liens!G137,"✗ "&amp;Liens!G137&amp;" (introuvable)"))</f>
        <v>✓ fruit</v>
      </c>
      <c r="I142" s="35" t="str">
        <f>IF(Liens!H137="","",IF(COUNTIF(Mots!A:A,Liens!H137)&gt;0,"✓ "&amp;Liens!H137,"✗ "&amp;Liens!H137&amp;" (introuvable)"))</f>
        <v/>
      </c>
    </row>
    <row r="143" spans="1:9" x14ac:dyDescent="0.3">
      <c r="A143">
        <v>138</v>
      </c>
      <c r="B143" s="35" t="str">
        <f>IF(Liens!A138="","",IF(COUNTIF(Mots!A:A,Liens!A138)&gt;0,"✓ "&amp;Liens!A138,"✗ "&amp;Liens!A138&amp;" (introuvable)"))</f>
        <v>✓ bras</v>
      </c>
      <c r="C143" s="35" t="str">
        <f>IF(Liens!B138="","",IF(COUNTIF(Mots!A:A,Liens!B138)&gt;0,"✓ "&amp;Liens!B138,"✗ "&amp;Liens!B138&amp;" (introuvable)"))</f>
        <v>✓ corps_humain</v>
      </c>
      <c r="D143" s="35" t="str">
        <f>IF(Liens!C138="","",IF(COUNTIF(Mots!A:A,Liens!C138)&gt;0,"✓ "&amp;Liens!C138,"✗ "&amp;Liens!C138&amp;" (introuvable)"))</f>
        <v>✓ torse</v>
      </c>
      <c r="E143" s="35" t="str">
        <f>IF(Liens!D138="","",IF(COUNTIF(Mots!A:A,Liens!D138)&gt;0,"✓ "&amp;Liens!D138,"✗ "&amp;Liens!D138&amp;" (introuvable)"))</f>
        <v>✓ epaule</v>
      </c>
      <c r="F143" s="35" t="str">
        <f>IF(Liens!E138="","",IF(COUNTIF(Mots!A:A,Liens!E138)&gt;0,"✓ "&amp;Liens!E138,"✗ "&amp;Liens!E138&amp;" (introuvable)"))</f>
        <v>✓ coude</v>
      </c>
      <c r="G143" s="35" t="str">
        <f>IF(Liens!F138="","",IF(COUNTIF(Mots!A:A,Liens!F138)&gt;0,"✓ "&amp;Liens!F138,"✗ "&amp;Liens!F138&amp;" (introuvable)"))</f>
        <v>✓ main</v>
      </c>
      <c r="H143" s="35" t="str">
        <f>IF(Liens!G138="","",IF(COUNTIF(Mots!A:A,Liens!G138)&gt;0,"✓ "&amp;Liens!G138,"✗ "&amp;Liens!G138&amp;" (introuvable)"))</f>
        <v>✓ doigt</v>
      </c>
      <c r="I143" s="35" t="str">
        <f>IF(Liens!H138="","",IF(COUNTIF(Mots!A:A,Liens!H138)&gt;0,"✓ "&amp;Liens!H138,"✗ "&amp;Liens!H138&amp;" (introuvable)"))</f>
        <v/>
      </c>
    </row>
    <row r="144" spans="1:9" x14ac:dyDescent="0.3">
      <c r="A144">
        <v>139</v>
      </c>
      <c r="B144" s="35" t="str">
        <f>IF(Liens!A139="","",IF(COUNTIF(Mots!A:A,Liens!A139)&gt;0,"✓ "&amp;Liens!A139,"✗ "&amp;Liens!A139&amp;" (introuvable)"))</f>
        <v>✓ bricolage</v>
      </c>
      <c r="C144" s="35" t="str">
        <f>IF(Liens!B139="","",IF(COUNTIF(Mots!A:A,Liens!B139)&gt;0,"✓ "&amp;Liens!B139,"✗ "&amp;Liens!B139&amp;" (introuvable)"))</f>
        <v>✓ v_reparer</v>
      </c>
      <c r="D144" s="35" t="str">
        <f>IF(Liens!C139="","",IF(COUNTIF(Mots!A:A,Liens!C139)&gt;0,"✓ "&amp;Liens!C139,"✗ "&amp;Liens!C139&amp;" (introuvable)"))</f>
        <v>✓ outil</v>
      </c>
      <c r="E144" s="35" t="str">
        <f>IF(Liens!D139="","",IF(COUNTIF(Mots!A:A,Liens!D139)&gt;0,"✓ "&amp;Liens!D139,"✗ "&amp;Liens!D139&amp;" (introuvable)"))</f>
        <v>✓ maison</v>
      </c>
      <c r="F144" s="35" t="str">
        <f>IF(Liens!E139="","",IF(COUNTIF(Mots!A:A,Liens!E139)&gt;0,"✓ "&amp;Liens!E139,"✗ "&amp;Liens!E139&amp;" (introuvable)"))</f>
        <v>✓ meuble</v>
      </c>
      <c r="G144" s="35" t="str">
        <f>IF(Liens!F139="","",IF(COUNTIF(Mots!A:A,Liens!F139)&gt;0,"✓ "&amp;Liens!F139,"✗ "&amp;Liens!F139&amp;" (introuvable)"))</f>
        <v/>
      </c>
      <c r="H144" s="35" t="str">
        <f>IF(Liens!G139="","",IF(COUNTIF(Mots!A:A,Liens!G139)&gt;0,"✓ "&amp;Liens!G139,"✗ "&amp;Liens!G139&amp;" (introuvable)"))</f>
        <v/>
      </c>
      <c r="I144" s="35" t="str">
        <f>IF(Liens!H139="","",IF(COUNTIF(Mots!A:A,Liens!H139)&gt;0,"✓ "&amp;Liens!H139,"✗ "&amp;Liens!H139&amp;" (introuvable)"))</f>
        <v/>
      </c>
    </row>
    <row r="145" spans="1:9" x14ac:dyDescent="0.3">
      <c r="A145">
        <v>140</v>
      </c>
      <c r="B145" s="35" t="str">
        <f>IF(Liens!A140="","",IF(COUNTIF(Mots!A:A,Liens!A140)&gt;0,"✓ "&amp;Liens!A140,"✗ "&amp;Liens!A140&amp;" (introuvable)"))</f>
        <v>✓ brin</v>
      </c>
      <c r="C145" s="35" t="str">
        <f>IF(Liens!B140="","",IF(COUNTIF(Mots!A:A,Liens!B140)&gt;0,"✓ "&amp;Liens!B140,"✗ "&amp;Liens!B140&amp;" (introuvable)"))</f>
        <v>✓ herbe</v>
      </c>
      <c r="D145" s="35" t="str">
        <f>IF(Liens!C140="","",IF(COUNTIF(Mots!A:A,Liens!C140)&gt;0,"✓ "&amp;Liens!C140,"✗ "&amp;Liens!C140&amp;" (introuvable)"))</f>
        <v>✓ champ</v>
      </c>
      <c r="E145" s="35" t="str">
        <f>IF(Liens!D140="","",IF(COUNTIF(Mots!A:A,Liens!D140)&gt;0,"✓ "&amp;Liens!D140,"✗ "&amp;Liens!D140&amp;" (introuvable)"))</f>
        <v/>
      </c>
      <c r="F145" s="35" t="str">
        <f>IF(Liens!E140="","",IF(COUNTIF(Mots!A:A,Liens!E140)&gt;0,"✓ "&amp;Liens!E140,"✗ "&amp;Liens!E140&amp;" (introuvable)"))</f>
        <v/>
      </c>
      <c r="G145" s="35" t="str">
        <f>IF(Liens!F140="","",IF(COUNTIF(Mots!A:A,Liens!F140)&gt;0,"✓ "&amp;Liens!F140,"✗ "&amp;Liens!F140&amp;" (introuvable)"))</f>
        <v/>
      </c>
      <c r="H145" s="35" t="str">
        <f>IF(Liens!G140="","",IF(COUNTIF(Mots!A:A,Liens!G140)&gt;0,"✓ "&amp;Liens!G140,"✗ "&amp;Liens!G140&amp;" (introuvable)"))</f>
        <v/>
      </c>
      <c r="I145" s="35" t="str">
        <f>IF(Liens!H140="","",IF(COUNTIF(Mots!A:A,Liens!H140)&gt;0,"✓ "&amp;Liens!H140,"✗ "&amp;Liens!H140&amp;" (introuvable)"))</f>
        <v/>
      </c>
    </row>
    <row r="146" spans="1:9" x14ac:dyDescent="0.3">
      <c r="A146">
        <v>141</v>
      </c>
      <c r="B146" s="35" t="str">
        <f>IF(Liens!A141="","",IF(COUNTIF(Mots!A:A,Liens!A141)&gt;0,"✓ "&amp;Liens!A141,"✗ "&amp;Liens!A141&amp;" (introuvable)"))</f>
        <v>✓ brise</v>
      </c>
      <c r="C146" s="35" t="str">
        <f>IF(Liens!B141="","",IF(COUNTIF(Mots!A:A,Liens!B141)&gt;0,"✓ "&amp;Liens!B141,"✗ "&amp;Liens!B141&amp;" (introuvable)"))</f>
        <v>✓ vent</v>
      </c>
      <c r="D146" s="35" t="str">
        <f>IF(Liens!C141="","",IF(COUNTIF(Mots!A:A,Liens!C141)&gt;0,"✓ "&amp;Liens!C141,"✗ "&amp;Liens!C141&amp;" (introuvable)"))</f>
        <v>✓ a_frais</v>
      </c>
      <c r="E146" s="35" t="str">
        <f>IF(Liens!D141="","",IF(COUNTIF(Mots!A:A,Liens!D141)&gt;0,"✓ "&amp;Liens!D141,"✗ "&amp;Liens!D141&amp;" (introuvable)"))</f>
        <v>✓ air</v>
      </c>
      <c r="F146" s="35" t="str">
        <f>IF(Liens!E141="","",IF(COUNTIF(Mots!A:A,Liens!E141)&gt;0,"✓ "&amp;Liens!E141,"✗ "&amp;Liens!E141&amp;" (introuvable)"))</f>
        <v/>
      </c>
      <c r="G146" s="35" t="str">
        <f>IF(Liens!F141="","",IF(COUNTIF(Mots!A:A,Liens!F141)&gt;0,"✓ "&amp;Liens!F141,"✗ "&amp;Liens!F141&amp;" (introuvable)"))</f>
        <v/>
      </c>
      <c r="H146" s="35" t="str">
        <f>IF(Liens!G141="","",IF(COUNTIF(Mots!A:A,Liens!G141)&gt;0,"✓ "&amp;Liens!G141,"✗ "&amp;Liens!G141&amp;" (introuvable)"))</f>
        <v/>
      </c>
      <c r="I146" s="35" t="str">
        <f>IF(Liens!H141="","",IF(COUNTIF(Mots!A:A,Liens!H141)&gt;0,"✓ "&amp;Liens!H141,"✗ "&amp;Liens!H141&amp;" (introuvable)"))</f>
        <v/>
      </c>
    </row>
    <row r="147" spans="1:9" x14ac:dyDescent="0.3">
      <c r="A147">
        <v>142</v>
      </c>
      <c r="B147" s="35" t="str">
        <f>IF(Liens!A142="","",IF(COUNTIF(Mots!A:A,Liens!A142)&gt;0,"✓ "&amp;Liens!A142,"✗ "&amp;Liens!A142&amp;" (introuvable)"))</f>
        <v>✓ brouillard</v>
      </c>
      <c r="C147" s="35" t="str">
        <f>IF(Liens!B142="","",IF(COUNTIF(Mots!A:A,Liens!B142)&gt;0,"✓ "&amp;Liens!B142,"✗ "&amp;Liens!B142&amp;" (introuvable)"))</f>
        <v>✓ nuage</v>
      </c>
      <c r="D147" s="35" t="str">
        <f>IF(Liens!C142="","",IF(COUNTIF(Mots!A:A,Liens!C142)&gt;0,"✓ "&amp;Liens!C142,"✗ "&amp;Liens!C142&amp;" (introuvable)"))</f>
        <v>✓ pluie</v>
      </c>
      <c r="E147" s="35" t="str">
        <f>IF(Liens!D142="","",IF(COUNTIF(Mots!A:A,Liens!D142)&gt;0,"✓ "&amp;Liens!D142,"✗ "&amp;Liens!D142&amp;" (introuvable)"))</f>
        <v>✓ parapluie</v>
      </c>
      <c r="F147" s="35" t="str">
        <f>IF(Liens!E142="","",IF(COUNTIF(Mots!A:A,Liens!E142)&gt;0,"✓ "&amp;Liens!E142,"✗ "&amp;Liens!E142&amp;" (introuvable)"))</f>
        <v>✓ orage</v>
      </c>
      <c r="G147" s="35" t="str">
        <f>IF(Liens!F142="","",IF(COUNTIF(Mots!A:A,Liens!F142)&gt;0,"✓ "&amp;Liens!F142,"✗ "&amp;Liens!F142&amp;" (introuvable)"))</f>
        <v>✓ vent</v>
      </c>
      <c r="H147" s="35" t="str">
        <f>IF(Liens!G142="","",IF(COUNTIF(Mots!A:A,Liens!G142)&gt;0,"✓ "&amp;Liens!G142,"✗ "&amp;Liens!G142&amp;" (introuvable)"))</f>
        <v>✓ tonnerre</v>
      </c>
      <c r="I147" s="35" t="str">
        <f>IF(Liens!H142="","",IF(COUNTIF(Mots!A:A,Liens!H142)&gt;0,"✓ "&amp;Liens!H142,"✗ "&amp;Liens!H142&amp;" (introuvable)"))</f>
        <v>✓ eclair</v>
      </c>
    </row>
    <row r="148" spans="1:9" x14ac:dyDescent="0.3">
      <c r="A148">
        <v>143</v>
      </c>
      <c r="B148" s="35" t="str">
        <f>IF(Liens!A143="","",IF(COUNTIF(Mots!A:A,Liens!A143)&gt;0,"✓ "&amp;Liens!A143,"✗ "&amp;Liens!A143&amp;" (introuvable)"))</f>
        <v>✓ bruit</v>
      </c>
      <c r="C148" s="35" t="str">
        <f>IF(Liens!B143="","",IF(COUNTIF(Mots!A:A,Liens!B143)&gt;0,"✓ "&amp;Liens!B143,"✗ "&amp;Liens!B143&amp;" (introuvable)"))</f>
        <v>✓ son</v>
      </c>
      <c r="D148" s="35" t="str">
        <f>IF(Liens!C143="","",IF(COUNTIF(Mots!A:A,Liens!C143)&gt;0,"✓ "&amp;Liens!C143,"✗ "&amp;Liens!C143&amp;" (introuvable)"))</f>
        <v>✓ oreille</v>
      </c>
      <c r="E148" s="35" t="str">
        <f>IF(Liens!D143="","",IF(COUNTIF(Mots!A:A,Liens!D143)&gt;0,"✓ "&amp;Liens!D143,"✗ "&amp;Liens!D143&amp;" (introuvable)"))</f>
        <v>✓ v_entendre</v>
      </c>
      <c r="F148" s="35" t="str">
        <f>IF(Liens!E143="","",IF(COUNTIF(Mots!A:A,Liens!E143)&gt;0,"✓ "&amp;Liens!E143,"✗ "&amp;Liens!E143&amp;" (introuvable)"))</f>
        <v>✓ v_ecouter</v>
      </c>
      <c r="G148" s="35" t="str">
        <f>IF(Liens!F143="","",IF(COUNTIF(Mots!A:A,Liens!F143)&gt;0,"✓ "&amp;Liens!F143,"✗ "&amp;Liens!F143&amp;" (introuvable)"))</f>
        <v>✓ peur</v>
      </c>
      <c r="H148" s="35" t="str">
        <f>IF(Liens!G143="","",IF(COUNTIF(Mots!A:A,Liens!G143)&gt;0,"✓ "&amp;Liens!G143,"✗ "&amp;Liens!G143&amp;" (introuvable)"))</f>
        <v/>
      </c>
      <c r="I148" s="35" t="str">
        <f>IF(Liens!H143="","",IF(COUNTIF(Mots!A:A,Liens!H143)&gt;0,"✓ "&amp;Liens!H143,"✗ "&amp;Liens!H143&amp;" (introuvable)"))</f>
        <v/>
      </c>
    </row>
    <row r="149" spans="1:9" x14ac:dyDescent="0.3">
      <c r="A149">
        <v>144</v>
      </c>
      <c r="B149" s="35" t="str">
        <f>IF(Liens!A144="","",IF(COUNTIF(Mots!A:A,Liens!A144)&gt;0,"✓ "&amp;Liens!A144,"✗ "&amp;Liens!A144&amp;" (introuvable)"))</f>
        <v>✓ c_brun</v>
      </c>
      <c r="C149" s="35" t="str">
        <f>IF(Liens!B144="","",IF(COUNTIF(Mots!A:A,Liens!B144)&gt;0,"✓ "&amp;Liens!B144,"✗ "&amp;Liens!B144&amp;" (introuvable)"))</f>
        <v>✓ couleur</v>
      </c>
      <c r="D149" s="35" t="str">
        <f>IF(Liens!C144="","",IF(COUNTIF(Mots!A:A,Liens!C144)&gt;0,"✓ "&amp;Liens!C144,"✗ "&amp;Liens!C144&amp;" (introuvable)"))</f>
        <v>✓ ours</v>
      </c>
      <c r="E149" s="35" t="str">
        <f>IF(Liens!D144="","",IF(COUNTIF(Mots!A:A,Liens!D144)&gt;0,"✓ "&amp;Liens!D144,"✗ "&amp;Liens!D144&amp;" (introuvable)"))</f>
        <v>✓ oeil</v>
      </c>
      <c r="F149" s="35" t="str">
        <f>IF(Liens!E144="","",IF(COUNTIF(Mots!A:A,Liens!E144)&gt;0,"✓ "&amp;Liens!E144,"✗ "&amp;Liens!E144&amp;" (introuvable)"))</f>
        <v>✓ cheveux</v>
      </c>
      <c r="G149" s="35" t="str">
        <f>IF(Liens!F144="","",IF(COUNTIF(Mots!A:A,Liens!F144)&gt;0,"✓ "&amp;Liens!F144,"✗ "&amp;Liens!F144&amp;" (introuvable)"))</f>
        <v/>
      </c>
      <c r="H149" s="35" t="str">
        <f>IF(Liens!G144="","",IF(COUNTIF(Mots!A:A,Liens!G144)&gt;0,"✓ "&amp;Liens!G144,"✗ "&amp;Liens!G144&amp;" (introuvable)"))</f>
        <v/>
      </c>
      <c r="I149" s="35" t="str">
        <f>IF(Liens!H144="","",IF(COUNTIF(Mots!A:A,Liens!H144)&gt;0,"✓ "&amp;Liens!H144,"✗ "&amp;Liens!H144&amp;" (introuvable)"))</f>
        <v/>
      </c>
    </row>
    <row r="150" spans="1:9" x14ac:dyDescent="0.3">
      <c r="A150">
        <v>145</v>
      </c>
      <c r="B150" s="35" t="str">
        <f>IF(Liens!A145="","",IF(COUNTIF(Mots!A:A,Liens!A145)&gt;0,"✓ "&amp;Liens!A145,"✗ "&amp;Liens!A145&amp;" (introuvable)"))</f>
        <v>✓ brusquement</v>
      </c>
      <c r="C150" s="35" t="str">
        <f>IF(Liens!B145="","",IF(COUNTIF(Mots!A:A,Liens!B145)&gt;0,"✓ "&amp;Liens!B145,"✗ "&amp;Liens!B145&amp;" (introuvable)"))</f>
        <v>✓ eclair</v>
      </c>
      <c r="D150" s="35" t="str">
        <f>IF(Liens!C145="","",IF(COUNTIF(Mots!A:A,Liens!C145)&gt;0,"✓ "&amp;Liens!C145,"✗ "&amp;Liens!C145&amp;" (introuvable)"))</f>
        <v>✓ tonnerre</v>
      </c>
      <c r="E150" s="35" t="str">
        <f>IF(Liens!D145="","",IF(COUNTIF(Mots!A:A,Liens!D145)&gt;0,"✓ "&amp;Liens!D145,"✗ "&amp;Liens!D145&amp;" (introuvable)"))</f>
        <v/>
      </c>
      <c r="F150" s="35" t="str">
        <f>IF(Liens!E145="","",IF(COUNTIF(Mots!A:A,Liens!E145)&gt;0,"✓ "&amp;Liens!E145,"✗ "&amp;Liens!E145&amp;" (introuvable)"))</f>
        <v/>
      </c>
      <c r="G150" s="35" t="str">
        <f>IF(Liens!F145="","",IF(COUNTIF(Mots!A:A,Liens!F145)&gt;0,"✓ "&amp;Liens!F145,"✗ "&amp;Liens!F145&amp;" (introuvable)"))</f>
        <v/>
      </c>
      <c r="H150" s="35" t="str">
        <f>IF(Liens!G145="","",IF(COUNTIF(Mots!A:A,Liens!G145)&gt;0,"✓ "&amp;Liens!G145,"✗ "&amp;Liens!G145&amp;" (introuvable)"))</f>
        <v/>
      </c>
      <c r="I150" s="35" t="str">
        <f>IF(Liens!H145="","",IF(COUNTIF(Mots!A:A,Liens!H145)&gt;0,"✓ "&amp;Liens!H145,"✗ "&amp;Liens!H145&amp;" (introuvable)"))</f>
        <v/>
      </c>
    </row>
    <row r="151" spans="1:9" x14ac:dyDescent="0.3">
      <c r="A151">
        <v>146</v>
      </c>
      <c r="B151" s="35" t="str">
        <f>IF(Liens!A146="","",IF(COUNTIF(Mots!A:A,Liens!A146)&gt;0,"✓ "&amp;Liens!A146,"✗ "&amp;Liens!A146&amp;" (introuvable)"))</f>
        <v>✓ buisson</v>
      </c>
      <c r="C151" s="35" t="str">
        <f>IF(Liens!B146="","",IF(COUNTIF(Mots!A:A,Liens!B146)&gt;0,"✓ "&amp;Liens!B146,"✗ "&amp;Liens!B146&amp;" (introuvable)"))</f>
        <v>✓ plante</v>
      </c>
      <c r="D151" s="35" t="str">
        <f>IF(Liens!C146="","",IF(COUNTIF(Mots!A:A,Liens!C146)&gt;0,"✓ "&amp;Liens!C146,"✗ "&amp;Liens!C146&amp;" (introuvable)"))</f>
        <v>✓ branche</v>
      </c>
      <c r="E151" s="35" t="str">
        <f>IF(Liens!D146="","",IF(COUNTIF(Mots!A:A,Liens!D146)&gt;0,"✓ "&amp;Liens!D146,"✗ "&amp;Liens!D146&amp;" (introuvable)"))</f>
        <v/>
      </c>
      <c r="F151" s="35" t="str">
        <f>IF(Liens!E146="","",IF(COUNTIF(Mots!A:A,Liens!E146)&gt;0,"✓ "&amp;Liens!E146,"✗ "&amp;Liens!E146&amp;" (introuvable)"))</f>
        <v/>
      </c>
      <c r="G151" s="35" t="str">
        <f>IF(Liens!F146="","",IF(COUNTIF(Mots!A:A,Liens!F146)&gt;0,"✓ "&amp;Liens!F146,"✗ "&amp;Liens!F146&amp;" (introuvable)"))</f>
        <v/>
      </c>
      <c r="H151" s="35" t="str">
        <f>IF(Liens!G146="","",IF(COUNTIF(Mots!A:A,Liens!G146)&gt;0,"✓ "&amp;Liens!G146,"✗ "&amp;Liens!G146&amp;" (introuvable)"))</f>
        <v/>
      </c>
      <c r="I151" s="35" t="str">
        <f>IF(Liens!H146="","",IF(COUNTIF(Mots!A:A,Liens!H146)&gt;0,"✓ "&amp;Liens!H146,"✗ "&amp;Liens!H146&amp;" (introuvable)"))</f>
        <v/>
      </c>
    </row>
    <row r="152" spans="1:9" x14ac:dyDescent="0.3">
      <c r="A152">
        <v>147</v>
      </c>
      <c r="B152" s="35" t="str">
        <f>IF(Liens!A147="","",IF(COUNTIF(Mots!A:A,Liens!A147)&gt;0,"✓ "&amp;Liens!A147,"✗ "&amp;Liens!A147&amp;" (introuvable)"))</f>
        <v>✓ but_foot</v>
      </c>
      <c r="C152" s="35" t="str">
        <f>IF(Liens!B147="","",IF(COUNTIF(Mots!A:A,Liens!B147)&gt;0,"✓ "&amp;Liens!B147,"✗ "&amp;Liens!B147&amp;" (introuvable)"))</f>
        <v>✓ stade</v>
      </c>
      <c r="D152" s="35" t="str">
        <f>IF(Liens!C147="","",IF(COUNTIF(Mots!A:A,Liens!C147)&gt;0,"✓ "&amp;Liens!C147,"✗ "&amp;Liens!C147&amp;" (introuvable)"))</f>
        <v>✓ sport</v>
      </c>
      <c r="E152" s="35" t="str">
        <f>IF(Liens!D147="","",IF(COUNTIF(Mots!A:A,Liens!D147)&gt;0,"✓ "&amp;Liens!D147,"✗ "&amp;Liens!D147&amp;" (introuvable)"))</f>
        <v>✓ ballon</v>
      </c>
      <c r="F152" s="35" t="str">
        <f>IF(Liens!E147="","",IF(COUNTIF(Mots!A:A,Liens!E147)&gt;0,"✓ "&amp;Liens!E147,"✗ "&amp;Liens!E147&amp;" (introuvable)"))</f>
        <v>✓ point</v>
      </c>
      <c r="G152" s="35" t="str">
        <f>IF(Liens!F147="","",IF(COUNTIF(Mots!A:A,Liens!F147)&gt;0,"✓ "&amp;Liens!F147,"✗ "&amp;Liens!F147&amp;" (introuvable)"))</f>
        <v>✓ terrain</v>
      </c>
      <c r="H152" s="35" t="str">
        <f>IF(Liens!G147="","",IF(COUNTIF(Mots!A:A,Liens!G147)&gt;0,"✓ "&amp;Liens!G147,"✗ "&amp;Liens!G147&amp;" (introuvable)"))</f>
        <v/>
      </c>
      <c r="I152" s="35" t="str">
        <f>IF(Liens!H147="","",IF(COUNTIF(Mots!A:A,Liens!H147)&gt;0,"✓ "&amp;Liens!H147,"✗ "&amp;Liens!H147&amp;" (introuvable)"))</f>
        <v/>
      </c>
    </row>
    <row r="153" spans="1:9" x14ac:dyDescent="0.3">
      <c r="A153">
        <v>148</v>
      </c>
      <c r="B153" s="35" t="str">
        <f>IF(Liens!A148="","",IF(COUNTIF(Mots!A:A,Liens!A148)&gt;0,"✓ "&amp;Liens!A148,"✗ "&amp;Liens!A148&amp;" (introuvable)"))</f>
        <v>✓ c_blanc</v>
      </c>
      <c r="C153" s="35" t="str">
        <f>IF(Liens!B148="","",IF(COUNTIF(Mots!A:A,Liens!B148)&gt;0,"✓ "&amp;Liens!B148,"✗ "&amp;Liens!B148&amp;" (introuvable)"))</f>
        <v>✓ couleur</v>
      </c>
      <c r="D153" s="35" t="str">
        <f>IF(Liens!C148="","",IF(COUNTIF(Mots!A:A,Liens!C148)&gt;0,"✓ "&amp;Liens!C148,"✗ "&amp;Liens!C148&amp;" (introuvable)"))</f>
        <v>✓ neige</v>
      </c>
      <c r="E153" s="35" t="str">
        <f>IF(Liens!D148="","",IF(COUNTIF(Mots!A:A,Liens!D148)&gt;0,"✓ "&amp;Liens!D148,"✗ "&amp;Liens!D148&amp;" (introuvable)"))</f>
        <v>✓ lait</v>
      </c>
      <c r="F153" s="35" t="str">
        <f>IF(Liens!E148="","",IF(COUNTIF(Mots!A:A,Liens!E148)&gt;0,"✓ "&amp;Liens!E148,"✗ "&amp;Liens!E148&amp;" (introuvable)"))</f>
        <v>✓ papier</v>
      </c>
      <c r="G153" s="35" t="str">
        <f>IF(Liens!F148="","",IF(COUNTIF(Mots!A:A,Liens!F148)&gt;0,"✓ "&amp;Liens!F148,"✗ "&amp;Liens!F148&amp;" (introuvable)"))</f>
        <v/>
      </c>
      <c r="H153" s="35" t="str">
        <f>IF(Liens!G148="","",IF(COUNTIF(Mots!A:A,Liens!G148)&gt;0,"✓ "&amp;Liens!G148,"✗ "&amp;Liens!G148&amp;" (introuvable)"))</f>
        <v/>
      </c>
      <c r="I153" s="35" t="str">
        <f>IF(Liens!H148="","",IF(COUNTIF(Mots!A:A,Liens!H148)&gt;0,"✓ "&amp;Liens!H148,"✗ "&amp;Liens!H148&amp;" (introuvable)"))</f>
        <v/>
      </c>
    </row>
    <row r="154" spans="1:9" x14ac:dyDescent="0.3">
      <c r="A154">
        <v>149</v>
      </c>
      <c r="B154" s="35" t="str">
        <f>IF(Liens!A149="","",IF(COUNTIF(Mots!A:A,Liens!A149)&gt;0,"✓ "&amp;Liens!A149,"✗ "&amp;Liens!A149&amp;" (introuvable)"))</f>
        <v>✓ c_bleu</v>
      </c>
      <c r="C154" s="35" t="str">
        <f>IF(Liens!B149="","",IF(COUNTIF(Mots!A:A,Liens!B149)&gt;0,"✓ "&amp;Liens!B149,"✗ "&amp;Liens!B149&amp;" (introuvable)"))</f>
        <v>✓ couleur</v>
      </c>
      <c r="D154" s="35" t="str">
        <f>IF(Liens!C149="","",IF(COUNTIF(Mots!A:A,Liens!C149)&gt;0,"✓ "&amp;Liens!C149,"✗ "&amp;Liens!C149&amp;" (introuvable)"))</f>
        <v>✓ ciel</v>
      </c>
      <c r="E154" s="35" t="str">
        <f>IF(Liens!D149="","",IF(COUNTIF(Mots!A:A,Liens!D149)&gt;0,"✓ "&amp;Liens!D149,"✗ "&amp;Liens!D149&amp;" (introuvable)"))</f>
        <v>✓ mer</v>
      </c>
      <c r="F154" s="35" t="str">
        <f>IF(Liens!E149="","",IF(COUNTIF(Mots!A:A,Liens!E149)&gt;0,"✓ "&amp;Liens!E149,"✗ "&amp;Liens!E149&amp;" (introuvable)"))</f>
        <v/>
      </c>
      <c r="G154" s="35" t="str">
        <f>IF(Liens!F149="","",IF(COUNTIF(Mots!A:A,Liens!F149)&gt;0,"✓ "&amp;Liens!F149,"✗ "&amp;Liens!F149&amp;" (introuvable)"))</f>
        <v/>
      </c>
      <c r="H154" s="35" t="str">
        <f>IF(Liens!G149="","",IF(COUNTIF(Mots!A:A,Liens!G149)&gt;0,"✓ "&amp;Liens!G149,"✗ "&amp;Liens!G149&amp;" (introuvable)"))</f>
        <v/>
      </c>
      <c r="I154" s="35" t="str">
        <f>IF(Liens!H149="","",IF(COUNTIF(Mots!A:A,Liens!H149)&gt;0,"✓ "&amp;Liens!H149,"✗ "&amp;Liens!H149&amp;" (introuvable)"))</f>
        <v/>
      </c>
    </row>
    <row r="155" spans="1:9" x14ac:dyDescent="0.3">
      <c r="A155">
        <v>150</v>
      </c>
      <c r="B155" s="35" t="str">
        <f>IF(Liens!A150="","",IF(COUNTIF(Mots!A:A,Liens!A150)&gt;0,"✓ "&amp;Liens!A150,"✗ "&amp;Liens!A150&amp;" (introuvable)"))</f>
        <v>✓ c_gris</v>
      </c>
      <c r="C155" s="35" t="str">
        <f>IF(Liens!B150="","",IF(COUNTIF(Mots!A:A,Liens!B150)&gt;0,"✓ "&amp;Liens!B150,"✗ "&amp;Liens!B150&amp;" (introuvable)"))</f>
        <v>✓ couleur</v>
      </c>
      <c r="D155" s="35" t="str">
        <f>IF(Liens!C150="","",IF(COUNTIF(Mots!A:A,Liens!C150)&gt;0,"✓ "&amp;Liens!C150,"✗ "&amp;Liens!C150&amp;" (introuvable)"))</f>
        <v>✓ nuage</v>
      </c>
      <c r="E155" s="35" t="str">
        <f>IF(Liens!D150="","",IF(COUNTIF(Mots!A:A,Liens!D150)&gt;0,"✓ "&amp;Liens!D150,"✗ "&amp;Liens!D150&amp;" (introuvable)"))</f>
        <v>✓ brouillard</v>
      </c>
      <c r="F155" s="35" t="str">
        <f>IF(Liens!E150="","",IF(COUNTIF(Mots!A:A,Liens!E150)&gt;0,"✓ "&amp;Liens!E150,"✗ "&amp;Liens!E150&amp;" (introuvable)"))</f>
        <v/>
      </c>
      <c r="G155" s="35" t="str">
        <f>IF(Liens!F150="","",IF(COUNTIF(Mots!A:A,Liens!F150)&gt;0,"✓ "&amp;Liens!F150,"✗ "&amp;Liens!F150&amp;" (introuvable)"))</f>
        <v/>
      </c>
      <c r="H155" s="35" t="str">
        <f>IF(Liens!G150="","",IF(COUNTIF(Mots!A:A,Liens!G150)&gt;0,"✓ "&amp;Liens!G150,"✗ "&amp;Liens!G150&amp;" (introuvable)"))</f>
        <v/>
      </c>
      <c r="I155" s="35" t="str">
        <f>IF(Liens!H150="","",IF(COUNTIF(Mots!A:A,Liens!H150)&gt;0,"✓ "&amp;Liens!H150,"✗ "&amp;Liens!H150&amp;" (introuvable)"))</f>
        <v/>
      </c>
    </row>
    <row r="156" spans="1:9" x14ac:dyDescent="0.3">
      <c r="A156">
        <v>151</v>
      </c>
      <c r="B156" s="35" t="str">
        <f>IF(Liens!A151="","",IF(COUNTIF(Mots!A:A,Liens!A151)&gt;0,"✓ "&amp;Liens!A151,"✗ "&amp;Liens!A151&amp;" (introuvable)"))</f>
        <v>✓ c_jaune</v>
      </c>
      <c r="C156" s="35" t="str">
        <f>IF(Liens!B151="","",IF(COUNTIF(Mots!A:A,Liens!B151)&gt;0,"✓ "&amp;Liens!B151,"✗ "&amp;Liens!B151&amp;" (introuvable)"))</f>
        <v>✓ couleur</v>
      </c>
      <c r="D156" s="35" t="str">
        <f>IF(Liens!C151="","",IF(COUNTIF(Mots!A:A,Liens!C151)&gt;0,"✓ "&amp;Liens!C151,"✗ "&amp;Liens!C151&amp;" (introuvable)"))</f>
        <v>✓ soleil</v>
      </c>
      <c r="E156" s="35" t="str">
        <f>IF(Liens!D151="","",IF(COUNTIF(Mots!A:A,Liens!D151)&gt;0,"✓ "&amp;Liens!D151,"✗ "&amp;Liens!D151&amp;" (introuvable)"))</f>
        <v>✓ citron</v>
      </c>
      <c r="F156" s="35" t="str">
        <f>IF(Liens!E151="","",IF(COUNTIF(Mots!A:A,Liens!E151)&gt;0,"✓ "&amp;Liens!E151,"✗ "&amp;Liens!E151&amp;" (introuvable)"))</f>
        <v>✓ ampoule</v>
      </c>
      <c r="G156" s="35" t="str">
        <f>IF(Liens!F151="","",IF(COUNTIF(Mots!A:A,Liens!F151)&gt;0,"✓ "&amp;Liens!F151,"✗ "&amp;Liens!F151&amp;" (introuvable)"))</f>
        <v>✓ lumiere</v>
      </c>
      <c r="H156" s="35" t="str">
        <f>IF(Liens!G151="","",IF(COUNTIF(Mots!A:A,Liens!G151)&gt;0,"✓ "&amp;Liens!G151,"✗ "&amp;Liens!G151&amp;" (introuvable)"))</f>
        <v>✓ phare</v>
      </c>
      <c r="I156" s="35" t="str">
        <f>IF(Liens!H151="","",IF(COUNTIF(Mots!A:A,Liens!H151)&gt;0,"✓ "&amp;Liens!H151,"✗ "&amp;Liens!H151&amp;" (introuvable)"))</f>
        <v/>
      </c>
    </row>
    <row r="157" spans="1:9" x14ac:dyDescent="0.3">
      <c r="A157">
        <v>152</v>
      </c>
      <c r="B157" s="35" t="str">
        <f>IF(Liens!A152="","",IF(COUNTIF(Mots!A:A,Liens!A152)&gt;0,"✓ "&amp;Liens!A152,"✗ "&amp;Liens!A152&amp;" (introuvable)"))</f>
        <v>✓ c_marron</v>
      </c>
      <c r="C157" s="35" t="str">
        <f>IF(Liens!B152="","",IF(COUNTIF(Mots!A:A,Liens!B152)&gt;0,"✓ "&amp;Liens!B152,"✗ "&amp;Liens!B152&amp;" (introuvable)"))</f>
        <v>✓ couleur</v>
      </c>
      <c r="D157" s="35" t="str">
        <f>IF(Liens!C152="","",IF(COUNTIF(Mots!A:A,Liens!C152)&gt;0,"✓ "&amp;Liens!C152,"✗ "&amp;Liens!C152&amp;" (introuvable)"))</f>
        <v>✓ e_terre</v>
      </c>
      <c r="E157" s="35" t="str">
        <f>IF(Liens!D152="","",IF(COUNTIF(Mots!A:A,Liens!D152)&gt;0,"✓ "&amp;Liens!D152,"✗ "&amp;Liens!D152&amp;" (introuvable)"))</f>
        <v>✓ chocolat</v>
      </c>
      <c r="F157" s="35" t="str">
        <f>IF(Liens!E152="","",IF(COUNTIF(Mots!A:A,Liens!E152)&gt;0,"✓ "&amp;Liens!E152,"✗ "&amp;Liens!E152&amp;" (introuvable)"))</f>
        <v>✓ oeil</v>
      </c>
      <c r="G157" s="35" t="str">
        <f>IF(Liens!F152="","",IF(COUNTIF(Mots!A:A,Liens!F152)&gt;0,"✓ "&amp;Liens!F152,"✗ "&amp;Liens!F152&amp;" (introuvable)"))</f>
        <v/>
      </c>
      <c r="H157" s="35" t="str">
        <f>IF(Liens!G152="","",IF(COUNTIF(Mots!A:A,Liens!G152)&gt;0,"✓ "&amp;Liens!G152,"✗ "&amp;Liens!G152&amp;" (introuvable)"))</f>
        <v/>
      </c>
      <c r="I157" s="35" t="str">
        <f>IF(Liens!H152="","",IF(COUNTIF(Mots!A:A,Liens!H152)&gt;0,"✓ "&amp;Liens!H152,"✗ "&amp;Liens!H152&amp;" (introuvable)"))</f>
        <v/>
      </c>
    </row>
    <row r="158" spans="1:9" x14ac:dyDescent="0.3">
      <c r="A158">
        <v>153</v>
      </c>
      <c r="B158" s="35" t="str">
        <f>IF(Liens!A153="","",IF(COUNTIF(Mots!A:A,Liens!A153)&gt;0,"✓ "&amp;Liens!A153,"✗ "&amp;Liens!A153&amp;" (introuvable)"))</f>
        <v>✓ c_noir</v>
      </c>
      <c r="C158" s="35" t="str">
        <f>IF(Liens!B153="","",IF(COUNTIF(Mots!A:A,Liens!B153)&gt;0,"✓ "&amp;Liens!B153,"✗ "&amp;Liens!B153&amp;" (introuvable)"))</f>
        <v>✓ couleur</v>
      </c>
      <c r="D158" s="35" t="str">
        <f>IF(Liens!C153="","",IF(COUNTIF(Mots!A:A,Liens!C153)&gt;0,"✓ "&amp;Liens!C153,"✗ "&amp;Liens!C153&amp;" (introuvable)"))</f>
        <v>✓ nuit</v>
      </c>
      <c r="E158" s="35" t="str">
        <f>IF(Liens!D153="","",IF(COUNTIF(Mots!A:A,Liens!D153)&gt;0,"✓ "&amp;Liens!D153,"✗ "&amp;Liens!D153&amp;" (introuvable)"))</f>
        <v>✓ p_lune</v>
      </c>
      <c r="F158" s="35" t="str">
        <f>IF(Liens!E153="","",IF(COUNTIF(Mots!A:A,Liens!E153)&gt;0,"✓ "&amp;Liens!E153,"✗ "&amp;Liens!E153&amp;" (introuvable)"))</f>
        <v>✓ cheveux</v>
      </c>
      <c r="G158" s="35" t="str">
        <f>IF(Liens!F153="","",IF(COUNTIF(Mots!A:A,Liens!F153)&gt;0,"✓ "&amp;Liens!F153,"✗ "&amp;Liens!F153&amp;" (introuvable)"))</f>
        <v/>
      </c>
      <c r="H158" s="35" t="str">
        <f>IF(Liens!G153="","",IF(COUNTIF(Mots!A:A,Liens!G153)&gt;0,"✓ "&amp;Liens!G153,"✗ "&amp;Liens!G153&amp;" (introuvable)"))</f>
        <v/>
      </c>
      <c r="I158" s="35" t="str">
        <f>IF(Liens!H153="","",IF(COUNTIF(Mots!A:A,Liens!H153)&gt;0,"✓ "&amp;Liens!H153,"✗ "&amp;Liens!H153&amp;" (introuvable)"))</f>
        <v/>
      </c>
    </row>
    <row r="159" spans="1:9" x14ac:dyDescent="0.3">
      <c r="A159">
        <v>154</v>
      </c>
      <c r="B159" s="35" t="str">
        <f>IF(Liens!A154="","",IF(COUNTIF(Mots!A:A,Liens!A154)&gt;0,"✓ "&amp;Liens!A154,"✗ "&amp;Liens!A154&amp;" (introuvable)"))</f>
        <v>✓ c_orange</v>
      </c>
      <c r="C159" s="35" t="str">
        <f>IF(Liens!B154="","",IF(COUNTIF(Mots!A:A,Liens!B154)&gt;0,"✓ "&amp;Liens!B154,"✗ "&amp;Liens!B154&amp;" (introuvable)"))</f>
        <v>✓ couleur</v>
      </c>
      <c r="D159" s="35" t="str">
        <f>IF(Liens!C154="","",IF(COUNTIF(Mots!A:A,Liens!C154)&gt;0,"✓ "&amp;Liens!C154,"✗ "&amp;Liens!C154&amp;" (introuvable)"))</f>
        <v>✓ orange</v>
      </c>
      <c r="E159" s="35" t="str">
        <f>IF(Liens!D154="","",IF(COUNTIF(Mots!A:A,Liens!D154)&gt;0,"✓ "&amp;Liens!D154,"✗ "&amp;Liens!D154&amp;" (introuvable)"))</f>
        <v/>
      </c>
      <c r="F159" s="35" t="str">
        <f>IF(Liens!E154="","",IF(COUNTIF(Mots!A:A,Liens!E154)&gt;0,"✓ "&amp;Liens!E154,"✗ "&amp;Liens!E154&amp;" (introuvable)"))</f>
        <v/>
      </c>
      <c r="G159" s="35" t="str">
        <f>IF(Liens!F154="","",IF(COUNTIF(Mots!A:A,Liens!F154)&gt;0,"✓ "&amp;Liens!F154,"✗ "&amp;Liens!F154&amp;" (introuvable)"))</f>
        <v/>
      </c>
      <c r="H159" s="35" t="str">
        <f>IF(Liens!G154="","",IF(COUNTIF(Mots!A:A,Liens!G154)&gt;0,"✓ "&amp;Liens!G154,"✗ "&amp;Liens!G154&amp;" (introuvable)"))</f>
        <v/>
      </c>
      <c r="I159" s="35" t="str">
        <f>IF(Liens!H154="","",IF(COUNTIF(Mots!A:A,Liens!H154)&gt;0,"✓ "&amp;Liens!H154,"✗ "&amp;Liens!H154&amp;" (introuvable)"))</f>
        <v/>
      </c>
    </row>
    <row r="160" spans="1:9" x14ac:dyDescent="0.3">
      <c r="A160">
        <v>155</v>
      </c>
      <c r="B160" s="35" t="str">
        <f>IF(Liens!A155="","",IF(COUNTIF(Mots!A:A,Liens!A155)&gt;0,"✓ "&amp;Liens!A155,"✗ "&amp;Liens!A155&amp;" (introuvable)"))</f>
        <v>✓ c_rose</v>
      </c>
      <c r="C160" s="35" t="str">
        <f>IF(Liens!B155="","",IF(COUNTIF(Mots!A:A,Liens!B155)&gt;0,"✓ "&amp;Liens!B155,"✗ "&amp;Liens!B155&amp;" (introuvable)"))</f>
        <v>✓ couleur</v>
      </c>
      <c r="D160" s="35" t="str">
        <f>IF(Liens!C155="","",IF(COUNTIF(Mots!A:A,Liens!C155)&gt;0,"✓ "&amp;Liens!C155,"✗ "&amp;Liens!C155&amp;" (introuvable)"))</f>
        <v/>
      </c>
      <c r="E160" s="35" t="str">
        <f>IF(Liens!D155="","",IF(COUNTIF(Mots!A:A,Liens!D155)&gt;0,"✓ "&amp;Liens!D155,"✗ "&amp;Liens!D155&amp;" (introuvable)"))</f>
        <v/>
      </c>
      <c r="F160" s="35" t="str">
        <f>IF(Liens!E155="","",IF(COUNTIF(Mots!A:A,Liens!E155)&gt;0,"✓ "&amp;Liens!E155,"✗ "&amp;Liens!E155&amp;" (introuvable)"))</f>
        <v/>
      </c>
      <c r="G160" s="35" t="str">
        <f>IF(Liens!F155="","",IF(COUNTIF(Mots!A:A,Liens!F155)&gt;0,"✓ "&amp;Liens!F155,"✗ "&amp;Liens!F155&amp;" (introuvable)"))</f>
        <v/>
      </c>
      <c r="H160" s="35" t="str">
        <f>IF(Liens!G155="","",IF(COUNTIF(Mots!A:A,Liens!G155)&gt;0,"✓ "&amp;Liens!G155,"✗ "&amp;Liens!G155&amp;" (introuvable)"))</f>
        <v/>
      </c>
      <c r="I160" s="35" t="str">
        <f>IF(Liens!H155="","",IF(COUNTIF(Mots!A:A,Liens!H155)&gt;0,"✓ "&amp;Liens!H155,"✗ "&amp;Liens!H155&amp;" (introuvable)"))</f>
        <v/>
      </c>
    </row>
    <row r="161" spans="1:9" x14ac:dyDescent="0.3">
      <c r="A161">
        <v>156</v>
      </c>
      <c r="B161" s="35" t="str">
        <f>IF(Liens!A156="","",IF(COUNTIF(Mots!A:A,Liens!A156)&gt;0,"✓ "&amp;Liens!A156,"✗ "&amp;Liens!A156&amp;" (introuvable)"))</f>
        <v>✓ c_rouge</v>
      </c>
      <c r="C161" s="35" t="str">
        <f>IF(Liens!B156="","",IF(COUNTIF(Mots!A:A,Liens!B156)&gt;0,"✓ "&amp;Liens!B156,"✗ "&amp;Liens!B156&amp;" (introuvable)"))</f>
        <v>✓ couleur</v>
      </c>
      <c r="D161" s="35" t="str">
        <f>IF(Liens!C156="","",IF(COUNTIF(Mots!A:A,Liens!C156)&gt;0,"✓ "&amp;Liens!C156,"✗ "&amp;Liens!C156&amp;" (introuvable)"))</f>
        <v>✓ fraise</v>
      </c>
      <c r="E161" s="35" t="str">
        <f>IF(Liens!D156="","",IF(COUNTIF(Mots!A:A,Liens!D156)&gt;0,"✓ "&amp;Liens!D156,"✗ "&amp;Liens!D156&amp;" (introuvable)"))</f>
        <v>✓ tomate</v>
      </c>
      <c r="F161" s="35" t="str">
        <f>IF(Liens!E156="","",IF(COUNTIF(Mots!A:A,Liens!E156)&gt;0,"✓ "&amp;Liens!E156,"✗ "&amp;Liens!E156&amp;" (introuvable)"))</f>
        <v>✓ framboise</v>
      </c>
      <c r="G161" s="35" t="str">
        <f>IF(Liens!F156="","",IF(COUNTIF(Mots!A:A,Liens!F156)&gt;0,"✓ "&amp;Liens!F156,"✗ "&amp;Liens!F156&amp;" (introuvable)"))</f>
        <v>✓ sang</v>
      </c>
      <c r="H161" s="35" t="str">
        <f>IF(Liens!G156="","",IF(COUNTIF(Mots!A:A,Liens!G156)&gt;0,"✓ "&amp;Liens!G156,"✗ "&amp;Liens!G156&amp;" (introuvable)"))</f>
        <v/>
      </c>
      <c r="I161" s="35" t="str">
        <f>IF(Liens!H156="","",IF(COUNTIF(Mots!A:A,Liens!H156)&gt;0,"✓ "&amp;Liens!H156,"✗ "&amp;Liens!H156&amp;" (introuvable)"))</f>
        <v/>
      </c>
    </row>
    <row r="162" spans="1:9" x14ac:dyDescent="0.3">
      <c r="A162">
        <v>157</v>
      </c>
      <c r="B162" s="35" t="str">
        <f>IF(Liens!A157="","",IF(COUNTIF(Mots!A:A,Liens!A157)&gt;0,"✓ "&amp;Liens!A157,"✗ "&amp;Liens!A157&amp;" (introuvable)"))</f>
        <v>✓ c_roux</v>
      </c>
      <c r="C162" s="35" t="str">
        <f>IF(Liens!B157="","",IF(COUNTIF(Mots!A:A,Liens!B157)&gt;0,"✓ "&amp;Liens!B157,"✗ "&amp;Liens!B157&amp;" (introuvable)"))</f>
        <v>✓ couleur</v>
      </c>
      <c r="D162" s="35" t="str">
        <f>IF(Liens!C157="","",IF(COUNTIF(Mots!A:A,Liens!C157)&gt;0,"✓ "&amp;Liens!C157,"✗ "&amp;Liens!C157&amp;" (introuvable)"))</f>
        <v>✓ cheveux</v>
      </c>
      <c r="E162" s="35" t="str">
        <f>IF(Liens!D157="","",IF(COUNTIF(Mots!A:A,Liens!D157)&gt;0,"✓ "&amp;Liens!D157,"✗ "&amp;Liens!D157&amp;" (introuvable)"))</f>
        <v/>
      </c>
      <c r="F162" s="35" t="str">
        <f>IF(Liens!E157="","",IF(COUNTIF(Mots!A:A,Liens!E157)&gt;0,"✓ "&amp;Liens!E157,"✗ "&amp;Liens!E157&amp;" (introuvable)"))</f>
        <v/>
      </c>
      <c r="G162" s="35" t="str">
        <f>IF(Liens!F157="","",IF(COUNTIF(Mots!A:A,Liens!F157)&gt;0,"✓ "&amp;Liens!F157,"✗ "&amp;Liens!F157&amp;" (introuvable)"))</f>
        <v/>
      </c>
      <c r="H162" s="35" t="str">
        <f>IF(Liens!G157="","",IF(COUNTIF(Mots!A:A,Liens!G157)&gt;0,"✓ "&amp;Liens!G157,"✗ "&amp;Liens!G157&amp;" (introuvable)"))</f>
        <v/>
      </c>
      <c r="I162" s="35" t="str">
        <f>IF(Liens!H157="","",IF(COUNTIF(Mots!A:A,Liens!H157)&gt;0,"✓ "&amp;Liens!H157,"✗ "&amp;Liens!H157&amp;" (introuvable)"))</f>
        <v/>
      </c>
    </row>
    <row r="163" spans="1:9" x14ac:dyDescent="0.3">
      <c r="A163">
        <v>158</v>
      </c>
      <c r="B163" s="35" t="str">
        <f>IF(Liens!A158="","",IF(COUNTIF(Mots!A:A,Liens!A158)&gt;0,"✓ "&amp;Liens!A158,"✗ "&amp;Liens!A158&amp;" (introuvable)"))</f>
        <v>✓ c_vert</v>
      </c>
      <c r="C163" s="35" t="str">
        <f>IF(Liens!B158="","",IF(COUNTIF(Mots!A:A,Liens!B158)&gt;0,"✓ "&amp;Liens!B158,"✗ "&amp;Liens!B158&amp;" (introuvable)"))</f>
        <v>✓ couleur</v>
      </c>
      <c r="D163" s="35" t="str">
        <f>IF(Liens!C158="","",IF(COUNTIF(Mots!A:A,Liens!C158)&gt;0,"✓ "&amp;Liens!C158,"✗ "&amp;Liens!C158&amp;" (introuvable)"))</f>
        <v>✓ plante</v>
      </c>
      <c r="E163" s="35" t="str">
        <f>IF(Liens!D158="","",IF(COUNTIF(Mots!A:A,Liens!D158)&gt;0,"✓ "&amp;Liens!D158,"✗ "&amp;Liens!D158&amp;" (introuvable)"))</f>
        <v>✓ feuille_plante</v>
      </c>
      <c r="F163" s="35" t="str">
        <f>IF(Liens!E158="","",IF(COUNTIF(Mots!A:A,Liens!E158)&gt;0,"✓ "&amp;Liens!E158,"✗ "&amp;Liens!E158&amp;" (introuvable)"))</f>
        <v/>
      </c>
      <c r="G163" s="35" t="str">
        <f>IF(Liens!F158="","",IF(COUNTIF(Mots!A:A,Liens!F158)&gt;0,"✓ "&amp;Liens!F158,"✗ "&amp;Liens!F158&amp;" (introuvable)"))</f>
        <v/>
      </c>
      <c r="H163" s="35" t="str">
        <f>IF(Liens!G158="","",IF(COUNTIF(Mots!A:A,Liens!G158)&gt;0,"✓ "&amp;Liens!G158,"✗ "&amp;Liens!G158&amp;" (introuvable)"))</f>
        <v/>
      </c>
      <c r="I163" s="35" t="str">
        <f>IF(Liens!H158="","",IF(COUNTIF(Mots!A:A,Liens!H158)&gt;0,"✓ "&amp;Liens!H158,"✗ "&amp;Liens!H158&amp;" (introuvable)"))</f>
        <v/>
      </c>
    </row>
    <row r="164" spans="1:9" x14ac:dyDescent="0.3">
      <c r="A164">
        <v>159</v>
      </c>
      <c r="B164" s="35" t="str">
        <f>IF(Liens!A159="","",IF(COUNTIF(Mots!A:A,Liens!A159)&gt;0,"✓ "&amp;Liens!A159,"✗ "&amp;Liens!A159&amp;" (introuvable)"))</f>
        <v>✓ cadeau</v>
      </c>
      <c r="C164" s="35" t="str">
        <f>IF(Liens!B159="","",IF(COUNTIF(Mots!A:A,Liens!B159)&gt;0,"✓ "&amp;Liens!B159,"✗ "&amp;Liens!B159&amp;" (introuvable)"))</f>
        <v>✓ fete</v>
      </c>
      <c r="D164" s="35" t="str">
        <f>IF(Liens!C159="","",IF(COUNTIF(Mots!A:A,Liens!C159)&gt;0,"✓ "&amp;Liens!C159,"✗ "&amp;Liens!C159&amp;" (introuvable)"))</f>
        <v>✓ anniversaire</v>
      </c>
      <c r="E164" s="35" t="str">
        <f>IF(Liens!D159="","",IF(COUNTIF(Mots!A:A,Liens!D159)&gt;0,"✓ "&amp;Liens!D159,"✗ "&amp;Liens!D159&amp;" (introuvable)"))</f>
        <v>✓ enfants</v>
      </c>
      <c r="F164" s="35" t="str">
        <f>IF(Liens!E159="","",IF(COUNTIF(Mots!A:A,Liens!E159)&gt;0,"✓ "&amp;Liens!E159,"✗ "&amp;Liens!E159&amp;" (introuvable)"))</f>
        <v>✓ v_donner</v>
      </c>
      <c r="G164" s="35" t="str">
        <f>IF(Liens!F159="","",IF(COUNTIF(Mots!A:A,Liens!F159)&gt;0,"✓ "&amp;Liens!F159,"✗ "&amp;Liens!F159&amp;" (introuvable)"))</f>
        <v/>
      </c>
      <c r="H164" s="35" t="str">
        <f>IF(Liens!G159="","",IF(COUNTIF(Mots!A:A,Liens!G159)&gt;0,"✓ "&amp;Liens!G159,"✗ "&amp;Liens!G159&amp;" (introuvable)"))</f>
        <v/>
      </c>
      <c r="I164" s="35" t="str">
        <f>IF(Liens!H159="","",IF(COUNTIF(Mots!A:A,Liens!H159)&gt;0,"✓ "&amp;Liens!H159,"✗ "&amp;Liens!H159&amp;" (introuvable)"))</f>
        <v/>
      </c>
    </row>
    <row r="165" spans="1:9" x14ac:dyDescent="0.3">
      <c r="A165">
        <v>160</v>
      </c>
      <c r="B165" s="35" t="str">
        <f>IF(Liens!A160="","",IF(COUNTIF(Mots!A:A,Liens!A160)&gt;0,"✓ "&amp;Liens!A160,"✗ "&amp;Liens!A160&amp;" (introuvable)"))</f>
        <v>✓ cahier</v>
      </c>
      <c r="C165" s="35" t="str">
        <f>IF(Liens!B160="","",IF(COUNTIF(Mots!A:A,Liens!B160)&gt;0,"✓ "&amp;Liens!B160,"✗ "&amp;Liens!B160&amp;" (introuvable)"))</f>
        <v>✓ devoir</v>
      </c>
      <c r="D165" s="35" t="str">
        <f>IF(Liens!C160="","",IF(COUNTIF(Mots!A:A,Liens!C160)&gt;0,"✓ "&amp;Liens!C160,"✗ "&amp;Liens!C160&amp;" (introuvable)"))</f>
        <v>✓ feuille_papier</v>
      </c>
      <c r="E165" s="35" t="str">
        <f>IF(Liens!D160="","",IF(COUNTIF(Mots!A:A,Liens!D160)&gt;0,"✓ "&amp;Liens!D160,"✗ "&amp;Liens!D160&amp;" (introuvable)"))</f>
        <v>✓ papier</v>
      </c>
      <c r="F165" s="35" t="str">
        <f>IF(Liens!E160="","",IF(COUNTIF(Mots!A:A,Liens!E160)&gt;0,"✓ "&amp;Liens!E160,"✗ "&amp;Liens!E160&amp;" (introuvable)"))</f>
        <v>✓ crayon</v>
      </c>
      <c r="G165" s="35" t="str">
        <f>IF(Liens!F160="","",IF(COUNTIF(Mots!A:A,Liens!F160)&gt;0,"✓ "&amp;Liens!F160,"✗ "&amp;Liens!F160&amp;" (introuvable)"))</f>
        <v>✓ stylo</v>
      </c>
      <c r="H165" s="35" t="str">
        <f>IF(Liens!G160="","",IF(COUNTIF(Mots!A:A,Liens!G160)&gt;0,"✓ "&amp;Liens!G160,"✗ "&amp;Liens!G160&amp;" (introuvable)"))</f>
        <v>✓ v_ecrire</v>
      </c>
      <c r="I165" s="35" t="str">
        <f>IF(Liens!H160="","",IF(COUNTIF(Mots!A:A,Liens!H160)&gt;0,"✓ "&amp;Liens!H160,"✗ "&amp;Liens!H160&amp;" (introuvable)"))</f>
        <v>✓ erreur</v>
      </c>
    </row>
    <row r="166" spans="1:9" x14ac:dyDescent="0.3">
      <c r="A166">
        <v>161</v>
      </c>
      <c r="B166" s="35" t="str">
        <f>IF(Liens!A161="","",IF(COUNTIF(Mots!A:A,Liens!A161)&gt;0,"✓ "&amp;Liens!A161,"✗ "&amp;Liens!A161&amp;" (introuvable)"))</f>
        <v>✓ caisse_paiement</v>
      </c>
      <c r="C166" s="35" t="str">
        <f>IF(Liens!B161="","",IF(COUNTIF(Mots!A:A,Liens!B161)&gt;0,"✓ "&amp;Liens!B161,"✗ "&amp;Liens!B161&amp;" (introuvable)"))</f>
        <v>✓ magasin</v>
      </c>
      <c r="D166" s="35" t="str">
        <f>IF(Liens!C161="","",IF(COUNTIF(Mots!A:A,Liens!C161)&gt;0,"✓ "&amp;Liens!C161,"✗ "&amp;Liens!C161&amp;" (introuvable)"))</f>
        <v>✓ achat</v>
      </c>
      <c r="E166" s="35" t="str">
        <f>IF(Liens!D161="","",IF(COUNTIF(Mots!A:A,Liens!D161)&gt;0,"✓ "&amp;Liens!D161,"✗ "&amp;Liens!D161&amp;" (introuvable)"))</f>
        <v>✓ nourriture</v>
      </c>
      <c r="F166" s="35" t="str">
        <f>IF(Liens!E161="","",IF(COUNTIF(Mots!A:A,Liens!E161)&gt;0,"✓ "&amp;Liens!E161,"✗ "&amp;Liens!E161&amp;" (introuvable)"))</f>
        <v>✓ habit</v>
      </c>
      <c r="G166" s="35" t="str">
        <f>IF(Liens!F161="","",IF(COUNTIF(Mots!A:A,Liens!F161)&gt;0,"✓ "&amp;Liens!F161,"✗ "&amp;Liens!F161&amp;" (introuvable)"))</f>
        <v>✓ vetement</v>
      </c>
      <c r="H166" s="35" t="str">
        <f>IF(Liens!G161="","",IF(COUNTIF(Mots!A:A,Liens!G161)&gt;0,"✓ "&amp;Liens!G161,"✗ "&amp;Liens!G161&amp;" (introuvable)"))</f>
        <v>✓ souliers</v>
      </c>
      <c r="I166" s="35" t="str">
        <f>IF(Liens!H161="","",IF(COUNTIF(Mots!A:A,Liens!H161)&gt;0,"✓ "&amp;Liens!H161,"✗ "&amp;Liens!H161&amp;" (introuvable)"))</f>
        <v>✓ v_payer</v>
      </c>
    </row>
    <row r="167" spans="1:9" x14ac:dyDescent="0.3">
      <c r="A167">
        <v>162</v>
      </c>
      <c r="B167" s="35" t="str">
        <f>IF(Liens!A162="","",IF(COUNTIF(Mots!A:A,Liens!A162)&gt;0,"✓ "&amp;Liens!A162,"✗ "&amp;Liens!A162&amp;" (introuvable)"))</f>
        <v>✓ calcul</v>
      </c>
      <c r="C167" s="35" t="str">
        <f>IF(Liens!B162="","",IF(COUNTIF(Mots!A:A,Liens!B162)&gt;0,"✓ "&amp;Liens!B162,"✗ "&amp;Liens!B162&amp;" (introuvable)"))</f>
        <v>✓ nombre</v>
      </c>
      <c r="D167" s="35" t="str">
        <f>IF(Liens!C162="","",IF(COUNTIF(Mots!A:A,Liens!C162)&gt;0,"✓ "&amp;Liens!C162,"✗ "&amp;Liens!C162&amp;" (introuvable)"))</f>
        <v>✓ somme</v>
      </c>
      <c r="E167" s="35" t="str">
        <f>IF(Liens!D162="","",IF(COUNTIF(Mots!A:A,Liens!D162)&gt;0,"✓ "&amp;Liens!D162,"✗ "&amp;Liens!D162&amp;" (introuvable)"))</f>
        <v>✓ total</v>
      </c>
      <c r="F167" s="35" t="str">
        <f>IF(Liens!E162="","",IF(COUNTIF(Mots!A:A,Liens!E162)&gt;0,"✓ "&amp;Liens!E162,"✗ "&amp;Liens!E162&amp;" (introuvable)"))</f>
        <v>✓ calculatrice</v>
      </c>
      <c r="G167" s="35" t="str">
        <f>IF(Liens!F162="","",IF(COUNTIF(Mots!A:A,Liens!F162)&gt;0,"✓ "&amp;Liens!F162,"✗ "&amp;Liens!F162&amp;" (introuvable)"))</f>
        <v>✓ v_apprendre</v>
      </c>
      <c r="H167" s="35" t="str">
        <f>IF(Liens!G162="","",IF(COUNTIF(Mots!A:A,Liens!G162)&gt;0,"✓ "&amp;Liens!G162,"✗ "&amp;Liens!G162&amp;" (introuvable)"))</f>
        <v/>
      </c>
      <c r="I167" s="35" t="str">
        <f>IF(Liens!H162="","",IF(COUNTIF(Mots!A:A,Liens!H162)&gt;0,"✓ "&amp;Liens!H162,"✗ "&amp;Liens!H162&amp;" (introuvable)"))</f>
        <v/>
      </c>
    </row>
    <row r="168" spans="1:9" x14ac:dyDescent="0.3">
      <c r="A168">
        <v>163</v>
      </c>
      <c r="B168" s="35" t="str">
        <f>IF(Liens!A163="","",IF(COUNTIF(Mots!A:A,Liens!A163)&gt;0,"✓ "&amp;Liens!A163,"✗ "&amp;Liens!A163&amp;" (introuvable)"))</f>
        <v>✓ calculatrice</v>
      </c>
      <c r="C168" s="35" t="str">
        <f>IF(Liens!B163="","",IF(COUNTIF(Mots!A:A,Liens!B163)&gt;0,"✓ "&amp;Liens!B163,"✗ "&amp;Liens!B163&amp;" (introuvable)"))</f>
        <v>✓ calcul</v>
      </c>
      <c r="D168" s="35" t="str">
        <f>IF(Liens!C163="","",IF(COUNTIF(Mots!A:A,Liens!C163)&gt;0,"✓ "&amp;Liens!C163,"✗ "&amp;Liens!C163&amp;" (introuvable)"))</f>
        <v>✓ nombre</v>
      </c>
      <c r="E168" s="35" t="str">
        <f>IF(Liens!D163="","",IF(COUNTIF(Mots!A:A,Liens!D163)&gt;0,"✓ "&amp;Liens!D163,"✗ "&amp;Liens!D163&amp;" (introuvable)"))</f>
        <v>✓ somme</v>
      </c>
      <c r="F168" s="35" t="str">
        <f>IF(Liens!E163="","",IF(COUNTIF(Mots!A:A,Liens!E163)&gt;0,"✓ "&amp;Liens!E163,"✗ "&amp;Liens!E163&amp;" (introuvable)"))</f>
        <v>✓ total</v>
      </c>
      <c r="G168" s="35" t="str">
        <f>IF(Liens!F163="","",IF(COUNTIF(Mots!A:A,Liens!F163)&gt;0,"✓ "&amp;Liens!F163,"✗ "&amp;Liens!F163&amp;" (introuvable)"))</f>
        <v>✓ smartphone</v>
      </c>
      <c r="H168" s="35" t="str">
        <f>IF(Liens!G163="","",IF(COUNTIF(Mots!A:A,Liens!G163)&gt;0,"✓ "&amp;Liens!G163,"✗ "&amp;Liens!G163&amp;" (introuvable)"))</f>
        <v>✓ appareil</v>
      </c>
      <c r="I168" s="35" t="str">
        <f>IF(Liens!H163="","",IF(COUNTIF(Mots!A:A,Liens!H163)&gt;0,"✓ "&amp;Liens!H163,"✗ "&amp;Liens!H163&amp;" (introuvable)"))</f>
        <v/>
      </c>
    </row>
    <row r="169" spans="1:9" x14ac:dyDescent="0.3">
      <c r="A169">
        <v>164</v>
      </c>
      <c r="B169" s="35" t="str">
        <f>IF(Liens!A164="","",IF(COUNTIF(Mots!A:A,Liens!A164)&gt;0,"✓ "&amp;Liens!A164,"✗ "&amp;Liens!A164&amp;" (introuvable)"))</f>
        <v>✓ calendrier</v>
      </c>
      <c r="C169" s="35" t="str">
        <f>IF(Liens!B164="","",IF(COUNTIF(Mots!A:A,Liens!B164)&gt;0,"✓ "&amp;Liens!B164,"✗ "&amp;Liens!B164&amp;" (introuvable)"))</f>
        <v>✓ tableau</v>
      </c>
      <c r="D169" s="35" t="str">
        <f>IF(Liens!C164="","",IF(COUNTIF(Mots!A:A,Liens!C164)&gt;0,"✓ "&amp;Liens!C164,"✗ "&amp;Liens!C164&amp;" (introuvable)"))</f>
        <v>✓ annee</v>
      </c>
      <c r="E169" s="35" t="str">
        <f>IF(Liens!D164="","",IF(COUNTIF(Mots!A:A,Liens!D164)&gt;0,"✓ "&amp;Liens!D164,"✗ "&amp;Liens!D164&amp;" (introuvable)"))</f>
        <v>✓ mois</v>
      </c>
      <c r="F169" s="35" t="str">
        <f>IF(Liens!E164="","",IF(COUNTIF(Mots!A:A,Liens!E164)&gt;0,"✓ "&amp;Liens!E164,"✗ "&amp;Liens!E164&amp;" (introuvable)"))</f>
        <v>✓ semaine</v>
      </c>
      <c r="G169" s="35" t="str">
        <f>IF(Liens!F164="","",IF(COUNTIF(Mots!A:A,Liens!F164)&gt;0,"✓ "&amp;Liens!F164,"✗ "&amp;Liens!F164&amp;" (introuvable)"))</f>
        <v>✓ jour</v>
      </c>
      <c r="H169" s="35" t="str">
        <f>IF(Liens!G164="","",IF(COUNTIF(Mots!A:A,Liens!G164)&gt;0,"✓ "&amp;Liens!G164,"✗ "&amp;Liens!G164&amp;" (introuvable)"))</f>
        <v>✓ medecin</v>
      </c>
      <c r="I169" s="35" t="str">
        <f>IF(Liens!H164="","",IF(COUNTIF(Mots!A:A,Liens!H164)&gt;0,"✓ "&amp;Liens!H164,"✗ "&amp;Liens!H164&amp;" (introuvable)"))</f>
        <v>✓ garage_nord</v>
      </c>
    </row>
    <row r="170" spans="1:9" x14ac:dyDescent="0.3">
      <c r="A170">
        <v>165</v>
      </c>
      <c r="B170" s="35" t="str">
        <f>IF(Liens!A165="","",IF(COUNTIF(Mots!A:A,Liens!A165)&gt;0,"✓ "&amp;Liens!A165,"✗ "&amp;Liens!A165&amp;" (introuvable)"))</f>
        <v>✓ calme</v>
      </c>
      <c r="C170" s="35" t="str">
        <f>IF(Liens!B165="","",IF(COUNTIF(Mots!A:A,Liens!B165)&gt;0,"✓ "&amp;Liens!B165,"✗ "&amp;Liens!B165&amp;" (introuvable)"))</f>
        <v>✓ a_calme_agite</v>
      </c>
      <c r="D170" s="35" t="str">
        <f>IF(Liens!C165="","",IF(COUNTIF(Mots!A:A,Liens!C165)&gt;0,"✓ "&amp;Liens!C165,"✗ "&amp;Liens!C165&amp;" (introuvable)"))</f>
        <v>✓ bruit</v>
      </c>
      <c r="E170" s="35" t="str">
        <f>IF(Liens!D165="","",IF(COUNTIF(Mots!A:A,Liens!D165)&gt;0,"✓ "&amp;Liens!D165,"✗ "&amp;Liens!D165&amp;" (introuvable)"))</f>
        <v>✓ agitation</v>
      </c>
      <c r="F170" s="35" t="str">
        <f>IF(Liens!E165="","",IF(COUNTIF(Mots!A:A,Liens!E165)&gt;0,"✓ "&amp;Liens!E165,"✗ "&amp;Liens!E165&amp;" (introuvable)"))</f>
        <v>✓ repos</v>
      </c>
      <c r="G170" s="35" t="str">
        <f>IF(Liens!F165="","",IF(COUNTIF(Mots!A:A,Liens!F165)&gt;0,"✓ "&amp;Liens!F165,"✗ "&amp;Liens!F165&amp;" (introuvable)"))</f>
        <v>✓ v_dormir</v>
      </c>
      <c r="H170" s="35" t="str">
        <f>IF(Liens!G165="","",IF(COUNTIF(Mots!A:A,Liens!G165)&gt;0,"✓ "&amp;Liens!G165,"✗ "&amp;Liens!G165&amp;" (introuvable)"))</f>
        <v>✓ nuit</v>
      </c>
      <c r="I170" s="35" t="str">
        <f>IF(Liens!H165="","",IF(COUNTIF(Mots!A:A,Liens!H165)&gt;0,"✓ "&amp;Liens!H165,"✗ "&amp;Liens!H165&amp;" (introuvable)"))</f>
        <v/>
      </c>
    </row>
    <row r="171" spans="1:9" x14ac:dyDescent="0.3">
      <c r="A171">
        <v>166</v>
      </c>
      <c r="B171" s="35" t="str">
        <f>IF(Liens!A166="","",IF(COUNTIF(Mots!A:A,Liens!A166)&gt;0,"✓ "&amp;Liens!A166,"✗ "&amp;Liens!A166&amp;" (introuvable)"))</f>
        <v>✓ camion</v>
      </c>
      <c r="C171" s="35" t="str">
        <f>IF(Liens!B166="","",IF(COUNTIF(Mots!A:A,Liens!B166)&gt;0,"✓ "&amp;Liens!B166,"✗ "&amp;Liens!B166&amp;" (introuvable)"))</f>
        <v>✓ route</v>
      </c>
      <c r="D171" s="35" t="str">
        <f>IF(Liens!C166="","",IF(COUNTIF(Mots!A:A,Liens!C166)&gt;0,"✓ "&amp;Liens!C166,"✗ "&amp;Liens!C166&amp;" (introuvable)"))</f>
        <v>✓ chauffeur_car</v>
      </c>
      <c r="E171" s="35" t="str">
        <f>IF(Liens!D166="","",IF(COUNTIF(Mots!A:A,Liens!D166)&gt;0,"✓ "&amp;Liens!D166,"✗ "&amp;Liens!D166&amp;" (introuvable)"))</f>
        <v>✓ construction</v>
      </c>
      <c r="F171" s="35" t="str">
        <f>IF(Liens!E166="","",IF(COUNTIF(Mots!A:A,Liens!E166)&gt;0,"✓ "&amp;Liens!E166,"✗ "&amp;Liens!E166&amp;" (introuvable)"))</f>
        <v/>
      </c>
      <c r="G171" s="35" t="str">
        <f>IF(Liens!F166="","",IF(COUNTIF(Mots!A:A,Liens!F166)&gt;0,"✓ "&amp;Liens!F166,"✗ "&amp;Liens!F166&amp;" (introuvable)"))</f>
        <v/>
      </c>
      <c r="H171" s="35" t="str">
        <f>IF(Liens!G166="","",IF(COUNTIF(Mots!A:A,Liens!G166)&gt;0,"✓ "&amp;Liens!G166,"✗ "&amp;Liens!G166&amp;" (introuvable)"))</f>
        <v/>
      </c>
      <c r="I171" s="35" t="str">
        <f>IF(Liens!H166="","",IF(COUNTIF(Mots!A:A,Liens!H166)&gt;0,"✓ "&amp;Liens!H166,"✗ "&amp;Liens!H166&amp;" (introuvable)"))</f>
        <v/>
      </c>
    </row>
    <row r="172" spans="1:9" x14ac:dyDescent="0.3">
      <c r="A172">
        <v>167</v>
      </c>
      <c r="B172" s="35" t="str">
        <f>IF(Liens!A167="","",IF(COUNTIF(Mots!A:A,Liens!A167)&gt;0,"✓ "&amp;Liens!A167,"✗ "&amp;Liens!A167&amp;" (introuvable)"))</f>
        <v>✓ campagne</v>
      </c>
      <c r="C172" s="35" t="str">
        <f>IF(Liens!B167="","",IF(COUNTIF(Mots!A:A,Liens!B167)&gt;0,"✓ "&amp;Liens!B167,"✗ "&amp;Liens!B167&amp;" (introuvable)"))</f>
        <v>✓ nature</v>
      </c>
      <c r="D172" s="35" t="str">
        <f>IF(Liens!C167="","",IF(COUNTIF(Mots!A:A,Liens!C167)&gt;0,"✓ "&amp;Liens!C167,"✗ "&amp;Liens!C167&amp;" (introuvable)"))</f>
        <v>✓ champ</v>
      </c>
      <c r="E172" s="35" t="str">
        <f>IF(Liens!D167="","",IF(COUNTIF(Mots!A:A,Liens!D167)&gt;0,"✓ "&amp;Liens!D167,"✗ "&amp;Liens!D167&amp;" (introuvable)"))</f>
        <v>✓ village</v>
      </c>
      <c r="F172" s="35" t="str">
        <f>IF(Liens!E167="","",IF(COUNTIF(Mots!A:A,Liens!E167)&gt;0,"✓ "&amp;Liens!E167,"✗ "&amp;Liens!E167&amp;" (introuvable)"))</f>
        <v>✓ ferme</v>
      </c>
      <c r="G172" s="35" t="str">
        <f>IF(Liens!F167="","",IF(COUNTIF(Mots!A:A,Liens!F167)&gt;0,"✓ "&amp;Liens!F167,"✗ "&amp;Liens!F167&amp;" (introuvable)"))</f>
        <v>✓ montagne</v>
      </c>
      <c r="H172" s="35" t="str">
        <f>IF(Liens!G167="","",IF(COUNTIF(Mots!A:A,Liens!G167)&gt;0,"✓ "&amp;Liens!G167,"✗ "&amp;Liens!G167&amp;" (introuvable)"))</f>
        <v>✓ riviere</v>
      </c>
      <c r="I172" s="35" t="str">
        <f>IF(Liens!H167="","",IF(COUNTIF(Mots!A:A,Liens!H167)&gt;0,"✓ "&amp;Liens!H167,"✗ "&amp;Liens!H167&amp;" (introuvable)"))</f>
        <v>✓ lac</v>
      </c>
    </row>
    <row r="173" spans="1:9" x14ac:dyDescent="0.3">
      <c r="A173">
        <v>168</v>
      </c>
      <c r="B173" s="35" t="str">
        <f>IF(Liens!A168="","",IF(COUNTIF(Mots!A:A,Liens!A168)&gt;0,"✓ "&amp;Liens!A168,"✗ "&amp;Liens!A168&amp;" (introuvable)"))</f>
        <v>✓ camping</v>
      </c>
      <c r="C173" s="35" t="str">
        <f>IF(Liens!B168="","",IF(COUNTIF(Mots!A:A,Liens!B168)&gt;0,"✓ "&amp;Liens!B168,"✗ "&amp;Liens!B168&amp;" (introuvable)"))</f>
        <v>✓ vacances</v>
      </c>
      <c r="D173" s="35" t="str">
        <f>IF(Liens!C168="","",IF(COUNTIF(Mots!A:A,Liens!C168)&gt;0,"✓ "&amp;Liens!C168,"✗ "&amp;Liens!C168&amp;" (introuvable)"))</f>
        <v>✓ mer</v>
      </c>
      <c r="E173" s="35" t="str">
        <f>IF(Liens!D168="","",IF(COUNTIF(Mots!A:A,Liens!D168)&gt;0,"✓ "&amp;Liens!D168,"✗ "&amp;Liens!D168&amp;" (introuvable)"))</f>
        <v>✓ tente</v>
      </c>
      <c r="F173" s="35" t="str">
        <f>IF(Liens!E168="","",IF(COUNTIF(Mots!A:A,Liens!E168)&gt;0,"✓ "&amp;Liens!E168,"✗ "&amp;Liens!E168&amp;" (introuvable)"))</f>
        <v>✓ v_dormir</v>
      </c>
      <c r="G173" s="35" t="str">
        <f>IF(Liens!F168="","",IF(COUNTIF(Mots!A:A,Liens!F168)&gt;0,"✓ "&amp;Liens!F168,"✗ "&amp;Liens!F168&amp;" (introuvable)"))</f>
        <v>✓ p_lune</v>
      </c>
      <c r="H173" s="35" t="str">
        <f>IF(Liens!G168="","",IF(COUNTIF(Mots!A:A,Liens!G168)&gt;0,"✓ "&amp;Liens!G168,"✗ "&amp;Liens!G168&amp;" (introuvable)"))</f>
        <v>✓ etoile</v>
      </c>
      <c r="I173" s="35" t="str">
        <f>IF(Liens!H168="","",IF(COUNTIF(Mots!A:A,Liens!H168)&gt;0,"✓ "&amp;Liens!H168,"✗ "&amp;Liens!H168&amp;" (introuvable)"))</f>
        <v>✓ feu</v>
      </c>
    </row>
    <row r="174" spans="1:9" x14ac:dyDescent="0.3">
      <c r="A174">
        <v>169</v>
      </c>
      <c r="B174" s="35" t="str">
        <f>IF(Liens!A169="","",IF(COUNTIF(Mots!A:A,Liens!A169)&gt;0,"✓ "&amp;Liens!A169,"✗ "&amp;Liens!A169&amp;" (introuvable)"))</f>
        <v>✓ canard</v>
      </c>
      <c r="C174" s="35" t="str">
        <f>IF(Liens!B169="","",IF(COUNTIF(Mots!A:A,Liens!B169)&gt;0,"✓ "&amp;Liens!B169,"✗ "&amp;Liens!B169&amp;" (introuvable)"))</f>
        <v>✓ animal</v>
      </c>
      <c r="D174" s="35" t="str">
        <f>IF(Liens!C169="","",IF(COUNTIF(Mots!A:A,Liens!C169)&gt;0,"✓ "&amp;Liens!C169,"✗ "&amp;Liens!C169&amp;" (introuvable)"))</f>
        <v>✓ plume</v>
      </c>
      <c r="E174" s="35" t="str">
        <f>IF(Liens!D169="","",IF(COUNTIF(Mots!A:A,Liens!D169)&gt;0,"✓ "&amp;Liens!D169,"✗ "&amp;Liens!D169&amp;" (introuvable)"))</f>
        <v>✓ v_voler</v>
      </c>
      <c r="F174" s="35" t="str">
        <f>IF(Liens!E169="","",IF(COUNTIF(Mots!A:A,Liens!E169)&gt;0,"✓ "&amp;Liens!E169,"✗ "&amp;Liens!E169&amp;" (introuvable)"))</f>
        <v>✓ v_nager</v>
      </c>
      <c r="G174" s="35" t="str">
        <f>IF(Liens!F169="","",IF(COUNTIF(Mots!A:A,Liens!F169)&gt;0,"✓ "&amp;Liens!F169,"✗ "&amp;Liens!F169&amp;" (introuvable)"))</f>
        <v>✓ poisson</v>
      </c>
      <c r="H174" s="35" t="str">
        <f>IF(Liens!G169="","",IF(COUNTIF(Mots!A:A,Liens!G169)&gt;0,"✓ "&amp;Liens!G169,"✗ "&amp;Liens!G169&amp;" (introuvable)"))</f>
        <v>✓ v_manger</v>
      </c>
      <c r="I174" s="35" t="str">
        <f>IF(Liens!H169="","",IF(COUNTIF(Mots!A:A,Liens!H169)&gt;0,"✓ "&amp;Liens!H169,"✗ "&amp;Liens!H169&amp;" (introuvable)"))</f>
        <v/>
      </c>
    </row>
    <row r="175" spans="1:9" x14ac:dyDescent="0.3">
      <c r="A175">
        <v>170</v>
      </c>
      <c r="B175" s="35" t="str">
        <f>IF(Liens!A170="","",IF(COUNTIF(Mots!A:A,Liens!A170)&gt;0,"✓ "&amp;Liens!A170,"✗ "&amp;Liens!A170&amp;" (introuvable)"))</f>
        <v>✓ caoutchouc</v>
      </c>
      <c r="C175" s="35" t="str">
        <f>IF(Liens!B170="","",IF(COUNTIF(Mots!A:A,Liens!B170)&gt;0,"✓ "&amp;Liens!B170,"✗ "&amp;Liens!B170&amp;" (introuvable)"))</f>
        <v>✓ matiere</v>
      </c>
      <c r="D175" s="35" t="str">
        <f>IF(Liens!C170="","",IF(COUNTIF(Mots!A:A,Liens!C170)&gt;0,"✓ "&amp;Liens!C170,"✗ "&amp;Liens!C170&amp;" (introuvable)"))</f>
        <v>✓ pneu</v>
      </c>
      <c r="E175" s="35" t="str">
        <f>IF(Liens!D170="","",IF(COUNTIF(Mots!A:A,Liens!D170)&gt;0,"✓ "&amp;Liens!D170,"✗ "&amp;Liens!D170&amp;" (introuvable)"))</f>
        <v>✓ roue</v>
      </c>
      <c r="F175" s="35" t="str">
        <f>IF(Liens!E170="","",IF(COUNTIF(Mots!A:A,Liens!E170)&gt;0,"✓ "&amp;Liens!E170,"✗ "&amp;Liens!E170&amp;" (introuvable)"))</f>
        <v>✓ voiture</v>
      </c>
      <c r="G175" s="35" t="str">
        <f>IF(Liens!F170="","",IF(COUNTIF(Mots!A:A,Liens!F170)&gt;0,"✓ "&amp;Liens!F170,"✗ "&amp;Liens!F170&amp;" (introuvable)"))</f>
        <v/>
      </c>
      <c r="H175" s="35" t="str">
        <f>IF(Liens!G170="","",IF(COUNTIF(Mots!A:A,Liens!G170)&gt;0,"✓ "&amp;Liens!G170,"✗ "&amp;Liens!G170&amp;" (introuvable)"))</f>
        <v/>
      </c>
      <c r="I175" s="35" t="str">
        <f>IF(Liens!H170="","",IF(COUNTIF(Mots!A:A,Liens!H170)&gt;0,"✓ "&amp;Liens!H170,"✗ "&amp;Liens!H170&amp;" (introuvable)"))</f>
        <v/>
      </c>
    </row>
    <row r="176" spans="1:9" x14ac:dyDescent="0.3">
      <c r="A176">
        <v>171</v>
      </c>
      <c r="B176" s="35" t="str">
        <f>IF(Liens!A171="","",IF(COUNTIF(Mots!A:A,Liens!A171)&gt;0,"✓ "&amp;Liens!A171,"✗ "&amp;Liens!A171&amp;" (introuvable)"))</f>
        <v>✓ carnet</v>
      </c>
      <c r="C176" s="35" t="str">
        <f>IF(Liens!B171="","",IF(COUNTIF(Mots!A:A,Liens!B171)&gt;0,"✓ "&amp;Liens!B171,"✗ "&amp;Liens!B171&amp;" (introuvable)"))</f>
        <v>✓ cahier</v>
      </c>
      <c r="D176" s="35" t="str">
        <f>IF(Liens!C171="","",IF(COUNTIF(Mots!A:A,Liens!C171)&gt;0,"✓ "&amp;Liens!C171,"✗ "&amp;Liens!C171&amp;" (introuvable)"))</f>
        <v>✓ v_ecrire</v>
      </c>
      <c r="E176" s="35" t="str">
        <f>IF(Liens!D171="","",IF(COUNTIF(Mots!A:A,Liens!D171)&gt;0,"✓ "&amp;Liens!D171,"✗ "&amp;Liens!D171&amp;" (introuvable)"))</f>
        <v>✓ crayon</v>
      </c>
      <c r="F176" s="35" t="str">
        <f>IF(Liens!E171="","",IF(COUNTIF(Mots!A:A,Liens!E171)&gt;0,"✓ "&amp;Liens!E171,"✗ "&amp;Liens!E171&amp;" (introuvable)"))</f>
        <v>✓ stylo</v>
      </c>
      <c r="G176" s="35" t="str">
        <f>IF(Liens!F171="","",IF(COUNTIF(Mots!A:A,Liens!F171)&gt;0,"✓ "&amp;Liens!F171,"✗ "&amp;Liens!F171&amp;" (introuvable)"))</f>
        <v/>
      </c>
      <c r="H176" s="35" t="str">
        <f>IF(Liens!G171="","",IF(COUNTIF(Mots!A:A,Liens!G171)&gt;0,"✓ "&amp;Liens!G171,"✗ "&amp;Liens!G171&amp;" (introuvable)"))</f>
        <v/>
      </c>
      <c r="I176" s="35" t="str">
        <f>IF(Liens!H171="","",IF(COUNTIF(Mots!A:A,Liens!H171)&gt;0,"✓ "&amp;Liens!H171,"✗ "&amp;Liens!H171&amp;" (introuvable)"))</f>
        <v/>
      </c>
    </row>
    <row r="177" spans="1:9" x14ac:dyDescent="0.3">
      <c r="A177">
        <v>172</v>
      </c>
      <c r="B177" s="35" t="str">
        <f>IF(Liens!A172="","",IF(COUNTIF(Mots!A:A,Liens!A172)&gt;0,"✓ "&amp;Liens!A172,"✗ "&amp;Liens!A172&amp;" (introuvable)"))</f>
        <v>✓ carotte</v>
      </c>
      <c r="C177" s="35" t="str">
        <f>IF(Liens!B172="","",IF(COUNTIF(Mots!A:A,Liens!B172)&gt;0,"✓ "&amp;Liens!B172,"✗ "&amp;Liens!B172&amp;" (introuvable)"))</f>
        <v>✓ legume</v>
      </c>
      <c r="D177" s="35" t="str">
        <f>IF(Liens!C172="","",IF(COUNTIF(Mots!A:A,Liens!C172)&gt;0,"✓ "&amp;Liens!C172,"✗ "&amp;Liens!C172&amp;" (introuvable)"))</f>
        <v>✓ orange</v>
      </c>
      <c r="E177" s="35" t="str">
        <f>IF(Liens!D172="","",IF(COUNTIF(Mots!A:A,Liens!D172)&gt;0,"✓ "&amp;Liens!D172,"✗ "&amp;Liens!D172&amp;" (introuvable)"))</f>
        <v>✓ jardin</v>
      </c>
      <c r="F177" s="35" t="str">
        <f>IF(Liens!E172="","",IF(COUNTIF(Mots!A:A,Liens!E172)&gt;0,"✓ "&amp;Liens!E172,"✗ "&amp;Liens!E172&amp;" (introuvable)"))</f>
        <v>✓ v_manger</v>
      </c>
      <c r="G177" s="35" t="str">
        <f>IF(Liens!F172="","",IF(COUNTIF(Mots!A:A,Liens!F172)&gt;0,"✓ "&amp;Liens!F172,"✗ "&amp;Liens!F172&amp;" (introuvable)"))</f>
        <v>✓ e_terre</v>
      </c>
      <c r="H177" s="35" t="str">
        <f>IF(Liens!G172="","",IF(COUNTIF(Mots!A:A,Liens!G172)&gt;0,"✓ "&amp;Liens!G172,"✗ "&amp;Liens!G172&amp;" (introuvable)"))</f>
        <v>✓ jardinage</v>
      </c>
      <c r="I177" s="35" t="str">
        <f>IF(Liens!H172="","",IF(COUNTIF(Mots!A:A,Liens!H172)&gt;0,"✓ "&amp;Liens!H172,"✗ "&amp;Liens!H172&amp;" (introuvable)"))</f>
        <v/>
      </c>
    </row>
    <row r="178" spans="1:9" x14ac:dyDescent="0.3">
      <c r="A178">
        <v>173</v>
      </c>
      <c r="B178" s="35" t="str">
        <f>IF(Liens!A173="","",IF(COUNTIF(Mots!A:A,Liens!A173)&gt;0,"✓ "&amp;Liens!A173,"✗ "&amp;Liens!A173&amp;" (introuvable)"))</f>
        <v>✓ carte_debit</v>
      </c>
      <c r="C178" s="35" t="str">
        <f>IF(Liens!B173="","",IF(COUNTIF(Mots!A:A,Liens!B173)&gt;0,"✓ "&amp;Liens!B173,"✗ "&amp;Liens!B173&amp;" (introuvable)"))</f>
        <v>✓ banque</v>
      </c>
      <c r="D178" s="35" t="str">
        <f>IF(Liens!C173="","",IF(COUNTIF(Mots!A:A,Liens!C173)&gt;0,"✓ "&amp;Liens!C173,"✗ "&amp;Liens!C173&amp;" (introuvable)"))</f>
        <v>✓ v_payer</v>
      </c>
      <c r="E178" s="35" t="str">
        <f>IF(Liens!D173="","",IF(COUNTIF(Mots!A:A,Liens!D173)&gt;0,"✓ "&amp;Liens!D173,"✗ "&amp;Liens!D173&amp;" (introuvable)"))</f>
        <v>✓ compte</v>
      </c>
      <c r="F178" s="35" t="str">
        <f>IF(Liens!E173="","",IF(COUNTIF(Mots!A:A,Liens!E173)&gt;0,"✓ "&amp;Liens!E173,"✗ "&amp;Liens!E173&amp;" (introuvable)"))</f>
        <v>✓ code_nip</v>
      </c>
      <c r="G178" s="35" t="str">
        <f>IF(Liens!F173="","",IF(COUNTIF(Mots!A:A,Liens!F173)&gt;0,"✓ "&amp;Liens!F173,"✗ "&amp;Liens!F173&amp;" (introuvable)"))</f>
        <v>✓ f_rectangle</v>
      </c>
      <c r="H178" s="35" t="str">
        <f>IF(Liens!G173="","",IF(COUNTIF(Mots!A:A,Liens!G173)&gt;0,"✓ "&amp;Liens!G173,"✗ "&amp;Liens!G173&amp;" (introuvable)"))</f>
        <v>✓ plastique</v>
      </c>
      <c r="I178" s="35" t="str">
        <f>IF(Liens!H173="","",IF(COUNTIF(Mots!A:A,Liens!H173)&gt;0,"✓ "&amp;Liens!H173,"✗ "&amp;Liens!H173&amp;" (introuvable)"))</f>
        <v/>
      </c>
    </row>
    <row r="179" spans="1:9" x14ac:dyDescent="0.3">
      <c r="A179">
        <v>174</v>
      </c>
      <c r="B179" s="35" t="str">
        <f>IF(Liens!A174="","",IF(COUNTIF(Mots!A:A,Liens!A174)&gt;0,"✓ "&amp;Liens!A174,"✗ "&amp;Liens!A174&amp;" (introuvable)"))</f>
        <v>✓ cas</v>
      </c>
      <c r="C179" s="35" t="str">
        <f>IF(Liens!B174="","",IF(COUNTIF(Mots!A:A,Liens!B174)&gt;0,"✓ "&amp;Liens!B174,"✗ "&amp;Liens!B174&amp;" (introuvable)"))</f>
        <v>✓ situation</v>
      </c>
      <c r="D179" s="35" t="str">
        <f>IF(Liens!C174="","",IF(COUNTIF(Mots!A:A,Liens!C174)&gt;0,"✓ "&amp;Liens!C174,"✗ "&amp;Liens!C174&amp;" (introuvable)"))</f>
        <v/>
      </c>
      <c r="E179" s="35" t="str">
        <f>IF(Liens!D174="","",IF(COUNTIF(Mots!A:A,Liens!D174)&gt;0,"✓ "&amp;Liens!D174,"✗ "&amp;Liens!D174&amp;" (introuvable)"))</f>
        <v/>
      </c>
      <c r="F179" s="35" t="str">
        <f>IF(Liens!E174="","",IF(COUNTIF(Mots!A:A,Liens!E174)&gt;0,"✓ "&amp;Liens!E174,"✗ "&amp;Liens!E174&amp;" (introuvable)"))</f>
        <v/>
      </c>
      <c r="G179" s="35" t="str">
        <f>IF(Liens!F174="","",IF(COUNTIF(Mots!A:A,Liens!F174)&gt;0,"✓ "&amp;Liens!F174,"✗ "&amp;Liens!F174&amp;" (introuvable)"))</f>
        <v/>
      </c>
      <c r="H179" s="35" t="str">
        <f>IF(Liens!G174="","",IF(COUNTIF(Mots!A:A,Liens!G174)&gt;0,"✓ "&amp;Liens!G174,"✗ "&amp;Liens!G174&amp;" (introuvable)"))</f>
        <v/>
      </c>
      <c r="I179" s="35" t="str">
        <f>IF(Liens!H174="","",IF(COUNTIF(Mots!A:A,Liens!H174)&gt;0,"✓ "&amp;Liens!H174,"✗ "&amp;Liens!H174&amp;" (introuvable)"))</f>
        <v/>
      </c>
    </row>
    <row r="180" spans="1:9" x14ac:dyDescent="0.3">
      <c r="A180">
        <v>175</v>
      </c>
      <c r="B180" s="35" t="str">
        <f>IF(Liens!A175="","",IF(COUNTIF(Mots!A:A,Liens!A175)&gt;0,"✓ "&amp;Liens!A175,"✗ "&amp;Liens!A175&amp;" (introuvable)"))</f>
        <v>✓ cascade</v>
      </c>
      <c r="C180" s="35" t="str">
        <f>IF(Liens!B175="","",IF(COUNTIF(Mots!A:A,Liens!B175)&gt;0,"✓ "&amp;Liens!B175,"✗ "&amp;Liens!B175&amp;" (introuvable)"))</f>
        <v>✓ eau</v>
      </c>
      <c r="D180" s="35" t="str">
        <f>IF(Liens!C175="","",IF(COUNTIF(Mots!A:A,Liens!C175)&gt;0,"✓ "&amp;Liens!C175,"✗ "&amp;Liens!C175&amp;" (introuvable)"))</f>
        <v>✓ riviere</v>
      </c>
      <c r="E180" s="35" t="str">
        <f>IF(Liens!D175="","",IF(COUNTIF(Mots!A:A,Liens!D175)&gt;0,"✓ "&amp;Liens!D175,"✗ "&amp;Liens!D175&amp;" (introuvable)"))</f>
        <v>✓ rocher</v>
      </c>
      <c r="F180" s="35" t="str">
        <f>IF(Liens!E175="","",IF(COUNTIF(Mots!A:A,Liens!E175)&gt;0,"✓ "&amp;Liens!E175,"✗ "&amp;Liens!E175&amp;" (introuvable)"))</f>
        <v>✓ v_tomber</v>
      </c>
      <c r="G180" s="35" t="str">
        <f>IF(Liens!F175="","",IF(COUNTIF(Mots!A:A,Liens!F175)&gt;0,"✓ "&amp;Liens!F175,"✗ "&amp;Liens!F175&amp;" (introuvable)"))</f>
        <v>✓ nature</v>
      </c>
      <c r="H180" s="35" t="str">
        <f>IF(Liens!G175="","",IF(COUNTIF(Mots!A:A,Liens!G175)&gt;0,"✓ "&amp;Liens!G175,"✗ "&amp;Liens!G175&amp;" (introuvable)"))</f>
        <v>✓ randonnee</v>
      </c>
      <c r="I180" s="35" t="str">
        <f>IF(Liens!H175="","",IF(COUNTIF(Mots!A:A,Liens!H175)&gt;0,"✓ "&amp;Liens!H175,"✗ "&amp;Liens!H175&amp;" (introuvable)"))</f>
        <v/>
      </c>
    </row>
    <row r="181" spans="1:9" x14ac:dyDescent="0.3">
      <c r="A181">
        <v>176</v>
      </c>
      <c r="B181" s="35" t="str">
        <f>IF(Liens!A176="","",IF(COUNTIF(Mots!A:A,Liens!A176)&gt;0,"✓ "&amp;Liens!A176,"✗ "&amp;Liens!A176&amp;" (introuvable)"))</f>
        <v>✓ casserole</v>
      </c>
      <c r="C181" s="35" t="str">
        <f>IF(Liens!B176="","",IF(COUNTIF(Mots!A:A,Liens!B176)&gt;0,"✓ "&amp;Liens!B176,"✗ "&amp;Liens!B176&amp;" (introuvable)"))</f>
        <v>✓ recipient</v>
      </c>
      <c r="D181" s="35" t="str">
        <f>IF(Liens!C176="","",IF(COUNTIF(Mots!A:A,Liens!C176)&gt;0,"✓ "&amp;Liens!C176,"✗ "&amp;Liens!C176&amp;" (introuvable)"))</f>
        <v>✓ manche</v>
      </c>
      <c r="E181" s="35" t="str">
        <f>IF(Liens!D176="","",IF(COUNTIF(Mots!A:A,Liens!D176)&gt;0,"✓ "&amp;Liens!D176,"✗ "&amp;Liens!D176&amp;" (introuvable)"))</f>
        <v>✓ cuisine</v>
      </c>
      <c r="F181" s="35" t="str">
        <f>IF(Liens!E176="","",IF(COUNTIF(Mots!A:A,Liens!E176)&gt;0,"✓ "&amp;Liens!E176,"✗ "&amp;Liens!E176&amp;" (introuvable)"))</f>
        <v>✓ v_cuire</v>
      </c>
      <c r="G181" s="35" t="str">
        <f>IF(Liens!F176="","",IF(COUNTIF(Mots!A:A,Liens!F176)&gt;0,"✓ "&amp;Liens!F176,"✗ "&amp;Liens!F176&amp;" (introuvable)"))</f>
        <v>✓ eau</v>
      </c>
      <c r="H181" s="35" t="str">
        <f>IF(Liens!G176="","",IF(COUNTIF(Mots!A:A,Liens!G176)&gt;0,"✓ "&amp;Liens!G176,"✗ "&amp;Liens!G176&amp;" (introuvable)"))</f>
        <v>✓ pates</v>
      </c>
      <c r="I181" s="35" t="str">
        <f>IF(Liens!H176="","",IF(COUNTIF(Mots!A:A,Liens!H176)&gt;0,"✓ "&amp;Liens!H176,"✗ "&amp;Liens!H176&amp;" (introuvable)"))</f>
        <v/>
      </c>
    </row>
    <row r="182" spans="1:9" x14ac:dyDescent="0.3">
      <c r="A182">
        <v>177</v>
      </c>
      <c r="B182" s="35" t="str">
        <f>IF(Liens!A177="","",IF(COUNTIF(Mots!A:A,Liens!A177)&gt;0,"✓ "&amp;Liens!A177,"✗ "&amp;Liens!A177&amp;" (introuvable)"))</f>
        <v>✓ categorie</v>
      </c>
      <c r="C182" s="35" t="str">
        <f>IF(Liens!B177="","",IF(COUNTIF(Mots!A:A,Liens!B177)&gt;0,"✓ "&amp;Liens!B177,"✗ "&amp;Liens!B177&amp;" (introuvable)"))</f>
        <v>✓ groupe</v>
      </c>
      <c r="D182" s="35" t="str">
        <f>IF(Liens!C177="","",IF(COUNTIF(Mots!A:A,Liens!C177)&gt;0,"✓ "&amp;Liens!C177,"✗ "&amp;Liens!C177&amp;" (introuvable)"))</f>
        <v>✓ type</v>
      </c>
      <c r="E182" s="35" t="str">
        <f>IF(Liens!D177="","",IF(COUNTIF(Mots!A:A,Liens!D177)&gt;0,"✓ "&amp;Liens!D177,"✗ "&amp;Liens!D177&amp;" (introuvable)"))</f>
        <v/>
      </c>
      <c r="F182" s="35" t="str">
        <f>IF(Liens!E177="","",IF(COUNTIF(Mots!A:A,Liens!E177)&gt;0,"✓ "&amp;Liens!E177,"✗ "&amp;Liens!E177&amp;" (introuvable)"))</f>
        <v/>
      </c>
      <c r="G182" s="35" t="str">
        <f>IF(Liens!F177="","",IF(COUNTIF(Mots!A:A,Liens!F177)&gt;0,"✓ "&amp;Liens!F177,"✗ "&amp;Liens!F177&amp;" (introuvable)"))</f>
        <v/>
      </c>
      <c r="H182" s="35" t="str">
        <f>IF(Liens!G177="","",IF(COUNTIF(Mots!A:A,Liens!G177)&gt;0,"✓ "&amp;Liens!G177,"✗ "&amp;Liens!G177&amp;" (introuvable)"))</f>
        <v/>
      </c>
      <c r="I182" s="35" t="str">
        <f>IF(Liens!H177="","",IF(COUNTIF(Mots!A:A,Liens!H177)&gt;0,"✓ "&amp;Liens!H177,"✗ "&amp;Liens!H177&amp;" (introuvable)"))</f>
        <v/>
      </c>
    </row>
    <row r="183" spans="1:9" x14ac:dyDescent="0.3">
      <c r="A183">
        <v>178</v>
      </c>
      <c r="B183" s="35" t="str">
        <f>IF(Liens!A178="","",IF(COUNTIF(Mots!A:A,Liens!A178)&gt;0,"✓ "&amp;Liens!A178,"✗ "&amp;Liens!A178&amp;" (introuvable)"))</f>
        <v>✓ cave</v>
      </c>
      <c r="C183" s="35" t="str">
        <f>IF(Liens!B178="","",IF(COUNTIF(Mots!A:A,Liens!B178)&gt;0,"✓ "&amp;Liens!B178,"✗ "&amp;Liens!B178&amp;" (introuvable)"))</f>
        <v>✓ maison</v>
      </c>
      <c r="D183" s="35" t="str">
        <f>IF(Liens!C178="","",IF(COUNTIF(Mots!A:A,Liens!C178)&gt;0,"✓ "&amp;Liens!C178,"✗ "&amp;Liens!C178&amp;" (introuvable)"))</f>
        <v>✓ a_clair_sombre</v>
      </c>
      <c r="E183" s="35" t="str">
        <f>IF(Liens!D178="","",IF(COUNTIF(Mots!A:A,Liens!D178)&gt;0,"✓ "&amp;Liens!D178,"✗ "&amp;Liens!D178&amp;" (introuvable)"))</f>
        <v>✓ niveau</v>
      </c>
      <c r="F183" s="35" t="str">
        <f>IF(Liens!E178="","",IF(COUNTIF(Mots!A:A,Liens!E178)&gt;0,"✓ "&amp;Liens!E178,"✗ "&amp;Liens!E178&amp;" (introuvable)"))</f>
        <v/>
      </c>
      <c r="G183" s="35" t="str">
        <f>IF(Liens!F178="","",IF(COUNTIF(Mots!A:A,Liens!F178)&gt;0,"✓ "&amp;Liens!F178,"✗ "&amp;Liens!F178&amp;" (introuvable)"))</f>
        <v/>
      </c>
      <c r="H183" s="35" t="str">
        <f>IF(Liens!G178="","",IF(COUNTIF(Mots!A:A,Liens!G178)&gt;0,"✓ "&amp;Liens!G178,"✗ "&amp;Liens!G178&amp;" (introuvable)"))</f>
        <v/>
      </c>
      <c r="I183" s="35" t="str">
        <f>IF(Liens!H178="","",IF(COUNTIF(Mots!A:A,Liens!H178)&gt;0,"✓ "&amp;Liens!H178,"✗ "&amp;Liens!H178&amp;" (introuvable)"))</f>
        <v/>
      </c>
    </row>
    <row r="184" spans="1:9" x14ac:dyDescent="0.3">
      <c r="A184">
        <v>179</v>
      </c>
      <c r="B184" s="35" t="str">
        <f>IF(Liens!A179="","",IF(COUNTIF(Mots!A:A,Liens!A179)&gt;0,"✓ "&amp;Liens!A179,"✗ "&amp;Liens!A179&amp;" (introuvable)"))</f>
        <v>✓ ceinture</v>
      </c>
      <c r="C184" s="35" t="str">
        <f>IF(Liens!B179="","",IF(COUNTIF(Mots!A:A,Liens!B179)&gt;0,"✓ "&amp;Liens!B179,"✗ "&amp;Liens!B179&amp;" (introuvable)"))</f>
        <v>✓ vetement</v>
      </c>
      <c r="D184" s="35" t="str">
        <f>IF(Liens!C179="","",IF(COUNTIF(Mots!A:A,Liens!C179)&gt;0,"✓ "&amp;Liens!C179,"✗ "&amp;Liens!C179&amp;" (introuvable)"))</f>
        <v>✓ pantalon</v>
      </c>
      <c r="E184" s="35" t="str">
        <f>IF(Liens!D179="","",IF(COUNTIF(Mots!A:A,Liens!D179)&gt;0,"✓ "&amp;Liens!D179,"✗ "&amp;Liens!D179&amp;" (introuvable)"))</f>
        <v>✓ pantalon_jeans</v>
      </c>
      <c r="F184" s="35" t="str">
        <f>IF(Liens!E179="","",IF(COUNTIF(Mots!A:A,Liens!E179)&gt;0,"✓ "&amp;Liens!E179,"✗ "&amp;Liens!E179&amp;" (introuvable)"))</f>
        <v/>
      </c>
      <c r="G184" s="35" t="str">
        <f>IF(Liens!F179="","",IF(COUNTIF(Mots!A:A,Liens!F179)&gt;0,"✓ "&amp;Liens!F179,"✗ "&amp;Liens!F179&amp;" (introuvable)"))</f>
        <v/>
      </c>
      <c r="H184" s="35" t="str">
        <f>IF(Liens!G179="","",IF(COUNTIF(Mots!A:A,Liens!G179)&gt;0,"✓ "&amp;Liens!G179,"✗ "&amp;Liens!G179&amp;" (introuvable)"))</f>
        <v/>
      </c>
      <c r="I184" s="35" t="str">
        <f>IF(Liens!H179="","",IF(COUNTIF(Mots!A:A,Liens!H179)&gt;0,"✓ "&amp;Liens!H179,"✗ "&amp;Liens!H179&amp;" (introuvable)"))</f>
        <v/>
      </c>
    </row>
    <row r="185" spans="1:9" x14ac:dyDescent="0.3">
      <c r="A185">
        <v>180</v>
      </c>
      <c r="B185" s="35" t="str">
        <f>IF(Liens!A180="","",IF(COUNTIF(Mots!A:A,Liens!A180)&gt;0,"✓ "&amp;Liens!A180,"✗ "&amp;Liens!A180&amp;" (introuvable)"))</f>
        <v>✓ centaine</v>
      </c>
      <c r="C185" s="35" t="str">
        <f>IF(Liens!B180="","",IF(COUNTIF(Mots!A:A,Liens!B180)&gt;0,"✓ "&amp;Liens!B180,"✗ "&amp;Liens!B180&amp;" (introuvable)"))</f>
        <v>✓ nombre</v>
      </c>
      <c r="D185" s="35" t="str">
        <f>IF(Liens!C180="","",IF(COUNTIF(Mots!A:A,Liens!C180)&gt;0,"✓ "&amp;Liens!C180,"✗ "&amp;Liens!C180&amp;" (introuvable)"))</f>
        <v>✓ v_compter</v>
      </c>
      <c r="E185" s="35" t="str">
        <f>IF(Liens!D180="","",IF(COUNTIF(Mots!A:A,Liens!D180)&gt;0,"✓ "&amp;Liens!D180,"✗ "&amp;Liens!D180&amp;" (introuvable)"))</f>
        <v>✓ unite</v>
      </c>
      <c r="F185" s="35" t="str">
        <f>IF(Liens!E180="","",IF(COUNTIF(Mots!A:A,Liens!E180)&gt;0,"✓ "&amp;Liens!E180,"✗ "&amp;Liens!E180&amp;" (introuvable)"))</f>
        <v/>
      </c>
      <c r="G185" s="35" t="str">
        <f>IF(Liens!F180="","",IF(COUNTIF(Mots!A:A,Liens!F180)&gt;0,"✓ "&amp;Liens!F180,"✗ "&amp;Liens!F180&amp;" (introuvable)"))</f>
        <v/>
      </c>
      <c r="H185" s="35" t="str">
        <f>IF(Liens!G180="","",IF(COUNTIF(Mots!A:A,Liens!G180)&gt;0,"✓ "&amp;Liens!G180,"✗ "&amp;Liens!G180&amp;" (introuvable)"))</f>
        <v/>
      </c>
      <c r="I185" s="35" t="str">
        <f>IF(Liens!H180="","",IF(COUNTIF(Mots!A:A,Liens!H180)&gt;0,"✓ "&amp;Liens!H180,"✗ "&amp;Liens!H180&amp;" (introuvable)"))</f>
        <v/>
      </c>
    </row>
    <row r="186" spans="1:9" x14ac:dyDescent="0.3">
      <c r="A186">
        <v>181</v>
      </c>
      <c r="B186" s="35" t="str">
        <f>IF(Liens!A181="","",IF(COUNTIF(Mots!A:A,Liens!A181)&gt;0,"✓ "&amp;Liens!A181,"✗ "&amp;Liens!A181&amp;" (introuvable)"))</f>
        <v>✓ centre</v>
      </c>
      <c r="C186" s="35" t="str">
        <f>IF(Liens!B181="","",IF(COUNTIF(Mots!A:A,Liens!B181)&gt;0,"✓ "&amp;Liens!B181,"✗ "&amp;Liens!B181&amp;" (introuvable)"))</f>
        <v>✓ milieu</v>
      </c>
      <c r="D186" s="35" t="str">
        <f>IF(Liens!C181="","",IF(COUNTIF(Mots!A:A,Liens!C181)&gt;0,"✓ "&amp;Liens!C181,"✗ "&amp;Liens!C181&amp;" (introuvable)"))</f>
        <v/>
      </c>
      <c r="E186" s="35" t="str">
        <f>IF(Liens!D181="","",IF(COUNTIF(Mots!A:A,Liens!D181)&gt;0,"✓ "&amp;Liens!D181,"✗ "&amp;Liens!D181&amp;" (introuvable)"))</f>
        <v/>
      </c>
      <c r="F186" s="35" t="str">
        <f>IF(Liens!E181="","",IF(COUNTIF(Mots!A:A,Liens!E181)&gt;0,"✓ "&amp;Liens!E181,"✗ "&amp;Liens!E181&amp;" (introuvable)"))</f>
        <v/>
      </c>
      <c r="G186" s="35" t="str">
        <f>IF(Liens!F181="","",IF(COUNTIF(Mots!A:A,Liens!F181)&gt;0,"✓ "&amp;Liens!F181,"✗ "&amp;Liens!F181&amp;" (introuvable)"))</f>
        <v/>
      </c>
      <c r="H186" s="35" t="str">
        <f>IF(Liens!G181="","",IF(COUNTIF(Mots!A:A,Liens!G181)&gt;0,"✓ "&amp;Liens!G181,"✗ "&amp;Liens!G181&amp;" (introuvable)"))</f>
        <v/>
      </c>
      <c r="I186" s="35" t="str">
        <f>IF(Liens!H181="","",IF(COUNTIF(Mots!A:A,Liens!H181)&gt;0,"✓ "&amp;Liens!H181,"✗ "&amp;Liens!H181&amp;" (introuvable)"))</f>
        <v/>
      </c>
    </row>
    <row r="187" spans="1:9" x14ac:dyDescent="0.3">
      <c r="A187">
        <v>182</v>
      </c>
      <c r="B187" s="35" t="str">
        <f>IF(Liens!A182="","",IF(COUNTIF(Mots!A:A,Liens!A182)&gt;0,"✓ "&amp;Liens!A182,"✗ "&amp;Liens!A182&amp;" (introuvable)"))</f>
        <v>✓ cercle</v>
      </c>
      <c r="C187" s="35" t="str">
        <f>IF(Liens!B182="","",IF(COUNTIF(Mots!A:A,Liens!B182)&gt;0,"✓ "&amp;Liens!B182,"✗ "&amp;Liens!B182&amp;" (introuvable)"))</f>
        <v>✓ forme</v>
      </c>
      <c r="D187" s="35" t="str">
        <f>IF(Liens!C182="","",IF(COUNTIF(Mots!A:A,Liens!C182)&gt;0,"✓ "&amp;Liens!C182,"✗ "&amp;Liens!C182&amp;" (introuvable)"))</f>
        <v>✓ rond</v>
      </c>
      <c r="E187" s="35" t="str">
        <f>IF(Liens!D182="","",IF(COUNTIF(Mots!A:A,Liens!D182)&gt;0,"✓ "&amp;Liens!D182,"✗ "&amp;Liens!D182&amp;" (introuvable)"))</f>
        <v/>
      </c>
      <c r="F187" s="35" t="str">
        <f>IF(Liens!E182="","",IF(COUNTIF(Mots!A:A,Liens!E182)&gt;0,"✓ "&amp;Liens!E182,"✗ "&amp;Liens!E182&amp;" (introuvable)"))</f>
        <v/>
      </c>
      <c r="G187" s="35" t="str">
        <f>IF(Liens!F182="","",IF(COUNTIF(Mots!A:A,Liens!F182)&gt;0,"✓ "&amp;Liens!F182,"✗ "&amp;Liens!F182&amp;" (introuvable)"))</f>
        <v/>
      </c>
      <c r="H187" s="35" t="str">
        <f>IF(Liens!G182="","",IF(COUNTIF(Mots!A:A,Liens!G182)&gt;0,"✓ "&amp;Liens!G182,"✗ "&amp;Liens!G182&amp;" (introuvable)"))</f>
        <v/>
      </c>
      <c r="I187" s="35" t="str">
        <f>IF(Liens!H182="","",IF(COUNTIF(Mots!A:A,Liens!H182)&gt;0,"✓ "&amp;Liens!H182,"✗ "&amp;Liens!H182&amp;" (introuvable)"))</f>
        <v/>
      </c>
    </row>
    <row r="188" spans="1:9" x14ac:dyDescent="0.3">
      <c r="A188">
        <v>183</v>
      </c>
      <c r="B188" s="35" t="str">
        <f>IF(Liens!A183="","",IF(COUNTIF(Mots!A:A,Liens!A183)&gt;0,"✓ "&amp;Liens!A183,"✗ "&amp;Liens!A183&amp;" (introuvable)"))</f>
        <v>✓ cerise</v>
      </c>
      <c r="C188" s="35" t="str">
        <f>IF(Liens!B183="","",IF(COUNTIF(Mots!A:A,Liens!B183)&gt;0,"✓ "&amp;Liens!B183,"✗ "&amp;Liens!B183&amp;" (introuvable)"))</f>
        <v>✓ fruit</v>
      </c>
      <c r="D188" s="35" t="str">
        <f>IF(Liens!C183="","",IF(COUNTIF(Mots!A:A,Liens!C183)&gt;0,"✓ "&amp;Liens!C183,"✗ "&amp;Liens!C183&amp;" (introuvable)"))</f>
        <v>✓ c_rouge</v>
      </c>
      <c r="E188" s="35" t="str">
        <f>IF(Liens!D183="","",IF(COUNTIF(Mots!A:A,Liens!D183)&gt;0,"✓ "&amp;Liens!D183,"✗ "&amp;Liens!D183&amp;" (introuvable)"))</f>
        <v>✓ rond</v>
      </c>
      <c r="F188" s="35" t="str">
        <f>IF(Liens!E183="","",IF(COUNTIF(Mots!A:A,Liens!E183)&gt;0,"✓ "&amp;Liens!E183,"✗ "&amp;Liens!E183&amp;" (introuvable)"))</f>
        <v>✓ arbre</v>
      </c>
      <c r="G188" s="35" t="str">
        <f>IF(Liens!F183="","",IF(COUNTIF(Mots!A:A,Liens!F183)&gt;0,"✓ "&amp;Liens!F183,"✗ "&amp;Liens!F183&amp;" (introuvable)"))</f>
        <v>✓ v_manger</v>
      </c>
      <c r="H188" s="35" t="str">
        <f>IF(Liens!G183="","",IF(COUNTIF(Mots!A:A,Liens!G183)&gt;0,"✓ "&amp;Liens!G183,"✗ "&amp;Liens!G183&amp;" (introuvable)"))</f>
        <v/>
      </c>
      <c r="I188" s="35" t="str">
        <f>IF(Liens!H183="","",IF(COUNTIF(Mots!A:A,Liens!H183)&gt;0,"✓ "&amp;Liens!H183,"✗ "&amp;Liens!H183&amp;" (introuvable)"))</f>
        <v/>
      </c>
    </row>
    <row r="189" spans="1:9" x14ac:dyDescent="0.3">
      <c r="A189">
        <v>184</v>
      </c>
      <c r="B189" s="35" t="str">
        <f>IF(Liens!A184="","",IF(COUNTIF(Mots!A:A,Liens!A184)&gt;0,"✓ "&amp;Liens!A184,"✗ "&amp;Liens!A184&amp;" (introuvable)"))</f>
        <v>✓ certain</v>
      </c>
      <c r="C189" s="35" t="str">
        <f>IF(Liens!B184="","",IF(COUNTIF(Mots!A:A,Liens!B184)&gt;0,"✓ "&amp;Liens!B184,"✗ "&amp;Liens!B184&amp;" (introuvable)"))</f>
        <v>✓ nombre</v>
      </c>
      <c r="D189" s="35" t="str">
        <f>IF(Liens!C184="","",IF(COUNTIF(Mots!A:A,Liens!C184)&gt;0,"✓ "&amp;Liens!C184,"✗ "&amp;Liens!C184&amp;" (introuvable)"))</f>
        <v>✓ personne</v>
      </c>
      <c r="E189" s="35" t="str">
        <f>IF(Liens!D184="","",IF(COUNTIF(Mots!A:A,Liens!D184)&gt;0,"✓ "&amp;Liens!D184,"✗ "&amp;Liens!D184&amp;" (introuvable)"))</f>
        <v>✓ juste</v>
      </c>
      <c r="F189" s="35" t="str">
        <f>IF(Liens!E184="","",IF(COUNTIF(Mots!A:A,Liens!E184)&gt;0,"✓ "&amp;Liens!E184,"✗ "&amp;Liens!E184&amp;" (introuvable)"))</f>
        <v/>
      </c>
      <c r="G189" s="35" t="str">
        <f>IF(Liens!F184="","",IF(COUNTIF(Mots!A:A,Liens!F184)&gt;0,"✓ "&amp;Liens!F184,"✗ "&amp;Liens!F184&amp;" (introuvable)"))</f>
        <v/>
      </c>
      <c r="H189" s="35" t="str">
        <f>IF(Liens!G184="","",IF(COUNTIF(Mots!A:A,Liens!G184)&gt;0,"✓ "&amp;Liens!G184,"✗ "&amp;Liens!G184&amp;" (introuvable)"))</f>
        <v/>
      </c>
      <c r="I189" s="35" t="str">
        <f>IF(Liens!H184="","",IF(COUNTIF(Mots!A:A,Liens!H184)&gt;0,"✓ "&amp;Liens!H184,"✗ "&amp;Liens!H184&amp;" (introuvable)"))</f>
        <v/>
      </c>
    </row>
    <row r="190" spans="1:9" x14ac:dyDescent="0.3">
      <c r="A190">
        <v>185</v>
      </c>
      <c r="B190" s="35" t="str">
        <f>IF(Liens!A185="","",IF(COUNTIF(Mots!A:A,Liens!A185)&gt;0,"✓ "&amp;Liens!A185,"✗ "&amp;Liens!A185&amp;" (introuvable)"))</f>
        <v>✓ cerveau</v>
      </c>
      <c r="C190" s="35" t="str">
        <f>IF(Liens!B185="","",IF(COUNTIF(Mots!A:A,Liens!B185)&gt;0,"✓ "&amp;Liens!B185,"✗ "&amp;Liens!B185&amp;" (introuvable)"))</f>
        <v>✓ tete</v>
      </c>
      <c r="D190" s="35" t="str">
        <f>IF(Liens!C185="","",IF(COUNTIF(Mots!A:A,Liens!C185)&gt;0,"✓ "&amp;Liens!C185,"✗ "&amp;Liens!C185&amp;" (introuvable)"))</f>
        <v>✓ v_penser</v>
      </c>
      <c r="E190" s="35" t="str">
        <f>IF(Liens!D185="","",IF(COUNTIF(Mots!A:A,Liens!D185)&gt;0,"✓ "&amp;Liens!D185,"✗ "&amp;Liens!D185&amp;" (introuvable)"))</f>
        <v>✓ v_reflechir</v>
      </c>
      <c r="F190" s="35" t="str">
        <f>IF(Liens!E185="","",IF(COUNTIF(Mots!A:A,Liens!E185)&gt;0,"✓ "&amp;Liens!E185,"✗ "&amp;Liens!E185&amp;" (introuvable)"))</f>
        <v>✓ v_se_souvenir</v>
      </c>
      <c r="G190" s="35" t="str">
        <f>IF(Liens!F185="","",IF(COUNTIF(Mots!A:A,Liens!F185)&gt;0,"✓ "&amp;Liens!F185,"✗ "&amp;Liens!F185&amp;" (introuvable)"))</f>
        <v/>
      </c>
      <c r="H190" s="35" t="str">
        <f>IF(Liens!G185="","",IF(COUNTIF(Mots!A:A,Liens!G185)&gt;0,"✓ "&amp;Liens!G185,"✗ "&amp;Liens!G185&amp;" (introuvable)"))</f>
        <v/>
      </c>
      <c r="I190" s="35" t="str">
        <f>IF(Liens!H185="","",IF(COUNTIF(Mots!A:A,Liens!H185)&gt;0,"✓ "&amp;Liens!H185,"✗ "&amp;Liens!H185&amp;" (introuvable)"))</f>
        <v/>
      </c>
    </row>
    <row r="191" spans="1:9" x14ac:dyDescent="0.3">
      <c r="A191">
        <v>186</v>
      </c>
      <c r="B191" s="35" t="str">
        <f>IF(Liens!A186="","",IF(COUNTIF(Mots!A:A,Liens!A186)&gt;0,"✓ "&amp;Liens!A186,"✗ "&amp;Liens!A186&amp;" (introuvable)"))</f>
        <v>✓ chagrin</v>
      </c>
      <c r="C191" s="35" t="str">
        <f>IF(Liens!B186="","",IF(COUNTIF(Mots!A:A,Liens!B186)&gt;0,"✓ "&amp;Liens!B186,"✗ "&amp;Liens!B186&amp;" (introuvable)"))</f>
        <v>✓ emotion</v>
      </c>
      <c r="D191" s="35" t="str">
        <f>IF(Liens!C186="","",IF(COUNTIF(Mots!A:A,Liens!C186)&gt;0,"✓ "&amp;Liens!C186,"✗ "&amp;Liens!C186&amp;" (introuvable)"))</f>
        <v>✓ peine</v>
      </c>
      <c r="E191" s="35" t="str">
        <f>IF(Liens!D186="","",IF(COUNTIF(Mots!A:A,Liens!D186)&gt;0,"✓ "&amp;Liens!D186,"✗ "&amp;Liens!D186&amp;" (introuvable)"))</f>
        <v>✓ larme</v>
      </c>
      <c r="F191" s="35" t="str">
        <f>IF(Liens!E186="","",IF(COUNTIF(Mots!A:A,Liens!E186)&gt;0,"✓ "&amp;Liens!E186,"✗ "&amp;Liens!E186&amp;" (introuvable)"))</f>
        <v>✓ v_pleurer</v>
      </c>
      <c r="G191" s="35" t="str">
        <f>IF(Liens!F186="","",IF(COUNTIF(Mots!A:A,Liens!F186)&gt;0,"✓ "&amp;Liens!F186,"✗ "&amp;Liens!F186&amp;" (introuvable)"))</f>
        <v/>
      </c>
      <c r="H191" s="35" t="str">
        <f>IF(Liens!G186="","",IF(COUNTIF(Mots!A:A,Liens!G186)&gt;0,"✓ "&amp;Liens!G186,"✗ "&amp;Liens!G186&amp;" (introuvable)"))</f>
        <v/>
      </c>
      <c r="I191" s="35" t="str">
        <f>IF(Liens!H186="","",IF(COUNTIF(Mots!A:A,Liens!H186)&gt;0,"✓ "&amp;Liens!H186,"✗ "&amp;Liens!H186&amp;" (introuvable)"))</f>
        <v/>
      </c>
    </row>
    <row r="192" spans="1:9" x14ac:dyDescent="0.3">
      <c r="A192">
        <v>187</v>
      </c>
      <c r="B192" s="35" t="str">
        <f>IF(Liens!A187="","",IF(COUNTIF(Mots!A:A,Liens!A187)&gt;0,"✓ "&amp;Liens!A187,"✗ "&amp;Liens!A187&amp;" (introuvable)"))</f>
        <v>✓ chair</v>
      </c>
      <c r="C192" s="35" t="str">
        <f>IF(Liens!B187="","",IF(COUNTIF(Mots!A:A,Liens!B187)&gt;0,"✓ "&amp;Liens!B187,"✗ "&amp;Liens!B187&amp;" (introuvable)"))</f>
        <v>✓ corps_humain</v>
      </c>
      <c r="D192" s="35" t="str">
        <f>IF(Liens!C187="","",IF(COUNTIF(Mots!A:A,Liens!C187)&gt;0,"✓ "&amp;Liens!C187,"✗ "&amp;Liens!C187&amp;" (introuvable)"))</f>
        <v>✓ animal</v>
      </c>
      <c r="E192" s="35" t="str">
        <f>IF(Liens!D187="","",IF(COUNTIF(Mots!A:A,Liens!D187)&gt;0,"✓ "&amp;Liens!D187,"✗ "&amp;Liens!D187&amp;" (introuvable)"))</f>
        <v>✓ fruit</v>
      </c>
      <c r="F192" s="35" t="str">
        <f>IF(Liens!E187="","",IF(COUNTIF(Mots!A:A,Liens!E187)&gt;0,"✓ "&amp;Liens!E187,"✗ "&amp;Liens!E187&amp;" (introuvable)"))</f>
        <v>✓ peau</v>
      </c>
      <c r="G192" s="35" t="str">
        <f>IF(Liens!F187="","",IF(COUNTIF(Mots!A:A,Liens!F187)&gt;0,"✓ "&amp;Liens!F187,"✗ "&amp;Liens!F187&amp;" (introuvable)"))</f>
        <v>✓ viande</v>
      </c>
      <c r="H192" s="35" t="str">
        <f>IF(Liens!G187="","",IF(COUNTIF(Mots!A:A,Liens!G187)&gt;0,"✓ "&amp;Liens!G187,"✗ "&amp;Liens!G187&amp;" (introuvable)"))</f>
        <v>✓ blanc_de_poulet</v>
      </c>
      <c r="I192" s="35" t="str">
        <f>IF(Liens!H187="","",IF(COUNTIF(Mots!A:A,Liens!H187)&gt;0,"✓ "&amp;Liens!H187,"✗ "&amp;Liens!H187&amp;" (introuvable)"))</f>
        <v/>
      </c>
    </row>
    <row r="193" spans="1:9" x14ac:dyDescent="0.3">
      <c r="A193">
        <v>188</v>
      </c>
      <c r="B193" s="35" t="str">
        <f>IF(Liens!A188="","",IF(COUNTIF(Mots!A:A,Liens!A188)&gt;0,"✓ "&amp;Liens!A188,"✗ "&amp;Liens!A188&amp;" (introuvable)"))</f>
        <v>✓ chaise</v>
      </c>
      <c r="C193" s="35" t="str">
        <f>IF(Liens!B188="","",IF(COUNTIF(Mots!A:A,Liens!B188)&gt;0,"✓ "&amp;Liens!B188,"✗ "&amp;Liens!B188&amp;" (introuvable)"))</f>
        <v>✓ table</v>
      </c>
      <c r="D193" s="35" t="str">
        <f>IF(Liens!C188="","",IF(COUNTIF(Mots!A:A,Liens!C188)&gt;0,"✓ "&amp;Liens!C188,"✗ "&amp;Liens!C188&amp;" (introuvable)"))</f>
        <v>✓ v_s_asseoir</v>
      </c>
      <c r="E193" s="35" t="str">
        <f>IF(Liens!D188="","",IF(COUNTIF(Mots!A:A,Liens!D188)&gt;0,"✓ "&amp;Liens!D188,"✗ "&amp;Liens!D188&amp;" (introuvable)"))</f>
        <v>✓ v_manger</v>
      </c>
      <c r="F193" s="35" t="str">
        <f>IF(Liens!E188="","",IF(COUNTIF(Mots!A:A,Liens!E188)&gt;0,"✓ "&amp;Liens!E188,"✗ "&amp;Liens!E188&amp;" (introuvable)"))</f>
        <v>✓ v_boire</v>
      </c>
      <c r="G193" s="35" t="str">
        <f>IF(Liens!F188="","",IF(COUNTIF(Mots!A:A,Liens!F188)&gt;0,"✓ "&amp;Liens!F188,"✗ "&amp;Liens!F188&amp;" (introuvable)"))</f>
        <v>✓ lampe</v>
      </c>
      <c r="H193" s="35" t="str">
        <f>IF(Liens!G188="","",IF(COUNTIF(Mots!A:A,Liens!G188)&gt;0,"✓ "&amp;Liens!G188,"✗ "&amp;Liens!G188&amp;" (introuvable)"))</f>
        <v/>
      </c>
      <c r="I193" s="35" t="str">
        <f>IF(Liens!H188="","",IF(COUNTIF(Mots!A:A,Liens!H188)&gt;0,"✓ "&amp;Liens!H188,"✗ "&amp;Liens!H188&amp;" (introuvable)"))</f>
        <v/>
      </c>
    </row>
    <row r="194" spans="1:9" x14ac:dyDescent="0.3">
      <c r="A194">
        <v>189</v>
      </c>
      <c r="B194" s="35" t="str">
        <f>IF(Liens!A189="","",IF(COUNTIF(Mots!A:A,Liens!A189)&gt;0,"✓ "&amp;Liens!A189,"✗ "&amp;Liens!A189&amp;" (introuvable)"))</f>
        <v>✓ chaleur</v>
      </c>
      <c r="C194" s="35" t="str">
        <f>IF(Liens!B189="","",IF(COUNTIF(Mots!A:A,Liens!B189)&gt;0,"✓ "&amp;Liens!B189,"✗ "&amp;Liens!B189&amp;" (introuvable)"))</f>
        <v>✓ a_chaud_froid</v>
      </c>
      <c r="D194" s="35" t="str">
        <f>IF(Liens!C189="","",IF(COUNTIF(Mots!A:A,Liens!C189)&gt;0,"✓ "&amp;Liens!C189,"✗ "&amp;Liens!C189&amp;" (introuvable)"))</f>
        <v>✓ sensation</v>
      </c>
      <c r="E194" s="35" t="str">
        <f>IF(Liens!D189="","",IF(COUNTIF(Mots!A:A,Liens!D189)&gt;0,"✓ "&amp;Liens!D189,"✗ "&amp;Liens!D189&amp;" (introuvable)"))</f>
        <v>✓ temperature</v>
      </c>
      <c r="F194" s="35" t="str">
        <f>IF(Liens!E189="","",IF(COUNTIF(Mots!A:A,Liens!E189)&gt;0,"✓ "&amp;Liens!E189,"✗ "&amp;Liens!E189&amp;" (introuvable)"))</f>
        <v>✓ soleil</v>
      </c>
      <c r="G194" s="35" t="str">
        <f>IF(Liens!F189="","",IF(COUNTIF(Mots!A:A,Liens!F189)&gt;0,"✓ "&amp;Liens!F189,"✗ "&amp;Liens!F189&amp;" (introuvable)"))</f>
        <v>✓ rideau</v>
      </c>
      <c r="H194" s="35" t="str">
        <f>IF(Liens!G189="","",IF(COUNTIF(Mots!A:A,Liens!G189)&gt;0,"✓ "&amp;Liens!G189,"✗ "&amp;Liens!G189&amp;" (introuvable)"))</f>
        <v>✓ store</v>
      </c>
      <c r="I194" s="35" t="str">
        <f>IF(Liens!H189="","",IF(COUNTIF(Mots!A:A,Liens!H189)&gt;0,"✓ "&amp;Liens!H189,"✗ "&amp;Liens!H189&amp;" (introuvable)"))</f>
        <v/>
      </c>
    </row>
    <row r="195" spans="1:9" x14ac:dyDescent="0.3">
      <c r="A195">
        <v>190</v>
      </c>
      <c r="B195" s="35" t="str">
        <f>IF(Liens!A190="","",IF(COUNTIF(Mots!A:A,Liens!A190)&gt;0,"✓ "&amp;Liens!A190,"✗ "&amp;Liens!A190&amp;" (introuvable)"))</f>
        <v>✓ chambre</v>
      </c>
      <c r="C195" s="35" t="str">
        <f>IF(Liens!B190="","",IF(COUNTIF(Mots!A:A,Liens!B190)&gt;0,"✓ "&amp;Liens!B190,"✗ "&amp;Liens!B190&amp;" (introuvable)"))</f>
        <v>✓ maison</v>
      </c>
      <c r="D195" s="35" t="str">
        <f>IF(Liens!C190="","",IF(COUNTIF(Mots!A:A,Liens!C190)&gt;0,"✓ "&amp;Liens!C190,"✗ "&amp;Liens!C190&amp;" (introuvable)"))</f>
        <v>✓ v_dormir</v>
      </c>
      <c r="E195" s="35" t="str">
        <f>IF(Liens!D190="","",IF(COUNTIF(Mots!A:A,Liens!D190)&gt;0,"✓ "&amp;Liens!D190,"✗ "&amp;Liens!D190&amp;" (introuvable)"))</f>
        <v>✓ lit</v>
      </c>
      <c r="F195" s="35" t="str">
        <f>IF(Liens!E190="","",IF(COUNTIF(Mots!A:A,Liens!E190)&gt;0,"✓ "&amp;Liens!E190,"✗ "&amp;Liens!E190&amp;" (introuvable)"))</f>
        <v>✓ matelas</v>
      </c>
      <c r="G195" s="35" t="str">
        <f>IF(Liens!F190="","",IF(COUNTIF(Mots!A:A,Liens!F190)&gt;0,"✓ "&amp;Liens!F190,"✗ "&amp;Liens!F190&amp;" (introuvable)"))</f>
        <v>✓ armoire</v>
      </c>
      <c r="H195" s="35" t="str">
        <f>IF(Liens!G190="","",IF(COUNTIF(Mots!A:A,Liens!G190)&gt;0,"✓ "&amp;Liens!G190,"✗ "&amp;Liens!G190&amp;" (introuvable)"))</f>
        <v/>
      </c>
      <c r="I195" s="35" t="str">
        <f>IF(Liens!H190="","",IF(COUNTIF(Mots!A:A,Liens!H190)&gt;0,"✓ "&amp;Liens!H190,"✗ "&amp;Liens!H190&amp;" (introuvable)"))</f>
        <v/>
      </c>
    </row>
    <row r="196" spans="1:9" x14ac:dyDescent="0.3">
      <c r="A196">
        <v>191</v>
      </c>
      <c r="B196" s="35" t="str">
        <f>IF(Liens!A191="","",IF(COUNTIF(Mots!A:A,Liens!A191)&gt;0,"✓ "&amp;Liens!A191,"✗ "&amp;Liens!A191&amp;" (introuvable)"))</f>
        <v>✓ champ</v>
      </c>
      <c r="C196" s="35" t="str">
        <f>IF(Liens!B191="","",IF(COUNTIF(Mots!A:A,Liens!B191)&gt;0,"✓ "&amp;Liens!B191,"✗ "&amp;Liens!B191&amp;" (introuvable)"))</f>
        <v>✓ terrain</v>
      </c>
      <c r="D196" s="35" t="str">
        <f>IF(Liens!C191="","",IF(COUNTIF(Mots!A:A,Liens!C191)&gt;0,"✓ "&amp;Liens!C191,"✗ "&amp;Liens!C191&amp;" (introuvable)"))</f>
        <v>✓ plat</v>
      </c>
      <c r="E196" s="35" t="str">
        <f>IF(Liens!D191="","",IF(COUNTIF(Mots!A:A,Liens!D191)&gt;0,"✓ "&amp;Liens!D191,"✗ "&amp;Liens!D191&amp;" (introuvable)"))</f>
        <v>✓ ferme</v>
      </c>
      <c r="F196" s="35" t="str">
        <f>IF(Liens!E191="","",IF(COUNTIF(Mots!A:A,Liens!E191)&gt;0,"✓ "&amp;Liens!E191,"✗ "&amp;Liens!E191&amp;" (introuvable)"))</f>
        <v>✓ legume</v>
      </c>
      <c r="G196" s="35" t="str">
        <f>IF(Liens!F191="","",IF(COUNTIF(Mots!A:A,Liens!F191)&gt;0,"✓ "&amp;Liens!F191,"✗ "&amp;Liens!F191&amp;" (introuvable)"))</f>
        <v>✓ ble</v>
      </c>
      <c r="H196" s="35" t="str">
        <f>IF(Liens!G191="","",IF(COUNTIF(Mots!A:A,Liens!G191)&gt;0,"✓ "&amp;Liens!G191,"✗ "&amp;Liens!G191&amp;" (introuvable)"))</f>
        <v>✓ pomme_de_terre</v>
      </c>
      <c r="I196" s="35" t="str">
        <f>IF(Liens!H191="","",IF(COUNTIF(Mots!A:A,Liens!H191)&gt;0,"✓ "&amp;Liens!H191,"✗ "&amp;Liens!H191&amp;" (introuvable)"))</f>
        <v>✓ herbe</v>
      </c>
    </row>
    <row r="197" spans="1:9" x14ac:dyDescent="0.3">
      <c r="A197">
        <v>192</v>
      </c>
      <c r="B197" s="35" t="str">
        <f>IF(Liens!A192="","",IF(COUNTIF(Mots!A:A,Liens!A192)&gt;0,"✓ "&amp;Liens!A192,"✗ "&amp;Liens!A192&amp;" (introuvable)"))</f>
        <v>✓ champignon</v>
      </c>
      <c r="C197" s="35" t="str">
        <f>IF(Liens!B192="","",IF(COUNTIF(Mots!A:A,Liens!B192)&gt;0,"✓ "&amp;Liens!B192,"✗ "&amp;Liens!B192&amp;" (introuvable)"))</f>
        <v>✓ plante</v>
      </c>
      <c r="D197" s="35" t="str">
        <f>IF(Liens!C192="","",IF(COUNTIF(Mots!A:A,Liens!C192)&gt;0,"✓ "&amp;Liens!C192,"✗ "&amp;Liens!C192&amp;" (introuvable)"))</f>
        <v>✓ bois</v>
      </c>
      <c r="E197" s="35" t="str">
        <f>IF(Liens!D192="","",IF(COUNTIF(Mots!A:A,Liens!D192)&gt;0,"✓ "&amp;Liens!D192,"✗ "&amp;Liens!D192&amp;" (introuvable)"))</f>
        <v>✓ eau</v>
      </c>
      <c r="F197" s="35" t="str">
        <f>IF(Liens!E192="","",IF(COUNTIF(Mots!A:A,Liens!E192)&gt;0,"✓ "&amp;Liens!E192,"✗ "&amp;Liens!E192&amp;" (introuvable)"))</f>
        <v>✓ sauce</v>
      </c>
      <c r="G197" s="35" t="str">
        <f>IF(Liens!F192="","",IF(COUNTIF(Mots!A:A,Liens!F192)&gt;0,"✓ "&amp;Liens!F192,"✗ "&amp;Liens!F192&amp;" (introuvable)"))</f>
        <v>✓ v_manger</v>
      </c>
      <c r="H197" s="35" t="str">
        <f>IF(Liens!G192="","",IF(COUNTIF(Mots!A:A,Liens!G192)&gt;0,"✓ "&amp;Liens!G192,"✗ "&amp;Liens!G192&amp;" (introuvable)"))</f>
        <v/>
      </c>
      <c r="I197" s="35" t="str">
        <f>IF(Liens!H192="","",IF(COUNTIF(Mots!A:A,Liens!H192)&gt;0,"✓ "&amp;Liens!H192,"✗ "&amp;Liens!H192&amp;" (introuvable)"))</f>
        <v/>
      </c>
    </row>
    <row r="198" spans="1:9" x14ac:dyDescent="0.3">
      <c r="A198">
        <v>193</v>
      </c>
      <c r="B198" s="35" t="str">
        <f>IF(Liens!A193="","",IF(COUNTIF(Mots!A:A,Liens!A193)&gt;0,"✓ "&amp;Liens!A193,"✗ "&amp;Liens!A193&amp;" (introuvable)"))</f>
        <v>✓ champion</v>
      </c>
      <c r="C198" s="35" t="str">
        <f>IF(Liens!B193="","",IF(COUNTIF(Mots!A:A,Liens!B193)&gt;0,"✓ "&amp;Liens!B193,"✗ "&amp;Liens!B193&amp;" (introuvable)"))</f>
        <v>✓ concours</v>
      </c>
      <c r="D198" s="35" t="str">
        <f>IF(Liens!C193="","",IF(COUNTIF(Mots!A:A,Liens!C193)&gt;0,"✓ "&amp;Liens!C193,"✗ "&amp;Liens!C193&amp;" (introuvable)"))</f>
        <v>✓ sport</v>
      </c>
      <c r="E198" s="35" t="str">
        <f>IF(Liens!D193="","",IF(COUNTIF(Mots!A:A,Liens!D193)&gt;0,"✓ "&amp;Liens!D193,"✗ "&amp;Liens!D193&amp;" (introuvable)"))</f>
        <v>✓ vainqueur</v>
      </c>
      <c r="F198" s="35" t="str">
        <f>IF(Liens!E193="","",IF(COUNTIF(Mots!A:A,Liens!E193)&gt;0,"✓ "&amp;Liens!E193,"✗ "&amp;Liens!E193&amp;" (introuvable)"))</f>
        <v>✓ v_gagner</v>
      </c>
      <c r="G198" s="35" t="str">
        <f>IF(Liens!F193="","",IF(COUNTIF(Mots!A:A,Liens!F193)&gt;0,"✓ "&amp;Liens!F193,"✗ "&amp;Liens!F193&amp;" (introuvable)"))</f>
        <v/>
      </c>
      <c r="H198" s="35" t="str">
        <f>IF(Liens!G193="","",IF(COUNTIF(Mots!A:A,Liens!G193)&gt;0,"✓ "&amp;Liens!G193,"✗ "&amp;Liens!G193&amp;" (introuvable)"))</f>
        <v/>
      </c>
      <c r="I198" s="35" t="str">
        <f>IF(Liens!H193="","",IF(COUNTIF(Mots!A:A,Liens!H193)&gt;0,"✓ "&amp;Liens!H193,"✗ "&amp;Liens!H193&amp;" (introuvable)"))</f>
        <v/>
      </c>
    </row>
    <row r="199" spans="1:9" x14ac:dyDescent="0.3">
      <c r="A199">
        <v>194</v>
      </c>
      <c r="B199" s="35" t="str">
        <f>IF(Liens!A194="","",IF(COUNTIF(Mots!A:A,Liens!A194)&gt;0,"✓ "&amp;Liens!A194,"✗ "&amp;Liens!A194&amp;" (introuvable)"))</f>
        <v>✓ chanson</v>
      </c>
      <c r="C199" s="35" t="str">
        <f>IF(Liens!B194="","",IF(COUNTIF(Mots!A:A,Liens!B194)&gt;0,"✓ "&amp;Liens!B194,"✗ "&amp;Liens!B194&amp;" (introuvable)"))</f>
        <v>✓ paroles</v>
      </c>
      <c r="D199" s="35" t="str">
        <f>IF(Liens!C194="","",IF(COUNTIF(Mots!A:A,Liens!C194)&gt;0,"✓ "&amp;Liens!C194,"✗ "&amp;Liens!C194&amp;" (introuvable)"))</f>
        <v>✓ voix</v>
      </c>
      <c r="E199" s="35" t="str">
        <f>IF(Liens!D194="","",IF(COUNTIF(Mots!A:A,Liens!D194)&gt;0,"✓ "&amp;Liens!D194,"✗ "&amp;Liens!D194&amp;" (introuvable)"))</f>
        <v>✓ chorale</v>
      </c>
      <c r="F199" s="35" t="str">
        <f>IF(Liens!E194="","",IF(COUNTIF(Mots!A:A,Liens!E194)&gt;0,"✓ "&amp;Liens!E194,"✗ "&amp;Liens!E194&amp;" (introuvable)"))</f>
        <v>✓ v_chanter</v>
      </c>
      <c r="G199" s="35" t="str">
        <f>IF(Liens!F194="","",IF(COUNTIF(Mots!A:A,Liens!F194)&gt;0,"✓ "&amp;Liens!F194,"✗ "&amp;Liens!F194&amp;" (introuvable)"))</f>
        <v>✓ son</v>
      </c>
      <c r="H199" s="35" t="str">
        <f>IF(Liens!G194="","",IF(COUNTIF(Mots!A:A,Liens!G194)&gt;0,"✓ "&amp;Liens!G194,"✗ "&amp;Liens!G194&amp;" (introuvable)"))</f>
        <v>✓ melodie</v>
      </c>
      <c r="I199" s="35" t="str">
        <f>IF(Liens!H194="","",IF(COUNTIF(Mots!A:A,Liens!H194)&gt;0,"✓ "&amp;Liens!H194,"✗ "&amp;Liens!H194&amp;" (introuvable)"))</f>
        <v>✓ v_ecouter</v>
      </c>
    </row>
    <row r="200" spans="1:9" x14ac:dyDescent="0.3">
      <c r="A200">
        <v>195</v>
      </c>
      <c r="B200" s="35" t="str">
        <f>IF(Liens!A195="","",IF(COUNTIF(Mots!A:A,Liens!A195)&gt;0,"✓ "&amp;Liens!A195,"✗ "&amp;Liens!A195&amp;" (introuvable)"))</f>
        <v>✓ chanteur</v>
      </c>
      <c r="C200" s="35" t="str">
        <f>IF(Liens!B195="","",IF(COUNTIF(Mots!A:A,Liens!B195)&gt;0,"✓ "&amp;Liens!B195,"✗ "&amp;Liens!B195&amp;" (introuvable)"))</f>
        <v>✓ personne</v>
      </c>
      <c r="D200" s="35" t="str">
        <f>IF(Liens!C195="","",IF(COUNTIF(Mots!A:A,Liens!C195)&gt;0,"✓ "&amp;Liens!C195,"✗ "&amp;Liens!C195&amp;" (introuvable)"))</f>
        <v>✓ voix</v>
      </c>
      <c r="E200" s="35" t="str">
        <f>IF(Liens!D195="","",IF(COUNTIF(Mots!A:A,Liens!D195)&gt;0,"✓ "&amp;Liens!D195,"✗ "&amp;Liens!D195&amp;" (introuvable)"))</f>
        <v>✓ son</v>
      </c>
      <c r="F200" s="35" t="str">
        <f>IF(Liens!E195="","",IF(COUNTIF(Mots!A:A,Liens!E195)&gt;0,"✓ "&amp;Liens!E195,"✗ "&amp;Liens!E195&amp;" (introuvable)"))</f>
        <v>✓ concert</v>
      </c>
      <c r="G200" s="35" t="str">
        <f>IF(Liens!F195="","",IF(COUNTIF(Mots!A:A,Liens!F195)&gt;0,"✓ "&amp;Liens!F195,"✗ "&amp;Liens!F195&amp;" (introuvable)"))</f>
        <v>✓ public</v>
      </c>
      <c r="H200" s="35" t="str">
        <f>IF(Liens!G195="","",IF(COUNTIF(Mots!A:A,Liens!G195)&gt;0,"✓ "&amp;Liens!G195,"✗ "&amp;Liens!G195&amp;" (introuvable)"))</f>
        <v>✓ applaudissements</v>
      </c>
      <c r="I200" s="35" t="str">
        <f>IF(Liens!H195="","",IF(COUNTIF(Mots!A:A,Liens!H195)&gt;0,"✓ "&amp;Liens!H195,"✗ "&amp;Liens!H195&amp;" (introuvable)"))</f>
        <v>✓ chorale</v>
      </c>
    </row>
    <row r="201" spans="1:9" x14ac:dyDescent="0.3">
      <c r="A201">
        <v>196</v>
      </c>
      <c r="B201" s="35" t="str">
        <f>IF(Liens!A196="","",IF(COUNTIF(Mots!A:A,Liens!A196)&gt;0,"✓ "&amp;Liens!A196,"✗ "&amp;Liens!A196&amp;" (introuvable)"))</f>
        <v>✓ chapeau</v>
      </c>
      <c r="C201" s="35" t="str">
        <f>IF(Liens!B196="","",IF(COUNTIF(Mots!A:A,Liens!B196)&gt;0,"✓ "&amp;Liens!B196,"✗ "&amp;Liens!B196&amp;" (introuvable)"))</f>
        <v>✓ vetement</v>
      </c>
      <c r="D201" s="35" t="str">
        <f>IF(Liens!C196="","",IF(COUNTIF(Mots!A:A,Liens!C196)&gt;0,"✓ "&amp;Liens!C196,"✗ "&amp;Liens!C196&amp;" (introuvable)"))</f>
        <v>✓ tete</v>
      </c>
      <c r="E201" s="35" t="str">
        <f>IF(Liens!D196="","",IF(COUNTIF(Mots!A:A,Liens!D196)&gt;0,"✓ "&amp;Liens!D196,"✗ "&amp;Liens!D196&amp;" (introuvable)"))</f>
        <v>✓ soleil</v>
      </c>
      <c r="F201" s="35" t="str">
        <f>IF(Liens!E196="","",IF(COUNTIF(Mots!A:A,Liens!E196)&gt;0,"✓ "&amp;Liens!E196,"✗ "&amp;Liens!E196&amp;" (introuvable)"))</f>
        <v>✓ lunettes</v>
      </c>
      <c r="G201" s="35" t="str">
        <f>IF(Liens!F196="","",IF(COUNTIF(Mots!A:A,Liens!F196)&gt;0,"✓ "&amp;Liens!F196,"✗ "&amp;Liens!F196&amp;" (introuvable)"))</f>
        <v>✓ a_chaud_froid</v>
      </c>
      <c r="H201" s="35" t="str">
        <f>IF(Liens!G196="","",IF(COUNTIF(Mots!A:A,Liens!G196)&gt;0,"✓ "&amp;Liens!G196,"✗ "&amp;Liens!G196&amp;" (introuvable)"))</f>
        <v/>
      </c>
      <c r="I201" s="35" t="str">
        <f>IF(Liens!H196="","",IF(COUNTIF(Mots!A:A,Liens!H196)&gt;0,"✓ "&amp;Liens!H196,"✗ "&amp;Liens!H196&amp;" (introuvable)"))</f>
        <v/>
      </c>
    </row>
    <row r="202" spans="1:9" x14ac:dyDescent="0.3">
      <c r="A202">
        <v>197</v>
      </c>
      <c r="B202" s="35" t="str">
        <f>IF(Liens!A197="","",IF(COUNTIF(Mots!A:A,Liens!A197)&gt;0,"✓ "&amp;Liens!A197,"✗ "&amp;Liens!A197&amp;" (introuvable)"))</f>
        <v>✓ chargeur_phone</v>
      </c>
      <c r="C202" s="35" t="str">
        <f>IF(Liens!B197="","",IF(COUNTIF(Mots!A:A,Liens!B197)&gt;0,"✓ "&amp;Liens!B197,"✗ "&amp;Liens!B197&amp;" (introuvable)"))</f>
        <v>✓ smartphone</v>
      </c>
      <c r="D202" s="35" t="str">
        <f>IF(Liens!C197="","",IF(COUNTIF(Mots!A:A,Liens!C197)&gt;0,"✓ "&amp;Liens!C197,"✗ "&amp;Liens!C197&amp;" (introuvable)"))</f>
        <v>✓ a_electrique</v>
      </c>
      <c r="E202" s="35" t="str">
        <f>IF(Liens!D197="","",IF(COUNTIF(Mots!A:A,Liens!D197)&gt;0,"✓ "&amp;Liens!D197,"✗ "&amp;Liens!D197&amp;" (introuvable)"))</f>
        <v>✓ chose</v>
      </c>
      <c r="F202" s="35" t="str">
        <f>IF(Liens!E197="","",IF(COUNTIF(Mots!A:A,Liens!E197)&gt;0,"✓ "&amp;Liens!E197,"✗ "&amp;Liens!E197&amp;" (introuvable)"))</f>
        <v>✓ prise</v>
      </c>
      <c r="G202" s="35" t="str">
        <f>IF(Liens!F197="","",IF(COUNTIF(Mots!A:A,Liens!F197)&gt;0,"✓ "&amp;Liens!F197,"✗ "&amp;Liens!F197&amp;" (introuvable)"))</f>
        <v/>
      </c>
      <c r="H202" s="35" t="str">
        <f>IF(Liens!G197="","",IF(COUNTIF(Mots!A:A,Liens!G197)&gt;0,"✓ "&amp;Liens!G197,"✗ "&amp;Liens!G197&amp;" (introuvable)"))</f>
        <v/>
      </c>
      <c r="I202" s="35" t="str">
        <f>IF(Liens!H197="","",IF(COUNTIF(Mots!A:A,Liens!H197)&gt;0,"✓ "&amp;Liens!H197,"✗ "&amp;Liens!H197&amp;" (introuvable)"))</f>
        <v/>
      </c>
    </row>
    <row r="203" spans="1:9" x14ac:dyDescent="0.3">
      <c r="A203">
        <v>198</v>
      </c>
      <c r="B203" s="35" t="str">
        <f>IF(Liens!A198="","",IF(COUNTIF(Mots!A:A,Liens!A198)&gt;0,"✓ "&amp;Liens!A198,"✗ "&amp;Liens!A198&amp;" (introuvable)"))</f>
        <v>✓ chat</v>
      </c>
      <c r="C203" s="35" t="str">
        <f>IF(Liens!B198="","",IF(COUNTIF(Mots!A:A,Liens!B198)&gt;0,"✓ "&amp;Liens!B198,"✗ "&amp;Liens!B198&amp;" (introuvable)"))</f>
        <v>✓ animal</v>
      </c>
      <c r="D203" s="35" t="str">
        <f>IF(Liens!C198="","",IF(COUNTIF(Mots!A:A,Liens!C198)&gt;0,"✓ "&amp;Liens!C198,"✗ "&amp;Liens!C198&amp;" (introuvable)"))</f>
        <v>✓ bagheera</v>
      </c>
      <c r="E203" s="35" t="str">
        <f>IF(Liens!D198="","",IF(COUNTIF(Mots!A:A,Liens!D198)&gt;0,"✓ "&amp;Liens!D198,"✗ "&amp;Liens!D198&amp;" (introuvable)"))</f>
        <v>✓ poil</v>
      </c>
      <c r="F203" s="35" t="str">
        <f>IF(Liens!E198="","",IF(COUNTIF(Mots!A:A,Liens!E198)&gt;0,"✓ "&amp;Liens!E198,"✗ "&amp;Liens!E198&amp;" (introuvable)"))</f>
        <v>✓ maison</v>
      </c>
      <c r="G203" s="35" t="str">
        <f>IF(Liens!F198="","",IF(COUNTIF(Mots!A:A,Liens!F198)&gt;0,"✓ "&amp;Liens!F198,"✗ "&amp;Liens!F198&amp;" (introuvable)"))</f>
        <v/>
      </c>
      <c r="H203" s="35" t="str">
        <f>IF(Liens!G198="","",IF(COUNTIF(Mots!A:A,Liens!G198)&gt;0,"✓ "&amp;Liens!G198,"✗ "&amp;Liens!G198&amp;" (introuvable)"))</f>
        <v/>
      </c>
      <c r="I203" s="35" t="str">
        <f>IF(Liens!H198="","",IF(COUNTIF(Mots!A:A,Liens!H198)&gt;0,"✓ "&amp;Liens!H198,"✗ "&amp;Liens!H198&amp;" (introuvable)"))</f>
        <v/>
      </c>
    </row>
    <row r="204" spans="1:9" x14ac:dyDescent="0.3">
      <c r="A204">
        <v>199</v>
      </c>
      <c r="B204" s="35" t="str">
        <f>IF(Liens!A199="","",IF(COUNTIF(Mots!A:A,Liens!A199)&gt;0,"✓ "&amp;Liens!A199,"✗ "&amp;Liens!A199&amp;" (introuvable)"))</f>
        <v>✓ chemin</v>
      </c>
      <c r="C204" s="35" t="str">
        <f>IF(Liens!B199="","",IF(COUNTIF(Mots!A:A,Liens!B199)&gt;0,"✓ "&amp;Liens!B199,"✗ "&amp;Liens!B199&amp;" (introuvable)"))</f>
        <v>✓ promenade</v>
      </c>
      <c r="D204" s="35" t="str">
        <f>IF(Liens!C199="","",IF(COUNTIF(Mots!A:A,Liens!C199)&gt;0,"✓ "&amp;Liens!C199,"✗ "&amp;Liens!C199&amp;" (introuvable)"))</f>
        <v>✓ randonnee</v>
      </c>
      <c r="E204" s="35" t="str">
        <f>IF(Liens!D199="","",IF(COUNTIF(Mots!A:A,Liens!D199)&gt;0,"✓ "&amp;Liens!D199,"✗ "&amp;Liens!D199&amp;" (introuvable)"))</f>
        <v>✓ nature</v>
      </c>
      <c r="F204" s="35" t="str">
        <f>IF(Liens!E199="","",IF(COUNTIF(Mots!A:A,Liens!E199)&gt;0,"✓ "&amp;Liens!E199,"✗ "&amp;Liens!E199&amp;" (introuvable)"))</f>
        <v>✓ montagne</v>
      </c>
      <c r="G204" s="35" t="str">
        <f>IF(Liens!F199="","",IF(COUNTIF(Mots!A:A,Liens!F199)&gt;0,"✓ "&amp;Liens!F199,"✗ "&amp;Liens!F199&amp;" (introuvable)"))</f>
        <v>✓ v_marcher</v>
      </c>
      <c r="H204" s="35" t="str">
        <f>IF(Liens!G199="","",IF(COUNTIF(Mots!A:A,Liens!G199)&gt;0,"✓ "&amp;Liens!G199,"✗ "&amp;Liens!G199&amp;" (introuvable)"))</f>
        <v>✓ promenade</v>
      </c>
      <c r="I204" s="35" t="str">
        <f>IF(Liens!H199="","",IF(COUNTIF(Mots!A:A,Liens!H199)&gt;0,"✓ "&amp;Liens!H199,"✗ "&amp;Liens!H199&amp;" (introuvable)"))</f>
        <v>✓ foret</v>
      </c>
    </row>
    <row r="205" spans="1:9" x14ac:dyDescent="0.3">
      <c r="A205">
        <v>200</v>
      </c>
      <c r="B205" s="35" t="str">
        <f>IF(Liens!A200="","",IF(COUNTIF(Mots!A:A,Liens!A200)&gt;0,"✓ "&amp;Liens!A200,"✗ "&amp;Liens!A200&amp;" (introuvable)"))</f>
        <v>✓ chemise</v>
      </c>
      <c r="C205" s="35" t="str">
        <f>IF(Liens!B200="","",IF(COUNTIF(Mots!A:A,Liens!B200)&gt;0,"✓ "&amp;Liens!B200,"✗ "&amp;Liens!B200&amp;" (introuvable)"))</f>
        <v>✓ vetement</v>
      </c>
      <c r="D205" s="35" t="str">
        <f>IF(Liens!C200="","",IF(COUNTIF(Mots!A:A,Liens!C200)&gt;0,"✓ "&amp;Liens!C200,"✗ "&amp;Liens!C200&amp;" (introuvable)"))</f>
        <v>✓ manche</v>
      </c>
      <c r="E205" s="35" t="str">
        <f>IF(Liens!D200="","",IF(COUNTIF(Mots!A:A,Liens!D200)&gt;0,"✓ "&amp;Liens!D200,"✗ "&amp;Liens!D200&amp;" (introuvable)"))</f>
        <v>✓ bouton</v>
      </c>
      <c r="F205" s="35" t="str">
        <f>IF(Liens!E200="","",IF(COUNTIF(Mots!A:A,Liens!E200)&gt;0,"✓ "&amp;Liens!E200,"✗ "&amp;Liens!E200&amp;" (introuvable)"))</f>
        <v>✓ veste</v>
      </c>
      <c r="G205" s="35" t="str">
        <f>IF(Liens!F200="","",IF(COUNTIF(Mots!A:A,Liens!F200)&gt;0,"✓ "&amp;Liens!F200,"✗ "&amp;Liens!F200&amp;" (introuvable)"))</f>
        <v>✓ torse</v>
      </c>
      <c r="H205" s="35" t="str">
        <f>IF(Liens!G200="","",IF(COUNTIF(Mots!A:A,Liens!G200)&gt;0,"✓ "&amp;Liens!G200,"✗ "&amp;Liens!G200&amp;" (introuvable)"))</f>
        <v>✓ bras</v>
      </c>
      <c r="I205" s="35" t="str">
        <f>IF(Liens!H200="","",IF(COUNTIF(Mots!A:A,Liens!H200)&gt;0,"✓ "&amp;Liens!H200,"✗ "&amp;Liens!H200&amp;" (introuvable)"))</f>
        <v/>
      </c>
    </row>
    <row r="206" spans="1:9" x14ac:dyDescent="0.3">
      <c r="A206">
        <v>201</v>
      </c>
      <c r="B206" s="35" t="str">
        <f>IF(Liens!A201="","",IF(COUNTIF(Mots!A:A,Liens!A201)&gt;0,"✓ "&amp;Liens!A201,"✗ "&amp;Liens!A201&amp;" (introuvable)"))</f>
        <v>✓ cheval</v>
      </c>
      <c r="C206" s="35" t="str">
        <f>IF(Liens!B201="","",IF(COUNTIF(Mots!A:A,Liens!B201)&gt;0,"✓ "&amp;Liens!B201,"✗ "&amp;Liens!B201&amp;" (introuvable)"))</f>
        <v>✓ animal</v>
      </c>
      <c r="D206" s="35" t="str">
        <f>IF(Liens!C201="","",IF(COUNTIF(Mots!A:A,Liens!C201)&gt;0,"✓ "&amp;Liens!C201,"✗ "&amp;Liens!C201&amp;" (introuvable)"))</f>
        <v>✓ ferme</v>
      </c>
      <c r="E206" s="35" t="str">
        <f>IF(Liens!D201="","",IF(COUNTIF(Mots!A:A,Liens!D201)&gt;0,"✓ "&amp;Liens!D201,"✗ "&amp;Liens!D201&amp;" (introuvable)"))</f>
        <v/>
      </c>
      <c r="F206" s="35" t="str">
        <f>IF(Liens!E201="","",IF(COUNTIF(Mots!A:A,Liens!E201)&gt;0,"✓ "&amp;Liens!E201,"✗ "&amp;Liens!E201&amp;" (introuvable)"))</f>
        <v/>
      </c>
      <c r="G206" s="35" t="str">
        <f>IF(Liens!F201="","",IF(COUNTIF(Mots!A:A,Liens!F201)&gt;0,"✓ "&amp;Liens!F201,"✗ "&amp;Liens!F201&amp;" (introuvable)"))</f>
        <v/>
      </c>
      <c r="H206" s="35" t="str">
        <f>IF(Liens!G201="","",IF(COUNTIF(Mots!A:A,Liens!G201)&gt;0,"✓ "&amp;Liens!G201,"✗ "&amp;Liens!G201&amp;" (introuvable)"))</f>
        <v/>
      </c>
      <c r="I206" s="35" t="str">
        <f>IF(Liens!H201="","",IF(COUNTIF(Mots!A:A,Liens!H201)&gt;0,"✓ "&amp;Liens!H201,"✗ "&amp;Liens!H201&amp;" (introuvable)"))</f>
        <v/>
      </c>
    </row>
    <row r="207" spans="1:9" x14ac:dyDescent="0.3">
      <c r="A207">
        <f t="shared" ref="A207:A270" si="0">A206+1</f>
        <v>202</v>
      </c>
      <c r="B207" s="35" t="str">
        <f>IF(Liens!A202="","",IF(COUNTIF(Mots!A:A,Liens!A202)&gt;0,"✓ "&amp;Liens!A202,"✗ "&amp;Liens!A202&amp;" (introuvable)"))</f>
        <v>✓ cheveux</v>
      </c>
      <c r="C207" s="35" t="str">
        <f>IF(Liens!B202="","",IF(COUNTIF(Mots!A:A,Liens!B202)&gt;0,"✓ "&amp;Liens!B202,"✗ "&amp;Liens!B202&amp;" (introuvable)"))</f>
        <v>✓ corps_humain</v>
      </c>
      <c r="D207" s="35" t="str">
        <f>IF(Liens!C202="","",IF(COUNTIF(Mots!A:A,Liens!C202)&gt;0,"✓ "&amp;Liens!C202,"✗ "&amp;Liens!C202&amp;" (introuvable)"))</f>
        <v>✓ tete</v>
      </c>
      <c r="E207" s="35" t="str">
        <f>IF(Liens!D202="","",IF(COUNTIF(Mots!A:A,Liens!D202)&gt;0,"✓ "&amp;Liens!D202,"✗ "&amp;Liens!D202&amp;" (introuvable)"))</f>
        <v>✓ poil</v>
      </c>
      <c r="F207" s="35" t="str">
        <f>IF(Liens!E202="","",IF(COUNTIF(Mots!A:A,Liens!E202)&gt;0,"✓ "&amp;Liens!E202,"✗ "&amp;Liens!E202&amp;" (introuvable)"))</f>
        <v/>
      </c>
      <c r="G207" s="35" t="str">
        <f>IF(Liens!F202="","",IF(COUNTIF(Mots!A:A,Liens!F202)&gt;0,"✓ "&amp;Liens!F202,"✗ "&amp;Liens!F202&amp;" (introuvable)"))</f>
        <v/>
      </c>
      <c r="H207" s="35" t="str">
        <f>IF(Liens!G202="","",IF(COUNTIF(Mots!A:A,Liens!G202)&gt;0,"✓ "&amp;Liens!G202,"✗ "&amp;Liens!G202&amp;" (introuvable)"))</f>
        <v/>
      </c>
      <c r="I207" s="35" t="str">
        <f>IF(Liens!H202="","",IF(COUNTIF(Mots!A:A,Liens!H202)&gt;0,"✓ "&amp;Liens!H202,"✗ "&amp;Liens!H202&amp;" (introuvable)"))</f>
        <v/>
      </c>
    </row>
    <row r="208" spans="1:9" x14ac:dyDescent="0.3">
      <c r="A208">
        <f t="shared" si="0"/>
        <v>203</v>
      </c>
      <c r="B208" s="35" t="str">
        <f>IF(Liens!A203="","",IF(COUNTIF(Mots!A:A,Liens!A203)&gt;0,"✓ "&amp;Liens!A203,"✗ "&amp;Liens!A203&amp;" (introuvable)"))</f>
        <v>✓ chien</v>
      </c>
      <c r="C208" s="35" t="str">
        <f>IF(Liens!B203="","",IF(COUNTIF(Mots!A:A,Liens!B203)&gt;0,"✓ "&amp;Liens!B203,"✗ "&amp;Liens!B203&amp;" (introuvable)"))</f>
        <v>✓ animal</v>
      </c>
      <c r="D208" s="35" t="str">
        <f>IF(Liens!C203="","",IF(COUNTIF(Mots!A:A,Liens!C203)&gt;0,"✓ "&amp;Liens!C203,"✗ "&amp;Liens!C203&amp;" (introuvable)"))</f>
        <v>✓ naya</v>
      </c>
      <c r="E208" s="35" t="str">
        <f>IF(Liens!D203="","",IF(COUNTIF(Mots!A:A,Liens!D203)&gt;0,"✓ "&amp;Liens!D203,"✗ "&amp;Liens!D203&amp;" (introuvable)"))</f>
        <v>✓ poil</v>
      </c>
      <c r="F208" s="35" t="str">
        <f>IF(Liens!E203="","",IF(COUNTIF(Mots!A:A,Liens!E203)&gt;0,"✓ "&amp;Liens!E203,"✗ "&amp;Liens!E203&amp;" (introuvable)"))</f>
        <v>✓ maison</v>
      </c>
      <c r="G208" s="35" t="str">
        <f>IF(Liens!F203="","",IF(COUNTIF(Mots!A:A,Liens!F203)&gt;0,"✓ "&amp;Liens!F203,"✗ "&amp;Liens!F203&amp;" (introuvable)"))</f>
        <v/>
      </c>
      <c r="H208" s="35" t="str">
        <f>IF(Liens!G203="","",IF(COUNTIF(Mots!A:A,Liens!G203)&gt;0,"✓ "&amp;Liens!G203,"✗ "&amp;Liens!G203&amp;" (introuvable)"))</f>
        <v/>
      </c>
      <c r="I208" s="35" t="str">
        <f>IF(Liens!H203="","",IF(COUNTIF(Mots!A:A,Liens!H203)&gt;0,"✓ "&amp;Liens!H203,"✗ "&amp;Liens!H203&amp;" (introuvable)"))</f>
        <v/>
      </c>
    </row>
    <row r="209" spans="1:9" x14ac:dyDescent="0.3">
      <c r="A209">
        <f t="shared" si="0"/>
        <v>204</v>
      </c>
      <c r="B209" s="35" t="str">
        <f>IF(Liens!A204="","",IF(COUNTIF(Mots!A:A,Liens!A204)&gt;0,"✓ "&amp;Liens!A204,"✗ "&amp;Liens!A204&amp;" (introuvable)"))</f>
        <v>✓ chiffon</v>
      </c>
      <c r="C209" s="35" t="str">
        <f>IF(Liens!B204="","",IF(COUNTIF(Mots!A:A,Liens!B204)&gt;0,"✓ "&amp;Liens!B204,"✗ "&amp;Liens!B204&amp;" (introuvable)"))</f>
        <v>✓ tissu</v>
      </c>
      <c r="D209" s="35" t="str">
        <f>IF(Liens!C204="","",IF(COUNTIF(Mots!A:A,Liens!C204)&gt;0,"✓ "&amp;Liens!C204,"✗ "&amp;Liens!C204&amp;" (introuvable)"))</f>
        <v>✓ v_nettoyer</v>
      </c>
      <c r="E209" s="35" t="str">
        <f>IF(Liens!D204="","",IF(COUNTIF(Mots!A:A,Liens!D204)&gt;0,"✓ "&amp;Liens!D204,"✗ "&amp;Liens!D204&amp;" (introuvable)"))</f>
        <v>✓ cuisine</v>
      </c>
      <c r="F209" s="35" t="str">
        <f>IF(Liens!E204="","",IF(COUNTIF(Mots!A:A,Liens!E204)&gt;0,"✓ "&amp;Liens!E204,"✗ "&amp;Liens!E204&amp;" (introuvable)"))</f>
        <v>✓ salle_de_bain</v>
      </c>
      <c r="G209" s="35" t="str">
        <f>IF(Liens!F204="","",IF(COUNTIF(Mots!A:A,Liens!F204)&gt;0,"✓ "&amp;Liens!F204,"✗ "&amp;Liens!F204&amp;" (introuvable)"))</f>
        <v>✓ faire_les_vitres</v>
      </c>
      <c r="H209" s="35" t="str">
        <f>IF(Liens!G204="","",IF(COUNTIF(Mots!A:A,Liens!G204)&gt;0,"✓ "&amp;Liens!G204,"✗ "&amp;Liens!G204&amp;" (introuvable)"))</f>
        <v/>
      </c>
      <c r="I209" s="35" t="str">
        <f>IF(Liens!H204="","",IF(COUNTIF(Mots!A:A,Liens!H204)&gt;0,"✓ "&amp;Liens!H204,"✗ "&amp;Liens!H204&amp;" (introuvable)"))</f>
        <v/>
      </c>
    </row>
    <row r="210" spans="1:9" x14ac:dyDescent="0.3">
      <c r="A210">
        <f t="shared" si="0"/>
        <v>205</v>
      </c>
      <c r="B210" s="35" t="str">
        <f>IF(Liens!A205="","",IF(COUNTIF(Mots!A:A,Liens!A205)&gt;0,"✓ "&amp;Liens!A205,"✗ "&amp;Liens!A205&amp;" (introuvable)"))</f>
        <v>✓ choc</v>
      </c>
      <c r="C210" s="35" t="str">
        <f>IF(Liens!B205="","",IF(COUNTIF(Mots!A:A,Liens!B205)&gt;0,"✓ "&amp;Liens!B205,"✗ "&amp;Liens!B205&amp;" (introuvable)"))</f>
        <v>✓ coup</v>
      </c>
      <c r="D210" s="35" t="str">
        <f>IF(Liens!C205="","",IF(COUNTIF(Mots!A:A,Liens!C205)&gt;0,"✓ "&amp;Liens!C205,"✗ "&amp;Liens!C205&amp;" (introuvable)"))</f>
        <v>✓ v_frapper</v>
      </c>
      <c r="E210" s="35" t="str">
        <f>IF(Liens!D205="","",IF(COUNTIF(Mots!A:A,Liens!D205)&gt;0,"✓ "&amp;Liens!D205,"✗ "&amp;Liens!D205&amp;" (introuvable)"))</f>
        <v>✓ accident</v>
      </c>
      <c r="F210" s="35" t="str">
        <f>IF(Liens!E205="","",IF(COUNTIF(Mots!A:A,Liens!E205)&gt;0,"✓ "&amp;Liens!E205,"✗ "&amp;Liens!E205&amp;" (introuvable)"))</f>
        <v>✓ degat</v>
      </c>
      <c r="G210" s="35" t="str">
        <f>IF(Liens!F205="","",IF(COUNTIF(Mots!A:A,Liens!F205)&gt;0,"✓ "&amp;Liens!F205,"✗ "&amp;Liens!F205&amp;" (introuvable)"))</f>
        <v>✓ blessure</v>
      </c>
      <c r="H210" s="35" t="str">
        <f>IF(Liens!G205="","",IF(COUNTIF(Mots!A:A,Liens!G205)&gt;0,"✓ "&amp;Liens!G205,"✗ "&amp;Liens!G205&amp;" (introuvable)"))</f>
        <v>✓ v_soigner</v>
      </c>
      <c r="I210" s="35" t="str">
        <f>IF(Liens!H205="","",IF(COUNTIF(Mots!A:A,Liens!H205)&gt;0,"✓ "&amp;Liens!H205,"✗ "&amp;Liens!H205&amp;" (introuvable)"))</f>
        <v>✓ infirmier</v>
      </c>
    </row>
    <row r="211" spans="1:9" x14ac:dyDescent="0.3">
      <c r="A211">
        <f t="shared" si="0"/>
        <v>206</v>
      </c>
      <c r="B211" s="35" t="str">
        <f>IF(Liens!A206="","",IF(COUNTIF(Mots!A:A,Liens!A206)&gt;0,"✓ "&amp;Liens!A206,"✗ "&amp;Liens!A206&amp;" (introuvable)"))</f>
        <v>✓ chocolat</v>
      </c>
      <c r="C211" s="35" t="str">
        <f>IF(Liens!B206="","",IF(COUNTIF(Mots!A:A,Liens!B206)&gt;0,"✓ "&amp;Liens!B206,"✗ "&amp;Liens!B206&amp;" (introuvable)"))</f>
        <v>✓ a_sucre_sale</v>
      </c>
      <c r="D211" s="35" t="str">
        <f>IF(Liens!C206="","",IF(COUNTIF(Mots!A:A,Liens!C206)&gt;0,"✓ "&amp;Liens!C206,"✗ "&amp;Liens!C206&amp;" (introuvable)"))</f>
        <v>✓ sucrerie</v>
      </c>
      <c r="E211" s="35" t="str">
        <f>IF(Liens!D206="","",IF(COUNTIF(Mots!A:A,Liens!D206)&gt;0,"✓ "&amp;Liens!D206,"✗ "&amp;Liens!D206&amp;" (introuvable)"))</f>
        <v>✓ c_brun</v>
      </c>
      <c r="F211" s="35" t="str">
        <f>IF(Liens!E206="","",IF(COUNTIF(Mots!A:A,Liens!E206)&gt;0,"✓ "&amp;Liens!E206,"✗ "&amp;Liens!E206&amp;" (introuvable)"))</f>
        <v>✓ sucre</v>
      </c>
      <c r="G211" s="35" t="str">
        <f>IF(Liens!F206="","",IF(COUNTIF(Mots!A:A,Liens!F206)&gt;0,"✓ "&amp;Liens!F206,"✗ "&amp;Liens!F206&amp;" (introuvable)"))</f>
        <v/>
      </c>
      <c r="H211" s="35" t="str">
        <f>IF(Liens!G206="","",IF(COUNTIF(Mots!A:A,Liens!G206)&gt;0,"✓ "&amp;Liens!G206,"✗ "&amp;Liens!G206&amp;" (introuvable)"))</f>
        <v/>
      </c>
      <c r="I211" s="35" t="str">
        <f>IF(Liens!H206="","",IF(COUNTIF(Mots!A:A,Liens!H206)&gt;0,"✓ "&amp;Liens!H206,"✗ "&amp;Liens!H206&amp;" (introuvable)"))</f>
        <v/>
      </c>
    </row>
    <row r="212" spans="1:9" x14ac:dyDescent="0.3">
      <c r="A212">
        <f t="shared" si="0"/>
        <v>207</v>
      </c>
      <c r="B212" s="35" t="str">
        <f>IF(Liens!A207="","",IF(COUNTIF(Mots!A:A,Liens!A207)&gt;0,"✓ "&amp;Liens!A207,"✗ "&amp;Liens!A207&amp;" (introuvable)"))</f>
        <v>✓ chose</v>
      </c>
      <c r="C212" s="35" t="str">
        <f>IF(Liens!B207="","",IF(COUNTIF(Mots!A:A,Liens!B207)&gt;0,"✓ "&amp;Liens!B207,"✗ "&amp;Liens!B207&amp;" (introuvable)"))</f>
        <v>✓ table</v>
      </c>
      <c r="D212" s="35" t="str">
        <f>IF(Liens!C207="","",IF(COUNTIF(Mots!A:A,Liens!C207)&gt;0,"✓ "&amp;Liens!C207,"✗ "&amp;Liens!C207&amp;" (introuvable)"))</f>
        <v>✓ verre</v>
      </c>
      <c r="E212" s="35" t="str">
        <f>IF(Liens!D207="","",IF(COUNTIF(Mots!A:A,Liens!D207)&gt;0,"✓ "&amp;Liens!D207,"✗ "&amp;Liens!D207&amp;" (introuvable)"))</f>
        <v>✓ assiette</v>
      </c>
      <c r="F212" s="35" t="str">
        <f>IF(Liens!E207="","",IF(COUNTIF(Mots!A:A,Liens!E207)&gt;0,"✓ "&amp;Liens!E207,"✗ "&amp;Liens!E207&amp;" (introuvable)"))</f>
        <v>✓ chaise</v>
      </c>
      <c r="G212" s="35" t="str">
        <f>IF(Liens!F207="","",IF(COUNTIF(Mots!A:A,Liens!F207)&gt;0,"✓ "&amp;Liens!F207,"✗ "&amp;Liens!F207&amp;" (introuvable)"))</f>
        <v>✓ meuble</v>
      </c>
      <c r="H212" s="35" t="str">
        <f>IF(Liens!G207="","",IF(COUNTIF(Mots!A:A,Liens!G207)&gt;0,"✓ "&amp;Liens!G207,"✗ "&amp;Liens!G207&amp;" (introuvable)"))</f>
        <v>✓ reveil</v>
      </c>
      <c r="I212" s="35" t="str">
        <f>IF(Liens!H207="","",IF(COUNTIF(Mots!A:A,Liens!H207)&gt;0,"✓ "&amp;Liens!H207,"✗ "&amp;Liens!H207&amp;" (introuvable)"))</f>
        <v>✓ cle</v>
      </c>
    </row>
    <row r="213" spans="1:9" x14ac:dyDescent="0.3">
      <c r="A213">
        <f t="shared" si="0"/>
        <v>208</v>
      </c>
      <c r="B213" s="35" t="str">
        <f>IF(Liens!A208="","",IF(COUNTIF(Mots!A:A,Liens!A208)&gt;0,"✓ "&amp;Liens!A208,"✗ "&amp;Liens!A208&amp;" (introuvable)"))</f>
        <v>✓ ciel</v>
      </c>
      <c r="C213" s="35" t="str">
        <f>IF(Liens!B208="","",IF(COUNTIF(Mots!A:A,Liens!B208)&gt;0,"✓ "&amp;Liens!B208,"✗ "&amp;Liens!B208&amp;" (introuvable)"))</f>
        <v>✓ c_bleu</v>
      </c>
      <c r="D213" s="35" t="str">
        <f>IF(Liens!C208="","",IF(COUNTIF(Mots!A:A,Liens!C208)&gt;0,"✓ "&amp;Liens!C208,"✗ "&amp;Liens!C208&amp;" (introuvable)"))</f>
        <v>✓ p_terre</v>
      </c>
      <c r="E213" s="35" t="str">
        <f>IF(Liens!D208="","",IF(COUNTIF(Mots!A:A,Liens!D208)&gt;0,"✓ "&amp;Liens!D208,"✗ "&amp;Liens!D208&amp;" (introuvable)"))</f>
        <v>✓ soleil</v>
      </c>
      <c r="F213" s="35" t="str">
        <f>IF(Liens!E208="","",IF(COUNTIF(Mots!A:A,Liens!E208)&gt;0,"✓ "&amp;Liens!E208,"✗ "&amp;Liens!E208&amp;" (introuvable)"))</f>
        <v>✓ nuage</v>
      </c>
      <c r="G213" s="35" t="str">
        <f>IF(Liens!F208="","",IF(COUNTIF(Mots!A:A,Liens!F208)&gt;0,"✓ "&amp;Liens!F208,"✗ "&amp;Liens!F208&amp;" (introuvable)"))</f>
        <v>✓ oiseau</v>
      </c>
      <c r="H213" s="35" t="str">
        <f>IF(Liens!G208="","",IF(COUNTIF(Mots!A:A,Liens!G208)&gt;0,"✓ "&amp;Liens!G208,"✗ "&amp;Liens!G208&amp;" (introuvable)"))</f>
        <v>✓ avion</v>
      </c>
      <c r="I213" s="35" t="str">
        <f>IF(Liens!H208="","",IF(COUNTIF(Mots!A:A,Liens!H208)&gt;0,"✓ "&amp;Liens!H208,"✗ "&amp;Liens!H208&amp;" (introuvable)"))</f>
        <v>✓ p_lune</v>
      </c>
    </row>
    <row r="214" spans="1:9" x14ac:dyDescent="0.3">
      <c r="A214">
        <f t="shared" si="0"/>
        <v>209</v>
      </c>
      <c r="B214" s="35" t="str">
        <f>IF(Liens!A209="","",IF(COUNTIF(Mots!A:A,Liens!A209)&gt;0,"✓ "&amp;Liens!A209,"✗ "&amp;Liens!A209&amp;" (introuvable)"))</f>
        <v>✓ cintre</v>
      </c>
      <c r="C214" s="35" t="str">
        <f>IF(Liens!B209="","",IF(COUNTIF(Mots!A:A,Liens!B209)&gt;0,"✓ "&amp;Liens!B209,"✗ "&amp;Liens!B209&amp;" (introuvable)"))</f>
        <v>✓ chemise</v>
      </c>
      <c r="D214" s="35" t="str">
        <f>IF(Liens!C209="","",IF(COUNTIF(Mots!A:A,Liens!C209)&gt;0,"✓ "&amp;Liens!C209,"✗ "&amp;Liens!C209&amp;" (introuvable)"))</f>
        <v>✓ pantalon</v>
      </c>
      <c r="E214" s="35" t="str">
        <f>IF(Liens!D209="","",IF(COUNTIF(Mots!A:A,Liens!D209)&gt;0,"✓ "&amp;Liens!D209,"✗ "&amp;Liens!D209&amp;" (introuvable)"))</f>
        <v>✓ v_ranger</v>
      </c>
      <c r="F214" s="35" t="str">
        <f>IF(Liens!E209="","",IF(COUNTIF(Mots!A:A,Liens!E209)&gt;0,"✓ "&amp;Liens!E209,"✗ "&amp;Liens!E209&amp;" (introuvable)"))</f>
        <v>✓ armoire</v>
      </c>
      <c r="G214" s="35" t="str">
        <f>IF(Liens!F209="","",IF(COUNTIF(Mots!A:A,Liens!F209)&gt;0,"✓ "&amp;Liens!F209,"✗ "&amp;Liens!F209&amp;" (introuvable)"))</f>
        <v/>
      </c>
      <c r="H214" s="35" t="str">
        <f>IF(Liens!G209="","",IF(COUNTIF(Mots!A:A,Liens!G209)&gt;0,"✓ "&amp;Liens!G209,"✗ "&amp;Liens!G209&amp;" (introuvable)"))</f>
        <v/>
      </c>
      <c r="I214" s="35" t="str">
        <f>IF(Liens!H209="","",IF(COUNTIF(Mots!A:A,Liens!H209)&gt;0,"✓ "&amp;Liens!H209,"✗ "&amp;Liens!H209&amp;" (introuvable)"))</f>
        <v/>
      </c>
    </row>
    <row r="215" spans="1:9" x14ac:dyDescent="0.3">
      <c r="A215">
        <f t="shared" si="0"/>
        <v>210</v>
      </c>
      <c r="B215" s="35" t="str">
        <f>IF(Liens!A210="","",IF(COUNTIF(Mots!A:A,Liens!A210)&gt;0,"✓ "&amp;Liens!A210,"✗ "&amp;Liens!A210&amp;" (introuvable)"))</f>
        <v>✓ circulation</v>
      </c>
      <c r="C215" s="35" t="str">
        <f>IF(Liens!B210="","",IF(COUNTIF(Mots!A:A,Liens!B210)&gt;0,"✓ "&amp;Liens!B210,"✗ "&amp;Liens!B210&amp;" (introuvable)"))</f>
        <v>✓ voiture</v>
      </c>
      <c r="D215" s="35" t="str">
        <f>IF(Liens!C210="","",IF(COUNTIF(Mots!A:A,Liens!C210)&gt;0,"✓ "&amp;Liens!C210,"✗ "&amp;Liens!C210&amp;" (introuvable)"))</f>
        <v>✓ route</v>
      </c>
      <c r="E215" s="35" t="str">
        <f>IF(Liens!D210="","",IF(COUNTIF(Mots!A:A,Liens!D210)&gt;0,"✓ "&amp;Liens!D210,"✗ "&amp;Liens!D210&amp;" (introuvable)"))</f>
        <v>✓ autoroute</v>
      </c>
      <c r="F215" s="35" t="str">
        <f>IF(Liens!E210="","",IF(COUNTIF(Mots!A:A,Liens!E210)&gt;0,"✓ "&amp;Liens!E210,"✗ "&amp;Liens!E210&amp;" (introuvable)"))</f>
        <v>✓ camion</v>
      </c>
      <c r="G215" s="35" t="str">
        <f>IF(Liens!F210="","",IF(COUNTIF(Mots!A:A,Liens!F210)&gt;0,"✓ "&amp;Liens!F210,"✗ "&amp;Liens!F210&amp;" (introuvable)"))</f>
        <v>✓ car_postal</v>
      </c>
      <c r="H215" s="35" t="str">
        <f>IF(Liens!G210="","",IF(COUNTIF(Mots!A:A,Liens!G210)&gt;0,"✓ "&amp;Liens!G210,"✗ "&amp;Liens!G210&amp;" (introuvable)"))</f>
        <v>✓ beaucoup</v>
      </c>
      <c r="I215" s="35" t="str">
        <f>IF(Liens!H210="","",IF(COUNTIF(Mots!A:A,Liens!H210)&gt;0,"✓ "&amp;Liens!H210,"✗ "&amp;Liens!H210&amp;" (introuvable)"))</f>
        <v>✓ trop</v>
      </c>
    </row>
    <row r="216" spans="1:9" x14ac:dyDescent="0.3">
      <c r="A216">
        <f t="shared" si="0"/>
        <v>211</v>
      </c>
      <c r="B216" s="35" t="str">
        <f>IF(Liens!A211="","",IF(COUNTIF(Mots!A:A,Liens!A211)&gt;0,"✓ "&amp;Liens!A211,"✗ "&amp;Liens!A211&amp;" (introuvable)"))</f>
        <v>✓ ciseaux</v>
      </c>
      <c r="C216" s="35" t="str">
        <f>IF(Liens!B211="","",IF(COUNTIF(Mots!A:A,Liens!B211)&gt;0,"✓ "&amp;Liens!B211,"✗ "&amp;Liens!B211&amp;" (introuvable)"))</f>
        <v>✓ lame</v>
      </c>
      <c r="D216" s="35" t="str">
        <f>IF(Liens!C211="","",IF(COUNTIF(Mots!A:A,Liens!C211)&gt;0,"✓ "&amp;Liens!C211,"✗ "&amp;Liens!C211&amp;" (introuvable)"))</f>
        <v>✓ papier</v>
      </c>
      <c r="E216" s="35" t="str">
        <f>IF(Liens!D211="","",IF(COUNTIF(Mots!A:A,Liens!D211)&gt;0,"✓ "&amp;Liens!D211,"✗ "&amp;Liens!D211&amp;" (introuvable)"))</f>
        <v>✓ tissu</v>
      </c>
      <c r="F216" s="35" t="str">
        <f>IF(Liens!E211="","",IF(COUNTIF(Mots!A:A,Liens!E211)&gt;0,"✓ "&amp;Liens!E211,"✗ "&amp;Liens!E211&amp;" (introuvable)"))</f>
        <v>✓ v_couper</v>
      </c>
      <c r="G216" s="35" t="str">
        <f>IF(Liens!F211="","",IF(COUNTIF(Mots!A:A,Liens!F211)&gt;0,"✓ "&amp;Liens!F211,"✗ "&amp;Liens!F211&amp;" (introuvable)"))</f>
        <v/>
      </c>
      <c r="H216" s="35" t="str">
        <f>IF(Liens!G211="","",IF(COUNTIF(Mots!A:A,Liens!G211)&gt;0,"✓ "&amp;Liens!G211,"✗ "&amp;Liens!G211&amp;" (introuvable)"))</f>
        <v/>
      </c>
      <c r="I216" s="35" t="str">
        <f>IF(Liens!H211="","",IF(COUNTIF(Mots!A:A,Liens!H211)&gt;0,"✓ "&amp;Liens!H211,"✗ "&amp;Liens!H211&amp;" (introuvable)"))</f>
        <v/>
      </c>
    </row>
    <row r="217" spans="1:9" x14ac:dyDescent="0.3">
      <c r="A217">
        <f t="shared" si="0"/>
        <v>212</v>
      </c>
      <c r="B217" s="35" t="str">
        <f>IF(Liens!A212="","",IF(COUNTIF(Mots!A:A,Liens!A212)&gt;0,"✓ "&amp;Liens!A212,"✗ "&amp;Liens!A212&amp;" (introuvable)"))</f>
        <v>✓ citron</v>
      </c>
      <c r="C217" s="35" t="str">
        <f>IF(Liens!B212="","",IF(COUNTIF(Mots!A:A,Liens!B212)&gt;0,"✓ "&amp;Liens!B212,"✗ "&amp;Liens!B212&amp;" (introuvable)"))</f>
        <v>✓ fruit</v>
      </c>
      <c r="D217" s="35" t="str">
        <f>IF(Liens!C212="","",IF(COUNTIF(Mots!A:A,Liens!C212)&gt;0,"✓ "&amp;Liens!C212,"✗ "&amp;Liens!C212&amp;" (introuvable)"))</f>
        <v>✓ c_jaune</v>
      </c>
      <c r="E217" s="35" t="str">
        <f>IF(Liens!D212="","",IF(COUNTIF(Mots!A:A,Liens!D212)&gt;0,"✓ "&amp;Liens!D212,"✗ "&amp;Liens!D212&amp;" (introuvable)"))</f>
        <v>✓ gout</v>
      </c>
      <c r="F217" s="35" t="str">
        <f>IF(Liens!E212="","",IF(COUNTIF(Mots!A:A,Liens!E212)&gt;0,"✓ "&amp;Liens!E212,"✗ "&amp;Liens!E212&amp;" (introuvable)"))</f>
        <v>✓ a_amer_acide</v>
      </c>
      <c r="G217" s="35" t="str">
        <f>IF(Liens!F212="","",IF(COUNTIF(Mots!A:A,Liens!F212)&gt;0,"✓ "&amp;Liens!F212,"✗ "&amp;Liens!F212&amp;" (introuvable)"))</f>
        <v>✓ soleil</v>
      </c>
      <c r="H217" s="35" t="str">
        <f>IF(Liens!G212="","",IF(COUNTIF(Mots!A:A,Liens!G212)&gt;0,"✓ "&amp;Liens!G212,"✗ "&amp;Liens!G212&amp;" (introuvable)"))</f>
        <v/>
      </c>
      <c r="I217" s="35" t="str">
        <f>IF(Liens!H212="","",IF(COUNTIF(Mots!A:A,Liens!H212)&gt;0,"✓ "&amp;Liens!H212,"✗ "&amp;Liens!H212&amp;" (introuvable)"))</f>
        <v/>
      </c>
    </row>
    <row r="218" spans="1:9" x14ac:dyDescent="0.3">
      <c r="A218">
        <f t="shared" si="0"/>
        <v>213</v>
      </c>
      <c r="B218" s="35" t="str">
        <f>IF(Liens!A213="","",IF(COUNTIF(Mots!A:A,Liens!A213)&gt;0,"✓ "&amp;Liens!A213,"✗ "&amp;Liens!A213&amp;" (introuvable)"))</f>
        <v>✓ clairière</v>
      </c>
      <c r="C218" s="35" t="str">
        <f>IF(Liens!B213="","",IF(COUNTIF(Mots!A:A,Liens!B213)&gt;0,"✓ "&amp;Liens!B213,"✗ "&amp;Liens!B213&amp;" (introuvable)"))</f>
        <v>✓ foret</v>
      </c>
      <c r="D218" s="35" t="str">
        <f>IF(Liens!C213="","",IF(COUNTIF(Mots!A:A,Liens!C213)&gt;0,"✓ "&amp;Liens!C213,"✗ "&amp;Liens!C213&amp;" (introuvable)"))</f>
        <v>✓ herbe</v>
      </c>
      <c r="E218" s="35" t="str">
        <f>IF(Liens!D213="","",IF(COUNTIF(Mots!A:A,Liens!D213)&gt;0,"✓ "&amp;Liens!D213,"✗ "&amp;Liens!D213&amp;" (introuvable)"))</f>
        <v>✓ c_vert</v>
      </c>
      <c r="F218" s="35" t="str">
        <f>IF(Liens!E213="","",IF(COUNTIF(Mots!A:A,Liens!E213)&gt;0,"✓ "&amp;Liens!E213,"✗ "&amp;Liens!E213&amp;" (introuvable)"))</f>
        <v>✓ cerf</v>
      </c>
      <c r="G218" s="35" t="str">
        <f>IF(Liens!F213="","",IF(COUNTIF(Mots!A:A,Liens!F213)&gt;0,"✓ "&amp;Liens!F213,"✗ "&amp;Liens!F213&amp;" (introuvable)"))</f>
        <v>✓ biche</v>
      </c>
      <c r="H218" s="35" t="str">
        <f>IF(Liens!G213="","",IF(COUNTIF(Mots!A:A,Liens!G213)&gt;0,"✓ "&amp;Liens!G213,"✗ "&amp;Liens!G213&amp;" (introuvable)"))</f>
        <v>✓ chevreuil</v>
      </c>
      <c r="I218" s="35" t="str">
        <f>IF(Liens!H213="","",IF(COUNTIF(Mots!A:A,Liens!H213)&gt;0,"✓ "&amp;Liens!H213,"✗ "&amp;Liens!H213&amp;" (introuvable)"))</f>
        <v>✓ arbre</v>
      </c>
    </row>
    <row r="219" spans="1:9" x14ac:dyDescent="0.3">
      <c r="A219">
        <f t="shared" si="0"/>
        <v>214</v>
      </c>
      <c r="B219" s="35" t="str">
        <f>IF(Liens!A214="","",IF(COUNTIF(Mots!A:A,Liens!A214)&gt;0,"✓ "&amp;Liens!A214,"✗ "&amp;Liens!A214&amp;" (introuvable)"))</f>
        <v>✓ classe</v>
      </c>
      <c r="C219" s="35" t="str">
        <f>IF(Liens!B214="","",IF(COUNTIF(Mots!A:A,Liens!B214)&gt;0,"✓ "&amp;Liens!B214,"✗ "&amp;Liens!B214&amp;" (introuvable)"))</f>
        <v>✓ ecole</v>
      </c>
      <c r="D219" s="35" t="str">
        <f>IF(Liens!C214="","",IF(COUNTIF(Mots!A:A,Liens!C214)&gt;0,"✓ "&amp;Liens!C214,"✗ "&amp;Liens!C214&amp;" (introuvable)"))</f>
        <v>✓ eleve</v>
      </c>
      <c r="E219" s="35" t="str">
        <f>IF(Liens!D214="","",IF(COUNTIF(Mots!A:A,Liens!D214)&gt;0,"✓ "&amp;Liens!D214,"✗ "&amp;Liens!D214&amp;" (introuvable)"))</f>
        <v>✓ maitre</v>
      </c>
      <c r="F219" s="35" t="str">
        <f>IF(Liens!E214="","",IF(COUNTIF(Mots!A:A,Liens!E214)&gt;0,"✓ "&amp;Liens!E214,"✗ "&amp;Liens!E214&amp;" (introuvable)"))</f>
        <v>✓ professeur</v>
      </c>
      <c r="G219" s="35" t="str">
        <f>IF(Liens!F214="","",IF(COUNTIF(Mots!A:A,Liens!F214)&gt;0,"✓ "&amp;Liens!F214,"✗ "&amp;Liens!F214&amp;" (introuvable)"))</f>
        <v>✓ question</v>
      </c>
      <c r="H219" s="35" t="str">
        <f>IF(Liens!G214="","",IF(COUNTIF(Mots!A:A,Liens!G214)&gt;0,"✓ "&amp;Liens!G214,"✗ "&amp;Liens!G214&amp;" (introuvable)"))</f>
        <v>✓ v_apprendre</v>
      </c>
      <c r="I219" s="35" t="str">
        <f>IF(Liens!H214="","",IF(COUNTIF(Mots!A:A,Liens!H214)&gt;0,"✓ "&amp;Liens!H214,"✗ "&amp;Liens!H214&amp;" (introuvable)"))</f>
        <v>✓ v_lire</v>
      </c>
    </row>
    <row r="220" spans="1:9" x14ac:dyDescent="0.3">
      <c r="A220">
        <f t="shared" si="0"/>
        <v>215</v>
      </c>
      <c r="B220" s="35" t="str">
        <f>IF(Liens!A215="","",IF(COUNTIF(Mots!A:A,Liens!A215)&gt;0,"✓ "&amp;Liens!A215,"✗ "&amp;Liens!A215&amp;" (introuvable)"))</f>
        <v>✓ cle</v>
      </c>
      <c r="C220" s="35" t="str">
        <f>IF(Liens!B215="","",IF(COUNTIF(Mots!A:A,Liens!B215)&gt;0,"✓ "&amp;Liens!B215,"✗ "&amp;Liens!B215&amp;" (introuvable)"))</f>
        <v>✓ objet</v>
      </c>
      <c r="D220" s="35" t="str">
        <f>IF(Liens!C215="","",IF(COUNTIF(Mots!A:A,Liens!C215)&gt;0,"✓ "&amp;Liens!C215,"✗ "&amp;Liens!C215&amp;" (introuvable)"))</f>
        <v>✓ metal</v>
      </c>
      <c r="E220" s="35" t="str">
        <f>IF(Liens!D215="","",IF(COUNTIF(Mots!A:A,Liens!D215)&gt;0,"✓ "&amp;Liens!D215,"✗ "&amp;Liens!D215&amp;" (introuvable)"))</f>
        <v>✓ serrure</v>
      </c>
      <c r="F220" s="35" t="str">
        <f>IF(Liens!E215="","",IF(COUNTIF(Mots!A:A,Liens!E215)&gt;0,"✓ "&amp;Liens!E215,"✗ "&amp;Liens!E215&amp;" (introuvable)"))</f>
        <v>✓ porte</v>
      </c>
      <c r="G220" s="35" t="str">
        <f>IF(Liens!F215="","",IF(COUNTIF(Mots!A:A,Liens!F215)&gt;0,"✓ "&amp;Liens!F215,"✗ "&amp;Liens!F215&amp;" (introuvable)"))</f>
        <v>✓ voiture</v>
      </c>
      <c r="H220" s="35" t="str">
        <f>IF(Liens!G215="","",IF(COUNTIF(Mots!A:A,Liens!G215)&gt;0,"✓ "&amp;Liens!G215,"✗ "&amp;Liens!G215&amp;" (introuvable)"))</f>
        <v>✓ v_ouvrir</v>
      </c>
      <c r="I220" s="35" t="str">
        <f>IF(Liens!H215="","",IF(COUNTIF(Mots!A:A,Liens!H215)&gt;0,"✓ "&amp;Liens!H215,"✗ "&amp;Liens!H215&amp;" (introuvable)"))</f>
        <v>✓ v_fermer</v>
      </c>
    </row>
    <row r="221" spans="1:9" x14ac:dyDescent="0.3">
      <c r="A221">
        <f t="shared" si="0"/>
        <v>216</v>
      </c>
      <c r="B221" s="35" t="str">
        <f>IF(Liens!A216="","",IF(COUNTIF(Mots!A:A,Liens!A216)&gt;0,"✓ "&amp;Liens!A216,"✗ "&amp;Liens!A216&amp;" (introuvable)"))</f>
        <v>✓ clignotant</v>
      </c>
      <c r="C221" s="35" t="str">
        <f>IF(Liens!B216="","",IF(COUNTIF(Mots!A:A,Liens!B216)&gt;0,"✓ "&amp;Liens!B216,"✗ "&amp;Liens!B216&amp;" (introuvable)"))</f>
        <v>✓ voiture</v>
      </c>
      <c r="D221" s="35" t="str">
        <f>IF(Liens!C216="","",IF(COUNTIF(Mots!A:A,Liens!C216)&gt;0,"✓ "&amp;Liens!C216,"✗ "&amp;Liens!C216&amp;" (introuvable)"))</f>
        <v>✓ lumiere</v>
      </c>
      <c r="E221" s="35" t="str">
        <f>IF(Liens!D216="","",IF(COUNTIF(Mots!A:A,Liens!D216)&gt;0,"✓ "&amp;Liens!D216,"✗ "&amp;Liens!D216&amp;" (introuvable)"))</f>
        <v>✓ v_tourner</v>
      </c>
      <c r="F221" s="35" t="str">
        <f>IF(Liens!E216="","",IF(COUNTIF(Mots!A:A,Liens!E216)&gt;0,"✓ "&amp;Liens!E216,"✗ "&amp;Liens!E216&amp;" (introuvable)"))</f>
        <v/>
      </c>
      <c r="G221" s="35" t="str">
        <f>IF(Liens!F216="","",IF(COUNTIF(Mots!A:A,Liens!F216)&gt;0,"✓ "&amp;Liens!F216,"✗ "&amp;Liens!F216&amp;" (introuvable)"))</f>
        <v/>
      </c>
      <c r="H221" s="35" t="str">
        <f>IF(Liens!G216="","",IF(COUNTIF(Mots!A:A,Liens!G216)&gt;0,"✓ "&amp;Liens!G216,"✗ "&amp;Liens!G216&amp;" (introuvable)"))</f>
        <v/>
      </c>
      <c r="I221" s="35" t="str">
        <f>IF(Liens!H216="","",IF(COUNTIF(Mots!A:A,Liens!H216)&gt;0,"✓ "&amp;Liens!H216,"✗ "&amp;Liens!H216&amp;" (introuvable)"))</f>
        <v/>
      </c>
    </row>
    <row r="222" spans="1:9" x14ac:dyDescent="0.3">
      <c r="A222">
        <f t="shared" si="0"/>
        <v>217</v>
      </c>
      <c r="B222" s="35" t="str">
        <f>IF(Liens!A217="","",IF(COUNTIF(Mots!A:A,Liens!A217)&gt;0,"✓ "&amp;Liens!A217,"✗ "&amp;Liens!A217&amp;" (introuvable)"))</f>
        <v>✓ cloture</v>
      </c>
      <c r="C222" s="35" t="str">
        <f>IF(Liens!B217="","",IF(COUNTIF(Mots!A:A,Liens!B217)&gt;0,"✓ "&amp;Liens!B217,"✗ "&amp;Liens!B217&amp;" (introuvable)"))</f>
        <v>✓ ferme</v>
      </c>
      <c r="D222" s="35" t="str">
        <f>IF(Liens!C217="","",IF(COUNTIF(Mots!A:A,Liens!C217)&gt;0,"✓ "&amp;Liens!C217,"✗ "&amp;Liens!C217&amp;" (introuvable)"))</f>
        <v>✓ terrain</v>
      </c>
      <c r="E222" s="35" t="str">
        <f>IF(Liens!D217="","",IF(COUNTIF(Mots!A:A,Liens!D217)&gt;0,"✓ "&amp;Liens!D217,"✗ "&amp;Liens!D217&amp;" (introuvable)"))</f>
        <v>✓ barriere</v>
      </c>
      <c r="F222" s="35" t="str">
        <f>IF(Liens!E217="","",IF(COUNTIF(Mots!A:A,Liens!E217)&gt;0,"✓ "&amp;Liens!E217,"✗ "&amp;Liens!E217&amp;" (introuvable)"))</f>
        <v>✓ vache</v>
      </c>
      <c r="G222" s="35" t="str">
        <f>IF(Liens!F217="","",IF(COUNTIF(Mots!A:A,Liens!F217)&gt;0,"✓ "&amp;Liens!F217,"✗ "&amp;Liens!F217&amp;" (introuvable)"))</f>
        <v>✓ v_fermer</v>
      </c>
      <c r="H222" s="35" t="str">
        <f>IF(Liens!G217="","",IF(COUNTIF(Mots!A:A,Liens!G217)&gt;0,"✓ "&amp;Liens!G217,"✗ "&amp;Liens!G217&amp;" (introuvable)"))</f>
        <v/>
      </c>
      <c r="I222" s="35" t="str">
        <f>IF(Liens!H217="","",IF(COUNTIF(Mots!A:A,Liens!H217)&gt;0,"✓ "&amp;Liens!H217,"✗ "&amp;Liens!H217&amp;" (introuvable)"))</f>
        <v/>
      </c>
    </row>
    <row r="223" spans="1:9" x14ac:dyDescent="0.3">
      <c r="A223">
        <f t="shared" si="0"/>
        <v>218</v>
      </c>
      <c r="B223" s="35" t="str">
        <f>IF(Liens!A218="","",IF(COUNTIF(Mots!A:A,Liens!A218)&gt;0,"✓ "&amp;Liens!A218,"✗ "&amp;Liens!A218&amp;" (introuvable)"))</f>
        <v>✓ clou</v>
      </c>
      <c r="C223" s="35" t="str">
        <f>IF(Liens!B218="","",IF(COUNTIF(Mots!A:A,Liens!B218)&gt;0,"✓ "&amp;Liens!B218,"✗ "&amp;Liens!B218&amp;" (introuvable)"))</f>
        <v>✓ bricolage</v>
      </c>
      <c r="D223" s="35" t="str">
        <f>IF(Liens!C218="","",IF(COUNTIF(Mots!A:A,Liens!C218)&gt;0,"✓ "&amp;Liens!C218,"✗ "&amp;Liens!C218&amp;" (introuvable)"))</f>
        <v>✓ metal</v>
      </c>
      <c r="E223" s="35" t="str">
        <f>IF(Liens!D218="","",IF(COUNTIF(Mots!A:A,Liens!D218)&gt;0,"✓ "&amp;Liens!D218,"✗ "&amp;Liens!D218&amp;" (introuvable)"))</f>
        <v>✓ marteau</v>
      </c>
      <c r="F223" s="35" t="str">
        <f>IF(Liens!E218="","",IF(COUNTIF(Mots!A:A,Liens!E218)&gt;0,"✓ "&amp;Liens!E218,"✗ "&amp;Liens!E218&amp;" (introuvable)"))</f>
        <v/>
      </c>
      <c r="G223" s="35" t="str">
        <f>IF(Liens!F218="","",IF(COUNTIF(Mots!A:A,Liens!F218)&gt;0,"✓ "&amp;Liens!F218,"✗ "&amp;Liens!F218&amp;" (introuvable)"))</f>
        <v/>
      </c>
      <c r="H223" s="35" t="str">
        <f>IF(Liens!G218="","",IF(COUNTIF(Mots!A:A,Liens!G218)&gt;0,"✓ "&amp;Liens!G218,"✗ "&amp;Liens!G218&amp;" (introuvable)"))</f>
        <v/>
      </c>
      <c r="I223" s="35" t="str">
        <f>IF(Liens!H218="","",IF(COUNTIF(Mots!A:A,Liens!H218)&gt;0,"✓ "&amp;Liens!H218,"✗ "&amp;Liens!H218&amp;" (introuvable)"))</f>
        <v/>
      </c>
    </row>
    <row r="224" spans="1:9" x14ac:dyDescent="0.3">
      <c r="A224">
        <f t="shared" si="0"/>
        <v>219</v>
      </c>
      <c r="B224" s="35" t="str">
        <f>IF(Liens!A219="","",IF(COUNTIF(Mots!A:A,Liens!A219)&gt;0,"✓ "&amp;Liens!A219,"✗ "&amp;Liens!A219&amp;" (introuvable)"))</f>
        <v>✓ cochon</v>
      </c>
      <c r="C224" s="35" t="str">
        <f>IF(Liens!B219="","",IF(COUNTIF(Mots!A:A,Liens!B219)&gt;0,"✓ "&amp;Liens!B219,"✗ "&amp;Liens!B219&amp;" (introuvable)"))</f>
        <v>✓ animal</v>
      </c>
      <c r="D224" s="35" t="str">
        <f>IF(Liens!C219="","",IF(COUNTIF(Mots!A:A,Liens!C219)&gt;0,"✓ "&amp;Liens!C219,"✗ "&amp;Liens!C219&amp;" (introuvable)"))</f>
        <v>✓ ferme</v>
      </c>
      <c r="E224" s="35" t="str">
        <f>IF(Liens!D219="","",IF(COUNTIF(Mots!A:A,Liens!D219)&gt;0,"✓ "&amp;Liens!D219,"✗ "&amp;Liens!D219&amp;" (introuvable)"))</f>
        <v>✓ porc</v>
      </c>
      <c r="F224" s="35" t="str">
        <f>IF(Liens!E219="","",IF(COUNTIF(Mots!A:A,Liens!E219)&gt;0,"✓ "&amp;Liens!E219,"✗ "&amp;Liens!E219&amp;" (introuvable)"))</f>
        <v>✓ c_rose</v>
      </c>
      <c r="G224" s="35" t="str">
        <f>IF(Liens!F219="","",IF(COUNTIF(Mots!A:A,Liens!F219)&gt;0,"✓ "&amp;Liens!F219,"✗ "&amp;Liens!F219&amp;" (introuvable)"))</f>
        <v>✓ filet_mignon_de_porc</v>
      </c>
      <c r="H224" s="35" t="str">
        <f>IF(Liens!G219="","",IF(COUNTIF(Mots!A:A,Liens!G219)&gt;0,"✓ "&amp;Liens!G219,"✗ "&amp;Liens!G219&amp;" (introuvable)"))</f>
        <v>✓ roti_de_porc</v>
      </c>
      <c r="I224" s="35" t="str">
        <f>IF(Liens!H219="","",IF(COUNTIF(Mots!A:A,Liens!H219)&gt;0,"✓ "&amp;Liens!H219,"✗ "&amp;Liens!H219&amp;" (introuvable)"))</f>
        <v>✓ cotelette_de_porc</v>
      </c>
    </row>
    <row r="225" spans="1:9" x14ac:dyDescent="0.3">
      <c r="A225">
        <f t="shared" si="0"/>
        <v>220</v>
      </c>
      <c r="B225" s="35" t="str">
        <f>IF(Liens!A220="","",IF(COUNTIF(Mots!A:A,Liens!A220)&gt;0,"✓ "&amp;Liens!A220,"✗ "&amp;Liens!A220&amp;" (introuvable)"))</f>
        <v>✓ code_nip</v>
      </c>
      <c r="C225" s="35" t="str">
        <f>IF(Liens!B220="","",IF(COUNTIF(Mots!A:A,Liens!B220)&gt;0,"✓ "&amp;Liens!B220,"✗ "&amp;Liens!B220&amp;" (introuvable)"))</f>
        <v>✓ numero</v>
      </c>
      <c r="D225" s="35" t="str">
        <f>IF(Liens!C220="","",IF(COUNTIF(Mots!A:A,Liens!C220)&gt;0,"✓ "&amp;Liens!C220,"✗ "&amp;Liens!C220&amp;" (introuvable)"))</f>
        <v>✓ secret</v>
      </c>
      <c r="E225" s="35" t="str">
        <f>IF(Liens!D220="","",IF(COUNTIF(Mots!A:A,Liens!D220)&gt;0,"✓ "&amp;Liens!D220,"✗ "&amp;Liens!D220&amp;" (introuvable)"))</f>
        <v>✓ carte_debit</v>
      </c>
      <c r="F225" s="35" t="str">
        <f>IF(Liens!E220="","",IF(COUNTIF(Mots!A:A,Liens!E220)&gt;0,"✓ "&amp;Liens!E220,"✗ "&amp;Liens!E220&amp;" (introuvable)"))</f>
        <v>✓ compte</v>
      </c>
      <c r="G225" s="35" t="str">
        <f>IF(Liens!F220="","",IF(COUNTIF(Mots!A:A,Liens!F220)&gt;0,"✓ "&amp;Liens!F220,"✗ "&amp;Liens!F220&amp;" (introuvable)"))</f>
        <v/>
      </c>
      <c r="H225" s="35" t="str">
        <f>IF(Liens!G220="","",IF(COUNTIF(Mots!A:A,Liens!G220)&gt;0,"✓ "&amp;Liens!G220,"✗ "&amp;Liens!G220&amp;" (introuvable)"))</f>
        <v/>
      </c>
      <c r="I225" s="35" t="str">
        <f>IF(Liens!H220="","",IF(COUNTIF(Mots!A:A,Liens!H220)&gt;0,"✓ "&amp;Liens!H220,"✗ "&amp;Liens!H220&amp;" (introuvable)"))</f>
        <v/>
      </c>
    </row>
    <row r="226" spans="1:9" x14ac:dyDescent="0.3">
      <c r="A226">
        <f t="shared" si="0"/>
        <v>221</v>
      </c>
      <c r="B226" s="35" t="str">
        <f>IF(Liens!A221="","",IF(COUNTIF(Mots!A:A,Liens!A221)&gt;0,"✓ "&amp;Liens!A221,"✗ "&amp;Liens!A221&amp;" (introuvable)"))</f>
        <v>✓ coeur</v>
      </c>
      <c r="C226" s="35" t="str">
        <f>IF(Liens!B221="","",IF(COUNTIF(Mots!A:A,Liens!B221)&gt;0,"✓ "&amp;Liens!B221,"✗ "&amp;Liens!B221&amp;" (introuvable)"))</f>
        <v>✓ corps_humain</v>
      </c>
      <c r="D226" s="35" t="str">
        <f>IF(Liens!C221="","",IF(COUNTIF(Mots!A:A,Liens!C221)&gt;0,"✓ "&amp;Liens!C221,"✗ "&amp;Liens!C221&amp;" (introuvable)"))</f>
        <v>✓ torse</v>
      </c>
      <c r="E226" s="35" t="str">
        <f>IF(Liens!D221="","",IF(COUNTIF(Mots!A:A,Liens!D221)&gt;0,"✓ "&amp;Liens!D221,"✗ "&amp;Liens!D221&amp;" (introuvable)"))</f>
        <v>✓ poitrine</v>
      </c>
      <c r="F226" s="35" t="str">
        <f>IF(Liens!E221="","",IF(COUNTIF(Mots!A:A,Liens!E221)&gt;0,"✓ "&amp;Liens!E221,"✗ "&amp;Liens!E221&amp;" (introuvable)"))</f>
        <v>✓ sang</v>
      </c>
      <c r="G226" s="35" t="str">
        <f>IF(Liens!F221="","",IF(COUNTIF(Mots!A:A,Liens!F221)&gt;0,"✓ "&amp;Liens!F221,"✗ "&amp;Liens!F221&amp;" (introuvable)"))</f>
        <v>✓ rythme</v>
      </c>
      <c r="H226" s="35" t="str">
        <f>IF(Liens!G221="","",IF(COUNTIF(Mots!A:A,Liens!G221)&gt;0,"✓ "&amp;Liens!G221,"✗ "&amp;Liens!G221&amp;" (introuvable)"))</f>
        <v/>
      </c>
      <c r="I226" s="35" t="str">
        <f>IF(Liens!H221="","",IF(COUNTIF(Mots!A:A,Liens!H221)&gt;0,"✓ "&amp;Liens!H221,"✗ "&amp;Liens!H221&amp;" (introuvable)"))</f>
        <v/>
      </c>
    </row>
    <row r="227" spans="1:9" x14ac:dyDescent="0.3">
      <c r="A227">
        <f t="shared" si="0"/>
        <v>222</v>
      </c>
      <c r="B227" s="35" t="str">
        <f>IF(Liens!A222="","",IF(COUNTIF(Mots!A:A,Liens!A222)&gt;0,"✓ "&amp;Liens!A222,"✗ "&amp;Liens!A222&amp;" (introuvable)"))</f>
        <v>✓ coffre</v>
      </c>
      <c r="C227" s="35" t="str">
        <f>IF(Liens!B222="","",IF(COUNTIF(Mots!A:A,Liens!B222)&gt;0,"✓ "&amp;Liens!B222,"✗ "&amp;Liens!B222&amp;" (introuvable)"))</f>
        <v>✓ voiture</v>
      </c>
      <c r="D227" s="35" t="str">
        <f>IF(Liens!C222="","",IF(COUNTIF(Mots!A:A,Liens!C222)&gt;0,"✓ "&amp;Liens!C222,"✗ "&amp;Liens!C222&amp;" (introuvable)"))</f>
        <v>✓ bagage</v>
      </c>
      <c r="E227" s="35" t="str">
        <f>IF(Liens!D222="","",IF(COUNTIF(Mots!A:A,Liens!D222)&gt;0,"✓ "&amp;Liens!D222,"✗ "&amp;Liens!D222&amp;" (introuvable)"))</f>
        <v/>
      </c>
      <c r="F227" s="35" t="str">
        <f>IF(Liens!E222="","",IF(COUNTIF(Mots!A:A,Liens!E222)&gt;0,"✓ "&amp;Liens!E222,"✗ "&amp;Liens!E222&amp;" (introuvable)"))</f>
        <v/>
      </c>
      <c r="G227" s="35" t="str">
        <f>IF(Liens!F222="","",IF(COUNTIF(Mots!A:A,Liens!F222)&gt;0,"✓ "&amp;Liens!F222,"✗ "&amp;Liens!F222&amp;" (introuvable)"))</f>
        <v/>
      </c>
      <c r="H227" s="35" t="str">
        <f>IF(Liens!G222="","",IF(COUNTIF(Mots!A:A,Liens!G222)&gt;0,"✓ "&amp;Liens!G222,"✗ "&amp;Liens!G222&amp;" (introuvable)"))</f>
        <v/>
      </c>
      <c r="I227" s="35" t="str">
        <f>IF(Liens!H222="","",IF(COUNTIF(Mots!A:A,Liens!H222)&gt;0,"✓ "&amp;Liens!H222,"✗ "&amp;Liens!H222&amp;" (introuvable)"))</f>
        <v/>
      </c>
    </row>
    <row r="228" spans="1:9" x14ac:dyDescent="0.3">
      <c r="A228">
        <f t="shared" si="0"/>
        <v>223</v>
      </c>
      <c r="B228" s="35" t="str">
        <f>IF(Liens!A223="","",IF(COUNTIF(Mots!A:A,Liens!A223)&gt;0,"✓ "&amp;Liens!A223,"✗ "&amp;Liens!A223&amp;" (introuvable)"))</f>
        <v>✓ colere</v>
      </c>
      <c r="C228" s="35" t="str">
        <f>IF(Liens!B223="","",IF(COUNTIF(Mots!A:A,Liens!B223)&gt;0,"✓ "&amp;Liens!B223,"✗ "&amp;Liens!B223&amp;" (introuvable)"))</f>
        <v>✓ dispute</v>
      </c>
      <c r="D228" s="35" t="str">
        <f>IF(Liens!C223="","",IF(COUNTIF(Mots!A:A,Liens!C223)&gt;0,"✓ "&amp;Liens!C223,"✗ "&amp;Liens!C223&amp;" (introuvable)"))</f>
        <v>✓ v_crier</v>
      </c>
      <c r="E228" s="35" t="str">
        <f>IF(Liens!D223="","",IF(COUNTIF(Mots!A:A,Liens!D223)&gt;0,"✓ "&amp;Liens!D223,"✗ "&amp;Liens!D223&amp;" (introuvable)"))</f>
        <v>✓ bagarre</v>
      </c>
      <c r="F228" s="35" t="str">
        <f>IF(Liens!E223="","",IF(COUNTIF(Mots!A:A,Liens!E223)&gt;0,"✓ "&amp;Liens!E223,"✗ "&amp;Liens!E223&amp;" (introuvable)"))</f>
        <v/>
      </c>
      <c r="G228" s="35" t="str">
        <f>IF(Liens!F223="","",IF(COUNTIF(Mots!A:A,Liens!F223)&gt;0,"✓ "&amp;Liens!F223,"✗ "&amp;Liens!F223&amp;" (introuvable)"))</f>
        <v/>
      </c>
      <c r="H228" s="35" t="str">
        <f>IF(Liens!G223="","",IF(COUNTIF(Mots!A:A,Liens!G223)&gt;0,"✓ "&amp;Liens!G223,"✗ "&amp;Liens!G223&amp;" (introuvable)"))</f>
        <v/>
      </c>
      <c r="I228" s="35" t="str">
        <f>IF(Liens!H223="","",IF(COUNTIF(Mots!A:A,Liens!H223)&gt;0,"✓ "&amp;Liens!H223,"✗ "&amp;Liens!H223&amp;" (introuvable)"))</f>
        <v/>
      </c>
    </row>
    <row r="229" spans="1:9" x14ac:dyDescent="0.3">
      <c r="A229">
        <f t="shared" si="0"/>
        <v>224</v>
      </c>
      <c r="B229" s="35" t="str">
        <f>IF(Liens!A224="","",IF(COUNTIF(Mots!A:A,Liens!A224)&gt;0,"✓ "&amp;Liens!A224,"✗ "&amp;Liens!A224&amp;" (introuvable)"))</f>
        <v>✓ collant</v>
      </c>
      <c r="C229" s="35" t="str">
        <f>IF(Liens!B224="","",IF(COUNTIF(Mots!A:A,Liens!B224)&gt;0,"✓ "&amp;Liens!B224,"✗ "&amp;Liens!B224&amp;" (introuvable)"))</f>
        <v>✓ colle</v>
      </c>
      <c r="D229" s="35" t="str">
        <f>IF(Liens!C224="","",IF(COUNTIF(Mots!A:A,Liens!C224)&gt;0,"✓ "&amp;Liens!C224,"✗ "&amp;Liens!C224&amp;" (introuvable)"))</f>
        <v/>
      </c>
      <c r="E229" s="35" t="str">
        <f>IF(Liens!D224="","",IF(COUNTIF(Mots!A:A,Liens!D224)&gt;0,"✓ "&amp;Liens!D224,"✗ "&amp;Liens!D224&amp;" (introuvable)"))</f>
        <v/>
      </c>
      <c r="F229" s="35" t="str">
        <f>IF(Liens!E224="","",IF(COUNTIF(Mots!A:A,Liens!E224)&gt;0,"✓ "&amp;Liens!E224,"✗ "&amp;Liens!E224&amp;" (introuvable)"))</f>
        <v/>
      </c>
      <c r="G229" s="35" t="str">
        <f>IF(Liens!F224="","",IF(COUNTIF(Mots!A:A,Liens!F224)&gt;0,"✓ "&amp;Liens!F224,"✗ "&amp;Liens!F224&amp;" (introuvable)"))</f>
        <v/>
      </c>
      <c r="H229" s="35" t="str">
        <f>IF(Liens!G224="","",IF(COUNTIF(Mots!A:A,Liens!G224)&gt;0,"✓ "&amp;Liens!G224,"✗ "&amp;Liens!G224&amp;" (introuvable)"))</f>
        <v/>
      </c>
      <c r="I229" s="35" t="str">
        <f>IF(Liens!H224="","",IF(COUNTIF(Mots!A:A,Liens!H224)&gt;0,"✓ "&amp;Liens!H224,"✗ "&amp;Liens!H224&amp;" (introuvable)"))</f>
        <v/>
      </c>
    </row>
    <row r="230" spans="1:9" x14ac:dyDescent="0.3">
      <c r="A230">
        <f t="shared" si="0"/>
        <v>225</v>
      </c>
      <c r="B230" s="35" t="str">
        <f>IF(Liens!A225="","",IF(COUNTIF(Mots!A:A,Liens!A225)&gt;0,"✓ "&amp;Liens!A225,"✗ "&amp;Liens!A225&amp;" (introuvable)"))</f>
        <v>✓ colle</v>
      </c>
      <c r="C230" s="35" t="str">
        <f>IF(Liens!B225="","",IF(COUNTIF(Mots!A:A,Liens!B225)&gt;0,"✓ "&amp;Liens!B225,"✗ "&amp;Liens!B225&amp;" (introuvable)"))</f>
        <v>✓ collant</v>
      </c>
      <c r="D230" s="35" t="str">
        <f>IF(Liens!C225="","",IF(COUNTIF(Mots!A:A,Liens!C225)&gt;0,"✓ "&amp;Liens!C225,"✗ "&amp;Liens!C225&amp;" (introuvable)"))</f>
        <v>✓ papier</v>
      </c>
      <c r="E230" s="35" t="str">
        <f>IF(Liens!D225="","",IF(COUNTIF(Mots!A:A,Liens!D225)&gt;0,"✓ "&amp;Liens!D225,"✗ "&amp;Liens!D225&amp;" (introuvable)"))</f>
        <v>✓ bois</v>
      </c>
      <c r="F230" s="35" t="str">
        <f>IF(Liens!E225="","",IF(COUNTIF(Mots!A:A,Liens!E225)&gt;0,"✓ "&amp;Liens!E225,"✗ "&amp;Liens!E225&amp;" (introuvable)"))</f>
        <v>✓ plastique</v>
      </c>
      <c r="G230" s="35" t="str">
        <f>IF(Liens!F225="","",IF(COUNTIF(Mots!A:A,Liens!F225)&gt;0,"✓ "&amp;Liens!F225,"✗ "&amp;Liens!F225&amp;" (introuvable)"))</f>
        <v/>
      </c>
      <c r="H230" s="35" t="str">
        <f>IF(Liens!G225="","",IF(COUNTIF(Mots!A:A,Liens!G225)&gt;0,"✓ "&amp;Liens!G225,"✗ "&amp;Liens!G225&amp;" (introuvable)"))</f>
        <v/>
      </c>
      <c r="I230" s="35" t="str">
        <f>IF(Liens!H225="","",IF(COUNTIF(Mots!A:A,Liens!H225)&gt;0,"✓ "&amp;Liens!H225,"✗ "&amp;Liens!H225&amp;" (introuvable)"))</f>
        <v/>
      </c>
    </row>
    <row r="231" spans="1:9" x14ac:dyDescent="0.3">
      <c r="A231">
        <f t="shared" si="0"/>
        <v>226</v>
      </c>
      <c r="B231" s="35" t="str">
        <f>IF(Liens!A226="","",IF(COUNTIF(Mots!A:A,Liens!A226)&gt;0,"✓ "&amp;Liens!A226,"✗ "&amp;Liens!A226&amp;" (introuvable)"))</f>
        <v>✓ collection</v>
      </c>
      <c r="C231" s="35" t="str">
        <f>IF(Liens!B226="","",IF(COUNTIF(Mots!A:A,Liens!B226)&gt;0,"✓ "&amp;Liens!B226,"✗ "&amp;Liens!B226&amp;" (introuvable)"))</f>
        <v>✓ a_pareil</v>
      </c>
      <c r="D231" s="35" t="str">
        <f>IF(Liens!C226="","",IF(COUNTIF(Mots!A:A,Liens!C226)&gt;0,"✓ "&amp;Liens!C226,"✗ "&amp;Liens!C226&amp;" (introuvable)"))</f>
        <v/>
      </c>
      <c r="E231" s="35" t="str">
        <f>IF(Liens!D226="","",IF(COUNTIF(Mots!A:A,Liens!D226)&gt;0,"✓ "&amp;Liens!D226,"✗ "&amp;Liens!D226&amp;" (introuvable)"))</f>
        <v/>
      </c>
      <c r="F231" s="35" t="str">
        <f>IF(Liens!E226="","",IF(COUNTIF(Mots!A:A,Liens!E226)&gt;0,"✓ "&amp;Liens!E226,"✗ "&amp;Liens!E226&amp;" (introuvable)"))</f>
        <v/>
      </c>
      <c r="G231" s="35" t="str">
        <f>IF(Liens!F226="","",IF(COUNTIF(Mots!A:A,Liens!F226)&gt;0,"✓ "&amp;Liens!F226,"✗ "&amp;Liens!F226&amp;" (introuvable)"))</f>
        <v/>
      </c>
      <c r="H231" s="35" t="str">
        <f>IF(Liens!G226="","",IF(COUNTIF(Mots!A:A,Liens!G226)&gt;0,"✓ "&amp;Liens!G226,"✗ "&amp;Liens!G226&amp;" (introuvable)"))</f>
        <v/>
      </c>
      <c r="I231" s="35" t="str">
        <f>IF(Liens!H226="","",IF(COUNTIF(Mots!A:A,Liens!H226)&gt;0,"✓ "&amp;Liens!H226,"✗ "&amp;Liens!H226&amp;" (introuvable)"))</f>
        <v/>
      </c>
    </row>
    <row r="232" spans="1:9" x14ac:dyDescent="0.3">
      <c r="A232">
        <f t="shared" si="0"/>
        <v>227</v>
      </c>
      <c r="B232" s="35" t="str">
        <f>IF(Liens!A227="","",IF(COUNTIF(Mots!A:A,Liens!A227)&gt;0,"✓ "&amp;Liens!A227,"✗ "&amp;Liens!A227&amp;" (introuvable)"))</f>
        <v>✓ colline</v>
      </c>
      <c r="C232" s="35" t="str">
        <f>IF(Liens!B227="","",IF(COUNTIF(Mots!A:A,Liens!B227)&gt;0,"✓ "&amp;Liens!B227,"✗ "&amp;Liens!B227&amp;" (introuvable)"))</f>
        <v>✓ nature</v>
      </c>
      <c r="D232" s="35" t="str">
        <f>IF(Liens!C227="","",IF(COUNTIF(Mots!A:A,Liens!C227)&gt;0,"✓ "&amp;Liens!C227,"✗ "&amp;Liens!C227&amp;" (introuvable)"))</f>
        <v>✓ montagne</v>
      </c>
      <c r="E232" s="35" t="str">
        <f>IF(Liens!D227="","",IF(COUNTIF(Mots!A:A,Liens!D227)&gt;0,"✓ "&amp;Liens!D227,"✗ "&amp;Liens!D227&amp;" (introuvable)"))</f>
        <v>✓ promenade</v>
      </c>
      <c r="F232" s="35" t="str">
        <f>IF(Liens!E227="","",IF(COUNTIF(Mots!A:A,Liens!E227)&gt;0,"✓ "&amp;Liens!E227,"✗ "&amp;Liens!E227&amp;" (introuvable)"))</f>
        <v/>
      </c>
      <c r="G232" s="35" t="str">
        <f>IF(Liens!F227="","",IF(COUNTIF(Mots!A:A,Liens!F227)&gt;0,"✓ "&amp;Liens!F227,"✗ "&amp;Liens!F227&amp;" (introuvable)"))</f>
        <v/>
      </c>
      <c r="H232" s="35" t="str">
        <f>IF(Liens!G227="","",IF(COUNTIF(Mots!A:A,Liens!G227)&gt;0,"✓ "&amp;Liens!G227,"✗ "&amp;Liens!G227&amp;" (introuvable)"))</f>
        <v/>
      </c>
      <c r="I232" s="35" t="str">
        <f>IF(Liens!H227="","",IF(COUNTIF(Mots!A:A,Liens!H227)&gt;0,"✓ "&amp;Liens!H227,"✗ "&amp;Liens!H227&amp;" (introuvable)"))</f>
        <v/>
      </c>
    </row>
    <row r="233" spans="1:9" x14ac:dyDescent="0.3">
      <c r="A233">
        <f t="shared" si="0"/>
        <v>228</v>
      </c>
      <c r="B233" s="35" t="str">
        <f>IF(Liens!A228="","",IF(COUNTIF(Mots!A:A,Liens!A228)&gt;0,"✓ "&amp;Liens!A228,"✗ "&amp;Liens!A228&amp;" (introuvable)"))</f>
        <v>✓ combat</v>
      </c>
      <c r="C233" s="35" t="str">
        <f>IF(Liens!B228="","",IF(COUNTIF(Mots!A:A,Liens!B228)&gt;0,"✓ "&amp;Liens!B228,"✗ "&amp;Liens!B228&amp;" (introuvable)"))</f>
        <v>✓ lutte</v>
      </c>
      <c r="D233" s="35" t="str">
        <f>IF(Liens!C228="","",IF(COUNTIF(Mots!A:A,Liens!C228)&gt;0,"✓ "&amp;Liens!C228,"✗ "&amp;Liens!C228&amp;" (introuvable)"))</f>
        <v>✓ personne</v>
      </c>
      <c r="E233" s="35" t="str">
        <f>IF(Liens!D228="","",IF(COUNTIF(Mots!A:A,Liens!D228)&gt;0,"✓ "&amp;Liens!D228,"✗ "&amp;Liens!D228&amp;" (introuvable)"))</f>
        <v>✓ v_frapper</v>
      </c>
      <c r="F233" s="35" t="str">
        <f>IF(Liens!E228="","",IF(COUNTIF(Mots!A:A,Liens!E228)&gt;0,"✓ "&amp;Liens!E228,"✗ "&amp;Liens!E228&amp;" (introuvable)"))</f>
        <v>✓ dangereux</v>
      </c>
      <c r="G233" s="35" t="str">
        <f>IF(Liens!F228="","",IF(COUNTIF(Mots!A:A,Liens!F228)&gt;0,"✓ "&amp;Liens!F228,"✗ "&amp;Liens!F228&amp;" (introuvable)"))</f>
        <v>✓ blessure</v>
      </c>
      <c r="H233" s="35" t="str">
        <f>IF(Liens!G228="","",IF(COUNTIF(Mots!A:A,Liens!G228)&gt;0,"✓ "&amp;Liens!G228,"✗ "&amp;Liens!G228&amp;" (introuvable)"))</f>
        <v>✓ v_soigner</v>
      </c>
      <c r="I233" s="35" t="str">
        <f>IF(Liens!H228="","",IF(COUNTIF(Mots!A:A,Liens!H228)&gt;0,"✓ "&amp;Liens!H228,"✗ "&amp;Liens!H228&amp;" (introuvable)"))</f>
        <v/>
      </c>
    </row>
    <row r="234" spans="1:9" x14ac:dyDescent="0.3">
      <c r="A234">
        <f t="shared" si="0"/>
        <v>229</v>
      </c>
      <c r="B234" s="35" t="str">
        <f>IF(Liens!A229="","",IF(COUNTIF(Mots!A:A,Liens!A229)&gt;0,"✓ "&amp;Liens!A229,"✗ "&amp;Liens!A229&amp;" (introuvable)"))</f>
        <v>✓ commerce</v>
      </c>
      <c r="C234" s="35" t="str">
        <f>IF(Liens!B229="","",IF(COUNTIF(Mots!A:A,Liens!B229)&gt;0,"✓ "&amp;Liens!B229,"✗ "&amp;Liens!B229&amp;" (introuvable)"))</f>
        <v>✓ v_acheter</v>
      </c>
      <c r="D234" s="35" t="str">
        <f>IF(Liens!C229="","",IF(COUNTIF(Mots!A:A,Liens!C229)&gt;0,"✓ "&amp;Liens!C229,"✗ "&amp;Liens!C229&amp;" (introuvable)"))</f>
        <v>✓ v_vendre</v>
      </c>
      <c r="E234" s="35" t="str">
        <f>IF(Liens!D229="","",IF(COUNTIF(Mots!A:A,Liens!D229)&gt;0,"✓ "&amp;Liens!D229,"✗ "&amp;Liens!D229&amp;" (introuvable)"))</f>
        <v>✓ argent</v>
      </c>
      <c r="F234" s="35" t="str">
        <f>IF(Liens!E229="","",IF(COUNTIF(Mots!A:A,Liens!E229)&gt;0,"✓ "&amp;Liens!E229,"✗ "&amp;Liens!E229&amp;" (introuvable)"))</f>
        <v/>
      </c>
      <c r="G234" s="35" t="str">
        <f>IF(Liens!F229="","",IF(COUNTIF(Mots!A:A,Liens!F229)&gt;0,"✓ "&amp;Liens!F229,"✗ "&amp;Liens!F229&amp;" (introuvable)"))</f>
        <v/>
      </c>
      <c r="H234" s="35" t="str">
        <f>IF(Liens!G229="","",IF(COUNTIF(Mots!A:A,Liens!G229)&gt;0,"✓ "&amp;Liens!G229,"✗ "&amp;Liens!G229&amp;" (introuvable)"))</f>
        <v/>
      </c>
      <c r="I234" s="35" t="str">
        <f>IF(Liens!H229="","",IF(COUNTIF(Mots!A:A,Liens!H229)&gt;0,"✓ "&amp;Liens!H229,"✗ "&amp;Liens!H229&amp;" (introuvable)"))</f>
        <v/>
      </c>
    </row>
    <row r="235" spans="1:9" x14ac:dyDescent="0.3">
      <c r="A235">
        <f t="shared" si="0"/>
        <v>230</v>
      </c>
      <c r="B235" s="35" t="str">
        <f>IF(Liens!A230="","",IF(COUNTIF(Mots!A:A,Liens!A230)&gt;0,"✓ "&amp;Liens!A230,"✗ "&amp;Liens!A230&amp;" (introuvable)"))</f>
        <v>✓ compagnie</v>
      </c>
      <c r="C235" s="35" t="str">
        <f>IF(Liens!B230="","",IF(COUNTIF(Mots!A:A,Liens!B230)&gt;0,"✓ "&amp;Liens!B230,"✗ "&amp;Liens!B230&amp;" (introuvable)"))</f>
        <v>✓ personne</v>
      </c>
      <c r="D235" s="35" t="str">
        <f>IF(Liens!C230="","",IF(COUNTIF(Mots!A:A,Liens!C230)&gt;0,"✓ "&amp;Liens!C230,"✗ "&amp;Liens!C230&amp;" (introuvable)"))</f>
        <v>✓ ami</v>
      </c>
      <c r="E235" s="35" t="str">
        <f>IF(Liens!D230="","",IF(COUNTIF(Mots!A:A,Liens!D230)&gt;0,"✓ "&amp;Liens!D230,"✗ "&amp;Liens!D230&amp;" (introuvable)"))</f>
        <v>✓ famille</v>
      </c>
      <c r="F235" s="35" t="str">
        <f>IF(Liens!E230="","",IF(COUNTIF(Mots!A:A,Liens!E230)&gt;0,"✓ "&amp;Liens!E230,"✗ "&amp;Liens!E230&amp;" (introuvable)"))</f>
        <v>✓ groupe</v>
      </c>
      <c r="G235" s="35" t="str">
        <f>IF(Liens!F230="","",IF(COUNTIF(Mots!A:A,Liens!F230)&gt;0,"✓ "&amp;Liens!F230,"✗ "&amp;Liens!F230&amp;" (introuvable)"))</f>
        <v>✓ gens</v>
      </c>
      <c r="H235" s="35" t="str">
        <f>IF(Liens!G230="","",IF(COUNTIF(Mots!A:A,Liens!G230)&gt;0,"✓ "&amp;Liens!G230,"✗ "&amp;Liens!G230&amp;" (introuvable)"))</f>
        <v>✓ restaurant</v>
      </c>
      <c r="I235" s="35" t="str">
        <f>IF(Liens!H230="","",IF(COUNTIF(Mots!A:A,Liens!H230)&gt;0,"✓ "&amp;Liens!H230,"✗ "&amp;Liens!H230&amp;" (introuvable)"))</f>
        <v>✓ fete</v>
      </c>
    </row>
    <row r="236" spans="1:9" x14ac:dyDescent="0.3">
      <c r="A236">
        <f t="shared" si="0"/>
        <v>231</v>
      </c>
      <c r="B236" s="35" t="str">
        <f>IF(Liens!A231="","",IF(COUNTIF(Mots!A:A,Liens!A231)&gt;0,"✓ "&amp;Liens!A231,"✗ "&amp;Liens!A231&amp;" (introuvable)"))</f>
        <v>✓ complet</v>
      </c>
      <c r="C236" s="35" t="str">
        <f>IF(Liens!B231="","",IF(COUNTIF(Mots!A:A,Liens!B231)&gt;0,"✓ "&amp;Liens!B231,"✗ "&amp;Liens!B231&amp;" (introuvable)"))</f>
        <v>✓ entier</v>
      </c>
      <c r="D236" s="35" t="str">
        <f>IF(Liens!C231="","",IF(COUNTIF(Mots!A:A,Liens!C231)&gt;0,"✓ "&amp;Liens!C231,"✗ "&amp;Liens!C231&amp;" (introuvable)"))</f>
        <v>✓ a_vide_plein</v>
      </c>
      <c r="E236" s="35" t="str">
        <f>IF(Liens!D231="","",IF(COUNTIF(Mots!A:A,Liens!D231)&gt;0,"✓ "&amp;Liens!D231,"✗ "&amp;Liens!D231&amp;" (introuvable)"))</f>
        <v/>
      </c>
      <c r="F236" s="35" t="str">
        <f>IF(Liens!E231="","",IF(COUNTIF(Mots!A:A,Liens!E231)&gt;0,"✓ "&amp;Liens!E231,"✗ "&amp;Liens!E231&amp;" (introuvable)"))</f>
        <v/>
      </c>
      <c r="G236" s="35" t="str">
        <f>IF(Liens!F231="","",IF(COUNTIF(Mots!A:A,Liens!F231)&gt;0,"✓ "&amp;Liens!F231,"✗ "&amp;Liens!F231&amp;" (introuvable)"))</f>
        <v/>
      </c>
      <c r="H236" s="35" t="str">
        <f>IF(Liens!G231="","",IF(COUNTIF(Mots!A:A,Liens!G231)&gt;0,"✓ "&amp;Liens!G231,"✗ "&amp;Liens!G231&amp;" (introuvable)"))</f>
        <v/>
      </c>
      <c r="I236" s="35" t="str">
        <f>IF(Liens!H231="","",IF(COUNTIF(Mots!A:A,Liens!H231)&gt;0,"✓ "&amp;Liens!H231,"✗ "&amp;Liens!H231&amp;" (introuvable)"))</f>
        <v/>
      </c>
    </row>
    <row r="237" spans="1:9" x14ac:dyDescent="0.3">
      <c r="A237">
        <f t="shared" si="0"/>
        <v>232</v>
      </c>
      <c r="B237" s="35" t="str">
        <f>IF(Liens!A232="","",IF(COUNTIF(Mots!A:A,Liens!A232)&gt;0,"✓ "&amp;Liens!A232,"✗ "&amp;Liens!A232&amp;" (introuvable)"))</f>
        <v>✓ complice</v>
      </c>
      <c r="C237" s="35" t="str">
        <f>IF(Liens!B232="","",IF(COUNTIF(Mots!A:A,Liens!B232)&gt;0,"✓ "&amp;Liens!B232,"✗ "&amp;Liens!B232&amp;" (introuvable)"))</f>
        <v>✓ personne</v>
      </c>
      <c r="D237" s="35" t="str">
        <f>IF(Liens!C232="","",IF(COUNTIF(Mots!A:A,Liens!C232)&gt;0,"✓ "&amp;Liens!C232,"✗ "&amp;Liens!C232&amp;" (introuvable)"))</f>
        <v>✓ ami</v>
      </c>
      <c r="E237" s="35" t="str">
        <f>IF(Liens!D232="","",IF(COUNTIF(Mots!A:A,Liens!D232)&gt;0,"✓ "&amp;Liens!D232,"✗ "&amp;Liens!D232&amp;" (introuvable)"))</f>
        <v>✓ secret</v>
      </c>
      <c r="F237" s="35" t="str">
        <f>IF(Liens!E232="","",IF(COUNTIF(Mots!A:A,Liens!E232)&gt;0,"✓ "&amp;Liens!E232,"✗ "&amp;Liens!E232&amp;" (introuvable)"))</f>
        <v>✓ jeu</v>
      </c>
      <c r="G237" s="35" t="str">
        <f>IF(Liens!F232="","",IF(COUNTIF(Mots!A:A,Liens!F232)&gt;0,"✓ "&amp;Liens!F232,"✗ "&amp;Liens!F232&amp;" (introuvable)"))</f>
        <v/>
      </c>
      <c r="H237" s="35" t="str">
        <f>IF(Liens!G232="","",IF(COUNTIF(Mots!A:A,Liens!G232)&gt;0,"✓ "&amp;Liens!G232,"✗ "&amp;Liens!G232&amp;" (introuvable)"))</f>
        <v/>
      </c>
      <c r="I237" s="35" t="str">
        <f>IF(Liens!H232="","",IF(COUNTIF(Mots!A:A,Liens!H232)&gt;0,"✓ "&amp;Liens!H232,"✗ "&amp;Liens!H232&amp;" (introuvable)"))</f>
        <v/>
      </c>
    </row>
    <row r="238" spans="1:9" x14ac:dyDescent="0.3">
      <c r="A238">
        <f t="shared" si="0"/>
        <v>233</v>
      </c>
      <c r="B238" s="35" t="str">
        <f>IF(Liens!A233="","",IF(COUNTIF(Mots!A:A,Liens!A233)&gt;0,"✓ "&amp;Liens!A233,"✗ "&amp;Liens!A233&amp;" (introuvable)"))</f>
        <v>✓ comprime</v>
      </c>
      <c r="C238" s="35" t="str">
        <f>IF(Liens!B233="","",IF(COUNTIF(Mots!A:A,Liens!B233)&gt;0,"✓ "&amp;Liens!B233,"✗ "&amp;Liens!B233&amp;" (introuvable)"))</f>
        <v>✓ medicament</v>
      </c>
      <c r="D238" s="35" t="str">
        <f>IF(Liens!C233="","",IF(COUNTIF(Mots!A:A,Liens!C233)&gt;0,"✓ "&amp;Liens!C233,"✗ "&amp;Liens!C233&amp;" (introuvable)"))</f>
        <v>✓ pharmacie</v>
      </c>
      <c r="E238" s="35" t="str">
        <f>IF(Liens!D233="","",IF(COUNTIF(Mots!A:A,Liens!D233)&gt;0,"✓ "&amp;Liens!D233,"✗ "&amp;Liens!D233&amp;" (introuvable)"))</f>
        <v/>
      </c>
      <c r="F238" s="35" t="str">
        <f>IF(Liens!E233="","",IF(COUNTIF(Mots!A:A,Liens!E233)&gt;0,"✓ "&amp;Liens!E233,"✗ "&amp;Liens!E233&amp;" (introuvable)"))</f>
        <v/>
      </c>
      <c r="G238" s="35" t="str">
        <f>IF(Liens!F233="","",IF(COUNTIF(Mots!A:A,Liens!F233)&gt;0,"✓ "&amp;Liens!F233,"✗ "&amp;Liens!F233&amp;" (introuvable)"))</f>
        <v/>
      </c>
      <c r="H238" s="35" t="str">
        <f>IF(Liens!G233="","",IF(COUNTIF(Mots!A:A,Liens!G233)&gt;0,"✓ "&amp;Liens!G233,"✗ "&amp;Liens!G233&amp;" (introuvable)"))</f>
        <v/>
      </c>
      <c r="I238" s="35" t="str">
        <f>IF(Liens!H233="","",IF(COUNTIF(Mots!A:A,Liens!H233)&gt;0,"✓ "&amp;Liens!H233,"✗ "&amp;Liens!H233&amp;" (introuvable)"))</f>
        <v/>
      </c>
    </row>
    <row r="239" spans="1:9" x14ac:dyDescent="0.3">
      <c r="A239">
        <f t="shared" si="0"/>
        <v>234</v>
      </c>
      <c r="B239" s="35" t="str">
        <f>IF(Liens!A234="","",IF(COUNTIF(Mots!A:A,Liens!A234)&gt;0,"✓ "&amp;Liens!A234,"✗ "&amp;Liens!A234&amp;" (introuvable)"))</f>
        <v>✓ compte</v>
      </c>
      <c r="C239" s="35" t="str">
        <f>IF(Liens!B234="","",IF(COUNTIF(Mots!A:A,Liens!B234)&gt;0,"✓ "&amp;Liens!B234,"✗ "&amp;Liens!B234&amp;" (introuvable)"))</f>
        <v>✓ banque</v>
      </c>
      <c r="D239" s="35" t="str">
        <f>IF(Liens!C234="","",IF(COUNTIF(Mots!A:A,Liens!C234)&gt;0,"✓ "&amp;Liens!C234,"✗ "&amp;Liens!C234&amp;" (introuvable)"))</f>
        <v>✓ banque_migros</v>
      </c>
      <c r="E239" s="35" t="str">
        <f>IF(Liens!D234="","",IF(COUNTIF(Mots!A:A,Liens!D234)&gt;0,"✓ "&amp;Liens!D234,"✗ "&amp;Liens!D234&amp;" (introuvable)"))</f>
        <v>✓ banque_raiffeisen</v>
      </c>
      <c r="F239" s="35" t="str">
        <f>IF(Liens!E234="","",IF(COUNTIF(Mots!A:A,Liens!E234)&gt;0,"✓ "&amp;Liens!E234,"✗ "&amp;Liens!E234&amp;" (introuvable)"))</f>
        <v>✓ virement</v>
      </c>
      <c r="G239" s="35" t="str">
        <f>IF(Liens!F234="","",IF(COUNTIF(Mots!A:A,Liens!F234)&gt;0,"✓ "&amp;Liens!F234,"✗ "&amp;Liens!F234&amp;" (introuvable)"))</f>
        <v>✓ carte_debit</v>
      </c>
      <c r="H239" s="35" t="str">
        <f>IF(Liens!G234="","",IF(COUNTIF(Mots!A:A,Liens!G234)&gt;0,"✓ "&amp;Liens!G234,"✗ "&amp;Liens!G234&amp;" (introuvable)"))</f>
        <v/>
      </c>
      <c r="I239" s="35" t="str">
        <f>IF(Liens!H234="","",IF(COUNTIF(Mots!A:A,Liens!H234)&gt;0,"✓ "&amp;Liens!H234,"✗ "&amp;Liens!H234&amp;" (introuvable)"))</f>
        <v/>
      </c>
    </row>
    <row r="240" spans="1:9" x14ac:dyDescent="0.3">
      <c r="A240">
        <f t="shared" si="0"/>
        <v>235</v>
      </c>
      <c r="B240" s="35" t="str">
        <f>IF(Liens!A235="","",IF(COUNTIF(Mots!A:A,Liens!A235)&gt;0,"✓ "&amp;Liens!A235,"✗ "&amp;Liens!A235&amp;" (introuvable)"))</f>
        <v>✓ concert</v>
      </c>
      <c r="C240" s="35" t="str">
        <f>IF(Liens!B235="","",IF(COUNTIF(Mots!A:A,Liens!B235)&gt;0,"✓ "&amp;Liens!B235,"✗ "&amp;Liens!B235&amp;" (introuvable)"))</f>
        <v>✓ spectacle</v>
      </c>
      <c r="D240" s="35" t="str">
        <f>IF(Liens!C235="","",IF(COUNTIF(Mots!A:A,Liens!C235)&gt;0,"✓ "&amp;Liens!C235,"✗ "&amp;Liens!C235&amp;" (introuvable)"))</f>
        <v>✓ musicien</v>
      </c>
      <c r="E240" s="35" t="str">
        <f>IF(Liens!D235="","",IF(COUNTIF(Mots!A:A,Liens!D235)&gt;0,"✓ "&amp;Liens!D235,"✗ "&amp;Liens!D235&amp;" (introuvable)"))</f>
        <v>✓ chanteur</v>
      </c>
      <c r="F240" s="35" t="str">
        <f>IF(Liens!E235="","",IF(COUNTIF(Mots!A:A,Liens!E235)&gt;0,"✓ "&amp;Liens!E235,"✗ "&amp;Liens!E235&amp;" (introuvable)"))</f>
        <v>✓ v_chanter</v>
      </c>
      <c r="G240" s="35" t="str">
        <f>IF(Liens!F235="","",IF(COUNTIF(Mots!A:A,Liens!F235)&gt;0,"✓ "&amp;Liens!F235,"✗ "&amp;Liens!F235&amp;" (introuvable)"))</f>
        <v>✓ v_jouer</v>
      </c>
      <c r="H240" s="35" t="str">
        <f>IF(Liens!G235="","",IF(COUNTIF(Mots!A:A,Liens!G235)&gt;0,"✓ "&amp;Liens!G235,"✗ "&amp;Liens!G235&amp;" (introuvable)"))</f>
        <v>✓ public</v>
      </c>
      <c r="I240" s="35" t="str">
        <f>IF(Liens!H235="","",IF(COUNTIF(Mots!A:A,Liens!H235)&gt;0,"✓ "&amp;Liens!H235,"✗ "&amp;Liens!H235&amp;" (introuvable)"))</f>
        <v>✓ musique</v>
      </c>
    </row>
    <row r="241" spans="1:9" x14ac:dyDescent="0.3">
      <c r="A241">
        <f t="shared" si="0"/>
        <v>236</v>
      </c>
      <c r="B241" s="35" t="str">
        <f>IF(Liens!A236="","",IF(COUNTIF(Mots!A:A,Liens!A236)&gt;0,"✓ "&amp;Liens!A236,"✗ "&amp;Liens!A236&amp;" (introuvable)"))</f>
        <v>✓ concours</v>
      </c>
      <c r="C241" s="35" t="str">
        <f>IF(Liens!B236="","",IF(COUNTIF(Mots!A:A,Liens!B236)&gt;0,"✓ "&amp;Liens!B236,"✗ "&amp;Liens!B236&amp;" (introuvable)"))</f>
        <v>✓ champion</v>
      </c>
      <c r="D241" s="35" t="str">
        <f>IF(Liens!C236="","",IF(COUNTIF(Mots!A:A,Liens!C236)&gt;0,"✓ "&amp;Liens!C236,"✗ "&amp;Liens!C236&amp;" (introuvable)"))</f>
        <v>✓ vainqueur</v>
      </c>
      <c r="E241" s="35" t="str">
        <f>IF(Liens!D236="","",IF(COUNTIF(Mots!A:A,Liens!D236)&gt;0,"✓ "&amp;Liens!D236,"✗ "&amp;Liens!D236&amp;" (introuvable)"))</f>
        <v>✓ v_jouer</v>
      </c>
      <c r="F241" s="35" t="str">
        <f>IF(Liens!E236="","",IF(COUNTIF(Mots!A:A,Liens!E236)&gt;0,"✓ "&amp;Liens!E236,"✗ "&amp;Liens!E236&amp;" (introuvable)"))</f>
        <v>✓ fierte</v>
      </c>
      <c r="G241" s="35" t="str">
        <f>IF(Liens!F236="","",IF(COUNTIF(Mots!A:A,Liens!F236)&gt;0,"✓ "&amp;Liens!F236,"✗ "&amp;Liens!F236&amp;" (introuvable)"))</f>
        <v>✓ v_feliciter</v>
      </c>
      <c r="H241" s="35" t="str">
        <f>IF(Liens!G236="","",IF(COUNTIF(Mots!A:A,Liens!G236)&gt;0,"✓ "&amp;Liens!G236,"✗ "&amp;Liens!G236&amp;" (introuvable)"))</f>
        <v>✓ emotion</v>
      </c>
      <c r="I241" s="35" t="str">
        <f>IF(Liens!H236="","",IF(COUNTIF(Mots!A:A,Liens!H236)&gt;0,"✓ "&amp;Liens!H236,"✗ "&amp;Liens!H236&amp;" (introuvable)"))</f>
        <v>✓ applaudissements</v>
      </c>
    </row>
    <row r="242" spans="1:9" x14ac:dyDescent="0.3">
      <c r="A242">
        <f t="shared" si="0"/>
        <v>237</v>
      </c>
      <c r="B242" s="35" t="str">
        <f>IF(Liens!A237="","",IF(COUNTIF(Mots!A:A,Liens!A237)&gt;0,"✓ "&amp;Liens!A237,"✗ "&amp;Liens!A237&amp;" (introuvable)"))</f>
        <v>✓ cone</v>
      </c>
      <c r="C242" s="35" t="str">
        <f>IF(Liens!B237="","",IF(COUNTIF(Mots!A:A,Liens!B237)&gt;0,"✓ "&amp;Liens!B237,"✗ "&amp;Liens!B237&amp;" (introuvable)"))</f>
        <v>✓ forme</v>
      </c>
      <c r="D242" s="35" t="str">
        <f>IF(Liens!C237="","",IF(COUNTIF(Mots!A:A,Liens!C237)&gt;0,"✓ "&amp;Liens!C237,"✗ "&amp;Liens!C237&amp;" (introuvable)"))</f>
        <v>✓ pointu</v>
      </c>
      <c r="E242" s="35" t="str">
        <f>IF(Liens!D237="","",IF(COUNTIF(Mots!A:A,Liens!D237)&gt;0,"✓ "&amp;Liens!D237,"✗ "&amp;Liens!D237&amp;" (introuvable)"))</f>
        <v/>
      </c>
      <c r="F242" s="35" t="str">
        <f>IF(Liens!E237="","",IF(COUNTIF(Mots!A:A,Liens!E237)&gt;0,"✓ "&amp;Liens!E237,"✗ "&amp;Liens!E237&amp;" (introuvable)"))</f>
        <v/>
      </c>
      <c r="G242" s="35" t="str">
        <f>IF(Liens!F237="","",IF(COUNTIF(Mots!A:A,Liens!F237)&gt;0,"✓ "&amp;Liens!F237,"✗ "&amp;Liens!F237&amp;" (introuvable)"))</f>
        <v/>
      </c>
      <c r="H242" s="35" t="str">
        <f>IF(Liens!G237="","",IF(COUNTIF(Mots!A:A,Liens!G237)&gt;0,"✓ "&amp;Liens!G237,"✗ "&amp;Liens!G237&amp;" (introuvable)"))</f>
        <v/>
      </c>
      <c r="I242" s="35" t="str">
        <f>IF(Liens!H237="","",IF(COUNTIF(Mots!A:A,Liens!H237)&gt;0,"✓ "&amp;Liens!H237,"✗ "&amp;Liens!H237&amp;" (introuvable)"))</f>
        <v/>
      </c>
    </row>
    <row r="243" spans="1:9" x14ac:dyDescent="0.3">
      <c r="A243">
        <f t="shared" si="0"/>
        <v>238</v>
      </c>
      <c r="B243" s="35" t="str">
        <f>IF(Liens!A238="","",IF(COUNTIF(Mots!A:A,Liens!A238)&gt;0,"✓ "&amp;Liens!A238,"✗ "&amp;Liens!A238&amp;" (introuvable)"))</f>
        <v>✓ confiance</v>
      </c>
      <c r="C243" s="35" t="str">
        <f>IF(Liens!B238="","",IF(COUNTIF(Mots!A:A,Liens!B238)&gt;0,"✓ "&amp;Liens!B238,"✗ "&amp;Liens!B238&amp;" (introuvable)"))</f>
        <v>✓ mes_enfants</v>
      </c>
      <c r="D243" s="35" t="str">
        <f>IF(Liens!C238="","",IF(COUNTIF(Mots!A:A,Liens!C238)&gt;0,"✓ "&amp;Liens!C238,"✗ "&amp;Liens!C238&amp;" (introuvable)"))</f>
        <v>✓ famille</v>
      </c>
      <c r="E243" s="35" t="str">
        <f>IF(Liens!D238="","",IF(COUNTIF(Mots!A:A,Liens!D238)&gt;0,"✓ "&amp;Liens!D238,"✗ "&amp;Liens!D238&amp;" (introuvable)"))</f>
        <v>✓ amitie</v>
      </c>
      <c r="F243" s="35" t="str">
        <f>IF(Liens!E238="","",IF(COUNTIF(Mots!A:A,Liens!E238)&gt;0,"✓ "&amp;Liens!E238,"✗ "&amp;Liens!E238&amp;" (introuvable)"))</f>
        <v>✓ ami</v>
      </c>
      <c r="G243" s="35" t="str">
        <f>IF(Liens!F238="","",IF(COUNTIF(Mots!A:A,Liens!F238)&gt;0,"✓ "&amp;Liens!F238,"✗ "&amp;Liens!F238&amp;" (introuvable)"))</f>
        <v/>
      </c>
      <c r="H243" s="35" t="str">
        <f>IF(Liens!G238="","",IF(COUNTIF(Mots!A:A,Liens!G238)&gt;0,"✓ "&amp;Liens!G238,"✗ "&amp;Liens!G238&amp;" (introuvable)"))</f>
        <v/>
      </c>
      <c r="I243" s="35" t="str">
        <f>IF(Liens!H238="","",IF(COUNTIF(Mots!A:A,Liens!H238)&gt;0,"✓ "&amp;Liens!H238,"✗ "&amp;Liens!H238&amp;" (introuvable)"))</f>
        <v/>
      </c>
    </row>
    <row r="244" spans="1:9" x14ac:dyDescent="0.3">
      <c r="A244">
        <f t="shared" si="0"/>
        <v>239</v>
      </c>
      <c r="B244" s="35" t="str">
        <f>IF(Liens!A239="","",IF(COUNTIF(Mots!A:A,Liens!A239)&gt;0,"✓ "&amp;Liens!A239,"✗ "&amp;Liens!A239&amp;" (introuvable)"))</f>
        <v>✓ confiture</v>
      </c>
      <c r="C244" s="35" t="str">
        <f>IF(Liens!B239="","",IF(COUNTIF(Mots!A:A,Liens!B239)&gt;0,"✓ "&amp;Liens!B239,"✗ "&amp;Liens!B239&amp;" (introuvable)"))</f>
        <v>✓ fruit</v>
      </c>
      <c r="D244" s="35" t="str">
        <f>IF(Liens!C239="","",IF(COUNTIF(Mots!A:A,Liens!C239)&gt;0,"✓ "&amp;Liens!C239,"✗ "&amp;Liens!C239&amp;" (introuvable)"))</f>
        <v>✓ sucre</v>
      </c>
      <c r="E244" s="35" t="str">
        <f>IF(Liens!D239="","",IF(COUNTIF(Mots!A:A,Liens!D239)&gt;0,"✓ "&amp;Liens!D239,"✗ "&amp;Liens!D239&amp;" (introuvable)"))</f>
        <v>✓ bocal</v>
      </c>
      <c r="F244" s="35" t="str">
        <f>IF(Liens!E239="","",IF(COUNTIF(Mots!A:A,Liens!E239)&gt;0,"✓ "&amp;Liens!E239,"✗ "&amp;Liens!E239&amp;" (introuvable)"))</f>
        <v>✓ pain</v>
      </c>
      <c r="G244" s="35" t="str">
        <f>IF(Liens!F239="","",IF(COUNTIF(Mots!A:A,Liens!F239)&gt;0,"✓ "&amp;Liens!F239,"✗ "&amp;Liens!F239&amp;" (introuvable)"))</f>
        <v>✓ beurre</v>
      </c>
      <c r="H244" s="35" t="str">
        <f>IF(Liens!G239="","",IF(COUNTIF(Mots!A:A,Liens!G239)&gt;0,"✓ "&amp;Liens!G239,"✗ "&amp;Liens!G239&amp;" (introuvable)"))</f>
        <v>✓ dejeuner</v>
      </c>
      <c r="I244" s="35" t="str">
        <f>IF(Liens!H239="","",IF(COUNTIF(Mots!A:A,Liens!H239)&gt;0,"✓ "&amp;Liens!H239,"✗ "&amp;Liens!H239&amp;" (introuvable)"))</f>
        <v>✓ matin</v>
      </c>
    </row>
    <row r="245" spans="1:9" x14ac:dyDescent="0.3">
      <c r="A245">
        <f t="shared" si="0"/>
        <v>240</v>
      </c>
      <c r="B245" s="35" t="str">
        <f>IF(Liens!A240="","",IF(COUNTIF(Mots!A:A,Liens!A240)&gt;0,"✓ "&amp;Liens!A240,"✗ "&amp;Liens!A240&amp;" (introuvable)"))</f>
        <v>✓ confortable</v>
      </c>
      <c r="C245" s="35" t="str">
        <f>IF(Liens!B240="","",IF(COUNTIF(Mots!A:A,Liens!B240)&gt;0,"✓ "&amp;Liens!B240,"✗ "&amp;Liens!B240&amp;" (introuvable)"))</f>
        <v>✓ bien</v>
      </c>
      <c r="D245" s="35" t="str">
        <f>IF(Liens!C240="","",IF(COUNTIF(Mots!A:A,Liens!C240)&gt;0,"✓ "&amp;Liens!C240,"✗ "&amp;Liens!C240&amp;" (introuvable)"))</f>
        <v>✓ chaise</v>
      </c>
      <c r="E245" s="35" t="str">
        <f>IF(Liens!D240="","",IF(COUNTIF(Mots!A:A,Liens!D240)&gt;0,"✓ "&amp;Liens!D240,"✗ "&amp;Liens!D240&amp;" (introuvable)"))</f>
        <v>✓ canape</v>
      </c>
      <c r="F245" s="35" t="str">
        <f>IF(Liens!E240="","",IF(COUNTIF(Mots!A:A,Liens!E240)&gt;0,"✓ "&amp;Liens!E240,"✗ "&amp;Liens!E240&amp;" (introuvable)"))</f>
        <v>✓ fauteuil</v>
      </c>
      <c r="G245" s="35" t="str">
        <f>IF(Liens!F240="","",IF(COUNTIF(Mots!A:A,Liens!F240)&gt;0,"✓ "&amp;Liens!F240,"✗ "&amp;Liens!F240&amp;" (introuvable)"))</f>
        <v>✓ lit</v>
      </c>
      <c r="H245" s="35" t="str">
        <f>IF(Liens!G240="","",IF(COUNTIF(Mots!A:A,Liens!G240)&gt;0,"✓ "&amp;Liens!G240,"✗ "&amp;Liens!G240&amp;" (introuvable)"))</f>
        <v>✓ matelas</v>
      </c>
      <c r="I245" s="35" t="str">
        <f>IF(Liens!H240="","",IF(COUNTIF(Mots!A:A,Liens!H240)&gt;0,"✓ "&amp;Liens!H240,"✗ "&amp;Liens!H240&amp;" (introuvable)"))</f>
        <v/>
      </c>
    </row>
    <row r="246" spans="1:9" x14ac:dyDescent="0.3">
      <c r="A246">
        <f t="shared" si="0"/>
        <v>241</v>
      </c>
      <c r="B246" s="35" t="str">
        <f>IF(Liens!A241="","",IF(COUNTIF(Mots!A:A,Liens!A241)&gt;0,"✓ "&amp;Liens!A241,"✗ "&amp;Liens!A241&amp;" (introuvable)"))</f>
        <v>✓ consigne</v>
      </c>
      <c r="C246" s="35" t="str">
        <f>IF(Liens!B241="","",IF(COUNTIF(Mots!A:A,Liens!B241)&gt;0,"✓ "&amp;Liens!B241,"✗ "&amp;Liens!B241&amp;" (introuvable)"))</f>
        <v>✓ attention</v>
      </c>
      <c r="D246" s="35" t="str">
        <f>IF(Liens!C241="","",IF(COUNTIF(Mots!A:A,Liens!C241)&gt;0,"✓ "&amp;Liens!C241,"✗ "&amp;Liens!C241&amp;" (introuvable)"))</f>
        <v>✓ v_lire</v>
      </c>
      <c r="E246" s="35" t="str">
        <f>IF(Liens!D241="","",IF(COUNTIF(Mots!A:A,Liens!D241)&gt;0,"✓ "&amp;Liens!D241,"✗ "&amp;Liens!D241&amp;" (introuvable)"))</f>
        <v>✓ danger</v>
      </c>
      <c r="F246" s="35" t="str">
        <f>IF(Liens!E241="","",IF(COUNTIF(Mots!A:A,Liens!E241)&gt;0,"✓ "&amp;Liens!E241,"✗ "&amp;Liens!E241&amp;" (introuvable)"))</f>
        <v>✓ dangereux</v>
      </c>
      <c r="G246" s="35" t="str">
        <f>IF(Liens!F241="","",IF(COUNTIF(Mots!A:A,Liens!F241)&gt;0,"✓ "&amp;Liens!F241,"✗ "&amp;Liens!F241&amp;" (introuvable)"))</f>
        <v/>
      </c>
      <c r="H246" s="35" t="str">
        <f>IF(Liens!G241="","",IF(COUNTIF(Mots!A:A,Liens!G241)&gt;0,"✓ "&amp;Liens!G241,"✗ "&amp;Liens!G241&amp;" (introuvable)"))</f>
        <v/>
      </c>
      <c r="I246" s="35" t="str">
        <f>IF(Liens!H241="","",IF(COUNTIF(Mots!A:A,Liens!H241)&gt;0,"✓ "&amp;Liens!H241,"✗ "&amp;Liens!H241&amp;" (introuvable)"))</f>
        <v/>
      </c>
    </row>
    <row r="247" spans="1:9" x14ac:dyDescent="0.3">
      <c r="A247">
        <f t="shared" si="0"/>
        <v>242</v>
      </c>
      <c r="B247" s="35" t="str">
        <f>IF(Liens!A242="","",IF(COUNTIF(Mots!A:A,Liens!A242)&gt;0,"✓ "&amp;Liens!A242,"✗ "&amp;Liens!A242&amp;" (introuvable)"))</f>
        <v>✓ construction</v>
      </c>
      <c r="C247" s="35" t="str">
        <f>IF(Liens!B242="","",IF(COUNTIF(Mots!A:A,Liens!B242)&gt;0,"✓ "&amp;Liens!B242,"✗ "&amp;Liens!B242&amp;" (introuvable)"))</f>
        <v>✓ immeuble</v>
      </c>
      <c r="D247" s="35" t="str">
        <f>IF(Liens!C242="","",IF(COUNTIF(Mots!A:A,Liens!C242)&gt;0,"✓ "&amp;Liens!C242,"✗ "&amp;Liens!C242&amp;" (introuvable)"))</f>
        <v>✓ batiment</v>
      </c>
      <c r="E247" s="35" t="str">
        <f>IF(Liens!D242="","",IF(COUNTIF(Mots!A:A,Liens!D242)&gt;0,"✓ "&amp;Liens!D242,"✗ "&amp;Liens!D242&amp;" (introuvable)"))</f>
        <v>✓ maison</v>
      </c>
      <c r="F247" s="35" t="str">
        <f>IF(Liens!E242="","",IF(COUNTIF(Mots!A:A,Liens!E242)&gt;0,"✓ "&amp;Liens!E242,"✗ "&amp;Liens!E242&amp;" (introuvable)"))</f>
        <v>✓ pont</v>
      </c>
      <c r="G247" s="35" t="str">
        <f>IF(Liens!F242="","",IF(COUNTIF(Mots!A:A,Liens!F242)&gt;0,"✓ "&amp;Liens!F242,"✗ "&amp;Liens!F242&amp;" (introuvable)"))</f>
        <v>✓ tunnel</v>
      </c>
      <c r="H247" s="35" t="str">
        <f>IF(Liens!G242="","",IF(COUNTIF(Mots!A:A,Liens!G242)&gt;0,"✓ "&amp;Liens!G242,"✗ "&amp;Liens!G242&amp;" (introuvable)"))</f>
        <v>✓ route</v>
      </c>
      <c r="I247" s="35" t="str">
        <f>IF(Liens!H242="","",IF(COUNTIF(Mots!A:A,Liens!H242)&gt;0,"✓ "&amp;Liens!H242,"✗ "&amp;Liens!H242&amp;" (introuvable)"))</f>
        <v/>
      </c>
    </row>
    <row r="248" spans="1:9" x14ac:dyDescent="0.3">
      <c r="A248">
        <f t="shared" si="0"/>
        <v>243</v>
      </c>
      <c r="B248" s="35" t="str">
        <f>IF(Liens!A243="","",IF(COUNTIF(Mots!A:A,Liens!A243)&gt;0,"✓ "&amp;Liens!A243,"✗ "&amp;Liens!A243&amp;" (introuvable)"))</f>
        <v>✓ contre</v>
      </c>
      <c r="C248" s="35" t="str">
        <f>IF(Liens!B243="","",IF(COUNTIF(Mots!A:A,Liens!B243)&gt;0,"✓ "&amp;Liens!B243,"✗ "&amp;Liens!B243&amp;" (introuvable)"))</f>
        <v>✓ mur</v>
      </c>
      <c r="D248" s="35" t="str">
        <f>IF(Liens!C243="","",IF(COUNTIF(Mots!A:A,Liens!C243)&gt;0,"✓ "&amp;Liens!C243,"✗ "&amp;Liens!C243&amp;" (introuvable)"))</f>
        <v>✓ v_toucher</v>
      </c>
      <c r="E248" s="35" t="str">
        <f>IF(Liens!D243="","",IF(COUNTIF(Mots!A:A,Liens!D243)&gt;0,"✓ "&amp;Liens!D243,"✗ "&amp;Liens!D243&amp;" (introuvable)"))</f>
        <v/>
      </c>
      <c r="F248" s="35" t="str">
        <f>IF(Liens!E243="","",IF(COUNTIF(Mots!A:A,Liens!E243)&gt;0,"✓ "&amp;Liens!E243,"✗ "&amp;Liens!E243&amp;" (introuvable)"))</f>
        <v/>
      </c>
      <c r="G248" s="35" t="str">
        <f>IF(Liens!F243="","",IF(COUNTIF(Mots!A:A,Liens!F243)&gt;0,"✓ "&amp;Liens!F243,"✗ "&amp;Liens!F243&amp;" (introuvable)"))</f>
        <v/>
      </c>
      <c r="H248" s="35" t="str">
        <f>IF(Liens!G243="","",IF(COUNTIF(Mots!A:A,Liens!G243)&gt;0,"✓ "&amp;Liens!G243,"✗ "&amp;Liens!G243&amp;" (introuvable)"))</f>
        <v/>
      </c>
      <c r="I248" s="35" t="str">
        <f>IF(Liens!H243="","",IF(COUNTIF(Mots!A:A,Liens!H243)&gt;0,"✓ "&amp;Liens!H243,"✗ "&amp;Liens!H243&amp;" (introuvable)"))</f>
        <v/>
      </c>
    </row>
    <row r="249" spans="1:9" x14ac:dyDescent="0.3">
      <c r="A249">
        <f t="shared" si="0"/>
        <v>244</v>
      </c>
      <c r="B249" s="35" t="str">
        <f>IF(Liens!A244="","",IF(COUNTIF(Mots!A:A,Liens!A244)&gt;0,"✓ "&amp;Liens!A244,"✗ "&amp;Liens!A244&amp;" (introuvable)"))</f>
        <v>✓ conversation</v>
      </c>
      <c r="C249" s="35" t="str">
        <f>IF(Liens!B244="","",IF(COUNTIF(Mots!A:A,Liens!B244)&gt;0,"✓ "&amp;Liens!B244,"✗ "&amp;Liens!B244&amp;" (introuvable)"))</f>
        <v>✓ v_parler</v>
      </c>
      <c r="D249" s="35" t="str">
        <f>IF(Liens!C244="","",IF(COUNTIF(Mots!A:A,Liens!C244)&gt;0,"✓ "&amp;Liens!C244,"✗ "&amp;Liens!C244&amp;" (introuvable)"))</f>
        <v>✓ personne</v>
      </c>
      <c r="E249" s="35" t="str">
        <f>IF(Liens!D244="","",IF(COUNTIF(Mots!A:A,Liens!D244)&gt;0,"✓ "&amp;Liens!D244,"✗ "&amp;Liens!D244&amp;" (introuvable)"))</f>
        <v>✓ v_ecouter</v>
      </c>
      <c r="F249" s="35" t="str">
        <f>IF(Liens!E244="","",IF(COUNTIF(Mots!A:A,Liens!E244)&gt;0,"✓ "&amp;Liens!E244,"✗ "&amp;Liens!E244&amp;" (introuvable)"))</f>
        <v>✓ v_entendre</v>
      </c>
      <c r="G249" s="35" t="str">
        <f>IF(Liens!F244="","",IF(COUNTIF(Mots!A:A,Liens!F244)&gt;0,"✓ "&amp;Liens!F244,"✗ "&amp;Liens!F244&amp;" (introuvable)"))</f>
        <v>✓ paroles</v>
      </c>
      <c r="H249" s="35" t="str">
        <f>IF(Liens!G244="","",IF(COUNTIF(Mots!A:A,Liens!G244)&gt;0,"✓ "&amp;Liens!G244,"✗ "&amp;Liens!G244&amp;" (introuvable)"))</f>
        <v/>
      </c>
      <c r="I249" s="35" t="str">
        <f>IF(Liens!H244="","",IF(COUNTIF(Mots!A:A,Liens!H244)&gt;0,"✓ "&amp;Liens!H244,"✗ "&amp;Liens!H244&amp;" (introuvable)"))</f>
        <v/>
      </c>
    </row>
    <row r="250" spans="1:9" x14ac:dyDescent="0.3">
      <c r="A250">
        <f t="shared" si="0"/>
        <v>245</v>
      </c>
      <c r="B250" s="35" t="str">
        <f>IF(Liens!A245="","",IF(COUNTIF(Mots!A:A,Liens!A245)&gt;0,"✓ "&amp;Liens!A245,"✗ "&amp;Liens!A245&amp;" (introuvable)"))</f>
        <v>✓ copain</v>
      </c>
      <c r="C250" s="35" t="str">
        <f>IF(Liens!B245="","",IF(COUNTIF(Mots!A:A,Liens!B245)&gt;0,"✓ "&amp;Liens!B245,"✗ "&amp;Liens!B245&amp;" (introuvable)"))</f>
        <v>✓ personne</v>
      </c>
      <c r="D250" s="35" t="str">
        <f>IF(Liens!C245="","",IF(COUNTIF(Mots!A:A,Liens!C245)&gt;0,"✓ "&amp;Liens!C245,"✗ "&amp;Liens!C245&amp;" (introuvable)"))</f>
        <v>✓ ami</v>
      </c>
      <c r="E250" s="35" t="str">
        <f>IF(Liens!D245="","",IF(COUNTIF(Mots!A:A,Liens!D245)&gt;0,"✓ "&amp;Liens!D245,"✗ "&amp;Liens!D245&amp;" (introuvable)"))</f>
        <v>✓ amitie</v>
      </c>
      <c r="F250" s="35" t="str">
        <f>IF(Liens!E245="","",IF(COUNTIF(Mots!A:A,Liens!E245)&gt;0,"✓ "&amp;Liens!E245,"✗ "&amp;Liens!E245&amp;" (introuvable)"))</f>
        <v>✓ complice</v>
      </c>
      <c r="G250" s="35" t="str">
        <f>IF(Liens!F245="","",IF(COUNTIF(Mots!A:A,Liens!F245)&gt;0,"✓ "&amp;Liens!F245,"✗ "&amp;Liens!F245&amp;" (introuvable)"))</f>
        <v>✓ emotion</v>
      </c>
      <c r="H250" s="35" t="str">
        <f>IF(Liens!G245="","",IF(COUNTIF(Mots!A:A,Liens!G245)&gt;0,"✓ "&amp;Liens!G245,"✗ "&amp;Liens!G245&amp;" (introuvable)"))</f>
        <v>✓ v_partager</v>
      </c>
      <c r="I250" s="35" t="str">
        <f>IF(Liens!H245="","",IF(COUNTIF(Mots!A:A,Liens!H245)&gt;0,"✓ "&amp;Liens!H245,"✗ "&amp;Liens!H245&amp;" (introuvable)"))</f>
        <v/>
      </c>
    </row>
    <row r="251" spans="1:9" x14ac:dyDescent="0.3">
      <c r="A251">
        <f t="shared" si="0"/>
        <v>246</v>
      </c>
      <c r="B251" s="35" t="str">
        <f>IF(Liens!A246="","",IF(COUNTIF(Mots!A:A,Liens!A246)&gt;0,"✓ "&amp;Liens!A246,"✗ "&amp;Liens!A246&amp;" (introuvable)"))</f>
        <v>✓ corde</v>
      </c>
      <c r="C251" s="35" t="str">
        <f>IF(Liens!B246="","",IF(COUNTIF(Mots!A:A,Liens!B246)&gt;0,"✓ "&amp;Liens!B246,"✗ "&amp;Liens!B246&amp;" (introuvable)"))</f>
        <v>✓ montagne</v>
      </c>
      <c r="D251" s="35" t="str">
        <f>IF(Liens!C246="","",IF(COUNTIF(Mots!A:A,Liens!C246)&gt;0,"✓ "&amp;Liens!C246,"✗ "&amp;Liens!C246&amp;" (introuvable)"))</f>
        <v>✓ a_resistant</v>
      </c>
      <c r="E251" s="35" t="str">
        <f>IF(Liens!D246="","",IF(COUNTIF(Mots!A:A,Liens!D246)&gt;0,"✓ "&amp;Liens!D246,"✗ "&amp;Liens!D246&amp;" (introuvable)"))</f>
        <v>✓ v_marcher</v>
      </c>
      <c r="F251" s="35" t="str">
        <f>IF(Liens!E246="","",IF(COUNTIF(Mots!A:A,Liens!E246)&gt;0,"✓ "&amp;Liens!E246,"✗ "&amp;Liens!E246&amp;" (introuvable)"))</f>
        <v>✓ randonnee</v>
      </c>
      <c r="G251" s="35" t="str">
        <f>IF(Liens!F246="","",IF(COUNTIF(Mots!A:A,Liens!F246)&gt;0,"✓ "&amp;Liens!F246,"✗ "&amp;Liens!F246&amp;" (introuvable)"))</f>
        <v/>
      </c>
      <c r="H251" s="35" t="str">
        <f>IF(Liens!G246="","",IF(COUNTIF(Mots!A:A,Liens!G246)&gt;0,"✓ "&amp;Liens!G246,"✗ "&amp;Liens!G246&amp;" (introuvable)"))</f>
        <v/>
      </c>
      <c r="I251" s="35" t="str">
        <f>IF(Liens!H246="","",IF(COUNTIF(Mots!A:A,Liens!H246)&gt;0,"✓ "&amp;Liens!H246,"✗ "&amp;Liens!H246&amp;" (introuvable)"))</f>
        <v/>
      </c>
    </row>
    <row r="252" spans="1:9" x14ac:dyDescent="0.3">
      <c r="A252">
        <f t="shared" si="0"/>
        <v>247</v>
      </c>
      <c r="B252" s="35" t="str">
        <f>IF(Liens!A247="","",IF(COUNTIF(Mots!A:A,Liens!A247)&gt;0,"✓ "&amp;Liens!A247,"✗ "&amp;Liens!A247&amp;" (introuvable)"))</f>
        <v>✓ correct</v>
      </c>
      <c r="C252" s="35" t="str">
        <f>IF(Liens!B247="","",IF(COUNTIF(Mots!A:A,Liens!B247)&gt;0,"✓ "&amp;Liens!B247,"✗ "&amp;Liens!B247&amp;" (introuvable)"))</f>
        <v>✓ juste</v>
      </c>
      <c r="D252" s="35" t="str">
        <f>IF(Liens!C247="","",IF(COUNTIF(Mots!A:A,Liens!C247)&gt;0,"✓ "&amp;Liens!C247,"✗ "&amp;Liens!C247&amp;" (introuvable)"))</f>
        <v>✓ exact</v>
      </c>
      <c r="E252" s="35" t="str">
        <f>IF(Liens!D247="","",IF(COUNTIF(Mots!A:A,Liens!D247)&gt;0,"✓ "&amp;Liens!D247,"✗ "&amp;Liens!D247&amp;" (introuvable)"))</f>
        <v>✓ a_equitable</v>
      </c>
      <c r="F252" s="35" t="str">
        <f>IF(Liens!E247="","",IF(COUNTIF(Mots!A:A,Liens!E247)&gt;0,"✓ "&amp;Liens!E247,"✗ "&amp;Liens!E247&amp;" (introuvable)"))</f>
        <v/>
      </c>
      <c r="G252" s="35" t="str">
        <f>IF(Liens!F247="","",IF(COUNTIF(Mots!A:A,Liens!F247)&gt;0,"✓ "&amp;Liens!F247,"✗ "&amp;Liens!F247&amp;" (introuvable)"))</f>
        <v/>
      </c>
      <c r="H252" s="35" t="str">
        <f>IF(Liens!G247="","",IF(COUNTIF(Mots!A:A,Liens!G247)&gt;0,"✓ "&amp;Liens!G247,"✗ "&amp;Liens!G247&amp;" (introuvable)"))</f>
        <v/>
      </c>
      <c r="I252" s="35" t="str">
        <f>IF(Liens!H247="","",IF(COUNTIF(Mots!A:A,Liens!H247)&gt;0,"✓ "&amp;Liens!H247,"✗ "&amp;Liens!H247&amp;" (introuvable)"))</f>
        <v/>
      </c>
    </row>
    <row r="253" spans="1:9" x14ac:dyDescent="0.3">
      <c r="A253">
        <f t="shared" si="0"/>
        <v>248</v>
      </c>
      <c r="B253" s="35" t="str">
        <f>IF(Liens!A248="","",IF(COUNTIF(Mots!A:A,Liens!A248)&gt;0,"✓ "&amp;Liens!A248,"✗ "&amp;Liens!A248&amp;" (introuvable)"))</f>
        <v>✓ cote</v>
      </c>
      <c r="C253" s="35" t="str">
        <f>IF(Liens!B248="","",IF(COUNTIF(Mots!A:A,Liens!B248)&gt;0,"✓ "&amp;Liens!B248,"✗ "&amp;Liens!B248&amp;" (introuvable)"))</f>
        <v>✓ partie</v>
      </c>
      <c r="D253" s="35" t="str">
        <f>IF(Liens!C248="","",IF(COUNTIF(Mots!A:A,Liens!C248)&gt;0,"✓ "&amp;Liens!C248,"✗ "&amp;Liens!C248&amp;" (introuvable)"))</f>
        <v>✓ f_carre</v>
      </c>
      <c r="E253" s="35" t="str">
        <f>IF(Liens!D248="","",IF(COUNTIF(Mots!A:A,Liens!D248)&gt;0,"✓ "&amp;Liens!D248,"✗ "&amp;Liens!D248&amp;" (introuvable)"))</f>
        <v/>
      </c>
      <c r="F253" s="35" t="str">
        <f>IF(Liens!E248="","",IF(COUNTIF(Mots!A:A,Liens!E248)&gt;0,"✓ "&amp;Liens!E248,"✗ "&amp;Liens!E248&amp;" (introuvable)"))</f>
        <v/>
      </c>
      <c r="G253" s="35" t="str">
        <f>IF(Liens!F248="","",IF(COUNTIF(Mots!A:A,Liens!F248)&gt;0,"✓ "&amp;Liens!F248,"✗ "&amp;Liens!F248&amp;" (introuvable)"))</f>
        <v/>
      </c>
      <c r="H253" s="35" t="str">
        <f>IF(Liens!G248="","",IF(COUNTIF(Mots!A:A,Liens!G248)&gt;0,"✓ "&amp;Liens!G248,"✗ "&amp;Liens!G248&amp;" (introuvable)"))</f>
        <v/>
      </c>
      <c r="I253" s="35" t="str">
        <f>IF(Liens!H248="","",IF(COUNTIF(Mots!A:A,Liens!H248)&gt;0,"✓ "&amp;Liens!H248,"✗ "&amp;Liens!H248&amp;" (introuvable)"))</f>
        <v/>
      </c>
    </row>
    <row r="254" spans="1:9" x14ac:dyDescent="0.3">
      <c r="A254">
        <f t="shared" si="0"/>
        <v>249</v>
      </c>
      <c r="B254" s="35" t="str">
        <f>IF(Liens!A249="","",IF(COUNTIF(Mots!A:A,Liens!A249)&gt;0,"✓ "&amp;Liens!A249,"✗ "&amp;Liens!A249&amp;" (introuvable)"))</f>
        <v>✓ cou</v>
      </c>
      <c r="C254" s="35" t="str">
        <f>IF(Liens!B249="","",IF(COUNTIF(Mots!A:A,Liens!B249)&gt;0,"✓ "&amp;Liens!B249,"✗ "&amp;Liens!B249&amp;" (introuvable)"))</f>
        <v>✓ tete</v>
      </c>
      <c r="D254" s="35" t="str">
        <f>IF(Liens!C249="","",IF(COUNTIF(Mots!A:A,Liens!C249)&gt;0,"✓ "&amp;Liens!C249,"✗ "&amp;Liens!C249&amp;" (introuvable)"))</f>
        <v>✓ tronc_anatomie</v>
      </c>
      <c r="E254" s="35" t="str">
        <f>IF(Liens!D249="","",IF(COUNTIF(Mots!A:A,Liens!D249)&gt;0,"✓ "&amp;Liens!D249,"✗ "&amp;Liens!D249&amp;" (introuvable)"))</f>
        <v>✓ epaule</v>
      </c>
      <c r="F254" s="35" t="str">
        <f>IF(Liens!E249="","",IF(COUNTIF(Mots!A:A,Liens!E249)&gt;0,"✓ "&amp;Liens!E249,"✗ "&amp;Liens!E249&amp;" (introuvable)"))</f>
        <v/>
      </c>
      <c r="G254" s="35" t="str">
        <f>IF(Liens!F249="","",IF(COUNTIF(Mots!A:A,Liens!F249)&gt;0,"✓ "&amp;Liens!F249,"✗ "&amp;Liens!F249&amp;" (introuvable)"))</f>
        <v/>
      </c>
      <c r="H254" s="35" t="str">
        <f>IF(Liens!G249="","",IF(COUNTIF(Mots!A:A,Liens!G249)&gt;0,"✓ "&amp;Liens!G249,"✗ "&amp;Liens!G249&amp;" (introuvable)"))</f>
        <v/>
      </c>
      <c r="I254" s="35" t="str">
        <f>IF(Liens!H249="","",IF(COUNTIF(Mots!A:A,Liens!H249)&gt;0,"✓ "&amp;Liens!H249,"✗ "&amp;Liens!H249&amp;" (introuvable)"))</f>
        <v/>
      </c>
    </row>
    <row r="255" spans="1:9" x14ac:dyDescent="0.3">
      <c r="A255">
        <f t="shared" si="0"/>
        <v>250</v>
      </c>
      <c r="B255" s="35" t="str">
        <f>IF(Liens!A250="","",IF(COUNTIF(Mots!A:A,Liens!A250)&gt;0,"✓ "&amp;Liens!A250,"✗ "&amp;Liens!A250&amp;" (introuvable)"))</f>
        <v>✓ coude</v>
      </c>
      <c r="C255" s="35" t="str">
        <f>IF(Liens!B250="","",IF(COUNTIF(Mots!A:A,Liens!B250)&gt;0,"✓ "&amp;Liens!B250,"✗ "&amp;Liens!B250&amp;" (introuvable)"))</f>
        <v>✓ epaule</v>
      </c>
      <c r="D255" s="35" t="str">
        <f>IF(Liens!C250="","",IF(COUNTIF(Mots!A:A,Liens!C250)&gt;0,"✓ "&amp;Liens!C250,"✗ "&amp;Liens!C250&amp;" (introuvable)"))</f>
        <v>✓ bras</v>
      </c>
      <c r="E255" s="35" t="str">
        <f>IF(Liens!D250="","",IF(COUNTIF(Mots!A:A,Liens!D250)&gt;0,"✓ "&amp;Liens!D250,"✗ "&amp;Liens!D250&amp;" (introuvable)"))</f>
        <v>✓ main</v>
      </c>
      <c r="F255" s="35" t="str">
        <f>IF(Liens!E250="","",IF(COUNTIF(Mots!A:A,Liens!E250)&gt;0,"✓ "&amp;Liens!E250,"✗ "&amp;Liens!E250&amp;" (introuvable)"))</f>
        <v>✓ milieu</v>
      </c>
      <c r="G255" s="35" t="str">
        <f>IF(Liens!F250="","",IF(COUNTIF(Mots!A:A,Liens!F250)&gt;0,"✓ "&amp;Liens!F250,"✗ "&amp;Liens!F250&amp;" (introuvable)"))</f>
        <v/>
      </c>
      <c r="H255" s="35" t="str">
        <f>IF(Liens!G250="","",IF(COUNTIF(Mots!A:A,Liens!G250)&gt;0,"✓ "&amp;Liens!G250,"✗ "&amp;Liens!G250&amp;" (introuvable)"))</f>
        <v/>
      </c>
      <c r="I255" s="35" t="str">
        <f>IF(Liens!H250="","",IF(COUNTIF(Mots!A:A,Liens!H250)&gt;0,"✓ "&amp;Liens!H250,"✗ "&amp;Liens!H250&amp;" (introuvable)"))</f>
        <v/>
      </c>
    </row>
    <row r="256" spans="1:9" x14ac:dyDescent="0.3">
      <c r="A256">
        <f t="shared" si="0"/>
        <v>251</v>
      </c>
      <c r="B256" s="35" t="str">
        <f>IF(Liens!A251="","",IF(COUNTIF(Mots!A:A,Liens!A251)&gt;0,"✓ "&amp;Liens!A251,"✗ "&amp;Liens!A251&amp;" (introuvable)"))</f>
        <v>✓ couleur</v>
      </c>
      <c r="C256" s="35" t="str">
        <f>IF(Liens!B251="","",IF(COUNTIF(Mots!A:A,Liens!B251)&gt;0,"✓ "&amp;Liens!B251,"✗ "&amp;Liens!B251&amp;" (introuvable)"))</f>
        <v>✓ c_blanc</v>
      </c>
      <c r="D256" s="35" t="str">
        <f>IF(Liens!C251="","",IF(COUNTIF(Mots!A:A,Liens!C251)&gt;0,"✓ "&amp;Liens!C251,"✗ "&amp;Liens!C251&amp;" (introuvable)"))</f>
        <v>✓ c_noir</v>
      </c>
      <c r="E256" s="35" t="str">
        <f>IF(Liens!D251="","",IF(COUNTIF(Mots!A:A,Liens!D251)&gt;0,"✓ "&amp;Liens!D251,"✗ "&amp;Liens!D251&amp;" (introuvable)"))</f>
        <v>✓ c_rouge</v>
      </c>
      <c r="F256" s="35" t="str">
        <f>IF(Liens!E251="","",IF(COUNTIF(Mots!A:A,Liens!E251)&gt;0,"✓ "&amp;Liens!E251,"✗ "&amp;Liens!E251&amp;" (introuvable)"))</f>
        <v>✓ c_vert</v>
      </c>
      <c r="G256" s="35" t="str">
        <f>IF(Liens!F251="","",IF(COUNTIF(Mots!A:A,Liens!F251)&gt;0,"✓ "&amp;Liens!F251,"✗ "&amp;Liens!F251&amp;" (introuvable)"))</f>
        <v>✓ c_bleu</v>
      </c>
      <c r="H256" s="35" t="str">
        <f>IF(Liens!G251="","",IF(COUNTIF(Mots!A:A,Liens!G251)&gt;0,"✓ "&amp;Liens!G251,"✗ "&amp;Liens!G251&amp;" (introuvable)"))</f>
        <v>✓ c_jaune</v>
      </c>
      <c r="I256" s="35" t="str">
        <f>IF(Liens!H251="","",IF(COUNTIF(Mots!A:A,Liens!H251)&gt;0,"✓ "&amp;Liens!H251,"✗ "&amp;Liens!H251&amp;" (introuvable)"))</f>
        <v>✓ c_rose</v>
      </c>
    </row>
    <row r="257" spans="1:9" x14ac:dyDescent="0.3">
      <c r="A257">
        <f t="shared" si="0"/>
        <v>252</v>
      </c>
      <c r="B257" s="35" t="str">
        <f>IF(Liens!A252="","",IF(COUNTIF(Mots!A:A,Liens!A252)&gt;0,"✓ "&amp;Liens!A252,"✗ "&amp;Liens!A252&amp;" (introuvable)"))</f>
        <v>✓ coup</v>
      </c>
      <c r="C257" s="35" t="str">
        <f>IF(Liens!B252="","",IF(COUNTIF(Mots!A:A,Liens!B252)&gt;0,"✓ "&amp;Liens!B252,"✗ "&amp;Liens!B252&amp;" (introuvable)"))</f>
        <v>✓ choc</v>
      </c>
      <c r="D257" s="35" t="str">
        <f>IF(Liens!C252="","",IF(COUNTIF(Mots!A:A,Liens!C252)&gt;0,"✓ "&amp;Liens!C252,"✗ "&amp;Liens!C252&amp;" (introuvable)"))</f>
        <v>✓ main</v>
      </c>
      <c r="E257" s="35" t="str">
        <f>IF(Liens!D252="","",IF(COUNTIF(Mots!A:A,Liens!D252)&gt;0,"✓ "&amp;Liens!D252,"✗ "&amp;Liens!D252&amp;" (introuvable)"))</f>
        <v>✓ v_frapper</v>
      </c>
      <c r="F257" s="35" t="str">
        <f>IF(Liens!E252="","",IF(COUNTIF(Mots!A:A,Liens!E252)&gt;0,"✓ "&amp;Liens!E252,"✗ "&amp;Liens!E252&amp;" (introuvable)"))</f>
        <v>✓ bagarre</v>
      </c>
      <c r="G257" s="35" t="str">
        <f>IF(Liens!F252="","",IF(COUNTIF(Mots!A:A,Liens!F252)&gt;0,"✓ "&amp;Liens!F252,"✗ "&amp;Liens!F252&amp;" (introuvable)"))</f>
        <v>✓ accident</v>
      </c>
      <c r="H257" s="35" t="str">
        <f>IF(Liens!G252="","",IF(COUNTIF(Mots!A:A,Liens!G252)&gt;0,"✓ "&amp;Liens!G252,"✗ "&amp;Liens!G252&amp;" (introuvable)"))</f>
        <v>✓ degat</v>
      </c>
      <c r="I257" s="35" t="str">
        <f>IF(Liens!H252="","",IF(COUNTIF(Mots!A:A,Liens!H252)&gt;0,"✓ "&amp;Liens!H252,"✗ "&amp;Liens!H252&amp;" (introuvable)"))</f>
        <v>✓ blessure</v>
      </c>
    </row>
    <row r="258" spans="1:9" x14ac:dyDescent="0.3">
      <c r="A258">
        <f t="shared" si="0"/>
        <v>253</v>
      </c>
      <c r="B258" s="35" t="str">
        <f>IF(Liens!A253="","",IF(COUNTIF(Mots!A:A,Liens!A253)&gt;0,"✓ "&amp;Liens!A253,"✗ "&amp;Liens!A253&amp;" (introuvable)"))</f>
        <v>✓ coupant</v>
      </c>
      <c r="C258" s="35" t="str">
        <f>IF(Liens!B253="","",IF(COUNTIF(Mots!A:A,Liens!B253)&gt;0,"✓ "&amp;Liens!B253,"✗ "&amp;Liens!B253&amp;" (introuvable)"))</f>
        <v>✓ v_couper</v>
      </c>
      <c r="D258" s="35" t="str">
        <f>IF(Liens!C253="","",IF(COUNTIF(Mots!A:A,Liens!C253)&gt;0,"✓ "&amp;Liens!C253,"✗ "&amp;Liens!C253&amp;" (introuvable)"))</f>
        <v>✓ lame</v>
      </c>
      <c r="E258" s="35" t="str">
        <f>IF(Liens!D253="","",IF(COUNTIF(Mots!A:A,Liens!D253)&gt;0,"✓ "&amp;Liens!D253,"✗ "&amp;Liens!D253&amp;" (introuvable)"))</f>
        <v>✓ couteau</v>
      </c>
      <c r="F258" s="35" t="str">
        <f>IF(Liens!E253="","",IF(COUNTIF(Mots!A:A,Liens!E253)&gt;0,"✓ "&amp;Liens!E253,"✗ "&amp;Liens!E253&amp;" (introuvable)"))</f>
        <v>✓ ciseaux</v>
      </c>
      <c r="G258" s="35" t="str">
        <f>IF(Liens!F253="","",IF(COUNTIF(Mots!A:A,Liens!F253)&gt;0,"✓ "&amp;Liens!F253,"✗ "&amp;Liens!F253&amp;" (introuvable)"))</f>
        <v>✓ debroussailleuse</v>
      </c>
      <c r="H258" s="35" t="str">
        <f>IF(Liens!G253="","",IF(COUNTIF(Mots!A:A,Liens!G253)&gt;0,"✓ "&amp;Liens!G253,"✗ "&amp;Liens!G253&amp;" (introuvable)"))</f>
        <v>✓ tronconneuse</v>
      </c>
      <c r="I258" s="35" t="str">
        <f>IF(Liens!H253="","",IF(COUNTIF(Mots!A:A,Liens!H253)&gt;0,"✓ "&amp;Liens!H253,"✗ "&amp;Liens!H253&amp;" (introuvable)"))</f>
        <v/>
      </c>
    </row>
    <row r="259" spans="1:9" x14ac:dyDescent="0.3">
      <c r="A259">
        <f t="shared" si="0"/>
        <v>254</v>
      </c>
      <c r="B259" s="35" t="str">
        <f>IF(Liens!A254="","",IF(COUNTIF(Mots!A:A,Liens!A254)&gt;0,"✓ "&amp;Liens!A254,"✗ "&amp;Liens!A254&amp;" (introuvable)"))</f>
        <v>✓ courage</v>
      </c>
      <c r="C259" s="35" t="str">
        <f>IF(Liens!B254="","",IF(COUNTIF(Mots!A:A,Liens!B254)&gt;0,"✓ "&amp;Liens!B254,"✗ "&amp;Liens!B254&amp;" (introuvable)"))</f>
        <v>✓ force</v>
      </c>
      <c r="D259" s="35" t="str">
        <f>IF(Liens!C254="","",IF(COUNTIF(Mots!A:A,Liens!C254)&gt;0,"✓ "&amp;Liens!C254,"✗ "&amp;Liens!C254&amp;" (introuvable)"))</f>
        <v>✓ danger</v>
      </c>
      <c r="E259" s="35" t="str">
        <f>IF(Liens!D254="","",IF(COUNTIF(Mots!A:A,Liens!D254)&gt;0,"✓ "&amp;Liens!D254,"✗ "&amp;Liens!D254&amp;" (introuvable)"))</f>
        <v>✓ peur</v>
      </c>
      <c r="F259" s="35" t="str">
        <f>IF(Liens!E254="","",IF(COUNTIF(Mots!A:A,Liens!E254)&gt;0,"✓ "&amp;Liens!E254,"✗ "&amp;Liens!E254&amp;" (introuvable)"))</f>
        <v/>
      </c>
      <c r="G259" s="35" t="str">
        <f>IF(Liens!F254="","",IF(COUNTIF(Mots!A:A,Liens!F254)&gt;0,"✓ "&amp;Liens!F254,"✗ "&amp;Liens!F254&amp;" (introuvable)"))</f>
        <v/>
      </c>
      <c r="H259" s="35" t="str">
        <f>IF(Liens!G254="","",IF(COUNTIF(Mots!A:A,Liens!G254)&gt;0,"✓ "&amp;Liens!G254,"✗ "&amp;Liens!G254&amp;" (introuvable)"))</f>
        <v/>
      </c>
      <c r="I259" s="35" t="str">
        <f>IF(Liens!H254="","",IF(COUNTIF(Mots!A:A,Liens!H254)&gt;0,"✓ "&amp;Liens!H254,"✗ "&amp;Liens!H254&amp;" (introuvable)"))</f>
        <v/>
      </c>
    </row>
    <row r="260" spans="1:9" x14ac:dyDescent="0.3">
      <c r="A260">
        <f t="shared" si="0"/>
        <v>255</v>
      </c>
      <c r="B260" s="35" t="str">
        <f>IF(Liens!A255="","",IF(COUNTIF(Mots!A:A,Liens!A255)&gt;0,"✓ "&amp;Liens!A255,"✗ "&amp;Liens!A255&amp;" (introuvable)"))</f>
        <v>✓ courbe</v>
      </c>
      <c r="C260" s="35" t="str">
        <f>IF(Liens!B255="","",IF(COUNTIF(Mots!A:A,Liens!B255)&gt;0,"✓ "&amp;Liens!B255,"✗ "&amp;Liens!B255&amp;" (introuvable)"))</f>
        <v>✓ trait</v>
      </c>
      <c r="D260" s="35" t="str">
        <f>IF(Liens!C255="","",IF(COUNTIF(Mots!A:A,Liens!C255)&gt;0,"✓ "&amp;Liens!C255,"✗ "&amp;Liens!C255&amp;" (introuvable)"))</f>
        <v>✓ droit</v>
      </c>
      <c r="E260" s="35" t="str">
        <f>IF(Liens!D255="","",IF(COUNTIF(Mots!A:A,Liens!D255)&gt;0,"✓ "&amp;Liens!D255,"✗ "&amp;Liens!D255&amp;" (introuvable)"))</f>
        <v>✓ ligne</v>
      </c>
      <c r="F260" s="35" t="str">
        <f>IF(Liens!E255="","",IF(COUNTIF(Mots!A:A,Liens!E255)&gt;0,"✓ "&amp;Liens!E255,"✗ "&amp;Liens!E255&amp;" (introuvable)"))</f>
        <v>✓ virage</v>
      </c>
      <c r="G260" s="35" t="str">
        <f>IF(Liens!F255="","",IF(COUNTIF(Mots!A:A,Liens!F255)&gt;0,"✓ "&amp;Liens!F255,"✗ "&amp;Liens!F255&amp;" (introuvable)"))</f>
        <v>✓ route</v>
      </c>
      <c r="H260" s="35" t="str">
        <f>IF(Liens!G255="","",IF(COUNTIF(Mots!A:A,Liens!G255)&gt;0,"✓ "&amp;Liens!G255,"✗ "&amp;Liens!G255&amp;" (introuvable)"))</f>
        <v/>
      </c>
      <c r="I260" s="35" t="str">
        <f>IF(Liens!H255="","",IF(COUNTIF(Mots!A:A,Liens!H255)&gt;0,"✓ "&amp;Liens!H255,"✗ "&amp;Liens!H255&amp;" (introuvable)"))</f>
        <v/>
      </c>
    </row>
    <row r="261" spans="1:9" x14ac:dyDescent="0.3">
      <c r="A261">
        <f t="shared" si="0"/>
        <v>256</v>
      </c>
      <c r="B261" s="35" t="str">
        <f>IF(Liens!A256="","",IF(COUNTIF(Mots!A:A,Liens!A256)&gt;0,"✓ "&amp;Liens!A256,"✗ "&amp;Liens!A256&amp;" (introuvable)"))</f>
        <v>✓ courrier</v>
      </c>
      <c r="C261" s="35" t="str">
        <f>IF(Liens!B256="","",IF(COUNTIF(Mots!A:A,Liens!B256)&gt;0,"✓ "&amp;Liens!B256,"✗ "&amp;Liens!B256&amp;" (introuvable)"))</f>
        <v>✓ lettre</v>
      </c>
      <c r="D261" s="35" t="str">
        <f>IF(Liens!C256="","",IF(COUNTIF(Mots!A:A,Liens!C256)&gt;0,"✓ "&amp;Liens!C256,"✗ "&amp;Liens!C256&amp;" (introuvable)"))</f>
        <v>✓ facteur</v>
      </c>
      <c r="E261" s="35" t="str">
        <f>IF(Liens!D256="","",IF(COUNTIF(Mots!A:A,Liens!D256)&gt;0,"✓ "&amp;Liens!D256,"✗ "&amp;Liens!D256&amp;" (introuvable)"))</f>
        <v>✓ poste</v>
      </c>
      <c r="F261" s="35" t="str">
        <f>IF(Liens!E256="","",IF(COUNTIF(Mots!A:A,Liens!E256)&gt;0,"✓ "&amp;Liens!E256,"✗ "&amp;Liens!E256&amp;" (introuvable)"))</f>
        <v/>
      </c>
      <c r="G261" s="35" t="str">
        <f>IF(Liens!F256="","",IF(COUNTIF(Mots!A:A,Liens!F256)&gt;0,"✓ "&amp;Liens!F256,"✗ "&amp;Liens!F256&amp;" (introuvable)"))</f>
        <v/>
      </c>
      <c r="H261" s="35" t="str">
        <f>IF(Liens!G256="","",IF(COUNTIF(Mots!A:A,Liens!G256)&gt;0,"✓ "&amp;Liens!G256,"✗ "&amp;Liens!G256&amp;" (introuvable)"))</f>
        <v/>
      </c>
      <c r="I261" s="35" t="str">
        <f>IF(Liens!H256="","",IF(COUNTIF(Mots!A:A,Liens!H256)&gt;0,"✓ "&amp;Liens!H256,"✗ "&amp;Liens!H256&amp;" (introuvable)"))</f>
        <v/>
      </c>
    </row>
    <row r="262" spans="1:9" x14ac:dyDescent="0.3">
      <c r="A262">
        <f t="shared" si="0"/>
        <v>257</v>
      </c>
      <c r="B262" s="35" t="str">
        <f>IF(Liens!A257="","",IF(COUNTIF(Mots!A:A,Liens!A257)&gt;0,"✓ "&amp;Liens!A257,"✗ "&amp;Liens!A257&amp;" (introuvable)"))</f>
        <v>✓ course</v>
      </c>
      <c r="C262" s="35" t="str">
        <f>IF(Liens!B257="","",IF(COUNTIF(Mots!A:A,Liens!B257)&gt;0,"✓ "&amp;Liens!B257,"✗ "&amp;Liens!B257&amp;" (introuvable)"))</f>
        <v>✓ voiture</v>
      </c>
      <c r="D262" s="35" t="str">
        <f>IF(Liens!C257="","",IF(COUNTIF(Mots!A:A,Liens!C257)&gt;0,"✓ "&amp;Liens!C257,"✗ "&amp;Liens!C257&amp;" (introuvable)"))</f>
        <v>✓ velo</v>
      </c>
      <c r="E262" s="35" t="str">
        <f>IF(Liens!D257="","",IF(COUNTIF(Mots!A:A,Liens!D257)&gt;0,"✓ "&amp;Liens!D257,"✗ "&amp;Liens!D257&amp;" (introuvable)"))</f>
        <v>✓ a_rapide_lent</v>
      </c>
      <c r="F262" s="35" t="str">
        <f>IF(Liens!E257="","",IF(COUNTIF(Mots!A:A,Liens!E257)&gt;0,"✓ "&amp;Liens!E257,"✗ "&amp;Liens!E257&amp;" (introuvable)"))</f>
        <v>✓ concours</v>
      </c>
      <c r="G262" s="35" t="str">
        <f>IF(Liens!F257="","",IF(COUNTIF(Mots!A:A,Liens!F257)&gt;0,"✓ "&amp;Liens!F257,"✗ "&amp;Liens!F257&amp;" (introuvable)"))</f>
        <v>✓ vainqueur</v>
      </c>
      <c r="H262" s="35" t="str">
        <f>IF(Liens!G257="","",IF(COUNTIF(Mots!A:A,Liens!G257)&gt;0,"✓ "&amp;Liens!G257,"✗ "&amp;Liens!G257&amp;" (introuvable)"))</f>
        <v>✓ v_skier</v>
      </c>
      <c r="I262" s="35" t="str">
        <f>IF(Liens!H257="","",IF(COUNTIF(Mots!A:A,Liens!H257)&gt;0,"✓ "&amp;Liens!H257,"✗ "&amp;Liens!H257&amp;" (introuvable)"))</f>
        <v/>
      </c>
    </row>
    <row r="263" spans="1:9" x14ac:dyDescent="0.3">
      <c r="A263">
        <f t="shared" si="0"/>
        <v>258</v>
      </c>
      <c r="B263" s="35" t="str">
        <f>IF(Liens!A258="","",IF(COUNTIF(Mots!A:A,Liens!A258)&gt;0,"✓ "&amp;Liens!A258,"✗ "&amp;Liens!A258&amp;" (introuvable)"))</f>
        <v>✓ cousin</v>
      </c>
      <c r="C263" s="35" t="str">
        <f>IF(Liens!B258="","",IF(COUNTIF(Mots!A:A,Liens!B258)&gt;0,"✓ "&amp;Liens!B258,"✗ "&amp;Liens!B258&amp;" (introuvable)"))</f>
        <v>✓ famille</v>
      </c>
      <c r="D263" s="35" t="str">
        <f>IF(Liens!C258="","",IF(COUNTIF(Mots!A:A,Liens!C258)&gt;0,"✓ "&amp;Liens!C258,"✗ "&amp;Liens!C258&amp;" (introuvable)"))</f>
        <v>✓ enfants</v>
      </c>
      <c r="E263" s="35" t="str">
        <f>IF(Liens!D258="","",IF(COUNTIF(Mots!A:A,Liens!D258)&gt;0,"✓ "&amp;Liens!D258,"✗ "&amp;Liens!D258&amp;" (introuvable)"))</f>
        <v>✓ oncle</v>
      </c>
      <c r="F263" s="35" t="str">
        <f>IF(Liens!E258="","",IF(COUNTIF(Mots!A:A,Liens!E258)&gt;0,"✓ "&amp;Liens!E258,"✗ "&amp;Liens!E258&amp;" (introuvable)"))</f>
        <v>✓ tante</v>
      </c>
      <c r="G263" s="35" t="str">
        <f>IF(Liens!F258="","",IF(COUNTIF(Mots!A:A,Liens!F258)&gt;0,"✓ "&amp;Liens!F258,"✗ "&amp;Liens!F258&amp;" (introuvable)"))</f>
        <v>✓ fils</v>
      </c>
      <c r="H263" s="35" t="str">
        <f>IF(Liens!G258="","",IF(COUNTIF(Mots!A:A,Liens!G258)&gt;0,"✓ "&amp;Liens!G258,"✗ "&amp;Liens!G258&amp;" (introuvable)"))</f>
        <v>✓ fille</v>
      </c>
      <c r="I263" s="35" t="str">
        <f>IF(Liens!H258="","",IF(COUNTIF(Mots!A:A,Liens!H258)&gt;0,"✓ "&amp;Liens!H258,"✗ "&amp;Liens!H258&amp;" (introuvable)"))</f>
        <v/>
      </c>
    </row>
    <row r="264" spans="1:9" x14ac:dyDescent="0.3">
      <c r="A264">
        <f t="shared" si="0"/>
        <v>259</v>
      </c>
      <c r="B264" s="35" t="str">
        <f>IF(Liens!A259="","",IF(COUNTIF(Mots!A:A,Liens!A259)&gt;0,"✓ "&amp;Liens!A259,"✗ "&amp;Liens!A259&amp;" (introuvable)"))</f>
        <v>✓ coussin</v>
      </c>
      <c r="C264" s="35" t="str">
        <f>IF(Liens!B259="","",IF(COUNTIF(Mots!A:A,Liens!B259)&gt;0,"✓ "&amp;Liens!B259,"✗ "&amp;Liens!B259&amp;" (introuvable)"))</f>
        <v>✓ oreiller</v>
      </c>
      <c r="D264" s="35" t="str">
        <f>IF(Liens!C259="","",IF(COUNTIF(Mots!A:A,Liens!C259)&gt;0,"✓ "&amp;Liens!C259,"✗ "&amp;Liens!C259&amp;" (introuvable)"))</f>
        <v>✓ plume</v>
      </c>
      <c r="E264" s="35" t="str">
        <f>IF(Liens!D259="","",IF(COUNTIF(Mots!A:A,Liens!D259)&gt;0,"✓ "&amp;Liens!D259,"✗ "&amp;Liens!D259&amp;" (introuvable)"))</f>
        <v>✓ canape</v>
      </c>
      <c r="F264" s="35" t="str">
        <f>IF(Liens!E259="","",IF(COUNTIF(Mots!A:A,Liens!E259)&gt;0,"✓ "&amp;Liens!E259,"✗ "&amp;Liens!E259&amp;" (introuvable)"))</f>
        <v>✓ lit</v>
      </c>
      <c r="G264" s="35" t="str">
        <f>IF(Liens!F259="","",IF(COUNTIF(Mots!A:A,Liens!F259)&gt;0,"✓ "&amp;Liens!F259,"✗ "&amp;Liens!F259&amp;" (introuvable)"))</f>
        <v>✓ tete</v>
      </c>
      <c r="H264" s="35" t="str">
        <f>IF(Liens!G259="","",IF(COUNTIF(Mots!A:A,Liens!G259)&gt;0,"✓ "&amp;Liens!G259,"✗ "&amp;Liens!G259&amp;" (introuvable)"))</f>
        <v>✓ oreille</v>
      </c>
      <c r="I264" s="35" t="str">
        <f>IF(Liens!H259="","",IF(COUNTIF(Mots!A:A,Liens!H259)&gt;0,"✓ "&amp;Liens!H259,"✗ "&amp;Liens!H259&amp;" (introuvable)"))</f>
        <v/>
      </c>
    </row>
    <row r="265" spans="1:9" x14ac:dyDescent="0.3">
      <c r="A265">
        <f t="shared" si="0"/>
        <v>260</v>
      </c>
      <c r="B265" s="35" t="str">
        <f>IF(Liens!A260="","",IF(COUNTIF(Mots!A:A,Liens!A260)&gt;0,"✓ "&amp;Liens!A260,"✗ "&amp;Liens!A260&amp;" (introuvable)"))</f>
        <v>✓ couteau</v>
      </c>
      <c r="C265" s="35" t="str">
        <f>IF(Liens!B260="","",IF(COUNTIF(Mots!A:A,Liens!B260)&gt;0,"✓ "&amp;Liens!B260,"✗ "&amp;Liens!B260&amp;" (introuvable)"))</f>
        <v>✓ lame</v>
      </c>
      <c r="D265" s="35" t="str">
        <f>IF(Liens!C260="","",IF(COUNTIF(Mots!A:A,Liens!C260)&gt;0,"✓ "&amp;Liens!C260,"✗ "&amp;Liens!C260&amp;" (introuvable)"))</f>
        <v>✓ v_couper</v>
      </c>
      <c r="E265" s="35" t="str">
        <f>IF(Liens!D260="","",IF(COUNTIF(Mots!A:A,Liens!D260)&gt;0,"✓ "&amp;Liens!D260,"✗ "&amp;Liens!D260&amp;" (introuvable)"))</f>
        <v>✓ fourchette</v>
      </c>
      <c r="F265" s="35" t="str">
        <f>IF(Liens!E260="","",IF(COUNTIF(Mots!A:A,Liens!E260)&gt;0,"✓ "&amp;Liens!E260,"✗ "&amp;Liens!E260&amp;" (introuvable)"))</f>
        <v>✓ v_manger</v>
      </c>
      <c r="G265" s="35" t="str">
        <f>IF(Liens!F260="","",IF(COUNTIF(Mots!A:A,Liens!F260)&gt;0,"✓ "&amp;Liens!F260,"✗ "&amp;Liens!F260&amp;" (introuvable)"))</f>
        <v/>
      </c>
      <c r="H265" s="35" t="str">
        <f>IF(Liens!G260="","",IF(COUNTIF(Mots!A:A,Liens!G260)&gt;0,"✓ "&amp;Liens!G260,"✗ "&amp;Liens!G260&amp;" (introuvable)"))</f>
        <v/>
      </c>
      <c r="I265" s="35" t="str">
        <f>IF(Liens!H260="","",IF(COUNTIF(Mots!A:A,Liens!H260)&gt;0,"✓ "&amp;Liens!H260,"✗ "&amp;Liens!H260&amp;" (introuvable)"))</f>
        <v/>
      </c>
    </row>
    <row r="266" spans="1:9" x14ac:dyDescent="0.3">
      <c r="A266">
        <f t="shared" si="0"/>
        <v>261</v>
      </c>
      <c r="B266" s="35" t="str">
        <f>IF(Liens!A261="","",IF(COUNTIF(Mots!A:A,Liens!A261)&gt;0,"✓ "&amp;Liens!A261,"✗ "&amp;Liens!A261&amp;" (introuvable)"))</f>
        <v>✓ couvercle</v>
      </c>
      <c r="C266" s="35" t="str">
        <f>IF(Liens!B261="","",IF(COUNTIF(Mots!A:A,Liens!B261)&gt;0,"✓ "&amp;Liens!B261,"✗ "&amp;Liens!B261&amp;" (introuvable)"))</f>
        <v>✓ a_ferme_ouvert</v>
      </c>
      <c r="D266" s="35" t="str">
        <f>IF(Liens!C261="","",IF(COUNTIF(Mots!A:A,Liens!C261)&gt;0,"✓ "&amp;Liens!C261,"✗ "&amp;Liens!C261&amp;" (introuvable)"))</f>
        <v>✓ boite</v>
      </c>
      <c r="E266" s="35" t="str">
        <f>IF(Liens!D261="","",IF(COUNTIF(Mots!A:A,Liens!D261)&gt;0,"✓ "&amp;Liens!D261,"✗ "&amp;Liens!D261&amp;" (introuvable)"))</f>
        <v>✓ casserole</v>
      </c>
      <c r="F266" s="35" t="str">
        <f>IF(Liens!E261="","",IF(COUNTIF(Mots!A:A,Liens!E261)&gt;0,"✓ "&amp;Liens!E261,"✗ "&amp;Liens!E261&amp;" (introuvable)"))</f>
        <v>✓ bocal</v>
      </c>
      <c r="G266" s="35" t="str">
        <f>IF(Liens!F261="","",IF(COUNTIF(Mots!A:A,Liens!F261)&gt;0,"✓ "&amp;Liens!F261,"✗ "&amp;Liens!F261&amp;" (introuvable)"))</f>
        <v>✓ v_fermer</v>
      </c>
      <c r="H266" s="35" t="str">
        <f>IF(Liens!G261="","",IF(COUNTIF(Mots!A:A,Liens!G261)&gt;0,"✓ "&amp;Liens!G261,"✗ "&amp;Liens!G261&amp;" (introuvable)"))</f>
        <v/>
      </c>
      <c r="I266" s="35" t="str">
        <f>IF(Liens!H261="","",IF(COUNTIF(Mots!A:A,Liens!H261)&gt;0,"✓ "&amp;Liens!H261,"✗ "&amp;Liens!H261&amp;" (introuvable)"))</f>
        <v/>
      </c>
    </row>
    <row r="267" spans="1:9" x14ac:dyDescent="0.3">
      <c r="A267">
        <f t="shared" si="0"/>
        <v>262</v>
      </c>
      <c r="B267" s="35" t="str">
        <f>IF(Liens!A262="","",IF(COUNTIF(Mots!A:A,Liens!A262)&gt;0,"✓ "&amp;Liens!A262,"✗ "&amp;Liens!A262&amp;" (introuvable)"))</f>
        <v>✓ couverture</v>
      </c>
      <c r="C267" s="35" t="str">
        <f>IF(Liens!B262="","",IF(COUNTIF(Mots!A:A,Liens!B262)&gt;0,"✓ "&amp;Liens!B262,"✗ "&amp;Liens!B262&amp;" (introuvable)"))</f>
        <v>✓ a_chaud_froid</v>
      </c>
      <c r="D267" s="35" t="str">
        <f>IF(Liens!C262="","",IF(COUNTIF(Mots!A:A,Liens!C262)&gt;0,"✓ "&amp;Liens!C262,"✗ "&amp;Liens!C262&amp;" (introuvable)"))</f>
        <v>✓ tissu</v>
      </c>
      <c r="E267" s="35" t="str">
        <f>IF(Liens!D262="","",IF(COUNTIF(Mots!A:A,Liens!D262)&gt;0,"✓ "&amp;Liens!D262,"✗ "&amp;Liens!D262&amp;" (introuvable)"))</f>
        <v>✓ lit</v>
      </c>
      <c r="F267" s="35" t="str">
        <f>IF(Liens!E262="","",IF(COUNTIF(Mots!A:A,Liens!E262)&gt;0,"✓ "&amp;Liens!E262,"✗ "&amp;Liens!E262&amp;" (introuvable)"))</f>
        <v>✓ canape</v>
      </c>
      <c r="G267" s="35" t="str">
        <f>IF(Liens!F262="","",IF(COUNTIF(Mots!A:A,Liens!F262)&gt;0,"✓ "&amp;Liens!F262,"✗ "&amp;Liens!F262&amp;" (introuvable)"))</f>
        <v/>
      </c>
      <c r="H267" s="35" t="str">
        <f>IF(Liens!G262="","",IF(COUNTIF(Mots!A:A,Liens!G262)&gt;0,"✓ "&amp;Liens!G262,"✗ "&amp;Liens!G262&amp;" (introuvable)"))</f>
        <v/>
      </c>
      <c r="I267" s="35" t="str">
        <f>IF(Liens!H262="","",IF(COUNTIF(Mots!A:A,Liens!H262)&gt;0,"✓ "&amp;Liens!H262,"✗ "&amp;Liens!H262&amp;" (introuvable)"))</f>
        <v/>
      </c>
    </row>
    <row r="268" spans="1:9" x14ac:dyDescent="0.3">
      <c r="A268">
        <f t="shared" si="0"/>
        <v>263</v>
      </c>
      <c r="B268" s="35" t="str">
        <f>IF(Liens!A263="","",IF(COUNTIF(Mots!A:A,Liens!A263)&gt;0,"✓ "&amp;Liens!A263,"✗ "&amp;Liens!A263&amp;" (introuvable)"))</f>
        <v>✓ crayon</v>
      </c>
      <c r="C268" s="35" t="str">
        <f>IF(Liens!B263="","",IF(COUNTIF(Mots!A:A,Liens!B263)&gt;0,"✓ "&amp;Liens!B263,"✗ "&amp;Liens!B263&amp;" (introuvable)"))</f>
        <v>✓ bois</v>
      </c>
      <c r="D268" s="35" t="str">
        <f>IF(Liens!C263="","",IF(COUNTIF(Mots!A:A,Liens!C263)&gt;0,"✓ "&amp;Liens!C263,"✗ "&amp;Liens!C263&amp;" (introuvable)"))</f>
        <v>✓ papier</v>
      </c>
      <c r="E268" s="35" t="str">
        <f>IF(Liens!D263="","",IF(COUNTIF(Mots!A:A,Liens!D263)&gt;0,"✓ "&amp;Liens!D263,"✗ "&amp;Liens!D263&amp;" (introuvable)"))</f>
        <v>✓ v_ecrire</v>
      </c>
      <c r="F268" s="35" t="str">
        <f>IF(Liens!E263="","",IF(COUNTIF(Mots!A:A,Liens!E263)&gt;0,"✓ "&amp;Liens!E263,"✗ "&amp;Liens!E263&amp;" (introuvable)"))</f>
        <v>✓ main</v>
      </c>
      <c r="G268" s="35" t="str">
        <f>IF(Liens!F263="","",IF(COUNTIF(Mots!A:A,Liens!F263)&gt;0,"✓ "&amp;Liens!F263,"✗ "&amp;Liens!F263&amp;" (introuvable)"))</f>
        <v>✓ doigt</v>
      </c>
      <c r="H268" s="35" t="str">
        <f>IF(Liens!G263="","",IF(COUNTIF(Mots!A:A,Liens!G263)&gt;0,"✓ "&amp;Liens!G263,"✗ "&amp;Liens!G263&amp;" (introuvable)"))</f>
        <v/>
      </c>
      <c r="I268" s="35" t="str">
        <f>IF(Liens!H263="","",IF(COUNTIF(Mots!A:A,Liens!H263)&gt;0,"✓ "&amp;Liens!H263,"✗ "&amp;Liens!H263&amp;" (introuvable)"))</f>
        <v/>
      </c>
    </row>
    <row r="269" spans="1:9" x14ac:dyDescent="0.3">
      <c r="A269">
        <f t="shared" si="0"/>
        <v>264</v>
      </c>
      <c r="B269" s="35" t="str">
        <f>IF(Liens!A264="","",IF(COUNTIF(Mots!A:A,Liens!A264)&gt;0,"✓ "&amp;Liens!A264,"✗ "&amp;Liens!A264&amp;" (introuvable)"))</f>
        <v>✓ creme</v>
      </c>
      <c r="C269" s="35" t="str">
        <f>IF(Liens!B264="","",IF(COUNTIF(Mots!A:A,Liens!B264)&gt;0,"✓ "&amp;Liens!B264,"✗ "&amp;Liens!B264&amp;" (introuvable)"))</f>
        <v>✓ vache</v>
      </c>
      <c r="D269" s="35" t="str">
        <f>IF(Liens!C264="","",IF(COUNTIF(Mots!A:A,Liens!C264)&gt;0,"✓ "&amp;Liens!C264,"✗ "&amp;Liens!C264&amp;" (introuvable)"))</f>
        <v>✓ lait</v>
      </c>
      <c r="E269" s="35" t="str">
        <f>IF(Liens!D264="","",IF(COUNTIF(Mots!A:A,Liens!D264)&gt;0,"✓ "&amp;Liens!D264,"✗ "&amp;Liens!D264&amp;" (introuvable)"))</f>
        <v>✓ beurre</v>
      </c>
      <c r="F269" s="35" t="str">
        <f>IF(Liens!E264="","",IF(COUNTIF(Mots!A:A,Liens!E264)&gt;0,"✓ "&amp;Liens!E264,"✗ "&amp;Liens!E264&amp;" (introuvable)"))</f>
        <v>✓ fromage</v>
      </c>
      <c r="G269" s="35" t="str">
        <f>IF(Liens!F264="","",IF(COUNTIF(Mots!A:A,Liens!F264)&gt;0,"✓ "&amp;Liens!F264,"✗ "&amp;Liens!F264&amp;" (introuvable)"))</f>
        <v>✓ cafe</v>
      </c>
      <c r="H269" s="35" t="str">
        <f>IF(Liens!G264="","",IF(COUNTIF(Mots!A:A,Liens!G264)&gt;0,"✓ "&amp;Liens!G264,"✗ "&amp;Liens!G264&amp;" (introuvable)"))</f>
        <v>✓ dessert</v>
      </c>
      <c r="I269" s="35" t="str">
        <f>IF(Liens!H264="","",IF(COUNTIF(Mots!A:A,Liens!H264)&gt;0,"✓ "&amp;Liens!H264,"✗ "&amp;Liens!H264&amp;" (introuvable)"))</f>
        <v/>
      </c>
    </row>
    <row r="270" spans="1:9" x14ac:dyDescent="0.3">
      <c r="A270">
        <f t="shared" si="0"/>
        <v>265</v>
      </c>
      <c r="B270" s="35" t="str">
        <f>IF(Liens!A265="","",IF(COUNTIF(Mots!A:A,Liens!A265)&gt;0,"✓ "&amp;Liens!A265,"✗ "&amp;Liens!A265&amp;" (introuvable)"))</f>
        <v>✓ creux</v>
      </c>
      <c r="C270" s="35" t="str">
        <f>IF(Liens!B265="","",IF(COUNTIF(Mots!A:A,Liens!B265)&gt;0,"✓ "&amp;Liens!B265,"✗ "&amp;Liens!B265&amp;" (introuvable)"))</f>
        <v>✓ trou</v>
      </c>
      <c r="D270" s="35" t="str">
        <f>IF(Liens!C265="","",IF(COUNTIF(Mots!A:A,Liens!C265)&gt;0,"✓ "&amp;Liens!C265,"✗ "&amp;Liens!C265&amp;" (introuvable)"))</f>
        <v/>
      </c>
      <c r="E270" s="35" t="str">
        <f>IF(Liens!D265="","",IF(COUNTIF(Mots!A:A,Liens!D265)&gt;0,"✓ "&amp;Liens!D265,"✗ "&amp;Liens!D265&amp;" (introuvable)"))</f>
        <v/>
      </c>
      <c r="F270" s="35" t="str">
        <f>IF(Liens!E265="","",IF(COUNTIF(Mots!A:A,Liens!E265)&gt;0,"✓ "&amp;Liens!E265,"✗ "&amp;Liens!E265&amp;" (introuvable)"))</f>
        <v/>
      </c>
      <c r="G270" s="35" t="str">
        <f>IF(Liens!F265="","",IF(COUNTIF(Mots!A:A,Liens!F265)&gt;0,"✓ "&amp;Liens!F265,"✗ "&amp;Liens!F265&amp;" (introuvable)"))</f>
        <v/>
      </c>
      <c r="H270" s="35" t="str">
        <f>IF(Liens!G265="","",IF(COUNTIF(Mots!A:A,Liens!G265)&gt;0,"✓ "&amp;Liens!G265,"✗ "&amp;Liens!G265&amp;" (introuvable)"))</f>
        <v/>
      </c>
      <c r="I270" s="35" t="str">
        <f>IF(Liens!H265="","",IF(COUNTIF(Mots!A:A,Liens!H265)&gt;0,"✓ "&amp;Liens!H265,"✗ "&amp;Liens!H265&amp;" (introuvable)"))</f>
        <v/>
      </c>
    </row>
    <row r="271" spans="1:9" x14ac:dyDescent="0.3">
      <c r="A271">
        <f t="shared" ref="A271:A334" si="1">A270+1</f>
        <v>266</v>
      </c>
      <c r="B271" s="35" t="str">
        <f>IF(Liens!A266="","",IF(COUNTIF(Mots!A:A,Liens!A266)&gt;0,"✓ "&amp;Liens!A266,"✗ "&amp;Liens!A266&amp;" (introuvable)"))</f>
        <v>✓ cube</v>
      </c>
      <c r="C271" s="35" t="str">
        <f>IF(Liens!B266="","",IF(COUNTIF(Mots!A:A,Liens!B266)&gt;0,"✓ "&amp;Liens!B266,"✗ "&amp;Liens!B266&amp;" (introuvable)"))</f>
        <v>✓ de</v>
      </c>
      <c r="D271" s="35" t="str">
        <f>IF(Liens!C266="","",IF(COUNTIF(Mots!A:A,Liens!C266)&gt;0,"✓ "&amp;Liens!C266,"✗ "&amp;Liens!C266&amp;" (introuvable)"))</f>
        <v>✓ face</v>
      </c>
      <c r="E271" s="35" t="str">
        <f>IF(Liens!D266="","",IF(COUNTIF(Mots!A:A,Liens!D266)&gt;0,"✓ "&amp;Liens!D266,"✗ "&amp;Liens!D266&amp;" (introuvable)"))</f>
        <v/>
      </c>
      <c r="F271" s="35" t="str">
        <f>IF(Liens!E266="","",IF(COUNTIF(Mots!A:A,Liens!E266)&gt;0,"✓ "&amp;Liens!E266,"✗ "&amp;Liens!E266&amp;" (introuvable)"))</f>
        <v/>
      </c>
      <c r="G271" s="35" t="str">
        <f>IF(Liens!F266="","",IF(COUNTIF(Mots!A:A,Liens!F266)&gt;0,"✓ "&amp;Liens!F266,"✗ "&amp;Liens!F266&amp;" (introuvable)"))</f>
        <v/>
      </c>
      <c r="H271" s="35" t="str">
        <f>IF(Liens!G266="","",IF(COUNTIF(Mots!A:A,Liens!G266)&gt;0,"✓ "&amp;Liens!G266,"✗ "&amp;Liens!G266&amp;" (introuvable)"))</f>
        <v/>
      </c>
      <c r="I271" s="35" t="str">
        <f>IF(Liens!H266="","",IF(COUNTIF(Mots!A:A,Liens!H266)&gt;0,"✓ "&amp;Liens!H266,"✗ "&amp;Liens!H266&amp;" (introuvable)"))</f>
        <v/>
      </c>
    </row>
    <row r="272" spans="1:9" x14ac:dyDescent="0.3">
      <c r="A272">
        <f t="shared" si="1"/>
        <v>267</v>
      </c>
      <c r="B272" s="35" t="str">
        <f>IF(Liens!A267="","",IF(COUNTIF(Mots!A:A,Liens!A267)&gt;0,"✓ "&amp;Liens!A267,"✗ "&amp;Liens!A267&amp;" (introuvable)"))</f>
        <v>✓ cuisine</v>
      </c>
      <c r="C272" s="35" t="str">
        <f>IF(Liens!B267="","",IF(COUNTIF(Mots!A:A,Liens!B267)&gt;0,"✓ "&amp;Liens!B267,"✗ "&amp;Liens!B267&amp;" (introuvable)"))</f>
        <v>✓ maison</v>
      </c>
      <c r="D272" s="35" t="str">
        <f>IF(Liens!C267="","",IF(COUNTIF(Mots!A:A,Liens!C267)&gt;0,"✓ "&amp;Liens!C267,"✗ "&amp;Liens!C267&amp;" (introuvable)"))</f>
        <v>✓ v_manger</v>
      </c>
      <c r="E272" s="35" t="str">
        <f>IF(Liens!D267="","",IF(COUNTIF(Mots!A:A,Liens!D267)&gt;0,"✓ "&amp;Liens!D267,"✗ "&amp;Liens!D267&amp;" (introuvable)"))</f>
        <v>✓ repas</v>
      </c>
      <c r="F272" s="35" t="str">
        <f>IF(Liens!E267="","",IF(COUNTIF(Mots!A:A,Liens!E267)&gt;0,"✓ "&amp;Liens!E267,"✗ "&amp;Liens!E267&amp;" (introuvable)"))</f>
        <v/>
      </c>
      <c r="G272" s="35" t="str">
        <f>IF(Liens!F267="","",IF(COUNTIF(Mots!A:A,Liens!F267)&gt;0,"✓ "&amp;Liens!F267,"✗ "&amp;Liens!F267&amp;" (introuvable)"))</f>
        <v/>
      </c>
      <c r="H272" s="35" t="str">
        <f>IF(Liens!G267="","",IF(COUNTIF(Mots!A:A,Liens!G267)&gt;0,"✓ "&amp;Liens!G267,"✗ "&amp;Liens!G267&amp;" (introuvable)"))</f>
        <v/>
      </c>
      <c r="I272" s="35" t="str">
        <f>IF(Liens!H267="","",IF(COUNTIF(Mots!A:A,Liens!H267)&gt;0,"✓ "&amp;Liens!H267,"✗ "&amp;Liens!H267&amp;" (introuvable)"))</f>
        <v/>
      </c>
    </row>
    <row r="273" spans="1:9" x14ac:dyDescent="0.3">
      <c r="A273">
        <f t="shared" si="1"/>
        <v>268</v>
      </c>
      <c r="B273" s="35" t="str">
        <f>IF(Liens!A268="","",IF(COUNTIF(Mots!A:A,Liens!A268)&gt;0,"✓ "&amp;Liens!A268,"✗ "&amp;Liens!A268&amp;" (introuvable)"))</f>
        <v>✓ cuisinier</v>
      </c>
      <c r="C273" s="35" t="str">
        <f>IF(Liens!B268="","",IF(COUNTIF(Mots!A:A,Liens!B268)&gt;0,"✓ "&amp;Liens!B268,"✗ "&amp;Liens!B268&amp;" (introuvable)"))</f>
        <v>✓ personne</v>
      </c>
      <c r="D273" s="35" t="str">
        <f>IF(Liens!C268="","",IF(COUNTIF(Mots!A:A,Liens!C268)&gt;0,"✓ "&amp;Liens!C268,"✗ "&amp;Liens!C268&amp;" (introuvable)"))</f>
        <v>✓ plat</v>
      </c>
      <c r="E273" s="35" t="str">
        <f>IF(Liens!D268="","",IF(COUNTIF(Mots!A:A,Liens!D268)&gt;0,"✓ "&amp;Liens!D268,"✗ "&amp;Liens!D268&amp;" (introuvable)"))</f>
        <v>✓ nourriture</v>
      </c>
      <c r="F273" s="35" t="str">
        <f>IF(Liens!E268="","",IF(COUNTIF(Mots!A:A,Liens!E268)&gt;0,"✓ "&amp;Liens!E268,"✗ "&amp;Liens!E268&amp;" (introuvable)"))</f>
        <v>✓ restaurant</v>
      </c>
      <c r="G273" s="35" t="str">
        <f>IF(Liens!F268="","",IF(COUNTIF(Mots!A:A,Liens!F268)&gt;0,"✓ "&amp;Liens!F268,"✗ "&amp;Liens!F268&amp;" (introuvable)"))</f>
        <v>✓ hotel</v>
      </c>
      <c r="H273" s="35" t="str">
        <f>IF(Liens!G268="","",IF(COUNTIF(Mots!A:A,Liens!G268)&gt;0,"✓ "&amp;Liens!G268,"✗ "&amp;Liens!G268&amp;" (introuvable)"))</f>
        <v>✓ v_manger</v>
      </c>
      <c r="I273" s="35" t="str">
        <f>IF(Liens!H268="","",IF(COUNTIF(Mots!A:A,Liens!H268)&gt;0,"✓ "&amp;Liens!H268,"✗ "&amp;Liens!H268&amp;" (introuvable)"))</f>
        <v/>
      </c>
    </row>
    <row r="274" spans="1:9" x14ac:dyDescent="0.3">
      <c r="A274">
        <f t="shared" si="1"/>
        <v>269</v>
      </c>
      <c r="B274" s="35" t="str">
        <f>IF(Liens!A269="","",IF(COUNTIF(Mots!A:A,Liens!A269)&gt;0,"✓ "&amp;Liens!A269,"✗ "&amp;Liens!A269&amp;" (introuvable)"))</f>
        <v>✓ curiosite</v>
      </c>
      <c r="C274" s="35" t="str">
        <f>IF(Liens!B269="","",IF(COUNTIF(Mots!A:A,Liens!B269)&gt;0,"✓ "&amp;Liens!B269,"✗ "&amp;Liens!B269&amp;" (introuvable)"))</f>
        <v>✓ envie</v>
      </c>
      <c r="D274" s="35" t="str">
        <f>IF(Liens!C269="","",IF(COUNTIF(Mots!A:A,Liens!C269)&gt;0,"✓ "&amp;Liens!C269,"✗ "&amp;Liens!C269&amp;" (introuvable)"))</f>
        <v>✓ v_apprendre</v>
      </c>
      <c r="E274" s="35" t="str">
        <f>IF(Liens!D269="","",IF(COUNTIF(Mots!A:A,Liens!D269)&gt;0,"✓ "&amp;Liens!D269,"✗ "&amp;Liens!D269&amp;" (introuvable)"))</f>
        <v>✓ v_savoir</v>
      </c>
      <c r="F274" s="35" t="str">
        <f>IF(Liens!E269="","",IF(COUNTIF(Mots!A:A,Liens!E269)&gt;0,"✓ "&amp;Liens!E269,"✗ "&amp;Liens!E269&amp;" (introuvable)"))</f>
        <v>✓ eleve</v>
      </c>
      <c r="G274" s="35" t="str">
        <f>IF(Liens!F269="","",IF(COUNTIF(Mots!A:A,Liens!F269)&gt;0,"✓ "&amp;Liens!F269,"✗ "&amp;Liens!F269&amp;" (introuvable)"))</f>
        <v>✓ enfants</v>
      </c>
      <c r="H274" s="35" t="str">
        <f>IF(Liens!G269="","",IF(COUNTIF(Mots!A:A,Liens!G269)&gt;0,"✓ "&amp;Liens!G269,"✗ "&amp;Liens!G269&amp;" (introuvable)"))</f>
        <v/>
      </c>
      <c r="I274" s="35" t="str">
        <f>IF(Liens!H269="","",IF(COUNTIF(Mots!A:A,Liens!H269)&gt;0,"✓ "&amp;Liens!H269,"✗ "&amp;Liens!H269&amp;" (introuvable)"))</f>
        <v/>
      </c>
    </row>
    <row r="275" spans="1:9" x14ac:dyDescent="0.3">
      <c r="A275">
        <f t="shared" si="1"/>
        <v>270</v>
      </c>
      <c r="B275" s="35" t="str">
        <f>IF(Liens!A270="","",IF(COUNTIF(Mots!A:A,Liens!A270)&gt;0,"✓ "&amp;Liens!A270,"✗ "&amp;Liens!A270&amp;" (introuvable)"))</f>
        <v>✓ cymbales</v>
      </c>
      <c r="C275" s="35" t="str">
        <f>IF(Liens!B270="","",IF(COUNTIF(Mots!A:A,Liens!B270)&gt;0,"✓ "&amp;Liens!B270,"✗ "&amp;Liens!B270&amp;" (introuvable)"))</f>
        <v>✓ disque</v>
      </c>
      <c r="D275" s="35" t="str">
        <f>IF(Liens!C270="","",IF(COUNTIF(Mots!A:A,Liens!C270)&gt;0,"✓ "&amp;Liens!C270,"✗ "&amp;Liens!C270&amp;" (introuvable)"))</f>
        <v>✓ metal</v>
      </c>
      <c r="E275" s="35" t="str">
        <f>IF(Liens!D270="","",IF(COUNTIF(Mots!A:A,Liens!D270)&gt;0,"✓ "&amp;Liens!D270,"✗ "&amp;Liens!D270&amp;" (introuvable)"))</f>
        <v>✓ son</v>
      </c>
      <c r="F275" s="35" t="str">
        <f>IF(Liens!E270="","",IF(COUNTIF(Mots!A:A,Liens!E270)&gt;0,"✓ "&amp;Liens!E270,"✗ "&amp;Liens!E270&amp;" (introuvable)"))</f>
        <v>✓ rythme</v>
      </c>
      <c r="G275" s="35" t="str">
        <f>IF(Liens!F270="","",IF(COUNTIF(Mots!A:A,Liens!F270)&gt;0,"✓ "&amp;Liens!F270,"✗ "&amp;Liens!F270&amp;" (introuvable)"))</f>
        <v>✓ v_jouer</v>
      </c>
      <c r="H275" s="35" t="str">
        <f>IF(Liens!G270="","",IF(COUNTIF(Mots!A:A,Liens!G270)&gt;0,"✓ "&amp;Liens!G270,"✗ "&amp;Liens!G270&amp;" (introuvable)"))</f>
        <v/>
      </c>
      <c r="I275" s="35" t="str">
        <f>IF(Liens!H270="","",IF(COUNTIF(Mots!A:A,Liens!H270)&gt;0,"✓ "&amp;Liens!H270,"✗ "&amp;Liens!H270&amp;" (introuvable)"))</f>
        <v/>
      </c>
    </row>
    <row r="276" spans="1:9" x14ac:dyDescent="0.3">
      <c r="A276">
        <f t="shared" si="1"/>
        <v>271</v>
      </c>
      <c r="B276" s="35" t="str">
        <f>IF(Liens!A271="","",IF(COUNTIF(Mots!A:A,Liens!A271)&gt;0,"✓ "&amp;Liens!A271,"✗ "&amp;Liens!A271&amp;" (introuvable)"))</f>
        <v>✓ d_abord</v>
      </c>
      <c r="C276" s="35" t="str">
        <f>IF(Liens!B271="","",IF(COUNTIF(Mots!A:A,Liens!B271)&gt;0,"✓ "&amp;Liens!B271,"✗ "&amp;Liens!B271&amp;" (introuvable)"))</f>
        <v>✓ a_urgent</v>
      </c>
      <c r="D276" s="35" t="str">
        <f>IF(Liens!C271="","",IF(COUNTIF(Mots!A:A,Liens!C271)&gt;0,"✓ "&amp;Liens!C271,"✗ "&amp;Liens!C271&amp;" (introuvable)"))</f>
        <v>✓ maintenant</v>
      </c>
      <c r="E276" s="35" t="str">
        <f>IF(Liens!D271="","",IF(COUNTIF(Mots!A:A,Liens!D271)&gt;0,"✓ "&amp;Liens!D271,"✗ "&amp;Liens!D271&amp;" (introuvable)"))</f>
        <v/>
      </c>
      <c r="F276" s="35" t="str">
        <f>IF(Liens!E271="","",IF(COUNTIF(Mots!A:A,Liens!E271)&gt;0,"✓ "&amp;Liens!E271,"✗ "&amp;Liens!E271&amp;" (introuvable)"))</f>
        <v/>
      </c>
      <c r="G276" s="35" t="str">
        <f>IF(Liens!F271="","",IF(COUNTIF(Mots!A:A,Liens!F271)&gt;0,"✓ "&amp;Liens!F271,"✗ "&amp;Liens!F271&amp;" (introuvable)"))</f>
        <v/>
      </c>
      <c r="H276" s="35" t="str">
        <f>IF(Liens!G271="","",IF(COUNTIF(Mots!A:A,Liens!G271)&gt;0,"✓ "&amp;Liens!G271,"✗ "&amp;Liens!G271&amp;" (introuvable)"))</f>
        <v/>
      </c>
      <c r="I276" s="35" t="str">
        <f>IF(Liens!H271="","",IF(COUNTIF(Mots!A:A,Liens!H271)&gt;0,"✓ "&amp;Liens!H271,"✗ "&amp;Liens!H271&amp;" (introuvable)"))</f>
        <v/>
      </c>
    </row>
    <row r="277" spans="1:9" x14ac:dyDescent="0.3">
      <c r="A277">
        <f t="shared" si="1"/>
        <v>272</v>
      </c>
      <c r="B277" s="35" t="str">
        <f>IF(Liens!A272="","",IF(COUNTIF(Mots!A:A,Liens!A272)&gt;0,"✓ "&amp;Liens!A272,"✗ "&amp;Liens!A272&amp;" (introuvable)"))</f>
        <v>✓ danger</v>
      </c>
      <c r="C277" s="35" t="str">
        <f>IF(Liens!B272="","",IF(COUNTIF(Mots!A:A,Liens!B272)&gt;0,"✓ "&amp;Liens!B272,"✗ "&amp;Liens!B272&amp;" (introuvable)"))</f>
        <v>✓ accident</v>
      </c>
      <c r="D277" s="35" t="str">
        <f>IF(Liens!C272="","",IF(COUNTIF(Mots!A:A,Liens!C272)&gt;0,"✓ "&amp;Liens!C272,"✗ "&amp;Liens!C272&amp;" (introuvable)"))</f>
        <v>✓ dangereux</v>
      </c>
      <c r="E277" s="35" t="str">
        <f>IF(Liens!D272="","",IF(COUNTIF(Mots!A:A,Liens!D272)&gt;0,"✓ "&amp;Liens!D272,"✗ "&amp;Liens!D272&amp;" (introuvable)"))</f>
        <v>✓ attention</v>
      </c>
      <c r="F277" s="35" t="str">
        <f>IF(Liens!E272="","",IF(COUNTIF(Mots!A:A,Liens!E272)&gt;0,"✓ "&amp;Liens!E272,"✗ "&amp;Liens!E272&amp;" (introuvable)"))</f>
        <v>✓ v_regarder</v>
      </c>
      <c r="G277" s="35" t="str">
        <f>IF(Liens!F272="","",IF(COUNTIF(Mots!A:A,Liens!F272)&gt;0,"✓ "&amp;Liens!F272,"✗ "&amp;Liens!F272&amp;" (introuvable)"))</f>
        <v>✓ dommage</v>
      </c>
      <c r="H277" s="35" t="str">
        <f>IF(Liens!G272="","",IF(COUNTIF(Mots!A:A,Liens!G272)&gt;0,"✓ "&amp;Liens!G272,"✗ "&amp;Liens!G272&amp;" (introuvable)"))</f>
        <v/>
      </c>
      <c r="I277" s="35" t="str">
        <f>IF(Liens!H272="","",IF(COUNTIF(Mots!A:A,Liens!H272)&gt;0,"✓ "&amp;Liens!H272,"✗ "&amp;Liens!H272&amp;" (introuvable)"))</f>
        <v/>
      </c>
    </row>
    <row r="278" spans="1:9" x14ac:dyDescent="0.3">
      <c r="A278">
        <f t="shared" si="1"/>
        <v>273</v>
      </c>
      <c r="B278" s="35" t="str">
        <f>IF(Liens!A273="","",IF(COUNTIF(Mots!A:A,Liens!A273)&gt;0,"✓ "&amp;Liens!A273,"✗ "&amp;Liens!A273&amp;" (introuvable)"))</f>
        <v>✓ dangereux</v>
      </c>
      <c r="C278" s="35" t="str">
        <f>IF(Liens!B273="","",IF(COUNTIF(Mots!A:A,Liens!B273)&gt;0,"✓ "&amp;Liens!B273,"✗ "&amp;Liens!B273&amp;" (introuvable)"))</f>
        <v>✓ danger</v>
      </c>
      <c r="D278" s="35" t="str">
        <f>IF(Liens!C273="","",IF(COUNTIF(Mots!A:A,Liens!C273)&gt;0,"✓ "&amp;Liens!C273,"✗ "&amp;Liens!C273&amp;" (introuvable)"))</f>
        <v>✓ attention</v>
      </c>
      <c r="E278" s="35" t="str">
        <f>IF(Liens!D273="","",IF(COUNTIF(Mots!A:A,Liens!D273)&gt;0,"✓ "&amp;Liens!D273,"✗ "&amp;Liens!D273&amp;" (introuvable)"))</f>
        <v>✓ accident</v>
      </c>
      <c r="F278" s="35" t="str">
        <f>IF(Liens!E273="","",IF(COUNTIF(Mots!A:A,Liens!E273)&gt;0,"✓ "&amp;Liens!E273,"✗ "&amp;Liens!E273&amp;" (introuvable)"))</f>
        <v>✓ serpent</v>
      </c>
      <c r="G278" s="35" t="str">
        <f>IF(Liens!F273="","",IF(COUNTIF(Mots!A:A,Liens!F273)&gt;0,"✓ "&amp;Liens!F273,"✗ "&amp;Liens!F273&amp;" (introuvable)"))</f>
        <v>✓ araignee</v>
      </c>
      <c r="H278" s="35" t="str">
        <f>IF(Liens!G273="","",IF(COUNTIF(Mots!A:A,Liens!G273)&gt;0,"✓ "&amp;Liens!G273,"✗ "&amp;Liens!G273&amp;" (introuvable)"))</f>
        <v>✓ lion</v>
      </c>
      <c r="I278" s="35" t="str">
        <f>IF(Liens!H273="","",IF(COUNTIF(Mots!A:A,Liens!H273)&gt;0,"✓ "&amp;Liens!H273,"✗ "&amp;Liens!H273&amp;" (introuvable)"))</f>
        <v>✓ fauve</v>
      </c>
    </row>
    <row r="279" spans="1:9" x14ac:dyDescent="0.3">
      <c r="A279">
        <f t="shared" si="1"/>
        <v>274</v>
      </c>
      <c r="B279" s="35" t="str">
        <f>IF(Liens!A274="","",IF(COUNTIF(Mots!A:A,Liens!A274)&gt;0,"✓ "&amp;Liens!A274,"✗ "&amp;Liens!A274&amp;" (introuvable)"))</f>
        <v>✓ danse</v>
      </c>
      <c r="C279" s="35" t="str">
        <f>IF(Liens!B274="","",IF(COUNTIF(Mots!A:A,Liens!B274)&gt;0,"✓ "&amp;Liens!B274,"✗ "&amp;Liens!B274&amp;" (introuvable)"))</f>
        <v>✓ v_danser</v>
      </c>
      <c r="D279" s="35" t="str">
        <f>IF(Liens!C274="","",IF(COUNTIF(Mots!A:A,Liens!C274)&gt;0,"✓ "&amp;Liens!C274,"✗ "&amp;Liens!C274&amp;" (introuvable)"))</f>
        <v>✓ son</v>
      </c>
      <c r="E279" s="35" t="str">
        <f>IF(Liens!D274="","",IF(COUNTIF(Mots!A:A,Liens!D274)&gt;0,"✓ "&amp;Liens!D274,"✗ "&amp;Liens!D274&amp;" (introuvable)"))</f>
        <v>✓ rythme</v>
      </c>
      <c r="F279" s="35" t="str">
        <f>IF(Liens!E274="","",IF(COUNTIF(Mots!A:A,Liens!E274)&gt;0,"✓ "&amp;Liens!E274,"✗ "&amp;Liens!E274&amp;" (introuvable)"))</f>
        <v>✓ melodie</v>
      </c>
      <c r="G279" s="35" t="str">
        <f>IF(Liens!F274="","",IF(COUNTIF(Mots!A:A,Liens!F274)&gt;0,"✓ "&amp;Liens!F274,"✗ "&amp;Liens!F274&amp;" (introuvable)"))</f>
        <v>✓ corps_humain</v>
      </c>
      <c r="H279" s="35" t="str">
        <f>IF(Liens!G274="","",IF(COUNTIF(Mots!A:A,Liens!G274)&gt;0,"✓ "&amp;Liens!G274,"✗ "&amp;Liens!G274&amp;" (introuvable)"))</f>
        <v>✓ musique</v>
      </c>
      <c r="I279" s="35" t="str">
        <f>IF(Liens!H274="","",IF(COUNTIF(Mots!A:A,Liens!H274)&gt;0,"✓ "&amp;Liens!H274,"✗ "&amp;Liens!H274&amp;" (introuvable)"))</f>
        <v/>
      </c>
    </row>
    <row r="280" spans="1:9" x14ac:dyDescent="0.3">
      <c r="A280">
        <f t="shared" si="1"/>
        <v>275</v>
      </c>
      <c r="B280" s="35" t="str">
        <f>IF(Liens!A275="","",IF(COUNTIF(Mots!A:A,Liens!A275)&gt;0,"✓ "&amp;Liens!A275,"✗ "&amp;Liens!A275&amp;" (introuvable)"))</f>
        <v>✓ date</v>
      </c>
      <c r="C280" s="35" t="str">
        <f>IF(Liens!B275="","",IF(COUNTIF(Mots!A:A,Liens!B275)&gt;0,"✓ "&amp;Liens!B275,"✗ "&amp;Liens!B275&amp;" (introuvable)"))</f>
        <v>✓ jour</v>
      </c>
      <c r="D280" s="35" t="str">
        <f>IF(Liens!C275="","",IF(COUNTIF(Mots!A:A,Liens!C275)&gt;0,"✓ "&amp;Liens!C275,"✗ "&amp;Liens!C275&amp;" (introuvable)"))</f>
        <v>✓ mois</v>
      </c>
      <c r="E280" s="35" t="str">
        <f>IF(Liens!D275="","",IF(COUNTIF(Mots!A:A,Liens!D275)&gt;0,"✓ "&amp;Liens!D275,"✗ "&amp;Liens!D275&amp;" (introuvable)"))</f>
        <v>✓ annee</v>
      </c>
      <c r="F280" s="35" t="str">
        <f>IF(Liens!E275="","",IF(COUNTIF(Mots!A:A,Liens!E275)&gt;0,"✓ "&amp;Liens!E275,"✗ "&amp;Liens!E275&amp;" (introuvable)"))</f>
        <v>✓ a_precis</v>
      </c>
      <c r="G280" s="35" t="str">
        <f>IF(Liens!F275="","",IF(COUNTIF(Mots!A:A,Liens!F275)&gt;0,"✓ "&amp;Liens!F275,"✗ "&amp;Liens!F275&amp;" (introuvable)"))</f>
        <v>✓ calendrier</v>
      </c>
      <c r="H280" s="35" t="str">
        <f>IF(Liens!G275="","",IF(COUNTIF(Mots!A:A,Liens!G275)&gt;0,"✓ "&amp;Liens!G275,"✗ "&amp;Liens!G275&amp;" (introuvable)"))</f>
        <v>✓ anniversaire</v>
      </c>
      <c r="I280" s="35" t="str">
        <f>IF(Liens!H275="","",IF(COUNTIF(Mots!A:A,Liens!H275)&gt;0,"✓ "&amp;Liens!H275,"✗ "&amp;Liens!H275&amp;" (introuvable)"))</f>
        <v/>
      </c>
    </row>
    <row r="281" spans="1:9" x14ac:dyDescent="0.3">
      <c r="A281">
        <f t="shared" si="1"/>
        <v>276</v>
      </c>
      <c r="B281" s="35" t="str">
        <f>IF(Liens!A276="","",IF(COUNTIF(Mots!A:A,Liens!A276)&gt;0,"✓ "&amp;Liens!A276,"✗ "&amp;Liens!A276&amp;" (introuvable)"))</f>
        <v>✓ de</v>
      </c>
      <c r="C281" s="35" t="str">
        <f>IF(Liens!B276="","",IF(COUNTIF(Mots!A:A,Liens!B276)&gt;0,"✓ "&amp;Liens!B276,"✗ "&amp;Liens!B276&amp;" (introuvable)"))</f>
        <v>✓ cube</v>
      </c>
      <c r="D281" s="35" t="str">
        <f>IF(Liens!C276="","",IF(COUNTIF(Mots!A:A,Liens!C276)&gt;0,"✓ "&amp;Liens!C276,"✗ "&amp;Liens!C276&amp;" (introuvable)"))</f>
        <v>✓ face</v>
      </c>
      <c r="E281" s="35" t="str">
        <f>IF(Liens!D276="","",IF(COUNTIF(Mots!A:A,Liens!D276)&gt;0,"✓ "&amp;Liens!D276,"✗ "&amp;Liens!D276&amp;" (introuvable)"))</f>
        <v>✓ point</v>
      </c>
      <c r="F281" s="35" t="str">
        <f>IF(Liens!E276="","",IF(COUNTIF(Mots!A:A,Liens!E276)&gt;0,"✓ "&amp;Liens!E276,"✗ "&amp;Liens!E276&amp;" (introuvable)"))</f>
        <v>✓ jeu</v>
      </c>
      <c r="G281" s="35" t="str">
        <f>IF(Liens!F276="","",IF(COUNTIF(Mots!A:A,Liens!F276)&gt;0,"✓ "&amp;Liens!F276,"✗ "&amp;Liens!F276&amp;" (introuvable)"))</f>
        <v>✓ hasard</v>
      </c>
      <c r="H281" s="35" t="str">
        <f>IF(Liens!G276="","",IF(COUNTIF(Mots!A:A,Liens!G276)&gt;0,"✓ "&amp;Liens!G276,"✗ "&amp;Liens!G276&amp;" (introuvable)"))</f>
        <v/>
      </c>
      <c r="I281" s="35" t="str">
        <f>IF(Liens!H276="","",IF(COUNTIF(Mots!A:A,Liens!H276)&gt;0,"✓ "&amp;Liens!H276,"✗ "&amp;Liens!H276&amp;" (introuvable)"))</f>
        <v/>
      </c>
    </row>
    <row r="282" spans="1:9" x14ac:dyDescent="0.3">
      <c r="A282">
        <f t="shared" si="1"/>
        <v>277</v>
      </c>
      <c r="B282" s="35" t="str">
        <f>IF(Liens!A277="","",IF(COUNTIF(Mots!A:A,Liens!A277)&gt;0,"✓ "&amp;Liens!A277,"✗ "&amp;Liens!A277&amp;" (introuvable)"))</f>
        <v>✓ debut</v>
      </c>
      <c r="C282" s="35" t="str">
        <f>IF(Liens!B277="","",IF(COUNTIF(Mots!A:A,Liens!B277)&gt;0,"✓ "&amp;Liens!B277,"✗ "&amp;Liens!B277&amp;" (introuvable)"))</f>
        <v>✓ fin</v>
      </c>
      <c r="D282" s="35" t="str">
        <f>IF(Liens!C277="","",IF(COUNTIF(Mots!A:A,Liens!C277)&gt;0,"✓ "&amp;Liens!C277,"✗ "&amp;Liens!C277&amp;" (introuvable)"))</f>
        <v>✓ moment</v>
      </c>
      <c r="E282" s="35" t="str">
        <f>IF(Liens!D277="","",IF(COUNTIF(Mots!A:A,Liens!D277)&gt;0,"✓ "&amp;Liens!D277,"✗ "&amp;Liens!D277&amp;" (introuvable)"))</f>
        <v>✓ duree</v>
      </c>
      <c r="F282" s="35" t="str">
        <f>IF(Liens!E277="","",IF(COUNTIF(Mots!A:A,Liens!E277)&gt;0,"✓ "&amp;Liens!E277,"✗ "&amp;Liens!E277&amp;" (introuvable)"))</f>
        <v/>
      </c>
      <c r="G282" s="35" t="str">
        <f>IF(Liens!F277="","",IF(COUNTIF(Mots!A:A,Liens!F277)&gt;0,"✓ "&amp;Liens!F277,"✗ "&amp;Liens!F277&amp;" (introuvable)"))</f>
        <v/>
      </c>
      <c r="H282" s="35" t="str">
        <f>IF(Liens!G277="","",IF(COUNTIF(Mots!A:A,Liens!G277)&gt;0,"✓ "&amp;Liens!G277,"✗ "&amp;Liens!G277&amp;" (introuvable)"))</f>
        <v/>
      </c>
      <c r="I282" s="35" t="str">
        <f>IF(Liens!H277="","",IF(COUNTIF(Mots!A:A,Liens!H277)&gt;0,"✓ "&amp;Liens!H277,"✗ "&amp;Liens!H277&amp;" (introuvable)"))</f>
        <v/>
      </c>
    </row>
    <row r="283" spans="1:9" x14ac:dyDescent="0.3">
      <c r="A283">
        <f t="shared" si="1"/>
        <v>278</v>
      </c>
      <c r="B283" s="35" t="str">
        <f>IF(Liens!A278="","",IF(COUNTIF(Mots!A:A,Liens!A278)&gt;0,"✓ "&amp;Liens!A278,"✗ "&amp;Liens!A278&amp;" (introuvable)"))</f>
        <v>✓ dechet</v>
      </c>
      <c r="C283" s="35" t="str">
        <f>IF(Liens!B278="","",IF(COUNTIF(Mots!A:A,Liens!B278)&gt;0,"✓ "&amp;Liens!B278,"✗ "&amp;Liens!B278&amp;" (introuvable)"))</f>
        <v>✓ besoin</v>
      </c>
      <c r="D283" s="35" t="str">
        <f>IF(Liens!C278="","",IF(COUNTIF(Mots!A:A,Liens!C278)&gt;0,"✓ "&amp;Liens!C278,"✗ "&amp;Liens!C278&amp;" (introuvable)"))</f>
        <v>✓ v_jeter</v>
      </c>
      <c r="E283" s="35" t="str">
        <f>IF(Liens!D278="","",IF(COUNTIF(Mots!A:A,Liens!D278)&gt;0,"✓ "&amp;Liens!D278,"✗ "&amp;Liens!D278&amp;" (introuvable)"))</f>
        <v>✓ poubelle</v>
      </c>
      <c r="F283" s="35" t="str">
        <f>IF(Liens!E278="","",IF(COUNTIF(Mots!A:A,Liens!E278)&gt;0,"✓ "&amp;Liens!E278,"✗ "&amp;Liens!E278&amp;" (introuvable)"))</f>
        <v/>
      </c>
      <c r="G283" s="35" t="str">
        <f>IF(Liens!F278="","",IF(COUNTIF(Mots!A:A,Liens!F278)&gt;0,"✓ "&amp;Liens!F278,"✗ "&amp;Liens!F278&amp;" (introuvable)"))</f>
        <v/>
      </c>
      <c r="H283" s="35" t="str">
        <f>IF(Liens!G278="","",IF(COUNTIF(Mots!A:A,Liens!G278)&gt;0,"✓ "&amp;Liens!G278,"✗ "&amp;Liens!G278&amp;" (introuvable)"))</f>
        <v/>
      </c>
      <c r="I283" s="35" t="str">
        <f>IF(Liens!H278="","",IF(COUNTIF(Mots!A:A,Liens!H278)&gt;0,"✓ "&amp;Liens!H278,"✗ "&amp;Liens!H278&amp;" (introuvable)"))</f>
        <v/>
      </c>
    </row>
    <row r="284" spans="1:9" x14ac:dyDescent="0.3">
      <c r="A284">
        <f t="shared" si="1"/>
        <v>279</v>
      </c>
      <c r="B284" s="35" t="str">
        <f>IF(Liens!A279="","",IF(COUNTIF(Mots!A:A,Liens!A279)&gt;0,"✓ "&amp;Liens!A279,"✗ "&amp;Liens!A279&amp;" (introuvable)"))</f>
        <v>✓ dedans</v>
      </c>
      <c r="C284" s="35" t="str">
        <f>IF(Liens!B279="","",IF(COUNTIF(Mots!A:A,Liens!B279)&gt;0,"✓ "&amp;Liens!B279,"✗ "&amp;Liens!B279&amp;" (introuvable)"))</f>
        <v>✓ interieur</v>
      </c>
      <c r="D284" s="35" t="str">
        <f>IF(Liens!C279="","",IF(COUNTIF(Mots!A:A,Liens!C279)&gt;0,"✓ "&amp;Liens!C279,"✗ "&amp;Liens!C279&amp;" (introuvable)"))</f>
        <v>✓ dehors</v>
      </c>
      <c r="E284" s="35" t="str">
        <f>IF(Liens!D279="","",IF(COUNTIF(Mots!A:A,Liens!D279)&gt;0,"✓ "&amp;Liens!D279,"✗ "&amp;Liens!D279&amp;" (introuvable)"))</f>
        <v>✓ exterieur</v>
      </c>
      <c r="F284" s="35" t="str">
        <f>IF(Liens!E279="","",IF(COUNTIF(Mots!A:A,Liens!E279)&gt;0,"✓ "&amp;Liens!E279,"✗ "&amp;Liens!E279&amp;" (introuvable)"))</f>
        <v/>
      </c>
      <c r="G284" s="35" t="str">
        <f>IF(Liens!F279="","",IF(COUNTIF(Mots!A:A,Liens!F279)&gt;0,"✓ "&amp;Liens!F279,"✗ "&amp;Liens!F279&amp;" (introuvable)"))</f>
        <v/>
      </c>
      <c r="H284" s="35" t="str">
        <f>IF(Liens!G279="","",IF(COUNTIF(Mots!A:A,Liens!G279)&gt;0,"✓ "&amp;Liens!G279,"✗ "&amp;Liens!G279&amp;" (introuvable)"))</f>
        <v/>
      </c>
      <c r="I284" s="35" t="str">
        <f>IF(Liens!H279="","",IF(COUNTIF(Mots!A:A,Liens!H279)&gt;0,"✓ "&amp;Liens!H279,"✗ "&amp;Liens!H279&amp;" (introuvable)"))</f>
        <v/>
      </c>
    </row>
    <row r="285" spans="1:9" x14ac:dyDescent="0.3">
      <c r="A285">
        <f t="shared" si="1"/>
        <v>280</v>
      </c>
      <c r="B285" s="35" t="str">
        <f>IF(Liens!A280="","",IF(COUNTIF(Mots!A:A,Liens!A280)&gt;0,"✓ "&amp;Liens!A280,"✗ "&amp;Liens!A280&amp;" (introuvable)"))</f>
        <v>✓ degat</v>
      </c>
      <c r="C285" s="35" t="str">
        <f>IF(Liens!B280="","",IF(COUNTIF(Mots!A:A,Liens!B280)&gt;0,"✓ "&amp;Liens!B280,"✗ "&amp;Liens!B280&amp;" (introuvable)"))</f>
        <v>✓ accident</v>
      </c>
      <c r="D285" s="35" t="str">
        <f>IF(Liens!C280="","",IF(COUNTIF(Mots!A:A,Liens!C280)&gt;0,"✓ "&amp;Liens!C280,"✗ "&amp;Liens!C280&amp;" (introuvable)"))</f>
        <v>✓ dommage</v>
      </c>
      <c r="E285" s="35" t="str">
        <f>IF(Liens!D280="","",IF(COUNTIF(Mots!A:A,Liens!D280)&gt;0,"✓ "&amp;Liens!D280,"✗ "&amp;Liens!D280&amp;" (introuvable)"))</f>
        <v>✓ probleme</v>
      </c>
      <c r="F285" s="35" t="str">
        <f>IF(Liens!E280="","",IF(COUNTIF(Mots!A:A,Liens!E280)&gt;0,"✓ "&amp;Liens!E280,"✗ "&amp;Liens!E280&amp;" (introuvable)"))</f>
        <v>✓ danger</v>
      </c>
      <c r="G285" s="35" t="str">
        <f>IF(Liens!F280="","",IF(COUNTIF(Mots!A:A,Liens!F280)&gt;0,"✓ "&amp;Liens!F280,"✗ "&amp;Liens!F280&amp;" (introuvable)"))</f>
        <v>✓ dangereux</v>
      </c>
      <c r="H285" s="35" t="str">
        <f>IF(Liens!G280="","",IF(COUNTIF(Mots!A:A,Liens!G280)&gt;0,"✓ "&amp;Liens!G280,"✗ "&amp;Liens!G280&amp;" (introuvable)"))</f>
        <v>✓ assurance_Helvetia</v>
      </c>
      <c r="I285" s="35" t="str">
        <f>IF(Liens!H280="","",IF(COUNTIF(Mots!A:A,Liens!H280)&gt;0,"✓ "&amp;Liens!H280,"✗ "&amp;Liens!H280&amp;" (introuvable)"))</f>
        <v>✓ assurance_mobiliere</v>
      </c>
    </row>
    <row r="286" spans="1:9" x14ac:dyDescent="0.3">
      <c r="A286">
        <f t="shared" si="1"/>
        <v>281</v>
      </c>
      <c r="B286" s="35" t="str">
        <f>IF(Liens!A281="","",IF(COUNTIF(Mots!A:A,Liens!A281)&gt;0,"✓ "&amp;Liens!A281,"✗ "&amp;Liens!A281&amp;" (introuvable)"))</f>
        <v>✓ degre</v>
      </c>
      <c r="C286" s="35" t="str">
        <f>IF(Liens!B281="","",IF(COUNTIF(Mots!A:A,Liens!B281)&gt;0,"✓ "&amp;Liens!B281,"✗ "&amp;Liens!B281&amp;" (introuvable)"))</f>
        <v>✓ unite</v>
      </c>
      <c r="D286" s="35" t="str">
        <f>IF(Liens!C281="","",IF(COUNTIF(Mots!A:A,Liens!C281)&gt;0,"✓ "&amp;Liens!C281,"✗ "&amp;Liens!C281&amp;" (introuvable)"))</f>
        <v>✓ temperature</v>
      </c>
      <c r="E286" s="35" t="str">
        <f>IF(Liens!D281="","",IF(COUNTIF(Mots!A:A,Liens!D281)&gt;0,"✓ "&amp;Liens!D281,"✗ "&amp;Liens!D281&amp;" (introuvable)"))</f>
        <v>✓ chaleur</v>
      </c>
      <c r="F286" s="35" t="str">
        <f>IF(Liens!E281="","",IF(COUNTIF(Mots!A:A,Liens!E281)&gt;0,"✓ "&amp;Liens!E281,"✗ "&amp;Liens!E281&amp;" (introuvable)"))</f>
        <v>✓ thermometre</v>
      </c>
      <c r="G286" s="35" t="str">
        <f>IF(Liens!F281="","",IF(COUNTIF(Mots!A:A,Liens!F281)&gt;0,"✓ "&amp;Liens!F281,"✗ "&amp;Liens!F281&amp;" (introuvable)"))</f>
        <v/>
      </c>
      <c r="H286" s="35" t="str">
        <f>IF(Liens!G281="","",IF(COUNTIF(Mots!A:A,Liens!G281)&gt;0,"✓ "&amp;Liens!G281,"✗ "&amp;Liens!G281&amp;" (introuvable)"))</f>
        <v/>
      </c>
      <c r="I286" s="35" t="str">
        <f>IF(Liens!H281="","",IF(COUNTIF(Mots!A:A,Liens!H281)&gt;0,"✓ "&amp;Liens!H281,"✗ "&amp;Liens!H281&amp;" (introuvable)"))</f>
        <v/>
      </c>
    </row>
    <row r="287" spans="1:9" x14ac:dyDescent="0.3">
      <c r="A287">
        <f t="shared" si="1"/>
        <v>282</v>
      </c>
      <c r="B287" s="35" t="str">
        <f>IF(Liens!A282="","",IF(COUNTIF(Mots!A:A,Liens!A282)&gt;0,"✓ "&amp;Liens!A282,"✗ "&amp;Liens!A282&amp;" (introuvable)"))</f>
        <v>✓ dehors</v>
      </c>
      <c r="C287" s="35" t="str">
        <f>IF(Liens!B282="","",IF(COUNTIF(Mots!A:A,Liens!B282)&gt;0,"✓ "&amp;Liens!B282,"✗ "&amp;Liens!B282&amp;" (introuvable)"))</f>
        <v>✓ exterieur</v>
      </c>
      <c r="D287" s="35" t="str">
        <f>IF(Liens!C282="","",IF(COUNTIF(Mots!A:A,Liens!C282)&gt;0,"✓ "&amp;Liens!C282,"✗ "&amp;Liens!C282&amp;" (introuvable)"))</f>
        <v>✓ dedans</v>
      </c>
      <c r="E287" s="35" t="str">
        <f>IF(Liens!D282="","",IF(COUNTIF(Mots!A:A,Liens!D282)&gt;0,"✓ "&amp;Liens!D282,"✗ "&amp;Liens!D282&amp;" (introuvable)"))</f>
        <v>✓ interieur</v>
      </c>
      <c r="F287" s="35" t="str">
        <f>IF(Liens!E282="","",IF(COUNTIF(Mots!A:A,Liens!E282)&gt;0,"✓ "&amp;Liens!E282,"✗ "&amp;Liens!E282&amp;" (introuvable)"))</f>
        <v/>
      </c>
      <c r="G287" s="35" t="str">
        <f>IF(Liens!F282="","",IF(COUNTIF(Mots!A:A,Liens!F282)&gt;0,"✓ "&amp;Liens!F282,"✗ "&amp;Liens!F282&amp;" (introuvable)"))</f>
        <v/>
      </c>
      <c r="H287" s="35" t="str">
        <f>IF(Liens!G282="","",IF(COUNTIF(Mots!A:A,Liens!G282)&gt;0,"✓ "&amp;Liens!G282,"✗ "&amp;Liens!G282&amp;" (introuvable)"))</f>
        <v/>
      </c>
      <c r="I287" s="35" t="str">
        <f>IF(Liens!H282="","",IF(COUNTIF(Mots!A:A,Liens!H282)&gt;0,"✓ "&amp;Liens!H282,"✗ "&amp;Liens!H282&amp;" (introuvable)"))</f>
        <v/>
      </c>
    </row>
    <row r="288" spans="1:9" x14ac:dyDescent="0.3">
      <c r="A288">
        <f t="shared" si="1"/>
        <v>283</v>
      </c>
      <c r="B288" s="35" t="str">
        <f>IF(Liens!A283="","",IF(COUNTIF(Mots!A:A,Liens!A283)&gt;0,"✓ "&amp;Liens!A283,"✗ "&amp;Liens!A283&amp;" (introuvable)"))</f>
        <v>✓ deja</v>
      </c>
      <c r="C288" s="35" t="str">
        <f>IF(Liens!B283="","",IF(COUNTIF(Mots!A:A,Liens!B283)&gt;0,"✓ "&amp;Liens!B283,"✗ "&amp;Liens!B283&amp;" (introuvable)"))</f>
        <v>✓ tot</v>
      </c>
      <c r="D288" s="35" t="str">
        <f>IF(Liens!C283="","",IF(COUNTIF(Mots!A:A,Liens!C283)&gt;0,"✓ "&amp;Liens!C283,"✗ "&amp;Liens!C283&amp;" (introuvable)"))</f>
        <v>✓ encore</v>
      </c>
      <c r="E288" s="35" t="str">
        <f>IF(Liens!D283="","",IF(COUNTIF(Mots!A:A,Liens!D283)&gt;0,"✓ "&amp;Liens!D283,"✗ "&amp;Liens!D283&amp;" (introuvable)"))</f>
        <v>✓ bientot</v>
      </c>
      <c r="F288" s="35" t="str">
        <f>IF(Liens!E283="","",IF(COUNTIF(Mots!A:A,Liens!E283)&gt;0,"✓ "&amp;Liens!E283,"✗ "&amp;Liens!E283&amp;" (introuvable)"))</f>
        <v>✓ v_partir</v>
      </c>
      <c r="G288" s="35" t="str">
        <f>IF(Liens!F283="","",IF(COUNTIF(Mots!A:A,Liens!F283)&gt;0,"✓ "&amp;Liens!F283,"✗ "&amp;Liens!F283&amp;" (introuvable)"))</f>
        <v>✓ v_aller</v>
      </c>
      <c r="H288" s="35" t="str">
        <f>IF(Liens!G283="","",IF(COUNTIF(Mots!A:A,Liens!G283)&gt;0,"✓ "&amp;Liens!G283,"✗ "&amp;Liens!G283&amp;" (introuvable)"))</f>
        <v>✓ v_manger</v>
      </c>
      <c r="I288" s="35" t="str">
        <f>IF(Liens!H283="","",IF(COUNTIF(Mots!A:A,Liens!H283)&gt;0,"✓ "&amp;Liens!H283,"✗ "&amp;Liens!H283&amp;" (introuvable)"))</f>
        <v>✓ v_boire</v>
      </c>
    </row>
    <row r="289" spans="1:9" x14ac:dyDescent="0.3">
      <c r="A289">
        <f t="shared" si="1"/>
        <v>284</v>
      </c>
      <c r="B289" s="35" t="str">
        <f>IF(Liens!A284="","",IF(COUNTIF(Mots!A:A,Liens!A284)&gt;0,"✓ "&amp;Liens!A284,"✗ "&amp;Liens!A284&amp;" (introuvable)"))</f>
        <v>✓ dejeuner</v>
      </c>
      <c r="C289" s="35" t="str">
        <f>IF(Liens!B284="","",IF(COUNTIF(Mots!A:A,Liens!B284)&gt;0,"✓ "&amp;Liens!B284,"✗ "&amp;Liens!B284&amp;" (introuvable)"))</f>
        <v>✓ repas</v>
      </c>
      <c r="D289" s="35" t="str">
        <f>IF(Liens!C284="","",IF(COUNTIF(Mots!A:A,Liens!C284)&gt;0,"✓ "&amp;Liens!C284,"✗ "&amp;Liens!C284&amp;" (introuvable)"))</f>
        <v>✓ matin</v>
      </c>
      <c r="E289" s="35" t="str">
        <f>IF(Liens!D284="","",IF(COUNTIF(Mots!A:A,Liens!D284)&gt;0,"✓ "&amp;Liens!D284,"✗ "&amp;Liens!D284&amp;" (introuvable)"))</f>
        <v>✓ pain</v>
      </c>
      <c r="F289" s="35" t="str">
        <f>IF(Liens!E284="","",IF(COUNTIF(Mots!A:A,Liens!E284)&gt;0,"✓ "&amp;Liens!E284,"✗ "&amp;Liens!E284&amp;" (introuvable)"))</f>
        <v>✓ beurre</v>
      </c>
      <c r="G289" s="35" t="str">
        <f>IF(Liens!F284="","",IF(COUNTIF(Mots!A:A,Liens!F284)&gt;0,"✓ "&amp;Liens!F284,"✗ "&amp;Liens!F284&amp;" (introuvable)"))</f>
        <v>✓ confiture</v>
      </c>
      <c r="H289" s="35" t="str">
        <f>IF(Liens!G284="","",IF(COUNTIF(Mots!A:A,Liens!G284)&gt;0,"✓ "&amp;Liens!G284,"✗ "&amp;Liens!G284&amp;" (introuvable)"))</f>
        <v>✓ yogurt</v>
      </c>
      <c r="I289" s="35" t="str">
        <f>IF(Liens!H284="","",IF(COUNTIF(Mots!A:A,Liens!H284)&gt;0,"✓ "&amp;Liens!H284,"✗ "&amp;Liens!H284&amp;" (introuvable)"))</f>
        <v>✓ jus_dorange</v>
      </c>
    </row>
    <row r="290" spans="1:9" x14ac:dyDescent="0.3">
      <c r="A290">
        <f t="shared" si="1"/>
        <v>285</v>
      </c>
      <c r="B290" s="35" t="str">
        <f>IF(Liens!A285="","",IF(COUNTIF(Mots!A:A,Liens!A285)&gt;0,"✓ "&amp;Liens!A285,"✗ "&amp;Liens!A285&amp;" (introuvable)"))</f>
        <v>✓ demain</v>
      </c>
      <c r="C290" s="35" t="str">
        <f>IF(Liens!B285="","",IF(COUNTIF(Mots!A:A,Liens!B285)&gt;0,"✓ "&amp;Liens!B285,"✗ "&amp;Liens!B285&amp;" (introuvable)"))</f>
        <v>✓ aujourd_hui</v>
      </c>
      <c r="D290" s="35" t="str">
        <f>IF(Liens!C285="","",IF(COUNTIF(Mots!A:A,Liens!C285)&gt;0,"✓ "&amp;Liens!C285,"✗ "&amp;Liens!C285&amp;" (introuvable)"))</f>
        <v>✓ hier</v>
      </c>
      <c r="E290" s="35" t="str">
        <f>IF(Liens!D285="","",IF(COUNTIF(Mots!A:A,Liens!D285)&gt;0,"✓ "&amp;Liens!D285,"✗ "&amp;Liens!D285&amp;" (introuvable)"))</f>
        <v/>
      </c>
      <c r="F290" s="35" t="str">
        <f>IF(Liens!E285="","",IF(COUNTIF(Mots!A:A,Liens!E285)&gt;0,"✓ "&amp;Liens!E285,"✗ "&amp;Liens!E285&amp;" (introuvable)"))</f>
        <v/>
      </c>
      <c r="G290" s="35" t="str">
        <f>IF(Liens!F285="","",IF(COUNTIF(Mots!A:A,Liens!F285)&gt;0,"✓ "&amp;Liens!F285,"✗ "&amp;Liens!F285&amp;" (introuvable)"))</f>
        <v/>
      </c>
      <c r="H290" s="35" t="str">
        <f>IF(Liens!G285="","",IF(COUNTIF(Mots!A:A,Liens!G285)&gt;0,"✓ "&amp;Liens!G285,"✗ "&amp;Liens!G285&amp;" (introuvable)"))</f>
        <v/>
      </c>
      <c r="I290" s="35" t="str">
        <f>IF(Liens!H285="","",IF(COUNTIF(Mots!A:A,Liens!H285)&gt;0,"✓ "&amp;Liens!H285,"✗ "&amp;Liens!H285&amp;" (introuvable)"))</f>
        <v/>
      </c>
    </row>
    <row r="291" spans="1:9" x14ac:dyDescent="0.3">
      <c r="A291">
        <f t="shared" si="1"/>
        <v>286</v>
      </c>
      <c r="B291" s="35" t="str">
        <f>IF(Liens!A286="","",IF(COUNTIF(Mots!A:A,Liens!A286)&gt;0,"✓ "&amp;Liens!A286,"✗ "&amp;Liens!A286&amp;" (introuvable)"))</f>
        <v>✓ dent</v>
      </c>
      <c r="C291" s="35" t="str">
        <f>IF(Liens!B286="","",IF(COUNTIF(Mots!A:A,Liens!B286)&gt;0,"✓ "&amp;Liens!B286,"✗ "&amp;Liens!B286&amp;" (introuvable)"))</f>
        <v>✓ corps_humain</v>
      </c>
      <c r="D291" s="35" t="str">
        <f>IF(Liens!C286="","",IF(COUNTIF(Mots!A:A,Liens!C286)&gt;0,"✓ "&amp;Liens!C286,"✗ "&amp;Liens!C286&amp;" (introuvable)"))</f>
        <v>✓ tete</v>
      </c>
      <c r="E291" s="35" t="str">
        <f>IF(Liens!D286="","",IF(COUNTIF(Mots!A:A,Liens!D286)&gt;0,"✓ "&amp;Liens!D286,"✗ "&amp;Liens!D286&amp;" (introuvable)"))</f>
        <v>✓ bouche</v>
      </c>
      <c r="F291" s="35" t="str">
        <f>IF(Liens!E286="","",IF(COUNTIF(Mots!A:A,Liens!E286)&gt;0,"✓ "&amp;Liens!E286,"✗ "&amp;Liens!E286&amp;" (introuvable)"))</f>
        <v>✓ a_dur_mou</v>
      </c>
      <c r="G291" s="35" t="str">
        <f>IF(Liens!F286="","",IF(COUNTIF(Mots!A:A,Liens!F286)&gt;0,"✓ "&amp;Liens!F286,"✗ "&amp;Liens!F286&amp;" (introuvable)"))</f>
        <v>✓ v_manger</v>
      </c>
      <c r="H291" s="35" t="str">
        <f>IF(Liens!G286="","",IF(COUNTIF(Mots!A:A,Liens!G286)&gt;0,"✓ "&amp;Liens!G286,"✗ "&amp;Liens!G286&amp;" (introuvable)"))</f>
        <v/>
      </c>
      <c r="I291" s="35" t="str">
        <f>IF(Liens!H286="","",IF(COUNTIF(Mots!A:A,Liens!H286)&gt;0,"✓ "&amp;Liens!H286,"✗ "&amp;Liens!H286&amp;" (introuvable)"))</f>
        <v/>
      </c>
    </row>
    <row r="292" spans="1:9" x14ac:dyDescent="0.3">
      <c r="A292">
        <f t="shared" si="1"/>
        <v>287</v>
      </c>
      <c r="B292" s="35" t="str">
        <f>IF(Liens!A287="","",IF(COUNTIF(Mots!A:A,Liens!A287)&gt;0,"✓ "&amp;Liens!A287,"✗ "&amp;Liens!A287&amp;" (introuvable)"))</f>
        <v>✓ desir</v>
      </c>
      <c r="C292" s="35" t="str">
        <f>IF(Liens!B287="","",IF(COUNTIF(Mots!A:A,Liens!B287)&gt;0,"✓ "&amp;Liens!B287,"✗ "&amp;Liens!B287&amp;" (introuvable)"))</f>
        <v>✓ v_vouloir</v>
      </c>
      <c r="D292" s="35" t="str">
        <f>IF(Liens!C287="","",IF(COUNTIF(Mots!A:A,Liens!C287)&gt;0,"✓ "&amp;Liens!C287,"✗ "&amp;Liens!C287&amp;" (introuvable)"))</f>
        <v>✓ envie</v>
      </c>
      <c r="E292" s="35" t="str">
        <f>IF(Liens!D287="","",IF(COUNTIF(Mots!A:A,Liens!D287)&gt;0,"✓ "&amp;Liens!D287,"✗ "&amp;Liens!D287&amp;" (introuvable)"))</f>
        <v>✓ v_choisir</v>
      </c>
      <c r="F292" s="35" t="str">
        <f>IF(Liens!E287="","",IF(COUNTIF(Mots!A:A,Liens!E287)&gt;0,"✓ "&amp;Liens!E287,"✗ "&amp;Liens!E287&amp;" (introuvable)"))</f>
        <v>✓ v_manger</v>
      </c>
      <c r="G292" s="35" t="str">
        <f>IF(Liens!F287="","",IF(COUNTIF(Mots!A:A,Liens!F287)&gt;0,"✓ "&amp;Liens!F287,"✗ "&amp;Liens!F287&amp;" (introuvable)"))</f>
        <v>✓ v_boire</v>
      </c>
      <c r="H292" s="35" t="str">
        <f>IF(Liens!G287="","",IF(COUNTIF(Mots!A:A,Liens!G287)&gt;0,"✓ "&amp;Liens!G287,"✗ "&amp;Liens!G287&amp;" (introuvable)"))</f>
        <v>✓ v_acheter</v>
      </c>
      <c r="I292" s="35" t="str">
        <f>IF(Liens!H287="","",IF(COUNTIF(Mots!A:A,Liens!H287)&gt;0,"✓ "&amp;Liens!H287,"✗ "&amp;Liens!H287&amp;" (introuvable)"))</f>
        <v>✓ souhait</v>
      </c>
    </row>
    <row r="293" spans="1:9" x14ac:dyDescent="0.3">
      <c r="A293">
        <f t="shared" si="1"/>
        <v>288</v>
      </c>
      <c r="B293" s="35" t="str">
        <f>IF(Liens!A288="","",IF(COUNTIF(Mots!A:A,Liens!A288)&gt;0,"✓ "&amp;Liens!A288,"✗ "&amp;Liens!A288&amp;" (introuvable)"))</f>
        <v>✓ dessert</v>
      </c>
      <c r="C293" s="35" t="str">
        <f>IF(Liens!B288="","",IF(COUNTIF(Mots!A:A,Liens!B288)&gt;0,"✓ "&amp;Liens!B288,"✗ "&amp;Liens!B288&amp;" (introuvable)"))</f>
        <v>✓ plat</v>
      </c>
      <c r="D293" s="35" t="str">
        <f>IF(Liens!C288="","",IF(COUNTIF(Mots!A:A,Liens!C288)&gt;0,"✓ "&amp;Liens!C288,"✗ "&amp;Liens!C288&amp;" (introuvable)"))</f>
        <v>✓ repas</v>
      </c>
      <c r="E293" s="35" t="str">
        <f>IF(Liens!D288="","",IF(COUNTIF(Mots!A:A,Liens!D288)&gt;0,"✓ "&amp;Liens!D288,"✗ "&amp;Liens!D288&amp;" (introuvable)"))</f>
        <v>✓ fin</v>
      </c>
      <c r="F293" s="35" t="str">
        <f>IF(Liens!E288="","",IF(COUNTIF(Mots!A:A,Liens!E288)&gt;0,"✓ "&amp;Liens!E288,"✗ "&amp;Liens!E288&amp;" (introuvable)"))</f>
        <v>✓ repas</v>
      </c>
      <c r="G293" s="35" t="str">
        <f>IF(Liens!F288="","",IF(COUNTIF(Mots!A:A,Liens!F288)&gt;0,"✓ "&amp;Liens!F288,"✗ "&amp;Liens!F288&amp;" (introuvable)"))</f>
        <v>✓ sucre</v>
      </c>
      <c r="H293" s="35" t="str">
        <f>IF(Liens!G288="","",IF(COUNTIF(Mots!A:A,Liens!G288)&gt;0,"✓ "&amp;Liens!G288,"✗ "&amp;Liens!G288&amp;" (introuvable)"))</f>
        <v>✓ tiramisu</v>
      </c>
      <c r="I293" s="35" t="str">
        <f>IF(Liens!H288="","",IF(COUNTIF(Mots!A:A,Liens!H288)&gt;0,"✓ "&amp;Liens!H288,"✗ "&amp;Liens!H288&amp;" (introuvable)"))</f>
        <v>✓ coupe_fraises</v>
      </c>
    </row>
    <row r="294" spans="1:9" x14ac:dyDescent="0.3">
      <c r="A294">
        <f t="shared" si="1"/>
        <v>289</v>
      </c>
      <c r="B294" s="35" t="str">
        <f>IF(Liens!A289="","",IF(COUNTIF(Mots!A:A,Liens!A289)&gt;0,"✓ "&amp;Liens!A289,"✗ "&amp;Liens!A289&amp;" (introuvable)"))</f>
        <v>✓ devoir</v>
      </c>
      <c r="C294" s="35" t="str">
        <f>IF(Liens!B289="","",IF(COUNTIF(Mots!A:A,Liens!B289)&gt;0,"✓ "&amp;Liens!B289,"✗ "&amp;Liens!B289&amp;" (introuvable)"))</f>
        <v>✓ travail</v>
      </c>
      <c r="D294" s="35" t="str">
        <f>IF(Liens!C289="","",IF(COUNTIF(Mots!A:A,Liens!C289)&gt;0,"✓ "&amp;Liens!C289,"✗ "&amp;Liens!C289&amp;" (introuvable)"))</f>
        <v>✓ maison</v>
      </c>
      <c r="E294" s="35" t="str">
        <f>IF(Liens!D289="","",IF(COUNTIF(Mots!A:A,Liens!D289)&gt;0,"✓ "&amp;Liens!D289,"✗ "&amp;Liens!D289&amp;" (introuvable)"))</f>
        <v>✓ eleve</v>
      </c>
      <c r="F294" s="35" t="str">
        <f>IF(Liens!E289="","",IF(COUNTIF(Mots!A:A,Liens!E289)&gt;0,"✓ "&amp;Liens!E289,"✗ "&amp;Liens!E289&amp;" (introuvable)"))</f>
        <v>✓ v_apprendre</v>
      </c>
      <c r="G294" s="35" t="str">
        <f>IF(Liens!F289="","",IF(COUNTIF(Mots!A:A,Liens!F289)&gt;0,"✓ "&amp;Liens!F289,"✗ "&amp;Liens!F289&amp;" (introuvable)"))</f>
        <v>✓ v_lire</v>
      </c>
      <c r="H294" s="35" t="str">
        <f>IF(Liens!G289="","",IF(COUNTIF(Mots!A:A,Liens!G289)&gt;0,"✓ "&amp;Liens!G289,"✗ "&amp;Liens!G289&amp;" (introuvable)"))</f>
        <v>✓ calcul</v>
      </c>
      <c r="I294" s="35" t="str">
        <f>IF(Liens!H289="","",IF(COUNTIF(Mots!A:A,Liens!H289)&gt;0,"✓ "&amp;Liens!H289,"✗ "&amp;Liens!H289&amp;" (introuvable)"))</f>
        <v>✓ somme</v>
      </c>
    </row>
    <row r="295" spans="1:9" x14ac:dyDescent="0.3">
      <c r="A295">
        <f t="shared" si="1"/>
        <v>290</v>
      </c>
      <c r="B295" s="35" t="str">
        <f>IF(Liens!A290="","",IF(COUNTIF(Mots!A:A,Liens!A290)&gt;0,"✓ "&amp;Liens!A290,"✗ "&amp;Liens!A290&amp;" (introuvable)"))</f>
        <v>✓ difference</v>
      </c>
      <c r="C295" s="35" t="str">
        <f>IF(Liens!B290="","",IF(COUNTIF(Mots!A:A,Liens!B290)&gt;0,"✓ "&amp;Liens!B290,"✗ "&amp;Liens!B290&amp;" (introuvable)"))</f>
        <v>✓ v_comparer</v>
      </c>
      <c r="D295" s="35" t="str">
        <f>IF(Liens!C290="","",IF(COUNTIF(Mots!A:A,Liens!C290)&gt;0,"✓ "&amp;Liens!C290,"✗ "&amp;Liens!C290&amp;" (introuvable)"))</f>
        <v>✓ a_different</v>
      </c>
      <c r="E295" s="35" t="str">
        <f>IF(Liens!D290="","",IF(COUNTIF(Mots!A:A,Liens!D290)&gt;0,"✓ "&amp;Liens!D290,"✗ "&amp;Liens!D290&amp;" (introuvable)"))</f>
        <v/>
      </c>
      <c r="F295" s="35" t="str">
        <f>IF(Liens!E290="","",IF(COUNTIF(Mots!A:A,Liens!E290)&gt;0,"✓ "&amp;Liens!E290,"✗ "&amp;Liens!E290&amp;" (introuvable)"))</f>
        <v/>
      </c>
      <c r="G295" s="35" t="str">
        <f>IF(Liens!F290="","",IF(COUNTIF(Mots!A:A,Liens!F290)&gt;0,"✓ "&amp;Liens!F290,"✗ "&amp;Liens!F290&amp;" (introuvable)"))</f>
        <v/>
      </c>
      <c r="H295" s="35" t="str">
        <f>IF(Liens!G290="","",IF(COUNTIF(Mots!A:A,Liens!G290)&gt;0,"✓ "&amp;Liens!G290,"✗ "&amp;Liens!G290&amp;" (introuvable)"))</f>
        <v/>
      </c>
      <c r="I295" s="35" t="str">
        <f>IF(Liens!H290="","",IF(COUNTIF(Mots!A:A,Liens!H290)&gt;0,"✓ "&amp;Liens!H290,"✗ "&amp;Liens!H290&amp;" (introuvable)"))</f>
        <v/>
      </c>
    </row>
    <row r="296" spans="1:9" x14ac:dyDescent="0.3">
      <c r="A296">
        <f t="shared" si="1"/>
        <v>291</v>
      </c>
      <c r="B296" s="35" t="str">
        <f>IF(Liens!A291="","",IF(COUNTIF(Mots!A:A,Liens!A291)&gt;0,"✓ "&amp;Liens!A291,"✗ "&amp;Liens!A291&amp;" (introuvable)"))</f>
        <v>✓ diner</v>
      </c>
      <c r="C296" s="35" t="str">
        <f>IF(Liens!B291="","",IF(COUNTIF(Mots!A:A,Liens!B291)&gt;0,"✓ "&amp;Liens!B291,"✗ "&amp;Liens!B291&amp;" (introuvable)"))</f>
        <v>✓ repas</v>
      </c>
      <c r="D296" s="35" t="str">
        <f>IF(Liens!C291="","",IF(COUNTIF(Mots!A:A,Liens!C291)&gt;0,"✓ "&amp;Liens!C291,"✗ "&amp;Liens!C291&amp;" (introuvable)"))</f>
        <v>✓ midi</v>
      </c>
      <c r="E296" s="35" t="str">
        <f>IF(Liens!D291="","",IF(COUNTIF(Mots!A:A,Liens!D291)&gt;0,"✓ "&amp;Liens!D291,"✗ "&amp;Liens!D291&amp;" (introuvable)"))</f>
        <v>✓ v_manger</v>
      </c>
      <c r="F296" s="35" t="str">
        <f>IF(Liens!E291="","",IF(COUNTIF(Mots!A:A,Liens!E291)&gt;0,"✓ "&amp;Liens!E291,"✗ "&amp;Liens!E291&amp;" (introuvable)"))</f>
        <v>✓ restaurant</v>
      </c>
      <c r="G296" s="35" t="str">
        <f>IF(Liens!F291="","",IF(COUNTIF(Mots!A:A,Liens!F291)&gt;0,"✓ "&amp;Liens!F291,"✗ "&amp;Liens!F291&amp;" (introuvable)"))</f>
        <v/>
      </c>
      <c r="H296" s="35" t="str">
        <f>IF(Liens!G291="","",IF(COUNTIF(Mots!A:A,Liens!G291)&gt;0,"✓ "&amp;Liens!G291,"✗ "&amp;Liens!G291&amp;" (introuvable)"))</f>
        <v/>
      </c>
      <c r="I296" s="35" t="str">
        <f>IF(Liens!H291="","",IF(COUNTIF(Mots!A:A,Liens!H291)&gt;0,"✓ "&amp;Liens!H291,"✗ "&amp;Liens!H291&amp;" (introuvable)"))</f>
        <v/>
      </c>
    </row>
    <row r="297" spans="1:9" x14ac:dyDescent="0.3">
      <c r="A297">
        <f t="shared" si="1"/>
        <v>292</v>
      </c>
      <c r="B297" s="35" t="str">
        <f>IF(Liens!A292="","",IF(COUNTIF(Mots!A:A,Liens!A292)&gt;0,"✓ "&amp;Liens!A292,"✗ "&amp;Liens!A292&amp;" (introuvable)"))</f>
        <v>✓ disponible</v>
      </c>
      <c r="C297" s="35" t="str">
        <f>IF(Liens!B292="","",IF(COUNTIF(Mots!A:A,Liens!B292)&gt;0,"✓ "&amp;Liens!B292,"✗ "&amp;Liens!B292&amp;" (introuvable)"))</f>
        <v>✓ a_libre_occupe</v>
      </c>
      <c r="D297" s="35" t="str">
        <f>IF(Liens!C292="","",IF(COUNTIF(Mots!A:A,Liens!C292)&gt;0,"✓ "&amp;Liens!C292,"✗ "&amp;Liens!C292&amp;" (introuvable)"))</f>
        <v/>
      </c>
      <c r="E297" s="35" t="str">
        <f>IF(Liens!D292="","",IF(COUNTIF(Mots!A:A,Liens!D292)&gt;0,"✓ "&amp;Liens!D292,"✗ "&amp;Liens!D292&amp;" (introuvable)"))</f>
        <v/>
      </c>
      <c r="F297" s="35" t="str">
        <f>IF(Liens!E292="","",IF(COUNTIF(Mots!A:A,Liens!E292)&gt;0,"✓ "&amp;Liens!E292,"✗ "&amp;Liens!E292&amp;" (introuvable)"))</f>
        <v/>
      </c>
      <c r="G297" s="35" t="str">
        <f>IF(Liens!F292="","",IF(COUNTIF(Mots!A:A,Liens!F292)&gt;0,"✓ "&amp;Liens!F292,"✗ "&amp;Liens!F292&amp;" (introuvable)"))</f>
        <v/>
      </c>
      <c r="H297" s="35" t="str">
        <f>IF(Liens!G292="","",IF(COUNTIF(Mots!A:A,Liens!G292)&gt;0,"✓ "&amp;Liens!G292,"✗ "&amp;Liens!G292&amp;" (introuvable)"))</f>
        <v/>
      </c>
      <c r="I297" s="35" t="str">
        <f>IF(Liens!H292="","",IF(COUNTIF(Mots!A:A,Liens!H292)&gt;0,"✓ "&amp;Liens!H292,"✗ "&amp;Liens!H292&amp;" (introuvable)"))</f>
        <v/>
      </c>
    </row>
    <row r="298" spans="1:9" x14ac:dyDescent="0.3">
      <c r="A298">
        <f t="shared" si="1"/>
        <v>293</v>
      </c>
      <c r="B298" s="35" t="str">
        <f>IF(Liens!A293="","",IF(COUNTIF(Mots!A:A,Liens!A293)&gt;0,"✓ "&amp;Liens!A293,"✗ "&amp;Liens!A293&amp;" (introuvable)"))</f>
        <v>✓ dispute</v>
      </c>
      <c r="C298" s="35" t="str">
        <f>IF(Liens!B293="","",IF(COUNTIF(Mots!A:A,Liens!B293)&gt;0,"✓ "&amp;Liens!B293,"✗ "&amp;Liens!B293&amp;" (introuvable)"))</f>
        <v>✓ accord</v>
      </c>
      <c r="D298" s="35" t="str">
        <f>IF(Liens!C293="","",IF(COUNTIF(Mots!A:A,Liens!C293)&gt;0,"✓ "&amp;Liens!C293,"✗ "&amp;Liens!C293&amp;" (introuvable)"))</f>
        <v>✓ v_crier</v>
      </c>
      <c r="E298" s="35" t="str">
        <f>IF(Liens!D293="","",IF(COUNTIF(Mots!A:A,Liens!D293)&gt;0,"✓ "&amp;Liens!D293,"✗ "&amp;Liens!D293&amp;" (introuvable)"))</f>
        <v>✓ a_calme_agite</v>
      </c>
      <c r="F298" s="35" t="str">
        <f>IF(Liens!E293="","",IF(COUNTIF(Mots!A:A,Liens!E293)&gt;0,"✓ "&amp;Liens!E293,"✗ "&amp;Liens!E293&amp;" (introuvable)"))</f>
        <v>✓ bagarre</v>
      </c>
      <c r="G298" s="35" t="str">
        <f>IF(Liens!F293="","",IF(COUNTIF(Mots!A:A,Liens!F293)&gt;0,"✓ "&amp;Liens!F293,"✗ "&amp;Liens!F293&amp;" (introuvable)"))</f>
        <v>✓ v_frapper</v>
      </c>
      <c r="H298" s="35" t="str">
        <f>IF(Liens!G293="","",IF(COUNTIF(Mots!A:A,Liens!G293)&gt;0,"✓ "&amp;Liens!G293,"✗ "&amp;Liens!G293&amp;" (introuvable)"))</f>
        <v>✓ main</v>
      </c>
      <c r="I298" s="35" t="str">
        <f>IF(Liens!H293="","",IF(COUNTIF(Mots!A:A,Liens!H293)&gt;0,"✓ "&amp;Liens!H293,"✗ "&amp;Liens!H293&amp;" (introuvable)"))</f>
        <v>✓ blessure</v>
      </c>
    </row>
    <row r="299" spans="1:9" x14ac:dyDescent="0.3">
      <c r="A299">
        <f t="shared" si="1"/>
        <v>294</v>
      </c>
      <c r="B299" s="35" t="str">
        <f>IF(Liens!A294="","",IF(COUNTIF(Mots!A:A,Liens!A294)&gt;0,"✓ "&amp;Liens!A294,"✗ "&amp;Liens!A294&amp;" (introuvable)"))</f>
        <v>✓ disque</v>
      </c>
      <c r="C299" s="35" t="str">
        <f>IF(Liens!B294="","",IF(COUNTIF(Mots!A:A,Liens!B294)&gt;0,"✓ "&amp;Liens!B294,"✗ "&amp;Liens!B294&amp;" (introuvable)"))</f>
        <v>✓ plat</v>
      </c>
      <c r="D299" s="35" t="str">
        <f>IF(Liens!C294="","",IF(COUNTIF(Mots!A:A,Liens!C294)&gt;0,"✓ "&amp;Liens!C294,"✗ "&amp;Liens!C294&amp;" (introuvable)"))</f>
        <v>✓ rond</v>
      </c>
      <c r="E299" s="35" t="str">
        <f>IF(Liens!D294="","",IF(COUNTIF(Mots!A:A,Liens!D294)&gt;0,"✓ "&amp;Liens!D294,"✗ "&amp;Liens!D294&amp;" (introuvable)"))</f>
        <v>✓ son</v>
      </c>
      <c r="F299" s="35" t="str">
        <f>IF(Liens!E294="","",IF(COUNTIF(Mots!A:A,Liens!E294)&gt;0,"✓ "&amp;Liens!E294,"✗ "&amp;Liens!E294&amp;" (introuvable)"))</f>
        <v>✓ chanteur</v>
      </c>
      <c r="G299" s="35" t="str">
        <f>IF(Liens!F294="","",IF(COUNTIF(Mots!A:A,Liens!F294)&gt;0,"✓ "&amp;Liens!F294,"✗ "&amp;Liens!F294&amp;" (introuvable)"))</f>
        <v>✓ chanson</v>
      </c>
      <c r="H299" s="35" t="str">
        <f>IF(Liens!G294="","",IF(COUNTIF(Mots!A:A,Liens!G294)&gt;0,"✓ "&amp;Liens!G294,"✗ "&amp;Liens!G294&amp;" (introuvable)"))</f>
        <v>✓ v_ecouter</v>
      </c>
      <c r="I299" s="35" t="str">
        <f>IF(Liens!H294="","",IF(COUNTIF(Mots!A:A,Liens!H294)&gt;0,"✓ "&amp;Liens!H294,"✗ "&amp;Liens!H294&amp;" (introuvable)"))</f>
        <v>✓ v_entendre</v>
      </c>
    </row>
    <row r="300" spans="1:9" x14ac:dyDescent="0.3">
      <c r="A300">
        <f t="shared" si="1"/>
        <v>295</v>
      </c>
      <c r="B300" s="35" t="str">
        <f>IF(Liens!A295="","",IF(COUNTIF(Mots!A:A,Liens!A295)&gt;0,"✓ "&amp;Liens!A295,"✗ "&amp;Liens!A295&amp;" (introuvable)"))</f>
        <v>✓ distance</v>
      </c>
      <c r="C300" s="35" t="str">
        <f>IF(Liens!B295="","",IF(COUNTIF(Mots!A:A,Liens!B295)&gt;0,"✓ "&amp;Liens!B295,"✗ "&amp;Liens!B295&amp;" (introuvable)"))</f>
        <v>✓ loin</v>
      </c>
      <c r="D300" s="35" t="str">
        <f>IF(Liens!C295="","",IF(COUNTIF(Mots!A:A,Liens!C295)&gt;0,"✓ "&amp;Liens!C295,"✗ "&amp;Liens!C295&amp;" (introuvable)"))</f>
        <v>✓ pres</v>
      </c>
      <c r="E300" s="35" t="str">
        <f>IF(Liens!D295="","",IF(COUNTIF(Mots!A:A,Liens!D295)&gt;0,"✓ "&amp;Liens!D295,"✗ "&amp;Liens!D295&amp;" (introuvable)"))</f>
        <v>✓ a_proche_eloigne</v>
      </c>
      <c r="F300" s="35" t="str">
        <f>IF(Liens!E295="","",IF(COUNTIF(Mots!A:A,Liens!E295)&gt;0,"✓ "&amp;Liens!E295,"✗ "&amp;Liens!E295&amp;" (introuvable)"))</f>
        <v>✓ ici</v>
      </c>
      <c r="G300" s="35" t="str">
        <f>IF(Liens!F295="","",IF(COUNTIF(Mots!A:A,Liens!F295)&gt;0,"✓ "&amp;Liens!F295,"✗ "&amp;Liens!F295&amp;" (introuvable)"))</f>
        <v>✓ la</v>
      </c>
      <c r="H300" s="35" t="str">
        <f>IF(Liens!G295="","",IF(COUNTIF(Mots!A:A,Liens!G295)&gt;0,"✓ "&amp;Liens!G295,"✗ "&amp;Liens!G295&amp;" (introuvable)"))</f>
        <v>✓ ailleurs</v>
      </c>
      <c r="I300" s="35" t="str">
        <f>IF(Liens!H295="","",IF(COUNTIF(Mots!A:A,Liens!H295)&gt;0,"✓ "&amp;Liens!H295,"✗ "&amp;Liens!H295&amp;" (introuvable)"))</f>
        <v>✓ avion</v>
      </c>
    </row>
    <row r="301" spans="1:9" x14ac:dyDescent="0.3">
      <c r="A301">
        <f t="shared" si="1"/>
        <v>296</v>
      </c>
      <c r="B301" s="35" t="str">
        <f>IF(Liens!A296="","",IF(COUNTIF(Mots!A:A,Liens!A296)&gt;0,"✓ "&amp;Liens!A296,"✗ "&amp;Liens!A296&amp;" (introuvable)"))</f>
        <v>✓ document</v>
      </c>
      <c r="C301" s="35" t="str">
        <f>IF(Liens!B296="","",IF(COUNTIF(Mots!A:A,Liens!B296)&gt;0,"✓ "&amp;Liens!B296,"✗ "&amp;Liens!B296&amp;" (introuvable)"))</f>
        <v>✓ papier</v>
      </c>
      <c r="D301" s="35" t="str">
        <f>IF(Liens!C296="","",IF(COUNTIF(Mots!A:A,Liens!C296)&gt;0,"✓ "&amp;Liens!C296,"✗ "&amp;Liens!C296&amp;" (introuvable)"))</f>
        <v>✓ a_important</v>
      </c>
      <c r="E301" s="35" t="str">
        <f>IF(Liens!D296="","",IF(COUNTIF(Mots!A:A,Liens!D296)&gt;0,"✓ "&amp;Liens!D296,"✗ "&amp;Liens!D296&amp;" (introuvable)"))</f>
        <v>✓ preuve</v>
      </c>
      <c r="F301" s="35" t="str">
        <f>IF(Liens!E296="","",IF(COUNTIF(Mots!A:A,Liens!E296)&gt;0,"✓ "&amp;Liens!E296,"✗ "&amp;Liens!E296&amp;" (introuvable)"))</f>
        <v/>
      </c>
      <c r="G301" s="35" t="str">
        <f>IF(Liens!F296="","",IF(COUNTIF(Mots!A:A,Liens!F296)&gt;0,"✓ "&amp;Liens!F296,"✗ "&amp;Liens!F296&amp;" (introuvable)"))</f>
        <v/>
      </c>
      <c r="H301" s="35" t="str">
        <f>IF(Liens!G296="","",IF(COUNTIF(Mots!A:A,Liens!G296)&gt;0,"✓ "&amp;Liens!G296,"✗ "&amp;Liens!G296&amp;" (introuvable)"))</f>
        <v/>
      </c>
      <c r="I301" s="35" t="str">
        <f>IF(Liens!H296="","",IF(COUNTIF(Mots!A:A,Liens!H296)&gt;0,"✓ "&amp;Liens!H296,"✗ "&amp;Liens!H296&amp;" (introuvable)"))</f>
        <v/>
      </c>
    </row>
    <row r="302" spans="1:9" x14ac:dyDescent="0.3">
      <c r="A302">
        <f t="shared" si="1"/>
        <v>297</v>
      </c>
      <c r="B302" s="35" t="str">
        <f>IF(Liens!A297="","",IF(COUNTIF(Mots!A:A,Liens!A297)&gt;0,"✓ "&amp;Liens!A297,"✗ "&amp;Liens!A297&amp;" (introuvable)"))</f>
        <v>✓ doigt</v>
      </c>
      <c r="C302" s="35" t="str">
        <f>IF(Liens!B297="","",IF(COUNTIF(Mots!A:A,Liens!B297)&gt;0,"✓ "&amp;Liens!B297,"✗ "&amp;Liens!B297&amp;" (introuvable)"))</f>
        <v>✓ corps_humain</v>
      </c>
      <c r="D302" s="35" t="str">
        <f>IF(Liens!C297="","",IF(COUNTIF(Mots!A:A,Liens!C297)&gt;0,"✓ "&amp;Liens!C297,"✗ "&amp;Liens!C297&amp;" (introuvable)"))</f>
        <v>✓ bras</v>
      </c>
      <c r="E302" s="35" t="str">
        <f>IF(Liens!D297="","",IF(COUNTIF(Mots!A:A,Liens!D297)&gt;0,"✓ "&amp;Liens!D297,"✗ "&amp;Liens!D297&amp;" (introuvable)"))</f>
        <v>✓ main</v>
      </c>
      <c r="F302" s="35" t="str">
        <f>IF(Liens!E297="","",IF(COUNTIF(Mots!A:A,Liens!E297)&gt;0,"✓ "&amp;Liens!E297,"✗ "&amp;Liens!E297&amp;" (introuvable)"))</f>
        <v>✓ v_toucher</v>
      </c>
      <c r="G302" s="35" t="str">
        <f>IF(Liens!F297="","",IF(COUNTIF(Mots!A:A,Liens!F297)&gt;0,"✓ "&amp;Liens!F297,"✗ "&amp;Liens!F297&amp;" (introuvable)"))</f>
        <v>✓ geste</v>
      </c>
      <c r="H302" s="35" t="str">
        <f>IF(Liens!G297="","",IF(COUNTIF(Mots!A:A,Liens!G297)&gt;0,"✓ "&amp;Liens!G297,"✗ "&amp;Liens!G297&amp;" (introuvable)"))</f>
        <v/>
      </c>
      <c r="I302" s="35" t="str">
        <f>IF(Liens!H297="","",IF(COUNTIF(Mots!A:A,Liens!H297)&gt;0,"✓ "&amp;Liens!H297,"✗ "&amp;Liens!H297&amp;" (introuvable)"))</f>
        <v/>
      </c>
    </row>
    <row r="303" spans="1:9" x14ac:dyDescent="0.3">
      <c r="A303">
        <f t="shared" si="1"/>
        <v>298</v>
      </c>
      <c r="B303" s="35" t="str">
        <f>IF(Liens!A298="","",IF(COUNTIF(Mots!A:A,Liens!A298)&gt;0,"✓ "&amp;Liens!A298,"✗ "&amp;Liens!A298&amp;" (introuvable)"))</f>
        <v>✓ domestique</v>
      </c>
      <c r="C303" s="35" t="str">
        <f>IF(Liens!B298="","",IF(COUNTIF(Mots!A:A,Liens!B298)&gt;0,"✓ "&amp;Liens!B298,"✗ "&amp;Liens!B298&amp;" (introuvable)"))</f>
        <v>✓ a_humain</v>
      </c>
      <c r="D303" s="35" t="str">
        <f>IF(Liens!C298="","",IF(COUNTIF(Mots!A:A,Liens!C298)&gt;0,"✓ "&amp;Liens!C298,"✗ "&amp;Liens!C298&amp;" (introuvable)"))</f>
        <v>✓ chien</v>
      </c>
      <c r="E303" s="35" t="str">
        <f>IF(Liens!D298="","",IF(COUNTIF(Mots!A:A,Liens!D298)&gt;0,"✓ "&amp;Liens!D298,"✗ "&amp;Liens!D298&amp;" (introuvable)"))</f>
        <v>✓ chat</v>
      </c>
      <c r="F303" s="35" t="str">
        <f>IF(Liens!E298="","",IF(COUNTIF(Mots!A:A,Liens!E298)&gt;0,"✓ "&amp;Liens!E298,"✗ "&amp;Liens!E298&amp;" (introuvable)"))</f>
        <v/>
      </c>
      <c r="G303" s="35" t="str">
        <f>IF(Liens!F298="","",IF(COUNTIF(Mots!A:A,Liens!F298)&gt;0,"✓ "&amp;Liens!F298,"✗ "&amp;Liens!F298&amp;" (introuvable)"))</f>
        <v/>
      </c>
      <c r="H303" s="35" t="str">
        <f>IF(Liens!G298="","",IF(COUNTIF(Mots!A:A,Liens!G298)&gt;0,"✓ "&amp;Liens!G298,"✗ "&amp;Liens!G298&amp;" (introuvable)"))</f>
        <v/>
      </c>
      <c r="I303" s="35" t="str">
        <f>IF(Liens!H298="","",IF(COUNTIF(Mots!A:A,Liens!H298)&gt;0,"✓ "&amp;Liens!H298,"✗ "&amp;Liens!H298&amp;" (introuvable)"))</f>
        <v/>
      </c>
    </row>
    <row r="304" spans="1:9" x14ac:dyDescent="0.3">
      <c r="A304">
        <f t="shared" si="1"/>
        <v>299</v>
      </c>
      <c r="B304" s="35" t="str">
        <f>IF(Liens!A299="","",IF(COUNTIF(Mots!A:A,Liens!A299)&gt;0,"✓ "&amp;Liens!A299,"✗ "&amp;Liens!A299&amp;" (introuvable)"))</f>
        <v>✓ dommage</v>
      </c>
      <c r="C304" s="35" t="str">
        <f>IF(Liens!B299="","",IF(COUNTIF(Mots!A:A,Liens!B299)&gt;0,"✓ "&amp;Liens!B299,"✗ "&amp;Liens!B299&amp;" (introuvable)"))</f>
        <v>✓ degat</v>
      </c>
      <c r="D304" s="35" t="str">
        <f>IF(Liens!C299="","",IF(COUNTIF(Mots!A:A,Liens!C299)&gt;0,"✓ "&amp;Liens!C299,"✗ "&amp;Liens!C299&amp;" (introuvable)"))</f>
        <v>✓ voiture</v>
      </c>
      <c r="E304" s="35" t="str">
        <f>IF(Liens!D299="","",IF(COUNTIF(Mots!A:A,Liens!D299)&gt;0,"✓ "&amp;Liens!D299,"✗ "&amp;Liens!D299&amp;" (introuvable)"))</f>
        <v>✓ accident</v>
      </c>
      <c r="F304" s="35" t="str">
        <f>IF(Liens!E299="","",IF(COUNTIF(Mots!A:A,Liens!E299)&gt;0,"✓ "&amp;Liens!E299,"✗ "&amp;Liens!E299&amp;" (introuvable)"))</f>
        <v>✓ probleme</v>
      </c>
      <c r="G304" s="35" t="str">
        <f>IF(Liens!F299="","",IF(COUNTIF(Mots!A:A,Liens!F299)&gt;0,"✓ "&amp;Liens!F299,"✗ "&amp;Liens!F299&amp;" (introuvable)"))</f>
        <v>✓ assurance_Helvetia</v>
      </c>
      <c r="H304" s="35" t="str">
        <f>IF(Liens!G299="","",IF(COUNTIF(Mots!A:A,Liens!G299)&gt;0,"✓ "&amp;Liens!G299,"✗ "&amp;Liens!G299&amp;" (introuvable)"))</f>
        <v>✓ assurance_mobiliere</v>
      </c>
      <c r="I304" s="35" t="str">
        <f>IF(Liens!H299="","",IF(COUNTIF(Mots!A:A,Liens!H299)&gt;0,"✓ "&amp;Liens!H299,"✗ "&amp;Liens!H299&amp;" (introuvable)"))</f>
        <v/>
      </c>
    </row>
    <row r="305" spans="1:9" x14ac:dyDescent="0.3">
      <c r="A305">
        <f t="shared" si="1"/>
        <v>300</v>
      </c>
      <c r="B305" s="35" t="str">
        <f>IF(Liens!A300="","",IF(COUNTIF(Mots!A:A,Liens!A300)&gt;0,"✓ "&amp;Liens!A300,"✗ "&amp;Liens!A300&amp;" (introuvable)"))</f>
        <v>✓ dos</v>
      </c>
      <c r="C305" s="35" t="str">
        <f>IF(Liens!B300="","",IF(COUNTIF(Mots!A:A,Liens!B300)&gt;0,"✓ "&amp;Liens!B300,"✗ "&amp;Liens!B300&amp;" (introuvable)"))</f>
        <v>✓ corps_humain</v>
      </c>
      <c r="D305" s="35" t="str">
        <f>IF(Liens!C300="","",IF(COUNTIF(Mots!A:A,Liens!C300)&gt;0,"✓ "&amp;Liens!C300,"✗ "&amp;Liens!C300&amp;" (introuvable)"))</f>
        <v>✓ torse</v>
      </c>
      <c r="E305" s="35" t="str">
        <f>IF(Liens!D300="","",IF(COUNTIF(Mots!A:A,Liens!D300)&gt;0,"✓ "&amp;Liens!D300,"✗ "&amp;Liens!D300&amp;" (introuvable)"))</f>
        <v>✓ v_porter</v>
      </c>
      <c r="F305" s="35" t="str">
        <f>IF(Liens!E300="","",IF(COUNTIF(Mots!A:A,Liens!E300)&gt;0,"✓ "&amp;Liens!E300,"✗ "&amp;Liens!E300&amp;" (introuvable)"))</f>
        <v/>
      </c>
      <c r="G305" s="35" t="str">
        <f>IF(Liens!F300="","",IF(COUNTIF(Mots!A:A,Liens!F300)&gt;0,"✓ "&amp;Liens!F300,"✗ "&amp;Liens!F300&amp;" (introuvable)"))</f>
        <v/>
      </c>
      <c r="H305" s="35" t="str">
        <f>IF(Liens!G300="","",IF(COUNTIF(Mots!A:A,Liens!G300)&gt;0,"✓ "&amp;Liens!G300,"✗ "&amp;Liens!G300&amp;" (introuvable)"))</f>
        <v/>
      </c>
      <c r="I305" s="35" t="str">
        <f>IF(Liens!H300="","",IF(COUNTIF(Mots!A:A,Liens!H300)&gt;0,"✓ "&amp;Liens!H300,"✗ "&amp;Liens!H300&amp;" (introuvable)"))</f>
        <v/>
      </c>
    </row>
    <row r="306" spans="1:9" x14ac:dyDescent="0.3">
      <c r="A306">
        <f t="shared" si="1"/>
        <v>301</v>
      </c>
      <c r="B306" s="35" t="str">
        <f>IF(Liens!A301="","",IF(COUNTIF(Mots!A:A,Liens!A301)&gt;0,"✓ "&amp;Liens!A301,"✗ "&amp;Liens!A301&amp;" (introuvable)"))</f>
        <v>✓ dossier</v>
      </c>
      <c r="C306" s="35" t="str">
        <f>IF(Liens!B301="","",IF(COUNTIF(Mots!A:A,Liens!B301)&gt;0,"✓ "&amp;Liens!B301,"✗ "&amp;Liens!B301&amp;" (introuvable)"))</f>
        <v>✓ chaise</v>
      </c>
      <c r="D306" s="35" t="str">
        <f>IF(Liens!C301="","",IF(COUNTIF(Mots!A:A,Liens!C301)&gt;0,"✓ "&amp;Liens!C301,"✗ "&amp;Liens!C301&amp;" (introuvable)"))</f>
        <v>✓ siege</v>
      </c>
      <c r="E306" s="35" t="str">
        <f>IF(Liens!D301="","",IF(COUNTIF(Mots!A:A,Liens!D301)&gt;0,"✓ "&amp;Liens!D301,"✗ "&amp;Liens!D301&amp;" (introuvable)"))</f>
        <v>✓ dos</v>
      </c>
      <c r="F306" s="35" t="str">
        <f>IF(Liens!E301="","",IF(COUNTIF(Mots!A:A,Liens!E301)&gt;0,"✓ "&amp;Liens!E301,"✗ "&amp;Liens!E301&amp;" (introuvable)"))</f>
        <v>✓ v_s_asseoir</v>
      </c>
      <c r="G306" s="35" t="str">
        <f>IF(Liens!F301="","",IF(COUNTIF(Mots!A:A,Liens!F301)&gt;0,"✓ "&amp;Liens!F301,"✗ "&amp;Liens!F301&amp;" (introuvable)"))</f>
        <v/>
      </c>
      <c r="H306" s="35" t="str">
        <f>IF(Liens!G301="","",IF(COUNTIF(Mots!A:A,Liens!G301)&gt;0,"✓ "&amp;Liens!G301,"✗ "&amp;Liens!G301&amp;" (introuvable)"))</f>
        <v/>
      </c>
      <c r="I306" s="35" t="str">
        <f>IF(Liens!H301="","",IF(COUNTIF(Mots!A:A,Liens!H301)&gt;0,"✓ "&amp;Liens!H301,"✗ "&amp;Liens!H301&amp;" (introuvable)"))</f>
        <v/>
      </c>
    </row>
    <row r="307" spans="1:9" x14ac:dyDescent="0.3">
      <c r="A307">
        <f t="shared" si="1"/>
        <v>302</v>
      </c>
      <c r="B307" s="35" t="str">
        <f>IF(Liens!A302="","",IF(COUNTIF(Mots!A:A,Liens!A302)&gt;0,"✓ "&amp;Liens!A302,"✗ "&amp;Liens!A302&amp;" (introuvable)"))</f>
        <v>✓ douce</v>
      </c>
      <c r="C307" s="35" t="str">
        <f>IF(Liens!B302="","",IF(COUNTIF(Mots!A:A,Liens!B302)&gt;0,"✓ "&amp;Liens!B302,"✗ "&amp;Liens!B302&amp;" (introuvable)"))</f>
        <v>✓ gout</v>
      </c>
      <c r="D307" s="35" t="str">
        <f>IF(Liens!C302="","",IF(COUNTIF(Mots!A:A,Liens!C302)&gt;0,"✓ "&amp;Liens!C302,"✗ "&amp;Liens!C302&amp;" (introuvable)"))</f>
        <v>✓ sucre</v>
      </c>
      <c r="E307" s="35" t="str">
        <f>IF(Liens!D302="","",IF(COUNTIF(Mots!A:A,Liens!D302)&gt;0,"✓ "&amp;Liens!D302,"✗ "&amp;Liens!D302&amp;" (introuvable)"))</f>
        <v>✓ v_toucher</v>
      </c>
      <c r="F307" s="35" t="str">
        <f>IF(Liens!E302="","",IF(COUNTIF(Mots!A:A,Liens!E302)&gt;0,"✓ "&amp;Liens!E302,"✗ "&amp;Liens!E302&amp;" (introuvable)"))</f>
        <v>✓ velours</v>
      </c>
      <c r="G307" s="35" t="str">
        <f>IF(Liens!F302="","",IF(COUNTIF(Mots!A:A,Liens!F302)&gt;0,"✓ "&amp;Liens!F302,"✗ "&amp;Liens!F302&amp;" (introuvable)"))</f>
        <v/>
      </c>
      <c r="H307" s="35" t="str">
        <f>IF(Liens!G302="","",IF(COUNTIF(Mots!A:A,Liens!G302)&gt;0,"✓ "&amp;Liens!G302,"✗ "&amp;Liens!G302&amp;" (introuvable)"))</f>
        <v/>
      </c>
      <c r="I307" s="35" t="str">
        <f>IF(Liens!H302="","",IF(COUNTIF(Mots!A:A,Liens!H302)&gt;0,"✓ "&amp;Liens!H302,"✗ "&amp;Liens!H302&amp;" (introuvable)"))</f>
        <v/>
      </c>
    </row>
    <row r="308" spans="1:9" x14ac:dyDescent="0.3">
      <c r="A308">
        <f t="shared" si="1"/>
        <v>303</v>
      </c>
      <c r="B308" s="35" t="str">
        <f>IF(Liens!A303="","",IF(COUNTIF(Mots!A:A,Liens!A303)&gt;0,"✓ "&amp;Liens!A303,"✗ "&amp;Liens!A303&amp;" (introuvable)"))</f>
        <v>✓ doucement</v>
      </c>
      <c r="C308" s="35" t="str">
        <f>IF(Liens!B303="","",IF(COUNTIF(Mots!A:A,Liens!B303)&gt;0,"✓ "&amp;Liens!B303,"✗ "&amp;Liens!B303&amp;" (introuvable)"))</f>
        <v>✓ calme</v>
      </c>
      <c r="D308" s="35" t="str">
        <f>IF(Liens!C303="","",IF(COUNTIF(Mots!A:A,Liens!C303)&gt;0,"✓ "&amp;Liens!C303,"✗ "&amp;Liens!C303&amp;" (introuvable)"))</f>
        <v>✓ a_rapide_lent</v>
      </c>
      <c r="E308" s="35" t="str">
        <f>IF(Liens!D303="","",IF(COUNTIF(Mots!A:A,Liens!D303)&gt;0,"✓ "&amp;Liens!D303,"✗ "&amp;Liens!D303&amp;" (introuvable)"))</f>
        <v>✓ bruit</v>
      </c>
      <c r="F308" s="35" t="str">
        <f>IF(Liens!E303="","",IF(COUNTIF(Mots!A:A,Liens!E303)&gt;0,"✓ "&amp;Liens!E303,"✗ "&amp;Liens!E303&amp;" (introuvable)"))</f>
        <v>✓ a_calme_agite</v>
      </c>
      <c r="G308" s="35" t="str">
        <f>IF(Liens!F303="","",IF(COUNTIF(Mots!A:A,Liens!F303)&gt;0,"✓ "&amp;Liens!F303,"✗ "&amp;Liens!F303&amp;" (introuvable)"))</f>
        <v/>
      </c>
      <c r="H308" s="35" t="str">
        <f>IF(Liens!G303="","",IF(COUNTIF(Mots!A:A,Liens!G303)&gt;0,"✓ "&amp;Liens!G303,"✗ "&amp;Liens!G303&amp;" (introuvable)"))</f>
        <v/>
      </c>
      <c r="I308" s="35" t="str">
        <f>IF(Liens!H303="","",IF(COUNTIF(Mots!A:A,Liens!H303)&gt;0,"✓ "&amp;Liens!H303,"✗ "&amp;Liens!H303&amp;" (introuvable)"))</f>
        <v/>
      </c>
    </row>
    <row r="309" spans="1:9" x14ac:dyDescent="0.3">
      <c r="A309">
        <f t="shared" si="1"/>
        <v>304</v>
      </c>
      <c r="B309" s="35" t="str">
        <f>IF(Liens!A304="","",IF(COUNTIF(Mots!A:A,Liens!A304)&gt;0,"✓ "&amp;Liens!A304,"✗ "&amp;Liens!A304&amp;" (introuvable)"))</f>
        <v>✓ douche</v>
      </c>
      <c r="C309" s="35" t="str">
        <f>IF(Liens!B304="","",IF(COUNTIF(Mots!A:A,Liens!B304)&gt;0,"✓ "&amp;Liens!B304,"✗ "&amp;Liens!B304&amp;" (introuvable)"))</f>
        <v>✓ salle_de_bain</v>
      </c>
      <c r="D309" s="35" t="str">
        <f>IF(Liens!C304="","",IF(COUNTIF(Mots!A:A,Liens!C304)&gt;0,"✓ "&amp;Liens!C304,"✗ "&amp;Liens!C304&amp;" (introuvable)"))</f>
        <v>✓ eau</v>
      </c>
      <c r="E309" s="35" t="str">
        <f>IF(Liens!D304="","",IF(COUNTIF(Mots!A:A,Liens!D304)&gt;0,"✓ "&amp;Liens!D304,"✗ "&amp;Liens!D304&amp;" (introuvable)"))</f>
        <v>✓ v_laver</v>
      </c>
      <c r="F309" s="35" t="str">
        <f>IF(Liens!E304="","",IF(COUNTIF(Mots!A:A,Liens!E304)&gt;0,"✓ "&amp;Liens!E304,"✗ "&amp;Liens!E304&amp;" (introuvable)"))</f>
        <v>✓ serviette</v>
      </c>
      <c r="G309" s="35" t="str">
        <f>IF(Liens!G304="","",IF(COUNTIF(Mots!A:A,Liens!G304)&gt;0,"✓ "&amp;Liens!G304,"✗ "&amp;Liens!G304&amp;" (introuvable)"))</f>
        <v>✓ produit_de_douche</v>
      </c>
      <c r="H309" s="35" t="str">
        <f>IF(Liens!H304="","",IF(COUNTIF(Mots!A:A,Liens!H304)&gt;0,"✓ "&amp;Liens!H304,"✗ "&amp;Liens!H304&amp;" (introuvable)"))</f>
        <v>✓ savon</v>
      </c>
      <c r="I309" s="35" t="e">
        <f>IF(Liens!#REF!="","",IF(COUNTIF(Mots!A:A,Liens!#REF!)&gt;0,"✓ "&amp;Liens!#REF!,"✗ "&amp;Liens!#REF!&amp;" (introuvable)"))</f>
        <v>#REF!</v>
      </c>
    </row>
    <row r="310" spans="1:9" x14ac:dyDescent="0.3">
      <c r="A310">
        <f t="shared" si="1"/>
        <v>305</v>
      </c>
      <c r="B310" s="35" t="str">
        <f>IF(Liens!A305="","",IF(COUNTIF(Mots!A:A,Liens!A305)&gt;0,"✓ "&amp;Liens!A305,"✗ "&amp;Liens!A305&amp;" (introuvable)"))</f>
        <v>✓ douleur</v>
      </c>
      <c r="C310" s="35" t="str">
        <f>IF(Liens!B305="","",IF(COUNTIF(Mots!A:A,Liens!B305)&gt;0,"✓ "&amp;Liens!B305,"✗ "&amp;Liens!B305&amp;" (introuvable)"))</f>
        <v>✓ sensation</v>
      </c>
      <c r="D310" s="35" t="str">
        <f>IF(Liens!C305="","",IF(COUNTIF(Mots!A:A,Liens!C305)&gt;0,"✓ "&amp;Liens!C305,"✗ "&amp;Liens!C305&amp;" (introuvable)"))</f>
        <v>✓ blessure</v>
      </c>
      <c r="E310" s="35" t="str">
        <f>IF(Liens!D305="","",IF(COUNTIF(Mots!A:A,Liens!D305)&gt;0,"✓ "&amp;Liens!D305,"✗ "&amp;Liens!D305&amp;" (introuvable)"))</f>
        <v>✓ a_mal_douloureux</v>
      </c>
      <c r="F310" s="35" t="str">
        <f>IF(Liens!E305="","",IF(COUNTIF(Mots!A:A,Liens!E305)&gt;0,"✓ "&amp;Liens!E305,"✗ "&amp;Liens!E305&amp;" (introuvable)"))</f>
        <v>✓ medicament</v>
      </c>
      <c r="G310" s="35" t="str">
        <f>IF(Liens!F305="","",IF(COUNTIF(Mots!A:A,Liens!F305)&gt;0,"✓ "&amp;Liens!F305,"✗ "&amp;Liens!F305&amp;" (introuvable)"))</f>
        <v>✓ v_soigner</v>
      </c>
      <c r="H310" s="35" t="str">
        <f>IF(Liens!G305="","",IF(COUNTIF(Mots!A:A,Liens!G305)&gt;0,"✓ "&amp;Liens!G305,"✗ "&amp;Liens!G305&amp;" (introuvable)"))</f>
        <v>✓ infirmier</v>
      </c>
      <c r="I310" s="35" t="str">
        <f>IF(Liens!H305="","",IF(COUNTIF(Mots!A:A,Liens!H305)&gt;0,"✓ "&amp;Liens!H305,"✗ "&amp;Liens!H305&amp;" (introuvable)"))</f>
        <v>✓ medecin</v>
      </c>
    </row>
    <row r="311" spans="1:9" x14ac:dyDescent="0.3">
      <c r="A311">
        <f t="shared" si="1"/>
        <v>306</v>
      </c>
      <c r="B311" s="35" t="str">
        <f>IF(Liens!A306="","",IF(COUNTIF(Mots!A:A,Liens!A306)&gt;0,"✓ "&amp;Liens!A306,"✗ "&amp;Liens!A306&amp;" (introuvable)"))</f>
        <v>✓ douzaine</v>
      </c>
      <c r="C311" s="35" t="str">
        <f>IF(Liens!B306="","",IF(COUNTIF(Mots!A:A,Liens!B306)&gt;0,"✓ "&amp;Liens!B306,"✗ "&amp;Liens!B306&amp;" (introuvable)"))</f>
        <v>✓ quantite</v>
      </c>
      <c r="D311" s="35" t="str">
        <f>IF(Liens!C306="","",IF(COUNTIF(Mots!A:A,Liens!C306)&gt;0,"✓ "&amp;Liens!C306,"✗ "&amp;Liens!C306&amp;" (introuvable)"))</f>
        <v>✓ nombre</v>
      </c>
      <c r="E311" s="35" t="str">
        <f>IF(Liens!D306="","",IF(COUNTIF(Mots!A:A,Liens!D306)&gt;0,"✓ "&amp;Liens!D306,"✗ "&amp;Liens!D306&amp;" (introuvable)"))</f>
        <v/>
      </c>
      <c r="F311" s="35" t="str">
        <f>IF(Liens!E306="","",IF(COUNTIF(Mots!A:A,Liens!E306)&gt;0,"✓ "&amp;Liens!E306,"✗ "&amp;Liens!E306&amp;" (introuvable)"))</f>
        <v/>
      </c>
      <c r="G311" s="35" t="str">
        <f>IF(Liens!F306="","",IF(COUNTIF(Mots!A:A,Liens!F306)&gt;0,"✓ "&amp;Liens!F306,"✗ "&amp;Liens!F306&amp;" (introuvable)"))</f>
        <v/>
      </c>
      <c r="H311" s="35" t="str">
        <f>IF(Liens!G306="","",IF(COUNTIF(Mots!A:A,Liens!G306)&gt;0,"✓ "&amp;Liens!G306,"✗ "&amp;Liens!G306&amp;" (introuvable)"))</f>
        <v/>
      </c>
      <c r="I311" s="35" t="str">
        <f>IF(Liens!H306="","",IF(COUNTIF(Mots!A:A,Liens!H306)&gt;0,"✓ "&amp;Liens!H306,"✗ "&amp;Liens!H306&amp;" (introuvable)"))</f>
        <v/>
      </c>
    </row>
    <row r="312" spans="1:9" x14ac:dyDescent="0.3">
      <c r="A312">
        <f t="shared" si="1"/>
        <v>307</v>
      </c>
      <c r="B312" s="35" t="str">
        <f>IF(Liens!A307="","",IF(COUNTIF(Mots!A:A,Liens!A307)&gt;0,"✓ "&amp;Liens!A307,"✗ "&amp;Liens!A307&amp;" (introuvable)"))</f>
        <v>✓ droit</v>
      </c>
      <c r="C312" s="35" t="str">
        <f>IF(Liens!B307="","",IF(COUNTIF(Mots!A:A,Liens!B307)&gt;0,"✓ "&amp;Liens!B307,"✗ "&amp;Liens!B307&amp;" (introuvable)"))</f>
        <v>✓ trait</v>
      </c>
      <c r="D312" s="35" t="str">
        <f>IF(Liens!C307="","",IF(COUNTIF(Mots!A:A,Liens!C307)&gt;0,"✓ "&amp;Liens!C307,"✗ "&amp;Liens!C307&amp;" (introuvable)"))</f>
        <v>✓ ligne</v>
      </c>
      <c r="E312" s="35" t="str">
        <f>IF(Liens!E307="","",IF(COUNTIF(Mots!A:A,Liens!E307)&gt;0,"✓ "&amp;Liens!E307,"✗ "&amp;Liens!E307&amp;" (introuvable)"))</f>
        <v>✓ courbe</v>
      </c>
      <c r="F312" s="35" t="str">
        <f>IF(Liens!E307="","",IF(COUNTIF(Mots!A:A,Liens!E307)&gt;0,"✓ "&amp;Liens!E307,"✗ "&amp;Liens!E307&amp;" (introuvable)"))</f>
        <v>✓ courbe</v>
      </c>
      <c r="G312" s="35" t="str">
        <f>IF(Liens!F307="","",IF(COUNTIF(Mots!A:A,Liens!F307)&gt;0,"✓ "&amp;Liens!F307,"✗ "&amp;Liens!F307&amp;" (introuvable)"))</f>
        <v/>
      </c>
      <c r="H312" s="35" t="str">
        <f>IF(Liens!G307="","",IF(COUNTIF(Mots!A:A,Liens!G307)&gt;0,"✓ "&amp;Liens!G307,"✗ "&amp;Liens!G307&amp;" (introuvable)"))</f>
        <v/>
      </c>
      <c r="I312" s="35" t="str">
        <f>IF(Liens!H307="","",IF(COUNTIF(Mots!A:A,Liens!H307)&gt;0,"✓ "&amp;Liens!H307,"✗ "&amp;Liens!H307&amp;" (introuvable)"))</f>
        <v/>
      </c>
    </row>
    <row r="313" spans="1:9" x14ac:dyDescent="0.3">
      <c r="A313">
        <f t="shared" si="1"/>
        <v>308</v>
      </c>
      <c r="B313" s="35" t="str">
        <f>IF(Liens!A308="","",IF(COUNTIF(Mots!A:A,Liens!A308)&gt;0,"✓ "&amp;Liens!A308,"✗ "&amp;Liens!A308&amp;" (introuvable)"))</f>
        <v>✓ duree</v>
      </c>
      <c r="C313" s="35" t="str">
        <f>IF(Liens!B308="","",IF(COUNTIF(Mots!A:A,Liens!B308)&gt;0,"✓ "&amp;Liens!B308,"✗ "&amp;Liens!B308&amp;" (introuvable)"))</f>
        <v>✓ seconde</v>
      </c>
      <c r="D313" s="35" t="str">
        <f>IF(Liens!C308="","",IF(COUNTIF(Mots!A:A,Liens!C308)&gt;0,"✓ "&amp;Liens!C308,"✗ "&amp;Liens!C308&amp;" (introuvable)"))</f>
        <v>✓ minute</v>
      </c>
      <c r="E313" s="35" t="str">
        <f>IF(Liens!D308="","",IF(COUNTIF(Mots!A:A,Liens!D308)&gt;0,"✓ "&amp;Liens!D308,"✗ "&amp;Liens!D308&amp;" (introuvable)"))</f>
        <v>✓ heure</v>
      </c>
      <c r="F313" s="35" t="str">
        <f>IF(Liens!E308="","",IF(COUNTIF(Mots!A:A,Liens!E308)&gt;0,"✓ "&amp;Liens!E308,"✗ "&amp;Liens!E308&amp;" (introuvable)"))</f>
        <v>✓ jour</v>
      </c>
      <c r="G313" s="35" t="str">
        <f>IF(Liens!F308="","",IF(COUNTIF(Mots!A:A,Liens!F308)&gt;0,"✓ "&amp;Liens!F308,"✗ "&amp;Liens!F308&amp;" (introuvable)"))</f>
        <v>✓ semaine</v>
      </c>
      <c r="H313" s="35" t="str">
        <f>IF(Liens!G308="","",IF(COUNTIF(Mots!A:A,Liens!G308)&gt;0,"✓ "&amp;Liens!G308,"✗ "&amp;Liens!G308&amp;" (introuvable)"))</f>
        <v>✓ mois</v>
      </c>
      <c r="I313" s="35" t="str">
        <f>IF(Liens!H308="","",IF(COUNTIF(Mots!A:A,Liens!H308)&gt;0,"✓ "&amp;Liens!H308,"✗ "&amp;Liens!H308&amp;" (introuvable)"))</f>
        <v>✓ annee</v>
      </c>
    </row>
    <row r="314" spans="1:9" x14ac:dyDescent="0.3">
      <c r="A314">
        <f t="shared" si="1"/>
        <v>309</v>
      </c>
      <c r="B314" s="35" t="str">
        <f>IF(Liens!A309="","",IF(COUNTIF(Mots!A:A,Liens!A309)&gt;0,"✓ "&amp;Liens!A309,"✗ "&amp;Liens!A309&amp;" (introuvable)"))</f>
        <v>✓ e_terre</v>
      </c>
      <c r="C314" s="35" t="str">
        <f>IF(Liens!B309="","",IF(COUNTIF(Mots!A:A,Liens!B309)&gt;0,"✓ "&amp;Liens!B309,"✗ "&amp;Liens!B309&amp;" (introuvable)"))</f>
        <v>✓ sol</v>
      </c>
      <c r="D314" s="35" t="str">
        <f>IF(Liens!C309="","",IF(COUNTIF(Mots!A:A,Liens!C309)&gt;0,"✓ "&amp;Liens!C309,"✗ "&amp;Liens!C309&amp;" (introuvable)"))</f>
        <v>✓ jardin</v>
      </c>
      <c r="E314" s="35" t="str">
        <f>IF(Liens!D309="","",IF(COUNTIF(Mots!A:A,Liens!D309)&gt;0,"✓ "&amp;Liens!D309,"✗ "&amp;Liens!D309&amp;" (introuvable)"))</f>
        <v>✓ plante</v>
      </c>
      <c r="F314" s="35" t="str">
        <f>IF(Liens!E309="","",IF(COUNTIF(Mots!A:A,Liens!E309)&gt;0,"✓ "&amp;Liens!E309,"✗ "&amp;Liens!E309&amp;" (introuvable)"))</f>
        <v>✓ legume</v>
      </c>
      <c r="G314" s="35" t="str">
        <f>IF(Liens!F309="","",IF(COUNTIF(Mots!A:A,Liens!F309)&gt;0,"✓ "&amp;Liens!F309,"✗ "&amp;Liens!F309&amp;" (introuvable)"))</f>
        <v>✓ jardinage</v>
      </c>
      <c r="H314" s="35" t="str">
        <f>IF(Liens!G309="","",IF(COUNTIF(Mots!A:A,Liens!G309)&gt;0,"✓ "&amp;Liens!G309,"✗ "&amp;Liens!G309&amp;" (introuvable)"))</f>
        <v/>
      </c>
      <c r="I314" s="35" t="str">
        <f>IF(Liens!H309="","",IF(COUNTIF(Mots!A:A,Liens!H309)&gt;0,"✓ "&amp;Liens!H309,"✗ "&amp;Liens!H309&amp;" (introuvable)"))</f>
        <v/>
      </c>
    </row>
    <row r="315" spans="1:9" x14ac:dyDescent="0.3">
      <c r="A315">
        <f t="shared" si="1"/>
        <v>310</v>
      </c>
      <c r="B315" s="35" t="str">
        <f>IF(Liens!A310="","",IF(COUNTIF(Mots!A:A,Liens!A310)&gt;0,"✓ "&amp;Liens!A310,"✗ "&amp;Liens!A310&amp;" (introuvable)"))</f>
        <v>✓ echarpe</v>
      </c>
      <c r="C315" s="35" t="str">
        <f>IF(Liens!B310="","",IF(COUNTIF(Mots!A:A,Liens!B310)&gt;0,"✓ "&amp;Liens!B310,"✗ "&amp;Liens!B310&amp;" (introuvable)"))</f>
        <v>✓ vetement</v>
      </c>
      <c r="D315" s="35" t="str">
        <f>IF(Liens!C310="","",IF(COUNTIF(Mots!A:A,Liens!C310)&gt;0,"✓ "&amp;Liens!C310,"✗ "&amp;Liens!C310&amp;" (introuvable)"))</f>
        <v>✓ cou</v>
      </c>
      <c r="E315" s="35" t="str">
        <f>IF(Liens!D310="","",IF(COUNTIF(Mots!A:A,Liens!D310)&gt;0,"✓ "&amp;Liens!D310,"✗ "&amp;Liens!D310&amp;" (introuvable)"))</f>
        <v>✓ hiver</v>
      </c>
      <c r="F315" s="35" t="str">
        <f>IF(Liens!E310="","",IF(COUNTIF(Mots!A:A,Liens!E310)&gt;0,"✓ "&amp;Liens!E310,"✗ "&amp;Liens!E310&amp;" (introuvable)"))</f>
        <v>✓ a_chaud_froid</v>
      </c>
      <c r="G315" s="35" t="str">
        <f>IF(Liens!F310="","",IF(COUNTIF(Mots!A:A,Liens!F310)&gt;0,"✓ "&amp;Liens!F310,"✗ "&amp;Liens!F310&amp;" (introuvable)"))</f>
        <v>✓ toux</v>
      </c>
      <c r="H315" s="35" t="str">
        <f>IF(Liens!G310="","",IF(COUNTIF(Mots!A:A,Liens!G310)&gt;0,"✓ "&amp;Liens!G310,"✗ "&amp;Liens!G310&amp;" (introuvable)"))</f>
        <v/>
      </c>
      <c r="I315" s="35" t="str">
        <f>IF(Liens!H310="","",IF(COUNTIF(Mots!A:A,Liens!H310)&gt;0,"✓ "&amp;Liens!H310,"✗ "&amp;Liens!H310&amp;" (introuvable)"))</f>
        <v/>
      </c>
    </row>
    <row r="316" spans="1:9" x14ac:dyDescent="0.3">
      <c r="A316">
        <f t="shared" si="1"/>
        <v>311</v>
      </c>
      <c r="B316" s="35" t="str">
        <f>IF(Liens!A311="","",IF(COUNTIF(Mots!A:A,Liens!A311)&gt;0,"✓ "&amp;Liens!A311,"✗ "&amp;Liens!A311&amp;" (introuvable)"))</f>
        <v>✓ echelle</v>
      </c>
      <c r="C316" s="35" t="str">
        <f>IF(Liens!B311="","",IF(COUNTIF(Mots!A:A,Liens!B311)&gt;0,"✓ "&amp;Liens!B311,"✗ "&amp;Liens!B311&amp;" (introuvable)"))</f>
        <v>✓ v_monter</v>
      </c>
      <c r="D316" s="35" t="str">
        <f>IF(Liens!C311="","",IF(COUNTIF(Mots!A:A,Liens!C311)&gt;0,"✓ "&amp;Liens!C311,"✗ "&amp;Liens!C311&amp;" (introuvable)"))</f>
        <v>✓ v_descendre</v>
      </c>
      <c r="E316" s="35" t="str">
        <f>IF(Liens!D311="","",IF(COUNTIF(Mots!A:A,Liens!D311)&gt;0,"✓ "&amp;Liens!D311,"✗ "&amp;Liens!D311&amp;" (introuvable)"))</f>
        <v>✓ escalier</v>
      </c>
      <c r="F316" s="35" t="str">
        <f>IF(Liens!E311="","",IF(COUNTIF(Mots!A:A,Liens!E311)&gt;0,"✓ "&amp;Liens!E311,"✗ "&amp;Liens!E311&amp;" (introuvable)"))</f>
        <v>✓ a_haut_bas</v>
      </c>
      <c r="G316" s="35" t="str">
        <f>IF(Liens!F311="","",IF(COUNTIF(Mots!A:A,Liens!F311)&gt;0,"✓ "&amp;Liens!F311,"✗ "&amp;Liens!F311&amp;" (introuvable)"))</f>
        <v/>
      </c>
      <c r="H316" s="35" t="str">
        <f>IF(Liens!G311="","",IF(COUNTIF(Mots!A:A,Liens!G311)&gt;0,"✓ "&amp;Liens!G311,"✗ "&amp;Liens!G311&amp;" (introuvable)"))</f>
        <v/>
      </c>
      <c r="I316" s="35" t="str">
        <f>IF(Liens!H311="","",IF(COUNTIF(Mots!A:A,Liens!H311)&gt;0,"✓ "&amp;Liens!H311,"✗ "&amp;Liens!H311&amp;" (introuvable)"))</f>
        <v/>
      </c>
    </row>
    <row r="317" spans="1:9" x14ac:dyDescent="0.3">
      <c r="A317">
        <f t="shared" si="1"/>
        <v>312</v>
      </c>
      <c r="B317" s="35" t="str">
        <f>IF(Liens!A312="","",IF(COUNTIF(Mots!A:A,Liens!A312)&gt;0,"✓ "&amp;Liens!A312,"✗ "&amp;Liens!A312&amp;" (introuvable)"))</f>
        <v>✓ eclair</v>
      </c>
      <c r="C317" s="35" t="str">
        <f>IF(Liens!B312="","",IF(COUNTIF(Mots!A:A,Liens!B312)&gt;0,"✓ "&amp;Liens!B312,"✗ "&amp;Liens!B312&amp;" (introuvable)"))</f>
        <v>✓ lumiere</v>
      </c>
      <c r="D317" s="35" t="str">
        <f>IF(Liens!C312="","",IF(COUNTIF(Mots!A:A,Liens!C312)&gt;0,"✓ "&amp;Liens!C312,"✗ "&amp;Liens!C312&amp;" (introuvable)"))</f>
        <v>✓ a_vif</v>
      </c>
      <c r="E317" s="35" t="str">
        <f>IF(Liens!D312="","",IF(COUNTIF(Mots!A:A,Liens!D312)&gt;0,"✓ "&amp;Liens!D312,"✗ "&amp;Liens!D312&amp;" (introuvable)"))</f>
        <v>✓ ciel</v>
      </c>
      <c r="F317" s="35" t="str">
        <f>IF(Liens!E312="","",IF(COUNTIF(Mots!A:A,Liens!E312)&gt;0,"✓ "&amp;Liens!E312,"✗ "&amp;Liens!E312&amp;" (introuvable)"))</f>
        <v>✓ orage</v>
      </c>
      <c r="G317" s="35" t="str">
        <f>IF(Liens!F312="","",IF(COUNTIF(Mots!A:A,Liens!F312)&gt;0,"✓ "&amp;Liens!F312,"✗ "&amp;Liens!F312&amp;" (introuvable)"))</f>
        <v>✓ tonnerre</v>
      </c>
      <c r="H317" s="35" t="str">
        <f>IF(Liens!G312="","",IF(COUNTIF(Mots!A:A,Liens!G312)&gt;0,"✓ "&amp;Liens!G312,"✗ "&amp;Liens!G312&amp;" (introuvable)"))</f>
        <v>✓ vent</v>
      </c>
      <c r="I317" s="35" t="str">
        <f>IF(Liens!H312="","",IF(COUNTIF(Mots!A:A,Liens!H312)&gt;0,"✓ "&amp;Liens!H312,"✗ "&amp;Liens!H312&amp;" (introuvable)"))</f>
        <v>✓ pluie</v>
      </c>
    </row>
    <row r="318" spans="1:9" x14ac:dyDescent="0.3">
      <c r="A318">
        <f t="shared" si="1"/>
        <v>313</v>
      </c>
      <c r="B318" s="35" t="str">
        <f>IF(Liens!A313="","",IF(COUNTIF(Mots!A:A,Liens!A313)&gt;0,"✓ "&amp;Liens!A313,"✗ "&amp;Liens!A313&amp;" (introuvable)"))</f>
        <v>✓ ecole</v>
      </c>
      <c r="C318" s="35" t="str">
        <f>IF(Liens!B313="","",IF(COUNTIF(Mots!A:A,Liens!B313)&gt;0,"✓ "&amp;Liens!B313,"✗ "&amp;Liens!B313&amp;" (introuvable)"))</f>
        <v>✓ enfants</v>
      </c>
      <c r="D318" s="35" t="str">
        <f>IF(Liens!C313="","",IF(COUNTIF(Mots!A:A,Liens!C313)&gt;0,"✓ "&amp;Liens!C313,"✗ "&amp;Liens!C313&amp;" (introuvable)"))</f>
        <v>✓ professeur</v>
      </c>
      <c r="E318" s="35" t="str">
        <f>IF(Liens!D313="","",IF(COUNTIF(Mots!A:A,Liens!D313)&gt;0,"✓ "&amp;Liens!D313,"✗ "&amp;Liens!D313&amp;" (introuvable)"))</f>
        <v>✓ ecole_erde</v>
      </c>
      <c r="F318" s="35" t="str">
        <f>IF(Liens!E313="","",IF(COUNTIF(Mots!A:A,Liens!E313)&gt;0,"✓ "&amp;Liens!E313,"✗ "&amp;Liens!E313&amp;" (introuvable)"))</f>
        <v>✓ jeu</v>
      </c>
      <c r="G318" s="35" t="str">
        <f>IF(Liens!F313="","",IF(COUNTIF(Mots!A:A,Liens!F313)&gt;0,"✓ "&amp;Liens!F313,"✗ "&amp;Liens!F313&amp;" (introuvable)"))</f>
        <v/>
      </c>
      <c r="H318" s="35" t="str">
        <f>IF(Liens!G313="","",IF(COUNTIF(Mots!A:A,Liens!G313)&gt;0,"✓ "&amp;Liens!G313,"✗ "&amp;Liens!G313&amp;" (introuvable)"))</f>
        <v/>
      </c>
      <c r="I318" s="35" t="str">
        <f>IF(Liens!H313="","",IF(COUNTIF(Mots!A:A,Liens!H313)&gt;0,"✓ "&amp;Liens!H313,"✗ "&amp;Liens!H313&amp;" (introuvable)"))</f>
        <v/>
      </c>
    </row>
    <row r="319" spans="1:9" x14ac:dyDescent="0.3">
      <c r="A319">
        <f t="shared" si="1"/>
        <v>314</v>
      </c>
      <c r="B319" s="35" t="str">
        <f>IF(Liens!A314="","",IF(COUNTIF(Mots!A:A,Liens!A314)&gt;0,"✓ "&amp;Liens!A314,"✗ "&amp;Liens!A314&amp;" (introuvable)"))</f>
        <v>✓ economie</v>
      </c>
      <c r="C319" s="35" t="str">
        <f>IF(Liens!B314="","",IF(COUNTIF(Mots!A:A,Liens!B314)&gt;0,"✓ "&amp;Liens!B314,"✗ "&amp;Liens!B314&amp;" (introuvable)"))</f>
        <v>✓ argent</v>
      </c>
      <c r="D319" s="35" t="str">
        <f>IF(Liens!C314="","",IF(COUNTIF(Mots!A:A,Liens!C314)&gt;0,"✓ "&amp;Liens!C314,"✗ "&amp;Liens!C314&amp;" (introuvable)"))</f>
        <v>✓ compte</v>
      </c>
      <c r="E319" s="35" t="str">
        <f>IF(Liens!D314="","",IF(COUNTIF(Mots!A:A,Liens!D314)&gt;0,"✓ "&amp;Liens!D314,"✗ "&amp;Liens!D314&amp;" (introuvable)"))</f>
        <v/>
      </c>
      <c r="F319" s="35" t="str">
        <f>IF(Liens!E314="","",IF(COUNTIF(Mots!A:A,Liens!E314)&gt;0,"✓ "&amp;Liens!E314,"✗ "&amp;Liens!E314&amp;" (introuvable)"))</f>
        <v/>
      </c>
      <c r="G319" s="35" t="str">
        <f>IF(Liens!F314="","",IF(COUNTIF(Mots!A:A,Liens!F314)&gt;0,"✓ "&amp;Liens!F314,"✗ "&amp;Liens!F314&amp;" (introuvable)"))</f>
        <v/>
      </c>
      <c r="H319" s="35" t="str">
        <f>IF(Liens!G314="","",IF(COUNTIF(Mots!A:A,Liens!G314)&gt;0,"✓ "&amp;Liens!G314,"✗ "&amp;Liens!G314&amp;" (introuvable)"))</f>
        <v/>
      </c>
      <c r="I319" s="35" t="str">
        <f>IF(Liens!H314="","",IF(COUNTIF(Mots!A:A,Liens!H314)&gt;0,"✓ "&amp;Liens!H314,"✗ "&amp;Liens!H314&amp;" (introuvable)"))</f>
        <v/>
      </c>
    </row>
    <row r="320" spans="1:9" x14ac:dyDescent="0.3">
      <c r="A320">
        <f t="shared" si="1"/>
        <v>315</v>
      </c>
      <c r="B320" s="35" t="str">
        <f>IF(Liens!A315="","",IF(COUNTIF(Mots!A:A,Liens!A315)&gt;0,"✓ "&amp;Liens!A315,"✗ "&amp;Liens!A315&amp;" (introuvable)"))</f>
        <v>✓ ecorce</v>
      </c>
      <c r="C320" s="35" t="str">
        <f>IF(Liens!B315="","",IF(COUNTIF(Mots!A:A,Liens!B315)&gt;0,"✓ "&amp;Liens!B315,"✗ "&amp;Liens!B315&amp;" (introuvable)"))</f>
        <v>✓ arbre</v>
      </c>
      <c r="D320" s="35" t="str">
        <f>IF(Liens!C315="","",IF(COUNTIF(Mots!A:A,Liens!C315)&gt;0,"✓ "&amp;Liens!C315,"✗ "&amp;Liens!C315&amp;" (introuvable)"))</f>
        <v>✓ tronc_arbre</v>
      </c>
      <c r="E320" s="35" t="str">
        <f>IF(Liens!D315="","",IF(COUNTIF(Mots!A:A,Liens!D315)&gt;0,"✓ "&amp;Liens!D315,"✗ "&amp;Liens!D315&amp;" (introuvable)"))</f>
        <v>✓ branche</v>
      </c>
      <c r="F320" s="35" t="str">
        <f>IF(Liens!E315="","",IF(COUNTIF(Mots!A:A,Liens!E315)&gt;0,"✓ "&amp;Liens!E315,"✗ "&amp;Liens!E315&amp;" (introuvable)"))</f>
        <v>✓ a_rude</v>
      </c>
      <c r="G320" s="35" t="str">
        <f>IF(Liens!F315="","",IF(COUNTIF(Mots!A:A,Liens!F315)&gt;0,"✓ "&amp;Liens!F315,"✗ "&amp;Liens!F315&amp;" (introuvable)"))</f>
        <v/>
      </c>
      <c r="H320" s="35" t="str">
        <f>IF(Liens!G315="","",IF(COUNTIF(Mots!A:A,Liens!G315)&gt;0,"✓ "&amp;Liens!G315,"✗ "&amp;Liens!G315&amp;" (introuvable)"))</f>
        <v/>
      </c>
      <c r="I320" s="35" t="str">
        <f>IF(Liens!H315="","",IF(COUNTIF(Mots!A:A,Liens!H315)&gt;0,"✓ "&amp;Liens!H315,"✗ "&amp;Liens!H315&amp;" (introuvable)"))</f>
        <v/>
      </c>
    </row>
    <row r="321" spans="1:9" x14ac:dyDescent="0.3">
      <c r="A321">
        <f t="shared" si="1"/>
        <v>316</v>
      </c>
      <c r="B321" s="35" t="str">
        <f>IF(Liens!A316="","",IF(COUNTIF(Mots!A:A,Liens!A316)&gt;0,"✓ "&amp;Liens!A316,"✗ "&amp;Liens!A316&amp;" (introuvable)"))</f>
        <v>✓ ecran</v>
      </c>
      <c r="C321" s="35" t="str">
        <f>IF(Liens!B316="","",IF(COUNTIF(Mots!A:A,Liens!B316)&gt;0,"✓ "&amp;Liens!B316,"✗ "&amp;Liens!B316&amp;" (introuvable)"))</f>
        <v>✓ television</v>
      </c>
      <c r="D321" s="35" t="str">
        <f>IF(Liens!C316="","",IF(COUNTIF(Mots!A:A,Liens!C316)&gt;0,"✓ "&amp;Liens!C316,"✗ "&amp;Liens!C316&amp;" (introuvable)"))</f>
        <v>✓ ordinateur</v>
      </c>
      <c r="E321" s="35" t="str">
        <f>IF(Liens!D316="","",IF(COUNTIF(Mots!A:A,Liens!D316)&gt;0,"✓ "&amp;Liens!D316,"✗ "&amp;Liens!D316&amp;" (introuvable)"))</f>
        <v>✓ v_regarder</v>
      </c>
      <c r="F321" s="35" t="str">
        <f>IF(Liens!E316="","",IF(COUNTIF(Mots!A:A,Liens!E316)&gt;0,"✓ "&amp;Liens!E316,"✗ "&amp;Liens!E316&amp;" (introuvable)"))</f>
        <v>✓ bureau_piece</v>
      </c>
      <c r="G321" s="35" t="str">
        <f>IF(Liens!F316="","",IF(COUNTIF(Mots!A:A,Liens!F316)&gt;0,"✓ "&amp;Liens!F316,"✗ "&amp;Liens!F316&amp;" (introuvable)"))</f>
        <v>✓ salon</v>
      </c>
      <c r="H321" s="35" t="str">
        <f>IF(Liens!G316="","",IF(COUNTIF(Mots!A:A,Liens!G316)&gt;0,"✓ "&amp;Liens!G316,"✗ "&amp;Liens!G316&amp;" (introuvable)"))</f>
        <v/>
      </c>
      <c r="I321" s="35" t="str">
        <f>IF(Liens!H316="","",IF(COUNTIF(Mots!A:A,Liens!H316)&gt;0,"✓ "&amp;Liens!H316,"✗ "&amp;Liens!H316&amp;" (introuvable)"))</f>
        <v/>
      </c>
    </row>
    <row r="322" spans="1:9" x14ac:dyDescent="0.3">
      <c r="A322">
        <f t="shared" si="1"/>
        <v>317</v>
      </c>
      <c r="B322" s="35" t="str">
        <f>IF(Liens!A317="","",IF(COUNTIF(Mots!A:A,Liens!A317)&gt;0,"✓ "&amp;Liens!A317,"✗ "&amp;Liens!A317&amp;" (introuvable)"))</f>
        <v>✓ ecrivain</v>
      </c>
      <c r="C322" s="35" t="str">
        <f>IF(Liens!B317="","",IF(COUNTIF(Mots!A:A,Liens!B317)&gt;0,"✓ "&amp;Liens!B317,"✗ "&amp;Liens!B317&amp;" (introuvable)"))</f>
        <v>✓ personne</v>
      </c>
      <c r="D322" s="35" t="str">
        <f>IF(Liens!C317="","",IF(COUNTIF(Mots!A:A,Liens!C317)&gt;0,"✓ "&amp;Liens!C317,"✗ "&amp;Liens!C317&amp;" (introuvable)"))</f>
        <v>✓ livre</v>
      </c>
      <c r="E322" s="35" t="str">
        <f>IF(Liens!D317="","",IF(COUNTIF(Mots!A:A,Liens!D317)&gt;0,"✓ "&amp;Liens!D317,"✗ "&amp;Liens!D317&amp;" (introuvable)"))</f>
        <v>✓ v_ecrire</v>
      </c>
      <c r="F322" s="35" t="str">
        <f>IF(Liens!E317="","",IF(COUNTIF(Mots!A:A,Liens!E317)&gt;0,"✓ "&amp;Liens!E317,"✗ "&amp;Liens!E317&amp;" (introuvable)"))</f>
        <v>✓ histoire</v>
      </c>
      <c r="G322" s="35" t="str">
        <f>IF(Liens!F317="","",IF(COUNTIF(Mots!A:A,Liens!F317)&gt;0,"✓ "&amp;Liens!F317,"✗ "&amp;Liens!F317&amp;" (introuvable)"))</f>
        <v>✓ recit</v>
      </c>
      <c r="H322" s="35" t="str">
        <f>IF(Liens!G317="","",IF(COUNTIF(Mots!A:A,Liens!G317)&gt;0,"✓ "&amp;Liens!G317,"✗ "&amp;Liens!G317&amp;" (introuvable)"))</f>
        <v>✓ v_raconter</v>
      </c>
      <c r="I322" s="35" t="str">
        <f>IF(Liens!H317="","",IF(COUNTIF(Mots!A:A,Liens!H317)&gt;0,"✓ "&amp;Liens!H317,"✗ "&amp;Liens!H317&amp;" (introuvable)"))</f>
        <v/>
      </c>
    </row>
    <row r="323" spans="1:9" x14ac:dyDescent="0.3">
      <c r="A323">
        <f t="shared" si="1"/>
        <v>318</v>
      </c>
      <c r="B323" s="35" t="str">
        <f>IF(Liens!A318="","",IF(COUNTIF(Mots!A:A,Liens!A318)&gt;0,"✓ "&amp;Liens!A318,"✗ "&amp;Liens!A318&amp;" (introuvable)"))</f>
        <v>✓ effort</v>
      </c>
      <c r="C323" s="35" t="str">
        <f>IF(Liens!B318="","",IF(COUNTIF(Mots!A:A,Liens!B318)&gt;0,"✓ "&amp;Liens!B318,"✗ "&amp;Liens!B318&amp;" (introuvable)"))</f>
        <v>✓ force</v>
      </c>
      <c r="D323" s="35" t="str">
        <f>IF(Liens!C318="","",IF(COUNTIF(Mots!A:A,Liens!C318)&gt;0,"✓ "&amp;Liens!C318,"✗ "&amp;Liens!C318&amp;" (introuvable)"))</f>
        <v>✓ travail</v>
      </c>
      <c r="E323" s="35" t="str">
        <f>IF(Liens!D318="","",IF(COUNTIF(Mots!A:A,Liens!D318)&gt;0,"✓ "&amp;Liens!D318,"✗ "&amp;Liens!D318&amp;" (introuvable)"))</f>
        <v>✓ a_facile_difficile</v>
      </c>
      <c r="F323" s="35" t="str">
        <f>IF(Liens!E318="","",IF(COUNTIF(Mots!A:A,Liens!E318)&gt;0,"✓ "&amp;Liens!E318,"✗ "&amp;Liens!E318&amp;" (introuvable)"))</f>
        <v>✓ douleur</v>
      </c>
      <c r="G323" s="35" t="str">
        <f>IF(Liens!F318="","",IF(COUNTIF(Mots!A:A,Liens!F318)&gt;0,"✓ "&amp;Liens!F318,"✗ "&amp;Liens!F318&amp;" (introuvable)"))</f>
        <v>✓ argent</v>
      </c>
      <c r="H323" s="35" t="str">
        <f>IF(Liens!G318="","",IF(COUNTIF(Mots!A:A,Liens!G318)&gt;0,"✓ "&amp;Liens!G318,"✗ "&amp;Liens!G318&amp;" (introuvable)"))</f>
        <v/>
      </c>
      <c r="I323" s="35" t="str">
        <f>IF(Liens!H318="","",IF(COUNTIF(Mots!A:A,Liens!H318)&gt;0,"✓ "&amp;Liens!H318,"✗ "&amp;Liens!H318&amp;" (introuvable)"))</f>
        <v/>
      </c>
    </row>
    <row r="324" spans="1:9" x14ac:dyDescent="0.3">
      <c r="A324">
        <f t="shared" si="1"/>
        <v>319</v>
      </c>
      <c r="B324" s="35" t="str">
        <f>IF(Liens!A319="","",IF(COUNTIF(Mots!A:A,Liens!A319)&gt;0,"✓ "&amp;Liens!A319,"✗ "&amp;Liens!A319&amp;" (introuvable)"))</f>
        <v>✓ eleve</v>
      </c>
      <c r="C324" s="35" t="str">
        <f>IF(Liens!B319="","",IF(COUNTIF(Mots!A:A,Liens!B319)&gt;0,"✓ "&amp;Liens!B319,"✗ "&amp;Liens!B319&amp;" (introuvable)"))</f>
        <v>✓ ecole</v>
      </c>
      <c r="D324" s="35" t="str">
        <f>IF(Liens!C319="","",IF(COUNTIF(Mots!A:A,Liens!C319)&gt;0,"✓ "&amp;Liens!C319,"✗ "&amp;Liens!C319&amp;" (introuvable)"))</f>
        <v>✓ maitre</v>
      </c>
      <c r="E324" s="35" t="str">
        <f>IF(Liens!D319="","",IF(COUNTIF(Mots!A:A,Liens!D319)&gt;0,"✓ "&amp;Liens!D319,"✗ "&amp;Liens!D319&amp;" (introuvable)"))</f>
        <v>✓ professeur</v>
      </c>
      <c r="F324" s="35" t="str">
        <f>IF(Liens!E319="","",IF(COUNTIF(Mots!A:A,Liens!E319)&gt;0,"✓ "&amp;Liens!E319,"✗ "&amp;Liens!E319&amp;" (introuvable)"))</f>
        <v>✓ v_apprendre</v>
      </c>
      <c r="G324" s="35" t="str">
        <f>IF(Liens!F319="","",IF(COUNTIF(Mots!A:A,Liens!F319)&gt;0,"✓ "&amp;Liens!F319,"✗ "&amp;Liens!F319&amp;" (introuvable)"))</f>
        <v>✓ v_jouer</v>
      </c>
      <c r="H324" s="35" t="str">
        <f>IF(Liens!G319="","",IF(COUNTIF(Mots!A:A,Liens!G319)&gt;0,"✓ "&amp;Liens!G319,"✗ "&amp;Liens!G319&amp;" (introuvable)"))</f>
        <v>✓ question</v>
      </c>
      <c r="I324" s="35" t="str">
        <f>IF(Liens!H319="","",IF(COUNTIF(Mots!A:A,Liens!H319)&gt;0,"✓ "&amp;Liens!H319,"✗ "&amp;Liens!H319&amp;" (introuvable)"))</f>
        <v>✓ calcul</v>
      </c>
    </row>
    <row r="325" spans="1:9" x14ac:dyDescent="0.3">
      <c r="A325">
        <f t="shared" si="1"/>
        <v>320</v>
      </c>
      <c r="B325" s="35" t="str">
        <f>IF(Liens!A320="","",IF(COUNTIF(Mots!A:A,Liens!A320)&gt;0,"✓ "&amp;Liens!A320,"✗ "&amp;Liens!A320&amp;" (introuvable)"))</f>
        <v>✓ encore</v>
      </c>
      <c r="C325" s="35" t="str">
        <f>IF(Liens!B320="","",IF(COUNTIF(Mots!A:A,Liens!B320)&gt;0,"✓ "&amp;Liens!B320,"✗ "&amp;Liens!B320&amp;" (introuvable)"))</f>
        <v>✓ toujours</v>
      </c>
      <c r="D325" s="35" t="str">
        <f>IF(Liens!C320="","",IF(COUNTIF(Mots!A:A,Liens!C320)&gt;0,"✓ "&amp;Liens!C320,"✗ "&amp;Liens!C320&amp;" (introuvable)"))</f>
        <v>✓ deja</v>
      </c>
      <c r="E325" s="35" t="str">
        <f>IF(Liens!D320="","",IF(COUNTIF(Mots!A:A,Liens!D320)&gt;0,"✓ "&amp;Liens!D320,"✗ "&amp;Liens!D320&amp;" (introuvable)"))</f>
        <v>✓ bientot</v>
      </c>
      <c r="F325" s="35" t="str">
        <f>IF(Liens!E320="","",IF(COUNTIF(Mots!A:A,Liens!E320)&gt;0,"✓ "&amp;Liens!E320,"✗ "&amp;Liens!E320&amp;" (introuvable)"))</f>
        <v>✓ v_manger</v>
      </c>
      <c r="G325" s="35" t="str">
        <f>IF(Liens!F320="","",IF(COUNTIF(Mots!A:A,Liens!F320)&gt;0,"✓ "&amp;Liens!F320,"✗ "&amp;Liens!F320&amp;" (introuvable)"))</f>
        <v>✓ v_boire</v>
      </c>
      <c r="H325" s="35" t="str">
        <f>IF(Liens!G320="","",IF(COUNTIF(Mots!A:A,Liens!G320)&gt;0,"✓ "&amp;Liens!G320,"✗ "&amp;Liens!G320&amp;" (introuvable)"))</f>
        <v>✓ v_jouer</v>
      </c>
      <c r="I325" s="35" t="str">
        <f>IF(Liens!H320="","",IF(COUNTIF(Mots!A:A,Liens!H320)&gt;0,"✓ "&amp;Liens!H320,"✗ "&amp;Liens!H320&amp;" (introuvable)"))</f>
        <v>✓ soleil</v>
      </c>
    </row>
    <row r="326" spans="1:9" x14ac:dyDescent="0.3">
      <c r="A326">
        <f t="shared" si="1"/>
        <v>321</v>
      </c>
      <c r="B326" s="35" t="str">
        <f>IF(Liens!A321="","",IF(COUNTIF(Mots!A:A,Liens!A321)&gt;0,"✓ "&amp;Liens!A321,"✗ "&amp;Liens!A321&amp;" (introuvable)"))</f>
        <v>✓ endroit</v>
      </c>
      <c r="C326" s="35" t="str">
        <f>IF(Liens!B321="","",IF(COUNTIF(Mots!A:A,Liens!B321)&gt;0,"✓ "&amp;Liens!B321,"✗ "&amp;Liens!B321&amp;" (introuvable)"))</f>
        <v>✓ ici</v>
      </c>
      <c r="D326" s="35" t="str">
        <f>IF(Liens!C321="","",IF(COUNTIF(Mots!A:A,Liens!C321)&gt;0,"✓ "&amp;Liens!C321,"✗ "&amp;Liens!C321&amp;" (introuvable)"))</f>
        <v>✓ la</v>
      </c>
      <c r="E326" s="35" t="str">
        <f>IF(Liens!D321="","",IF(COUNTIF(Mots!A:A,Liens!D321)&gt;0,"✓ "&amp;Liens!D321,"✗ "&amp;Liens!D321&amp;" (introuvable)"))</f>
        <v>✓ ailleurs</v>
      </c>
      <c r="F326" s="35" t="str">
        <f>IF(Liens!E321="","",IF(COUNTIF(Mots!A:A,Liens!E321)&gt;0,"✓ "&amp;Liens!E321,"✗ "&amp;Liens!E321&amp;" (introuvable)"))</f>
        <v>✓ pays</v>
      </c>
      <c r="G326" s="35" t="str">
        <f>IF(Liens!F321="","",IF(COUNTIF(Mots!A:A,Liens!F321)&gt;0,"✓ "&amp;Liens!F321,"✗ "&amp;Liens!F321&amp;" (introuvable)"))</f>
        <v>✓ ville</v>
      </c>
      <c r="H326" s="35" t="str">
        <f>IF(Liens!G321="","",IF(COUNTIF(Mots!A:A,Liens!G321)&gt;0,"✓ "&amp;Liens!G321,"✗ "&amp;Liens!G321&amp;" (introuvable)"))</f>
        <v>✓ village</v>
      </c>
      <c r="I326" s="35" t="str">
        <f>IF(Liens!H321="","",IF(COUNTIF(Mots!A:A,Liens!H321)&gt;0,"✓ "&amp;Liens!H321,"✗ "&amp;Liens!H321&amp;" (introuvable)"))</f>
        <v>✓ maison</v>
      </c>
    </row>
    <row r="327" spans="1:9" x14ac:dyDescent="0.3">
      <c r="A327">
        <f t="shared" si="1"/>
        <v>322</v>
      </c>
      <c r="B327" s="35" t="str">
        <f>IF(Liens!A322="","",IF(COUNTIF(Mots!A:A,Liens!A322)&gt;0,"✓ "&amp;Liens!A322,"✗ "&amp;Liens!A322&amp;" (introuvable)"))</f>
        <v>✓ enfin</v>
      </c>
      <c r="C327" s="35" t="str">
        <f>IF(Liens!B322="","",IF(COUNTIF(Mots!A:A,Liens!B322)&gt;0,"✓ "&amp;Liens!B322,"✗ "&amp;Liens!B322&amp;" (introuvable)"))</f>
        <v>✓ moment</v>
      </c>
      <c r="D327" s="35" t="str">
        <f>IF(Liens!C322="","",IF(COUNTIF(Mots!A:A,Liens!C322)&gt;0,"✓ "&amp;Liens!C322,"✗ "&amp;Liens!C322&amp;" (introuvable)"))</f>
        <v>✓ periode</v>
      </c>
      <c r="E327" s="35" t="str">
        <f>IF(Liens!D322="","",IF(COUNTIF(Mots!A:A,Liens!D322)&gt;0,"✓ "&amp;Liens!D322,"✗ "&amp;Liens!D322&amp;" (introuvable)"))</f>
        <v/>
      </c>
      <c r="F327" s="35" t="str">
        <f>IF(Liens!E322="","",IF(COUNTIF(Mots!A:A,Liens!E322)&gt;0,"✓ "&amp;Liens!E322,"✗ "&amp;Liens!E322&amp;" (introuvable)"))</f>
        <v/>
      </c>
      <c r="G327" s="35" t="str">
        <f>IF(Liens!F322="","",IF(COUNTIF(Mots!A:A,Liens!F322)&gt;0,"✓ "&amp;Liens!F322,"✗ "&amp;Liens!F322&amp;" (introuvable)"))</f>
        <v/>
      </c>
      <c r="H327" s="35" t="str">
        <f>IF(Liens!G322="","",IF(COUNTIF(Mots!A:A,Liens!G322)&gt;0,"✓ "&amp;Liens!G322,"✗ "&amp;Liens!G322&amp;" (introuvable)"))</f>
        <v/>
      </c>
      <c r="I327" s="35" t="str">
        <f>IF(Liens!H322="","",IF(COUNTIF(Mots!A:A,Liens!H322)&gt;0,"✓ "&amp;Liens!H322,"✗ "&amp;Liens!H322&amp;" (introuvable)"))</f>
        <v/>
      </c>
    </row>
    <row r="328" spans="1:9" x14ac:dyDescent="0.3">
      <c r="A328">
        <f t="shared" si="1"/>
        <v>323</v>
      </c>
      <c r="B328" s="35" t="str">
        <f>IF(Liens!A323="","",IF(COUNTIF(Mots!A:A,Liens!A323)&gt;0,"✓ "&amp;Liens!A323,"✗ "&amp;Liens!A323&amp;" (introuvable)"))</f>
        <v>✓ engin</v>
      </c>
      <c r="C328" s="35" t="str">
        <f>IF(Liens!B323="","",IF(COUNTIF(Mots!A:A,Liens!B323)&gt;0,"✓ "&amp;Liens!B323,"✗ "&amp;Liens!B323&amp;" (introuvable)"))</f>
        <v>✓ machine</v>
      </c>
      <c r="D328" s="35" t="str">
        <f>IF(Liens!C323="","",IF(COUNTIF(Mots!A:A,Liens!C323)&gt;0,"✓ "&amp;Liens!C323,"✗ "&amp;Liens!C323&amp;" (introuvable)"))</f>
        <v>✓ appareil</v>
      </c>
      <c r="E328" s="35" t="str">
        <f>IF(Liens!D323="","",IF(COUNTIF(Mots!A:A,Liens!D323)&gt;0,"✓ "&amp;Liens!D323,"✗ "&amp;Liens!D323&amp;" (introuvable)"))</f>
        <v>✓ travail</v>
      </c>
      <c r="F328" s="35" t="str">
        <f>IF(Liens!E323="","",IF(COUNTIF(Mots!A:A,Liens!E323)&gt;0,"✓ "&amp;Liens!E323,"✗ "&amp;Liens!E323&amp;" (introuvable)"))</f>
        <v>✓ mecanicien</v>
      </c>
      <c r="G328" s="35" t="str">
        <f>IF(Liens!F323="","",IF(COUNTIF(Mots!A:A,Liens!F323)&gt;0,"✓ "&amp;Liens!F323,"✗ "&amp;Liens!F323&amp;" (introuvable)"))</f>
        <v>✓ construction</v>
      </c>
      <c r="H328" s="35" t="str">
        <f>IF(Liens!G323="","",IF(COUNTIF(Mots!A:A,Liens!G323)&gt;0,"✓ "&amp;Liens!G323,"✗ "&amp;Liens!G323&amp;" (introuvable)"))</f>
        <v/>
      </c>
      <c r="I328" s="35" t="str">
        <f>IF(Liens!H323="","",IF(COUNTIF(Mots!A:A,Liens!H323)&gt;0,"✓ "&amp;Liens!H323,"✗ "&amp;Liens!H323&amp;" (introuvable)"))</f>
        <v/>
      </c>
    </row>
    <row r="329" spans="1:9" x14ac:dyDescent="0.3">
      <c r="A329">
        <f t="shared" si="1"/>
        <v>324</v>
      </c>
      <c r="B329" s="35" t="str">
        <f>IF(Liens!A324="","",IF(COUNTIF(Mots!A:A,Liens!A324)&gt;0,"✓ "&amp;Liens!A324,"✗ "&amp;Liens!A324&amp;" (introuvable)"))</f>
        <v>✓ ennui</v>
      </c>
      <c r="C329" s="35" t="str">
        <f>IF(Liens!B324="","",IF(COUNTIF(Mots!A:A,Liens!B324)&gt;0,"✓ "&amp;Liens!B324,"✗ "&amp;Liens!B324&amp;" (introuvable)"))</f>
        <v>✓ emotion</v>
      </c>
      <c r="D329" s="35" t="str">
        <f>IF(Liens!C324="","",IF(COUNTIF(Mots!A:A,Liens!C324)&gt;0,"✓ "&amp;Liens!C324,"✗ "&amp;Liens!C324&amp;" (introuvable)"))</f>
        <v>✓ v_attendre</v>
      </c>
      <c r="E329" s="35" t="str">
        <f>IF(Liens!D324="","",IF(COUNTIF(Mots!A:A,Liens!D324)&gt;0,"✓ "&amp;Liens!D324,"✗ "&amp;Liens!D324&amp;" (introuvable)"))</f>
        <v>✓ v_faire</v>
      </c>
      <c r="F329" s="35" t="str">
        <f>IF(Liens!E324="","",IF(COUNTIF(Mots!A:A,Liens!E324)&gt;0,"✓ "&amp;Liens!E324,"✗ "&amp;Liens!E324&amp;" (introuvable)"))</f>
        <v>✓ v_travailler</v>
      </c>
      <c r="G329" s="35" t="str">
        <f>IF(Liens!F324="","",IF(COUNTIF(Mots!A:A,Liens!F324)&gt;0,"✓ "&amp;Liens!F324,"✗ "&amp;Liens!F324&amp;" (introuvable)"))</f>
        <v/>
      </c>
      <c r="H329" s="35" t="str">
        <f>IF(Liens!G324="","",IF(COUNTIF(Mots!A:A,Liens!G324)&gt;0,"✓ "&amp;Liens!G324,"✗ "&amp;Liens!G324&amp;" (introuvable)"))</f>
        <v/>
      </c>
      <c r="I329" s="35" t="str">
        <f>IF(Liens!H324="","",IF(COUNTIF(Mots!A:A,Liens!H324)&gt;0,"✓ "&amp;Liens!H324,"✗ "&amp;Liens!H324&amp;" (introuvable)"))</f>
        <v/>
      </c>
    </row>
    <row r="330" spans="1:9" x14ac:dyDescent="0.3">
      <c r="A330">
        <f t="shared" si="1"/>
        <v>325</v>
      </c>
      <c r="B330" s="35" t="str">
        <f>IF(Liens!A325="","",IF(COUNTIF(Mots!A:A,Liens!A325)&gt;0,"✓ "&amp;Liens!A325,"✗ "&amp;Liens!A325&amp;" (introuvable)"))</f>
        <v>✓ ensemble</v>
      </c>
      <c r="C330" s="35" t="str">
        <f>IF(Liens!B325="","",IF(COUNTIF(Mots!A:A,Liens!B325)&gt;0,"✓ "&amp;Liens!B325,"✗ "&amp;Liens!B325&amp;" (introuvable)"))</f>
        <v>✓ groupe</v>
      </c>
      <c r="D330" s="35" t="str">
        <f>IF(Liens!C325="","",IF(COUNTIF(Mots!A:A,Liens!C325)&gt;0,"✓ "&amp;Liens!C325,"✗ "&amp;Liens!C325&amp;" (introuvable)"))</f>
        <v>✓ equipe</v>
      </c>
      <c r="E330" s="35" t="str">
        <f>IF(Liens!D325="","",IF(COUNTIF(Mots!A:A,Liens!D325)&gt;0,"✓ "&amp;Liens!D325,"✗ "&amp;Liens!D325&amp;" (introuvable)"))</f>
        <v>✓ personne</v>
      </c>
      <c r="F330" s="35" t="str">
        <f>IF(Liens!E325="","",IF(COUNTIF(Mots!A:A,Liens!E325)&gt;0,"✓ "&amp;Liens!E325,"✗ "&amp;Liens!E325&amp;" (introuvable)"))</f>
        <v>✓ gens</v>
      </c>
      <c r="G330" s="35" t="str">
        <f>IF(Liens!F325="","",IF(COUNTIF(Mots!A:A,Liens!F325)&gt;0,"✓ "&amp;Liens!F325,"✗ "&amp;Liens!F325&amp;" (introuvable)"))</f>
        <v>✓ homme</v>
      </c>
      <c r="H330" s="35" t="str">
        <f>IF(Liens!G325="","",IF(COUNTIF(Mots!A:A,Liens!G325)&gt;0,"✓ "&amp;Liens!G325,"✗ "&amp;Liens!G325&amp;" (introuvable)"))</f>
        <v>✓ femme</v>
      </c>
      <c r="I330" s="35" t="str">
        <f>IF(Liens!H325="","",IF(COUNTIF(Mots!A:A,Liens!H325)&gt;0,"✓ "&amp;Liens!H325,"✗ "&amp;Liens!H325&amp;" (introuvable)"))</f>
        <v>✓ v_jouer</v>
      </c>
    </row>
    <row r="331" spans="1:9" x14ac:dyDescent="0.3">
      <c r="A331">
        <f t="shared" si="1"/>
        <v>326</v>
      </c>
      <c r="B331" s="35" t="str">
        <f>IF(Liens!A326="","",IF(COUNTIF(Mots!A:A,Liens!A326)&gt;0,"✓ "&amp;Liens!A326,"✗ "&amp;Liens!A326&amp;" (introuvable)"))</f>
        <v>✓ ensuite</v>
      </c>
      <c r="C331" s="35" t="str">
        <f>IF(Liens!B326="","",IF(COUNTIF(Mots!A:A,Liens!B326)&gt;0,"✓ "&amp;Liens!B326,"✗ "&amp;Liens!B326&amp;" (introuvable)"))</f>
        <v>✓ moment</v>
      </c>
      <c r="D331" s="35" t="str">
        <f>IF(Liens!C326="","",IF(COUNTIF(Mots!A:A,Liens!C326)&gt;0,"✓ "&amp;Liens!C326,"✗ "&amp;Liens!C326&amp;" (introuvable)"))</f>
        <v>✓ periode</v>
      </c>
      <c r="E331" s="35" t="str">
        <f>IF(Liens!D326="","",IF(COUNTIF(Mots!A:A,Liens!D326)&gt;0,"✓ "&amp;Liens!D326,"✗ "&amp;Liens!D326&amp;" (introuvable)"))</f>
        <v/>
      </c>
      <c r="F331" s="35" t="str">
        <f>IF(Liens!E326="","",IF(COUNTIF(Mots!A:A,Liens!E326)&gt;0,"✓ "&amp;Liens!E326,"✗ "&amp;Liens!E326&amp;" (introuvable)"))</f>
        <v/>
      </c>
      <c r="G331" s="35" t="str">
        <f>IF(Liens!F326="","",IF(COUNTIF(Mots!A:A,Liens!F326)&gt;0,"✓ "&amp;Liens!F326,"✗ "&amp;Liens!F326&amp;" (introuvable)"))</f>
        <v/>
      </c>
      <c r="H331" s="35" t="str">
        <f>IF(Liens!G326="","",IF(COUNTIF(Mots!A:A,Liens!G326)&gt;0,"✓ "&amp;Liens!G326,"✗ "&amp;Liens!G326&amp;" (introuvable)"))</f>
        <v/>
      </c>
      <c r="I331" s="35" t="str">
        <f>IF(Liens!H326="","",IF(COUNTIF(Mots!A:A,Liens!H326)&gt;0,"✓ "&amp;Liens!H326,"✗ "&amp;Liens!H326&amp;" (introuvable)"))</f>
        <v/>
      </c>
    </row>
    <row r="332" spans="1:9" x14ac:dyDescent="0.3">
      <c r="A332">
        <f t="shared" si="1"/>
        <v>327</v>
      </c>
      <c r="B332" s="35" t="str">
        <f>IF(Liens!A327="","",IF(COUNTIF(Mots!A:A,Liens!A327)&gt;0,"✓ "&amp;Liens!A327,"✗ "&amp;Liens!A327&amp;" (introuvable)"))</f>
        <v>✓ entier</v>
      </c>
      <c r="C332" s="35" t="str">
        <f>IF(Liens!B327="","",IF(COUNTIF(Mots!A:A,Liens!B327)&gt;0,"✓ "&amp;Liens!B327,"✗ "&amp;Liens!B327&amp;" (introuvable)"))</f>
        <v>✓ partie</v>
      </c>
      <c r="D332" s="35" t="str">
        <f>IF(Liens!C327="","",IF(COUNTIF(Mots!A:A,Liens!C327)&gt;0,"✓ "&amp;Liens!C327,"✗ "&amp;Liens!C327&amp;" (introuvable)"))</f>
        <v>✓ morceau</v>
      </c>
      <c r="E332" s="35" t="str">
        <f>IF(Liens!D327="","",IF(COUNTIF(Mots!A:A,Liens!D327)&gt;0,"✓ "&amp;Liens!D327,"✗ "&amp;Liens!D327&amp;" (introuvable)"))</f>
        <v/>
      </c>
      <c r="F332" s="35" t="str">
        <f>IF(Liens!E327="","",IF(COUNTIF(Mots!A:A,Liens!E327)&gt;0,"✓ "&amp;Liens!E327,"✗ "&amp;Liens!E327&amp;" (introuvable)"))</f>
        <v/>
      </c>
      <c r="G332" s="35" t="str">
        <f>IF(Liens!F327="","",IF(COUNTIF(Mots!A:A,Liens!F327)&gt;0,"✓ "&amp;Liens!F327,"✗ "&amp;Liens!F327&amp;" (introuvable)"))</f>
        <v/>
      </c>
      <c r="H332" s="35" t="str">
        <f>IF(Liens!G327="","",IF(COUNTIF(Mots!A:A,Liens!G327)&gt;0,"✓ "&amp;Liens!G327,"✗ "&amp;Liens!G327&amp;" (introuvable)"))</f>
        <v/>
      </c>
      <c r="I332" s="35" t="str">
        <f>IF(Liens!H327="","",IF(COUNTIF(Mots!A:A,Liens!H327)&gt;0,"✓ "&amp;Liens!H327,"✗ "&amp;Liens!H327&amp;" (introuvable)"))</f>
        <v/>
      </c>
    </row>
    <row r="333" spans="1:9" x14ac:dyDescent="0.3">
      <c r="A333">
        <f t="shared" si="1"/>
        <v>328</v>
      </c>
      <c r="B333" s="35" t="str">
        <f>IF(Liens!A328="","",IF(COUNTIF(Mots!A:A,Liens!A328)&gt;0,"✓ "&amp;Liens!A328,"✗ "&amp;Liens!A328&amp;" (introuvable)"))</f>
        <v>✓ entonnoir</v>
      </c>
      <c r="C333" s="35" t="str">
        <f>IF(Liens!B328="","",IF(COUNTIF(Mots!A:A,Liens!B328)&gt;0,"✓ "&amp;Liens!B328,"✗ "&amp;Liens!B328&amp;" (introuvable)"))</f>
        <v>✓ essence</v>
      </c>
      <c r="D333" s="35" t="str">
        <f>IF(Liens!C328="","",IF(COUNTIF(Mots!A:A,Liens!C328)&gt;0,"✓ "&amp;Liens!C328,"✗ "&amp;Liens!C328&amp;" (introuvable)"))</f>
        <v>✓ tondeuse_a_gazon</v>
      </c>
      <c r="E333" s="35" t="str">
        <f>IF(Liens!D328="","",IF(COUNTIF(Mots!A:A,Liens!D328)&gt;0,"✓ "&amp;Liens!D328,"✗ "&amp;Liens!D328&amp;" (introuvable)"))</f>
        <v>✓ debroussailleuse</v>
      </c>
      <c r="F333" s="35" t="str">
        <f>IF(Liens!E328="","",IF(COUNTIF(Mots!A:A,Liens!E328)&gt;0,"✓ "&amp;Liens!E328,"✗ "&amp;Liens!E328&amp;" (introuvable)"))</f>
        <v>✓ tronconneuse</v>
      </c>
      <c r="G333" s="35" t="str">
        <f>IF(Liens!F328="","",IF(COUNTIF(Mots!A:A,Liens!F328)&gt;0,"✓ "&amp;Liens!F328,"✗ "&amp;Liens!F328&amp;" (introuvable)"))</f>
        <v>✓ forme</v>
      </c>
      <c r="H333" s="35" t="str">
        <f>IF(Liens!G328="","",IF(COUNTIF(Mots!A:A,Liens!G328)&gt;0,"✓ "&amp;Liens!G328,"✗ "&amp;Liens!G328&amp;" (introuvable)"))</f>
        <v>✓ cone</v>
      </c>
      <c r="I333" s="35" t="str">
        <f>IF(Liens!H328="","",IF(COUNTIF(Mots!A:A,Liens!H328)&gt;0,"✓ "&amp;Liens!H328,"✗ "&amp;Liens!H328&amp;" (introuvable)"))</f>
        <v>✓ a_vide_plein</v>
      </c>
    </row>
    <row r="334" spans="1:9" x14ac:dyDescent="0.3">
      <c r="A334">
        <f t="shared" si="1"/>
        <v>329</v>
      </c>
      <c r="B334" s="35" t="str">
        <f>IF(Liens!A329="","",IF(COUNTIF(Mots!A:A,Liens!A329)&gt;0,"✓ "&amp;Liens!A329,"✗ "&amp;Liens!A329&amp;" (introuvable)"))</f>
        <v>✓ entraide</v>
      </c>
      <c r="C334" s="35" t="str">
        <f>IF(Liens!B329="","",IF(COUNTIF(Mots!A:A,Liens!B329)&gt;0,"✓ "&amp;Liens!B329,"✗ "&amp;Liens!B329&amp;" (introuvable)"))</f>
        <v>✓ aide</v>
      </c>
      <c r="D334" s="35" t="str">
        <f>IF(Liens!C329="","",IF(COUNTIF(Mots!A:A,Liens!C329)&gt;0,"✓ "&amp;Liens!C329,"✗ "&amp;Liens!C329&amp;" (introuvable)"))</f>
        <v>✓ v_aider</v>
      </c>
      <c r="E334" s="35" t="str">
        <f>IF(Liens!D329="","",IF(COUNTIF(Mots!A:A,Liens!D329)&gt;0,"✓ "&amp;Liens!D329,"✗ "&amp;Liens!D329&amp;" (introuvable)"))</f>
        <v>✓ famille</v>
      </c>
      <c r="F334" s="35" t="str">
        <f>IF(Liens!E329="","",IF(COUNTIF(Mots!A:A,Liens!E329)&gt;0,"✓ "&amp;Liens!E329,"✗ "&amp;Liens!E329&amp;" (introuvable)"))</f>
        <v>✓ ami</v>
      </c>
      <c r="G334" s="35" t="str">
        <f>IF(Liens!F329="","",IF(COUNTIF(Mots!A:A,Liens!F329)&gt;0,"✓ "&amp;Liens!F329,"✗ "&amp;Liens!F329&amp;" (introuvable)"))</f>
        <v/>
      </c>
      <c r="H334" s="35" t="str">
        <f>IF(Liens!G329="","",IF(COUNTIF(Mots!A:A,Liens!G329)&gt;0,"✓ "&amp;Liens!G329,"✗ "&amp;Liens!G329&amp;" (introuvable)"))</f>
        <v/>
      </c>
      <c r="I334" s="35" t="str">
        <f>IF(Liens!H329="","",IF(COUNTIF(Mots!A:A,Liens!H329)&gt;0,"✓ "&amp;Liens!H329,"✗ "&amp;Liens!H329&amp;" (introuvable)"))</f>
        <v/>
      </c>
    </row>
    <row r="335" spans="1:9" x14ac:dyDescent="0.3">
      <c r="A335">
        <f t="shared" ref="A335:A398" si="2">A334+1</f>
        <v>330</v>
      </c>
      <c r="B335" s="35" t="str">
        <f>IF(Liens!A330="","",IF(COUNTIF(Mots!A:A,Liens!A330)&gt;0,"✓ "&amp;Liens!A330,"✗ "&amp;Liens!A330&amp;" (introuvable)"))</f>
        <v>✓ entretien</v>
      </c>
      <c r="C335" s="35" t="str">
        <f>IF(Liens!B330="","",IF(COUNTIF(Mots!A:A,Liens!B330)&gt;0,"✓ "&amp;Liens!B330,"✗ "&amp;Liens!B330&amp;" (introuvable)"))</f>
        <v>✓ v_reparer</v>
      </c>
      <c r="D335" s="35" t="str">
        <f>IF(Liens!C330="","",IF(COUNTIF(Mots!A:A,Liens!C330)&gt;0,"✓ "&amp;Liens!C330,"✗ "&amp;Liens!C330&amp;" (introuvable)"))</f>
        <v>✓ bricolage</v>
      </c>
      <c r="E335" s="35" t="str">
        <f>IF(Liens!D330="","",IF(COUNTIF(Mots!A:A,Liens!D330)&gt;0,"✓ "&amp;Liens!D330,"✗ "&amp;Liens!D330&amp;" (introuvable)"))</f>
        <v>✓ maison</v>
      </c>
      <c r="F335" s="35" t="str">
        <f>IF(Liens!E330="","",IF(COUNTIF(Mots!A:A,Liens!E330)&gt;0,"✓ "&amp;Liens!E330,"✗ "&amp;Liens!E330&amp;" (introuvable)"))</f>
        <v>✓ voiture</v>
      </c>
      <c r="G335" s="35" t="str">
        <f>IF(Liens!F330="","",IF(COUNTIF(Mots!A:A,Liens!F330)&gt;0,"✓ "&amp;Liens!F330,"✗ "&amp;Liens!F330&amp;" (introuvable)"))</f>
        <v>✓ velo</v>
      </c>
      <c r="H335" s="35" t="str">
        <f>IF(Liens!G330="","",IF(COUNTIF(Mots!A:A,Liens!G330)&gt;0,"✓ "&amp;Liens!G330,"✗ "&amp;Liens!G330&amp;" (introuvable)"))</f>
        <v>✓ tondeuse_a_gazon</v>
      </c>
      <c r="I335" s="35" t="str">
        <f>IF(Liens!H330="","",IF(COUNTIF(Mots!A:A,Liens!H330)&gt;0,"✓ "&amp;Liens!H330,"✗ "&amp;Liens!H330&amp;" (introuvable)"))</f>
        <v>✓ debroussailleuse</v>
      </c>
    </row>
    <row r="336" spans="1:9" x14ac:dyDescent="0.3">
      <c r="A336">
        <f t="shared" si="2"/>
        <v>331</v>
      </c>
      <c r="B336" s="35" t="str">
        <f>IF(Liens!A331="","",IF(COUNTIF(Mots!A:A,Liens!A331)&gt;0,"✓ "&amp;Liens!A331,"✗ "&amp;Liens!A331&amp;" (introuvable)"))</f>
        <v>✓ enveloppe</v>
      </c>
      <c r="C336" s="35" t="str">
        <f>IF(Liens!B331="","",IF(COUNTIF(Mots!A:A,Liens!B331)&gt;0,"✓ "&amp;Liens!B331,"✗ "&amp;Liens!B331&amp;" (introuvable)"))</f>
        <v>✓ papier</v>
      </c>
      <c r="D336" s="35" t="str">
        <f>IF(Liens!C331="","",IF(COUNTIF(Mots!A:A,Liens!C331)&gt;0,"✓ "&amp;Liens!C331,"✗ "&amp;Liens!C331&amp;" (introuvable)"))</f>
        <v>✓ lettre</v>
      </c>
      <c r="E336" s="35" t="str">
        <f>IF(Liens!D331="","",IF(COUNTIF(Mots!A:A,Liens!D331)&gt;0,"✓ "&amp;Liens!D331,"✗ "&amp;Liens!D331&amp;" (introuvable)"))</f>
        <v>✓ courrier</v>
      </c>
      <c r="F336" s="35" t="str">
        <f>IF(Liens!E331="","",IF(COUNTIF(Mots!A:A,Liens!E331)&gt;0,"✓ "&amp;Liens!E331,"✗ "&amp;Liens!E331&amp;" (introuvable)"))</f>
        <v>✓ v_ecrire</v>
      </c>
      <c r="G336" s="35" t="str">
        <f>IF(Liens!F331="","",IF(COUNTIF(Mots!A:A,Liens!F331)&gt;0,"✓ "&amp;Liens!F331,"✗ "&amp;Liens!F331&amp;" (introuvable)"))</f>
        <v>✓ poste</v>
      </c>
      <c r="H336" s="35" t="str">
        <f>IF(Liens!G331="","",IF(COUNTIF(Mots!A:A,Liens!G331)&gt;0,"✓ "&amp;Liens!G331,"✗ "&amp;Liens!G331&amp;" (introuvable)"))</f>
        <v>✓ facteur</v>
      </c>
      <c r="I336" s="35" t="str">
        <f>IF(Liens!H331="","",IF(COUNTIF(Mots!A:A,Liens!H331)&gt;0,"✓ "&amp;Liens!H331,"✗ "&amp;Liens!H331&amp;" (introuvable)"))</f>
        <v/>
      </c>
    </row>
    <row r="337" spans="1:9" x14ac:dyDescent="0.3">
      <c r="A337">
        <f t="shared" si="2"/>
        <v>332</v>
      </c>
      <c r="B337" s="35" t="str">
        <f>IF(Liens!A332="","",IF(COUNTIF(Mots!A:A,Liens!A332)&gt;0,"✓ "&amp;Liens!A332,"✗ "&amp;Liens!A332&amp;" (introuvable)"))</f>
        <v>✓ envie</v>
      </c>
      <c r="C337" s="35" t="str">
        <f>IF(Liens!B332="","",IF(COUNTIF(Mots!A:A,Liens!B332)&gt;0,"✓ "&amp;Liens!B332,"✗ "&amp;Liens!B332&amp;" (introuvable)"))</f>
        <v>✓ desir</v>
      </c>
      <c r="D337" s="35" t="str">
        <f>IF(Liens!C332="","",IF(COUNTIF(Mots!A:A,Liens!C332)&gt;0,"✓ "&amp;Liens!C332,"✗ "&amp;Liens!C332&amp;" (introuvable)"))</f>
        <v>✓ souhait</v>
      </c>
      <c r="E337" s="35" t="str">
        <f>IF(Liens!D332="","",IF(COUNTIF(Mots!A:A,Liens!D332)&gt;0,"✓ "&amp;Liens!D332,"✗ "&amp;Liens!D332&amp;" (introuvable)"))</f>
        <v>✓ v_vouloir</v>
      </c>
      <c r="F337" s="35" t="str">
        <f>IF(Liens!E332="","",IF(COUNTIF(Mots!A:A,Liens!E332)&gt;0,"✓ "&amp;Liens!E332,"✗ "&amp;Liens!E332&amp;" (introuvable)"))</f>
        <v>✓ v_choisir</v>
      </c>
      <c r="G337" s="35" t="str">
        <f>IF(Liens!F332="","",IF(COUNTIF(Mots!A:A,Liens!F332)&gt;0,"✓ "&amp;Liens!F332,"✗ "&amp;Liens!F332&amp;" (introuvable)"))</f>
        <v>✓ v_manger</v>
      </c>
      <c r="H337" s="35" t="str">
        <f>IF(Liens!G332="","",IF(COUNTIF(Mots!A:A,Liens!G332)&gt;0,"✓ "&amp;Liens!G332,"✗ "&amp;Liens!G332&amp;" (introuvable)"))</f>
        <v>✓ v_boire</v>
      </c>
      <c r="I337" s="35" t="str">
        <f>IF(Liens!H332="","",IF(COUNTIF(Mots!A:A,Liens!H332)&gt;0,"✓ "&amp;Liens!H332,"✗ "&amp;Liens!H332&amp;" (introuvable)"))</f>
        <v>✓ v_acheter</v>
      </c>
    </row>
    <row r="338" spans="1:9" x14ac:dyDescent="0.3">
      <c r="A338">
        <f t="shared" si="2"/>
        <v>333</v>
      </c>
      <c r="B338" s="35" t="str">
        <f>IF(Liens!A333="","",IF(COUNTIF(Mots!A:A,Liens!A333)&gt;0,"✓ "&amp;Liens!A333,"✗ "&amp;Liens!A333&amp;" (introuvable)"))</f>
        <v>✓ environnement</v>
      </c>
      <c r="C338" s="35" t="str">
        <f>IF(Liens!B333="","",IF(COUNTIF(Mots!A:A,Liens!B333)&gt;0,"✓ "&amp;Liens!B333,"✗ "&amp;Liens!B333&amp;" (introuvable)"))</f>
        <v>✓ nature</v>
      </c>
      <c r="D338" s="35" t="str">
        <f>IF(Liens!C333="","",IF(COUNTIF(Mots!A:A,Liens!C333)&gt;0,"✓ "&amp;Liens!C333,"✗ "&amp;Liens!C333&amp;" (introuvable)"))</f>
        <v>✓ campagne</v>
      </c>
      <c r="E338" s="35" t="str">
        <f>IF(Liens!D333="","",IF(COUNTIF(Mots!A:A,Liens!D333)&gt;0,"✓ "&amp;Liens!D333,"✗ "&amp;Liens!D333&amp;" (introuvable)"))</f>
        <v>✓ ville</v>
      </c>
      <c r="F338" s="35" t="str">
        <f>IF(Liens!E333="","",IF(COUNTIF(Mots!A:A,Liens!E333)&gt;0,"✓ "&amp;Liens!E333,"✗ "&amp;Liens!E333&amp;" (introuvable)"))</f>
        <v>✓ montagne</v>
      </c>
      <c r="G338" s="35" t="str">
        <f>IF(Liens!F333="","",IF(COUNTIF(Mots!A:A,Liens!F333)&gt;0,"✓ "&amp;Liens!F333,"✗ "&amp;Liens!F333&amp;" (introuvable)"))</f>
        <v>✓ lac</v>
      </c>
      <c r="H338" s="35" t="str">
        <f>IF(Liens!G333="","",IF(COUNTIF(Mots!A:A,Liens!G333)&gt;0,"✓ "&amp;Liens!G333,"✗ "&amp;Liens!G333&amp;" (introuvable)"))</f>
        <v/>
      </c>
      <c r="I338" s="35" t="str">
        <f>IF(Liens!H333="","",IF(COUNTIF(Mots!A:A,Liens!H333)&gt;0,"✓ "&amp;Liens!H333,"✗ "&amp;Liens!H333&amp;" (introuvable)"))</f>
        <v/>
      </c>
    </row>
    <row r="339" spans="1:9" x14ac:dyDescent="0.3">
      <c r="A339">
        <f t="shared" si="2"/>
        <v>334</v>
      </c>
      <c r="B339" s="35" t="str">
        <f>IF(Liens!A334="","",IF(COUNTIF(Mots!A:A,Liens!A334)&gt;0,"✓ "&amp;Liens!A334,"✗ "&amp;Liens!A334&amp;" (introuvable)"))</f>
        <v>✓ epaisseur</v>
      </c>
      <c r="C339" s="35" t="str">
        <f>IF(Liens!B334="","",IF(COUNTIF(Mots!A:A,Liens!B334)&gt;0,"✓ "&amp;Liens!B334,"✗ "&amp;Liens!B334&amp;" (introuvable)"))</f>
        <v>✓ a_epais_fin</v>
      </c>
      <c r="D339" s="35" t="str">
        <f>IF(Liens!C334="","",IF(COUNTIF(Mots!A:A,Liens!C334)&gt;0,"✓ "&amp;Liens!C334,"✗ "&amp;Liens!C334&amp;" (introuvable)"))</f>
        <v/>
      </c>
      <c r="E339" s="35" t="str">
        <f>IF(Liens!D334="","",IF(COUNTIF(Mots!A:A,Liens!D334)&gt;0,"✓ "&amp;Liens!D334,"✗ "&amp;Liens!D334&amp;" (introuvable)"))</f>
        <v/>
      </c>
      <c r="F339" s="35" t="str">
        <f>IF(Liens!E334="","",IF(COUNTIF(Mots!A:A,Liens!E334)&gt;0,"✓ "&amp;Liens!E334,"✗ "&amp;Liens!E334&amp;" (introuvable)"))</f>
        <v/>
      </c>
      <c r="G339" s="35" t="str">
        <f>IF(Liens!F334="","",IF(COUNTIF(Mots!A:A,Liens!F334)&gt;0,"✓ "&amp;Liens!F334,"✗ "&amp;Liens!F334&amp;" (introuvable)"))</f>
        <v/>
      </c>
      <c r="H339" s="35" t="str">
        <f>IF(Liens!G334="","",IF(COUNTIF(Mots!A:A,Liens!G334)&gt;0,"✓ "&amp;Liens!G334,"✗ "&amp;Liens!G334&amp;" (introuvable)"))</f>
        <v/>
      </c>
      <c r="I339" s="35" t="str">
        <f>IF(Liens!H334="","",IF(COUNTIF(Mots!A:A,Liens!H334)&gt;0,"✓ "&amp;Liens!H334,"✗ "&amp;Liens!H334&amp;" (introuvable)"))</f>
        <v/>
      </c>
    </row>
    <row r="340" spans="1:9" x14ac:dyDescent="0.3">
      <c r="A340">
        <f t="shared" si="2"/>
        <v>335</v>
      </c>
      <c r="B340" s="35" t="str">
        <f>IF(Liens!A335="","",IF(COUNTIF(Mots!A:A,Liens!A335)&gt;0,"✓ "&amp;Liens!A335,"✗ "&amp;Liens!A335&amp;" (introuvable)"))</f>
        <v>✓ epaule</v>
      </c>
      <c r="C340" s="35" t="str">
        <f>IF(Liens!B335="","",IF(COUNTIF(Mots!A:A,Liens!B335)&gt;0,"✓ "&amp;Liens!B335,"✗ "&amp;Liens!B335&amp;" (introuvable)"))</f>
        <v>✓ corps_humain</v>
      </c>
      <c r="D340" s="35" t="str">
        <f>IF(Liens!C335="","",IF(COUNTIF(Mots!A:A,Liens!C335)&gt;0,"✓ "&amp;Liens!C335,"✗ "&amp;Liens!C335&amp;" (introuvable)"))</f>
        <v>✓ tronc_anatomie</v>
      </c>
      <c r="E340" s="35" t="str">
        <f>IF(Liens!D335="","",IF(COUNTIF(Mots!A:A,Liens!D335)&gt;0,"✓ "&amp;Liens!D335,"✗ "&amp;Liens!D335&amp;" (introuvable)"))</f>
        <v>✓ cou</v>
      </c>
      <c r="F340" s="35" t="str">
        <f>IF(Liens!E335="","",IF(COUNTIF(Mots!A:A,Liens!E335)&gt;0,"✓ "&amp;Liens!E335,"✗ "&amp;Liens!E335&amp;" (introuvable)"))</f>
        <v>✓ bras</v>
      </c>
      <c r="G340" s="35" t="str">
        <f>IF(Liens!F335="","",IF(COUNTIF(Mots!A:A,Liens!F335)&gt;0,"✓ "&amp;Liens!F335,"✗ "&amp;Liens!F335&amp;" (introuvable)"))</f>
        <v>✓ main</v>
      </c>
      <c r="H340" s="35" t="str">
        <f>IF(Liens!G335="","",IF(COUNTIF(Mots!A:A,Liens!G335)&gt;0,"✓ "&amp;Liens!G335,"✗ "&amp;Liens!G335&amp;" (introuvable)"))</f>
        <v/>
      </c>
      <c r="I340" s="35" t="str">
        <f>IF(Liens!H335="","",IF(COUNTIF(Mots!A:A,Liens!H335)&gt;0,"✓ "&amp;Liens!H335,"✗ "&amp;Liens!H335&amp;" (introuvable)"))</f>
        <v/>
      </c>
    </row>
    <row r="341" spans="1:9" x14ac:dyDescent="0.3">
      <c r="A341">
        <f t="shared" si="2"/>
        <v>336</v>
      </c>
      <c r="B341" s="35" t="str">
        <f>IF(Liens!A336="","",IF(COUNTIF(Mots!A:A,Liens!A336)&gt;0,"✓ "&amp;Liens!A336,"✗ "&amp;Liens!A336&amp;" (introuvable)"))</f>
        <v>✓ epice</v>
      </c>
      <c r="C341" s="35" t="str">
        <f>IF(Liens!B336="","",IF(COUNTIF(Mots!A:A,Liens!B336)&gt;0,"✓ "&amp;Liens!B336,"✗ "&amp;Liens!B336&amp;" (introuvable)"))</f>
        <v>✓ assaisonnement</v>
      </c>
      <c r="D341" s="35" t="str">
        <f>IF(Liens!C336="","",IF(COUNTIF(Mots!A:A,Liens!C336)&gt;0,"✓ "&amp;Liens!C336,"✗ "&amp;Liens!C336&amp;" (introuvable)"))</f>
        <v>✓ sel</v>
      </c>
      <c r="E341" s="35" t="str">
        <f>IF(Liens!D336="","",IF(COUNTIF(Mots!A:A,Liens!D336)&gt;0,"✓ "&amp;Liens!D336,"✗ "&amp;Liens!D336&amp;" (introuvable)"))</f>
        <v>✓ poivre</v>
      </c>
      <c r="F341" s="35" t="str">
        <f>IF(Liens!E336="","",IF(COUNTIF(Mots!A:A,Liens!E336)&gt;0,"✓ "&amp;Liens!E336,"✗ "&amp;Liens!E336&amp;" (introuvable)"))</f>
        <v>✓ curry</v>
      </c>
      <c r="G341" s="35" t="str">
        <f>IF(Liens!F336="","",IF(COUNTIF(Mots!A:A,Liens!F336)&gt;0,"✓ "&amp;Liens!F336,"✗ "&amp;Liens!F336&amp;" (introuvable)"))</f>
        <v>✓ gout</v>
      </c>
      <c r="H341" s="35" t="str">
        <f>IF(Liens!G336="","",IF(COUNTIF(Mots!A:A,Liens!G336)&gt;0,"✓ "&amp;Liens!G336,"✗ "&amp;Liens!G336&amp;" (introuvable)"))</f>
        <v/>
      </c>
      <c r="I341" s="35" t="str">
        <f>IF(Liens!H336="","",IF(COUNTIF(Mots!A:A,Liens!H336)&gt;0,"✓ "&amp;Liens!H336,"✗ "&amp;Liens!H336&amp;" (introuvable)"))</f>
        <v/>
      </c>
    </row>
    <row r="342" spans="1:9" x14ac:dyDescent="0.3">
      <c r="A342">
        <f t="shared" si="2"/>
        <v>337</v>
      </c>
      <c r="B342" s="35" t="str">
        <f>IF(Liens!A337="","",IF(COUNTIF(Mots!A:A,Liens!A337)&gt;0,"✓ "&amp;Liens!A337,"✗ "&amp;Liens!A337&amp;" (introuvable)"))</f>
        <v>✓ eponge</v>
      </c>
      <c r="C342" s="35" t="str">
        <f>IF(Liens!B337="","",IF(COUNTIF(Mots!A:A,Liens!B337)&gt;0,"✓ "&amp;Liens!B337,"✗ "&amp;Liens!B337&amp;" (introuvable)"))</f>
        <v>✓ a_dur_mou</v>
      </c>
      <c r="D342" s="35" t="str">
        <f>IF(Liens!C337="","",IF(COUNTIF(Mots!A:A,Liens!C337)&gt;0,"✓ "&amp;Liens!C337,"✗ "&amp;Liens!C337&amp;" (introuvable)"))</f>
        <v>✓ v_laver</v>
      </c>
      <c r="E342" s="35" t="str">
        <f>IF(Liens!D337="","",IF(COUNTIF(Mots!A:A,Liens!D337)&gt;0,"✓ "&amp;Liens!D337,"✗ "&amp;Liens!D337&amp;" (introuvable)"))</f>
        <v>✓ eau</v>
      </c>
      <c r="F342" s="35" t="str">
        <f>IF(Liens!E337="","",IF(COUNTIF(Mots!A:A,Liens!E337)&gt;0,"✓ "&amp;Liens!E337,"✗ "&amp;Liens!E337&amp;" (introuvable)"))</f>
        <v>✓ cuisine</v>
      </c>
      <c r="G342" s="35" t="str">
        <f>IF(Liens!F337="","",IF(COUNTIF(Mots!A:A,Liens!F337)&gt;0,"✓ "&amp;Liens!F337,"✗ "&amp;Liens!F337&amp;" (introuvable)"))</f>
        <v>✓ evier_ou_plonge</v>
      </c>
      <c r="H342" s="35" t="str">
        <f>IF(Liens!G337="","",IF(COUNTIF(Mots!A:A,Liens!G337)&gt;0,"✓ "&amp;Liens!G337,"✗ "&amp;Liens!G337&amp;" (introuvable)"))</f>
        <v>✓ robinet</v>
      </c>
      <c r="I342" s="35" t="str">
        <f>IF(Liens!H337="","",IF(COUNTIF(Mots!A:A,Liens!H337)&gt;0,"✓ "&amp;Liens!H337,"✗ "&amp;Liens!H337&amp;" (introuvable)"))</f>
        <v>✓ vaisselle</v>
      </c>
    </row>
    <row r="343" spans="1:9" x14ac:dyDescent="0.3">
      <c r="A343">
        <f t="shared" si="2"/>
        <v>338</v>
      </c>
      <c r="B343" s="35" t="str">
        <f>IF(Liens!A338="","",IF(COUNTIF(Mots!A:A,Liens!A338)&gt;0,"✓ "&amp;Liens!A338,"✗ "&amp;Liens!A338&amp;" (introuvable)"))</f>
        <v>✓ equipe</v>
      </c>
      <c r="C343" s="35" t="str">
        <f>IF(Liens!B338="","",IF(COUNTIF(Mots!A:A,Liens!B338)&gt;0,"✓ "&amp;Liens!B338,"✗ "&amp;Liens!B338&amp;" (introuvable)"))</f>
        <v>✓ groupe</v>
      </c>
      <c r="D343" s="35" t="str">
        <f>IF(Liens!C338="","",IF(COUNTIF(Mots!A:A,Liens!C338)&gt;0,"✓ "&amp;Liens!C338,"✗ "&amp;Liens!C338&amp;" (introuvable)"))</f>
        <v>✓ personne</v>
      </c>
      <c r="E343" s="35" t="str">
        <f>IF(Liens!D338="","",IF(COUNTIF(Mots!A:A,Liens!D338)&gt;0,"✓ "&amp;Liens!D338,"✗ "&amp;Liens!D338&amp;" (introuvable)"))</f>
        <v/>
      </c>
      <c r="F343" s="35" t="str">
        <f>IF(Liens!E338="","",IF(COUNTIF(Mots!A:A,Liens!E338)&gt;0,"✓ "&amp;Liens!E338,"✗ "&amp;Liens!E338&amp;" (introuvable)"))</f>
        <v/>
      </c>
      <c r="G343" s="35" t="str">
        <f>IF(Liens!F338="","",IF(COUNTIF(Mots!A:A,Liens!F338)&gt;0,"✓ "&amp;Liens!F338,"✗ "&amp;Liens!F338&amp;" (introuvable)"))</f>
        <v/>
      </c>
      <c r="H343" s="35" t="str">
        <f>IF(Liens!G338="","",IF(COUNTIF(Mots!A:A,Liens!G338)&gt;0,"✓ "&amp;Liens!G338,"✗ "&amp;Liens!G338&amp;" (introuvable)"))</f>
        <v/>
      </c>
      <c r="I343" s="35" t="str">
        <f>IF(Liens!H338="","",IF(COUNTIF(Mots!A:A,Liens!H338)&gt;0,"✓ "&amp;Liens!H338,"✗ "&amp;Liens!H338&amp;" (introuvable)"))</f>
        <v/>
      </c>
    </row>
    <row r="344" spans="1:9" x14ac:dyDescent="0.3">
      <c r="A344">
        <f t="shared" si="2"/>
        <v>339</v>
      </c>
      <c r="B344" s="35" t="str">
        <f>IF(Liens!A339="","",IF(COUNTIF(Mots!A:A,Liens!A339)&gt;0,"✓ "&amp;Liens!A339,"✗ "&amp;Liens!A339&amp;" (introuvable)"))</f>
        <v>✓ erreur</v>
      </c>
      <c r="C344" s="35" t="str">
        <f>IF(Liens!B339="","",IF(COUNTIF(Mots!A:A,Liens!B339)&gt;0,"✓ "&amp;Liens!B339,"✗ "&amp;Liens!B339&amp;" (introuvable)"))</f>
        <v>✓ ecole</v>
      </c>
      <c r="D344" s="35" t="str">
        <f>IF(Liens!C339="","",IF(COUNTIF(Mots!A:A,Liens!C339)&gt;0,"✓ "&amp;Liens!C339,"✗ "&amp;Liens!C339&amp;" (introuvable)"))</f>
        <v>✓ devoir</v>
      </c>
      <c r="E344" s="35" t="str">
        <f>IF(Liens!D339="","",IF(COUNTIF(Mots!A:A,Liens!D339)&gt;0,"✓ "&amp;Liens!D339,"✗ "&amp;Liens!D339&amp;" (introuvable)"))</f>
        <v>✓ v_ecrire</v>
      </c>
      <c r="F344" s="35" t="str">
        <f>IF(Liens!E339="","",IF(COUNTIF(Mots!A:A,Liens!E339)&gt;0,"✓ "&amp;Liens!E339,"✗ "&amp;Liens!E339&amp;" (introuvable)"))</f>
        <v>✓ v_lire</v>
      </c>
      <c r="G344" s="35" t="str">
        <f>IF(Liens!F339="","",IF(COUNTIF(Mots!A:A,Liens!F339)&gt;0,"✓ "&amp;Liens!F339,"✗ "&amp;Liens!F339&amp;" (introuvable)"))</f>
        <v>✓ reponse</v>
      </c>
      <c r="H344" s="35" t="str">
        <f>IF(Liens!G339="","",IF(COUNTIF(Mots!A:A,Liens!G339)&gt;0,"✓ "&amp;Liens!G339,"✗ "&amp;Liens!G339&amp;" (introuvable)"))</f>
        <v>✓ question</v>
      </c>
      <c r="I344" s="35" t="str">
        <f>IF(Liens!H339="","",IF(COUNTIF(Mots!A:A,Liens!H339)&gt;0,"✓ "&amp;Liens!H339,"✗ "&amp;Liens!H339&amp;" (introuvable)"))</f>
        <v/>
      </c>
    </row>
    <row r="345" spans="1:9" x14ac:dyDescent="0.3">
      <c r="A345">
        <f t="shared" si="2"/>
        <v>340</v>
      </c>
      <c r="B345" s="35" t="str">
        <f>IF(Liens!A340="","",IF(COUNTIF(Mots!A:A,Liens!A340)&gt;0,"✓ "&amp;Liens!A340,"✗ "&amp;Liens!A340&amp;" (introuvable)"))</f>
        <v>✓ escalier</v>
      </c>
      <c r="C345" s="35" t="str">
        <f>IF(Liens!B340="","",IF(COUNTIF(Mots!A:A,Liens!B340)&gt;0,"✓ "&amp;Liens!B340,"✗ "&amp;Liens!B340&amp;" (introuvable)"))</f>
        <v>✓ maison</v>
      </c>
      <c r="D345" s="35" t="str">
        <f>IF(Liens!C340="","",IF(COUNTIF(Mots!A:A,Liens!C340)&gt;0,"✓ "&amp;Liens!C340,"✗ "&amp;Liens!C340&amp;" (introuvable)"))</f>
        <v>✓ v_monter</v>
      </c>
      <c r="E345" s="35" t="str">
        <f>IF(Liens!D340="","",IF(COUNTIF(Mots!A:A,Liens!D340)&gt;0,"✓ "&amp;Liens!D340,"✗ "&amp;Liens!D340&amp;" (introuvable)"))</f>
        <v>✓ v_descendre</v>
      </c>
      <c r="F345" s="35" t="str">
        <f>IF(Liens!E340="","",IF(COUNTIF(Mots!A:A,Liens!E340)&gt;0,"✓ "&amp;Liens!E340,"✗ "&amp;Liens!E340&amp;" (introuvable)"))</f>
        <v/>
      </c>
      <c r="G345" s="35" t="str">
        <f>IF(Liens!F340="","",IF(COUNTIF(Mots!A:A,Liens!F340)&gt;0,"✓ "&amp;Liens!F340,"✗ "&amp;Liens!F340&amp;" (introuvable)"))</f>
        <v/>
      </c>
      <c r="H345" s="35" t="str">
        <f>IF(Liens!G340="","",IF(COUNTIF(Mots!A:A,Liens!G340)&gt;0,"✓ "&amp;Liens!G340,"✗ "&amp;Liens!G340&amp;" (introuvable)"))</f>
        <v/>
      </c>
      <c r="I345" s="35" t="str">
        <f>IF(Liens!H340="","",IF(COUNTIF(Mots!A:A,Liens!H340)&gt;0,"✓ "&amp;Liens!H340,"✗ "&amp;Liens!H340&amp;" (introuvable)"))</f>
        <v/>
      </c>
    </row>
    <row r="346" spans="1:9" x14ac:dyDescent="0.3">
      <c r="A346">
        <f t="shared" si="2"/>
        <v>341</v>
      </c>
      <c r="B346" s="35" t="str">
        <f>IF(Liens!A341="","",IF(COUNTIF(Mots!A:A,Liens!A341)&gt;0,"✓ "&amp;Liens!A341,"✗ "&amp;Liens!A341&amp;" (introuvable)"))</f>
        <v>✓ espace</v>
      </c>
      <c r="C346" s="35" t="str">
        <f>IF(Liens!B341="","",IF(COUNTIF(Mots!A:A,Liens!B341)&gt;0,"✓ "&amp;Liens!B341,"✗ "&amp;Liens!B341&amp;" (introuvable)"))</f>
        <v/>
      </c>
      <c r="D346" s="35" t="str">
        <f>IF(Liens!C341="","",IF(COUNTIF(Mots!A:A,Liens!C341)&gt;0,"✓ "&amp;Liens!C341,"✗ "&amp;Liens!C341&amp;" (introuvable)"))</f>
        <v/>
      </c>
      <c r="E346" s="35" t="str">
        <f>IF(Liens!D341="","",IF(COUNTIF(Mots!A:A,Liens!D341)&gt;0,"✓ "&amp;Liens!D341,"✗ "&amp;Liens!D341&amp;" (introuvable)"))</f>
        <v/>
      </c>
      <c r="F346" s="35" t="str">
        <f>IF(Liens!E341="","",IF(COUNTIF(Mots!A:A,Liens!E341)&gt;0,"✓ "&amp;Liens!E341,"✗ "&amp;Liens!E341&amp;" (introuvable)"))</f>
        <v/>
      </c>
      <c r="G346" s="35" t="str">
        <f>IF(Liens!F341="","",IF(COUNTIF(Mots!A:A,Liens!F341)&gt;0,"✓ "&amp;Liens!F341,"✗ "&amp;Liens!F341&amp;" (introuvable)"))</f>
        <v/>
      </c>
      <c r="H346" s="35" t="str">
        <f>IF(Liens!G341="","",IF(COUNTIF(Mots!A:A,Liens!G341)&gt;0,"✓ "&amp;Liens!G341,"✗ "&amp;Liens!G341&amp;" (introuvable)"))</f>
        <v/>
      </c>
      <c r="I346" s="35" t="str">
        <f>IF(Liens!H341="","",IF(COUNTIF(Mots!A:A,Liens!H341)&gt;0,"✓ "&amp;Liens!H341,"✗ "&amp;Liens!H341&amp;" (introuvable)"))</f>
        <v/>
      </c>
    </row>
    <row r="347" spans="1:9" x14ac:dyDescent="0.3">
      <c r="A347">
        <f t="shared" si="2"/>
        <v>342</v>
      </c>
      <c r="B347" s="35" t="str">
        <f>IF(Liens!A342="","",IF(COUNTIF(Mots!A:A,Liens!A342)&gt;0,"✓ "&amp;Liens!A342,"✗ "&amp;Liens!A342&amp;" (introuvable)"))</f>
        <v>✓ espoir</v>
      </c>
      <c r="C347" s="35" t="str">
        <f>IF(Liens!B342="","",IF(COUNTIF(Mots!A:A,Liens!B342)&gt;0,"✓ "&amp;Liens!B342,"✗ "&amp;Liens!B342&amp;" (introuvable)"))</f>
        <v>✓ bien</v>
      </c>
      <c r="D347" s="35" t="str">
        <f>IF(Liens!C342="","",IF(COUNTIF(Mots!A:A,Liens!C342)&gt;0,"✓ "&amp;Liens!C342,"✗ "&amp;Liens!C342&amp;" (introuvable)"))</f>
        <v>✓ a_heureux</v>
      </c>
      <c r="E347" s="35" t="str">
        <f>IF(Liens!D342="","",IF(COUNTIF(Mots!A:A,Liens!D342)&gt;0,"✓ "&amp;Liens!D342,"✗ "&amp;Liens!D342&amp;" (introuvable)"))</f>
        <v>✓ lumiere</v>
      </c>
      <c r="F347" s="35" t="str">
        <f>IF(Liens!E342="","",IF(COUNTIF(Mots!A:A,Liens!E342)&gt;0,"✓ "&amp;Liens!E342,"✗ "&amp;Liens!E342&amp;" (introuvable)"))</f>
        <v/>
      </c>
      <c r="G347" s="35" t="str">
        <f>IF(Liens!F342="","",IF(COUNTIF(Mots!A:A,Liens!F342)&gt;0,"✓ "&amp;Liens!F342,"✗ "&amp;Liens!F342&amp;" (introuvable)"))</f>
        <v/>
      </c>
      <c r="H347" s="35" t="str">
        <f>IF(Liens!G342="","",IF(COUNTIF(Mots!A:A,Liens!G342)&gt;0,"✓ "&amp;Liens!G342,"✗ "&amp;Liens!G342&amp;" (introuvable)"))</f>
        <v/>
      </c>
      <c r="I347" s="35" t="str">
        <f>IF(Liens!H342="","",IF(COUNTIF(Mots!A:A,Liens!H342)&gt;0,"✓ "&amp;Liens!H342,"✗ "&amp;Liens!H342&amp;" (introuvable)"))</f>
        <v/>
      </c>
    </row>
    <row r="348" spans="1:9" x14ac:dyDescent="0.3">
      <c r="A348">
        <f t="shared" si="2"/>
        <v>343</v>
      </c>
      <c r="B348" s="35" t="str">
        <f>IF(Liens!A343="","",IF(COUNTIF(Mots!A:A,Liens!A343)&gt;0,"✓ "&amp;Liens!A343,"✗ "&amp;Liens!A343&amp;" (introuvable)"))</f>
        <v>✓ essence</v>
      </c>
      <c r="C348" s="35" t="str">
        <f>IF(Liens!B343="","",IF(COUNTIF(Mots!A:A,Liens!B343)&gt;0,"✓ "&amp;Liens!B343,"✗ "&amp;Liens!B343&amp;" (introuvable)"))</f>
        <v>✓ voiture</v>
      </c>
      <c r="D348" s="35" t="str">
        <f>IF(Liens!C343="","",IF(COUNTIF(Mots!A:A,Liens!C343)&gt;0,"✓ "&amp;Liens!C343,"✗ "&amp;Liens!C343&amp;" (introuvable)"))</f>
        <v>✓ moteur</v>
      </c>
      <c r="E348" s="35" t="str">
        <f>IF(Liens!D343="","",IF(COUNTIF(Mots!A:A,Liens!D343)&gt;0,"✓ "&amp;Liens!D343,"✗ "&amp;Liens!D343&amp;" (introuvable)"))</f>
        <v>✓ liquide</v>
      </c>
      <c r="F348" s="35" t="str">
        <f>IF(Liens!E343="","",IF(COUNTIF(Mots!A:A,Liens!E343)&gt;0,"✓ "&amp;Liens!E343,"✗ "&amp;Liens!E343&amp;" (introuvable)"))</f>
        <v>✓ station_service</v>
      </c>
      <c r="G348" s="35" t="str">
        <f>IF(Liens!F343="","",IF(COUNTIF(Mots!A:A,Liens!F343)&gt;0,"✓ "&amp;Liens!F343,"✗ "&amp;Liens!F343&amp;" (introuvable)"))</f>
        <v/>
      </c>
      <c r="H348" s="35" t="str">
        <f>IF(Liens!G343="","",IF(COUNTIF(Mots!A:A,Liens!G343)&gt;0,"✓ "&amp;Liens!G343,"✗ "&amp;Liens!G343&amp;" (introuvable)"))</f>
        <v/>
      </c>
      <c r="I348" s="35" t="str">
        <f>IF(Liens!H343="","",IF(COUNTIF(Mots!A:A,Liens!H343)&gt;0,"✓ "&amp;Liens!H343,"✗ "&amp;Liens!H343&amp;" (introuvable)"))</f>
        <v/>
      </c>
    </row>
    <row r="349" spans="1:9" x14ac:dyDescent="0.3">
      <c r="A349">
        <f t="shared" si="2"/>
        <v>344</v>
      </c>
      <c r="B349" s="35" t="str">
        <f>IF(Liens!A344="","",IF(COUNTIF(Mots!A:A,Liens!A344)&gt;0,"✓ "&amp;Liens!A344,"✗ "&amp;Liens!A344&amp;" (introuvable)"))</f>
        <v>✓ estomac</v>
      </c>
      <c r="C349" s="35" t="str">
        <f>IF(Liens!B344="","",IF(COUNTIF(Mots!A:A,Liens!B344)&gt;0,"✓ "&amp;Liens!B344,"✗ "&amp;Liens!B344&amp;" (introuvable)"))</f>
        <v>✓ tronc_anatomie</v>
      </c>
      <c r="D349" s="35" t="str">
        <f>IF(Liens!C344="","",IF(COUNTIF(Mots!A:A,Liens!C344)&gt;0,"✓ "&amp;Liens!C344,"✗ "&amp;Liens!C344&amp;" (introuvable)"))</f>
        <v>✓ ventre</v>
      </c>
      <c r="E349" s="35" t="str">
        <f>IF(Liens!D344="","",IF(COUNTIF(Mots!A:A,Liens!D344)&gt;0,"✓ "&amp;Liens!D344,"✗ "&amp;Liens!D344&amp;" (introuvable)"))</f>
        <v>✓ v_manger</v>
      </c>
      <c r="F349" s="35" t="str">
        <f>IF(Liens!E344="","",IF(COUNTIF(Mots!A:A,Liens!E344)&gt;0,"✓ "&amp;Liens!E344,"✗ "&amp;Liens!E344&amp;" (introuvable)"))</f>
        <v>✓ nourriture</v>
      </c>
      <c r="G349" s="35" t="str">
        <f>IF(Liens!F344="","",IF(COUNTIF(Mots!A:A,Liens!F344)&gt;0,"✓ "&amp;Liens!F344,"✗ "&amp;Liens!F344&amp;" (introuvable)"))</f>
        <v>✓ v_boire</v>
      </c>
      <c r="H349" s="35" t="str">
        <f>IF(Liens!G344="","",IF(COUNTIF(Mots!A:A,Liens!G344)&gt;0,"✓ "&amp;Liens!G344,"✗ "&amp;Liens!G344&amp;" (introuvable)"))</f>
        <v>✓ boisson</v>
      </c>
      <c r="I349" s="35" t="str">
        <f>IF(Liens!H344="","",IF(COUNTIF(Mots!A:A,Liens!H344)&gt;0,"✓ "&amp;Liens!H344,"✗ "&amp;Liens!H344&amp;" (introuvable)"))</f>
        <v/>
      </c>
    </row>
    <row r="350" spans="1:9" x14ac:dyDescent="0.3">
      <c r="A350">
        <f t="shared" si="2"/>
        <v>345</v>
      </c>
      <c r="B350" s="35" t="str">
        <f>IF(Liens!A345="","",IF(COUNTIF(Mots!A:A,Liens!A345)&gt;0,"✓ "&amp;Liens!A345,"✗ "&amp;Liens!A345&amp;" (introuvable)"))</f>
        <v>✓ etagere</v>
      </c>
      <c r="C350" s="35" t="str">
        <f>IF(Liens!B345="","",IF(COUNTIF(Mots!A:A,Liens!B345)&gt;0,"✓ "&amp;Liens!B345,"✗ "&amp;Liens!B345&amp;" (introuvable)"))</f>
        <v>✓ maison</v>
      </c>
      <c r="D350" s="35" t="str">
        <f>IF(Liens!C345="","",IF(COUNTIF(Mots!A:A,Liens!C345)&gt;0,"✓ "&amp;Liens!C345,"✗ "&amp;Liens!C345&amp;" (introuvable)"))</f>
        <v>✓ bureau_piece</v>
      </c>
      <c r="E350" s="35" t="str">
        <f>IF(Liens!D345="","",IF(COUNTIF(Mots!A:A,Liens!D345)&gt;0,"✓ "&amp;Liens!D345,"✗ "&amp;Liens!D345&amp;" (introuvable)"))</f>
        <v>✓ livre</v>
      </c>
      <c r="F350" s="35" t="str">
        <f>IF(Liens!E345="","",IF(COUNTIF(Mots!A:A,Liens!E345)&gt;0,"✓ "&amp;Liens!E345,"✗ "&amp;Liens!E345&amp;" (introuvable)"))</f>
        <v>✓ v_ranger</v>
      </c>
      <c r="G350" s="35" t="str">
        <f>IF(Liens!F345="","",IF(COUNTIF(Mots!A:A,Liens!F345)&gt;0,"✓ "&amp;Liens!F345,"✗ "&amp;Liens!F345&amp;" (introuvable)"))</f>
        <v/>
      </c>
      <c r="H350" s="35" t="str">
        <f>IF(Liens!G345="","",IF(COUNTIF(Mots!A:A,Liens!G345)&gt;0,"✓ "&amp;Liens!G345,"✗ "&amp;Liens!G345&amp;" (introuvable)"))</f>
        <v/>
      </c>
      <c r="I350" s="35" t="str">
        <f>IF(Liens!H345="","",IF(COUNTIF(Mots!A:A,Liens!H345)&gt;0,"✓ "&amp;Liens!H345,"✗ "&amp;Liens!H345&amp;" (introuvable)"))</f>
        <v/>
      </c>
    </row>
    <row r="351" spans="1:9" x14ac:dyDescent="0.3">
      <c r="A351">
        <f t="shared" si="2"/>
        <v>346</v>
      </c>
      <c r="B351" s="35" t="str">
        <f>IF(Liens!A346="","",IF(COUNTIF(Mots!A:A,Liens!A346)&gt;0,"✓ "&amp;Liens!A346,"✗ "&amp;Liens!A346&amp;" (introuvable)"))</f>
        <v>✓ ete</v>
      </c>
      <c r="C351" s="35" t="str">
        <f>IF(Liens!B346="","",IF(COUNTIF(Mots!A:A,Liens!B346)&gt;0,"✓ "&amp;Liens!B346,"✗ "&amp;Liens!B346&amp;" (introuvable)"))</f>
        <v>✓ saison</v>
      </c>
      <c r="D351" s="35" t="str">
        <f>IF(Liens!C346="","",IF(COUNTIF(Mots!A:A,Liens!C346)&gt;0,"✓ "&amp;Liens!C346,"✗ "&amp;Liens!C346&amp;" (introuvable)"))</f>
        <v>✓ annee</v>
      </c>
      <c r="E351" s="35" t="str">
        <f>IF(Liens!D346="","",IF(COUNTIF(Mots!A:A,Liens!D346)&gt;0,"✓ "&amp;Liens!D346,"✗ "&amp;Liens!D346&amp;" (introuvable)"))</f>
        <v>✓ soleil</v>
      </c>
      <c r="F351" s="35" t="str">
        <f>IF(Liens!E346="","",IF(COUNTIF(Mots!A:A,Liens!E346)&gt;0,"✓ "&amp;Liens!E346,"✗ "&amp;Liens!E346&amp;" (introuvable)"))</f>
        <v>✓ vacances</v>
      </c>
      <c r="G351" s="35" t="str">
        <f>IF(Liens!F346="","",IF(COUNTIF(Mots!A:A,Liens!F346)&gt;0,"✓ "&amp;Liens!F346,"✗ "&amp;Liens!F346&amp;" (introuvable)"))</f>
        <v>✓ voyage</v>
      </c>
      <c r="H351" s="35" t="str">
        <f>IF(Liens!G346="","",IF(COUNTIF(Mots!A:A,Liens!G346)&gt;0,"✓ "&amp;Liens!G346,"✗ "&amp;Liens!G346&amp;" (introuvable)"))</f>
        <v>✓ printemps</v>
      </c>
      <c r="I351" s="35" t="str">
        <f>IF(Liens!H346="","",IF(COUNTIF(Mots!A:A,Liens!H346)&gt;0,"✓ "&amp;Liens!H346,"✗ "&amp;Liens!H346&amp;" (introuvable)"))</f>
        <v>✓ automne</v>
      </c>
    </row>
    <row r="352" spans="1:9" x14ac:dyDescent="0.3">
      <c r="A352">
        <f t="shared" si="2"/>
        <v>347</v>
      </c>
      <c r="B352" s="35" t="str">
        <f>IF(Liens!A347="","",IF(COUNTIF(Mots!A:A,Liens!A347)&gt;0,"✓ "&amp;Liens!A347,"✗ "&amp;Liens!A347&amp;" (introuvable)"))</f>
        <v>✓ etoile</v>
      </c>
      <c r="C352" s="35" t="str">
        <f>IF(Liens!B347="","",IF(COUNTIF(Mots!A:A,Liens!B347)&gt;0,"✓ "&amp;Liens!B347,"✗ "&amp;Liens!B347&amp;" (introuvable)"))</f>
        <v>✓ ciel</v>
      </c>
      <c r="D352" s="35" t="str">
        <f>IF(Liens!C347="","",IF(COUNTIF(Mots!A:A,Liens!C347)&gt;0,"✓ "&amp;Liens!C347,"✗ "&amp;Liens!C347&amp;" (introuvable)"))</f>
        <v>✓ nuit</v>
      </c>
      <c r="E352" s="35" t="str">
        <f>IF(Liens!D347="","",IF(COUNTIF(Mots!A:A,Liens!D347)&gt;0,"✓ "&amp;Liens!D347,"✗ "&amp;Liens!D347&amp;" (introuvable)"))</f>
        <v>✓ a_brillant_terne</v>
      </c>
      <c r="F352" s="35" t="str">
        <f>IF(Liens!E347="","",IF(COUNTIF(Mots!A:A,Liens!E347)&gt;0,"✓ "&amp;Liens!E347,"✗ "&amp;Liens!E347&amp;" (introuvable)"))</f>
        <v>✓ p_lune</v>
      </c>
      <c r="G352" s="35" t="str">
        <f>IF(Liens!F347="","",IF(COUNTIF(Mots!A:A,Liens!F347)&gt;0,"✓ "&amp;Liens!F347,"✗ "&amp;Liens!F347&amp;" (introuvable)"))</f>
        <v/>
      </c>
      <c r="H352" s="35" t="str">
        <f>IF(Liens!G347="","",IF(COUNTIF(Mots!A:A,Liens!G347)&gt;0,"✓ "&amp;Liens!G347,"✗ "&amp;Liens!G347&amp;" (introuvable)"))</f>
        <v/>
      </c>
      <c r="I352" s="35" t="str">
        <f>IF(Liens!H347="","",IF(COUNTIF(Mots!A:A,Liens!H347)&gt;0,"✓ "&amp;Liens!H347,"✗ "&amp;Liens!H347&amp;" (introuvable)"))</f>
        <v/>
      </c>
    </row>
    <row r="353" spans="1:9" x14ac:dyDescent="0.3">
      <c r="A353">
        <f t="shared" si="2"/>
        <v>348</v>
      </c>
      <c r="B353" s="35" t="str">
        <f>IF(Liens!A348="","",IF(COUNTIF(Mots!A:A,Liens!A348)&gt;0,"✓ "&amp;Liens!A348,"✗ "&amp;Liens!A348&amp;" (introuvable)"))</f>
        <v>✓ exact</v>
      </c>
      <c r="C353" s="35" t="str">
        <f>IF(Liens!B348="","",IF(COUNTIF(Mots!A:A,Liens!B348)&gt;0,"✓ "&amp;Liens!B348,"✗ "&amp;Liens!B348&amp;" (introuvable)"))</f>
        <v>✓ juste</v>
      </c>
      <c r="D353" s="35" t="str">
        <f>IF(Liens!C348="","",IF(COUNTIF(Mots!A:A,Liens!C348)&gt;0,"✓ "&amp;Liens!C348,"✗ "&amp;Liens!C348&amp;" (introuvable)"))</f>
        <v>✓ correct</v>
      </c>
      <c r="E353" s="35" t="str">
        <f>IF(Liens!D348="","",IF(COUNTIF(Mots!A:A,Liens!D348)&gt;0,"✓ "&amp;Liens!D348,"✗ "&amp;Liens!D348&amp;" (introuvable)"))</f>
        <v>✓ erreur</v>
      </c>
      <c r="F353" s="35" t="str">
        <f>IF(Liens!E348="","",IF(COUNTIF(Mots!A:A,Liens!E348)&gt;0,"✓ "&amp;Liens!E348,"✗ "&amp;Liens!E348&amp;" (introuvable)"))</f>
        <v/>
      </c>
      <c r="G353" s="35" t="str">
        <f>IF(Liens!F348="","",IF(COUNTIF(Mots!A:A,Liens!F348)&gt;0,"✓ "&amp;Liens!F348,"✗ "&amp;Liens!F348&amp;" (introuvable)"))</f>
        <v/>
      </c>
      <c r="H353" s="35" t="str">
        <f>IF(Liens!G348="","",IF(COUNTIF(Mots!A:A,Liens!G348)&gt;0,"✓ "&amp;Liens!G348,"✗ "&amp;Liens!G348&amp;" (introuvable)"))</f>
        <v/>
      </c>
      <c r="I353" s="35" t="str">
        <f>IF(Liens!H348="","",IF(COUNTIF(Mots!A:A,Liens!H348)&gt;0,"✓ "&amp;Liens!H348,"✗ "&amp;Liens!H348&amp;" (introuvable)"))</f>
        <v/>
      </c>
    </row>
    <row r="354" spans="1:9" x14ac:dyDescent="0.3">
      <c r="A354">
        <f t="shared" si="2"/>
        <v>349</v>
      </c>
      <c r="B354" s="35" t="str">
        <f>IF(Liens!A349="","",IF(COUNTIF(Mots!A:A,Liens!A349)&gt;0,"✓ "&amp;Liens!A349,"✗ "&amp;Liens!A349&amp;" (introuvable)"))</f>
        <v>✓ excursion</v>
      </c>
      <c r="C354" s="35" t="str">
        <f>IF(Liens!B349="","",IF(COUNTIF(Mots!A:A,Liens!B349)&gt;0,"✓ "&amp;Liens!B349,"✗ "&amp;Liens!B349&amp;" (introuvable)"))</f>
        <v>✓ sortie</v>
      </c>
      <c r="D354" s="35" t="str">
        <f>IF(Liens!C349="","",IF(COUNTIF(Mots!A:A,Liens!C349)&gt;0,"✓ "&amp;Liens!C349,"✗ "&amp;Liens!C349&amp;" (introuvable)"))</f>
        <v>✓ journee</v>
      </c>
      <c r="E354" s="35" t="str">
        <f>IF(Liens!D349="","",IF(COUNTIF(Mots!A:A,Liens!D349)&gt;0,"✓ "&amp;Liens!D349,"✗ "&amp;Liens!D349&amp;" (introuvable)"))</f>
        <v>✓ car_postal</v>
      </c>
      <c r="F354" s="35" t="str">
        <f>IF(Liens!E349="","",IF(COUNTIF(Mots!A:A,Liens!E349)&gt;0,"✓ "&amp;Liens!E349,"✗ "&amp;Liens!E349&amp;" (introuvable)"))</f>
        <v>✓ visite</v>
      </c>
      <c r="G354" s="35" t="str">
        <f>IF(Liens!F349="","",IF(COUNTIF(Mots!A:A,Liens!F349)&gt;0,"✓ "&amp;Liens!F349,"✗ "&amp;Liens!F349&amp;" (introuvable)"))</f>
        <v>✓ groupe</v>
      </c>
      <c r="H354" s="35" t="str">
        <f>IF(Liens!G349="","",IF(COUNTIF(Mots!A:A,Liens!G349)&gt;0,"✓ "&amp;Liens!G349,"✗ "&amp;Liens!G349&amp;" (introuvable)"))</f>
        <v/>
      </c>
      <c r="I354" s="35" t="str">
        <f>IF(Liens!H349="","",IF(COUNTIF(Mots!A:A,Liens!H349)&gt;0,"✓ "&amp;Liens!H349,"✗ "&amp;Liens!H349&amp;" (introuvable)"))</f>
        <v/>
      </c>
    </row>
    <row r="355" spans="1:9" x14ac:dyDescent="0.3">
      <c r="A355">
        <f t="shared" si="2"/>
        <v>350</v>
      </c>
      <c r="B355" s="35" t="str">
        <f>IF(Liens!A350="","",IF(COUNTIF(Mots!A:A,Liens!A350)&gt;0,"✓ "&amp;Liens!A350,"✗ "&amp;Liens!A350&amp;" (introuvable)"))</f>
        <v>✓ exemple</v>
      </c>
      <c r="C355" s="35" t="str">
        <f>IF(Liens!B350="","",IF(COUNTIF(Mots!A:A,Liens!B350)&gt;0,"✓ "&amp;Liens!B350,"✗ "&amp;Liens!B350&amp;" (introuvable)"))</f>
        <v>✓ chose</v>
      </c>
      <c r="D355" s="35" t="str">
        <f>IF(Liens!C350="","",IF(COUNTIF(Mots!A:A,Liens!C350)&gt;0,"✓ "&amp;Liens!C350,"✗ "&amp;Liens!C350&amp;" (introuvable)"))</f>
        <v>✓ idee</v>
      </c>
      <c r="E355" s="35" t="str">
        <f>IF(Liens!D350="","",IF(COUNTIF(Mots!A:A,Liens!D350)&gt;0,"✓ "&amp;Liens!D350,"✗ "&amp;Liens!D350&amp;" (introuvable)"))</f>
        <v>✓ v_comprendre</v>
      </c>
      <c r="F355" s="35" t="str">
        <f>IF(Liens!E350="","",IF(COUNTIF(Mots!A:A,Liens!E350)&gt;0,"✓ "&amp;Liens!E350,"✗ "&amp;Liens!E350&amp;" (introuvable)"))</f>
        <v/>
      </c>
      <c r="G355" s="35" t="str">
        <f>IF(Liens!F350="","",IF(COUNTIF(Mots!A:A,Liens!F350)&gt;0,"✓ "&amp;Liens!F350,"✗ "&amp;Liens!F350&amp;" (introuvable)"))</f>
        <v/>
      </c>
      <c r="H355" s="35" t="str">
        <f>IF(Liens!G350="","",IF(COUNTIF(Mots!A:A,Liens!G350)&gt;0,"✓ "&amp;Liens!G350,"✗ "&amp;Liens!G350&amp;" (introuvable)"))</f>
        <v/>
      </c>
      <c r="I355" s="35" t="str">
        <f>IF(Liens!H350="","",IF(COUNTIF(Mots!A:A,Liens!H350)&gt;0,"✓ "&amp;Liens!H350,"✗ "&amp;Liens!H350&amp;" (introuvable)"))</f>
        <v/>
      </c>
    </row>
    <row r="356" spans="1:9" x14ac:dyDescent="0.3">
      <c r="A356">
        <f t="shared" si="2"/>
        <v>351</v>
      </c>
      <c r="B356" s="35" t="str">
        <f>IF(Liens!A351="","",IF(COUNTIF(Mots!A:A,Liens!A351)&gt;0,"✓ "&amp;Liens!A351,"✗ "&amp;Liens!A351&amp;" (introuvable)"))</f>
        <v>✓ expres</v>
      </c>
      <c r="C356" s="35" t="str">
        <f>IF(Liens!B351="","",IF(COUNTIF(Mots!A:A,Liens!B351)&gt;0,"✓ "&amp;Liens!B351,"✗ "&amp;Liens!B351&amp;" (introuvable)"))</f>
        <v>✓ v_vouloir</v>
      </c>
      <c r="D356" s="35" t="str">
        <f>IF(Liens!C351="","",IF(COUNTIF(Mots!A:A,Liens!C351)&gt;0,"✓ "&amp;Liens!C351,"✗ "&amp;Liens!C351&amp;" (introuvable)"))</f>
        <v>✓ v_choisir</v>
      </c>
      <c r="E356" s="35" t="str">
        <f>IF(Liens!D351="","",IF(COUNTIF(Mots!A:A,Liens!D351)&gt;0,"✓ "&amp;Liens!D351,"✗ "&amp;Liens!D351&amp;" (introuvable)"))</f>
        <v>✓ envie</v>
      </c>
      <c r="F356" s="35" t="str">
        <f>IF(Liens!E351="","",IF(COUNTIF(Mots!A:A,Liens!E351)&gt;0,"✓ "&amp;Liens!E351,"✗ "&amp;Liens!E351&amp;" (introuvable)"))</f>
        <v/>
      </c>
      <c r="G356" s="35" t="str">
        <f>IF(Liens!F351="","",IF(COUNTIF(Mots!A:A,Liens!F351)&gt;0,"✓ "&amp;Liens!F351,"✗ "&amp;Liens!F351&amp;" (introuvable)"))</f>
        <v/>
      </c>
      <c r="H356" s="35" t="str">
        <f>IF(Liens!G351="","",IF(COUNTIF(Mots!A:A,Liens!G351)&gt;0,"✓ "&amp;Liens!G351,"✗ "&amp;Liens!G351&amp;" (introuvable)"))</f>
        <v/>
      </c>
      <c r="I356" s="35" t="str">
        <f>IF(Liens!H351="","",IF(COUNTIF(Mots!A:A,Liens!H351)&gt;0,"✓ "&amp;Liens!H351,"✗ "&amp;Liens!H351&amp;" (introuvable)"))</f>
        <v/>
      </c>
    </row>
    <row r="357" spans="1:9" x14ac:dyDescent="0.3">
      <c r="A357">
        <f t="shared" si="2"/>
        <v>352</v>
      </c>
      <c r="B357" s="35" t="str">
        <f>IF(Liens!A352="","",IF(COUNTIF(Mots!A:A,Liens!A352)&gt;0,"✓ "&amp;Liens!A352,"✗ "&amp;Liens!A352&amp;" (introuvable)"))</f>
        <v>✓ exterieur</v>
      </c>
      <c r="C357" s="35" t="str">
        <f>IF(Liens!B352="","",IF(COUNTIF(Mots!A:A,Liens!B352)&gt;0,"✓ "&amp;Liens!B352,"✗ "&amp;Liens!B352&amp;" (introuvable)"))</f>
        <v>✓ pelouse</v>
      </c>
      <c r="D357" s="35" t="str">
        <f>IF(Liens!C352="","",IF(COUNTIF(Mots!A:A,Liens!C352)&gt;0,"✓ "&amp;Liens!C352,"✗ "&amp;Liens!C352&amp;" (introuvable)"))</f>
        <v>✓ table_de_jardin</v>
      </c>
      <c r="E357" s="35" t="str">
        <f>IF(Liens!D352="","",IF(COUNTIF(Mots!A:A,Liens!D352)&gt;0,"✓ "&amp;Liens!D352,"✗ "&amp;Liens!D352&amp;" (introuvable)"))</f>
        <v>✓ nature</v>
      </c>
      <c r="F357" s="35" t="str">
        <f>IF(Liens!E352="","",IF(COUNTIF(Mots!A:A,Liens!E352)&gt;0,"✓ "&amp;Liens!E352,"✗ "&amp;Liens!E352&amp;" (introuvable)"))</f>
        <v/>
      </c>
      <c r="G357" s="35" t="str">
        <f>IF(Liens!F352="","",IF(COUNTIF(Mots!A:A,Liens!F352)&gt;0,"✓ "&amp;Liens!F352,"✗ "&amp;Liens!F352&amp;" (introuvable)"))</f>
        <v/>
      </c>
      <c r="H357" s="35" t="str">
        <f>IF(Liens!G352="","",IF(COUNTIF(Mots!A:A,Liens!G352)&gt;0,"✓ "&amp;Liens!G352,"✗ "&amp;Liens!G352&amp;" (introuvable)"))</f>
        <v/>
      </c>
      <c r="I357" s="35" t="str">
        <f>IF(Liens!H352="","",IF(COUNTIF(Mots!A:A,Liens!H352)&gt;0,"✓ "&amp;Liens!H352,"✗ "&amp;Liens!H352&amp;" (introuvable)"))</f>
        <v/>
      </c>
    </row>
    <row r="358" spans="1:9" x14ac:dyDescent="0.3">
      <c r="A358">
        <f t="shared" si="2"/>
        <v>353</v>
      </c>
      <c r="B358" s="35" t="str">
        <f>IF(Liens!A353="","",IF(COUNTIF(Mots!A:A,Liens!A353)&gt;0,"✓ "&amp;Liens!A353,"✗ "&amp;Liens!A353&amp;" (introuvable)"))</f>
        <v>✓ f_carre</v>
      </c>
      <c r="C358" s="35" t="str">
        <f>IF(Liens!B353="","",IF(COUNTIF(Mots!A:A,Liens!B353)&gt;0,"✓ "&amp;Liens!B353,"✗ "&amp;Liens!B353&amp;" (introuvable)"))</f>
        <v>✓ cote</v>
      </c>
      <c r="D358" s="35" t="str">
        <f>IF(Liens!C353="","",IF(COUNTIF(Mots!A:A,Liens!C353)&gt;0,"✓ "&amp;Liens!C353,"✗ "&amp;Liens!C353&amp;" (introuvable)"))</f>
        <v>✓ cube</v>
      </c>
      <c r="E358" s="35" t="str">
        <f>IF(Liens!D353="","",IF(COUNTIF(Mots!A:A,Liens!D353)&gt;0,"✓ "&amp;Liens!D353,"✗ "&amp;Liens!D353&amp;" (introuvable)"))</f>
        <v>✓ face</v>
      </c>
      <c r="F358" s="35" t="str">
        <f>IF(Liens!E353="","",IF(COUNTIF(Mots!A:A,Liens!E353)&gt;0,"✓ "&amp;Liens!E353,"✗ "&amp;Liens!E353&amp;" (introuvable)"))</f>
        <v>✓ de</v>
      </c>
      <c r="G358" s="35" t="str">
        <f>IF(Liens!F353="","",IF(COUNTIF(Mots!A:A,Liens!F353)&gt;0,"✓ "&amp;Liens!F353,"✗ "&amp;Liens!F353&amp;" (introuvable)"))</f>
        <v/>
      </c>
      <c r="H358" s="35" t="str">
        <f>IF(Liens!G353="","",IF(COUNTIF(Mots!A:A,Liens!G353)&gt;0,"✓ "&amp;Liens!G353,"✗ "&amp;Liens!G353&amp;" (introuvable)"))</f>
        <v/>
      </c>
      <c r="I358" s="35" t="str">
        <f>IF(Liens!H353="","",IF(COUNTIF(Mots!A:A,Liens!H353)&gt;0,"✓ "&amp;Liens!H353,"✗ "&amp;Liens!H353&amp;" (introuvable)"))</f>
        <v/>
      </c>
    </row>
    <row r="359" spans="1:9" x14ac:dyDescent="0.3">
      <c r="A359">
        <f t="shared" si="2"/>
        <v>354</v>
      </c>
      <c r="B359" s="35" t="str">
        <f>IF(Liens!A354="","",IF(COUNTIF(Mots!A:A,Liens!A354)&gt;0,"✓ "&amp;Liens!A354,"✗ "&amp;Liens!A354&amp;" (introuvable)"))</f>
        <v>✓ f_rectangle</v>
      </c>
      <c r="C359" s="35" t="str">
        <f>IF(Liens!B354="","",IF(COUNTIF(Mots!A:A,Liens!B354)&gt;0,"✓ "&amp;Liens!B354,"✗ "&amp;Liens!B354&amp;" (introuvable)"))</f>
        <v>✓ forme</v>
      </c>
      <c r="D359" s="35" t="str">
        <f>IF(Liens!C354="","",IF(COUNTIF(Mots!A:A,Liens!C354)&gt;0,"✓ "&amp;Liens!C354,"✗ "&amp;Liens!C354&amp;" (introuvable)"))</f>
        <v/>
      </c>
      <c r="E359" s="35" t="str">
        <f>IF(Liens!D354="","",IF(COUNTIF(Mots!A:A,Liens!D354)&gt;0,"✓ "&amp;Liens!D354,"✗ "&amp;Liens!D354&amp;" (introuvable)"))</f>
        <v/>
      </c>
      <c r="F359" s="35" t="str">
        <f>IF(Liens!E354="","",IF(COUNTIF(Mots!A:A,Liens!E354)&gt;0,"✓ "&amp;Liens!E354,"✗ "&amp;Liens!E354&amp;" (introuvable)"))</f>
        <v/>
      </c>
      <c r="G359" s="35" t="str">
        <f>IF(Liens!F354="","",IF(COUNTIF(Mots!A:A,Liens!F354)&gt;0,"✓ "&amp;Liens!F354,"✗ "&amp;Liens!F354&amp;" (introuvable)"))</f>
        <v/>
      </c>
      <c r="H359" s="35" t="str">
        <f>IF(Liens!G354="","",IF(COUNTIF(Mots!A:A,Liens!G354)&gt;0,"✓ "&amp;Liens!G354,"✗ "&amp;Liens!G354&amp;" (introuvable)"))</f>
        <v/>
      </c>
      <c r="I359" s="35" t="str">
        <f>IF(Liens!H354="","",IF(COUNTIF(Mots!A:A,Liens!H354)&gt;0,"✓ "&amp;Liens!H354,"✗ "&amp;Liens!H354&amp;" (introuvable)"))</f>
        <v/>
      </c>
    </row>
    <row r="360" spans="1:9" x14ac:dyDescent="0.3">
      <c r="A360">
        <f t="shared" si="2"/>
        <v>355</v>
      </c>
      <c r="B360" s="35" t="str">
        <f>IF(Liens!A355="","",IF(COUNTIF(Mots!A:A,Liens!A355)&gt;0,"✓ "&amp;Liens!A355,"✗ "&amp;Liens!A355&amp;" (introuvable)"))</f>
        <v>✓ face</v>
      </c>
      <c r="C360" s="35" t="str">
        <f>IF(Liens!B355="","",IF(COUNTIF(Mots!A:A,Liens!B355)&gt;0,"✓ "&amp;Liens!B355,"✗ "&amp;Liens!B355&amp;" (introuvable)"))</f>
        <v>✓ cote</v>
      </c>
      <c r="D360" s="35" t="str">
        <f>IF(Liens!C355="","",IF(COUNTIF(Mots!A:A,Liens!C355)&gt;0,"✓ "&amp;Liens!C355,"✗ "&amp;Liens!C355&amp;" (introuvable)"))</f>
        <v>✓ de</v>
      </c>
      <c r="E360" s="35" t="str">
        <f>IF(Liens!D355="","",IF(COUNTIF(Mots!A:A,Liens!D355)&gt;0,"✓ "&amp;Liens!D355,"✗ "&amp;Liens!D355&amp;" (introuvable)"))</f>
        <v>✓ cube</v>
      </c>
      <c r="F360" s="35" t="str">
        <f>IF(Liens!E355="","",IF(COUNTIF(Mots!A:A,Liens!E355)&gt;0,"✓ "&amp;Liens!E355,"✗ "&amp;Liens!E355&amp;" (introuvable)"))</f>
        <v/>
      </c>
      <c r="G360" s="35" t="str">
        <f>IF(Liens!F355="","",IF(COUNTIF(Mots!A:A,Liens!F355)&gt;0,"✓ "&amp;Liens!F355,"✗ "&amp;Liens!F355&amp;" (introuvable)"))</f>
        <v/>
      </c>
      <c r="H360" s="35" t="str">
        <f>IF(Liens!G355="","",IF(COUNTIF(Mots!A:A,Liens!G355)&gt;0,"✓ "&amp;Liens!G355,"✗ "&amp;Liens!G355&amp;" (introuvable)"))</f>
        <v/>
      </c>
      <c r="I360" s="35" t="str">
        <f>IF(Liens!H355="","",IF(COUNTIF(Mots!A:A,Liens!H355)&gt;0,"✓ "&amp;Liens!H355,"✗ "&amp;Liens!H355&amp;" (introuvable)"))</f>
        <v/>
      </c>
    </row>
    <row r="361" spans="1:9" x14ac:dyDescent="0.3">
      <c r="A361">
        <f t="shared" si="2"/>
        <v>356</v>
      </c>
      <c r="B361" s="35" t="str">
        <f>IF(Liens!A356="","",IF(COUNTIF(Mots!A:A,Liens!A356)&gt;0,"✓ "&amp;Liens!A356,"✗ "&amp;Liens!A356&amp;" (introuvable)"))</f>
        <v>✓ facteur</v>
      </c>
      <c r="C361" s="35" t="str">
        <f>IF(Liens!B356="","",IF(COUNTIF(Mots!A:A,Liens!B356)&gt;0,"✓ "&amp;Liens!B356,"✗ "&amp;Liens!B356&amp;" (introuvable)"))</f>
        <v>✓ personne</v>
      </c>
      <c r="D361" s="35" t="str">
        <f>IF(Liens!C356="","",IF(COUNTIF(Mots!A:A,Liens!C356)&gt;0,"✓ "&amp;Liens!C356,"✗ "&amp;Liens!C356&amp;" (introuvable)"))</f>
        <v>✓ poste</v>
      </c>
      <c r="E361" s="35" t="str">
        <f>IF(Liens!D356="","",IF(COUNTIF(Mots!A:A,Liens!D356)&gt;0,"✓ "&amp;Liens!D356,"✗ "&amp;Liens!D356&amp;" (introuvable)"))</f>
        <v>✓ courrier</v>
      </c>
      <c r="F361" s="35" t="str">
        <f>IF(Liens!E356="","",IF(COUNTIF(Mots!A:A,Liens!E356)&gt;0,"✓ "&amp;Liens!E356,"✗ "&amp;Liens!E356&amp;" (introuvable)"))</f>
        <v>✓ lettre</v>
      </c>
      <c r="G361" s="35" t="str">
        <f>IF(Liens!F356="","",IF(COUNTIF(Mots!A:A,Liens!F356)&gt;0,"✓ "&amp;Liens!F356,"✗ "&amp;Liens!F356&amp;" (introuvable)"))</f>
        <v/>
      </c>
      <c r="H361" s="35" t="str">
        <f>IF(Liens!G356="","",IF(COUNTIF(Mots!A:A,Liens!G356)&gt;0,"✓ "&amp;Liens!G356,"✗ "&amp;Liens!G356&amp;" (introuvable)"))</f>
        <v/>
      </c>
      <c r="I361" s="35" t="str">
        <f>IF(Liens!H356="","",IF(COUNTIF(Mots!A:A,Liens!H356)&gt;0,"✓ "&amp;Liens!H356,"✗ "&amp;Liens!H356&amp;" (introuvable)"))</f>
        <v/>
      </c>
    </row>
    <row r="362" spans="1:9" x14ac:dyDescent="0.3">
      <c r="A362">
        <f t="shared" si="2"/>
        <v>357</v>
      </c>
      <c r="B362" s="35" t="str">
        <f>IF(Liens!A357="","",IF(COUNTIF(Mots!A:A,Liens!A357)&gt;0,"✓ "&amp;Liens!A357,"✗ "&amp;Liens!A357&amp;" (introuvable)"))</f>
        <v>✓ facture</v>
      </c>
      <c r="C362" s="35" t="str">
        <f>IF(Liens!B357="","",IF(COUNTIF(Mots!A:A,Liens!B357)&gt;0,"✓ "&amp;Liens!B357,"✗ "&amp;Liens!B357&amp;" (introuvable)"))</f>
        <v>✓ papier</v>
      </c>
      <c r="D362" s="35" t="str">
        <f>IF(Liens!C357="","",IF(COUNTIF(Mots!A:A,Liens!C357)&gt;0,"✓ "&amp;Liens!C357,"✗ "&amp;Liens!C357&amp;" (introuvable)"))</f>
        <v>✓ v_acheter</v>
      </c>
      <c r="E362" s="35" t="str">
        <f>IF(Liens!D357="","",IF(COUNTIF(Mots!A:A,Liens!D357)&gt;0,"✓ "&amp;Liens!D357,"✗ "&amp;Liens!D357&amp;" (introuvable)"))</f>
        <v>✓ courrier</v>
      </c>
      <c r="F362" s="35" t="str">
        <f>IF(Liens!E357="","",IF(COUNTIF(Mots!A:A,Liens!E357)&gt;0,"✓ "&amp;Liens!E357,"✗ "&amp;Liens!E357&amp;" (introuvable)"))</f>
        <v>✓ facteur</v>
      </c>
      <c r="G362" s="35" t="str">
        <f>IF(Liens!F357="","",IF(COUNTIF(Mots!A:A,Liens!F357)&gt;0,"✓ "&amp;Liens!F357,"✗ "&amp;Liens!F357&amp;" (introuvable)"))</f>
        <v>✓ v_payer</v>
      </c>
      <c r="H362" s="35" t="str">
        <f>IF(Liens!G357="","",IF(COUNTIF(Mots!A:A,Liens!G357)&gt;0,"✓ "&amp;Liens!G357,"✗ "&amp;Liens!G357&amp;" (introuvable)"))</f>
        <v/>
      </c>
      <c r="I362" s="35" t="str">
        <f>IF(Liens!H357="","",IF(COUNTIF(Mots!A:A,Liens!H357)&gt;0,"✓ "&amp;Liens!H357,"✗ "&amp;Liens!H357&amp;" (introuvable)"))</f>
        <v/>
      </c>
    </row>
    <row r="363" spans="1:9" x14ac:dyDescent="0.3">
      <c r="A363">
        <f t="shared" si="2"/>
        <v>358</v>
      </c>
      <c r="B363" s="35" t="str">
        <f>IF(Liens!A358="","",IF(COUNTIF(Mots!A:A,Liens!A358)&gt;0,"✓ "&amp;Liens!A358,"✗ "&amp;Liens!A358&amp;" (introuvable)"))</f>
        <v>✓ falaise</v>
      </c>
      <c r="C363" s="35" t="str">
        <f>IF(Liens!B358="","",IF(COUNTIF(Mots!A:A,Liens!B358)&gt;0,"✓ "&amp;Liens!B358,"✗ "&amp;Liens!B358&amp;" (introuvable)"))</f>
        <v>✓ roche</v>
      </c>
      <c r="D363" s="35" t="str">
        <f>IF(Liens!C358="","",IF(COUNTIF(Mots!A:A,Liens!C358)&gt;0,"✓ "&amp;Liens!C358,"✗ "&amp;Liens!C358&amp;" (introuvable)"))</f>
        <v>✓ bord</v>
      </c>
      <c r="E363" s="35" t="str">
        <f>IF(Liens!D358="","",IF(COUNTIF(Mots!A:A,Liens!D358)&gt;0,"✓ "&amp;Liens!D358,"✗ "&amp;Liens!D358&amp;" (introuvable)"))</f>
        <v>✓ mer</v>
      </c>
      <c r="F363" s="35" t="str">
        <f>IF(Liens!E358="","",IF(COUNTIF(Mots!A:A,Liens!E358)&gt;0,"✓ "&amp;Liens!E358,"✗ "&amp;Liens!E358&amp;" (introuvable)"))</f>
        <v>✓ montagne</v>
      </c>
      <c r="G363" s="35" t="str">
        <f>IF(Liens!F358="","",IF(COUNTIF(Mots!A:A,Liens!F358)&gt;0,"✓ "&amp;Liens!F358,"✗ "&amp;Liens!F358&amp;" (introuvable)"))</f>
        <v>✓ cascade</v>
      </c>
      <c r="H363" s="35" t="str">
        <f>IF(Liens!G358="","",IF(COUNTIF(Mots!A:A,Liens!G358)&gt;0,"✓ "&amp;Liens!G358,"✗ "&amp;Liens!G358&amp;" (introuvable)"))</f>
        <v/>
      </c>
      <c r="I363" s="35" t="str">
        <f>IF(Liens!H358="","",IF(COUNTIF(Mots!A:A,Liens!H358)&gt;0,"✓ "&amp;Liens!H358,"✗ "&amp;Liens!H358&amp;" (introuvable)"))</f>
        <v/>
      </c>
    </row>
    <row r="364" spans="1:9" x14ac:dyDescent="0.3">
      <c r="A364">
        <f t="shared" si="2"/>
        <v>359</v>
      </c>
      <c r="B364" s="35" t="str">
        <f>IF(Liens!A359="","",IF(COUNTIF(Mots!A:A,Liens!A359)&gt;0,"✓ "&amp;Liens!A359,"✗ "&amp;Liens!A359&amp;" (introuvable)"))</f>
        <v>✓ famille</v>
      </c>
      <c r="C364" s="35" t="str">
        <f>IF(Liens!B359="","",IF(COUNTIF(Mots!A:A,Liens!B359)&gt;0,"✓ "&amp;Liens!B359,"✗ "&amp;Liens!B359&amp;" (introuvable)"))</f>
        <v>✓ personne</v>
      </c>
      <c r="D364" s="35" t="str">
        <f>IF(Liens!C359="","",IF(COUNTIF(Mots!A:A,Liens!C359)&gt;0,"✓ "&amp;Liens!C359,"✗ "&amp;Liens!C359&amp;" (introuvable)"))</f>
        <v>✓ mes_enfants</v>
      </c>
      <c r="E364" s="35" t="str">
        <f>IF(Liens!D359="","",IF(COUNTIF(Mots!A:A,Liens!D359)&gt;0,"✓ "&amp;Liens!D359,"✗ "&amp;Liens!D359&amp;" (introuvable)"))</f>
        <v>✓ mere</v>
      </c>
      <c r="F364" s="35" t="str">
        <f>IF(Liens!E359="","",IF(COUNTIF(Mots!A:A,Liens!E359)&gt;0,"✓ "&amp;Liens!E359,"✗ "&amp;Liens!E359&amp;" (introuvable)"))</f>
        <v>✓ pere</v>
      </c>
      <c r="G364" s="35" t="str">
        <f>IF(Liens!F359="","",IF(COUNTIF(Mots!A:A,Liens!F359)&gt;0,"✓ "&amp;Liens!F359,"✗ "&amp;Liens!F359&amp;" (introuvable)"))</f>
        <v>✓ soeur</v>
      </c>
      <c r="H364" s="35" t="str">
        <f>IF(Liens!G359="","",IF(COUNTIF(Mots!A:A,Liens!G359)&gt;0,"✓ "&amp;Liens!G359,"✗ "&amp;Liens!G359&amp;" (introuvable)"))</f>
        <v>✓ frere</v>
      </c>
      <c r="I364" s="35" t="str">
        <f>IF(Liens!H359="","",IF(COUNTIF(Mots!A:A,Liens!H359)&gt;0,"✓ "&amp;Liens!H359,"✗ "&amp;Liens!H359&amp;" (introuvable)"))</f>
        <v/>
      </c>
    </row>
    <row r="365" spans="1:9" x14ac:dyDescent="0.3">
      <c r="A365">
        <f t="shared" si="2"/>
        <v>360</v>
      </c>
      <c r="B365" s="35" t="str">
        <f>IF(Liens!A360="","",IF(COUNTIF(Mots!A:A,Liens!A360)&gt;0,"✓ "&amp;Liens!A360,"✗ "&amp;Liens!A360&amp;" (introuvable)"))</f>
        <v>✓ farine</v>
      </c>
      <c r="C365" s="35" t="str">
        <f>IF(Liens!B360="","",IF(COUNTIF(Mots!A:A,Liens!B360)&gt;0,"✓ "&amp;Liens!B360,"✗ "&amp;Liens!B360&amp;" (introuvable)"))</f>
        <v>✓ ble</v>
      </c>
      <c r="D365" s="35" t="str">
        <f>IF(Liens!C360="","",IF(COUNTIF(Mots!A:A,Liens!C360)&gt;0,"✓ "&amp;Liens!C360,"✗ "&amp;Liens!C360&amp;" (introuvable)"))</f>
        <v>✓ poudre</v>
      </c>
      <c r="E365" s="35" t="str">
        <f>IF(Liens!D360="","",IF(COUNTIF(Mots!A:A,Liens!D360)&gt;0,"✓ "&amp;Liens!D360,"✗ "&amp;Liens!D360&amp;" (introuvable)"))</f>
        <v>✓ pain</v>
      </c>
      <c r="F365" s="35" t="str">
        <f>IF(Liens!E360="","",IF(COUNTIF(Mots!A:A,Liens!E360)&gt;0,"✓ "&amp;Liens!E360,"✗ "&amp;Liens!E360&amp;" (introuvable)"))</f>
        <v>✓ boulanger</v>
      </c>
      <c r="G365" s="35" t="str">
        <f>IF(Liens!F360="","",IF(COUNTIF(Mots!A:A,Liens!F360)&gt;0,"✓ "&amp;Liens!F360,"✗ "&amp;Liens!F360&amp;" (introuvable)"))</f>
        <v/>
      </c>
      <c r="H365" s="35" t="str">
        <f>IF(Liens!G360="","",IF(COUNTIF(Mots!A:A,Liens!G360)&gt;0,"✓ "&amp;Liens!G360,"✗ "&amp;Liens!G360&amp;" (introuvable)"))</f>
        <v/>
      </c>
      <c r="I365" s="35" t="str">
        <f>IF(Liens!H360="","",IF(COUNTIF(Mots!A:A,Liens!H360)&gt;0,"✓ "&amp;Liens!H360,"✗ "&amp;Liens!H360&amp;" (introuvable)"))</f>
        <v/>
      </c>
    </row>
    <row r="366" spans="1:9" x14ac:dyDescent="0.3">
      <c r="A366">
        <f t="shared" si="2"/>
        <v>361</v>
      </c>
      <c r="B366" s="35" t="str">
        <f>IF(Liens!A361="","",IF(COUNTIF(Mots!A:A,Liens!A361)&gt;0,"✓ "&amp;Liens!A361,"✗ "&amp;Liens!A361&amp;" (introuvable)"))</f>
        <v>✓ faute</v>
      </c>
      <c r="C366" s="35" t="str">
        <f>IF(Liens!B361="","",IF(COUNTIF(Mots!A:A,Liens!B361)&gt;0,"✓ "&amp;Liens!B361,"✗ "&amp;Liens!B361&amp;" (introuvable)"))</f>
        <v>✓ erreur</v>
      </c>
      <c r="D366" s="35" t="str">
        <f>IF(Liens!C361="","",IF(COUNTIF(Mots!A:A,Liens!C361)&gt;0,"✓ "&amp;Liens!C361,"✗ "&amp;Liens!C361&amp;" (introuvable)"))</f>
        <v>✓ devoir</v>
      </c>
      <c r="E366" s="35" t="str">
        <f>IF(Liens!D361="","",IF(COUNTIF(Mots!A:A,Liens!D361)&gt;0,"✓ "&amp;Liens!D361,"✗ "&amp;Liens!D361&amp;" (introuvable)"))</f>
        <v>✓ ecole</v>
      </c>
      <c r="F366" s="35" t="str">
        <f>IF(Liens!E361="","",IF(COUNTIF(Mots!A:A,Liens!E361)&gt;0,"✓ "&amp;Liens!E361,"✗ "&amp;Liens!E361&amp;" (introuvable)"))</f>
        <v>✓ maitre</v>
      </c>
      <c r="G366" s="35" t="str">
        <f>IF(Liens!F361="","",IF(COUNTIF(Mots!A:A,Liens!F361)&gt;0,"✓ "&amp;Liens!F361,"✗ "&amp;Liens!F361&amp;" (introuvable)"))</f>
        <v/>
      </c>
      <c r="H366" s="35" t="str">
        <f>IF(Liens!G361="","",IF(COUNTIF(Mots!A:A,Liens!G361)&gt;0,"✓ "&amp;Liens!G361,"✗ "&amp;Liens!G361&amp;" (introuvable)"))</f>
        <v/>
      </c>
      <c r="I366" s="35" t="str">
        <f>IF(Liens!H361="","",IF(COUNTIF(Mots!A:A,Liens!H361)&gt;0,"✓ "&amp;Liens!H361,"✗ "&amp;Liens!H361&amp;" (introuvable)"))</f>
        <v/>
      </c>
    </row>
    <row r="367" spans="1:9" x14ac:dyDescent="0.3">
      <c r="A367">
        <f t="shared" si="2"/>
        <v>362</v>
      </c>
      <c r="B367" s="35" t="str">
        <f>IF(Liens!A362="","",IF(COUNTIF(Mots!A:A,Liens!A362)&gt;0,"✓ "&amp;Liens!A362,"✗ "&amp;Liens!A362&amp;" (introuvable)"))</f>
        <v>✓ fauve</v>
      </c>
      <c r="C367" s="35" t="str">
        <f>IF(Liens!B362="","",IF(COUNTIF(Mots!A:A,Liens!B362)&gt;0,"✓ "&amp;Liens!B362,"✗ "&amp;Liens!B362&amp;" (introuvable)"))</f>
        <v>✓ animal</v>
      </c>
      <c r="D367" s="35" t="str">
        <f>IF(Liens!C362="","",IF(COUNTIF(Mots!A:A,Liens!C362)&gt;0,"✓ "&amp;Liens!C362,"✗ "&amp;Liens!C362&amp;" (introuvable)"))</f>
        <v>✓ a_sauvage</v>
      </c>
      <c r="E367" s="35" t="str">
        <f>IF(Liens!D362="","",IF(COUNTIF(Mots!A:A,Liens!D362)&gt;0,"✓ "&amp;Liens!D362,"✗ "&amp;Liens!D362&amp;" (introuvable)"))</f>
        <v>✓ dangereux</v>
      </c>
      <c r="F367" s="35" t="str">
        <f>IF(Liens!E362="","",IF(COUNTIF(Mots!A:A,Liens!E362)&gt;0,"✓ "&amp;Liens!E362,"✗ "&amp;Liens!E362&amp;" (introuvable)"))</f>
        <v>✓ lion</v>
      </c>
      <c r="G367" s="35" t="str">
        <f>IF(Liens!F362="","",IF(COUNTIF(Mots!A:A,Liens!F362)&gt;0,"✓ "&amp;Liens!F362,"✗ "&amp;Liens!F362&amp;" (introuvable)"))</f>
        <v>✓ tigre</v>
      </c>
      <c r="H367" s="35" t="str">
        <f>IF(Liens!G362="","",IF(COUNTIF(Mots!A:A,Liens!G362)&gt;0,"✓ "&amp;Liens!G362,"✗ "&amp;Liens!G362&amp;" (introuvable)"))</f>
        <v>✓ leopard</v>
      </c>
      <c r="I367" s="35" t="str">
        <f>IF(Liens!H362="","",IF(COUNTIF(Mots!A:A,Liens!H362)&gt;0,"✓ "&amp;Liens!H362,"✗ "&amp;Liens!H362&amp;" (introuvable)"))</f>
        <v/>
      </c>
    </row>
    <row r="368" spans="1:9" x14ac:dyDescent="0.3">
      <c r="A368">
        <f t="shared" si="2"/>
        <v>363</v>
      </c>
      <c r="B368" s="35" t="str">
        <f>IF(Liens!A363="","",IF(COUNTIF(Mots!A:A,Liens!A363)&gt;0,"✓ "&amp;Liens!A363,"✗ "&amp;Liens!A363&amp;" (introuvable)"))</f>
        <v>✓ feminin</v>
      </c>
      <c r="C368" s="35" t="str">
        <f>IF(Liens!B363="","",IF(COUNTIF(Mots!A:A,Liens!B363)&gt;0,"✓ "&amp;Liens!B363,"✗ "&amp;Liens!B363&amp;" (introuvable)"))</f>
        <v>✓ femme</v>
      </c>
      <c r="D368" s="35" t="str">
        <f>IF(Liens!C363="","",IF(COUNTIF(Mots!A:A,Liens!C363)&gt;0,"✓ "&amp;Liens!C363,"✗ "&amp;Liens!C363&amp;" (introuvable)"))</f>
        <v>✓ fille</v>
      </c>
      <c r="E368" s="35" t="str">
        <f>IF(Liens!D363="","",IF(COUNTIF(Mots!A:A,Liens!D363)&gt;0,"✓ "&amp;Liens!D363,"✗ "&amp;Liens!D363&amp;" (introuvable)"))</f>
        <v/>
      </c>
      <c r="F368" s="35" t="str">
        <f>IF(Liens!E363="","",IF(COUNTIF(Mots!A:A,Liens!E363)&gt;0,"✓ "&amp;Liens!E363,"✗ "&amp;Liens!E363&amp;" (introuvable)"))</f>
        <v/>
      </c>
      <c r="G368" s="35" t="str">
        <f>IF(Liens!F363="","",IF(COUNTIF(Mots!A:A,Liens!F363)&gt;0,"✓ "&amp;Liens!F363,"✗ "&amp;Liens!F363&amp;" (introuvable)"))</f>
        <v/>
      </c>
      <c r="H368" s="35" t="str">
        <f>IF(Liens!G363="","",IF(COUNTIF(Mots!A:A,Liens!G363)&gt;0,"✓ "&amp;Liens!G363,"✗ "&amp;Liens!G363&amp;" (introuvable)"))</f>
        <v/>
      </c>
      <c r="I368" s="35" t="str">
        <f>IF(Liens!H363="","",IF(COUNTIF(Mots!A:A,Liens!H363)&gt;0,"✓ "&amp;Liens!H363,"✗ "&amp;Liens!H363&amp;" (introuvable)"))</f>
        <v/>
      </c>
    </row>
    <row r="369" spans="1:9" x14ac:dyDescent="0.3">
      <c r="A369">
        <f t="shared" si="2"/>
        <v>364</v>
      </c>
      <c r="B369" s="35" t="str">
        <f>IF(Liens!A364="","",IF(COUNTIF(Mots!A:A,Liens!A364)&gt;0,"✓ "&amp;Liens!A364,"✗ "&amp;Liens!A364&amp;" (introuvable)"))</f>
        <v>✓ femme</v>
      </c>
      <c r="C369" s="35" t="str">
        <f>IF(Liens!B364="","",IF(COUNTIF(Mots!A:A,Liens!B364)&gt;0,"✓ "&amp;Liens!B364,"✗ "&amp;Liens!B364&amp;" (introuvable)"))</f>
        <v>✓ personne</v>
      </c>
      <c r="D369" s="35" t="str">
        <f>IF(Liens!C364="","",IF(COUNTIF(Mots!A:A,Liens!C364)&gt;0,"✓ "&amp;Liens!C364,"✗ "&amp;Liens!C364&amp;" (introuvable)"))</f>
        <v>✓ adulte</v>
      </c>
      <c r="E369" s="35" t="str">
        <f>IF(Liens!D364="","",IF(COUNTIF(Mots!A:A,Liens!D364)&gt;0,"✓ "&amp;Liens!D364,"✗ "&amp;Liens!D364&amp;" (introuvable)"))</f>
        <v>✓ feminin</v>
      </c>
      <c r="F369" s="35" t="str">
        <f>IF(Liens!E364="","",IF(COUNTIF(Mots!A:A,Liens!E364)&gt;0,"✓ "&amp;Liens!E364,"✗ "&amp;Liens!E364&amp;" (introuvable)"))</f>
        <v/>
      </c>
      <c r="G369" s="35" t="str">
        <f>IF(Liens!F364="","",IF(COUNTIF(Mots!A:A,Liens!F364)&gt;0,"✓ "&amp;Liens!F364,"✗ "&amp;Liens!F364&amp;" (introuvable)"))</f>
        <v/>
      </c>
      <c r="H369" s="35" t="str">
        <f>IF(Liens!G364="","",IF(COUNTIF(Mots!A:A,Liens!G364)&gt;0,"✓ "&amp;Liens!G364,"✗ "&amp;Liens!G364&amp;" (introuvable)"))</f>
        <v/>
      </c>
      <c r="I369" s="35" t="str">
        <f>IF(Liens!H364="","",IF(COUNTIF(Mots!A:A,Liens!H364)&gt;0,"✓ "&amp;Liens!H364,"✗ "&amp;Liens!H364&amp;" (introuvable)"))</f>
        <v/>
      </c>
    </row>
    <row r="370" spans="1:9" x14ac:dyDescent="0.3">
      <c r="A370">
        <f t="shared" si="2"/>
        <v>365</v>
      </c>
      <c r="B370" s="35" t="str">
        <f>IF(Liens!A365="","",IF(COUNTIF(Mots!A:A,Liens!A365)&gt;0,"✓ "&amp;Liens!A365,"✗ "&amp;Liens!A365&amp;" (introuvable)"))</f>
        <v>✓ fenetre</v>
      </c>
      <c r="C370" s="35" t="str">
        <f>IF(Liens!B365="","",IF(COUNTIF(Mots!A:A,Liens!B365)&gt;0,"✓ "&amp;Liens!B365,"✗ "&amp;Liens!B365&amp;" (introuvable)"))</f>
        <v>✓ maison</v>
      </c>
      <c r="D370" s="35" t="str">
        <f>IF(Liens!C365="","",IF(COUNTIF(Mots!A:A,Liens!C365)&gt;0,"✓ "&amp;Liens!C365,"✗ "&amp;Liens!C365&amp;" (introuvable)"))</f>
        <v>✓ lumiere</v>
      </c>
      <c r="E370" s="35" t="str">
        <f>IF(Liens!D365="","",IF(COUNTIF(Mots!A:A,Liens!D365)&gt;0,"✓ "&amp;Liens!D365,"✗ "&amp;Liens!D365&amp;" (introuvable)"))</f>
        <v>✓ v_ouvrir</v>
      </c>
      <c r="F370" s="35" t="str">
        <f>IF(Liens!E365="","",IF(COUNTIF(Mots!A:A,Liens!E365)&gt;0,"✓ "&amp;Liens!E365,"✗ "&amp;Liens!E365&amp;" (introuvable)"))</f>
        <v>✓ v_fermer</v>
      </c>
      <c r="G370" s="35" t="str">
        <f>IF(Liens!F365="","",IF(COUNTIF(Mots!A:A,Liens!F365)&gt;0,"✓ "&amp;Liens!F365,"✗ "&amp;Liens!F365&amp;" (introuvable)"))</f>
        <v>✓ rideau</v>
      </c>
      <c r="H370" s="35" t="str">
        <f>IF(Liens!G365="","",IF(COUNTIF(Mots!A:A,Liens!G365)&gt;0,"✓ "&amp;Liens!G365,"✗ "&amp;Liens!G365&amp;" (introuvable)"))</f>
        <v>✓ volets</v>
      </c>
      <c r="I370" s="35" t="str">
        <f>IF(Liens!H365="","",IF(COUNTIF(Mots!A:A,Liens!H365)&gt;0,"✓ "&amp;Liens!H365,"✗ "&amp;Liens!H365&amp;" (introuvable)"))</f>
        <v>✓ store</v>
      </c>
    </row>
    <row r="371" spans="1:9" x14ac:dyDescent="0.3">
      <c r="A371">
        <f t="shared" si="2"/>
        <v>366</v>
      </c>
      <c r="B371" s="35" t="str">
        <f>IF(Liens!A366="","",IF(COUNTIF(Mots!A:A,Liens!A366)&gt;0,"✓ "&amp;Liens!A366,"✗ "&amp;Liens!A366&amp;" (introuvable)"))</f>
        <v>✓ fer</v>
      </c>
      <c r="C371" s="35" t="str">
        <f>IF(Liens!B366="","",IF(COUNTIF(Mots!A:A,Liens!B366)&gt;0,"✓ "&amp;Liens!B366,"✗ "&amp;Liens!B366&amp;" (introuvable)"))</f>
        <v>✓ metal</v>
      </c>
      <c r="D371" s="35" t="str">
        <f>IF(Liens!C366="","",IF(COUNTIF(Mots!A:A,Liens!C366)&gt;0,"✓ "&amp;Liens!C366,"✗ "&amp;Liens!C366&amp;" (introuvable)"))</f>
        <v>✓ a_dur_mou</v>
      </c>
      <c r="E371" s="35" t="str">
        <f>IF(Liens!D366="","",IF(COUNTIF(Mots!A:A,Liens!D366)&gt;0,"✓ "&amp;Liens!D366,"✗ "&amp;Liens!D366&amp;" (introuvable)"))</f>
        <v>✓ c_gris</v>
      </c>
      <c r="F371" s="35" t="str">
        <f>IF(Liens!E366="","",IF(COUNTIF(Mots!A:A,Liens!E366)&gt;0,"✓ "&amp;Liens!E366,"✗ "&amp;Liens!E366&amp;" (introuvable)"))</f>
        <v>✓ serrure</v>
      </c>
      <c r="G371" s="35" t="str">
        <f>IF(Liens!F366="","",IF(COUNTIF(Mots!A:A,Liens!F366)&gt;0,"✓ "&amp;Liens!F366,"✗ "&amp;Liens!F366&amp;" (introuvable)"))</f>
        <v>✓ poignee</v>
      </c>
      <c r="H371" s="35" t="str">
        <f>IF(Liens!G366="","",IF(COUNTIF(Mots!A:A,Liens!G366)&gt;0,"✓ "&amp;Liens!G366,"✗ "&amp;Liens!G366&amp;" (introuvable)"))</f>
        <v>✓ voiture</v>
      </c>
      <c r="I371" s="35" t="str">
        <f>IF(Liens!H366="","",IF(COUNTIF(Mots!A:A,Liens!H366)&gt;0,"✓ "&amp;Liens!H366,"✗ "&amp;Liens!H366&amp;" (introuvable)"))</f>
        <v>✓ cle</v>
      </c>
    </row>
    <row r="372" spans="1:9" x14ac:dyDescent="0.3">
      <c r="A372">
        <f t="shared" si="2"/>
        <v>367</v>
      </c>
      <c r="B372" s="35" t="str">
        <f>IF(Liens!A367="","",IF(COUNTIF(Mots!A:A,Liens!A367)&gt;0,"✓ "&amp;Liens!A367,"✗ "&amp;Liens!A367&amp;" (introuvable)"))</f>
        <v>✓ ferme</v>
      </c>
      <c r="C372" s="35" t="str">
        <f>IF(Liens!B367="","",IF(COUNTIF(Mots!A:A,Liens!B367)&gt;0,"✓ "&amp;Liens!B367,"✗ "&amp;Liens!B367&amp;" (introuvable)"))</f>
        <v>✓ campagne</v>
      </c>
      <c r="D372" s="35" t="str">
        <f>IF(Liens!C367="","",IF(COUNTIF(Mots!A:A,Liens!C367)&gt;0,"✓ "&amp;Liens!C367,"✗ "&amp;Liens!C367&amp;" (introuvable)"))</f>
        <v>✓ vache</v>
      </c>
      <c r="E372" s="35" t="str">
        <f>IF(Liens!D367="","",IF(COUNTIF(Mots!A:A,Liens!D367)&gt;0,"✓ "&amp;Liens!D367,"✗ "&amp;Liens!D367&amp;" (introuvable)"))</f>
        <v>✓ cochon</v>
      </c>
      <c r="F372" s="35" t="str">
        <f>IF(Liens!E367="","",IF(COUNTIF(Mots!A:A,Liens!E367)&gt;0,"✓ "&amp;Liens!E367,"✗ "&amp;Liens!E367&amp;" (introuvable)"))</f>
        <v>✓ poule</v>
      </c>
      <c r="G372" s="35" t="str">
        <f>IF(Liens!F367="","",IF(COUNTIF(Mots!A:A,Liens!F367)&gt;0,"✓ "&amp;Liens!F367,"✗ "&amp;Liens!F367&amp;" (introuvable)"))</f>
        <v>✓ mouton</v>
      </c>
      <c r="H372" s="35" t="str">
        <f>IF(Liens!G367="","",IF(COUNTIF(Mots!A:A,Liens!G367)&gt;0,"✓ "&amp;Liens!G367,"✗ "&amp;Liens!G367&amp;" (introuvable)"))</f>
        <v>✓ champ</v>
      </c>
      <c r="I372" s="35" t="str">
        <f>IF(Liens!H367="","",IF(COUNTIF(Mots!A:A,Liens!H367)&gt;0,"✓ "&amp;Liens!H367,"✗ "&amp;Liens!H367&amp;" (introuvable)"))</f>
        <v>✓ herbe</v>
      </c>
    </row>
    <row r="373" spans="1:9" x14ac:dyDescent="0.3">
      <c r="A373">
        <f t="shared" si="2"/>
        <v>368</v>
      </c>
      <c r="B373" s="35" t="str">
        <f>IF(Liens!A368="","",IF(COUNTIF(Mots!A:A,Liens!A368)&gt;0,"✓ "&amp;Liens!A368,"✗ "&amp;Liens!A368&amp;" (introuvable)"))</f>
        <v>✓ fete</v>
      </c>
      <c r="C373" s="35" t="str">
        <f>IF(Liens!B368="","",IF(COUNTIF(Mots!A:A,Liens!B368)&gt;0,"✓ "&amp;Liens!B368,"✗ "&amp;Liens!B368&amp;" (introuvable)"))</f>
        <v>✓ moment</v>
      </c>
      <c r="D373" s="35" t="str">
        <f>IF(Liens!C368="","",IF(COUNTIF(Mots!A:A,Liens!C368)&gt;0,"✓ "&amp;Liens!C368,"✗ "&amp;Liens!C368&amp;" (introuvable)"))</f>
        <v>✓ a_joyeux</v>
      </c>
      <c r="E373" s="35" t="str">
        <f>IF(Liens!D368="","",IF(COUNTIF(Mots!A:A,Liens!D368)&gt;0,"✓ "&amp;Liens!D368,"✗ "&amp;Liens!D368&amp;" (introuvable)"))</f>
        <v>✓ anniversaire</v>
      </c>
      <c r="F373" s="35" t="str">
        <f>IF(Liens!E368="","",IF(COUNTIF(Mots!A:A,Liens!E368)&gt;0,"✓ "&amp;Liens!E368,"✗ "&amp;Liens!E368&amp;" (introuvable)"))</f>
        <v>✓ ami</v>
      </c>
      <c r="G373" s="35" t="str">
        <f>IF(Liens!F368="","",IF(COUNTIF(Mots!A:A,Liens!F368)&gt;0,"✓ "&amp;Liens!F368,"✗ "&amp;Liens!F368&amp;" (introuvable)"))</f>
        <v>✓ famille</v>
      </c>
      <c r="H373" s="35" t="str">
        <f>IF(Liens!G368="","",IF(COUNTIF(Mots!A:A,Liens!G368)&gt;0,"✓ "&amp;Liens!G368,"✗ "&amp;Liens!G368&amp;" (introuvable)"))</f>
        <v/>
      </c>
      <c r="I373" s="35" t="str">
        <f>IF(Liens!H368="","",IF(COUNTIF(Mots!A:A,Liens!H368)&gt;0,"✓ "&amp;Liens!H368,"✗ "&amp;Liens!H368&amp;" (introuvable)"))</f>
        <v/>
      </c>
    </row>
    <row r="374" spans="1:9" x14ac:dyDescent="0.3">
      <c r="A374">
        <f t="shared" si="2"/>
        <v>369</v>
      </c>
      <c r="B374" s="35" t="str">
        <f>IF(Liens!A369="","",IF(COUNTIF(Mots!A:A,Liens!A369)&gt;0,"✓ "&amp;Liens!A369,"✗ "&amp;Liens!A369&amp;" (introuvable)"))</f>
        <v>✓ feu</v>
      </c>
      <c r="C374" s="35" t="str">
        <f>IF(Liens!B369="","",IF(COUNTIF(Mots!A:A,Liens!B369)&gt;0,"✓ "&amp;Liens!B369,"✗ "&amp;Liens!B369&amp;" (introuvable)"))</f>
        <v>✓ flamme</v>
      </c>
      <c r="D374" s="35" t="str">
        <f>IF(Liens!C369="","",IF(COUNTIF(Mots!A:A,Liens!C369)&gt;0,"✓ "&amp;Liens!C369,"✗ "&amp;Liens!C369&amp;" (introuvable)"))</f>
        <v>✓ chaleur</v>
      </c>
      <c r="E374" s="35" t="str">
        <f>IF(Liens!D369="","",IF(COUNTIF(Mots!A:A,Liens!D369)&gt;0,"✓ "&amp;Liens!D369,"✗ "&amp;Liens!D369&amp;" (introuvable)"))</f>
        <v>✓ v_chauffer</v>
      </c>
      <c r="F374" s="35" t="str">
        <f>IF(Liens!E369="","",IF(COUNTIF(Mots!A:A,Liens!E369)&gt;0,"✓ "&amp;Liens!E369,"✗ "&amp;Liens!E369&amp;" (introuvable)"))</f>
        <v>✓ fourneau_bois</v>
      </c>
      <c r="G374" s="35" t="str">
        <f>IF(Liens!F369="","",IF(COUNTIF(Mots!A:A,Liens!F369)&gt;0,"✓ "&amp;Liens!F369,"✗ "&amp;Liens!F369&amp;" (introuvable)"))</f>
        <v>✓ fourneau_pellets</v>
      </c>
      <c r="H374" s="35" t="str">
        <f>IF(Liens!G369="","",IF(COUNTIF(Mots!A:A,Liens!G369)&gt;0,"✓ "&amp;Liens!G369,"✗ "&amp;Liens!G369&amp;" (introuvable)"))</f>
        <v/>
      </c>
      <c r="I374" s="35" t="str">
        <f>IF(Liens!H369="","",IF(COUNTIF(Mots!A:A,Liens!H369)&gt;0,"✓ "&amp;Liens!H369,"✗ "&amp;Liens!H369&amp;" (introuvable)"))</f>
        <v/>
      </c>
    </row>
    <row r="375" spans="1:9" x14ac:dyDescent="0.3">
      <c r="A375">
        <f t="shared" si="2"/>
        <v>370</v>
      </c>
      <c r="B375" s="35" t="str">
        <f>IF(Liens!A370="","",IF(COUNTIF(Mots!A:A,Liens!A370)&gt;0,"✓ "&amp;Liens!A370,"✗ "&amp;Liens!A370&amp;" (introuvable)"))</f>
        <v>✓ feu_artifice</v>
      </c>
      <c r="C375" s="35" t="str">
        <f>IF(Liens!B370="","",IF(COUNTIF(Mots!A:A,Liens!B370)&gt;0,"✓ "&amp;Liens!B370,"✗ "&amp;Liens!B370&amp;" (introuvable)"))</f>
        <v>✓ fete</v>
      </c>
      <c r="D375" s="35" t="str">
        <f>IF(Liens!C370="","",IF(COUNTIF(Mots!A:A,Liens!C370)&gt;0,"✓ "&amp;Liens!C370,"✗ "&amp;Liens!C370&amp;" (introuvable)"))</f>
        <v>✓ lumiere</v>
      </c>
      <c r="E375" s="35" t="str">
        <f>IF(Liens!D370="","",IF(COUNTIF(Mots!A:A,Liens!D370)&gt;0,"✓ "&amp;Liens!D370,"✗ "&amp;Liens!D370&amp;" (introuvable)"))</f>
        <v>✓ spectacle</v>
      </c>
      <c r="F375" s="35" t="str">
        <f>IF(Liens!E370="","",IF(COUNTIF(Mots!A:A,Liens!E370)&gt;0,"✓ "&amp;Liens!E370,"✗ "&amp;Liens!E370&amp;" (introuvable)"))</f>
        <v>✓ a_colore</v>
      </c>
      <c r="G375" s="35" t="str">
        <f>IF(Liens!F370="","",IF(COUNTIF(Mots!A:A,Liens!F370)&gt;0,"✓ "&amp;Liens!F370,"✗ "&amp;Liens!F370&amp;" (introuvable)"))</f>
        <v/>
      </c>
      <c r="H375" s="35" t="str">
        <f>IF(Liens!G370="","",IF(COUNTIF(Mots!A:A,Liens!G370)&gt;0,"✓ "&amp;Liens!G370,"✗ "&amp;Liens!G370&amp;" (introuvable)"))</f>
        <v/>
      </c>
      <c r="I375" s="35" t="str">
        <f>IF(Liens!H370="","",IF(COUNTIF(Mots!A:A,Liens!H370)&gt;0,"✓ "&amp;Liens!H370,"✗ "&amp;Liens!H370&amp;" (introuvable)"))</f>
        <v/>
      </c>
    </row>
    <row r="376" spans="1:9" x14ac:dyDescent="0.3">
      <c r="A376">
        <f t="shared" si="2"/>
        <v>371</v>
      </c>
      <c r="B376" s="35" t="str">
        <f>IF(Liens!A371="","",IF(COUNTIF(Mots!A:A,Liens!A371)&gt;0,"✓ "&amp;Liens!A371,"✗ "&amp;Liens!A371&amp;" (introuvable)"))</f>
        <v>✓ feuille_papier</v>
      </c>
      <c r="C376" s="35" t="str">
        <f>IF(Liens!B371="","",IF(COUNTIF(Mots!A:A,Liens!B371)&gt;0,"✓ "&amp;Liens!B371,"✗ "&amp;Liens!B371&amp;" (introuvable)"))</f>
        <v>✓ papier</v>
      </c>
      <c r="D376" s="35" t="str">
        <f>IF(Liens!C371="","",IF(COUNTIF(Mots!A:A,Liens!C371)&gt;0,"✓ "&amp;Liens!C371,"✗ "&amp;Liens!C371&amp;" (introuvable)"))</f>
        <v>✓ v_ecrire</v>
      </c>
      <c r="E376" s="35" t="str">
        <f>IF(Liens!D371="","",IF(COUNTIF(Mots!A:A,Liens!D371)&gt;0,"✓ "&amp;Liens!D371,"✗ "&amp;Liens!D371&amp;" (introuvable)"))</f>
        <v>✓ crayon</v>
      </c>
      <c r="F376" s="35" t="str">
        <f>IF(Liens!E371="","",IF(COUNTIF(Mots!A:A,Liens!E371)&gt;0,"✓ "&amp;Liens!E371,"✗ "&amp;Liens!E371&amp;" (introuvable)"))</f>
        <v>✓ stylo</v>
      </c>
      <c r="G376" s="35" t="str">
        <f>IF(Liens!F371="","",IF(COUNTIF(Mots!A:A,Liens!F371)&gt;0,"✓ "&amp;Liens!F371,"✗ "&amp;Liens!F371&amp;" (introuvable)"))</f>
        <v>✓ livre</v>
      </c>
      <c r="H376" s="35" t="str">
        <f>IF(Liens!G371="","",IF(COUNTIF(Mots!A:A,Liens!G371)&gt;0,"✓ "&amp;Liens!G371,"✗ "&amp;Liens!G371&amp;" (introuvable)"))</f>
        <v>✓ cahier</v>
      </c>
      <c r="I376" s="35" t="str">
        <f>IF(Liens!H371="","",IF(COUNTIF(Mots!A:A,Liens!H371)&gt;0,"✓ "&amp;Liens!H371,"✗ "&amp;Liens!H371&amp;" (introuvable)"))</f>
        <v>✓ ecole</v>
      </c>
    </row>
    <row r="377" spans="1:9" x14ac:dyDescent="0.3">
      <c r="A377">
        <f t="shared" si="2"/>
        <v>372</v>
      </c>
      <c r="B377" s="35" t="str">
        <f>IF(Liens!A372="","",IF(COUNTIF(Mots!A:A,Liens!A372)&gt;0,"✓ "&amp;Liens!A372,"✗ "&amp;Liens!A372&amp;" (introuvable)"))</f>
        <v>✓ feuille_plante</v>
      </c>
      <c r="C377" s="35" t="str">
        <f>IF(Liens!B372="","",IF(COUNTIF(Mots!A:A,Liens!B372)&gt;0,"✓ "&amp;Liens!B372,"✗ "&amp;Liens!B372&amp;" (introuvable)"))</f>
        <v>✓ plante</v>
      </c>
      <c r="D377" s="35" t="str">
        <f>IF(Liens!C372="","",IF(COUNTIF(Mots!A:A,Liens!C372)&gt;0,"✓ "&amp;Liens!C372,"✗ "&amp;Liens!C372&amp;" (introuvable)"))</f>
        <v>✓ arbre</v>
      </c>
      <c r="E377" s="35" t="str">
        <f>IF(Liens!D372="","",IF(COUNTIF(Mots!A:A,Liens!D372)&gt;0,"✓ "&amp;Liens!D372,"✗ "&amp;Liens!D372&amp;" (introuvable)"))</f>
        <v>✓ salade_laitue</v>
      </c>
      <c r="F377" s="35" t="str">
        <f>IF(Liens!E372="","",IF(COUNTIF(Mots!A:A,Liens!E372)&gt;0,"✓ "&amp;Liens!E372,"✗ "&amp;Liens!E372&amp;" (introuvable)"))</f>
        <v>✓ c_vert</v>
      </c>
      <c r="G377" s="35" t="str">
        <f>IF(Liens!F372="","",IF(COUNTIF(Mots!A:A,Liens!F372)&gt;0,"✓ "&amp;Liens!F372,"✗ "&amp;Liens!F372&amp;" (introuvable)"))</f>
        <v>✓ branche</v>
      </c>
      <c r="H377" s="35" t="str">
        <f>IF(Liens!G372="","",IF(COUNTIF(Mots!A:A,Liens!G372)&gt;0,"✓ "&amp;Liens!G372,"✗ "&amp;Liens!G372&amp;" (introuvable)"))</f>
        <v>✓ bourgeon</v>
      </c>
      <c r="I377" s="35" t="str">
        <f>IF(Liens!H372="","",IF(COUNTIF(Mots!A:A,Liens!H372)&gt;0,"✓ "&amp;Liens!H372,"✗ "&amp;Liens!H372&amp;" (introuvable)"))</f>
        <v>✓ fleur</v>
      </c>
    </row>
    <row r="378" spans="1:9" x14ac:dyDescent="0.3">
      <c r="A378">
        <f t="shared" si="2"/>
        <v>373</v>
      </c>
      <c r="B378" s="35" t="str">
        <f>IF(Liens!A373="","",IF(COUNTIF(Mots!A:A,Liens!A373)&gt;0,"✓ "&amp;Liens!A373,"✗ "&amp;Liens!A373&amp;" (introuvable)"))</f>
        <v>✓ fierte</v>
      </c>
      <c r="C378" s="35" t="str">
        <f>IF(Liens!B373="","",IF(COUNTIF(Mots!A:A,Liens!B373)&gt;0,"✓ "&amp;Liens!B373,"✗ "&amp;Liens!B373&amp;" (introuvable)"))</f>
        <v>✓ mes_enfants</v>
      </c>
      <c r="D378" s="35" t="str">
        <f>IF(Liens!C373="","",IF(COUNTIF(Mots!A:A,Liens!C373)&gt;0,"✓ "&amp;Liens!C373,"✗ "&amp;Liens!C373&amp;" (introuvable)"))</f>
        <v>✓ champion</v>
      </c>
      <c r="E378" s="35" t="str">
        <f>IF(Liens!D373="","",IF(COUNTIF(Mots!A:A,Liens!D373)&gt;0,"✓ "&amp;Liens!D373,"✗ "&amp;Liens!D373&amp;" (introuvable)"))</f>
        <v>✓ vainqueur</v>
      </c>
      <c r="F378" s="35" t="str">
        <f>IF(Liens!E373="","",IF(COUNTIF(Mots!A:A,Liens!E373)&gt;0,"✓ "&amp;Liens!E373,"✗ "&amp;Liens!E373&amp;" (introuvable)"))</f>
        <v/>
      </c>
      <c r="G378" s="35" t="str">
        <f>IF(Liens!F373="","",IF(COUNTIF(Mots!A:A,Liens!F373)&gt;0,"✓ "&amp;Liens!F373,"✗ "&amp;Liens!F373&amp;" (introuvable)"))</f>
        <v/>
      </c>
      <c r="H378" s="35" t="str">
        <f>IF(Liens!G373="","",IF(COUNTIF(Mots!A:A,Liens!G373)&gt;0,"✓ "&amp;Liens!G373,"✗ "&amp;Liens!G373&amp;" (introuvable)"))</f>
        <v/>
      </c>
      <c r="I378" s="35" t="str">
        <f>IF(Liens!H373="","",IF(COUNTIF(Mots!A:A,Liens!H373)&gt;0,"✓ "&amp;Liens!H373,"✗ "&amp;Liens!H373&amp;" (introuvable)"))</f>
        <v/>
      </c>
    </row>
    <row r="379" spans="1:9" x14ac:dyDescent="0.3">
      <c r="A379">
        <f t="shared" si="2"/>
        <v>374</v>
      </c>
      <c r="B379" s="35" t="str">
        <f>IF(Liens!A374="","",IF(COUNTIF(Mots!A:A,Liens!A374)&gt;0,"✓ "&amp;Liens!A374,"✗ "&amp;Liens!A374&amp;" (introuvable)"))</f>
        <v>✓ fievre</v>
      </c>
      <c r="C379" s="35" t="str">
        <f>IF(Liens!B374="","",IF(COUNTIF(Mots!A:A,Liens!B374)&gt;0,"✓ "&amp;Liens!B374,"✗ "&amp;Liens!B374&amp;" (introuvable)"))</f>
        <v>✓ tete</v>
      </c>
      <c r="D379" s="35" t="str">
        <f>IF(Liens!C374="","",IF(COUNTIF(Mots!A:A,Liens!C374)&gt;0,"✓ "&amp;Liens!C374,"✗ "&amp;Liens!C374&amp;" (introuvable)"))</f>
        <v>✓ maladie</v>
      </c>
      <c r="E379" s="35" t="str">
        <f>IF(Liens!D374="","",IF(COUNTIF(Mots!A:A,Liens!D374)&gt;0,"✓ "&amp;Liens!D374,"✗ "&amp;Liens!D374&amp;" (introuvable)"))</f>
        <v>✓ a_mal_douloureux</v>
      </c>
      <c r="F379" s="35" t="str">
        <f>IF(Liens!E374="","",IF(COUNTIF(Mots!A:A,Liens!E374)&gt;0,"✓ "&amp;Liens!E374,"✗ "&amp;Liens!E374&amp;" (introuvable)"))</f>
        <v/>
      </c>
      <c r="G379" s="35" t="str">
        <f>IF(Liens!F374="","",IF(COUNTIF(Mots!A:A,Liens!F374)&gt;0,"✓ "&amp;Liens!F374,"✗ "&amp;Liens!F374&amp;" (introuvable)"))</f>
        <v/>
      </c>
      <c r="H379" s="35" t="str">
        <f>IF(Liens!G374="","",IF(COUNTIF(Mots!A:A,Liens!G374)&gt;0,"✓ "&amp;Liens!G374,"✗ "&amp;Liens!G374&amp;" (introuvable)"))</f>
        <v/>
      </c>
      <c r="I379" s="35" t="str">
        <f>IF(Liens!H374="","",IF(COUNTIF(Mots!A:A,Liens!H374)&gt;0,"✓ "&amp;Liens!H374,"✗ "&amp;Liens!H374&amp;" (introuvable)"))</f>
        <v/>
      </c>
    </row>
    <row r="380" spans="1:9" x14ac:dyDescent="0.3">
      <c r="A380">
        <f t="shared" si="2"/>
        <v>375</v>
      </c>
      <c r="B380" s="35" t="str">
        <f>IF(Liens!A375="","",IF(COUNTIF(Mots!A:A,Liens!A375)&gt;0,"✓ "&amp;Liens!A375,"✗ "&amp;Liens!A375&amp;" (introuvable)"))</f>
        <v>✓ fil</v>
      </c>
      <c r="C380" s="35" t="str">
        <f>IF(Liens!B375="","",IF(COUNTIF(Mots!A:A,Liens!B375)&gt;0,"✓ "&amp;Liens!B375,"✗ "&amp;Liens!B375&amp;" (introuvable)"))</f>
        <v>✓ habit</v>
      </c>
      <c r="D380" s="35" t="str">
        <f>IF(Liens!C375="","",IF(COUNTIF(Mots!A:A,Liens!C375)&gt;0,"✓ "&amp;Liens!C375,"✗ "&amp;Liens!C375&amp;" (introuvable)"))</f>
        <v>✓ vetement</v>
      </c>
      <c r="E380" s="35" t="str">
        <f>IF(Liens!D375="","",IF(COUNTIF(Mots!A:A,Liens!D375)&gt;0,"✓ "&amp;Liens!D375,"✗ "&amp;Liens!D375&amp;" (introuvable)"))</f>
        <v/>
      </c>
      <c r="F380" s="35" t="str">
        <f>IF(Liens!E375="","",IF(COUNTIF(Mots!A:A,Liens!E375)&gt;0,"✓ "&amp;Liens!E375,"✗ "&amp;Liens!E375&amp;" (introuvable)"))</f>
        <v/>
      </c>
      <c r="G380" s="35" t="str">
        <f>IF(Liens!F375="","",IF(COUNTIF(Mots!A:A,Liens!F375)&gt;0,"✓ "&amp;Liens!F375,"✗ "&amp;Liens!F375&amp;" (introuvable)"))</f>
        <v/>
      </c>
      <c r="H380" s="35" t="str">
        <f>IF(Liens!G375="","",IF(COUNTIF(Mots!A:A,Liens!G375)&gt;0,"✓ "&amp;Liens!G375,"✗ "&amp;Liens!G375&amp;" (introuvable)"))</f>
        <v/>
      </c>
      <c r="I380" s="35" t="str">
        <f>IF(Liens!H375="","",IF(COUNTIF(Mots!A:A,Liens!H375)&gt;0,"✓ "&amp;Liens!H375,"✗ "&amp;Liens!H375&amp;" (introuvable)"))</f>
        <v/>
      </c>
    </row>
    <row r="381" spans="1:9" x14ac:dyDescent="0.3">
      <c r="A381">
        <f t="shared" si="2"/>
        <v>376</v>
      </c>
      <c r="B381" s="35" t="str">
        <f>IF(Liens!A376="","",IF(COUNTIF(Mots!A:A,Liens!A376)&gt;0,"✓ "&amp;Liens!A376,"✗ "&amp;Liens!A376&amp;" (introuvable)"))</f>
        <v>✓ fille</v>
      </c>
      <c r="C381" s="35" t="str">
        <f>IF(Liens!B376="","",IF(COUNTIF(Mots!A:A,Liens!B376)&gt;0,"✓ "&amp;Liens!B376,"✗ "&amp;Liens!B376&amp;" (introuvable)"))</f>
        <v>✓ enfants</v>
      </c>
      <c r="D381" s="35" t="str">
        <f>IF(Liens!C376="","",IF(COUNTIF(Mots!A:A,Liens!C376)&gt;0,"✓ "&amp;Liens!C376,"✗ "&amp;Liens!C376&amp;" (introuvable)"))</f>
        <v>✓ a_jeune_vieux</v>
      </c>
      <c r="E381" s="35" t="str">
        <f>IF(Liens!D376="","",IF(COUNTIF(Mots!A:A,Liens!D376)&gt;0,"✓ "&amp;Liens!D376,"✗ "&amp;Liens!D376&amp;" (introuvable)"))</f>
        <v>✓ feminin</v>
      </c>
      <c r="F381" s="35" t="str">
        <f>IF(Liens!E376="","",IF(COUNTIF(Mots!A:A,Liens!E376)&gt;0,"✓ "&amp;Liens!E376,"✗ "&amp;Liens!E376&amp;" (introuvable)"))</f>
        <v>✓ pere</v>
      </c>
      <c r="G381" s="35" t="str">
        <f>IF(Liens!F376="","",IF(COUNTIF(Mots!A:A,Liens!F376)&gt;0,"✓ "&amp;Liens!F376,"✗ "&amp;Liens!F376&amp;" (introuvable)"))</f>
        <v>✓ mere</v>
      </c>
      <c r="H381" s="35" t="str">
        <f>IF(Liens!G376="","",IF(COUNTIF(Mots!A:A,Liens!G376)&gt;0,"✓ "&amp;Liens!G376,"✗ "&amp;Liens!G376&amp;" (introuvable)"))</f>
        <v>✓ famille</v>
      </c>
      <c r="I381" s="35" t="str">
        <f>IF(Liens!H376="","",IF(COUNTIF(Mots!A:A,Liens!H376)&gt;0,"✓ "&amp;Liens!H376,"✗ "&amp;Liens!H376&amp;" (introuvable)"))</f>
        <v/>
      </c>
    </row>
    <row r="382" spans="1:9" x14ac:dyDescent="0.3">
      <c r="A382">
        <f t="shared" si="2"/>
        <v>377</v>
      </c>
      <c r="B382" s="35" t="str">
        <f>IF(Liens!A377="","",IF(COUNTIF(Mots!A:A,Liens!A377)&gt;0,"✓ "&amp;Liens!A377,"✗ "&amp;Liens!A377&amp;" (introuvable)"))</f>
        <v>✓ film</v>
      </c>
      <c r="C382" s="35" t="str">
        <f>IF(Liens!B377="","",IF(COUNTIF(Mots!A:A,Liens!B377)&gt;0,"✓ "&amp;Liens!B377,"✗ "&amp;Liens!B377&amp;" (introuvable)"))</f>
        <v>✓ image</v>
      </c>
      <c r="D382" s="35" t="str">
        <f>IF(Liens!C377="","",IF(COUNTIF(Mots!A:A,Liens!C377)&gt;0,"✓ "&amp;Liens!C377,"✗ "&amp;Liens!C377&amp;" (introuvable)"))</f>
        <v>✓ son</v>
      </c>
      <c r="E382" s="35" t="str">
        <f>IF(Liens!D377="","",IF(COUNTIF(Mots!A:A,Liens!D377)&gt;0,"✓ "&amp;Liens!D377,"✗ "&amp;Liens!D377&amp;" (introuvable)"))</f>
        <v>✓ acteur</v>
      </c>
      <c r="F382" s="35" t="str">
        <f>IF(Liens!E377="","",IF(COUNTIF(Mots!A:A,Liens!E377)&gt;0,"✓ "&amp;Liens!E377,"✗ "&amp;Liens!E377&amp;" (introuvable)"))</f>
        <v>✓ television</v>
      </c>
      <c r="G382" s="35" t="str">
        <f>IF(Liens!F377="","",IF(COUNTIF(Mots!A:A,Liens!F377)&gt;0,"✓ "&amp;Liens!F377,"✗ "&amp;Liens!F377&amp;" (introuvable)"))</f>
        <v>✓ v_regarder</v>
      </c>
      <c r="H382" s="35" t="str">
        <f>IF(Liens!G377="","",IF(COUNTIF(Mots!A:A,Liens!G377)&gt;0,"✓ "&amp;Liens!G377,"✗ "&amp;Liens!G377&amp;" (introuvable)"))</f>
        <v>✓ cinema</v>
      </c>
      <c r="I382" s="35" t="str">
        <f>IF(Liens!H377="","",IF(COUNTIF(Mots!A:A,Liens!H377)&gt;0,"✓ "&amp;Liens!H377,"✗ "&amp;Liens!H377&amp;" (introuvable)"))</f>
        <v/>
      </c>
    </row>
    <row r="383" spans="1:9" x14ac:dyDescent="0.3">
      <c r="A383">
        <f t="shared" si="2"/>
        <v>378</v>
      </c>
      <c r="B383" s="35" t="str">
        <f>IF(Liens!A378="","",IF(COUNTIF(Mots!A:A,Liens!A378)&gt;0,"✓ "&amp;Liens!A378,"✗ "&amp;Liens!A378&amp;" (introuvable)"))</f>
        <v>✓ fin</v>
      </c>
      <c r="C383" s="35" t="str">
        <f>IF(Liens!B378="","",IF(COUNTIF(Mots!A:A,Liens!B378)&gt;0,"✓ "&amp;Liens!B378,"✗ "&amp;Liens!B378&amp;" (introuvable)"))</f>
        <v>✓ moment</v>
      </c>
      <c r="D383" s="35" t="str">
        <f>IF(Liens!C378="","",IF(COUNTIF(Mots!A:A,Liens!C378)&gt;0,"✓ "&amp;Liens!C378,"✗ "&amp;Liens!C378&amp;" (introuvable)"))</f>
        <v>✓ debut</v>
      </c>
      <c r="E383" s="35" t="str">
        <f>IF(Liens!D378="","",IF(COUNTIF(Mots!A:A,Liens!D378)&gt;0,"✓ "&amp;Liens!D378,"✗ "&amp;Liens!D378&amp;" (introuvable)"))</f>
        <v>✓ duree</v>
      </c>
      <c r="F383" s="35" t="str">
        <f>IF(Liens!E378="","",IF(COUNTIF(Mots!A:A,Liens!E378)&gt;0,"✓ "&amp;Liens!E378,"✗ "&amp;Liens!E378&amp;" (introuvable)"))</f>
        <v/>
      </c>
      <c r="G383" s="35" t="str">
        <f>IF(Liens!F378="","",IF(COUNTIF(Mots!A:A,Liens!F378)&gt;0,"✓ "&amp;Liens!F378,"✗ "&amp;Liens!F378&amp;" (introuvable)"))</f>
        <v/>
      </c>
      <c r="H383" s="35" t="str">
        <f>IF(Liens!G378="","",IF(COUNTIF(Mots!A:A,Liens!G378)&gt;0,"✓ "&amp;Liens!G378,"✗ "&amp;Liens!G378&amp;" (introuvable)"))</f>
        <v/>
      </c>
      <c r="I383" s="35" t="str">
        <f>IF(Liens!H378="","",IF(COUNTIF(Mots!A:A,Liens!H378)&gt;0,"✓ "&amp;Liens!H378,"✗ "&amp;Liens!H378&amp;" (introuvable)"))</f>
        <v/>
      </c>
    </row>
    <row r="384" spans="1:9" x14ac:dyDescent="0.3">
      <c r="A384">
        <f t="shared" si="2"/>
        <v>379</v>
      </c>
      <c r="B384" s="35" t="str">
        <f>IF(Liens!A379="","",IF(COUNTIF(Mots!A:A,Liens!A379)&gt;0,"✓ "&amp;Liens!A379,"✗ "&amp;Liens!A379&amp;" (introuvable)"))</f>
        <v>✓ flamme</v>
      </c>
      <c r="C384" s="35" t="str">
        <f>IF(Liens!B379="","",IF(COUNTIF(Mots!A:A,Liens!B379)&gt;0,"✓ "&amp;Liens!B379,"✗ "&amp;Liens!B379&amp;" (introuvable)"))</f>
        <v>✓ feu</v>
      </c>
      <c r="D384" s="35" t="str">
        <f>IF(Liens!C379="","",IF(COUNTIF(Mots!A:A,Liens!C379)&gt;0,"✓ "&amp;Liens!C379,"✗ "&amp;Liens!C379&amp;" (introuvable)"))</f>
        <v>✓ incendie</v>
      </c>
      <c r="E384" s="35" t="str">
        <f>IF(Liens!D379="","",IF(COUNTIF(Mots!A:A,Liens!D379)&gt;0,"✓ "&amp;Liens!D379,"✗ "&amp;Liens!D379&amp;" (introuvable)"))</f>
        <v>✓ allumette</v>
      </c>
      <c r="F384" s="35" t="str">
        <f>IF(Liens!E379="","",IF(COUNTIF(Mots!A:A,Liens!E379)&gt;0,"✓ "&amp;Liens!E379,"✗ "&amp;Liens!E379&amp;" (introuvable)"))</f>
        <v>✓ bois</v>
      </c>
      <c r="G384" s="35" t="str">
        <f>IF(Liens!F379="","",IF(COUNTIF(Mots!A:A,Liens!F379)&gt;0,"✓ "&amp;Liens!F379,"✗ "&amp;Liens!F379&amp;" (introuvable)"))</f>
        <v>✓ v_bruler</v>
      </c>
      <c r="H384" s="35" t="str">
        <f>IF(Liens!G379="","",IF(COUNTIF(Mots!A:A,Liens!G379)&gt;0,"✓ "&amp;Liens!G379,"✗ "&amp;Liens!G379&amp;" (introuvable)"))</f>
        <v/>
      </c>
      <c r="I384" s="35" t="str">
        <f>IF(Liens!H379="","",IF(COUNTIF(Mots!A:A,Liens!H379)&gt;0,"✓ "&amp;Liens!H379,"✗ "&amp;Liens!H379&amp;" (introuvable)"))</f>
        <v/>
      </c>
    </row>
    <row r="385" spans="1:9" x14ac:dyDescent="0.3">
      <c r="A385">
        <f t="shared" si="2"/>
        <v>380</v>
      </c>
      <c r="B385" s="35" t="str">
        <f>IF(Liens!A380="","",IF(COUNTIF(Mots!A:A,Liens!A380)&gt;0,"✓ "&amp;Liens!A380,"✗ "&amp;Liens!A380&amp;" (introuvable)"))</f>
        <v>✓ fleur</v>
      </c>
      <c r="C385" s="35" t="str">
        <f>IF(Liens!B380="","",IF(COUNTIF(Mots!A:A,Liens!B380)&gt;0,"✓ "&amp;Liens!B380,"✗ "&amp;Liens!B380&amp;" (introuvable)"))</f>
        <v>✓ plante</v>
      </c>
      <c r="D385" s="35" t="str">
        <f>IF(Liens!C380="","",IF(COUNTIF(Mots!A:A,Liens!C380)&gt;0,"✓ "&amp;Liens!C380,"✗ "&amp;Liens!C380&amp;" (introuvable)"))</f>
        <v>✓ bourgeon</v>
      </c>
      <c r="E385" s="35" t="str">
        <f>IF(Liens!D380="","",IF(COUNTIF(Mots!A:A,Liens!D380)&gt;0,"✓ "&amp;Liens!D380,"✗ "&amp;Liens!D380&amp;" (introuvable)"))</f>
        <v>✓ fruit</v>
      </c>
      <c r="F385" s="35" t="str">
        <f>IF(Liens!E380="","",IF(COUNTIF(Mots!A:A,Liens!E380)&gt;0,"✓ "&amp;Liens!E380,"✗ "&amp;Liens!E380&amp;" (introuvable)"))</f>
        <v>✓ parc</v>
      </c>
      <c r="G385" s="35" t="str">
        <f>IF(Liens!F380="","",IF(COUNTIF(Mots!A:A,Liens!F380)&gt;0,"✓ "&amp;Liens!F380,"✗ "&amp;Liens!F380&amp;" (introuvable)"))</f>
        <v/>
      </c>
      <c r="H385" s="35" t="str">
        <f>IF(Liens!G380="","",IF(COUNTIF(Mots!A:A,Liens!G380)&gt;0,"✓ "&amp;Liens!G380,"✗ "&amp;Liens!G380&amp;" (introuvable)"))</f>
        <v/>
      </c>
      <c r="I385" s="35" t="str">
        <f>IF(Liens!H380="","",IF(COUNTIF(Mots!A:A,Liens!H380)&gt;0,"✓ "&amp;Liens!H380,"✗ "&amp;Liens!H380&amp;" (introuvable)"))</f>
        <v/>
      </c>
    </row>
    <row r="386" spans="1:9" x14ac:dyDescent="0.3">
      <c r="A386">
        <f t="shared" si="2"/>
        <v>381</v>
      </c>
      <c r="B386" s="35" t="str">
        <f>IF(Liens!A381="","",IF(COUNTIF(Mots!A:A,Liens!A381)&gt;0,"✓ "&amp;Liens!A381,"✗ "&amp;Liens!A381&amp;" (introuvable)"))</f>
        <v>✓ fois</v>
      </c>
      <c r="C386" s="35" t="str">
        <f>IF(Liens!B381="","",IF(COUNTIF(Mots!A:A,Liens!B381)&gt;0,"✓ "&amp;Liens!B381,"✗ "&amp;Liens!B381&amp;" (introuvable)"))</f>
        <v>✓ v_compter</v>
      </c>
      <c r="D386" s="35" t="str">
        <f>IF(Liens!C381="","",IF(COUNTIF(Mots!A:A,Liens!C381)&gt;0,"✓ "&amp;Liens!C381,"✗ "&amp;Liens!C381&amp;" (introuvable)"))</f>
        <v>✓ quantite</v>
      </c>
      <c r="E386" s="35" t="str">
        <f>IF(Liens!D381="","",IF(COUNTIF(Mots!A:A,Liens!D381)&gt;0,"✓ "&amp;Liens!D381,"✗ "&amp;Liens!D381&amp;" (introuvable)"))</f>
        <v>✓ nombre</v>
      </c>
      <c r="F386" s="35" t="str">
        <f>IF(Liens!E381="","",IF(COUNTIF(Mots!A:A,Liens!E381)&gt;0,"✓ "&amp;Liens!E381,"✗ "&amp;Liens!E381&amp;" (introuvable)"))</f>
        <v/>
      </c>
      <c r="G386" s="35" t="str">
        <f>IF(Liens!F381="","",IF(COUNTIF(Mots!A:A,Liens!F381)&gt;0,"✓ "&amp;Liens!F381,"✗ "&amp;Liens!F381&amp;" (introuvable)"))</f>
        <v/>
      </c>
      <c r="H386" s="35" t="str">
        <f>IF(Liens!G381="","",IF(COUNTIF(Mots!A:A,Liens!G381)&gt;0,"✓ "&amp;Liens!G381,"✗ "&amp;Liens!G381&amp;" (introuvable)"))</f>
        <v/>
      </c>
      <c r="I386" s="35" t="str">
        <f>IF(Liens!H381="","",IF(COUNTIF(Mots!A:A,Liens!H381)&gt;0,"✓ "&amp;Liens!H381,"✗ "&amp;Liens!H381&amp;" (introuvable)"))</f>
        <v/>
      </c>
    </row>
    <row r="387" spans="1:9" x14ac:dyDescent="0.3">
      <c r="A387">
        <f t="shared" si="2"/>
        <v>382</v>
      </c>
      <c r="B387" s="35" t="str">
        <f>IF(Liens!A382="","",IF(COUNTIF(Mots!A:A,Liens!A382)&gt;0,"✓ "&amp;Liens!A382,"✗ "&amp;Liens!A382&amp;" (introuvable)"))</f>
        <v>✓ fond</v>
      </c>
      <c r="C387" s="35" t="str">
        <f>IF(Liens!B382="","",IF(COUNTIF(Mots!A:A,Liens!B382)&gt;0,"✓ "&amp;Liens!B382,"✗ "&amp;Liens!B382&amp;" (introuvable)"))</f>
        <v>✓ partie</v>
      </c>
      <c r="D387" s="35" t="str">
        <f>IF(Liens!C382="","",IF(COUNTIF(Mots!A:A,Liens!C382)&gt;0,"✓ "&amp;Liens!C382,"✗ "&amp;Liens!C382&amp;" (introuvable)"))</f>
        <v>✓ a_haut_bas</v>
      </c>
      <c r="E387" s="35" t="str">
        <f>IF(Liens!D382="","",IF(COUNTIF(Mots!A:A,Liens!D382)&gt;0,"✓ "&amp;Liens!D382,"✗ "&amp;Liens!D382&amp;" (introuvable)"))</f>
        <v>✓ piscine</v>
      </c>
      <c r="F387" s="35" t="str">
        <f>IF(Liens!E382="","",IF(COUNTIF(Mots!A:A,Liens!E382)&gt;0,"✓ "&amp;Liens!E382,"✗ "&amp;Liens!E382&amp;" (introuvable)"))</f>
        <v>✓ trou</v>
      </c>
      <c r="G387" s="35" t="str">
        <f>IF(Liens!F382="","",IF(COUNTIF(Mots!A:A,Liens!F382)&gt;0,"✓ "&amp;Liens!F382,"✗ "&amp;Liens!F382&amp;" (introuvable)"))</f>
        <v/>
      </c>
      <c r="H387" s="35" t="str">
        <f>IF(Liens!G382="","",IF(COUNTIF(Mots!A:A,Liens!G382)&gt;0,"✓ "&amp;Liens!G382,"✗ "&amp;Liens!G382&amp;" (introuvable)"))</f>
        <v/>
      </c>
      <c r="I387" s="35" t="str">
        <f>IF(Liens!H382="","",IF(COUNTIF(Mots!A:A,Liens!H382)&gt;0,"✓ "&amp;Liens!H382,"✗ "&amp;Liens!H382&amp;" (introuvable)"))</f>
        <v/>
      </c>
    </row>
    <row r="388" spans="1:9" x14ac:dyDescent="0.3">
      <c r="A388">
        <f t="shared" si="2"/>
        <v>383</v>
      </c>
      <c r="B388" s="35" t="str">
        <f>IF(Liens!A383="","",IF(COUNTIF(Mots!A:A,Liens!A383)&gt;0,"✓ "&amp;Liens!A383,"✗ "&amp;Liens!A383&amp;" (introuvable)"))</f>
        <v>✓ fontaine</v>
      </c>
      <c r="C388" s="35" t="str">
        <f>IF(Liens!B383="","",IF(COUNTIF(Mots!A:A,Liens!B383)&gt;0,"✓ "&amp;Liens!B383,"✗ "&amp;Liens!B383&amp;" (introuvable)"))</f>
        <v>✓ eau</v>
      </c>
      <c r="D388" s="35" t="str">
        <f>IF(Liens!C383="","",IF(COUNTIF(Mots!A:A,Liens!C383)&gt;0,"✓ "&amp;Liens!C383,"✗ "&amp;Liens!C383&amp;" (introuvable)"))</f>
        <v>✓ ville</v>
      </c>
      <c r="E388" s="35" t="str">
        <f>IF(Liens!D383="","",IF(COUNTIF(Mots!A:A,Liens!D383)&gt;0,"✓ "&amp;Liens!D383,"✗ "&amp;Liens!D383&amp;" (introuvable)"))</f>
        <v>✓ bassin</v>
      </c>
      <c r="F388" s="35" t="str">
        <f>IF(Liens!E383="","",IF(COUNTIF(Mots!A:A,Liens!E383)&gt;0,"✓ "&amp;Liens!E383,"✗ "&amp;Liens!E383&amp;" (introuvable)"))</f>
        <v>✓ v_boire</v>
      </c>
      <c r="G388" s="35" t="str">
        <f>IF(Liens!F383="","",IF(COUNTIF(Mots!A:A,Liens!F383)&gt;0,"✓ "&amp;Liens!F383,"✗ "&amp;Liens!F383&amp;" (introuvable)"))</f>
        <v/>
      </c>
      <c r="H388" s="35" t="str">
        <f>IF(Liens!G383="","",IF(COUNTIF(Mots!A:A,Liens!G383)&gt;0,"✓ "&amp;Liens!G383,"✗ "&amp;Liens!G383&amp;" (introuvable)"))</f>
        <v/>
      </c>
      <c r="I388" s="35" t="str">
        <f>IF(Liens!H383="","",IF(COUNTIF(Mots!A:A,Liens!H383)&gt;0,"✓ "&amp;Liens!H383,"✗ "&amp;Liens!H383&amp;" (introuvable)"))</f>
        <v/>
      </c>
    </row>
    <row r="389" spans="1:9" x14ac:dyDescent="0.3">
      <c r="A389">
        <f t="shared" si="2"/>
        <v>384</v>
      </c>
      <c r="B389" s="35" t="str">
        <f>IF(Liens!A384="","",IF(COUNTIF(Mots!A:A,Liens!A384)&gt;0,"✓ "&amp;Liens!A384,"✗ "&amp;Liens!A384&amp;" (introuvable)"))</f>
        <v>✓ force</v>
      </c>
      <c r="C389" s="35" t="str">
        <f>IF(Liens!B384="","",IF(COUNTIF(Mots!A:A,Liens!B384)&gt;0,"✓ "&amp;Liens!B384,"✗ "&amp;Liens!B384&amp;" (introuvable)"))</f>
        <v>✓ a_fort_faible</v>
      </c>
      <c r="D389" s="35" t="str">
        <f>IF(Liens!C384="","",IF(COUNTIF(Mots!A:A,Liens!C384)&gt;0,"✓ "&amp;Liens!C384,"✗ "&amp;Liens!C384&amp;" (introuvable)"))</f>
        <v>✓ personne</v>
      </c>
      <c r="E389" s="35" t="str">
        <f>IF(Liens!D384="","",IF(COUNTIF(Mots!A:A,Liens!D384)&gt;0,"✓ "&amp;Liens!D384,"✗ "&amp;Liens!D384&amp;" (introuvable)"))</f>
        <v>✓ effort</v>
      </c>
      <c r="F389" s="35" t="str">
        <f>IF(Liens!E384="","",IF(COUNTIF(Mots!A:A,Liens!E384)&gt;0,"✓ "&amp;Liens!E384,"✗ "&amp;Liens!E384&amp;" (introuvable)"))</f>
        <v/>
      </c>
      <c r="G389" s="35" t="str">
        <f>IF(Liens!F384="","",IF(COUNTIF(Mots!A:A,Liens!F384)&gt;0,"✓ "&amp;Liens!F384,"✗ "&amp;Liens!F384&amp;" (introuvable)"))</f>
        <v/>
      </c>
      <c r="H389" s="35" t="str">
        <f>IF(Liens!G384="","",IF(COUNTIF(Mots!A:A,Liens!G384)&gt;0,"✓ "&amp;Liens!G384,"✗ "&amp;Liens!G384&amp;" (introuvable)"))</f>
        <v/>
      </c>
      <c r="I389" s="35" t="str">
        <f>IF(Liens!H384="","",IF(COUNTIF(Mots!A:A,Liens!H384)&gt;0,"✓ "&amp;Liens!H384,"✗ "&amp;Liens!H384&amp;" (introuvable)"))</f>
        <v/>
      </c>
    </row>
    <row r="390" spans="1:9" x14ac:dyDescent="0.3">
      <c r="A390">
        <f t="shared" si="2"/>
        <v>385</v>
      </c>
      <c r="B390" s="35" t="str">
        <f>IF(Liens!A385="","",IF(COUNTIF(Mots!A:A,Liens!A385)&gt;0,"✓ "&amp;Liens!A385,"✗ "&amp;Liens!A385&amp;" (introuvable)"))</f>
        <v>✓ foret</v>
      </c>
      <c r="C390" s="35" t="str">
        <f>IF(Liens!B385="","",IF(COUNTIF(Mots!A:A,Liens!B385)&gt;0,"✓ "&amp;Liens!B385,"✗ "&amp;Liens!B385&amp;" (introuvable)"))</f>
        <v>✓ nature</v>
      </c>
      <c r="D390" s="35" t="str">
        <f>IF(Liens!C385="","",IF(COUNTIF(Mots!A:A,Liens!C385)&gt;0,"✓ "&amp;Liens!C385,"✗ "&amp;Liens!C385&amp;" (introuvable)"))</f>
        <v>✓ arbre</v>
      </c>
      <c r="E390" s="35" t="str">
        <f>IF(Liens!D385="","",IF(COUNTIF(Mots!A:A,Liens!D385)&gt;0,"✓ "&amp;Liens!D385,"✗ "&amp;Liens!D385&amp;" (introuvable)"))</f>
        <v>✓ prairie</v>
      </c>
      <c r="F390" s="35" t="str">
        <f>IF(Liens!E385="","",IF(COUNTIF(Mots!A:A,Liens!E385)&gt;0,"✓ "&amp;Liens!E385,"✗ "&amp;Liens!E385&amp;" (introuvable)"))</f>
        <v>✓ montagne</v>
      </c>
      <c r="G390" s="35" t="str">
        <f>IF(Liens!F385="","",IF(COUNTIF(Mots!A:A,Liens!F385)&gt;0,"✓ "&amp;Liens!F385,"✗ "&amp;Liens!F385&amp;" (introuvable)"))</f>
        <v>✓ environnement</v>
      </c>
      <c r="H390" s="35" t="str">
        <f>IF(Liens!G385="","",IF(COUNTIF(Mots!A:A,Liens!G385)&gt;0,"✓ "&amp;Liens!G385,"✗ "&amp;Liens!G385&amp;" (introuvable)"))</f>
        <v/>
      </c>
      <c r="I390" s="35" t="str">
        <f>IF(Liens!H385="","",IF(COUNTIF(Mots!A:A,Liens!H385)&gt;0,"✓ "&amp;Liens!H385,"✗ "&amp;Liens!H385&amp;" (introuvable)"))</f>
        <v/>
      </c>
    </row>
    <row r="391" spans="1:9" x14ac:dyDescent="0.3">
      <c r="A391">
        <f t="shared" si="2"/>
        <v>386</v>
      </c>
      <c r="B391" s="35" t="str">
        <f>IF(Liens!A386="","",IF(COUNTIF(Mots!A:A,Liens!A386)&gt;0,"✓ "&amp;Liens!A386,"✗ "&amp;Liens!A386&amp;" (introuvable)"))</f>
        <v>✓ forme</v>
      </c>
      <c r="C391" s="35" t="str">
        <f>IF(Liens!B386="","",IF(COUNTIF(Mots!A:A,Liens!B386)&gt;0,"✓ "&amp;Liens!B386,"✗ "&amp;Liens!B386&amp;" (introuvable)"))</f>
        <v>✓ chose</v>
      </c>
      <c r="D391" s="35" t="str">
        <f>IF(Liens!C386="","",IF(COUNTIF(Mots!A:A,Liens!C386)&gt;0,"✓ "&amp;Liens!C386,"✗ "&amp;Liens!C386&amp;" (introuvable)"))</f>
        <v>✓ rond</v>
      </c>
      <c r="E391" s="35" t="str">
        <f>IF(Liens!D386="","",IF(COUNTIF(Mots!A:A,Liens!D386)&gt;0,"✓ "&amp;Liens!D386,"✗ "&amp;Liens!D386&amp;" (introuvable)"))</f>
        <v>✓ v_lever</v>
      </c>
      <c r="F391" s="35" t="str">
        <f>IF(Liens!E386="","",IF(COUNTIF(Mots!A:A,Liens!E386)&gt;0,"✓ "&amp;Liens!E386,"✗ "&amp;Liens!E386&amp;" (introuvable)"))</f>
        <v/>
      </c>
      <c r="G391" s="35" t="str">
        <f>IF(Liens!F386="","",IF(COUNTIF(Mots!A:A,Liens!F386)&gt;0,"✓ "&amp;Liens!F386,"✗ "&amp;Liens!F386&amp;" (introuvable)"))</f>
        <v/>
      </c>
      <c r="H391" s="35" t="str">
        <f>IF(Liens!G386="","",IF(COUNTIF(Mots!A:A,Liens!G386)&gt;0,"✓ "&amp;Liens!G386,"✗ "&amp;Liens!G386&amp;" (introuvable)"))</f>
        <v/>
      </c>
      <c r="I391" s="35" t="str">
        <f>IF(Liens!H386="","",IF(COUNTIF(Mots!A:A,Liens!H386)&gt;0,"✓ "&amp;Liens!H386,"✗ "&amp;Liens!H386&amp;" (introuvable)"))</f>
        <v/>
      </c>
    </row>
    <row r="392" spans="1:9" x14ac:dyDescent="0.3">
      <c r="A392">
        <f t="shared" si="2"/>
        <v>387</v>
      </c>
      <c r="B392" s="35" t="str">
        <f>IF(Liens!A387="","",IF(COUNTIF(Mots!A:A,Liens!A387)&gt;0,"✓ "&amp;Liens!A387,"✗ "&amp;Liens!A387&amp;" (introuvable)"))</f>
        <v>✓ foule</v>
      </c>
      <c r="C392" s="35" t="str">
        <f>IF(Liens!B387="","",IF(COUNTIF(Mots!A:A,Liens!B387)&gt;0,"✓ "&amp;Liens!B387,"✗ "&amp;Liens!B387&amp;" (introuvable)"))</f>
        <v>✓ personne</v>
      </c>
      <c r="D392" s="35" t="str">
        <f>IF(Liens!C387="","",IF(COUNTIF(Mots!A:A,Liens!C387)&gt;0,"✓ "&amp;Liens!C387,"✗ "&amp;Liens!C387&amp;" (introuvable)"))</f>
        <v>✓ a_nombreux</v>
      </c>
      <c r="E392" s="35" t="str">
        <f>IF(Liens!D387="","",IF(COUNTIF(Mots!A:A,Liens!D387)&gt;0,"✓ "&amp;Liens!D387,"✗ "&amp;Liens!D387&amp;" (introuvable)"))</f>
        <v>✓ quantite</v>
      </c>
      <c r="F392" s="35" t="str">
        <f>IF(Liens!E387="","",IF(COUNTIF(Mots!A:A,Liens!E387)&gt;0,"✓ "&amp;Liens!E387,"✗ "&amp;Liens!E387&amp;" (introuvable)"))</f>
        <v>✓ nombre</v>
      </c>
      <c r="G392" s="35" t="str">
        <f>IF(Liens!F387="","",IF(COUNTIF(Mots!A:A,Liens!F387)&gt;0,"✓ "&amp;Liens!F387,"✗ "&amp;Liens!F387&amp;" (introuvable)"))</f>
        <v>✓ gens</v>
      </c>
      <c r="H392" s="35" t="str">
        <f>IF(Liens!G387="","",IF(COUNTIF(Mots!A:A,Liens!G387)&gt;0,"✓ "&amp;Liens!G387,"✗ "&amp;Liens!G387&amp;" (introuvable)"))</f>
        <v>✓ public</v>
      </c>
      <c r="I392" s="35" t="str">
        <f>IF(Liens!H387="","",IF(COUNTIF(Mots!A:A,Liens!H387)&gt;0,"✓ "&amp;Liens!H387,"✗ "&amp;Liens!H387&amp;" (introuvable)"))</f>
        <v>✓ concert</v>
      </c>
    </row>
    <row r="393" spans="1:9" x14ac:dyDescent="0.3">
      <c r="A393">
        <f t="shared" si="2"/>
        <v>388</v>
      </c>
      <c r="B393" s="35" t="str">
        <f>IF(Liens!A388="","",IF(COUNTIF(Mots!A:A,Liens!A388)&gt;0,"✓ "&amp;Liens!A388,"✗ "&amp;Liens!A388&amp;" (introuvable)"))</f>
        <v>✓ four</v>
      </c>
      <c r="C393" s="35" t="str">
        <f>IF(Liens!B388="","",IF(COUNTIF(Mots!A:A,Liens!B388)&gt;0,"✓ "&amp;Liens!B388,"✗ "&amp;Liens!B388&amp;" (introuvable)"))</f>
        <v>✓ cuisine</v>
      </c>
      <c r="D393" s="35" t="str">
        <f>IF(Liens!C388="","",IF(COUNTIF(Mots!A:A,Liens!C388)&gt;0,"✓ "&amp;Liens!C388,"✗ "&amp;Liens!C388&amp;" (introuvable)"))</f>
        <v>✓ v_manger</v>
      </c>
      <c r="E393" s="35" t="str">
        <f>IF(Liens!D388="","",IF(COUNTIF(Mots!A:A,Liens!D388)&gt;0,"✓ "&amp;Liens!D388,"✗ "&amp;Liens!D388&amp;" (introuvable)"))</f>
        <v/>
      </c>
      <c r="F393" s="35" t="str">
        <f>IF(Liens!E388="","",IF(COUNTIF(Mots!A:A,Liens!E388)&gt;0,"✓ "&amp;Liens!E388,"✗ "&amp;Liens!E388&amp;" (introuvable)"))</f>
        <v/>
      </c>
      <c r="G393" s="35" t="str">
        <f>IF(Liens!F388="","",IF(COUNTIF(Mots!A:A,Liens!F388)&gt;0,"✓ "&amp;Liens!F388,"✗ "&amp;Liens!F388&amp;" (introuvable)"))</f>
        <v/>
      </c>
      <c r="H393" s="35" t="str">
        <f>IF(Liens!G388="","",IF(COUNTIF(Mots!A:A,Liens!G388)&gt;0,"✓ "&amp;Liens!G388,"✗ "&amp;Liens!G388&amp;" (introuvable)"))</f>
        <v/>
      </c>
      <c r="I393" s="35" t="str">
        <f>IF(Liens!H388="","",IF(COUNTIF(Mots!A:A,Liens!H388)&gt;0,"✓ "&amp;Liens!H388,"✗ "&amp;Liens!H388&amp;" (introuvable)"))</f>
        <v/>
      </c>
    </row>
    <row r="394" spans="1:9" x14ac:dyDescent="0.3">
      <c r="A394">
        <f t="shared" si="2"/>
        <v>389</v>
      </c>
      <c r="B394" s="35" t="str">
        <f>IF(Liens!A389="","",IF(COUNTIF(Mots!A:A,Liens!A389)&gt;0,"✓ "&amp;Liens!A389,"✗ "&amp;Liens!A389&amp;" (introuvable)"))</f>
        <v>✓ fourmi</v>
      </c>
      <c r="C394" s="35" t="str">
        <f>IF(Liens!B389="","",IF(COUNTIF(Mots!A:A,Liens!B389)&gt;0,"✓ "&amp;Liens!B389,"✗ "&amp;Liens!B389&amp;" (introuvable)"))</f>
        <v>✓ insecte</v>
      </c>
      <c r="D394" s="35" t="str">
        <f>IF(Liens!C389="","",IF(COUNTIF(Mots!A:A,Liens!C389)&gt;0,"✓ "&amp;Liens!C389,"✗ "&amp;Liens!C389&amp;" (introuvable)"))</f>
        <v/>
      </c>
      <c r="E394" s="35" t="str">
        <f>IF(Liens!D389="","",IF(COUNTIF(Mots!A:A,Liens!D389)&gt;0,"✓ "&amp;Liens!D389,"✗ "&amp;Liens!D389&amp;" (introuvable)"))</f>
        <v/>
      </c>
      <c r="F394" s="35" t="str">
        <f>IF(Liens!E389="","",IF(COUNTIF(Mots!A:A,Liens!E389)&gt;0,"✓ "&amp;Liens!E389,"✗ "&amp;Liens!E389&amp;" (introuvable)"))</f>
        <v/>
      </c>
      <c r="G394" s="35" t="str">
        <f>IF(Liens!F389="","",IF(COUNTIF(Mots!A:A,Liens!F389)&gt;0,"✓ "&amp;Liens!F389,"✗ "&amp;Liens!F389&amp;" (introuvable)"))</f>
        <v/>
      </c>
      <c r="H394" s="35" t="str">
        <f>IF(Liens!G389="","",IF(COUNTIF(Mots!A:A,Liens!G389)&gt;0,"✓ "&amp;Liens!G389,"✗ "&amp;Liens!G389&amp;" (introuvable)"))</f>
        <v/>
      </c>
      <c r="I394" s="35" t="str">
        <f>IF(Liens!H389="","",IF(COUNTIF(Mots!A:A,Liens!H389)&gt;0,"✓ "&amp;Liens!H389,"✗ "&amp;Liens!H389&amp;" (introuvable)"))</f>
        <v/>
      </c>
    </row>
    <row r="395" spans="1:9" x14ac:dyDescent="0.3">
      <c r="A395">
        <f t="shared" si="2"/>
        <v>390</v>
      </c>
      <c r="B395" s="35" t="str">
        <f>IF(Liens!A390="","",IF(COUNTIF(Mots!A:A,Liens!A390)&gt;0,"✓ "&amp;Liens!A390,"✗ "&amp;Liens!A390&amp;" (introuvable)"))</f>
        <v>✓ fourrure</v>
      </c>
      <c r="C395" s="35" t="str">
        <f>IF(Liens!B390="","",IF(COUNTIF(Mots!A:A,Liens!B390)&gt;0,"✓ "&amp;Liens!B390,"✗ "&amp;Liens!B390&amp;" (introuvable)"))</f>
        <v>✓ poil</v>
      </c>
      <c r="D395" s="35" t="str">
        <f>IF(Liens!C390="","",IF(COUNTIF(Mots!A:A,Liens!C390)&gt;0,"✓ "&amp;Liens!C390,"✗ "&amp;Liens!C390&amp;" (introuvable)"))</f>
        <v>✓ animal</v>
      </c>
      <c r="E395" s="35" t="str">
        <f>IF(Liens!D390="","",IF(COUNTIF(Mots!A:A,Liens!D390)&gt;0,"✓ "&amp;Liens!D390,"✗ "&amp;Liens!D390&amp;" (introuvable)"))</f>
        <v>✓ ours</v>
      </c>
      <c r="F395" s="35" t="str">
        <f>IF(Liens!E390="","",IF(COUNTIF(Mots!A:A,Liens!E390)&gt;0,"✓ "&amp;Liens!E390,"✗ "&amp;Liens!E390&amp;" (introuvable)"))</f>
        <v>✓ leopard</v>
      </c>
      <c r="G395" s="35" t="str">
        <f>IF(Liens!F390="","",IF(COUNTIF(Mots!A:A,Liens!F390)&gt;0,"✓ "&amp;Liens!F390,"✗ "&amp;Liens!F390&amp;" (introuvable)"))</f>
        <v/>
      </c>
      <c r="H395" s="35" t="str">
        <f>IF(Liens!G390="","",IF(COUNTIF(Mots!A:A,Liens!G390)&gt;0,"✓ "&amp;Liens!G390,"✗ "&amp;Liens!G390&amp;" (introuvable)"))</f>
        <v/>
      </c>
      <c r="I395" s="35" t="str">
        <f>IF(Liens!H390="","",IF(COUNTIF(Mots!A:A,Liens!H390)&gt;0,"✓ "&amp;Liens!H390,"✗ "&amp;Liens!H390&amp;" (introuvable)"))</f>
        <v/>
      </c>
    </row>
    <row r="396" spans="1:9" x14ac:dyDescent="0.3">
      <c r="A396">
        <f t="shared" si="2"/>
        <v>391</v>
      </c>
      <c r="B396" s="35" t="str">
        <f>IF(Liens!A391="","",IF(COUNTIF(Mots!A:A,Liens!A391)&gt;0,"✓ "&amp;Liens!A391,"✗ "&amp;Liens!A391&amp;" (introuvable)"))</f>
        <v>✓ fraise</v>
      </c>
      <c r="C396" s="35" t="str">
        <f>IF(Liens!B391="","",IF(COUNTIF(Mots!A:A,Liens!B391)&gt;0,"✓ "&amp;Liens!B391,"✗ "&amp;Liens!B391&amp;" (introuvable)"))</f>
        <v>✓ fruit</v>
      </c>
      <c r="D396" s="35" t="str">
        <f>IF(Liens!C391="","",IF(COUNTIF(Mots!A:A,Liens!C391)&gt;0,"✓ "&amp;Liens!C391,"✗ "&amp;Liens!C391&amp;" (introuvable)"))</f>
        <v>✓ c_rouge</v>
      </c>
      <c r="E396" s="35" t="str">
        <f>IF(Liens!D391="","",IF(COUNTIF(Mots!A:A,Liens!D391)&gt;0,"✓ "&amp;Liens!D391,"✗ "&amp;Liens!D391&amp;" (introuvable)"))</f>
        <v>✓ sucre</v>
      </c>
      <c r="F396" s="35" t="str">
        <f>IF(Liens!E391="","",IF(COUNTIF(Mots!A:A,Liens!E391)&gt;0,"✓ "&amp;Liens!E391,"✗ "&amp;Liens!E391&amp;" (introuvable)"))</f>
        <v>✓ jardin</v>
      </c>
      <c r="G396" s="35" t="str">
        <f>IF(Liens!F391="","",IF(COUNTIF(Mots!A:A,Liens!F391)&gt;0,"✓ "&amp;Liens!F391,"✗ "&amp;Liens!F391&amp;" (introuvable)"))</f>
        <v>✓ v_manger</v>
      </c>
      <c r="H396" s="35" t="str">
        <f>IF(Liens!G391="","",IF(COUNTIF(Mots!A:A,Liens!G391)&gt;0,"✓ "&amp;Liens!G391,"✗ "&amp;Liens!G391&amp;" (introuvable)"))</f>
        <v>✓ printemps</v>
      </c>
      <c r="I396" s="35" t="str">
        <f>IF(Liens!H391="","",IF(COUNTIF(Mots!A:A,Liens!H391)&gt;0,"✓ "&amp;Liens!H391,"✗ "&amp;Liens!H391&amp;" (introuvable)"))</f>
        <v>✓ e_terre</v>
      </c>
    </row>
    <row r="397" spans="1:9" x14ac:dyDescent="0.3">
      <c r="A397">
        <f t="shared" si="2"/>
        <v>392</v>
      </c>
      <c r="B397" s="35" t="str">
        <f>IF(Liens!A392="","",IF(COUNTIF(Mots!A:A,Liens!A392)&gt;0,"✓ "&amp;Liens!A392,"✗ "&amp;Liens!A392&amp;" (introuvable)"))</f>
        <v>✓ frein</v>
      </c>
      <c r="C397" s="35" t="str">
        <f>IF(Liens!B392="","",IF(COUNTIF(Mots!A:A,Liens!B392)&gt;0,"✓ "&amp;Liens!B392,"✗ "&amp;Liens!B392&amp;" (introuvable)"))</f>
        <v>✓ voiture</v>
      </c>
      <c r="D397" s="35" t="str">
        <f>IF(Liens!C392="","",IF(COUNTIF(Mots!A:A,Liens!C392)&gt;0,"✓ "&amp;Liens!C392,"✗ "&amp;Liens!C392&amp;" (introuvable)"))</f>
        <v/>
      </c>
      <c r="E397" s="35" t="str">
        <f>IF(Liens!D392="","",IF(COUNTIF(Mots!A:A,Liens!D392)&gt;0,"✓ "&amp;Liens!D392,"✗ "&amp;Liens!D392&amp;" (introuvable)"))</f>
        <v/>
      </c>
      <c r="F397" s="35" t="str">
        <f>IF(Liens!E392="","",IF(COUNTIF(Mots!A:A,Liens!E392)&gt;0,"✓ "&amp;Liens!E392,"✗ "&amp;Liens!E392&amp;" (introuvable)"))</f>
        <v/>
      </c>
      <c r="G397" s="35" t="str">
        <f>IF(Liens!F392="","",IF(COUNTIF(Mots!A:A,Liens!F392)&gt;0,"✓ "&amp;Liens!F392,"✗ "&amp;Liens!F392&amp;" (introuvable)"))</f>
        <v/>
      </c>
      <c r="H397" s="35" t="str">
        <f>IF(Liens!G392="","",IF(COUNTIF(Mots!A:A,Liens!G392)&gt;0,"✓ "&amp;Liens!G392,"✗ "&amp;Liens!G392&amp;" (introuvable)"))</f>
        <v/>
      </c>
      <c r="I397" s="35" t="str">
        <f>IF(Liens!H392="","",IF(COUNTIF(Mots!A:A,Liens!H392)&gt;0,"✓ "&amp;Liens!H392,"✗ "&amp;Liens!H392&amp;" (introuvable)"))</f>
        <v/>
      </c>
    </row>
    <row r="398" spans="1:9" x14ac:dyDescent="0.3">
      <c r="A398">
        <f t="shared" si="2"/>
        <v>393</v>
      </c>
      <c r="B398" s="35" t="str">
        <f>IF(Liens!A393="","",IF(COUNTIF(Mots!A:A,Liens!A393)&gt;0,"✓ "&amp;Liens!A393,"✗ "&amp;Liens!A393&amp;" (introuvable)"))</f>
        <v>✓ frere</v>
      </c>
      <c r="C398" s="35" t="str">
        <f>IF(Liens!B393="","",IF(COUNTIF(Mots!A:A,Liens!B393)&gt;0,"✓ "&amp;Liens!B393,"✗ "&amp;Liens!B393&amp;" (introuvable)"))</f>
        <v>✓ famille</v>
      </c>
      <c r="D398" s="35" t="str">
        <f>IF(Liens!C393="","",IF(COUNTIF(Mots!A:A,Liens!C393)&gt;0,"✓ "&amp;Liens!C393,"✗ "&amp;Liens!C393&amp;" (introuvable)"))</f>
        <v>✓ enfants</v>
      </c>
      <c r="E398" s="35" t="str">
        <f>IF(Liens!D393="","",IF(COUNTIF(Mots!A:A,Liens!D393)&gt;0,"✓ "&amp;Liens!D393,"✗ "&amp;Liens!D393&amp;" (introuvable)"))</f>
        <v>✓ garcon</v>
      </c>
      <c r="F398" s="35" t="str">
        <f>IF(Liens!E393="","",IF(COUNTIF(Mots!A:A,Liens!E393)&gt;0,"✓ "&amp;Liens!E393,"✗ "&amp;Liens!E393&amp;" (introuvable)"))</f>
        <v>✓ masculin</v>
      </c>
      <c r="G398" s="35" t="str">
        <f>IF(Liens!F393="","",IF(COUNTIF(Mots!A:A,Liens!F393)&gt;0,"✓ "&amp;Liens!F393,"✗ "&amp;Liens!F393&amp;" (introuvable)"))</f>
        <v>✓ pere</v>
      </c>
      <c r="H398" s="35" t="str">
        <f>IF(Liens!G393="","",IF(COUNTIF(Mots!A:A,Liens!G393)&gt;0,"✓ "&amp;Liens!G393,"✗ "&amp;Liens!G393&amp;" (introuvable)"))</f>
        <v>✓ mere</v>
      </c>
      <c r="I398" s="35" t="str">
        <f>IF(Liens!H393="","",IF(COUNTIF(Mots!A:A,Liens!H393)&gt;0,"✓ "&amp;Liens!H393,"✗ "&amp;Liens!H393&amp;" (introuvable)"))</f>
        <v/>
      </c>
    </row>
    <row r="399" spans="1:9" x14ac:dyDescent="0.3">
      <c r="A399">
        <f t="shared" ref="A399:A462" si="3">A398+1</f>
        <v>394</v>
      </c>
      <c r="B399" s="35" t="str">
        <f>IF(Liens!A394="","",IF(COUNTIF(Mots!A:A,Liens!A394)&gt;0,"✓ "&amp;Liens!A394,"✗ "&amp;Liens!A394&amp;" (introuvable)"))</f>
        <v>✓ friandise</v>
      </c>
      <c r="C399" s="35" t="str">
        <f>IF(Liens!B394="","",IF(COUNTIF(Mots!A:A,Liens!B394)&gt;0,"✓ "&amp;Liens!B394,"✗ "&amp;Liens!B394&amp;" (introuvable)"))</f>
        <v>✓ bonbon</v>
      </c>
      <c r="D399" s="35" t="str">
        <f>IF(Liens!C394="","",IF(COUNTIF(Mots!A:A,Liens!C394)&gt;0,"✓ "&amp;Liens!C394,"✗ "&amp;Liens!C394&amp;" (introuvable)"))</f>
        <v>✓ sucrerie</v>
      </c>
      <c r="E399" s="35" t="str">
        <f>IF(Liens!D394="","",IF(COUNTIF(Mots!A:A,Liens!D394)&gt;0,"✓ "&amp;Liens!D394,"✗ "&amp;Liens!D394&amp;" (introuvable)"))</f>
        <v>✓ v_manger</v>
      </c>
      <c r="F399" s="35" t="str">
        <f>IF(Liens!E394="","",IF(COUNTIF(Mots!A:A,Liens!E394)&gt;0,"✓ "&amp;Liens!E394,"✗ "&amp;Liens!E394&amp;" (introuvable)"))</f>
        <v/>
      </c>
      <c r="G399" s="35" t="str">
        <f>IF(Liens!F394="","",IF(COUNTIF(Mots!A:A,Liens!F394)&gt;0,"✓ "&amp;Liens!F394,"✗ "&amp;Liens!F394&amp;" (introuvable)"))</f>
        <v/>
      </c>
      <c r="H399" s="35" t="str">
        <f>IF(Liens!G394="","",IF(COUNTIF(Mots!A:A,Liens!G394)&gt;0,"✓ "&amp;Liens!G394,"✗ "&amp;Liens!G394&amp;" (introuvable)"))</f>
        <v/>
      </c>
      <c r="I399" s="35" t="str">
        <f>IF(Liens!H394="","",IF(COUNTIF(Mots!A:A,Liens!H394)&gt;0,"✓ "&amp;Liens!H394,"✗ "&amp;Liens!H394&amp;" (introuvable)"))</f>
        <v/>
      </c>
    </row>
    <row r="400" spans="1:9" x14ac:dyDescent="0.3">
      <c r="A400">
        <f t="shared" si="3"/>
        <v>395</v>
      </c>
      <c r="B400" s="35" t="str">
        <f>IF(Liens!A395="","",IF(COUNTIF(Mots!A:A,Liens!A395)&gt;0,"✓ "&amp;Liens!A395,"✗ "&amp;Liens!A395&amp;" (introuvable)"))</f>
        <v>✓ frigo</v>
      </c>
      <c r="C400" s="35" t="str">
        <f>IF(Liens!B395="","",IF(COUNTIF(Mots!A:A,Liens!B395)&gt;0,"✓ "&amp;Liens!B395,"✗ "&amp;Liens!B395&amp;" (introuvable)"))</f>
        <v>✓ cuisine</v>
      </c>
      <c r="D400" s="35" t="str">
        <f>IF(Liens!C395="","",IF(COUNTIF(Mots!A:A,Liens!C395)&gt;0,"✓ "&amp;Liens!C395,"✗ "&amp;Liens!C395&amp;" (introuvable)"))</f>
        <v>✓ yogurt</v>
      </c>
      <c r="E400" s="35" t="str">
        <f>IF(Liens!D395="","",IF(COUNTIF(Mots!A:A,Liens!D395)&gt;0,"✓ "&amp;Liens!D395,"✗ "&amp;Liens!D395&amp;" (introuvable)"))</f>
        <v>✓ lait</v>
      </c>
      <c r="F400" s="35" t="str">
        <f>IF(Liens!E395="","",IF(COUNTIF(Mots!A:A,Liens!E395)&gt;0,"✓ "&amp;Liens!E395,"✗ "&amp;Liens!E395&amp;" (introuvable)"))</f>
        <v>✓ beurre</v>
      </c>
      <c r="G400" s="35" t="str">
        <f>IF(Liens!F395="","",IF(COUNTIF(Mots!A:A,Liens!F395)&gt;0,"✓ "&amp;Liens!F395,"✗ "&amp;Liens!F395&amp;" (introuvable)"))</f>
        <v>✓ viande</v>
      </c>
      <c r="H400" s="35" t="str">
        <f>IF(Liens!G395="","",IF(COUNTIF(Mots!A:A,Liens!G395)&gt;0,"✓ "&amp;Liens!G395,"✗ "&amp;Liens!G395&amp;" (introuvable)"))</f>
        <v>✓ a_frais</v>
      </c>
      <c r="I400" s="35" t="str">
        <f>IF(Liens!H395="","",IF(COUNTIF(Mots!A:A,Liens!H395)&gt;0,"✓ "&amp;Liens!H395,"✗ "&amp;Liens!H395&amp;" (introuvable)"))</f>
        <v/>
      </c>
    </row>
    <row r="401" spans="1:9" x14ac:dyDescent="0.3">
      <c r="A401">
        <f t="shared" si="3"/>
        <v>396</v>
      </c>
      <c r="B401" s="35" t="str">
        <f>IF(Liens!A396="","",IF(COUNTIF(Mots!A:A,Liens!A396)&gt;0,"✓ "&amp;Liens!A396,"✗ "&amp;Liens!A396&amp;" (introuvable)"))</f>
        <v>✓ fromage</v>
      </c>
      <c r="C401" s="35" t="str">
        <f>IF(Liens!B396="","",IF(COUNTIF(Mots!A:A,Liens!B396)&gt;0,"✓ "&amp;Liens!B396,"✗ "&amp;Liens!B396&amp;" (introuvable)"))</f>
        <v>✓ vache</v>
      </c>
      <c r="D401" s="35" t="str">
        <f>IF(Liens!C396="","",IF(COUNTIF(Mots!A:A,Liens!C396)&gt;0,"✓ "&amp;Liens!C396,"✗ "&amp;Liens!C396&amp;" (introuvable)"))</f>
        <v>✓ lait</v>
      </c>
      <c r="E401" s="35" t="str">
        <f>IF(Liens!D396="","",IF(COUNTIF(Mots!A:A,Liens!D396)&gt;0,"✓ "&amp;Liens!D396,"✗ "&amp;Liens!D396&amp;" (introuvable)"))</f>
        <v>✓ v_manger</v>
      </c>
      <c r="F401" s="35" t="str">
        <f>IF(Liens!E396="","",IF(COUNTIF(Mots!A:A,Liens!E396)&gt;0,"✓ "&amp;Liens!E396,"✗ "&amp;Liens!E396&amp;" (introuvable)"))</f>
        <v>✓ morceau</v>
      </c>
      <c r="G401" s="35" t="str">
        <f>IF(Liens!F396="","",IF(COUNTIF(Mots!A:A,Liens!F396)&gt;0,"✓ "&amp;Liens!F396,"✗ "&amp;Liens!F396&amp;" (introuvable)"))</f>
        <v>✓ pain</v>
      </c>
      <c r="H401" s="35" t="str">
        <f>IF(Liens!G396="","",IF(COUNTIF(Mots!A:A,Liens!G396)&gt;0,"✓ "&amp;Liens!G396,"✗ "&amp;Liens!G396&amp;" (introuvable)"))</f>
        <v>✓ fondue</v>
      </c>
      <c r="I401" s="35" t="str">
        <f>IF(Liens!H396="","",IF(COUNTIF(Mots!A:A,Liens!H396)&gt;0,"✓ "&amp;Liens!H396,"✗ "&amp;Liens!H396&amp;" (introuvable)"))</f>
        <v>✓ raclette</v>
      </c>
    </row>
    <row r="402" spans="1:9" x14ac:dyDescent="0.3">
      <c r="A402">
        <f t="shared" si="3"/>
        <v>397</v>
      </c>
      <c r="B402" s="35" t="str">
        <f>IF(Liens!A397="","",IF(COUNTIF(Mots!A:A,Liens!A397)&gt;0,"✓ "&amp;Liens!A397,"✗ "&amp;Liens!A397&amp;" (introuvable)"))</f>
        <v>✓ front</v>
      </c>
      <c r="C402" s="35" t="str">
        <f>IF(Liens!B397="","",IF(COUNTIF(Mots!A:A,Liens!B397)&gt;0,"✓ "&amp;Liens!B397,"✗ "&amp;Liens!B397&amp;" (introuvable)"))</f>
        <v>✓ tete</v>
      </c>
      <c r="D402" s="35" t="str">
        <f>IF(Liens!C397="","",IF(COUNTIF(Mots!A:A,Liens!C397)&gt;0,"✓ "&amp;Liens!C397,"✗ "&amp;Liens!C397&amp;" (introuvable)"))</f>
        <v>✓ visage</v>
      </c>
      <c r="E402" s="35" t="str">
        <f>IF(Liens!D397="","",IF(COUNTIF(Mots!A:A,Liens!D397)&gt;0,"✓ "&amp;Liens!D397,"✗ "&amp;Liens!D397&amp;" (introuvable)"))</f>
        <v>✓ oeil</v>
      </c>
      <c r="F402" s="35" t="str">
        <f>IF(Liens!E397="","",IF(COUNTIF(Mots!A:A,Liens!E397)&gt;0,"✓ "&amp;Liens!E397,"✗ "&amp;Liens!E397&amp;" (introuvable)"))</f>
        <v>✓ nez</v>
      </c>
      <c r="G402" s="35" t="str">
        <f>IF(Liens!F397="","",IF(COUNTIF(Mots!A:A,Liens!F397)&gt;0,"✓ "&amp;Liens!F397,"✗ "&amp;Liens!F397&amp;" (introuvable)"))</f>
        <v>✓ cerveau</v>
      </c>
      <c r="H402" s="35" t="str">
        <f>IF(Liens!G397="","",IF(COUNTIF(Mots!A:A,Liens!G397)&gt;0,"✓ "&amp;Liens!G397,"✗ "&amp;Liens!G397&amp;" (introuvable)"))</f>
        <v/>
      </c>
      <c r="I402" s="35" t="str">
        <f>IF(Liens!H397="","",IF(COUNTIF(Mots!A:A,Liens!H397)&gt;0,"✓ "&amp;Liens!H397,"✗ "&amp;Liens!H397&amp;" (introuvable)"))</f>
        <v/>
      </c>
    </row>
    <row r="403" spans="1:9" x14ac:dyDescent="0.3">
      <c r="A403">
        <f t="shared" si="3"/>
        <v>398</v>
      </c>
      <c r="B403" s="35" t="str">
        <f>IF(Liens!A398="","",IF(COUNTIF(Mots!A:A,Liens!A398)&gt;0,"✓ "&amp;Liens!A398,"✗ "&amp;Liens!A398&amp;" (introuvable)"))</f>
        <v>✓ gaiete</v>
      </c>
      <c r="C403" s="35" t="str">
        <f>IF(Liens!B398="","",IF(COUNTIF(Mots!A:A,Liens!B398)&gt;0,"✓ "&amp;Liens!B398,"✗ "&amp;Liens!B398&amp;" (introuvable)"))</f>
        <v>✓ joie</v>
      </c>
      <c r="D403" s="35" t="str">
        <f>IF(Liens!C398="","",IF(COUNTIF(Mots!A:A,Liens!C398)&gt;0,"✓ "&amp;Liens!C398,"✗ "&amp;Liens!C398&amp;" (introuvable)"))</f>
        <v>✓ a_joyeux</v>
      </c>
      <c r="E403" s="35" t="str">
        <f>IF(Liens!D398="","",IF(COUNTIF(Mots!A:A,Liens!D398)&gt;0,"✓ "&amp;Liens!D398,"✗ "&amp;Liens!D398&amp;" (introuvable)"))</f>
        <v>✓ a_content_triste</v>
      </c>
      <c r="F403" s="35" t="str">
        <f>IF(Liens!E398="","",IF(COUNTIF(Mots!A:A,Liens!E398)&gt;0,"✓ "&amp;Liens!E398,"✗ "&amp;Liens!E398&amp;" (introuvable)"))</f>
        <v>✓ v_rire</v>
      </c>
      <c r="G403" s="35" t="str">
        <f>IF(Liens!F398="","",IF(COUNTIF(Mots!A:A,Liens!F398)&gt;0,"✓ "&amp;Liens!F398,"✗ "&amp;Liens!F398&amp;" (introuvable)"))</f>
        <v>✓ visage</v>
      </c>
      <c r="H403" s="35" t="str">
        <f>IF(Liens!G398="","",IF(COUNTIF(Mots!A:A,Liens!G398)&gt;0,"✓ "&amp;Liens!G398,"✗ "&amp;Liens!G398&amp;" (introuvable)"))</f>
        <v>✓ bouche</v>
      </c>
      <c r="I403" s="35" t="str">
        <f>IF(Liens!H398="","",IF(COUNTIF(Mots!A:A,Liens!H398)&gt;0,"✓ "&amp;Liens!H398,"✗ "&amp;Liens!H398&amp;" (introuvable)"))</f>
        <v>✓ levre</v>
      </c>
    </row>
    <row r="404" spans="1:9" x14ac:dyDescent="0.3">
      <c r="A404">
        <f t="shared" si="3"/>
        <v>399</v>
      </c>
      <c r="B404" s="35" t="str">
        <f>IF(Liens!A399="","",IF(COUNTIF(Mots!A:A,Liens!A399)&gt;0,"✓ "&amp;Liens!A399,"✗ "&amp;Liens!A399&amp;" (introuvable)"))</f>
        <v>✓ gant</v>
      </c>
      <c r="C404" s="35" t="str">
        <f>IF(Liens!B399="","",IF(COUNTIF(Mots!A:A,Liens!B399)&gt;0,"✓ "&amp;Liens!B399,"✗ "&amp;Liens!B399&amp;" (introuvable)"))</f>
        <v>✓ vetement</v>
      </c>
      <c r="D404" s="35" t="str">
        <f>IF(Liens!C399="","",IF(COUNTIF(Mots!A:A,Liens!C399)&gt;0,"✓ "&amp;Liens!C399,"✗ "&amp;Liens!C399&amp;" (introuvable)"))</f>
        <v>✓ main</v>
      </c>
      <c r="E404" s="35" t="str">
        <f>IF(Liens!D399="","",IF(COUNTIF(Mots!A:A,Liens!D399)&gt;0,"✓ "&amp;Liens!D399,"✗ "&amp;Liens!D399&amp;" (introuvable)"))</f>
        <v>✓ doigt</v>
      </c>
      <c r="F404" s="35" t="str">
        <f>IF(Liens!E399="","",IF(COUNTIF(Mots!A:A,Liens!E399)&gt;0,"✓ "&amp;Liens!E399,"✗ "&amp;Liens!E399&amp;" (introuvable)"))</f>
        <v>✓ a_chaud_froid</v>
      </c>
      <c r="G404" s="35" t="str">
        <f>IF(Liens!F399="","",IF(COUNTIF(Mots!A:A,Liens!F399)&gt;0,"✓ "&amp;Liens!F399,"✗ "&amp;Liens!F399&amp;" (introuvable)"))</f>
        <v>✓ hiver</v>
      </c>
      <c r="H404" s="35" t="str">
        <f>IF(Liens!G399="","",IF(COUNTIF(Mots!A:A,Liens!G399)&gt;0,"✓ "&amp;Liens!G399,"✗ "&amp;Liens!G399&amp;" (introuvable)"))</f>
        <v>✓ v_skier</v>
      </c>
      <c r="I404" s="35" t="str">
        <f>IF(Liens!H399="","",IF(COUNTIF(Mots!A:A,Liens!H399)&gt;0,"✓ "&amp;Liens!H399,"✗ "&amp;Liens!H399&amp;" (introuvable)"))</f>
        <v>✓ moto</v>
      </c>
    </row>
    <row r="405" spans="1:9" x14ac:dyDescent="0.3">
      <c r="A405">
        <f t="shared" si="3"/>
        <v>400</v>
      </c>
      <c r="B405" s="35" t="str">
        <f>IF(Liens!A400="","",IF(COUNTIF(Mots!A:A,Liens!A400)&gt;0,"✓ "&amp;Liens!A400,"✗ "&amp;Liens!A400&amp;" (introuvable)"))</f>
        <v>✓ garage</v>
      </c>
      <c r="C405" s="35" t="str">
        <f>IF(Liens!B400="","",IF(COUNTIF(Mots!A:A,Liens!B400)&gt;0,"✓ "&amp;Liens!B400,"✗ "&amp;Liens!B400&amp;" (introuvable)"))</f>
        <v>✓ maison</v>
      </c>
      <c r="D405" s="35" t="str">
        <f>IF(Liens!C400="","",IF(COUNTIF(Mots!A:A,Liens!C400)&gt;0,"✓ "&amp;Liens!C400,"✗ "&amp;Liens!C400&amp;" (introuvable)"))</f>
        <v>✓ voiture</v>
      </c>
      <c r="E405" s="35" t="str">
        <f>IF(Liens!D400="","",IF(COUNTIF(Mots!A:A,Liens!D400)&gt;0,"✓ "&amp;Liens!D400,"✗ "&amp;Liens!D400&amp;" (introuvable)"))</f>
        <v>✓ outil</v>
      </c>
      <c r="F405" s="35" t="str">
        <f>IF(Liens!E400="","",IF(COUNTIF(Mots!A:A,Liens!E400)&gt;0,"✓ "&amp;Liens!E400,"✗ "&amp;Liens!E400&amp;" (introuvable)"))</f>
        <v/>
      </c>
      <c r="G405" s="35" t="str">
        <f>IF(Liens!F400="","",IF(COUNTIF(Mots!A:A,Liens!F400)&gt;0,"✓ "&amp;Liens!F400,"✗ "&amp;Liens!F400&amp;" (introuvable)"))</f>
        <v/>
      </c>
      <c r="H405" s="35" t="str">
        <f>IF(Liens!G400="","",IF(COUNTIF(Mots!A:A,Liens!G400)&gt;0,"✓ "&amp;Liens!G400,"✗ "&amp;Liens!G400&amp;" (introuvable)"))</f>
        <v/>
      </c>
      <c r="I405" s="35" t="str">
        <f>IF(Liens!H400="","",IF(COUNTIF(Mots!A:A,Liens!H400)&gt;0,"✓ "&amp;Liens!H400,"✗ "&amp;Liens!H400&amp;" (introuvable)"))</f>
        <v/>
      </c>
    </row>
    <row r="406" spans="1:9" x14ac:dyDescent="0.3">
      <c r="A406">
        <f t="shared" si="3"/>
        <v>401</v>
      </c>
      <c r="B406" s="35" t="str">
        <f>IF(Liens!A401="","",IF(COUNTIF(Mots!A:A,Liens!A401)&gt;0,"✓ "&amp;Liens!A401,"✗ "&amp;Liens!A401&amp;" (introuvable)"))</f>
        <v>✓ garantie</v>
      </c>
      <c r="C406" s="35" t="str">
        <f>IF(Liens!B401="","",IF(COUNTIF(Mots!A:A,Liens!B401)&gt;0,"✓ "&amp;Liens!B401,"✗ "&amp;Liens!B401&amp;" (introuvable)"))</f>
        <v>✓ promesse</v>
      </c>
      <c r="D406" s="35" t="str">
        <f>IF(Liens!C401="","",IF(COUNTIF(Mots!A:A,Liens!C401)&gt;0,"✓ "&amp;Liens!C401,"✗ "&amp;Liens!C401&amp;" (introuvable)"))</f>
        <v>✓ probleme</v>
      </c>
      <c r="E406" s="35" t="str">
        <f>IF(Liens!D401="","",IF(COUNTIF(Mots!A:A,Liens!D401)&gt;0,"✓ "&amp;Liens!D401,"✗ "&amp;Liens!D401&amp;" (introuvable)"))</f>
        <v>✓ voiture</v>
      </c>
      <c r="F406" s="35" t="str">
        <f>IF(Liens!E401="","",IF(COUNTIF(Mots!A:A,Liens!E401)&gt;0,"✓ "&amp;Liens!E401,"✗ "&amp;Liens!E401&amp;" (introuvable)"))</f>
        <v>✓ maison</v>
      </c>
      <c r="G406" s="35" t="str">
        <f>IF(Liens!F401="","",IF(COUNTIF(Mots!A:A,Liens!F401)&gt;0,"✓ "&amp;Liens!F401,"✗ "&amp;Liens!F401&amp;" (introuvable)"))</f>
        <v>✓ v_acheter</v>
      </c>
      <c r="H406" s="35" t="str">
        <f>IF(Liens!G401="","",IF(COUNTIF(Mots!A:A,Liens!G401)&gt;0,"✓ "&amp;Liens!G401,"✗ "&amp;Liens!G401&amp;" (introuvable)"))</f>
        <v/>
      </c>
      <c r="I406" s="35" t="str">
        <f>IF(Liens!H401="","",IF(COUNTIF(Mots!A:A,Liens!H401)&gt;0,"✓ "&amp;Liens!H401,"✗ "&amp;Liens!H401&amp;" (introuvable)"))</f>
        <v/>
      </c>
    </row>
    <row r="407" spans="1:9" x14ac:dyDescent="0.3">
      <c r="A407">
        <f t="shared" si="3"/>
        <v>402</v>
      </c>
      <c r="B407" s="35" t="str">
        <f>IF(Liens!A402="","",IF(COUNTIF(Mots!A:A,Liens!A402)&gt;0,"✓ "&amp;Liens!A402,"✗ "&amp;Liens!A402&amp;" (introuvable)"))</f>
        <v>✓ garcon</v>
      </c>
      <c r="C407" s="35" t="str">
        <f>IF(Liens!B402="","",IF(COUNTIF(Mots!A:A,Liens!B402)&gt;0,"✓ "&amp;Liens!B402,"✗ "&amp;Liens!B402&amp;" (introuvable)"))</f>
        <v>✓ famille</v>
      </c>
      <c r="D407" s="35" t="str">
        <f>IF(Liens!C402="","",IF(COUNTIF(Mots!A:A,Liens!C402)&gt;0,"✓ "&amp;Liens!C402,"✗ "&amp;Liens!C402&amp;" (introuvable)"))</f>
        <v>✓ enfants</v>
      </c>
      <c r="E407" s="35" t="str">
        <f>IF(Liens!D402="","",IF(COUNTIF(Mots!A:A,Liens!D402)&gt;0,"✓ "&amp;Liens!D402,"✗ "&amp;Liens!D402&amp;" (introuvable)"))</f>
        <v>✓ fils</v>
      </c>
      <c r="F407" s="35" t="str">
        <f>IF(Liens!E402="","",IF(COUNTIF(Mots!A:A,Liens!E402)&gt;0,"✓ "&amp;Liens!E402,"✗ "&amp;Liens!E402&amp;" (introuvable)"))</f>
        <v>✓ masculin</v>
      </c>
      <c r="G407" s="35" t="str">
        <f>IF(Liens!F402="","",IF(COUNTIF(Mots!A:A,Liens!F402)&gt;0,"✓ "&amp;Liens!F402,"✗ "&amp;Liens!F402&amp;" (introuvable)"))</f>
        <v/>
      </c>
      <c r="H407" s="35" t="str">
        <f>IF(Liens!G402="","",IF(COUNTIF(Mots!A:A,Liens!G402)&gt;0,"✓ "&amp;Liens!G402,"✗ "&amp;Liens!G402&amp;" (introuvable)"))</f>
        <v/>
      </c>
      <c r="I407" s="35" t="str">
        <f>IF(Liens!H402="","",IF(COUNTIF(Mots!A:A,Liens!H402)&gt;0,"✓ "&amp;Liens!H402,"✗ "&amp;Liens!H402&amp;" (introuvable)"))</f>
        <v/>
      </c>
    </row>
    <row r="408" spans="1:9" x14ac:dyDescent="0.3">
      <c r="A408">
        <f t="shared" si="3"/>
        <v>403</v>
      </c>
      <c r="B408" s="35" t="str">
        <f>IF(Liens!A403="","",IF(COUNTIF(Mots!A:A,Liens!A403)&gt;0,"✓ "&amp;Liens!A403,"✗ "&amp;Liens!A403&amp;" (introuvable)"))</f>
        <v>✓ gare</v>
      </c>
      <c r="C408" s="35" t="str">
        <f>IF(Liens!B403="","",IF(COUNTIF(Mots!A:A,Liens!B403)&gt;0,"✓ "&amp;Liens!B403,"✗ "&amp;Liens!B403&amp;" (introuvable)"))</f>
        <v>✓ train</v>
      </c>
      <c r="D408" s="35" t="str">
        <f>IF(Liens!C403="","",IF(COUNTIF(Mots!A:A,Liens!C403)&gt;0,"✓ "&amp;Liens!C403,"✗ "&amp;Liens!C403&amp;" (introuvable)"))</f>
        <v>✓ ville</v>
      </c>
      <c r="E408" s="35" t="str">
        <f>IF(Liens!D403="","",IF(COUNTIF(Mots!A:A,Liens!D403)&gt;0,"✓ "&amp;Liens!D403,"✗ "&amp;Liens!D403&amp;" (introuvable)"))</f>
        <v>✓ billet</v>
      </c>
      <c r="F408" s="35" t="str">
        <f>IF(Liens!E403="","",IF(COUNTIF(Mots!A:A,Liens!E403)&gt;0,"✓ "&amp;Liens!E403,"✗ "&amp;Liens!E403&amp;" (introuvable)"))</f>
        <v>✓ v_aller</v>
      </c>
      <c r="G408" s="35" t="str">
        <f>IF(Liens!F403="","",IF(COUNTIF(Mots!A:A,Liens!F403)&gt;0,"✓ "&amp;Liens!F403,"✗ "&amp;Liens!F403&amp;" (introuvable)"))</f>
        <v/>
      </c>
      <c r="H408" s="35" t="str">
        <f>IF(Liens!G403="","",IF(COUNTIF(Mots!A:A,Liens!G403)&gt;0,"✓ "&amp;Liens!G403,"✗ "&amp;Liens!G403&amp;" (introuvable)"))</f>
        <v/>
      </c>
      <c r="I408" s="35" t="str">
        <f>IF(Liens!H403="","",IF(COUNTIF(Mots!A:A,Liens!H403)&gt;0,"✓ "&amp;Liens!H403,"✗ "&amp;Liens!H403&amp;" (introuvable)"))</f>
        <v/>
      </c>
    </row>
    <row r="409" spans="1:9" x14ac:dyDescent="0.3">
      <c r="A409">
        <f t="shared" si="3"/>
        <v>404</v>
      </c>
      <c r="B409" s="35" t="str">
        <f>IF(Liens!A404="","",IF(COUNTIF(Mots!A:A,Liens!A404)&gt;0,"✓ "&amp;Liens!A404,"✗ "&amp;Liens!A404&amp;" (introuvable)"))</f>
        <v>✓ gateau</v>
      </c>
      <c r="C409" s="35" t="str">
        <f>IF(Liens!B404="","",IF(COUNTIF(Mots!A:A,Liens!B404)&gt;0,"✓ "&amp;Liens!B404,"✗ "&amp;Liens!B404&amp;" (introuvable)"))</f>
        <v>✓ dessert</v>
      </c>
      <c r="D409" s="35" t="str">
        <f>IF(Liens!C404="","",IF(COUNTIF(Mots!A:A,Liens!C404)&gt;0,"✓ "&amp;Liens!C404,"✗ "&amp;Liens!C404&amp;" (introuvable)"))</f>
        <v>✓ a_sucre_sale</v>
      </c>
      <c r="E409" s="35" t="str">
        <f>IF(Liens!D404="","",IF(COUNTIF(Mots!A:A,Liens!D404)&gt;0,"✓ "&amp;Liens!D404,"✗ "&amp;Liens!D404&amp;" (introuvable)"))</f>
        <v>✓ pomme</v>
      </c>
      <c r="F409" s="35" t="str">
        <f>IF(Liens!E404="","",IF(COUNTIF(Mots!A:A,Liens!E404)&gt;0,"✓ "&amp;Liens!E404,"✗ "&amp;Liens!E404&amp;" (introuvable)"))</f>
        <v>✓ abricot</v>
      </c>
      <c r="G409" s="35" t="str">
        <f>IF(Liens!F404="","",IF(COUNTIF(Mots!A:A,Liens!F404)&gt;0,"✓ "&amp;Liens!F404,"✗ "&amp;Liens!F404&amp;" (introuvable)"))</f>
        <v>✓ v_manger</v>
      </c>
      <c r="H409" s="35" t="str">
        <f>IF(Liens!G404="","",IF(COUNTIF(Mots!A:A,Liens!G404)&gt;0,"✓ "&amp;Liens!G404,"✗ "&amp;Liens!G404&amp;" (introuvable)"))</f>
        <v/>
      </c>
      <c r="I409" s="35" t="str">
        <f>IF(Liens!H404="","",IF(COUNTIF(Mots!A:A,Liens!H404)&gt;0,"✓ "&amp;Liens!H404,"✗ "&amp;Liens!H404&amp;" (introuvable)"))</f>
        <v/>
      </c>
    </row>
    <row r="410" spans="1:9" x14ac:dyDescent="0.3">
      <c r="A410">
        <f t="shared" si="3"/>
        <v>405</v>
      </c>
      <c r="B410" s="35" t="str">
        <f>IF(Liens!A405="","",IF(COUNTIF(Mots!A:A,Liens!A405)&gt;0,"✓ "&amp;Liens!A405,"✗ "&amp;Liens!A405&amp;" (introuvable)"))</f>
        <v>✓ gel</v>
      </c>
      <c r="C410" s="35" t="str">
        <f>IF(Liens!B405="","",IF(COUNTIF(Mots!A:A,Liens!B405)&gt;0,"✓ "&amp;Liens!B405,"✗ "&amp;Liens!B405&amp;" (introuvable)"))</f>
        <v>✓ glace</v>
      </c>
      <c r="D410" s="35" t="str">
        <f>IF(Liens!C405="","",IF(COUNTIF(Mots!A:A,Liens!C405)&gt;0,"✓ "&amp;Liens!C405,"✗ "&amp;Liens!C405&amp;" (introuvable)"))</f>
        <v>✓ eau</v>
      </c>
      <c r="E410" s="35" t="str">
        <f>IF(Liens!D405="","",IF(COUNTIF(Mots!A:A,Liens!D405)&gt;0,"✓ "&amp;Liens!D405,"✗ "&amp;Liens!D405&amp;" (introuvable)"))</f>
        <v>✓ a_chaud_froid</v>
      </c>
      <c r="F410" s="35" t="str">
        <f>IF(Liens!E405="","",IF(COUNTIF(Mots!A:A,Liens!E405)&gt;0,"✓ "&amp;Liens!E405,"✗ "&amp;Liens!E405&amp;" (introuvable)"))</f>
        <v>✓ hiver</v>
      </c>
      <c r="G410" s="35" t="str">
        <f>IF(Liens!F405="","",IF(COUNTIF(Mots!A:A,Liens!F405)&gt;0,"✓ "&amp;Liens!F405,"✗ "&amp;Liens!F405&amp;" (introuvable)"))</f>
        <v>✓ neige</v>
      </c>
      <c r="H410" s="35" t="str">
        <f>IF(Liens!G405="","",IF(COUNTIF(Mots!A:A,Liens!G405)&gt;0,"✓ "&amp;Liens!G405,"✗ "&amp;Liens!G405&amp;" (introuvable)"))</f>
        <v>✓ gant</v>
      </c>
      <c r="I410" s="35" t="str">
        <f>IF(Liens!H405="","",IF(COUNTIF(Mots!A:A,Liens!H405)&gt;0,"✓ "&amp;Liens!H405,"✗ "&amp;Liens!H405&amp;" (introuvable)"))</f>
        <v/>
      </c>
    </row>
    <row r="411" spans="1:9" x14ac:dyDescent="0.3">
      <c r="A411">
        <f t="shared" si="3"/>
        <v>406</v>
      </c>
      <c r="B411" s="35" t="str">
        <f>IF(Liens!A406="","",IF(COUNTIF(Mots!A:A,Liens!A406)&gt;0,"✓ "&amp;Liens!A406,"✗ "&amp;Liens!A406&amp;" (introuvable)"))</f>
        <v>✓ genou</v>
      </c>
      <c r="C411" s="35" t="str">
        <f>IF(Liens!B406="","",IF(COUNTIF(Mots!A:A,Liens!B406)&gt;0,"✓ "&amp;Liens!B406,"✗ "&amp;Liens!B406&amp;" (introuvable)"))</f>
        <v>✓ corps_humain</v>
      </c>
      <c r="D411" s="35" t="str">
        <f>IF(Liens!C406="","",IF(COUNTIF(Mots!A:A,Liens!C406)&gt;0,"✓ "&amp;Liens!C406,"✗ "&amp;Liens!C406&amp;" (introuvable)"))</f>
        <v>✓ jambe</v>
      </c>
      <c r="E411" s="35" t="str">
        <f>IF(Liens!D406="","",IF(COUNTIF(Mots!A:A,Liens!D406)&gt;0,"✓ "&amp;Liens!D406,"✗ "&amp;Liens!D406&amp;" (introuvable)"))</f>
        <v>✓ cuisse</v>
      </c>
      <c r="F411" s="35" t="str">
        <f>IF(Liens!E406="","",IF(COUNTIF(Mots!A:A,Liens!E406)&gt;0,"✓ "&amp;Liens!E406,"✗ "&amp;Liens!E406&amp;" (introuvable)"))</f>
        <v>✓ pied</v>
      </c>
      <c r="G411" s="35" t="str">
        <f>IF(Liens!F406="","",IF(COUNTIF(Mots!A:A,Liens!F406)&gt;0,"✓ "&amp;Liens!F406,"✗ "&amp;Liens!F406&amp;" (introuvable)"))</f>
        <v/>
      </c>
      <c r="H411" s="35" t="str">
        <f>IF(Liens!G406="","",IF(COUNTIF(Mots!A:A,Liens!G406)&gt;0,"✓ "&amp;Liens!G406,"✗ "&amp;Liens!G406&amp;" (introuvable)"))</f>
        <v/>
      </c>
      <c r="I411" s="35" t="str">
        <f>IF(Liens!H406="","",IF(COUNTIF(Mots!A:A,Liens!H406)&gt;0,"✓ "&amp;Liens!H406,"✗ "&amp;Liens!H406&amp;" (introuvable)"))</f>
        <v/>
      </c>
    </row>
    <row r="412" spans="1:9" x14ac:dyDescent="0.3">
      <c r="A412">
        <f t="shared" si="3"/>
        <v>407</v>
      </c>
      <c r="B412" s="35" t="str">
        <f>IF(Liens!A407="","",IF(COUNTIF(Mots!A:A,Liens!A407)&gt;0,"✓ "&amp;Liens!A407,"✗ "&amp;Liens!A407&amp;" (introuvable)"))</f>
        <v>✓ gens</v>
      </c>
      <c r="C412" s="35" t="str">
        <f>IF(Liens!B407="","",IF(COUNTIF(Mots!A:A,Liens!B407)&gt;0,"✓ "&amp;Liens!B407,"✗ "&amp;Liens!B407&amp;" (introuvable)"))</f>
        <v>✓ homme</v>
      </c>
      <c r="D412" s="35" t="str">
        <f>IF(Liens!C407="","",IF(COUNTIF(Mots!A:A,Liens!C407)&gt;0,"✓ "&amp;Liens!C407,"✗ "&amp;Liens!C407&amp;" (introuvable)"))</f>
        <v>✓ femme</v>
      </c>
      <c r="E412" s="35" t="str">
        <f>IF(Liens!D407="","",IF(COUNTIF(Mots!A:A,Liens!D407)&gt;0,"✓ "&amp;Liens!D407,"✗ "&amp;Liens!D407&amp;" (introuvable)"))</f>
        <v>✓ garcon</v>
      </c>
      <c r="F412" s="35" t="str">
        <f>IF(Liens!E407="","",IF(COUNTIF(Mots!A:A,Liens!E407)&gt;0,"✓ "&amp;Liens!E407,"✗ "&amp;Liens!E407&amp;" (introuvable)"))</f>
        <v>✓ fille</v>
      </c>
      <c r="G412" s="35" t="str">
        <f>IF(Liens!F407="","",IF(COUNTIF(Mots!A:A,Liens!F407)&gt;0,"✓ "&amp;Liens!F407,"✗ "&amp;Liens!F407&amp;" (introuvable)"))</f>
        <v>✓ enfants</v>
      </c>
      <c r="H412" s="35" t="str">
        <f>IF(Liens!G407="","",IF(COUNTIF(Mots!A:A,Liens!G407)&gt;0,"✓ "&amp;Liens!G407,"✗ "&amp;Liens!G407&amp;" (introuvable)"))</f>
        <v>✓ a_nombreux</v>
      </c>
      <c r="I412" s="35" t="str">
        <f>IF(Liens!H407="","",IF(COUNTIF(Mots!A:A,Liens!H407)&gt;0,"✓ "&amp;Liens!H407,"✗ "&amp;Liens!H407&amp;" (introuvable)"))</f>
        <v/>
      </c>
    </row>
    <row r="413" spans="1:9" x14ac:dyDescent="0.3">
      <c r="A413">
        <f t="shared" si="3"/>
        <v>408</v>
      </c>
      <c r="B413" s="35" t="str">
        <f>IF(Liens!A408="","",IF(COUNTIF(Mots!A:A,Liens!A408)&gt;0,"✓ "&amp;Liens!A408,"✗ "&amp;Liens!A408&amp;" (introuvable)"))</f>
        <v>✓ gentillesse</v>
      </c>
      <c r="C413" s="35" t="str">
        <f>IF(Liens!B408="","",IF(COUNTIF(Mots!A:A,Liens!B408)&gt;0,"✓ "&amp;Liens!B408,"✗ "&amp;Liens!B408&amp;" (introuvable)"))</f>
        <v>✓ personne</v>
      </c>
      <c r="D413" s="35" t="str">
        <f>IF(Liens!C408="","",IF(COUNTIF(Mots!A:A,Liens!C408)&gt;0,"✓ "&amp;Liens!C408,"✗ "&amp;Liens!C408&amp;" (introuvable)"))</f>
        <v>✓ a_gentil_mechant</v>
      </c>
      <c r="E413" s="35" t="str">
        <f>IF(Liens!D408="","",IF(COUNTIF(Mots!A:A,Liens!D408)&gt;0,"✓ "&amp;Liens!D408,"✗ "&amp;Liens!D408&amp;" (introuvable)"))</f>
        <v>✓ emotion</v>
      </c>
      <c r="F413" s="35" t="str">
        <f>IF(Liens!E408="","",IF(COUNTIF(Mots!A:A,Liens!E408)&gt;0,"✓ "&amp;Liens!E408,"✗ "&amp;Liens!E408&amp;" (introuvable)"))</f>
        <v>✓ ami</v>
      </c>
      <c r="G413" s="35" t="str">
        <f>IF(Liens!F408="","",IF(COUNTIF(Mots!A:A,Liens!F408)&gt;0,"✓ "&amp;Liens!F408,"✗ "&amp;Liens!F408&amp;" (introuvable)"))</f>
        <v>✓ famille</v>
      </c>
      <c r="H413" s="35" t="str">
        <f>IF(Liens!G408="","",IF(COUNTIF(Mots!A:A,Liens!G408)&gt;0,"✓ "&amp;Liens!G408,"✗ "&amp;Liens!G408&amp;" (introuvable)"))</f>
        <v>✓ mes_enfants</v>
      </c>
      <c r="I413" s="35" t="str">
        <f>IF(Liens!H408="","",IF(COUNTIF(Mots!A:A,Liens!H408)&gt;0,"✓ "&amp;Liens!H408,"✗ "&amp;Liens!H408&amp;" (introuvable)"))</f>
        <v>✓ aimable</v>
      </c>
    </row>
    <row r="414" spans="1:9" x14ac:dyDescent="0.3">
      <c r="A414">
        <f t="shared" si="3"/>
        <v>409</v>
      </c>
      <c r="B414" s="35" t="str">
        <f>IF(Liens!A409="","",IF(COUNTIF(Mots!A:A,Liens!A409)&gt;0,"✓ "&amp;Liens!A409,"✗ "&amp;Liens!A409&amp;" (introuvable)"))</f>
        <v>✓ gentiment</v>
      </c>
      <c r="C414" s="35" t="str">
        <f>IF(Liens!B409="","",IF(COUNTIF(Mots!A:A,Liens!B409)&gt;0,"✓ "&amp;Liens!B409,"✗ "&amp;Liens!B409&amp;" (introuvable)"))</f>
        <v>✓ aimable</v>
      </c>
      <c r="D414" s="35" t="str">
        <f>IF(Liens!C409="","",IF(COUNTIF(Mots!A:A,Liens!C409)&gt;0,"✓ "&amp;Liens!C409,"✗ "&amp;Liens!C409&amp;" (introuvable)"))</f>
        <v>✓ calme</v>
      </c>
      <c r="E414" s="35" t="str">
        <f>IF(Liens!D409="","",IF(COUNTIF(Mots!A:A,Liens!D409)&gt;0,"✓ "&amp;Liens!D409,"✗ "&amp;Liens!D409&amp;" (introuvable)"))</f>
        <v>✓ tranquille</v>
      </c>
      <c r="F414" s="35" t="str">
        <f>IF(Liens!E409="","",IF(COUNTIF(Mots!A:A,Liens!E409)&gt;0,"✓ "&amp;Liens!E409,"✗ "&amp;Liens!E409&amp;" (introuvable)"))</f>
        <v/>
      </c>
      <c r="G414" s="35" t="str">
        <f>IF(Liens!F409="","",IF(COUNTIF(Mots!A:A,Liens!F409)&gt;0,"✓ "&amp;Liens!F409,"✗ "&amp;Liens!F409&amp;" (introuvable)"))</f>
        <v/>
      </c>
      <c r="H414" s="35" t="str">
        <f>IF(Liens!G409="","",IF(COUNTIF(Mots!A:A,Liens!G409)&gt;0,"✓ "&amp;Liens!G409,"✗ "&amp;Liens!G409&amp;" (introuvable)"))</f>
        <v/>
      </c>
      <c r="I414" s="35" t="str">
        <f>IF(Liens!H409="","",IF(COUNTIF(Mots!A:A,Liens!H409)&gt;0,"✓ "&amp;Liens!H409,"✗ "&amp;Liens!H409&amp;" (introuvable)"))</f>
        <v/>
      </c>
    </row>
    <row r="415" spans="1:9" x14ac:dyDescent="0.3">
      <c r="A415">
        <f t="shared" si="3"/>
        <v>410</v>
      </c>
      <c r="B415" s="35" t="str">
        <f>IF(Liens!A410="","",IF(COUNTIF(Mots!A:A,Liens!A410)&gt;0,"✓ "&amp;Liens!A410,"✗ "&amp;Liens!A410&amp;" (introuvable)"))</f>
        <v>✓ geste</v>
      </c>
      <c r="C415" s="35" t="str">
        <f>IF(Liens!B410="","",IF(COUNTIF(Mots!A:A,Liens!B410)&gt;0,"✓ "&amp;Liens!B410,"✗ "&amp;Liens!B410&amp;" (introuvable)"))</f>
        <v>✓ mouvement</v>
      </c>
      <c r="D415" s="35" t="str">
        <f>IF(Liens!C410="","",IF(COUNTIF(Mots!A:A,Liens!C410)&gt;0,"✓ "&amp;Liens!C410,"✗ "&amp;Liens!C410&amp;" (introuvable)"))</f>
        <v>✓ bras</v>
      </c>
      <c r="E415" s="35" t="str">
        <f>IF(Liens!D410="","",IF(COUNTIF(Mots!A:A,Liens!D410)&gt;0,"✓ "&amp;Liens!D410,"✗ "&amp;Liens!D410&amp;" (introuvable)"))</f>
        <v>✓ main</v>
      </c>
      <c r="F415" s="35" t="str">
        <f>IF(Liens!E410="","",IF(COUNTIF(Mots!A:A,Liens!E410)&gt;0,"✓ "&amp;Liens!E410,"✗ "&amp;Liens!E410&amp;" (introuvable)"))</f>
        <v>✓ doigt</v>
      </c>
      <c r="G415" s="35" t="str">
        <f>IF(Liens!F410="","",IF(COUNTIF(Mots!A:A,Liens!F410)&gt;0,"✓ "&amp;Liens!F410,"✗ "&amp;Liens!F410&amp;" (introuvable)"))</f>
        <v>✓ jambe</v>
      </c>
      <c r="H415" s="35" t="str">
        <f>IF(Liens!G410="","",IF(COUNTIF(Mots!A:A,Liens!G410)&gt;0,"✓ "&amp;Liens!G410,"✗ "&amp;Liens!G410&amp;" (introuvable)"))</f>
        <v/>
      </c>
      <c r="I415" s="35" t="str">
        <f>IF(Liens!H410="","",IF(COUNTIF(Mots!A:A,Liens!H410)&gt;0,"✓ "&amp;Liens!H410,"✗ "&amp;Liens!H410&amp;" (introuvable)"))</f>
        <v/>
      </c>
    </row>
    <row r="416" spans="1:9" x14ac:dyDescent="0.3">
      <c r="A416">
        <f t="shared" si="3"/>
        <v>411</v>
      </c>
      <c r="B416" s="35" t="str">
        <f>IF(Liens!A411="","",IF(COUNTIF(Mots!A:A,Liens!A411)&gt;0,"✓ "&amp;Liens!A411,"✗ "&amp;Liens!A411&amp;" (introuvable)"))</f>
        <v>✓ glace</v>
      </c>
      <c r="C416" s="35" t="str">
        <f>IF(Liens!B411="","",IF(COUNTIF(Mots!A:A,Liens!B411)&gt;0,"✓ "&amp;Liens!B411,"✗ "&amp;Liens!B411&amp;" (introuvable)"))</f>
        <v>✓ gel</v>
      </c>
      <c r="D416" s="35" t="str">
        <f>IF(Liens!C411="","",IF(COUNTIF(Mots!A:A,Liens!C411)&gt;0,"✓ "&amp;Liens!C411,"✗ "&amp;Liens!C411&amp;" (introuvable)"))</f>
        <v>✓ eau</v>
      </c>
      <c r="E416" s="35" t="str">
        <f>IF(Liens!D411="","",IF(COUNTIF(Mots!A:A,Liens!D411)&gt;0,"✓ "&amp;Liens!D411,"✗ "&amp;Liens!D411&amp;" (introuvable)"))</f>
        <v>✓ a_chaud_froid</v>
      </c>
      <c r="F416" s="35" t="str">
        <f>IF(Liens!E411="","",IF(COUNTIF(Mots!A:A,Liens!E411)&gt;0,"✓ "&amp;Liens!E411,"✗ "&amp;Liens!E411&amp;" (introuvable)"))</f>
        <v>✓ hiver</v>
      </c>
      <c r="G416" s="35" t="str">
        <f>IF(Liens!F411="","",IF(COUNTIF(Mots!A:A,Liens!F411)&gt;0,"✓ "&amp;Liens!F411,"✗ "&amp;Liens!F411&amp;" (introuvable)"))</f>
        <v>✓ neige</v>
      </c>
      <c r="H416" s="35" t="str">
        <f>IF(Liens!G411="","",IF(COUNTIF(Mots!A:A,Liens!G411)&gt;0,"✓ "&amp;Liens!G411,"✗ "&amp;Liens!G411&amp;" (introuvable)"))</f>
        <v>✓ gant</v>
      </c>
      <c r="I416" s="35" t="str">
        <f>IF(Liens!H411="","",IF(COUNTIF(Mots!A:A,Liens!H411)&gt;0,"✓ "&amp;Liens!H411,"✗ "&amp;Liens!H411&amp;" (introuvable)"))</f>
        <v/>
      </c>
    </row>
    <row r="417" spans="1:9" x14ac:dyDescent="0.3">
      <c r="A417">
        <f t="shared" si="3"/>
        <v>412</v>
      </c>
      <c r="B417" s="35" t="str">
        <f>IF(Liens!A412="","",IF(COUNTIF(Mots!A:A,Liens!A412)&gt;0,"✓ "&amp;Liens!A412,"✗ "&amp;Liens!A412&amp;" (introuvable)"))</f>
        <v>✓ gorge</v>
      </c>
      <c r="C417" s="35" t="str">
        <f>IF(Liens!B412="","",IF(COUNTIF(Mots!A:A,Liens!B412)&gt;0,"✓ "&amp;Liens!B412,"✗ "&amp;Liens!B412&amp;" (introuvable)"))</f>
        <v>✓ corps_humain</v>
      </c>
      <c r="D417" s="35" t="str">
        <f>IF(Liens!C412="","",IF(COUNTIF(Mots!A:A,Liens!C412)&gt;0,"✓ "&amp;Liens!C412,"✗ "&amp;Liens!C412&amp;" (introuvable)"))</f>
        <v>✓ tete</v>
      </c>
      <c r="E417" s="35" t="str">
        <f>IF(Liens!D412="","",IF(COUNTIF(Mots!A:A,Liens!D412)&gt;0,"✓ "&amp;Liens!D412,"✗ "&amp;Liens!D412&amp;" (introuvable)"))</f>
        <v>✓ tronc_anatomie</v>
      </c>
      <c r="F417" s="35" t="str">
        <f>IF(Liens!E412="","",IF(COUNTIF(Mots!A:A,Liens!E412)&gt;0,"✓ "&amp;Liens!E412,"✗ "&amp;Liens!E412&amp;" (introuvable)"))</f>
        <v>✓ cou</v>
      </c>
      <c r="G417" s="35" t="str">
        <f>IF(Liens!F412="","",IF(COUNTIF(Mots!A:A,Liens!F412)&gt;0,"✓ "&amp;Liens!F412,"✗ "&amp;Liens!F412&amp;" (introuvable)"))</f>
        <v>✓ toux</v>
      </c>
      <c r="H417" s="35" t="str">
        <f>IF(Liens!G412="","",IF(COUNTIF(Mots!A:A,Liens!G412)&gt;0,"✓ "&amp;Liens!G412,"✗ "&amp;Liens!G412&amp;" (introuvable)"))</f>
        <v>✓ v_avaler</v>
      </c>
      <c r="I417" s="35" t="str">
        <f>IF(Liens!H412="","",IF(COUNTIF(Mots!A:A,Liens!H412)&gt;0,"✓ "&amp;Liens!H412,"✗ "&amp;Liens!H412&amp;" (introuvable)"))</f>
        <v/>
      </c>
    </row>
    <row r="418" spans="1:9" x14ac:dyDescent="0.3">
      <c r="A418">
        <f t="shared" si="3"/>
        <v>413</v>
      </c>
      <c r="B418" s="35" t="str">
        <f>IF(Liens!A413="","",IF(COUNTIF(Mots!A:A,Liens!A413)&gt;0,"✓ "&amp;Liens!A413,"✗ "&amp;Liens!A413&amp;" (introuvable)"))</f>
        <v>✓ gout</v>
      </c>
      <c r="C418" s="35" t="str">
        <f>IF(Liens!B413="","",IF(COUNTIF(Mots!A:A,Liens!B413)&gt;0,"✓ "&amp;Liens!B413,"✗ "&amp;Liens!B413&amp;" (introuvable)"))</f>
        <v>✓ sensation</v>
      </c>
      <c r="D418" s="35" t="str">
        <f>IF(Liens!C413="","",IF(COUNTIF(Mots!A:A,Liens!C413)&gt;0,"✓ "&amp;Liens!C413,"✗ "&amp;Liens!C413&amp;" (introuvable)"))</f>
        <v>✓ bouche</v>
      </c>
      <c r="E418" s="35" t="str">
        <f>IF(Liens!D413="","",IF(COUNTIF(Mots!A:A,Liens!D413)&gt;0,"✓ "&amp;Liens!D413,"✗ "&amp;Liens!D413&amp;" (introuvable)"))</f>
        <v>✓ langue</v>
      </c>
      <c r="F418" s="35" t="str">
        <f>IF(Liens!E413="","",IF(COUNTIF(Mots!A:A,Liens!E413)&gt;0,"✓ "&amp;Liens!E413,"✗ "&amp;Liens!E413&amp;" (introuvable)"))</f>
        <v>✓ v_gouter</v>
      </c>
      <c r="G418" s="35" t="str">
        <f>IF(Liens!F413="","",IF(COUNTIF(Mots!A:A,Liens!F413)&gt;0,"✓ "&amp;Liens!F413,"✗ "&amp;Liens!F413&amp;" (introuvable)"))</f>
        <v>✓ v_manger</v>
      </c>
      <c r="H418" s="35" t="str">
        <f>IF(Liens!G413="","",IF(COUNTIF(Mots!A:A,Liens!G413)&gt;0,"✓ "&amp;Liens!G413,"✗ "&amp;Liens!G413&amp;" (introuvable)"))</f>
        <v>✓ v_boire</v>
      </c>
      <c r="I418" s="35" t="str">
        <f>IF(Liens!H413="","",IF(COUNTIF(Mots!A:A,Liens!H413)&gt;0,"✓ "&amp;Liens!H413,"✗ "&amp;Liens!H413&amp;" (introuvable)"))</f>
        <v/>
      </c>
    </row>
    <row r="419" spans="1:9" x14ac:dyDescent="0.3">
      <c r="A419">
        <f t="shared" si="3"/>
        <v>414</v>
      </c>
      <c r="B419" s="35" t="str">
        <f>IF(Liens!A414="","",IF(COUNTIF(Mots!A:A,Liens!A414)&gt;0,"✓ "&amp;Liens!A414,"✗ "&amp;Liens!A414&amp;" (introuvable)"))</f>
        <v>✓ goutte</v>
      </c>
      <c r="C419" s="35" t="str">
        <f>IF(Liens!B414="","",IF(COUNTIF(Mots!A:A,Liens!B414)&gt;0,"✓ "&amp;Liens!B414,"✗ "&amp;Liens!B414&amp;" (introuvable)"))</f>
        <v>✓ quantite</v>
      </c>
      <c r="D419" s="35" t="str">
        <f>IF(Liens!C414="","",IF(COUNTIF(Mots!A:A,Liens!C414)&gt;0,"✓ "&amp;Liens!C414,"✗ "&amp;Liens!C414&amp;" (introuvable)"))</f>
        <v>✓ liquide</v>
      </c>
      <c r="E419" s="35" t="str">
        <f>IF(Liens!D414="","",IF(COUNTIF(Mots!A:A,Liens!D414)&gt;0,"✓ "&amp;Liens!D414,"✗ "&amp;Liens!D414&amp;" (introuvable)"))</f>
        <v>✓ eau</v>
      </c>
      <c r="F419" s="35" t="str">
        <f>IF(Liens!E414="","",IF(COUNTIF(Mots!A:A,Liens!E414)&gt;0,"✓ "&amp;Liens!E414,"✗ "&amp;Liens!E414&amp;" (introuvable)"))</f>
        <v>✓ a_grand_petit</v>
      </c>
      <c r="G419" s="35" t="str">
        <f>IF(Liens!F414="","",IF(COUNTIF(Mots!A:A,Liens!F414)&gt;0,"✓ "&amp;Liens!F414,"✗ "&amp;Liens!F414&amp;" (introuvable)"))</f>
        <v>✓ rond</v>
      </c>
      <c r="H419" s="35" t="str">
        <f>IF(Liens!G414="","",IF(COUNTIF(Mots!A:A,Liens!G414)&gt;0,"✓ "&amp;Liens!G414,"✗ "&amp;Liens!G414&amp;" (introuvable)"))</f>
        <v>✓ pluie</v>
      </c>
      <c r="I419" s="35" t="str">
        <f>IF(Liens!H414="","",IF(COUNTIF(Mots!A:A,Liens!H414)&gt;0,"✓ "&amp;Liens!H414,"✗ "&amp;Liens!H414&amp;" (introuvable)"))</f>
        <v>✓ sueur</v>
      </c>
    </row>
    <row r="420" spans="1:9" x14ac:dyDescent="0.3">
      <c r="A420">
        <f t="shared" si="3"/>
        <v>415</v>
      </c>
      <c r="B420" s="35" t="str">
        <f>IF(Liens!A415="","",IF(COUNTIF(Mots!A:A,Liens!A415)&gt;0,"✓ "&amp;Liens!A415,"✗ "&amp;Liens!A415&amp;" (introuvable)"))</f>
        <v>✓ grain</v>
      </c>
      <c r="C420" s="35" t="str">
        <f>IF(Liens!B415="","",IF(COUNTIF(Mots!A:A,Liens!B415)&gt;0,"✓ "&amp;Liens!B415,"✗ "&amp;Liens!B415&amp;" (introuvable)"))</f>
        <v>✓ ble</v>
      </c>
      <c r="D420" s="35" t="str">
        <f>IF(Liens!C415="","",IF(COUNTIF(Mots!A:A,Liens!C415)&gt;0,"✓ "&amp;Liens!C415,"✗ "&amp;Liens!C415&amp;" (introuvable)"))</f>
        <v>✓ p_mais</v>
      </c>
      <c r="E420" s="35" t="str">
        <f>IF(Liens!D415="","",IF(COUNTIF(Mots!A:A,Liens!D415)&gt;0,"✓ "&amp;Liens!D415,"✗ "&amp;Liens!D415&amp;" (introuvable)"))</f>
        <v>✓ champ</v>
      </c>
      <c r="F420" s="35" t="str">
        <f>IF(Liens!E415="","",IF(COUNTIF(Mots!A:A,Liens!E415)&gt;0,"✓ "&amp;Liens!E415,"✗ "&amp;Liens!E415&amp;" (introuvable)"))</f>
        <v>✓ agriculteur</v>
      </c>
      <c r="G420" s="35" t="str">
        <f>IF(Liens!F415="","",IF(COUNTIF(Mots!A:A,Liens!F415)&gt;0,"✓ "&amp;Liens!F415,"✗ "&amp;Liens!F415&amp;" (introuvable)"))</f>
        <v>✓ ferme</v>
      </c>
      <c r="H420" s="35" t="str">
        <f>IF(Liens!G415="","",IF(COUNTIF(Mots!A:A,Liens!G415)&gt;0,"✓ "&amp;Liens!G415,"✗ "&amp;Liens!G415&amp;" (introuvable)"))</f>
        <v>✓ sable</v>
      </c>
      <c r="I420" s="35" t="str">
        <f>IF(Liens!H415="","",IF(COUNTIF(Mots!A:A,Liens!H415)&gt;0,"✓ "&amp;Liens!H415,"✗ "&amp;Liens!H415&amp;" (introuvable)"))</f>
        <v>✓ plage</v>
      </c>
    </row>
    <row r="421" spans="1:9" x14ac:dyDescent="0.3">
      <c r="A421">
        <f t="shared" si="3"/>
        <v>416</v>
      </c>
      <c r="B421" s="35" t="str">
        <f>IF(Liens!A416="","",IF(COUNTIF(Mots!A:A,Liens!A416)&gt;0,"✓ "&amp;Liens!A416,"✗ "&amp;Liens!A416&amp;" (introuvable)"))</f>
        <v>✓ graine</v>
      </c>
      <c r="C421" s="35" t="str">
        <f>IF(Liens!B416="","",IF(COUNTIF(Mots!A:A,Liens!B416)&gt;0,"✓ "&amp;Liens!B416,"✗ "&amp;Liens!B416&amp;" (introuvable)"))</f>
        <v>✓ plante</v>
      </c>
      <c r="D421" s="35" t="str">
        <f>IF(Liens!C416="","",IF(COUNTIF(Mots!A:A,Liens!C416)&gt;0,"✓ "&amp;Liens!C416,"✗ "&amp;Liens!C416&amp;" (introuvable)"))</f>
        <v>✓ e_terre</v>
      </c>
      <c r="E421" s="35" t="str">
        <f>IF(Liens!D416="","",IF(COUNTIF(Mots!A:A,Liens!D416)&gt;0,"✓ "&amp;Liens!D416,"✗ "&amp;Liens!D416&amp;" (introuvable)"))</f>
        <v>✓ jardin</v>
      </c>
      <c r="F421" s="35" t="str">
        <f>IF(Liens!E416="","",IF(COUNTIF(Mots!A:A,Liens!E416)&gt;0,"✓ "&amp;Liens!E416,"✗ "&amp;Liens!E416&amp;" (introuvable)"))</f>
        <v>✓ jardinage</v>
      </c>
      <c r="G421" s="35" t="str">
        <f>IF(Liens!F416="","",IF(COUNTIF(Mots!A:A,Liens!F416)&gt;0,"✓ "&amp;Liens!F416,"✗ "&amp;Liens!F416&amp;" (introuvable)"))</f>
        <v>✓ legume</v>
      </c>
      <c r="H421" s="35" t="str">
        <f>IF(Liens!G416="","",IF(COUNTIF(Mots!A:A,Liens!G416)&gt;0,"✓ "&amp;Liens!G416,"✗ "&amp;Liens!G416&amp;" (introuvable)"))</f>
        <v/>
      </c>
      <c r="I421" s="35" t="str">
        <f>IF(Liens!H416="","",IF(COUNTIF(Mots!A:A,Liens!H416)&gt;0,"✓ "&amp;Liens!H416,"✗ "&amp;Liens!H416&amp;" (introuvable)"))</f>
        <v/>
      </c>
    </row>
    <row r="422" spans="1:9" x14ac:dyDescent="0.3">
      <c r="A422">
        <f t="shared" si="3"/>
        <v>417</v>
      </c>
      <c r="B422" s="35" t="str">
        <f>IF(Liens!A417="","",IF(COUNTIF(Mots!A:A,Liens!A417)&gt;0,"✓ "&amp;Liens!A417,"✗ "&amp;Liens!A417&amp;" (introuvable)"))</f>
        <v>✓ graisse</v>
      </c>
      <c r="C422" s="35" t="str">
        <f>IF(Liens!B417="","",IF(COUNTIF(Mots!A:A,Liens!B417)&gt;0,"✓ "&amp;Liens!B417,"✗ "&amp;Liens!B417&amp;" (introuvable)"))</f>
        <v>✓ gras</v>
      </c>
      <c r="D422" s="35" t="str">
        <f>IF(Liens!C417="","",IF(COUNTIF(Mots!A:A,Liens!C417)&gt;0,"✓ "&amp;Liens!C417,"✗ "&amp;Liens!C417&amp;" (introuvable)"))</f>
        <v>✓ a_gros_mince</v>
      </c>
      <c r="E422" s="35" t="str">
        <f>IF(Liens!D417="","",IF(COUNTIF(Mots!A:A,Liens!D417)&gt;0,"✓ "&amp;Liens!D417,"✗ "&amp;Liens!D417&amp;" (introuvable)"))</f>
        <v>✓ personne</v>
      </c>
      <c r="F422" s="35" t="str">
        <f>IF(Liens!E417="","",IF(COUNTIF(Mots!A:A,Liens!E417)&gt;0,"✓ "&amp;Liens!E417,"✗ "&amp;Liens!E417&amp;" (introuvable)"))</f>
        <v>✓ huile</v>
      </c>
      <c r="G422" s="35" t="str">
        <f>IF(Liens!F417="","",IF(COUNTIF(Mots!A:A,Liens!F417)&gt;0,"✓ "&amp;Liens!F417,"✗ "&amp;Liens!F417&amp;" (introuvable)"))</f>
        <v/>
      </c>
      <c r="H422" s="35" t="str">
        <f>IF(Liens!G417="","",IF(COUNTIF(Mots!A:A,Liens!G417)&gt;0,"✓ "&amp;Liens!G417,"✗ "&amp;Liens!G417&amp;" (introuvable)"))</f>
        <v/>
      </c>
      <c r="I422" s="35" t="str">
        <f>IF(Liens!H417="","",IF(COUNTIF(Mots!A:A,Liens!H417)&gt;0,"✓ "&amp;Liens!H417,"✗ "&amp;Liens!H417&amp;" (introuvable)"))</f>
        <v/>
      </c>
    </row>
    <row r="423" spans="1:9" x14ac:dyDescent="0.3">
      <c r="A423">
        <f t="shared" si="3"/>
        <v>418</v>
      </c>
      <c r="B423" s="35" t="str">
        <f>IF(Liens!A418="","",IF(COUNTIF(Mots!A:A,Liens!A418)&gt;0,"✓ "&amp;Liens!A418,"✗ "&amp;Liens!A418&amp;" (introuvable)"))</f>
        <v>✓ grand_mere</v>
      </c>
      <c r="C423" s="35" t="str">
        <f>IF(Liens!B418="","",IF(COUNTIF(Mots!A:A,Liens!B418)&gt;0,"✓ "&amp;Liens!B418,"✗ "&amp;Liens!B418&amp;" (introuvable)"))</f>
        <v>✓ famille</v>
      </c>
      <c r="D423" s="35" t="str">
        <f>IF(Liens!C418="","",IF(COUNTIF(Mots!A:A,Liens!C418)&gt;0,"✓ "&amp;Liens!C418,"✗ "&amp;Liens!C418&amp;" (introuvable)"))</f>
        <v>✓ mere</v>
      </c>
      <c r="E423" s="35" t="str">
        <f>IF(Liens!D418="","",IF(COUNTIF(Mots!A:A,Liens!D418)&gt;0,"✓ "&amp;Liens!D418,"✗ "&amp;Liens!D418&amp;" (introuvable)"))</f>
        <v>✓ pere</v>
      </c>
      <c r="F423" s="35" t="str">
        <f>IF(Liens!E418="","",IF(COUNTIF(Mots!A:A,Liens!E418)&gt;0,"✓ "&amp;Liens!E418,"✗ "&amp;Liens!E418&amp;" (introuvable)"))</f>
        <v/>
      </c>
      <c r="G423" s="35" t="str">
        <f>IF(Liens!F418="","",IF(COUNTIF(Mots!A:A,Liens!F418)&gt;0,"✓ "&amp;Liens!F418,"✗ "&amp;Liens!F418&amp;" (introuvable)"))</f>
        <v/>
      </c>
      <c r="H423" s="35" t="str">
        <f>IF(Liens!G418="","",IF(COUNTIF(Mots!A:A,Liens!G418)&gt;0,"✓ "&amp;Liens!G418,"✗ "&amp;Liens!G418&amp;" (introuvable)"))</f>
        <v/>
      </c>
      <c r="I423" s="35" t="str">
        <f>IF(Liens!H418="","",IF(COUNTIF(Mots!A:A,Liens!H418)&gt;0,"✓ "&amp;Liens!H418,"✗ "&amp;Liens!H418&amp;" (introuvable)"))</f>
        <v/>
      </c>
    </row>
    <row r="424" spans="1:9" x14ac:dyDescent="0.3">
      <c r="A424">
        <f t="shared" si="3"/>
        <v>419</v>
      </c>
      <c r="B424" s="35" t="str">
        <f>IF(Liens!A419="","",IF(COUNTIF(Mots!A:A,Liens!A419)&gt;0,"✓ "&amp;Liens!A419,"✗ "&amp;Liens!A419&amp;" (introuvable)"))</f>
        <v>✓ grand_pere</v>
      </c>
      <c r="C424" s="35" t="str">
        <f>IF(Liens!B419="","",IF(COUNTIF(Mots!A:A,Liens!B419)&gt;0,"✓ "&amp;Liens!B419,"✗ "&amp;Liens!B419&amp;" (introuvable)"))</f>
        <v>✓ famille</v>
      </c>
      <c r="D424" s="35" t="str">
        <f>IF(Liens!C419="","",IF(COUNTIF(Mots!A:A,Liens!C419)&gt;0,"✓ "&amp;Liens!C419,"✗ "&amp;Liens!C419&amp;" (introuvable)"))</f>
        <v>✓ pere</v>
      </c>
      <c r="E424" s="35" t="str">
        <f>IF(Liens!D419="","",IF(COUNTIF(Mots!A:A,Liens!D419)&gt;0,"✓ "&amp;Liens!D419,"✗ "&amp;Liens!D419&amp;" (introuvable)"))</f>
        <v>✓ mere</v>
      </c>
      <c r="F424" s="35" t="str">
        <f>IF(Liens!E419="","",IF(COUNTIF(Mots!A:A,Liens!E419)&gt;0,"✓ "&amp;Liens!E419,"✗ "&amp;Liens!E419&amp;" (introuvable)"))</f>
        <v/>
      </c>
      <c r="G424" s="35" t="str">
        <f>IF(Liens!F419="","",IF(COUNTIF(Mots!A:A,Liens!F419)&gt;0,"✓ "&amp;Liens!F419,"✗ "&amp;Liens!F419&amp;" (introuvable)"))</f>
        <v/>
      </c>
      <c r="H424" s="35" t="str">
        <f>IF(Liens!G419="","",IF(COUNTIF(Mots!A:A,Liens!G419)&gt;0,"✓ "&amp;Liens!G419,"✗ "&amp;Liens!G419&amp;" (introuvable)"))</f>
        <v/>
      </c>
      <c r="I424" s="35" t="str">
        <f>IF(Liens!H419="","",IF(COUNTIF(Mots!A:A,Liens!H419)&gt;0,"✓ "&amp;Liens!H419,"✗ "&amp;Liens!H419&amp;" (introuvable)"))</f>
        <v/>
      </c>
    </row>
    <row r="425" spans="1:9" x14ac:dyDescent="0.3">
      <c r="A425">
        <f t="shared" si="3"/>
        <v>420</v>
      </c>
      <c r="B425" s="35" t="str">
        <f>IF(Liens!A420="","",IF(COUNTIF(Mots!A:A,Liens!A420)&gt;0,"✓ "&amp;Liens!A420,"✗ "&amp;Liens!A420&amp;" (introuvable)"))</f>
        <v>✓ gras</v>
      </c>
      <c r="C425" s="35" t="str">
        <f>IF(Liens!B420="","",IF(COUNTIF(Mots!A:A,Liens!B420)&gt;0,"✓ "&amp;Liens!B420,"✗ "&amp;Liens!B420&amp;" (introuvable)"))</f>
        <v>✓ graisse</v>
      </c>
      <c r="D425" s="35" t="str">
        <f>IF(Liens!C420="","",IF(COUNTIF(Mots!A:A,Liens!C420)&gt;0,"✓ "&amp;Liens!C420,"✗ "&amp;Liens!C420&amp;" (introuvable)"))</f>
        <v>✓ a_gros_mince</v>
      </c>
      <c r="E425" s="35" t="str">
        <f>IF(Liens!D420="","",IF(COUNTIF(Mots!A:A,Liens!D420)&gt;0,"✓ "&amp;Liens!D420,"✗ "&amp;Liens!D420&amp;" (introuvable)"))</f>
        <v/>
      </c>
      <c r="F425" s="35" t="str">
        <f>IF(Liens!E420="","",IF(COUNTIF(Mots!A:A,Liens!E420)&gt;0,"✓ "&amp;Liens!E420,"✗ "&amp;Liens!E420&amp;" (introuvable)"))</f>
        <v/>
      </c>
      <c r="G425" s="35" t="str">
        <f>IF(Liens!F420="","",IF(COUNTIF(Mots!A:A,Liens!F420)&gt;0,"✓ "&amp;Liens!F420,"✗ "&amp;Liens!F420&amp;" (introuvable)"))</f>
        <v/>
      </c>
      <c r="H425" s="35" t="str">
        <f>IF(Liens!G420="","",IF(COUNTIF(Mots!A:A,Liens!G420)&gt;0,"✓ "&amp;Liens!G420,"✗ "&amp;Liens!G420&amp;" (introuvable)"))</f>
        <v/>
      </c>
      <c r="I425" s="35" t="str">
        <f>IF(Liens!H420="","",IF(COUNTIF(Mots!A:A,Liens!H420)&gt;0,"✓ "&amp;Liens!H420,"✗ "&amp;Liens!H420&amp;" (introuvable)"))</f>
        <v/>
      </c>
    </row>
    <row r="426" spans="1:9" x14ac:dyDescent="0.3">
      <c r="A426">
        <f t="shared" si="3"/>
        <v>421</v>
      </c>
      <c r="B426" s="35" t="str">
        <f>IF(Liens!A421="","",IF(COUNTIF(Mots!A:A,Liens!A421)&gt;0,"✓ "&amp;Liens!A421,"✗ "&amp;Liens!A421&amp;" (introuvable)"))</f>
        <v>✓ gratuit</v>
      </c>
      <c r="C426" s="35" t="str">
        <f>IF(Liens!B421="","",IF(COUNTIF(Mots!A:A,Liens!B421)&gt;0,"✓ "&amp;Liens!B421,"✗ "&amp;Liens!B421&amp;" (introuvable)"))</f>
        <v>✓ argent</v>
      </c>
      <c r="D426" s="35" t="str">
        <f>IF(Liens!C421="","",IF(COUNTIF(Mots!A:A,Liens!C421)&gt;0,"✓ "&amp;Liens!C421,"✗ "&amp;Liens!C421&amp;" (introuvable)"))</f>
        <v>✓ a_cher_bon_marche</v>
      </c>
      <c r="E426" s="35" t="str">
        <f>IF(Liens!D421="","",IF(COUNTIF(Mots!A:A,Liens!D421)&gt;0,"✓ "&amp;Liens!D421,"✗ "&amp;Liens!D421&amp;" (introuvable)"))</f>
        <v/>
      </c>
      <c r="F426" s="35" t="str">
        <f>IF(Liens!E421="","",IF(COUNTIF(Mots!A:A,Liens!E421)&gt;0,"✓ "&amp;Liens!E421,"✗ "&amp;Liens!E421&amp;" (introuvable)"))</f>
        <v/>
      </c>
      <c r="G426" s="35" t="str">
        <f>IF(Liens!F421="","",IF(COUNTIF(Mots!A:A,Liens!F421)&gt;0,"✓ "&amp;Liens!F421,"✗ "&amp;Liens!F421&amp;" (introuvable)"))</f>
        <v/>
      </c>
      <c r="H426" s="35" t="str">
        <f>IF(Liens!G421="","",IF(COUNTIF(Mots!A:A,Liens!G421)&gt;0,"✓ "&amp;Liens!G421,"✗ "&amp;Liens!G421&amp;" (introuvable)"))</f>
        <v/>
      </c>
      <c r="I426" s="35" t="str">
        <f>IF(Liens!H421="","",IF(COUNTIF(Mots!A:A,Liens!H421)&gt;0,"✓ "&amp;Liens!H421,"✗ "&amp;Liens!H421&amp;" (introuvable)"))</f>
        <v/>
      </c>
    </row>
    <row r="427" spans="1:9" x14ac:dyDescent="0.3">
      <c r="A427">
        <f t="shared" si="3"/>
        <v>422</v>
      </c>
      <c r="B427" s="35" t="str">
        <f>IF(Liens!A422="","",IF(COUNTIF(Mots!A:A,Liens!A422)&gt;0,"✓ "&amp;Liens!A422,"✗ "&amp;Liens!A422&amp;" (introuvable)"))</f>
        <v>✓ grenouille</v>
      </c>
      <c r="C427" s="35" t="str">
        <f>IF(Liens!B422="","",IF(COUNTIF(Mots!A:A,Liens!B422)&gt;0,"✓ "&amp;Liens!B422,"✗ "&amp;Liens!B422&amp;" (introuvable)"))</f>
        <v>✓ animal</v>
      </c>
      <c r="D427" s="35" t="str">
        <f>IF(Liens!C422="","",IF(COUNTIF(Mots!A:A,Liens!C422)&gt;0,"✓ "&amp;Liens!C422,"✗ "&amp;Liens!C422&amp;" (introuvable)"))</f>
        <v>✓ c_vert</v>
      </c>
      <c r="E427" s="35" t="str">
        <f>IF(Liens!D422="","",IF(COUNTIF(Mots!A:A,Liens!D422)&gt;0,"✓ "&amp;Liens!D422,"✗ "&amp;Liens!D422&amp;" (introuvable)"))</f>
        <v>✓ v_sauter</v>
      </c>
      <c r="F427" s="35" t="str">
        <f>IF(Liens!E422="","",IF(COUNTIF(Mots!A:A,Liens!E422)&gt;0,"✓ "&amp;Liens!E422,"✗ "&amp;Liens!E422&amp;" (introuvable)"))</f>
        <v>✓ eau</v>
      </c>
      <c r="G427" s="35" t="str">
        <f>IF(Liens!F422="","",IF(COUNTIF(Mots!A:A,Liens!F422)&gt;0,"✓ "&amp;Liens!F422,"✗ "&amp;Liens!F422&amp;" (introuvable)"))</f>
        <v>✓ lac</v>
      </c>
      <c r="H427" s="35" t="str">
        <f>IF(Liens!G422="","",IF(COUNTIF(Mots!A:A,Liens!G422)&gt;0,"✓ "&amp;Liens!G422,"✗ "&amp;Liens!G422&amp;" (introuvable)"))</f>
        <v>✓ mouche</v>
      </c>
      <c r="I427" s="35" t="str">
        <f>IF(Liens!H422="","",IF(COUNTIF(Mots!A:A,Liens!H422)&gt;0,"✓ "&amp;Liens!H422,"✗ "&amp;Liens!H422&amp;" (introuvable)"))</f>
        <v/>
      </c>
    </row>
    <row r="428" spans="1:9" x14ac:dyDescent="0.3">
      <c r="A428">
        <f t="shared" si="3"/>
        <v>423</v>
      </c>
      <c r="B428" s="35" t="str">
        <f>IF(Liens!A423="","",IF(COUNTIF(Mots!A:A,Liens!A423)&gt;0,"✓ "&amp;Liens!A423,"✗ "&amp;Liens!A423&amp;" (introuvable)"))</f>
        <v>✓ grille</v>
      </c>
      <c r="C428" s="35" t="str">
        <f>IF(Liens!B423="","",IF(COUNTIF(Mots!A:A,Liens!B423)&gt;0,"✓ "&amp;Liens!B423,"✗ "&amp;Liens!B423&amp;" (introuvable)"))</f>
        <v>✓ barriere</v>
      </c>
      <c r="D428" s="35" t="str">
        <f>IF(Liens!C423="","",IF(COUNTIF(Mots!A:A,Liens!C423)&gt;0,"✓ "&amp;Liens!C423,"✗ "&amp;Liens!C423&amp;" (introuvable)"))</f>
        <v>✓ passage</v>
      </c>
      <c r="E428" s="35" t="str">
        <f>IF(Liens!D423="","",IF(COUNTIF(Mots!A:A,Liens!D423)&gt;0,"✓ "&amp;Liens!D423,"✗ "&amp;Liens!D423&amp;" (introuvable)"))</f>
        <v>✓ v_fermer</v>
      </c>
      <c r="F428" s="35" t="str">
        <f>IF(Liens!E423="","",IF(COUNTIF(Mots!A:A,Liens!E423)&gt;0,"✓ "&amp;Liens!E423,"✗ "&amp;Liens!E423&amp;" (introuvable)"))</f>
        <v>✓ v_ouvrir</v>
      </c>
      <c r="G428" s="35" t="str">
        <f>IF(Liens!F423="","",IF(COUNTIF(Mots!A:A,Liens!F423)&gt;0,"✓ "&amp;Liens!F423,"✗ "&amp;Liens!F423&amp;" (introuvable)"))</f>
        <v/>
      </c>
      <c r="H428" s="35" t="str">
        <f>IF(Liens!G423="","",IF(COUNTIF(Mots!A:A,Liens!G423)&gt;0,"✓ "&amp;Liens!G423,"✗ "&amp;Liens!G423&amp;" (introuvable)"))</f>
        <v/>
      </c>
      <c r="I428" s="35" t="str">
        <f>IF(Liens!H423="","",IF(COUNTIF(Mots!A:A,Liens!H423)&gt;0,"✓ "&amp;Liens!H423,"✗ "&amp;Liens!H423&amp;" (introuvable)"))</f>
        <v/>
      </c>
    </row>
    <row r="429" spans="1:9" x14ac:dyDescent="0.3">
      <c r="A429">
        <f t="shared" si="3"/>
        <v>424</v>
      </c>
      <c r="B429" s="35" t="str">
        <f>IF(Liens!A424="","",IF(COUNTIF(Mots!A:A,Liens!A424)&gt;0,"✓ "&amp;Liens!A424,"✗ "&amp;Liens!A424&amp;" (introuvable)"))</f>
        <v>✓ grotte</v>
      </c>
      <c r="C429" s="35" t="str">
        <f>IF(Liens!B424="","",IF(COUNTIF(Mots!A:A,Liens!B424)&gt;0,"✓ "&amp;Liens!B424,"✗ "&amp;Liens!B424&amp;" (introuvable)"))</f>
        <v>✓ trou</v>
      </c>
      <c r="D429" s="35" t="str">
        <f>IF(Liens!C424="","",IF(COUNTIF(Mots!A:A,Liens!C424)&gt;0,"✓ "&amp;Liens!C424,"✗ "&amp;Liens!C424&amp;" (introuvable)"))</f>
        <v>✓ roche</v>
      </c>
      <c r="E429" s="35" t="str">
        <f>IF(Liens!D424="","",IF(COUNTIF(Mots!A:A,Liens!D424)&gt;0,"✓ "&amp;Liens!D424,"✗ "&amp;Liens!D424&amp;" (introuvable)"))</f>
        <v>✓ a_clair_sombre</v>
      </c>
      <c r="F429" s="35" t="str">
        <f>IF(Liens!E424="","",IF(COUNTIF(Mots!A:A,Liens!E424)&gt;0,"✓ "&amp;Liens!E424,"✗ "&amp;Liens!E424&amp;" (introuvable)"))</f>
        <v>✓ a_profond</v>
      </c>
      <c r="G429" s="35" t="str">
        <f>IF(Liens!F424="","",IF(COUNTIF(Mots!A:A,Liens!F424)&gt;0,"✓ "&amp;Liens!F424,"✗ "&amp;Liens!F424&amp;" (introuvable)"))</f>
        <v/>
      </c>
      <c r="H429" s="35" t="str">
        <f>IF(Liens!G424="","",IF(COUNTIF(Mots!A:A,Liens!G424)&gt;0,"✓ "&amp;Liens!G424,"✗ "&amp;Liens!G424&amp;" (introuvable)"))</f>
        <v/>
      </c>
      <c r="I429" s="35" t="str">
        <f>IF(Liens!H424="","",IF(COUNTIF(Mots!A:A,Liens!H424)&gt;0,"✓ "&amp;Liens!H424,"✗ "&amp;Liens!H424&amp;" (introuvable)"))</f>
        <v/>
      </c>
    </row>
    <row r="430" spans="1:9" x14ac:dyDescent="0.3">
      <c r="A430">
        <f t="shared" si="3"/>
        <v>425</v>
      </c>
      <c r="B430" s="35" t="str">
        <f>IF(Liens!A425="","",IF(COUNTIF(Mots!A:A,Liens!A425)&gt;0,"✓ "&amp;Liens!A425,"✗ "&amp;Liens!A425&amp;" (introuvable)"))</f>
        <v>✓ groupe</v>
      </c>
      <c r="C430" s="35" t="str">
        <f>IF(Liens!B425="","",IF(COUNTIF(Mots!A:A,Liens!B425)&gt;0,"✓ "&amp;Liens!B425,"✗ "&amp;Liens!B425&amp;" (introuvable)"))</f>
        <v>✓ personne</v>
      </c>
      <c r="D430" s="35" t="str">
        <f>IF(Liens!C425="","",IF(COUNTIF(Mots!A:A,Liens!C425)&gt;0,"✓ "&amp;Liens!C425,"✗ "&amp;Liens!C425&amp;" (introuvable)"))</f>
        <v>✓ quantite</v>
      </c>
      <c r="E430" s="35" t="str">
        <f>IF(Liens!D425="","",IF(COUNTIF(Mots!A:A,Liens!D425)&gt;0,"✓ "&amp;Liens!D425,"✗ "&amp;Liens!D425&amp;" (introuvable)"))</f>
        <v>✓ nombre</v>
      </c>
      <c r="F430" s="35" t="str">
        <f>IF(Liens!E425="","",IF(COUNTIF(Mots!A:A,Liens!E425)&gt;0,"✓ "&amp;Liens!E425,"✗ "&amp;Liens!E425&amp;" (introuvable)"))</f>
        <v>✓ a_nombreux</v>
      </c>
      <c r="G430" s="35" t="str">
        <f>IF(Liens!F425="","",IF(COUNTIF(Mots!A:A,Liens!F425)&gt;0,"✓ "&amp;Liens!F425,"✗ "&amp;Liens!F425&amp;" (introuvable)"))</f>
        <v/>
      </c>
      <c r="H430" s="35" t="str">
        <f>IF(Liens!G425="","",IF(COUNTIF(Mots!A:A,Liens!G425)&gt;0,"✓ "&amp;Liens!G425,"✗ "&amp;Liens!G425&amp;" (introuvable)"))</f>
        <v/>
      </c>
      <c r="I430" s="35" t="str">
        <f>IF(Liens!H425="","",IF(COUNTIF(Mots!A:A,Liens!H425)&gt;0,"✓ "&amp;Liens!H425,"✗ "&amp;Liens!H425&amp;" (introuvable)"))</f>
        <v/>
      </c>
    </row>
    <row r="431" spans="1:9" x14ac:dyDescent="0.3">
      <c r="A431">
        <f t="shared" si="3"/>
        <v>426</v>
      </c>
      <c r="B431" s="35" t="str">
        <f>IF(Liens!A426="","",IF(COUNTIF(Mots!A:A,Liens!A426)&gt;0,"✓ "&amp;Liens!A426,"✗ "&amp;Liens!A426&amp;" (introuvable)"))</f>
        <v>✓ guerison</v>
      </c>
      <c r="C431" s="35" t="str">
        <f>IF(Liens!B426="","",IF(COUNTIF(Mots!A:A,Liens!B426)&gt;0,"✓ "&amp;Liens!B426,"✗ "&amp;Liens!B426&amp;" (introuvable)"))</f>
        <v>✓ maladie</v>
      </c>
      <c r="D431" s="35" t="str">
        <f>IF(Liens!C426="","",IF(COUNTIF(Mots!A:A,Liens!C426)&gt;0,"✓ "&amp;Liens!C426,"✗ "&amp;Liens!C426&amp;" (introuvable)"))</f>
        <v>✓ v_soigner</v>
      </c>
      <c r="E431" s="35" t="str">
        <f>IF(Liens!D426="","",IF(COUNTIF(Mots!A:A,Liens!D426)&gt;0,"✓ "&amp;Liens!D426,"✗ "&amp;Liens!D426&amp;" (introuvable)"))</f>
        <v>✓ infirmier</v>
      </c>
      <c r="F431" s="35" t="str">
        <f>IF(Liens!E426="","",IF(COUNTIF(Mots!A:A,Liens!E426)&gt;0,"✓ "&amp;Liens!E426,"✗ "&amp;Liens!E426&amp;" (introuvable)"))</f>
        <v>✓ medecin</v>
      </c>
      <c r="G431" s="35" t="str">
        <f>IF(Liens!F426="","",IF(COUNTIF(Mots!A:A,Liens!F426)&gt;0,"✓ "&amp;Liens!F426,"✗ "&amp;Liens!F426&amp;" (introuvable)"))</f>
        <v>✓ moment</v>
      </c>
      <c r="H431" s="35" t="str">
        <f>IF(Liens!G426="","",IF(COUNTIF(Mots!A:A,Liens!G426)&gt;0,"✓ "&amp;Liens!G426,"✗ "&amp;Liens!G426&amp;" (introuvable)"))</f>
        <v>✓ blessure</v>
      </c>
      <c r="I431" s="35" t="str">
        <f>IF(Liens!H426="","",IF(COUNTIF(Mots!A:A,Liens!H426)&gt;0,"✓ "&amp;Liens!H426,"✗ "&amp;Liens!H426&amp;" (introuvable)"))</f>
        <v/>
      </c>
    </row>
    <row r="432" spans="1:9" x14ac:dyDescent="0.3">
      <c r="A432">
        <f t="shared" si="3"/>
        <v>427</v>
      </c>
      <c r="B432" s="35" t="str">
        <f>IF(Liens!A427="","",IF(COUNTIF(Mots!A:A,Liens!A427)&gt;0,"✓ "&amp;Liens!A427,"✗ "&amp;Liens!A427&amp;" (introuvable)"))</f>
        <v>✓ guerre</v>
      </c>
      <c r="C432" s="35" t="str">
        <f>IF(Liens!B427="","",IF(COUNTIF(Mots!A:A,Liens!B427)&gt;0,"✓ "&amp;Liens!B427,"✗ "&amp;Liens!B427&amp;" (introuvable)"))</f>
        <v>✓ combat</v>
      </c>
      <c r="D432" s="35" t="str">
        <f>IF(Liens!C427="","",IF(COUNTIF(Mots!A:A,Liens!C427)&gt;0,"✓ "&amp;Liens!C427,"✗ "&amp;Liens!C427&amp;" (introuvable)"))</f>
        <v>✓ bataille</v>
      </c>
      <c r="E432" s="35" t="str">
        <f>IF(Liens!D427="","",IF(COUNTIF(Mots!A:A,Liens!D427)&gt;0,"✓ "&amp;Liens!D427,"✗ "&amp;Liens!D427&amp;" (introuvable)"))</f>
        <v>✓ a_arme</v>
      </c>
      <c r="F432" s="35" t="str">
        <f>IF(Liens!E427="","",IF(COUNTIF(Mots!A:A,Liens!E427)&gt;0,"✓ "&amp;Liens!E427,"✗ "&amp;Liens!E427&amp;" (introuvable)"))</f>
        <v/>
      </c>
      <c r="G432" s="35" t="str">
        <f>IF(Liens!F427="","",IF(COUNTIF(Mots!A:A,Liens!F427)&gt;0,"✓ "&amp;Liens!F427,"✗ "&amp;Liens!F427&amp;" (introuvable)"))</f>
        <v/>
      </c>
      <c r="H432" s="35" t="str">
        <f>IF(Liens!G427="","",IF(COUNTIF(Mots!A:A,Liens!G427)&gt;0,"✓ "&amp;Liens!G427,"✗ "&amp;Liens!G427&amp;" (introuvable)"))</f>
        <v/>
      </c>
      <c r="I432" s="35" t="str">
        <f>IF(Liens!H427="","",IF(COUNTIF(Mots!A:A,Liens!H427)&gt;0,"✓ "&amp;Liens!H427,"✗ "&amp;Liens!H427&amp;" (introuvable)"))</f>
        <v/>
      </c>
    </row>
    <row r="433" spans="1:9" x14ac:dyDescent="0.3">
      <c r="A433">
        <f t="shared" si="3"/>
        <v>428</v>
      </c>
      <c r="B433" s="35" t="str">
        <f>IF(Liens!A428="","",IF(COUNTIF(Mots!A:A,Liens!A428)&gt;0,"✓ "&amp;Liens!A428,"✗ "&amp;Liens!A428&amp;" (introuvable)"))</f>
        <v>✓ guichet</v>
      </c>
      <c r="C433" s="35" t="str">
        <f>IF(Liens!B428="","",IF(COUNTIF(Mots!A:A,Liens!B428)&gt;0,"✓ "&amp;Liens!B428,"✗ "&amp;Liens!B428&amp;" (introuvable)"))</f>
        <v>✓ banque</v>
      </c>
      <c r="D433" s="35" t="str">
        <f>IF(Liens!C428="","",IF(COUNTIF(Mots!A:A,Liens!C428)&gt;0,"✓ "&amp;Liens!C428,"✗ "&amp;Liens!C428&amp;" (introuvable)"))</f>
        <v>✓ poste</v>
      </c>
      <c r="E433" s="35" t="str">
        <f>IF(Liens!D428="","",IF(COUNTIF(Mots!A:A,Liens!D428)&gt;0,"✓ "&amp;Liens!D428,"✗ "&amp;Liens!D428&amp;" (introuvable)"))</f>
        <v/>
      </c>
      <c r="F433" s="35" t="str">
        <f>IF(Liens!E428="","",IF(COUNTIF(Mots!A:A,Liens!E428)&gt;0,"✓ "&amp;Liens!E428,"✗ "&amp;Liens!E428&amp;" (introuvable)"))</f>
        <v/>
      </c>
      <c r="G433" s="35" t="str">
        <f>IF(Liens!F428="","",IF(COUNTIF(Mots!A:A,Liens!F428)&gt;0,"✓ "&amp;Liens!F428,"✗ "&amp;Liens!F428&amp;" (introuvable)"))</f>
        <v/>
      </c>
      <c r="H433" s="35" t="str">
        <f>IF(Liens!G428="","",IF(COUNTIF(Mots!A:A,Liens!G428)&gt;0,"✓ "&amp;Liens!G428,"✗ "&amp;Liens!G428&amp;" (introuvable)"))</f>
        <v/>
      </c>
      <c r="I433" s="35" t="str">
        <f>IF(Liens!H428="","",IF(COUNTIF(Mots!A:A,Liens!H428)&gt;0,"✓ "&amp;Liens!H428,"✗ "&amp;Liens!H428&amp;" (introuvable)"))</f>
        <v/>
      </c>
    </row>
    <row r="434" spans="1:9" x14ac:dyDescent="0.3">
      <c r="A434">
        <f t="shared" si="3"/>
        <v>429</v>
      </c>
      <c r="B434" s="35" t="str">
        <f>IF(Liens!A429="","",IF(COUNTIF(Mots!A:A,Liens!A429)&gt;0,"✓ "&amp;Liens!A429,"✗ "&amp;Liens!A429&amp;" (introuvable)"))</f>
        <v>✓ guitare</v>
      </c>
      <c r="C434" s="35" t="str">
        <f>IF(Liens!B429="","",IF(COUNTIF(Mots!A:A,Liens!B429)&gt;0,"✓ "&amp;Liens!B429,"✗ "&amp;Liens!B429&amp;" (introuvable)"))</f>
        <v>✓ v_jouer</v>
      </c>
      <c r="D434" s="35" t="str">
        <f>IF(Liens!C429="","",IF(COUNTIF(Mots!A:A,Liens!C429)&gt;0,"✓ "&amp;Liens!C429,"✗ "&amp;Liens!C429&amp;" (introuvable)"))</f>
        <v>✓ melodie</v>
      </c>
      <c r="E434" s="35" t="str">
        <f>IF(Liens!D429="","",IF(COUNTIF(Mots!A:A,Liens!D429)&gt;0,"✓ "&amp;Liens!D429,"✗ "&amp;Liens!D429&amp;" (introuvable)"))</f>
        <v>✓ v_chanter</v>
      </c>
      <c r="F434" s="35" t="str">
        <f>IF(Liens!E429="","",IF(COUNTIF(Mots!A:A,Liens!E429)&gt;0,"✓ "&amp;Liens!E429,"✗ "&amp;Liens!E429&amp;" (introuvable)"))</f>
        <v>✓ chanteur</v>
      </c>
      <c r="G434" s="35" t="str">
        <f>IF(Liens!F429="","",IF(COUNTIF(Mots!A:A,Liens!F429)&gt;0,"✓ "&amp;Liens!F429,"✗ "&amp;Liens!F429&amp;" (introuvable)"))</f>
        <v>✓ concert</v>
      </c>
      <c r="H434" s="35" t="str">
        <f>IF(Liens!G429="","",IF(COUNTIF(Mots!A:A,Liens!G429)&gt;0,"✓ "&amp;Liens!G429,"✗ "&amp;Liens!G429&amp;" (introuvable)"))</f>
        <v>✓ public</v>
      </c>
      <c r="I434" s="35" t="str">
        <f>IF(Liens!H429="","",IF(COUNTIF(Mots!A:A,Liens!H429)&gt;0,"✓ "&amp;Liens!H429,"✗ "&amp;Liens!H429&amp;" (introuvable)"))</f>
        <v/>
      </c>
    </row>
    <row r="435" spans="1:9" x14ac:dyDescent="0.3">
      <c r="A435">
        <f t="shared" si="3"/>
        <v>430</v>
      </c>
      <c r="B435" s="35" t="str">
        <f>IF(Liens!A430="","",IF(COUNTIF(Mots!A:A,Liens!A430)&gt;0,"✓ "&amp;Liens!A430,"✗ "&amp;Liens!A430&amp;" (introuvable)"))</f>
        <v>✓ haricot</v>
      </c>
      <c r="C435" s="35" t="str">
        <f>IF(Liens!B430="","",IF(COUNTIF(Mots!A:A,Liens!B430)&gt;0,"✓ "&amp;Liens!B430,"✗ "&amp;Liens!B430&amp;" (introuvable)"))</f>
        <v>✓ legume</v>
      </c>
      <c r="D435" s="35" t="str">
        <f>IF(Liens!C430="","",IF(COUNTIF(Mots!A:A,Liens!C430)&gt;0,"✓ "&amp;Liens!C430,"✗ "&amp;Liens!C430&amp;" (introuvable)"))</f>
        <v>✓ c_vert</v>
      </c>
      <c r="E435" s="35" t="str">
        <f>IF(Liens!D430="","",IF(COUNTIF(Mots!A:A,Liens!D430)&gt;0,"✓ "&amp;Liens!D430,"✗ "&amp;Liens!D430&amp;" (introuvable)"))</f>
        <v>✓ v_manger</v>
      </c>
      <c r="F435" s="35" t="str">
        <f>IF(Liens!E430="","",IF(COUNTIF(Mots!A:A,Liens!E430)&gt;0,"✓ "&amp;Liens!E430,"✗ "&amp;Liens!E430&amp;" (introuvable)"))</f>
        <v>✓ jardin</v>
      </c>
      <c r="G435" s="35" t="str">
        <f>IF(Liens!F430="","",IF(COUNTIF(Mots!A:A,Liens!F430)&gt;0,"✓ "&amp;Liens!F430,"✗ "&amp;Liens!F430&amp;" (introuvable)"))</f>
        <v>✓ jardinage</v>
      </c>
      <c r="H435" s="35" t="str">
        <f>IF(Liens!G430="","",IF(COUNTIF(Mots!A:A,Liens!G430)&gt;0,"✓ "&amp;Liens!G430,"✗ "&amp;Liens!G430&amp;" (introuvable)"))</f>
        <v>✓ graine</v>
      </c>
      <c r="I435" s="35" t="str">
        <f>IF(Liens!H430="","",IF(COUNTIF(Mots!A:A,Liens!H430)&gt;0,"✓ "&amp;Liens!H430,"✗ "&amp;Liens!H430&amp;" (introuvable)"))</f>
        <v/>
      </c>
    </row>
    <row r="436" spans="1:9" x14ac:dyDescent="0.3">
      <c r="A436">
        <f t="shared" si="3"/>
        <v>431</v>
      </c>
      <c r="B436" s="35" t="str">
        <f>IF(Liens!A431="","",IF(COUNTIF(Mots!A:A,Liens!A431)&gt;0,"✓ "&amp;Liens!A431,"✗ "&amp;Liens!A431&amp;" (introuvable)"))</f>
        <v>✓ harmonie</v>
      </c>
      <c r="C436" s="35" t="str">
        <f>IF(Liens!B431="","",IF(COUNTIF(Mots!A:A,Liens!B431)&gt;0,"✓ "&amp;Liens!B431,"✗ "&amp;Liens!B431&amp;" (introuvable)"))</f>
        <v>✓ son</v>
      </c>
      <c r="D436" s="35" t="str">
        <f>IF(Liens!C431="","",IF(COUNTIF(Mots!A:A,Liens!C431)&gt;0,"✓ "&amp;Liens!C431,"✗ "&amp;Liens!C431&amp;" (introuvable)"))</f>
        <v>✓ accord</v>
      </c>
      <c r="E436" s="35" t="str">
        <f>IF(Liens!D431="","",IF(COUNTIF(Mots!A:A,Liens!D431)&gt;0,"✓ "&amp;Liens!D431,"✗ "&amp;Liens!D431&amp;" (introuvable)"))</f>
        <v>✓ paix</v>
      </c>
      <c r="F436" s="35" t="str">
        <f>IF(Liens!E431="","",IF(COUNTIF(Mots!A:A,Liens!E431)&gt;0,"✓ "&amp;Liens!E431,"✗ "&amp;Liens!E431&amp;" (introuvable)"))</f>
        <v>✓ joie</v>
      </c>
      <c r="G436" s="35" t="str">
        <f>IF(Liens!F431="","",IF(COUNTIF(Mots!A:A,Liens!F431)&gt;0,"✓ "&amp;Liens!F431,"✗ "&amp;Liens!F431&amp;" (introuvable)"))</f>
        <v>✓ melodie</v>
      </c>
      <c r="H436" s="35" t="str">
        <f>IF(Liens!G431="","",IF(COUNTIF(Mots!A:A,Liens!G431)&gt;0,"✓ "&amp;Liens!G431,"✗ "&amp;Liens!G431&amp;" (introuvable)"))</f>
        <v>✓ v_jouer</v>
      </c>
      <c r="I436" s="35" t="str">
        <f>IF(Liens!H431="","",IF(COUNTIF(Mots!A:A,Liens!H431)&gt;0,"✓ "&amp;Liens!H431,"✗ "&amp;Liens!H431&amp;" (introuvable)"))</f>
        <v>✓ v_chanter</v>
      </c>
    </row>
    <row r="437" spans="1:9" x14ac:dyDescent="0.3">
      <c r="A437">
        <f t="shared" si="3"/>
        <v>432</v>
      </c>
      <c r="B437" s="35" t="str">
        <f>IF(Liens!A432="","",IF(COUNTIF(Mots!A:A,Liens!A432)&gt;0,"✓ "&amp;Liens!A432,"✗ "&amp;Liens!A432&amp;" (introuvable)"))</f>
        <v>✓ hasard</v>
      </c>
      <c r="C437" s="35" t="str">
        <f>IF(Liens!B432="","",IF(COUNTIF(Mots!A:A,Liens!B432)&gt;0,"✓ "&amp;Liens!B432,"✗ "&amp;Liens!B432&amp;" (introuvable)"))</f>
        <v>✓ de</v>
      </c>
      <c r="D437" s="35" t="str">
        <f>IF(Liens!C432="","",IF(COUNTIF(Mots!A:A,Liens!C432)&gt;0,"✓ "&amp;Liens!C432,"✗ "&amp;Liens!C432&amp;" (introuvable)"))</f>
        <v>✓ jeu</v>
      </c>
      <c r="E437" s="35" t="str">
        <f>IF(Liens!D432="","",IF(COUNTIF(Mots!A:A,Liens!D432)&gt;0,"✓ "&amp;Liens!D432,"✗ "&amp;Liens!D432&amp;" (introuvable)"))</f>
        <v>✓ aventure</v>
      </c>
      <c r="F437" s="35" t="str">
        <f>IF(Liens!E432="","",IF(COUNTIF(Mots!A:A,Liens!E432)&gt;0,"✓ "&amp;Liens!E432,"✗ "&amp;Liens!E432&amp;" (introuvable)"))</f>
        <v/>
      </c>
      <c r="G437" s="35" t="str">
        <f>IF(Liens!F432="","",IF(COUNTIF(Mots!A:A,Liens!F432)&gt;0,"✓ "&amp;Liens!F432,"✗ "&amp;Liens!F432&amp;" (introuvable)"))</f>
        <v/>
      </c>
      <c r="H437" s="35" t="str">
        <f>IF(Liens!G432="","",IF(COUNTIF(Mots!A:A,Liens!G432)&gt;0,"✓ "&amp;Liens!G432,"✗ "&amp;Liens!G432&amp;" (introuvable)"))</f>
        <v/>
      </c>
      <c r="I437" s="35" t="str">
        <f>IF(Liens!H432="","",IF(COUNTIF(Mots!A:A,Liens!H432)&gt;0,"✓ "&amp;Liens!H432,"✗ "&amp;Liens!H432&amp;" (introuvable)"))</f>
        <v/>
      </c>
    </row>
    <row r="438" spans="1:9" x14ac:dyDescent="0.3">
      <c r="A438">
        <f t="shared" si="3"/>
        <v>433</v>
      </c>
      <c r="B438" s="35" t="str">
        <f>IF(Liens!A433="","",IF(COUNTIF(Mots!A:A,Liens!A433)&gt;0,"✓ "&amp;Liens!A433,"✗ "&amp;Liens!A433&amp;" (introuvable)"))</f>
        <v>✓ hauteur</v>
      </c>
      <c r="C438" s="35" t="str">
        <f>IF(Liens!B433="","",IF(COUNTIF(Mots!A:A,Liens!B433)&gt;0,"✓ "&amp;Liens!B433,"✗ "&amp;Liens!B433&amp;" (introuvable)"))</f>
        <v>✓ a_haut_bas</v>
      </c>
      <c r="D438" s="35" t="str">
        <f>IF(Liens!C433="","",IF(COUNTIF(Mots!A:A,Liens!C433)&gt;0,"✓ "&amp;Liens!C433,"✗ "&amp;Liens!C433&amp;" (introuvable)"))</f>
        <v>✓ v_lever</v>
      </c>
      <c r="E438" s="35" t="str">
        <f>IF(Liens!D433="","",IF(COUNTIF(Mots!A:A,Liens!D433)&gt;0,"✓ "&amp;Liens!D433,"✗ "&amp;Liens!D433&amp;" (introuvable)"))</f>
        <v>✓ a_profond</v>
      </c>
      <c r="F438" s="35" t="str">
        <f>IF(Liens!E433="","",IF(COUNTIF(Mots!A:A,Liens!E433)&gt;0,"✓ "&amp;Liens!E433,"✗ "&amp;Liens!E433&amp;" (introuvable)"))</f>
        <v/>
      </c>
      <c r="G438" s="35" t="str">
        <f>IF(Liens!F433="","",IF(COUNTIF(Mots!A:A,Liens!F433)&gt;0,"✓ "&amp;Liens!F433,"✗ "&amp;Liens!F433&amp;" (introuvable)"))</f>
        <v/>
      </c>
      <c r="H438" s="35" t="str">
        <f>IF(Liens!G433="","",IF(COUNTIF(Mots!A:A,Liens!G433)&gt;0,"✓ "&amp;Liens!G433,"✗ "&amp;Liens!G433&amp;" (introuvable)"))</f>
        <v/>
      </c>
      <c r="I438" s="35" t="str">
        <f>IF(Liens!H433="","",IF(COUNTIF(Mots!A:A,Liens!H433)&gt;0,"✓ "&amp;Liens!H433,"✗ "&amp;Liens!H433&amp;" (introuvable)"))</f>
        <v/>
      </c>
    </row>
    <row r="439" spans="1:9" x14ac:dyDescent="0.3">
      <c r="A439">
        <f t="shared" si="3"/>
        <v>434</v>
      </c>
      <c r="B439" s="35" t="str">
        <f>IF(Liens!A434="","",IF(COUNTIF(Mots!A:A,Liens!A434)&gt;0,"✓ "&amp;Liens!A434,"✗ "&amp;Liens!A434&amp;" (introuvable)"))</f>
        <v>✓ herbe</v>
      </c>
      <c r="C439" s="35" t="str">
        <f>IF(Liens!B434="","",IF(COUNTIF(Mots!A:A,Liens!B434)&gt;0,"✓ "&amp;Liens!B434,"✗ "&amp;Liens!B434&amp;" (introuvable)"))</f>
        <v>✓ plante</v>
      </c>
      <c r="D439" s="35" t="str">
        <f>IF(Liens!C434="","",IF(COUNTIF(Mots!A:A,Liens!C434)&gt;0,"✓ "&amp;Liens!C434,"✗ "&amp;Liens!C434&amp;" (introuvable)"))</f>
        <v>✓ c_vert</v>
      </c>
      <c r="E439" s="35" t="str">
        <f>IF(Liens!D434="","",IF(COUNTIF(Mots!A:A,Liens!D434)&gt;0,"✓ "&amp;Liens!D434,"✗ "&amp;Liens!D434&amp;" (introuvable)"))</f>
        <v>✓ vache</v>
      </c>
      <c r="F439" s="35" t="str">
        <f>IF(Liens!E434="","",IF(COUNTIF(Mots!A:A,Liens!E434)&gt;0,"✓ "&amp;Liens!E434,"✗ "&amp;Liens!E434&amp;" (introuvable)"))</f>
        <v>✓ campagne</v>
      </c>
      <c r="G439" s="35" t="str">
        <f>IF(Liens!F434="","",IF(COUNTIF(Mots!A:A,Liens!F434)&gt;0,"✓ "&amp;Liens!F434,"✗ "&amp;Liens!F434&amp;" (introuvable)"))</f>
        <v>✓ prairie</v>
      </c>
      <c r="H439" s="35" t="str">
        <f>IF(Liens!G434="","",IF(COUNTIF(Mots!A:A,Liens!G434)&gt;0,"✓ "&amp;Liens!G434,"✗ "&amp;Liens!G434&amp;" (introuvable)"))</f>
        <v/>
      </c>
      <c r="I439" s="35" t="str">
        <f>IF(Liens!H434="","",IF(COUNTIF(Mots!A:A,Liens!H434)&gt;0,"✓ "&amp;Liens!H434,"✗ "&amp;Liens!H434&amp;" (introuvable)"))</f>
        <v/>
      </c>
    </row>
    <row r="440" spans="1:9" x14ac:dyDescent="0.3">
      <c r="A440">
        <f t="shared" si="3"/>
        <v>435</v>
      </c>
      <c r="B440" s="35" t="str">
        <f>IF(Liens!A435="","",IF(COUNTIF(Mots!A:A,Liens!A435)&gt;0,"✓ "&amp;Liens!A435,"✗ "&amp;Liens!A435&amp;" (introuvable)"))</f>
        <v>✓ heure</v>
      </c>
      <c r="C440" s="35" t="str">
        <f>IF(Liens!B435="","",IF(COUNTIF(Mots!A:A,Liens!B435)&gt;0,"✓ "&amp;Liens!B435,"✗ "&amp;Liens!B435&amp;" (introuvable)"))</f>
        <v>✓ journee</v>
      </c>
      <c r="D440" s="35" t="str">
        <f>IF(Liens!C435="","",IF(COUNTIF(Mots!A:A,Liens!C435)&gt;0,"✓ "&amp;Liens!C435,"✗ "&amp;Liens!C435&amp;" (introuvable)"))</f>
        <v>✓ jour</v>
      </c>
      <c r="E440" s="35" t="str">
        <f>IF(Liens!D435="","",IF(COUNTIF(Mots!A:A,Liens!D435)&gt;0,"✓ "&amp;Liens!D435,"✗ "&amp;Liens!D435&amp;" (introuvable)"))</f>
        <v>✓ minute</v>
      </c>
      <c r="F440" s="35" t="str">
        <f>IF(Liens!E435="","",IF(COUNTIF(Mots!A:A,Liens!E435)&gt;0,"✓ "&amp;Liens!E435,"✗ "&amp;Liens!E435&amp;" (introuvable)"))</f>
        <v>✓ seconde</v>
      </c>
      <c r="G440" s="35" t="str">
        <f>IF(Liens!F435="","",IF(COUNTIF(Mots!A:A,Liens!F435)&gt;0,"✓ "&amp;Liens!F435,"✗ "&amp;Liens!F435&amp;" (introuvable)"))</f>
        <v>✓ longtemps</v>
      </c>
      <c r="H440" s="35" t="str">
        <f>IF(Liens!G435="","",IF(COUNTIF(Mots!A:A,Liens!G435)&gt;0,"✓ "&amp;Liens!G435,"✗ "&amp;Liens!G435&amp;" (introuvable)"))</f>
        <v>✓ v_attendre</v>
      </c>
      <c r="I440" s="35" t="str">
        <f>IF(Liens!H435="","",IF(COUNTIF(Mots!A:A,Liens!H435)&gt;0,"✓ "&amp;Liens!H435,"✗ "&amp;Liens!H435&amp;" (introuvable)"))</f>
        <v>✓ montre</v>
      </c>
    </row>
    <row r="441" spans="1:9" x14ac:dyDescent="0.3">
      <c r="A441">
        <f t="shared" si="3"/>
        <v>436</v>
      </c>
      <c r="B441" s="35" t="str">
        <f>IF(Liens!A436="","",IF(COUNTIF(Mots!A:A,Liens!A436)&gt;0,"✓ "&amp;Liens!A436,"✗ "&amp;Liens!A436&amp;" (introuvable)"))</f>
        <v>✓ hier</v>
      </c>
      <c r="C441" s="35" t="str">
        <f>IF(Liens!B436="","",IF(COUNTIF(Mots!A:A,Liens!B436)&gt;0,"✓ "&amp;Liens!B436,"✗ "&amp;Liens!B436&amp;" (introuvable)"))</f>
        <v>✓ aujourd_hui</v>
      </c>
      <c r="D441" s="35" t="str">
        <f>IF(Liens!C436="","",IF(COUNTIF(Mots!A:A,Liens!C436)&gt;0,"✓ "&amp;Liens!C436,"✗ "&amp;Liens!C436&amp;" (introuvable)"))</f>
        <v>✓ demain</v>
      </c>
      <c r="E441" s="35" t="str">
        <f>IF(Liens!D436="","",IF(COUNTIF(Mots!A:A,Liens!D436)&gt;0,"✓ "&amp;Liens!D436,"✗ "&amp;Liens!D436&amp;" (introuvable)"))</f>
        <v/>
      </c>
      <c r="F441" s="35" t="str">
        <f>IF(Liens!E436="","",IF(COUNTIF(Mots!A:A,Liens!E436)&gt;0,"✓ "&amp;Liens!E436,"✗ "&amp;Liens!E436&amp;" (introuvable)"))</f>
        <v/>
      </c>
      <c r="G441" s="35" t="str">
        <f>IF(Liens!F436="","",IF(COUNTIF(Mots!A:A,Liens!F436)&gt;0,"✓ "&amp;Liens!F436,"✗ "&amp;Liens!F436&amp;" (introuvable)"))</f>
        <v/>
      </c>
      <c r="H441" s="35" t="str">
        <f>IF(Liens!G436="","",IF(COUNTIF(Mots!A:A,Liens!G436)&gt;0,"✓ "&amp;Liens!G436,"✗ "&amp;Liens!G436&amp;" (introuvable)"))</f>
        <v/>
      </c>
      <c r="I441" s="35" t="str">
        <f>IF(Liens!H436="","",IF(COUNTIF(Mots!A:A,Liens!H436)&gt;0,"✓ "&amp;Liens!H436,"✗ "&amp;Liens!H436&amp;" (introuvable)"))</f>
        <v/>
      </c>
    </row>
    <row r="442" spans="1:9" x14ac:dyDescent="0.3">
      <c r="A442">
        <f t="shared" si="3"/>
        <v>437</v>
      </c>
      <c r="B442" s="35" t="str">
        <f>IF(Liens!A437="","",IF(COUNTIF(Mots!A:A,Liens!A437)&gt;0,"✓ "&amp;Liens!A437,"✗ "&amp;Liens!A437&amp;" (introuvable)"))</f>
        <v>✓ histoire</v>
      </c>
      <c r="C442" s="35" t="str">
        <f>IF(Liens!B437="","",IF(COUNTIF(Mots!A:A,Liens!B437)&gt;0,"✓ "&amp;Liens!B437,"✗ "&amp;Liens!B437&amp;" (introuvable)"))</f>
        <v>✓ recit</v>
      </c>
      <c r="D442" s="35" t="str">
        <f>IF(Liens!C437="","",IF(COUNTIF(Mots!A:A,Liens!C437)&gt;0,"✓ "&amp;Liens!C437,"✗ "&amp;Liens!C437&amp;" (introuvable)"))</f>
        <v>✓ aventure</v>
      </c>
      <c r="E442" s="35" t="str">
        <f>IF(Liens!D437="","",IF(COUNTIF(Mots!A:A,Liens!D437)&gt;0,"✓ "&amp;Liens!D437,"✗ "&amp;Liens!D437&amp;" (introuvable)"))</f>
        <v>✓ v_raconter</v>
      </c>
      <c r="F442" s="35" t="str">
        <f>IF(Liens!E437="","",IF(COUNTIF(Mots!A:A,Liens!E437)&gt;0,"✓ "&amp;Liens!E437,"✗ "&amp;Liens!E437&amp;" (introuvable)"))</f>
        <v>✓ v_parler</v>
      </c>
      <c r="G442" s="35" t="str">
        <f>IF(Liens!F437="","",IF(COUNTIF(Mots!A:A,Liens!F437)&gt;0,"✓ "&amp;Liens!F437,"✗ "&amp;Liens!F437&amp;" (introuvable)"))</f>
        <v>✓ v_lire</v>
      </c>
      <c r="H442" s="35" t="str">
        <f>IF(Liens!G437="","",IF(COUNTIF(Mots!A:A,Liens!G437)&gt;0,"✓ "&amp;Liens!G437,"✗ "&amp;Liens!G437&amp;" (introuvable)"))</f>
        <v>✓ v_ecouter</v>
      </c>
      <c r="I442" s="35" t="str">
        <f>IF(Liens!H437="","",IF(COUNTIF(Mots!A:A,Liens!H437)&gt;0,"✓ "&amp;Liens!H437,"✗ "&amp;Liens!H437&amp;" (introuvable)"))</f>
        <v/>
      </c>
    </row>
    <row r="443" spans="1:9" x14ac:dyDescent="0.3">
      <c r="A443">
        <f t="shared" si="3"/>
        <v>438</v>
      </c>
      <c r="B443" s="35" t="str">
        <f>IF(Liens!A438="","",IF(COUNTIF(Mots!A:A,Liens!A438)&gt;0,"✓ "&amp;Liens!A438,"✗ "&amp;Liens!A438&amp;" (introuvable)"))</f>
        <v>✓ hiver</v>
      </c>
      <c r="C443" s="35" t="str">
        <f>IF(Liens!B438="","",IF(COUNTIF(Mots!A:A,Liens!B438)&gt;0,"✓ "&amp;Liens!B438,"✗ "&amp;Liens!B438&amp;" (introuvable)"))</f>
        <v>✓ annee</v>
      </c>
      <c r="D443" s="35" t="str">
        <f>IF(Liens!C438="","",IF(COUNTIF(Mots!A:A,Liens!C438)&gt;0,"✓ "&amp;Liens!C438,"✗ "&amp;Liens!C438&amp;" (introuvable)"))</f>
        <v>✓ saison</v>
      </c>
      <c r="E443" s="35" t="str">
        <f>IF(Liens!D438="","",IF(COUNTIF(Mots!A:A,Liens!D438)&gt;0,"✓ "&amp;Liens!D438,"✗ "&amp;Liens!D438&amp;" (introuvable)"))</f>
        <v>✓ nuage</v>
      </c>
      <c r="F443" s="35" t="str">
        <f>IF(Liens!E438="","",IF(COUNTIF(Mots!A:A,Liens!E438)&gt;0,"✓ "&amp;Liens!E438,"✗ "&amp;Liens!E438&amp;" (introuvable)"))</f>
        <v>✓ brouillard</v>
      </c>
      <c r="G443" s="35" t="str">
        <f>IF(Liens!F438="","",IF(COUNTIF(Mots!A:A,Liens!F438)&gt;0,"✓ "&amp;Liens!F438,"✗ "&amp;Liens!F438&amp;" (introuvable)"))</f>
        <v>✓ pluie</v>
      </c>
      <c r="H443" s="35" t="str">
        <f>IF(Liens!G438="","",IF(COUNTIF(Mots!A:A,Liens!G438)&gt;0,"✓ "&amp;Liens!G438,"✗ "&amp;Liens!G438&amp;" (introuvable)"))</f>
        <v>✓ neige</v>
      </c>
      <c r="I443" s="35" t="str">
        <f>IF(Liens!H438="","",IF(COUNTIF(Mots!A:A,Liens!H438)&gt;0,"✓ "&amp;Liens!H438,"✗ "&amp;Liens!H438&amp;" (introuvable)"))</f>
        <v>✓ a_chaud_froid</v>
      </c>
    </row>
    <row r="444" spans="1:9" x14ac:dyDescent="0.3">
      <c r="A444">
        <f t="shared" si="3"/>
        <v>439</v>
      </c>
      <c r="B444" s="35" t="str">
        <f>IF(Liens!A439="","",IF(COUNTIF(Mots!A:A,Liens!A439)&gt;0,"✓ "&amp;Liens!A439,"✗ "&amp;Liens!A439&amp;" (introuvable)"))</f>
        <v>✓ hobby</v>
      </c>
      <c r="C444" s="35" t="str">
        <f>IF(Liens!B439="","",IF(COUNTIF(Mots!A:A,Liens!B439)&gt;0,"✓ "&amp;Liens!B439,"✗ "&amp;Liens!B439&amp;" (introuvable)"))</f>
        <v>✓ loisir</v>
      </c>
      <c r="D444" s="35" t="str">
        <f>IF(Liens!C439="","",IF(COUNTIF(Mots!A:A,Liens!C439)&gt;0,"✓ "&amp;Liens!C439,"✗ "&amp;Liens!C439&amp;" (introuvable)"))</f>
        <v>✓ plaisir</v>
      </c>
      <c r="E444" s="35" t="str">
        <f>IF(Liens!D439="","",IF(COUNTIF(Mots!A:A,Liens!D439)&gt;0,"✓ "&amp;Liens!D439,"✗ "&amp;Liens!D439&amp;" (introuvable)"))</f>
        <v>✓ cornet</v>
      </c>
      <c r="F444" s="35" t="str">
        <f>IF(Liens!E439="","",IF(COUNTIF(Mots!A:A,Liens!E439)&gt;0,"✓ "&amp;Liens!E439,"✗ "&amp;Liens!E439&amp;" (introuvable)"))</f>
        <v>✓ v_jouer</v>
      </c>
      <c r="G444" s="35" t="str">
        <f>IF(Liens!F439="","",IF(COUNTIF(Mots!A:A,Liens!F439)&gt;0,"✓ "&amp;Liens!F439,"✗ "&amp;Liens!F439&amp;" (introuvable)"))</f>
        <v>✓ randonnee</v>
      </c>
      <c r="H444" s="35" t="str">
        <f>IF(Liens!G439="","",IF(COUNTIF(Mots!A:A,Liens!G439)&gt;0,"✓ "&amp;Liens!G439,"✗ "&amp;Liens!G439&amp;" (introuvable)"))</f>
        <v>✓ promenade</v>
      </c>
      <c r="I444" s="35" t="str">
        <f>IF(Liens!H439="","",IF(COUNTIF(Mots!A:A,Liens!H439)&gt;0,"✓ "&amp;Liens!H439,"✗ "&amp;Liens!H439&amp;" (introuvable)"))</f>
        <v>✓ sport</v>
      </c>
    </row>
    <row r="445" spans="1:9" x14ac:dyDescent="0.3">
      <c r="A445">
        <f t="shared" si="3"/>
        <v>440</v>
      </c>
      <c r="B445" s="35" t="str">
        <f>IF(Liens!A440="","",IF(COUNTIF(Mots!A:A,Liens!A440)&gt;0,"✓ "&amp;Liens!A440,"✗ "&amp;Liens!A440&amp;" (introuvable)"))</f>
        <v>✓ homme</v>
      </c>
      <c r="C445" s="35" t="str">
        <f>IF(Liens!B440="","",IF(COUNTIF(Mots!A:A,Liens!B440)&gt;0,"✓ "&amp;Liens!B440,"✗ "&amp;Liens!B440&amp;" (introuvable)"))</f>
        <v>✓ personne</v>
      </c>
      <c r="D445" s="35" t="str">
        <f>IF(Liens!C440="","",IF(COUNTIF(Mots!A:A,Liens!C440)&gt;0,"✓ "&amp;Liens!C440,"✗ "&amp;Liens!C440&amp;" (introuvable)"))</f>
        <v>✓ adulte</v>
      </c>
      <c r="E445" s="35" t="str">
        <f>IF(Liens!D440="","",IF(COUNTIF(Mots!A:A,Liens!D440)&gt;0,"✓ "&amp;Liens!D440,"✗ "&amp;Liens!D440&amp;" (introuvable)"))</f>
        <v>✓ masculin</v>
      </c>
      <c r="F445" s="35" t="str">
        <f>IF(Liens!E440="","",IF(COUNTIF(Mots!A:A,Liens!E440)&gt;0,"✓ "&amp;Liens!E440,"✗ "&amp;Liens!E440&amp;" (introuvable)"))</f>
        <v/>
      </c>
      <c r="G445" s="35" t="str">
        <f>IF(Liens!F440="","",IF(COUNTIF(Mots!A:A,Liens!F440)&gt;0,"✓ "&amp;Liens!F440,"✗ "&amp;Liens!F440&amp;" (introuvable)"))</f>
        <v/>
      </c>
      <c r="H445" s="35" t="str">
        <f>IF(Liens!G440="","",IF(COUNTIF(Mots!A:A,Liens!G440)&gt;0,"✓ "&amp;Liens!G440,"✗ "&amp;Liens!G440&amp;" (introuvable)"))</f>
        <v/>
      </c>
      <c r="I445" s="35" t="str">
        <f>IF(Liens!H440="","",IF(COUNTIF(Mots!A:A,Liens!H440)&gt;0,"✓ "&amp;Liens!H440,"✗ "&amp;Liens!H440&amp;" (introuvable)"))</f>
        <v/>
      </c>
    </row>
    <row r="446" spans="1:9" x14ac:dyDescent="0.3">
      <c r="A446">
        <f t="shared" si="3"/>
        <v>441</v>
      </c>
      <c r="B446" s="35" t="str">
        <f>IF(Liens!A441="","",IF(COUNTIF(Mots!A:A,Liens!A441)&gt;0,"✓ "&amp;Liens!A441,"✗ "&amp;Liens!A441&amp;" (introuvable)"))</f>
        <v>✓ honte</v>
      </c>
      <c r="C446" s="35" t="str">
        <f>IF(Liens!B441="","",IF(COUNTIF(Mots!A:A,Liens!B441)&gt;0,"✓ "&amp;Liens!B441,"✗ "&amp;Liens!B441&amp;" (introuvable)"))</f>
        <v>✓ emotion</v>
      </c>
      <c r="D446" s="35" t="str">
        <f>IF(Liens!C441="","",IF(COUNTIF(Mots!A:A,Liens!C441)&gt;0,"✓ "&amp;Liens!C441,"✗ "&amp;Liens!C441&amp;" (introuvable)"))</f>
        <v>✓ a_mal</v>
      </c>
      <c r="E446" s="35" t="str">
        <f>IF(Liens!D441="","",IF(COUNTIF(Mots!A:A,Liens!D441)&gt;0,"✓ "&amp;Liens!D441,"✗ "&amp;Liens!D441&amp;" (introuvable)"))</f>
        <v>✓ a_content_triste</v>
      </c>
      <c r="F446" s="35" t="str">
        <f>IF(Liens!E441="","",IF(COUNTIF(Mots!A:A,Liens!E441)&gt;0,"✓ "&amp;Liens!E441,"✗ "&amp;Liens!E441&amp;" (introuvable)"))</f>
        <v/>
      </c>
      <c r="G446" s="35" t="str">
        <f>IF(Liens!F441="","",IF(COUNTIF(Mots!A:A,Liens!F441)&gt;0,"✓ "&amp;Liens!F441,"✗ "&amp;Liens!F441&amp;" (introuvable)"))</f>
        <v/>
      </c>
      <c r="H446" s="35" t="str">
        <f>IF(Liens!G441="","",IF(COUNTIF(Mots!A:A,Liens!G441)&gt;0,"✓ "&amp;Liens!G441,"✗ "&amp;Liens!G441&amp;" (introuvable)"))</f>
        <v/>
      </c>
      <c r="I446" s="35" t="str">
        <f>IF(Liens!H441="","",IF(COUNTIF(Mots!A:A,Liens!H441)&gt;0,"✓ "&amp;Liens!H441,"✗ "&amp;Liens!H441&amp;" (introuvable)"))</f>
        <v/>
      </c>
    </row>
    <row r="447" spans="1:9" x14ac:dyDescent="0.3">
      <c r="A447">
        <f t="shared" si="3"/>
        <v>442</v>
      </c>
      <c r="B447" s="35" t="str">
        <f>IF(Liens!A442="","",IF(COUNTIF(Mots!A:A,Liens!A442)&gt;0,"✓ "&amp;Liens!A442,"✗ "&amp;Liens!A442&amp;" (introuvable)"))</f>
        <v>✓ horizon</v>
      </c>
      <c r="C447" s="35" t="str">
        <f>IF(Liens!B442="","",IF(COUNTIF(Mots!A:A,Liens!B442)&gt;0,"✓ "&amp;Liens!B442,"✗ "&amp;Liens!B442&amp;" (introuvable)"))</f>
        <v>✓ loin</v>
      </c>
      <c r="D447" s="35" t="str">
        <f>IF(Liens!C442="","",IF(COUNTIF(Mots!A:A,Liens!C442)&gt;0,"✓ "&amp;Liens!C442,"✗ "&amp;Liens!C442&amp;" (introuvable)"))</f>
        <v>✓ ciel</v>
      </c>
      <c r="E447" s="35" t="str">
        <f>IF(Liens!D442="","",IF(COUNTIF(Mots!A:A,Liens!D442)&gt;0,"✓ "&amp;Liens!D442,"✗ "&amp;Liens!D442&amp;" (introuvable)"))</f>
        <v>✓ montagne</v>
      </c>
      <c r="F447" s="35" t="str">
        <f>IF(Liens!E442="","",IF(COUNTIF(Mots!A:A,Liens!E442)&gt;0,"✓ "&amp;Liens!E442,"✗ "&amp;Liens!E442&amp;" (introuvable)"))</f>
        <v>✓ lac</v>
      </c>
      <c r="G447" s="35" t="str">
        <f>IF(Liens!F442="","",IF(COUNTIF(Mots!A:A,Liens!F442)&gt;0,"✓ "&amp;Liens!F442,"✗ "&amp;Liens!F442&amp;" (introuvable)"))</f>
        <v>✓ mer</v>
      </c>
      <c r="H447" s="35" t="str">
        <f>IF(Liens!G442="","",IF(COUNTIF(Mots!A:A,Liens!G442)&gt;0,"✓ "&amp;Liens!G442,"✗ "&amp;Liens!G442&amp;" (introuvable)"))</f>
        <v/>
      </c>
      <c r="I447" s="35" t="str">
        <f>IF(Liens!H442="","",IF(COUNTIF(Mots!A:A,Liens!H442)&gt;0,"✓ "&amp;Liens!H442,"✗ "&amp;Liens!H442&amp;" (introuvable)"))</f>
        <v/>
      </c>
    </row>
    <row r="448" spans="1:9" x14ac:dyDescent="0.3">
      <c r="A448">
        <f t="shared" si="3"/>
        <v>443</v>
      </c>
      <c r="B448" s="35" t="str">
        <f>IF(Liens!A443="","",IF(COUNTIF(Mots!A:A,Liens!A443)&gt;0,"✓ "&amp;Liens!A443,"✗ "&amp;Liens!A443&amp;" (introuvable)"))</f>
        <v>✓ hotel</v>
      </c>
      <c r="C448" s="35" t="str">
        <f>IF(Liens!B443="","",IF(COUNTIF(Mots!A:A,Liens!B443)&gt;0,"✓ "&amp;Liens!B443,"✗ "&amp;Liens!B443&amp;" (introuvable)"))</f>
        <v>✓ voyage</v>
      </c>
      <c r="D448" s="35" t="str">
        <f>IF(Liens!C443="","",IF(COUNTIF(Mots!A:A,Liens!C443)&gt;0,"✓ "&amp;Liens!C443,"✗ "&amp;Liens!C443&amp;" (introuvable)"))</f>
        <v>✓ v_dormir</v>
      </c>
      <c r="E448" s="35" t="str">
        <f>IF(Liens!D443="","",IF(COUNTIF(Mots!A:A,Liens!D443)&gt;0,"✓ "&amp;Liens!D443,"✗ "&amp;Liens!D443&amp;" (introuvable)"))</f>
        <v>✓ chambre</v>
      </c>
      <c r="F448" s="35" t="str">
        <f>IF(Liens!E443="","",IF(COUNTIF(Mots!A:A,Liens!E443)&gt;0,"✓ "&amp;Liens!E443,"✗ "&amp;Liens!E443&amp;" (introuvable)"))</f>
        <v>✓ lit</v>
      </c>
      <c r="G448" s="35" t="str">
        <f>IF(Liens!F443="","",IF(COUNTIF(Mots!A:A,Liens!F443)&gt;0,"✓ "&amp;Liens!F443,"✗ "&amp;Liens!F443&amp;" (introuvable)"))</f>
        <v/>
      </c>
      <c r="H448" s="35" t="str">
        <f>IF(Liens!G443="","",IF(COUNTIF(Mots!A:A,Liens!G443)&gt;0,"✓ "&amp;Liens!G443,"✗ "&amp;Liens!G443&amp;" (introuvable)"))</f>
        <v/>
      </c>
      <c r="I448" s="35" t="str">
        <f>IF(Liens!H443="","",IF(COUNTIF(Mots!A:A,Liens!H443)&gt;0,"✓ "&amp;Liens!H443,"✗ "&amp;Liens!H443&amp;" (introuvable)"))</f>
        <v/>
      </c>
    </row>
    <row r="449" spans="1:9" x14ac:dyDescent="0.3">
      <c r="A449">
        <f t="shared" si="3"/>
        <v>444</v>
      </c>
      <c r="B449" s="35" t="str">
        <f>IF(Liens!A444="","",IF(COUNTIF(Mots!A:A,Liens!A444)&gt;0,"✓ "&amp;Liens!A444,"✗ "&amp;Liens!A444&amp;" (introuvable)"))</f>
        <v>✓ huile</v>
      </c>
      <c r="C449" s="35" t="str">
        <f>IF(Liens!B444="","",IF(COUNTIF(Mots!A:A,Liens!B444)&gt;0,"✓ "&amp;Liens!B444,"✗ "&amp;Liens!B444&amp;" (introuvable)"))</f>
        <v>✓ liquide</v>
      </c>
      <c r="D449" s="35" t="str">
        <f>IF(Liens!C444="","",IF(COUNTIF(Mots!A:A,Liens!C444)&gt;0,"✓ "&amp;Liens!C444,"✗ "&amp;Liens!C444&amp;" (introuvable)"))</f>
        <v>✓ gras</v>
      </c>
      <c r="E449" s="35" t="str">
        <f>IF(Liens!D444="","",IF(COUNTIF(Mots!A:A,Liens!D444)&gt;0,"✓ "&amp;Liens!D444,"✗ "&amp;Liens!D444&amp;" (introuvable)"))</f>
        <v>✓ v_griller</v>
      </c>
      <c r="F449" s="35" t="str">
        <f>IF(Liens!E444="","",IF(COUNTIF(Mots!A:A,Liens!E444)&gt;0,"✓ "&amp;Liens!E444,"✗ "&amp;Liens!E444&amp;" (introuvable)"))</f>
        <v>✓ vinaigre</v>
      </c>
      <c r="G449" s="35" t="str">
        <f>IF(Liens!F444="","",IF(COUNTIF(Mots!A:A,Liens!F444)&gt;0,"✓ "&amp;Liens!F444,"✗ "&amp;Liens!F444&amp;" (introuvable)"))</f>
        <v>✓ salade_laitue</v>
      </c>
      <c r="H449" s="35" t="str">
        <f>IF(Liens!G444="","",IF(COUNTIF(Mots!A:A,Liens!G444)&gt;0,"✓ "&amp;Liens!G444,"✗ "&amp;Liens!G444&amp;" (introuvable)"))</f>
        <v/>
      </c>
      <c r="I449" s="35" t="str">
        <f>IF(Liens!H444="","",IF(COUNTIF(Mots!A:A,Liens!H444)&gt;0,"✓ "&amp;Liens!H444,"✗ "&amp;Liens!H444&amp;" (introuvable)"))</f>
        <v/>
      </c>
    </row>
    <row r="450" spans="1:9" x14ac:dyDescent="0.3">
      <c r="A450">
        <f t="shared" si="3"/>
        <v>445</v>
      </c>
      <c r="B450" s="35" t="str">
        <f>IF(Liens!A445="","",IF(COUNTIF(Mots!A:A,Liens!A445)&gt;0,"✓ "&amp;Liens!A445,"✗ "&amp;Liens!A445&amp;" (introuvable)"))</f>
        <v>✓ huile_moteur</v>
      </c>
      <c r="C450" s="35" t="str">
        <f>IF(Liens!B445="","",IF(COUNTIF(Mots!A:A,Liens!B445)&gt;0,"✓ "&amp;Liens!B445,"✗ "&amp;Liens!B445&amp;" (introuvable)"))</f>
        <v>✓ voiture</v>
      </c>
      <c r="D450" s="35" t="str">
        <f>IF(Liens!C445="","",IF(COUNTIF(Mots!A:A,Liens!C445)&gt;0,"✓ "&amp;Liens!C445,"✗ "&amp;Liens!C445&amp;" (introuvable)"))</f>
        <v>✓ moteur</v>
      </c>
      <c r="E450" s="35" t="str">
        <f>IF(Liens!D445="","",IF(COUNTIF(Mots!A:A,Liens!D445)&gt;0,"✓ "&amp;Liens!D445,"✗ "&amp;Liens!D445&amp;" (introuvable)"))</f>
        <v>✓ jauge_huile</v>
      </c>
      <c r="F450" s="35" t="str">
        <f>IF(Liens!E445="","",IF(COUNTIF(Mots!A:A,Liens!E445)&gt;0,"✓ "&amp;Liens!E445,"✗ "&amp;Liens!E445&amp;" (introuvable)"))</f>
        <v/>
      </c>
      <c r="G450" s="35" t="str">
        <f>IF(Liens!F445="","",IF(COUNTIF(Mots!A:A,Liens!F445)&gt;0,"✓ "&amp;Liens!F445,"✗ "&amp;Liens!F445&amp;" (introuvable)"))</f>
        <v/>
      </c>
      <c r="H450" s="35" t="str">
        <f>IF(Liens!G445="","",IF(COUNTIF(Mots!A:A,Liens!G445)&gt;0,"✓ "&amp;Liens!G445,"✗ "&amp;Liens!G445&amp;" (introuvable)"))</f>
        <v/>
      </c>
      <c r="I450" s="35" t="str">
        <f>IF(Liens!H445="","",IF(COUNTIF(Mots!A:A,Liens!H445)&gt;0,"✓ "&amp;Liens!H445,"✗ "&amp;Liens!H445&amp;" (introuvable)"))</f>
        <v/>
      </c>
    </row>
    <row r="451" spans="1:9" x14ac:dyDescent="0.3">
      <c r="A451">
        <f t="shared" si="3"/>
        <v>446</v>
      </c>
      <c r="B451" s="35" t="str">
        <f>IF(Liens!A446="","",IF(COUNTIF(Mots!A:A,Liens!A446)&gt;0,"✓ "&amp;Liens!A446,"✗ "&amp;Liens!A446&amp;" (introuvable)"))</f>
        <v>✓ ici</v>
      </c>
      <c r="C451" s="35" t="str">
        <f>IF(Liens!B446="","",IF(COUNTIF(Mots!A:A,Liens!B446)&gt;0,"✓ "&amp;Liens!B446,"✗ "&amp;Liens!B446&amp;" (introuvable)"))</f>
        <v>✓ endroit</v>
      </c>
      <c r="D451" s="35" t="str">
        <f>IF(Liens!C446="","",IF(COUNTIF(Mots!A:A,Liens!C446)&gt;0,"✓ "&amp;Liens!C446,"✗ "&amp;Liens!C446&amp;" (introuvable)"))</f>
        <v>✓ la</v>
      </c>
      <c r="E451" s="35" t="str">
        <f>IF(Liens!D446="","",IF(COUNTIF(Mots!A:A,Liens!D446)&gt;0,"✓ "&amp;Liens!D446,"✗ "&amp;Liens!D446&amp;" (introuvable)"))</f>
        <v>✓ ailleurs</v>
      </c>
      <c r="F451" s="35" t="str">
        <f>IF(Liens!E446="","",IF(COUNTIF(Mots!A:A,Liens!E446)&gt;0,"✓ "&amp;Liens!E446,"✗ "&amp;Liens!E446&amp;" (introuvable)"))</f>
        <v/>
      </c>
      <c r="G451" s="35" t="str">
        <f>IF(Liens!F446="","",IF(COUNTIF(Mots!A:A,Liens!F446)&gt;0,"✓ "&amp;Liens!F446,"✗ "&amp;Liens!F446&amp;" (introuvable)"))</f>
        <v/>
      </c>
      <c r="H451" s="35" t="str">
        <f>IF(Liens!G446="","",IF(COUNTIF(Mots!A:A,Liens!G446)&gt;0,"✓ "&amp;Liens!G446,"✗ "&amp;Liens!G446&amp;" (introuvable)"))</f>
        <v/>
      </c>
      <c r="I451" s="35" t="str">
        <f>IF(Liens!H446="","",IF(COUNTIF(Mots!A:A,Liens!H446)&gt;0,"✓ "&amp;Liens!H446,"✗ "&amp;Liens!H446&amp;" (introuvable)"))</f>
        <v/>
      </c>
    </row>
    <row r="452" spans="1:9" x14ac:dyDescent="0.3">
      <c r="A452">
        <f t="shared" si="3"/>
        <v>447</v>
      </c>
      <c r="B452" s="35" t="str">
        <f>IF(Liens!A447="","",IF(COUNTIF(Mots!A:A,Liens!A447)&gt;0,"✓ "&amp;Liens!A447,"✗ "&amp;Liens!A447&amp;" (introuvable)"))</f>
        <v>✓ idee</v>
      </c>
      <c r="C452" s="35" t="str">
        <f>IF(Liens!B447="","",IF(COUNTIF(Mots!A:A,Liens!B447)&gt;0,"✓ "&amp;Liens!B447,"✗ "&amp;Liens!B447&amp;" (introuvable)"))</f>
        <v>✓ tete</v>
      </c>
      <c r="D452" s="35" t="str">
        <f>IF(Liens!C447="","",IF(COUNTIF(Mots!A:A,Liens!C447)&gt;0,"✓ "&amp;Liens!C447,"✗ "&amp;Liens!C447&amp;" (introuvable)"))</f>
        <v>✓ cerveau</v>
      </c>
      <c r="E452" s="35" t="str">
        <f>IF(Liens!D447="","",IF(COUNTIF(Mots!A:A,Liens!D447)&gt;0,"✓ "&amp;Liens!D447,"✗ "&amp;Liens!D447&amp;" (introuvable)"))</f>
        <v>✓ pensee</v>
      </c>
      <c r="F452" s="35" t="str">
        <f>IF(Liens!E447="","",IF(COUNTIF(Mots!A:A,Liens!E447)&gt;0,"✓ "&amp;Liens!E447,"✗ "&amp;Liens!E447&amp;" (introuvable)"))</f>
        <v>✓ v_reflechir</v>
      </c>
      <c r="G452" s="35" t="str">
        <f>IF(Liens!F447="","",IF(COUNTIF(Mots!A:A,Liens!F447)&gt;0,"✓ "&amp;Liens!F447,"✗ "&amp;Liens!F447&amp;" (introuvable)"))</f>
        <v>✓ v_penser</v>
      </c>
      <c r="H452" s="35" t="str">
        <f>IF(Liens!G447="","",IF(COUNTIF(Mots!A:A,Liens!G447)&gt;0,"✓ "&amp;Liens!G447,"✗ "&amp;Liens!G447&amp;" (introuvable)"))</f>
        <v>✓ v_parler</v>
      </c>
      <c r="I452" s="35" t="str">
        <f>IF(Liens!H447="","",IF(COUNTIF(Mots!A:A,Liens!H447)&gt;0,"✓ "&amp;Liens!H447,"✗ "&amp;Liens!H447&amp;" (introuvable)"))</f>
        <v>✓ v_dire</v>
      </c>
    </row>
    <row r="453" spans="1:9" x14ac:dyDescent="0.3">
      <c r="A453">
        <f t="shared" si="3"/>
        <v>448</v>
      </c>
      <c r="B453" s="35" t="str">
        <f>IF(Liens!A448="","",IF(COUNTIF(Mots!A:A,Liens!A448)&gt;0,"✓ "&amp;Liens!A448,"✗ "&amp;Liens!A448&amp;" (introuvable)"))</f>
        <v>✓ ile</v>
      </c>
      <c r="C453" s="35" t="str">
        <f>IF(Liens!B448="","",IF(COUNTIF(Mots!A:A,Liens!B448)&gt;0,"✓ "&amp;Liens!B448,"✗ "&amp;Liens!B448&amp;" (introuvable)"))</f>
        <v>✓ mer</v>
      </c>
      <c r="D453" s="35" t="str">
        <f>IF(Liens!C448="","",IF(COUNTIF(Mots!A:A,Liens!C448)&gt;0,"✓ "&amp;Liens!C448,"✗ "&amp;Liens!C448&amp;" (introuvable)"))</f>
        <v>✓ eau</v>
      </c>
      <c r="E453" s="35" t="str">
        <f>IF(Liens!D448="","",IF(COUNTIF(Mots!A:A,Liens!D448)&gt;0,"✓ "&amp;Liens!D448,"✗ "&amp;Liens!D448&amp;" (introuvable)"))</f>
        <v>✓ cote</v>
      </c>
      <c r="F453" s="35" t="str">
        <f>IF(Liens!E448="","",IF(COUNTIF(Mots!A:A,Liens!E448)&gt;0,"✓ "&amp;Liens!E448,"✗ "&amp;Liens!E448&amp;" (introuvable)"))</f>
        <v>✓ bateau</v>
      </c>
      <c r="G453" s="35" t="str">
        <f>IF(Liens!F448="","",IF(COUNTIF(Mots!A:A,Liens!F448)&gt;0,"✓ "&amp;Liens!F448,"✗ "&amp;Liens!F448&amp;" (introuvable)"))</f>
        <v>✓ p_terre</v>
      </c>
      <c r="H453" s="35" t="str">
        <f>IF(Liens!G448="","",IF(COUNTIF(Mots!A:A,Liens!G448)&gt;0,"✓ "&amp;Liens!G448,"✗ "&amp;Liens!G448&amp;" (introuvable)"))</f>
        <v/>
      </c>
      <c r="I453" s="35" t="str">
        <f>IF(Liens!H448="","",IF(COUNTIF(Mots!A:A,Liens!H448)&gt;0,"✓ "&amp;Liens!H448,"✗ "&amp;Liens!H448&amp;" (introuvable)"))</f>
        <v/>
      </c>
    </row>
    <row r="454" spans="1:9" x14ac:dyDescent="0.3">
      <c r="A454">
        <f t="shared" si="3"/>
        <v>449</v>
      </c>
      <c r="B454" s="35" t="str">
        <f>IF(Liens!A449="","",IF(COUNTIF(Mots!A:A,Liens!A449)&gt;0,"✓ "&amp;Liens!A449,"✗ "&amp;Liens!A449&amp;" (introuvable)"))</f>
        <v>✓ image</v>
      </c>
      <c r="C454" s="35" t="str">
        <f>IF(Liens!B449="","",IF(COUNTIF(Mots!A:A,Liens!B449)&gt;0,"✓ "&amp;Liens!B449,"✗ "&amp;Liens!B449&amp;" (introuvable)"))</f>
        <v>✓ photo</v>
      </c>
      <c r="D454" s="35" t="str">
        <f>IF(Liens!C449="","",IF(COUNTIF(Mots!A:A,Liens!C449)&gt;0,"✓ "&amp;Liens!C449,"✗ "&amp;Liens!C449&amp;" (introuvable)"))</f>
        <v>✓ appareil_photo</v>
      </c>
      <c r="E454" s="35" t="str">
        <f>IF(Liens!D449="","",IF(COUNTIF(Mots!A:A,Liens!D449)&gt;0,"✓ "&amp;Liens!D449,"✗ "&amp;Liens!D449&amp;" (introuvable)"))</f>
        <v>✓ personne</v>
      </c>
      <c r="F454" s="35" t="str">
        <f>IF(Liens!E449="","",IF(COUNTIF(Mots!A:A,Liens!E449)&gt;0,"✓ "&amp;Liens!E449,"✗ "&amp;Liens!E449&amp;" (introuvable)"))</f>
        <v>✓ nature</v>
      </c>
      <c r="G454" s="35" t="str">
        <f>IF(Liens!F449="","",IF(COUNTIF(Mots!A:A,Liens!F449)&gt;0,"✓ "&amp;Liens!F449,"✗ "&amp;Liens!F449&amp;" (introuvable)"))</f>
        <v>✓ smartphone</v>
      </c>
      <c r="H454" s="35" t="str">
        <f>IF(Liens!G449="","",IF(COUNTIF(Mots!A:A,Liens!G449)&gt;0,"✓ "&amp;Liens!G449,"✗ "&amp;Liens!G449&amp;" (introuvable)"))</f>
        <v/>
      </c>
      <c r="I454" s="35" t="str">
        <f>IF(Liens!H449="","",IF(COUNTIF(Mots!A:A,Liens!H449)&gt;0,"✓ "&amp;Liens!H449,"✗ "&amp;Liens!H449&amp;" (introuvable)"))</f>
        <v/>
      </c>
    </row>
    <row r="455" spans="1:9" x14ac:dyDescent="0.3">
      <c r="A455">
        <f t="shared" si="3"/>
        <v>450</v>
      </c>
      <c r="B455" s="35" t="str">
        <f>IF(Liens!A450="","",IF(COUNTIF(Mots!A:A,Liens!A450)&gt;0,"✓ "&amp;Liens!A450,"✗ "&amp;Liens!A450&amp;" (introuvable)"))</f>
        <v>✓ immeuble</v>
      </c>
      <c r="C455" s="35" t="str">
        <f>IF(Liens!B450="","",IF(COUNTIF(Mots!A:A,Liens!B450)&gt;0,"✓ "&amp;Liens!B450,"✗ "&amp;Liens!B450&amp;" (introuvable)"))</f>
        <v>✓ batiment</v>
      </c>
      <c r="D455" s="35" t="str">
        <f>IF(Liens!C450="","",IF(COUNTIF(Mots!A:A,Liens!C450)&gt;0,"✓ "&amp;Liens!C450,"✗ "&amp;Liens!C450&amp;" (introuvable)"))</f>
        <v>✓ appartement</v>
      </c>
      <c r="E455" s="35" t="str">
        <f>IF(Liens!D450="","",IF(COUNTIF(Mots!A:A,Liens!D450)&gt;0,"✓ "&amp;Liens!D450,"✗ "&amp;Liens!D450&amp;" (introuvable)"))</f>
        <v>✓ v_habiter</v>
      </c>
      <c r="F455" s="35" t="str">
        <f>IF(Liens!E450="","",IF(COUNTIF(Mots!A:A,Liens!E450)&gt;0,"✓ "&amp;Liens!E450,"✗ "&amp;Liens!E450&amp;" (introuvable)"))</f>
        <v>✓ ville</v>
      </c>
      <c r="G455" s="35" t="str">
        <f>IF(Liens!F450="","",IF(COUNTIF(Mots!A:A,Liens!F450)&gt;0,"✓ "&amp;Liens!F450,"✗ "&amp;Liens!F450&amp;" (introuvable)"))</f>
        <v>✓ construction</v>
      </c>
      <c r="H455" s="35" t="str">
        <f>IF(Liens!G450="","",IF(COUNTIF(Mots!A:A,Liens!G450)&gt;0,"✓ "&amp;Liens!G450,"✗ "&amp;Liens!G450&amp;" (introuvable)"))</f>
        <v/>
      </c>
      <c r="I455" s="35" t="str">
        <f>IF(Liens!H450="","",IF(COUNTIF(Mots!A:A,Liens!H450)&gt;0,"✓ "&amp;Liens!H450,"✗ "&amp;Liens!H450&amp;" (introuvable)"))</f>
        <v/>
      </c>
    </row>
    <row r="456" spans="1:9" x14ac:dyDescent="0.3">
      <c r="A456">
        <f t="shared" si="3"/>
        <v>451</v>
      </c>
      <c r="B456" s="35" t="str">
        <f>IF(Liens!A451="","",IF(COUNTIF(Mots!A:A,Liens!A451)&gt;0,"✓ "&amp;Liens!A451,"✗ "&amp;Liens!A451&amp;" (introuvable)"))</f>
        <v>✓ incendie</v>
      </c>
      <c r="C456" s="35" t="str">
        <f>IF(Liens!B451="","",IF(COUNTIF(Mots!A:A,Liens!B451)&gt;0,"✓ "&amp;Liens!B451,"✗ "&amp;Liens!B451&amp;" (introuvable)"))</f>
        <v>✓ feu</v>
      </c>
      <c r="D456" s="35" t="str">
        <f>IF(Liens!C451="","",IF(COUNTIF(Mots!A:A,Liens!C451)&gt;0,"✓ "&amp;Liens!C451,"✗ "&amp;Liens!C451&amp;" (introuvable)"))</f>
        <v>✓ a_chaud_froid</v>
      </c>
      <c r="E456" s="35" t="str">
        <f>IF(Liens!D451="","",IF(COUNTIF(Mots!A:A,Liens!D451)&gt;0,"✓ "&amp;Liens!D451,"✗ "&amp;Liens!D451&amp;" (introuvable)"))</f>
        <v>✓ arbre</v>
      </c>
      <c r="F456" s="35" t="str">
        <f>IF(Liens!E451="","",IF(COUNTIF(Mots!A:A,Liens!E451)&gt;0,"✓ "&amp;Liens!E451,"✗ "&amp;Liens!E451&amp;" (introuvable)"))</f>
        <v>✓ eau</v>
      </c>
      <c r="G456" s="35" t="str">
        <f>IF(Liens!F451="","",IF(COUNTIF(Mots!A:A,Liens!F451)&gt;0,"✓ "&amp;Liens!F451,"✗ "&amp;Liens!F451&amp;" (introuvable)"))</f>
        <v/>
      </c>
      <c r="H456" s="35" t="str">
        <f>IF(Liens!G451="","",IF(COUNTIF(Mots!A:A,Liens!G451)&gt;0,"✓ "&amp;Liens!G451,"✗ "&amp;Liens!G451&amp;" (introuvable)"))</f>
        <v/>
      </c>
      <c r="I456" s="35" t="str">
        <f>IF(Liens!H451="","",IF(COUNTIF(Mots!A:A,Liens!H451)&gt;0,"✓ "&amp;Liens!H451,"✗ "&amp;Liens!H451&amp;" (introuvable)"))</f>
        <v/>
      </c>
    </row>
    <row r="457" spans="1:9" x14ac:dyDescent="0.3">
      <c r="A457">
        <f t="shared" si="3"/>
        <v>452</v>
      </c>
      <c r="B457" s="35" t="str">
        <f>IF(Liens!A452="","",IF(COUNTIF(Mots!A:A,Liens!A452)&gt;0,"✓ "&amp;Liens!A452,"✗ "&amp;Liens!A452&amp;" (introuvable)"))</f>
        <v>✓ infirmier</v>
      </c>
      <c r="C457" s="35" t="str">
        <f>IF(Liens!B452="","",IF(COUNTIF(Mots!A:A,Liens!B452)&gt;0,"✓ "&amp;Liens!B452,"✗ "&amp;Liens!B452&amp;" (introuvable)"))</f>
        <v>✓ personne</v>
      </c>
      <c r="D457" s="35" t="str">
        <f>IF(Liens!C452="","",IF(COUNTIF(Mots!A:A,Liens!C452)&gt;0,"✓ "&amp;Liens!C452,"✗ "&amp;Liens!C452&amp;" (introuvable)"))</f>
        <v>✓ hopital_sion</v>
      </c>
      <c r="E457" s="35" t="str">
        <f>IF(Liens!D452="","",IF(COUNTIF(Mots!A:A,Liens!D452)&gt;0,"✓ "&amp;Liens!D452,"✗ "&amp;Liens!D452&amp;" (introuvable)"))</f>
        <v>✓ v_soigner</v>
      </c>
      <c r="F457" s="35" t="str">
        <f>IF(Liens!E452="","",IF(COUNTIF(Mots!A:A,Liens!E452)&gt;0,"✓ "&amp;Liens!E452,"✗ "&amp;Liens!E452&amp;" (introuvable)"))</f>
        <v>✓ v_aider</v>
      </c>
      <c r="G457" s="35" t="str">
        <f>IF(Liens!F452="","",IF(COUNTIF(Mots!A:A,Liens!F452)&gt;0,"✓ "&amp;Liens!F452,"✗ "&amp;Liens!F452&amp;" (introuvable)"))</f>
        <v>✓ ma_generaliste</v>
      </c>
      <c r="H457" s="35" t="str">
        <f>IF(Liens!G452="","",IF(COUNTIF(Mots!A:A,Liens!G452)&gt;0,"✓ "&amp;Liens!G452,"✗ "&amp;Liens!G452&amp;" (introuvable)"))</f>
        <v/>
      </c>
      <c r="I457" s="35" t="str">
        <f>IF(Liens!H452="","",IF(COUNTIF(Mots!A:A,Liens!H452)&gt;0,"✓ "&amp;Liens!H452,"✗ "&amp;Liens!H452&amp;" (introuvable)"))</f>
        <v/>
      </c>
    </row>
    <row r="458" spans="1:9" x14ac:dyDescent="0.3">
      <c r="A458">
        <f t="shared" si="3"/>
        <v>453</v>
      </c>
      <c r="B458" s="35" t="str">
        <f>IF(Liens!A453="","",IF(COUNTIF(Mots!A:A,Liens!A453)&gt;0,"✓ "&amp;Liens!A453,"✗ "&amp;Liens!A453&amp;" (introuvable)"))</f>
        <v>✓ information</v>
      </c>
      <c r="C458" s="35" t="str">
        <f>IF(Liens!B453="","",IF(COUNTIF(Mots!A:A,Liens!B453)&gt;0,"✓ "&amp;Liens!B453,"✗ "&amp;Liens!B453&amp;" (introuvable)"))</f>
        <v>✓ nouvelle</v>
      </c>
      <c r="D458" s="35" t="str">
        <f>IF(Liens!C453="","",IF(COUNTIF(Mots!A:A,Liens!C453)&gt;0,"✓ "&amp;Liens!C453,"✗ "&amp;Liens!C453&amp;" (introuvable)"))</f>
        <v>✓ television</v>
      </c>
      <c r="E458" s="35" t="str">
        <f>IF(Liens!D453="","",IF(COUNTIF(Mots!A:A,Liens!D453)&gt;0,"✓ "&amp;Liens!D453,"✗ "&amp;Liens!D453&amp;" (introuvable)"))</f>
        <v>✓ smartphone</v>
      </c>
      <c r="F458" s="35" t="str">
        <f>IF(Liens!E453="","",IF(COUNTIF(Mots!A:A,Liens!E453)&gt;0,"✓ "&amp;Liens!E453,"✗ "&amp;Liens!E453&amp;" (introuvable)"))</f>
        <v/>
      </c>
      <c r="G458" s="35" t="str">
        <f>IF(Liens!F453="","",IF(COUNTIF(Mots!A:A,Liens!F453)&gt;0,"✓ "&amp;Liens!F453,"✗ "&amp;Liens!F453&amp;" (introuvable)"))</f>
        <v/>
      </c>
      <c r="H458" s="35" t="str">
        <f>IF(Liens!G453="","",IF(COUNTIF(Mots!A:A,Liens!G453)&gt;0,"✓ "&amp;Liens!G453,"✗ "&amp;Liens!G453&amp;" (introuvable)"))</f>
        <v/>
      </c>
      <c r="I458" s="35" t="str">
        <f>IF(Liens!H453="","",IF(COUNTIF(Mots!A:A,Liens!H453)&gt;0,"✓ "&amp;Liens!H453,"✗ "&amp;Liens!H453&amp;" (introuvable)"))</f>
        <v/>
      </c>
    </row>
    <row r="459" spans="1:9" x14ac:dyDescent="0.3">
      <c r="A459">
        <f t="shared" si="3"/>
        <v>454</v>
      </c>
      <c r="B459" s="35" t="str">
        <f>IF(Liens!A454="","",IF(COUNTIF(Mots!A:A,Liens!A454)&gt;0,"✓ "&amp;Liens!A454,"✗ "&amp;Liens!A454&amp;" (introuvable)"))</f>
        <v>✓ inquietude</v>
      </c>
      <c r="C459" s="35" t="str">
        <f>IF(Liens!B454="","",IF(COUNTIF(Mots!A:A,Liens!B454)&gt;0,"✓ "&amp;Liens!B454,"✗ "&amp;Liens!B454&amp;" (introuvable)"))</f>
        <v>✓ emotion</v>
      </c>
      <c r="D459" s="35" t="str">
        <f>IF(Liens!C454="","",IF(COUNTIF(Mots!A:A,Liens!C454)&gt;0,"✓ "&amp;Liens!C454,"✗ "&amp;Liens!C454&amp;" (introuvable)"))</f>
        <v>✓ peur</v>
      </c>
      <c r="E459" s="35" t="str">
        <f>IF(Liens!D454="","",IF(COUNTIF(Mots!A:A,Liens!D454)&gt;0,"✓ "&amp;Liens!D454,"✗ "&amp;Liens!D454&amp;" (introuvable)"))</f>
        <v>✓ tristesse</v>
      </c>
      <c r="F459" s="35" t="str">
        <f>IF(Liens!E454="","",IF(COUNTIF(Mots!A:A,Liens!E454)&gt;0,"✓ "&amp;Liens!E454,"✗ "&amp;Liens!E454&amp;" (introuvable)"))</f>
        <v/>
      </c>
      <c r="G459" s="35" t="str">
        <f>IF(Liens!F454="","",IF(COUNTIF(Mots!A:A,Liens!F454)&gt;0,"✓ "&amp;Liens!F454,"✗ "&amp;Liens!F454&amp;" (introuvable)"))</f>
        <v/>
      </c>
      <c r="H459" s="35" t="str">
        <f>IF(Liens!G454="","",IF(COUNTIF(Mots!A:A,Liens!G454)&gt;0,"✓ "&amp;Liens!G454,"✗ "&amp;Liens!G454&amp;" (introuvable)"))</f>
        <v/>
      </c>
      <c r="I459" s="35" t="str">
        <f>IF(Liens!H454="","",IF(COUNTIF(Mots!A:A,Liens!H454)&gt;0,"✓ "&amp;Liens!H454,"✗ "&amp;Liens!H454&amp;" (introuvable)"))</f>
        <v/>
      </c>
    </row>
    <row r="460" spans="1:9" x14ac:dyDescent="0.3">
      <c r="A460">
        <f t="shared" si="3"/>
        <v>455</v>
      </c>
      <c r="B460" s="35" t="str">
        <f>IF(Liens!A455="","",IF(COUNTIF(Mots!A:A,Liens!A455)&gt;0,"✓ "&amp;Liens!A455,"✗ "&amp;Liens!A455&amp;" (introuvable)"))</f>
        <v>✓ insecte</v>
      </c>
      <c r="C460" s="35" t="str">
        <f>IF(Liens!B455="","",IF(COUNTIF(Mots!A:A,Liens!B455)&gt;0,"✓ "&amp;Liens!B455,"✗ "&amp;Liens!B455&amp;" (introuvable)"))</f>
        <v>✓ mouche</v>
      </c>
      <c r="D460" s="35" t="str">
        <f>IF(Liens!C455="","",IF(COUNTIF(Mots!A:A,Liens!C455)&gt;0,"✓ "&amp;Liens!C455,"✗ "&amp;Liens!C455&amp;" (introuvable)"))</f>
        <v>✓ abeille</v>
      </c>
      <c r="E460" s="35" t="str">
        <f>IF(Liens!D455="","",IF(COUNTIF(Mots!A:A,Liens!D455)&gt;0,"✓ "&amp;Liens!D455,"✗ "&amp;Liens!D455&amp;" (introuvable)"))</f>
        <v>✓ guepe</v>
      </c>
      <c r="F460" s="35" t="str">
        <f>IF(Liens!E455="","",IF(COUNTIF(Mots!A:A,Liens!E455)&gt;0,"✓ "&amp;Liens!E455,"✗ "&amp;Liens!E455&amp;" (introuvable)"))</f>
        <v>✓ araignee</v>
      </c>
      <c r="G460" s="35" t="str">
        <f>IF(Liens!F455="","",IF(COUNTIF(Mots!A:A,Liens!F455)&gt;0,"✓ "&amp;Liens!F455,"✗ "&amp;Liens!F455&amp;" (introuvable)"))</f>
        <v>✓ papillon</v>
      </c>
      <c r="H460" s="35" t="str">
        <f>IF(Liens!G455="","",IF(COUNTIF(Mots!A:A,Liens!G455)&gt;0,"✓ "&amp;Liens!G455,"✗ "&amp;Liens!G455&amp;" (introuvable)"))</f>
        <v/>
      </c>
      <c r="I460" s="35" t="str">
        <f>IF(Liens!H455="","",IF(COUNTIF(Mots!A:A,Liens!H455)&gt;0,"✓ "&amp;Liens!H455,"✗ "&amp;Liens!H455&amp;" (introuvable)"))</f>
        <v/>
      </c>
    </row>
    <row r="461" spans="1:9" x14ac:dyDescent="0.3">
      <c r="A461">
        <f t="shared" si="3"/>
        <v>456</v>
      </c>
      <c r="B461" s="35" t="str">
        <f>IF(Liens!A456="","",IF(COUNTIF(Mots!A:A,Liens!A456)&gt;0,"✓ "&amp;Liens!A456,"✗ "&amp;Liens!A456&amp;" (introuvable)"))</f>
        <v>✓ instant</v>
      </c>
      <c r="C461" s="35" t="str">
        <f>IF(Liens!B456="","",IF(COUNTIF(Mots!A:A,Liens!B456)&gt;0,"✓ "&amp;Liens!B456,"✗ "&amp;Liens!B456&amp;" (introuvable)"))</f>
        <v>✓ moment</v>
      </c>
      <c r="D461" s="35" t="str">
        <f>IF(Liens!C456="","",IF(COUNTIF(Mots!A:A,Liens!C456)&gt;0,"✓ "&amp;Liens!C456,"✗ "&amp;Liens!C456&amp;" (introuvable)"))</f>
        <v>✓ maintenant</v>
      </c>
      <c r="E461" s="35" t="str">
        <f>IF(Liens!D456="","",IF(COUNTIF(Mots!A:A,Liens!D456)&gt;0,"✓ "&amp;Liens!D456,"✗ "&amp;Liens!D456&amp;" (introuvable)"))</f>
        <v>✓ debut</v>
      </c>
      <c r="F461" s="35" t="str">
        <f>IF(Liens!E456="","",IF(COUNTIF(Mots!A:A,Liens!E456)&gt;0,"✓ "&amp;Liens!E456,"✗ "&amp;Liens!E456&amp;" (introuvable)"))</f>
        <v>✓ fin</v>
      </c>
      <c r="G461" s="35" t="str">
        <f>IF(Liens!F456="","",IF(COUNTIF(Mots!A:A,Liens!F456)&gt;0,"✓ "&amp;Liens!F456,"✗ "&amp;Liens!F456&amp;" (introuvable)"))</f>
        <v>✓ duree</v>
      </c>
      <c r="H461" s="35" t="str">
        <f>IF(Liens!G456="","",IF(COUNTIF(Mots!A:A,Liens!G456)&gt;0,"✓ "&amp;Liens!G456,"✗ "&amp;Liens!G456&amp;" (introuvable)"))</f>
        <v/>
      </c>
      <c r="I461" s="35" t="str">
        <f>IF(Liens!H456="","",IF(COUNTIF(Mots!A:A,Liens!H456)&gt;0,"✓ "&amp;Liens!H456,"✗ "&amp;Liens!H456&amp;" (introuvable)"))</f>
        <v/>
      </c>
    </row>
    <row r="462" spans="1:9" x14ac:dyDescent="0.3">
      <c r="A462">
        <f t="shared" si="3"/>
        <v>457</v>
      </c>
      <c r="B462" s="35" t="str">
        <f>IF(Liens!A457="","",IF(COUNTIF(Mots!A:A,Liens!A457)&gt;0,"✓ "&amp;Liens!A457,"✗ "&amp;Liens!A457&amp;" (introuvable)"))</f>
        <v>✓ interet</v>
      </c>
      <c r="C462" s="35" t="str">
        <f>IF(Liens!B457="","",IF(COUNTIF(Mots!A:A,Liens!B457)&gt;0,"✓ "&amp;Liens!B457,"✗ "&amp;Liens!B457&amp;" (introuvable)"))</f>
        <v>✓ compte</v>
      </c>
      <c r="D462" s="35" t="str">
        <f>IF(Liens!C457="","",IF(COUNTIF(Mots!A:A,Liens!C457)&gt;0,"✓ "&amp;Liens!C457,"✗ "&amp;Liens!C457&amp;" (introuvable)"))</f>
        <v>✓ argent</v>
      </c>
      <c r="E462" s="35" t="str">
        <f>IF(Liens!D457="","",IF(COUNTIF(Mots!A:A,Liens!D457)&gt;0,"✓ "&amp;Liens!D457,"✗ "&amp;Liens!D457&amp;" (introuvable)"))</f>
        <v>✓ loyer</v>
      </c>
      <c r="F462" s="35" t="str">
        <f>IF(Liens!E457="","",IF(COUNTIF(Mots!A:A,Liens!E457)&gt;0,"✓ "&amp;Liens!E457,"✗ "&amp;Liens!E457&amp;" (introuvable)"))</f>
        <v/>
      </c>
      <c r="G462" s="35" t="str">
        <f>IF(Liens!F457="","",IF(COUNTIF(Mots!A:A,Liens!F457)&gt;0,"✓ "&amp;Liens!F457,"✗ "&amp;Liens!F457&amp;" (introuvable)"))</f>
        <v/>
      </c>
      <c r="H462" s="35" t="str">
        <f>IF(Liens!G457="","",IF(COUNTIF(Mots!A:A,Liens!G457)&gt;0,"✓ "&amp;Liens!G457,"✗ "&amp;Liens!G457&amp;" (introuvable)"))</f>
        <v/>
      </c>
      <c r="I462" s="35" t="str">
        <f>IF(Liens!H457="","",IF(COUNTIF(Mots!A:A,Liens!H457)&gt;0,"✓ "&amp;Liens!H457,"✗ "&amp;Liens!H457&amp;" (introuvable)"))</f>
        <v/>
      </c>
    </row>
    <row r="463" spans="1:9" x14ac:dyDescent="0.3">
      <c r="A463">
        <f t="shared" ref="A463:A526" si="4">A462+1</f>
        <v>458</v>
      </c>
      <c r="B463" s="35" t="str">
        <f>IF(Liens!A458="","",IF(COUNTIF(Mots!A:A,Liens!A458)&gt;0,"✓ "&amp;Liens!A458,"✗ "&amp;Liens!A458&amp;" (introuvable)"))</f>
        <v>✓ interieur</v>
      </c>
      <c r="C463" s="35" t="str">
        <f>IF(Liens!B458="","",IF(COUNTIF(Mots!A:A,Liens!B458)&gt;0,"✓ "&amp;Liens!B458,"✗ "&amp;Liens!B458&amp;" (introuvable)"))</f>
        <v>✓ maison</v>
      </c>
      <c r="D463" s="35" t="str">
        <f>IF(Liens!C458="","",IF(COUNTIF(Mots!A:A,Liens!C458)&gt;0,"✓ "&amp;Liens!C458,"✗ "&amp;Liens!C458&amp;" (introuvable)"))</f>
        <v>✓ immeuble</v>
      </c>
      <c r="E463" s="35" t="str">
        <f>IF(Liens!D458="","",IF(COUNTIF(Mots!A:A,Liens!D458)&gt;0,"✓ "&amp;Liens!D458,"✗ "&amp;Liens!D458&amp;" (introuvable)"))</f>
        <v>✓ appartement</v>
      </c>
      <c r="F463" s="35" t="str">
        <f>IF(Liens!E458="","",IF(COUNTIF(Mots!A:A,Liens!E458)&gt;0,"✓ "&amp;Liens!E458,"✗ "&amp;Liens!E458&amp;" (introuvable)"))</f>
        <v>✓ batiment</v>
      </c>
      <c r="G463" s="35" t="str">
        <f>IF(Liens!F458="","",IF(COUNTIF(Mots!A:A,Liens!F458)&gt;0,"✓ "&amp;Liens!F458,"✗ "&amp;Liens!F458&amp;" (introuvable)"))</f>
        <v>✓ usine</v>
      </c>
      <c r="H463" s="35" t="str">
        <f>IF(Liens!G458="","",IF(COUNTIF(Mots!A:A,Liens!G458)&gt;0,"✓ "&amp;Liens!G458,"✗ "&amp;Liens!G458&amp;" (introuvable)"))</f>
        <v>✓ exterieur</v>
      </c>
      <c r="I463" s="35" t="str">
        <f>IF(Liens!H458="","",IF(COUNTIF(Mots!A:A,Liens!H458)&gt;0,"✓ "&amp;Liens!H458,"✗ "&amp;Liens!H458&amp;" (introuvable)"))</f>
        <v/>
      </c>
    </row>
    <row r="464" spans="1:9" x14ac:dyDescent="0.3">
      <c r="A464">
        <f t="shared" si="4"/>
        <v>459</v>
      </c>
      <c r="B464" s="35" t="str">
        <f>IF(Liens!A459="","",IF(COUNTIF(Mots!A:A,Liens!A459)&gt;0,"✓ "&amp;Liens!A459,"✗ "&amp;Liens!A459&amp;" (introuvable)"))</f>
        <v>✓ invisible</v>
      </c>
      <c r="C464" s="35" t="str">
        <f>IF(Liens!B459="","",IF(COUNTIF(Mots!A:A,Liens!B459)&gt;0,"✓ "&amp;Liens!B459,"✗ "&amp;Liens!B459&amp;" (introuvable)"))</f>
        <v>✓ oeil</v>
      </c>
      <c r="D464" s="35" t="str">
        <f>IF(Liens!C459="","",IF(COUNTIF(Mots!A:A,Liens!C459)&gt;0,"✓ "&amp;Liens!C459,"✗ "&amp;Liens!C459&amp;" (introuvable)"))</f>
        <v>✓ v_voir</v>
      </c>
      <c r="E464" s="35" t="str">
        <f>IF(Liens!D459="","",IF(COUNTIF(Mots!A:A,Liens!D459)&gt;0,"✓ "&amp;Liens!D459,"✗ "&amp;Liens!D459&amp;" (introuvable)"))</f>
        <v>✓ transparent</v>
      </c>
      <c r="F464" s="35" t="str">
        <f>IF(Liens!E459="","",IF(COUNTIF(Mots!A:A,Liens!E459)&gt;0,"✓ "&amp;Liens!E459,"✗ "&amp;Liens!E459&amp;" (introuvable)"))</f>
        <v/>
      </c>
      <c r="G464" s="35" t="str">
        <f>IF(Liens!F459="","",IF(COUNTIF(Mots!A:A,Liens!F459)&gt;0,"✓ "&amp;Liens!F459,"✗ "&amp;Liens!F459&amp;" (introuvable)"))</f>
        <v/>
      </c>
      <c r="H464" s="35" t="str">
        <f>IF(Liens!G459="","",IF(COUNTIF(Mots!A:A,Liens!G459)&gt;0,"✓ "&amp;Liens!G459,"✗ "&amp;Liens!G459&amp;" (introuvable)"))</f>
        <v/>
      </c>
      <c r="I464" s="35" t="str">
        <f>IF(Liens!H459="","",IF(COUNTIF(Mots!A:A,Liens!H459)&gt;0,"✓ "&amp;Liens!H459,"✗ "&amp;Liens!H459&amp;" (introuvable)"))</f>
        <v/>
      </c>
    </row>
    <row r="465" spans="1:9" x14ac:dyDescent="0.3">
      <c r="A465">
        <f t="shared" si="4"/>
        <v>460</v>
      </c>
      <c r="B465" s="35" t="str">
        <f>IF(Liens!A460="","",IF(COUNTIF(Mots!A:A,Liens!A460)&gt;0,"✓ "&amp;Liens!A460,"✗ "&amp;Liens!A460&amp;" (introuvable)"))</f>
        <v>✓ invitation</v>
      </c>
      <c r="C465" s="35" t="str">
        <f>IF(Liens!B460="","",IF(COUNTIF(Mots!A:A,Liens!B460)&gt;0,"✓ "&amp;Liens!B460,"✗ "&amp;Liens!B460&amp;" (introuvable)"))</f>
        <v>✓ invite</v>
      </c>
      <c r="D465" s="35" t="str">
        <f>IF(Liens!C460="","",IF(COUNTIF(Mots!A:A,Liens!C460)&gt;0,"✓ "&amp;Liens!C460,"✗ "&amp;Liens!C460&amp;" (introuvable)"))</f>
        <v>✓ personne</v>
      </c>
      <c r="E465" s="35" t="str">
        <f>IF(Liens!D460="","",IF(COUNTIF(Mots!A:A,Liens!D460)&gt;0,"✓ "&amp;Liens!D460,"✗ "&amp;Liens!D460&amp;" (introuvable)"))</f>
        <v>✓ ami</v>
      </c>
      <c r="F465" s="35" t="str">
        <f>IF(Liens!E460="","",IF(COUNTIF(Mots!A:A,Liens!E460)&gt;0,"✓ "&amp;Liens!E460,"✗ "&amp;Liens!E460&amp;" (introuvable)"))</f>
        <v>✓ famille</v>
      </c>
      <c r="G465" s="35" t="str">
        <f>IF(Liens!F460="","",IF(COUNTIF(Mots!A:A,Liens!F460)&gt;0,"✓ "&amp;Liens!F460,"✗ "&amp;Liens!F460&amp;" (introuvable)"))</f>
        <v>✓ repas</v>
      </c>
      <c r="H465" s="35" t="str">
        <f>IF(Liens!G460="","",IF(COUNTIF(Mots!A:A,Liens!G460)&gt;0,"✓ "&amp;Liens!G460,"✗ "&amp;Liens!G460&amp;" (introuvable)"))</f>
        <v>✓ v_manger</v>
      </c>
      <c r="I465" s="35" t="str">
        <f>IF(Liens!H460="","",IF(COUNTIF(Mots!A:A,Liens!H460)&gt;0,"✓ "&amp;Liens!H460,"✗ "&amp;Liens!H460&amp;" (introuvable)"))</f>
        <v>✓ v_boire</v>
      </c>
    </row>
    <row r="466" spans="1:9" x14ac:dyDescent="0.3">
      <c r="A466">
        <f t="shared" si="4"/>
        <v>461</v>
      </c>
      <c r="B466" s="35" t="str">
        <f>IF(Liens!A461="","",IF(COUNTIF(Mots!A:A,Liens!A461)&gt;0,"✓ "&amp;Liens!A461,"✗ "&amp;Liens!A461&amp;" (introuvable)"))</f>
        <v>✓ invite</v>
      </c>
      <c r="C466" s="35" t="str">
        <f>IF(Liens!B461="","",IF(COUNTIF(Mots!A:A,Liens!B461)&gt;0,"✓ "&amp;Liens!B461,"✗ "&amp;Liens!B461&amp;" (introuvable)"))</f>
        <v>✓ personne</v>
      </c>
      <c r="D466" s="35" t="str">
        <f>IF(Liens!C461="","",IF(COUNTIF(Mots!A:A,Liens!C461)&gt;0,"✓ "&amp;Liens!C461,"✗ "&amp;Liens!C461&amp;" (introuvable)"))</f>
        <v>✓ ami</v>
      </c>
      <c r="E466" s="35" t="str">
        <f>IF(Liens!D461="","",IF(COUNTIF(Mots!A:A,Liens!D461)&gt;0,"✓ "&amp;Liens!D461,"✗ "&amp;Liens!D461&amp;" (introuvable)"))</f>
        <v>✓ famille</v>
      </c>
      <c r="F466" s="35" t="str">
        <f>IF(Liens!E461="","",IF(COUNTIF(Mots!A:A,Liens!E461)&gt;0,"✓ "&amp;Liens!E461,"✗ "&amp;Liens!E461&amp;" (introuvable)"))</f>
        <v>✓ public</v>
      </c>
      <c r="G466" s="35" t="str">
        <f>IF(Liens!F461="","",IF(COUNTIF(Mots!A:A,Liens!F461)&gt;0,"✓ "&amp;Liens!F461,"✗ "&amp;Liens!F461&amp;" (introuvable)"))</f>
        <v/>
      </c>
      <c r="H466" s="35" t="str">
        <f>IF(Liens!G461="","",IF(COUNTIF(Mots!A:A,Liens!G461)&gt;0,"✓ "&amp;Liens!G461,"✗ "&amp;Liens!G461&amp;" (introuvable)"))</f>
        <v/>
      </c>
      <c r="I466" s="35" t="str">
        <f>IF(Liens!H461="","",IF(COUNTIF(Mots!A:A,Liens!H461)&gt;0,"✓ "&amp;Liens!H461,"✗ "&amp;Liens!H461&amp;" (introuvable)"))</f>
        <v/>
      </c>
    </row>
    <row r="467" spans="1:9" x14ac:dyDescent="0.3">
      <c r="A467">
        <f t="shared" si="4"/>
        <v>462</v>
      </c>
      <c r="B467" s="35" t="str">
        <f>IF(Liens!A462="","",IF(COUNTIF(Mots!A:A,Liens!A462)&gt;0,"✓ "&amp;Liens!A462,"✗ "&amp;Liens!A462&amp;" (introuvable)"))</f>
        <v>✓ irrite</v>
      </c>
      <c r="C467" s="35" t="str">
        <f>IF(Liens!B462="","",IF(COUNTIF(Mots!A:A,Liens!B462)&gt;0,"✓ "&amp;Liens!B462,"✗ "&amp;Liens!B462&amp;" (introuvable)"))</f>
        <v>✓ a_enflamme</v>
      </c>
      <c r="D467" s="35" t="str">
        <f>IF(Liens!C462="","",IF(COUNTIF(Mots!A:A,Liens!C462)&gt;0,"✓ "&amp;Liens!C462,"✗ "&amp;Liens!C462&amp;" (introuvable)"))</f>
        <v>✓ gorge</v>
      </c>
      <c r="E467" s="35" t="str">
        <f>IF(Liens!D462="","",IF(COUNTIF(Mots!A:A,Liens!D462)&gt;0,"✓ "&amp;Liens!D462,"✗ "&amp;Liens!D462&amp;" (introuvable)"))</f>
        <v>✓ v_bruler</v>
      </c>
      <c r="F467" s="35" t="str">
        <f>IF(Liens!E462="","",IF(COUNTIF(Mots!A:A,Liens!E462)&gt;0,"✓ "&amp;Liens!E462,"✗ "&amp;Liens!E462&amp;" (introuvable)"))</f>
        <v>✓ v_soigner</v>
      </c>
      <c r="G467" s="35" t="str">
        <f>IF(Liens!F462="","",IF(COUNTIF(Mots!A:A,Liens!F462)&gt;0,"✓ "&amp;Liens!F462,"✗ "&amp;Liens!F462&amp;" (introuvable)"))</f>
        <v>✓ medicament</v>
      </c>
      <c r="H467" s="35" t="str">
        <f>IF(Liens!G462="","",IF(COUNTIF(Mots!A:A,Liens!G462)&gt;0,"✓ "&amp;Liens!G462,"✗ "&amp;Liens!G462&amp;" (introuvable)"))</f>
        <v>✓ bandage</v>
      </c>
      <c r="I467" s="35" t="str">
        <f>IF(Liens!H462="","",IF(COUNTIF(Mots!A:A,Liens!H462)&gt;0,"✓ "&amp;Liens!H462,"✗ "&amp;Liens!H462&amp;" (introuvable)"))</f>
        <v/>
      </c>
    </row>
    <row r="468" spans="1:9" x14ac:dyDescent="0.3">
      <c r="A468">
        <f t="shared" si="4"/>
        <v>463</v>
      </c>
      <c r="B468" s="35" t="str">
        <f>IF(Liens!A463="","",IF(COUNTIF(Mots!A:A,Liens!A463)&gt;0,"✓ "&amp;Liens!A463,"✗ "&amp;Liens!A463&amp;" (introuvable)"))</f>
        <v>✓ jalousie</v>
      </c>
      <c r="C468" s="35" t="str">
        <f>IF(Liens!B463="","",IF(COUNTIF(Mots!A:A,Liens!B463)&gt;0,"✓ "&amp;Liens!B463,"✗ "&amp;Liens!B463&amp;" (introuvable)"))</f>
        <v>✓ emotion</v>
      </c>
      <c r="D468" s="35" t="str">
        <f>IF(Liens!C463="","",IF(COUNTIF(Mots!A:A,Liens!C463)&gt;0,"✓ "&amp;Liens!C463,"✗ "&amp;Liens!C463&amp;" (introuvable)"))</f>
        <v>✓ envie</v>
      </c>
      <c r="E468" s="35" t="str">
        <f>IF(Liens!D463="","",IF(COUNTIF(Mots!A:A,Liens!D463)&gt;0,"✓ "&amp;Liens!D463,"✗ "&amp;Liens!D463&amp;" (introuvable)"))</f>
        <v>✓ v_vouloir</v>
      </c>
      <c r="F468" s="35" t="str">
        <f>IF(Liens!E463="","",IF(COUNTIF(Mots!A:A,Liens!E463)&gt;0,"✓ "&amp;Liens!E463,"✗ "&amp;Liens!E463&amp;" (introuvable)"))</f>
        <v>✓ v_choisir</v>
      </c>
      <c r="G468" s="35" t="str">
        <f>IF(Liens!F463="","",IF(COUNTIF(Mots!A:A,Liens!F463)&gt;0,"✓ "&amp;Liens!F463,"✗ "&amp;Liens!F463&amp;" (introuvable)"))</f>
        <v>✓ v_acheter</v>
      </c>
      <c r="H468" s="35" t="str">
        <f>IF(Liens!G463="","",IF(COUNTIF(Mots!A:A,Liens!G463)&gt;0,"✓ "&amp;Liens!G463,"✗ "&amp;Liens!G463&amp;" (introuvable)"))</f>
        <v/>
      </c>
      <c r="I468" s="35" t="str">
        <f>IF(Liens!H463="","",IF(COUNTIF(Mots!A:A,Liens!H463)&gt;0,"✓ "&amp;Liens!H463,"✗ "&amp;Liens!H463&amp;" (introuvable)"))</f>
        <v/>
      </c>
    </row>
    <row r="469" spans="1:9" x14ac:dyDescent="0.3">
      <c r="A469">
        <f t="shared" si="4"/>
        <v>464</v>
      </c>
      <c r="B469" s="35" t="str">
        <f>IF(Liens!A464="","",IF(COUNTIF(Mots!A:A,Liens!A464)&gt;0,"✓ "&amp;Liens!A464,"✗ "&amp;Liens!A464&amp;" (introuvable)"))</f>
        <v>✓ jamais</v>
      </c>
      <c r="C469" s="35" t="str">
        <f>IF(Liens!B464="","",IF(COUNTIF(Mots!A:A,Liens!B464)&gt;0,"✓ "&amp;Liens!B464,"✗ "&amp;Liens!B464&amp;" (introuvable)"))</f>
        <v>✓ toujours</v>
      </c>
      <c r="D469" s="35" t="str">
        <f>IF(Liens!C464="","",IF(COUNTIF(Mots!A:A,Liens!C464)&gt;0,"✓ "&amp;Liens!C464,"✗ "&amp;Liens!C464&amp;" (introuvable)"))</f>
        <v>✓ souvent</v>
      </c>
      <c r="E469" s="35" t="str">
        <f>IF(Liens!D464="","",IF(COUNTIF(Mots!A:A,Liens!D464)&gt;0,"✓ "&amp;Liens!D464,"✗ "&amp;Liens!D464&amp;" (introuvable)"))</f>
        <v>✓ parfois</v>
      </c>
      <c r="F469" s="35" t="str">
        <f>IF(Liens!E464="","",IF(COUNTIF(Mots!A:A,Liens!E464)&gt;0,"✓ "&amp;Liens!E464,"✗ "&amp;Liens!E464&amp;" (introuvable)"))</f>
        <v/>
      </c>
      <c r="G469" s="35" t="str">
        <f>IF(Liens!F464="","",IF(COUNTIF(Mots!A:A,Liens!F464)&gt;0,"✓ "&amp;Liens!F464,"✗ "&amp;Liens!F464&amp;" (introuvable)"))</f>
        <v/>
      </c>
      <c r="H469" s="35" t="str">
        <f>IF(Liens!G464="","",IF(COUNTIF(Mots!A:A,Liens!G464)&gt;0,"✓ "&amp;Liens!G464,"✗ "&amp;Liens!G464&amp;" (introuvable)"))</f>
        <v/>
      </c>
      <c r="I469" s="35" t="str">
        <f>IF(Liens!H464="","",IF(COUNTIF(Mots!A:A,Liens!H464)&gt;0,"✓ "&amp;Liens!H464,"✗ "&amp;Liens!H464&amp;" (introuvable)"))</f>
        <v/>
      </c>
    </row>
    <row r="470" spans="1:9" x14ac:dyDescent="0.3">
      <c r="A470">
        <f t="shared" si="4"/>
        <v>465</v>
      </c>
      <c r="B470" s="35" t="str">
        <f>IF(Liens!A465="","",IF(COUNTIF(Mots!A:A,Liens!A465)&gt;0,"✓ "&amp;Liens!A465,"✗ "&amp;Liens!A465&amp;" (introuvable)"))</f>
        <v>✓ jambe</v>
      </c>
      <c r="C470" s="35" t="str">
        <f>IF(Liens!B465="","",IF(COUNTIF(Mots!A:A,Liens!B465)&gt;0,"✓ "&amp;Liens!B465,"✗ "&amp;Liens!B465&amp;" (introuvable)"))</f>
        <v>✓ corps_humain</v>
      </c>
      <c r="D470" s="35" t="str">
        <f>IF(Liens!C465="","",IF(COUNTIF(Mots!A:A,Liens!C465)&gt;0,"✓ "&amp;Liens!C465,"✗ "&amp;Liens!C465&amp;" (introuvable)"))</f>
        <v>✓ cuisse</v>
      </c>
      <c r="E470" s="35" t="str">
        <f>IF(Liens!D465="","",IF(COUNTIF(Mots!A:A,Liens!D465)&gt;0,"✓ "&amp;Liens!D465,"✗ "&amp;Liens!D465&amp;" (introuvable)"))</f>
        <v>✓ genou</v>
      </c>
      <c r="F470" s="35" t="str">
        <f>IF(Liens!E465="","",IF(COUNTIF(Mots!A:A,Liens!E465)&gt;0,"✓ "&amp;Liens!E465,"✗ "&amp;Liens!E465&amp;" (introuvable)"))</f>
        <v>✓ pied</v>
      </c>
      <c r="G470" s="35" t="str">
        <f>IF(Liens!F465="","",IF(COUNTIF(Mots!A:A,Liens!F465)&gt;0,"✓ "&amp;Liens!F465,"✗ "&amp;Liens!F465&amp;" (introuvable)"))</f>
        <v/>
      </c>
      <c r="H470" s="35" t="str">
        <f>IF(Liens!G465="","",IF(COUNTIF(Mots!A:A,Liens!G465)&gt;0,"✓ "&amp;Liens!G465,"✗ "&amp;Liens!G465&amp;" (introuvable)"))</f>
        <v/>
      </c>
      <c r="I470" s="35" t="str">
        <f>IF(Liens!H465="","",IF(COUNTIF(Mots!A:A,Liens!H465)&gt;0,"✓ "&amp;Liens!H465,"✗ "&amp;Liens!H465&amp;" (introuvable)"))</f>
        <v/>
      </c>
    </row>
    <row r="471" spans="1:9" x14ac:dyDescent="0.3">
      <c r="A471">
        <f t="shared" si="4"/>
        <v>466</v>
      </c>
      <c r="B471" s="35" t="str">
        <f>IF(Liens!A466="","",IF(COUNTIF(Mots!A:A,Liens!A466)&gt;0,"✓ "&amp;Liens!A466,"✗ "&amp;Liens!A466&amp;" (introuvable)"))</f>
        <v>✓ jambon</v>
      </c>
      <c r="C471" s="35" t="str">
        <f>IF(Liens!B466="","",IF(COUNTIF(Mots!A:A,Liens!B466)&gt;0,"✓ "&amp;Liens!B466,"✗ "&amp;Liens!B466&amp;" (introuvable)"))</f>
        <v>✓ cochon</v>
      </c>
      <c r="D471" s="35" t="str">
        <f>IF(Liens!C466="","",IF(COUNTIF(Mots!A:A,Liens!C466)&gt;0,"✓ "&amp;Liens!C466,"✗ "&amp;Liens!C466&amp;" (introuvable)"))</f>
        <v>✓ patte</v>
      </c>
      <c r="E471" s="35" t="str">
        <f>IF(Liens!D466="","",IF(COUNTIF(Mots!A:A,Liens!D466)&gt;0,"✓ "&amp;Liens!D466,"✗ "&amp;Liens!D466&amp;" (introuvable)"))</f>
        <v>✓ graisse</v>
      </c>
      <c r="F471" s="35" t="str">
        <f>IF(Liens!E466="","",IF(COUNTIF(Mots!A:A,Liens!E466)&gt;0,"✓ "&amp;Liens!E466,"✗ "&amp;Liens!E466&amp;" (introuvable)"))</f>
        <v>✓ v_manger</v>
      </c>
      <c r="G471" s="35" t="str">
        <f>IF(Liens!F466="","",IF(COUNTIF(Mots!A:A,Liens!F466)&gt;0,"✓ "&amp;Liens!F466,"✗ "&amp;Liens!F466&amp;" (introuvable)"))</f>
        <v/>
      </c>
      <c r="H471" s="35" t="str">
        <f>IF(Liens!G466="","",IF(COUNTIF(Mots!A:A,Liens!G466)&gt;0,"✓ "&amp;Liens!G466,"✗ "&amp;Liens!G466&amp;" (introuvable)"))</f>
        <v/>
      </c>
      <c r="I471" s="35" t="str">
        <f>IF(Liens!H466="","",IF(COUNTIF(Mots!A:A,Liens!H466)&gt;0,"✓ "&amp;Liens!H466,"✗ "&amp;Liens!H466&amp;" (introuvable)"))</f>
        <v/>
      </c>
    </row>
    <row r="472" spans="1:9" x14ac:dyDescent="0.3">
      <c r="A472">
        <f t="shared" si="4"/>
        <v>467</v>
      </c>
      <c r="B472" s="35" t="str">
        <f>IF(Liens!A467="","",IF(COUNTIF(Mots!A:A,Liens!A467)&gt;0,"✓ "&amp;Liens!A467,"✗ "&amp;Liens!A467&amp;" (introuvable)"))</f>
        <v>✓ jardin</v>
      </c>
      <c r="C472" s="35" t="str">
        <f>IF(Liens!B467="","",IF(COUNTIF(Mots!A:A,Liens!B467)&gt;0,"✓ "&amp;Liens!B467,"✗ "&amp;Liens!B467&amp;" (introuvable)"))</f>
        <v>✓ maison</v>
      </c>
      <c r="D472" s="35" t="str">
        <f>IF(Liens!C467="","",IF(COUNTIF(Mots!A:A,Liens!C467)&gt;0,"✓ "&amp;Liens!C467,"✗ "&amp;Liens!C467&amp;" (introuvable)"))</f>
        <v>✓ e_terre</v>
      </c>
      <c r="E472" s="35" t="str">
        <f>IF(Liens!D467="","",IF(COUNTIF(Mots!A:A,Liens!D467)&gt;0,"✓ "&amp;Liens!D467,"✗ "&amp;Liens!D467&amp;" (introuvable)"))</f>
        <v>✓ salade_laitue</v>
      </c>
      <c r="F472" s="35" t="str">
        <f>IF(Liens!E467="","",IF(COUNTIF(Mots!A:A,Liens!E467)&gt;0,"✓ "&amp;Liens!E467,"✗ "&amp;Liens!E467&amp;" (introuvable)"))</f>
        <v>✓ carotte</v>
      </c>
      <c r="G472" s="35" t="str">
        <f>IF(Liens!F467="","",IF(COUNTIF(Mots!A:A,Liens!F467)&gt;0,"✓ "&amp;Liens!F467,"✗ "&amp;Liens!F467&amp;" (introuvable)"))</f>
        <v>✓ chou_fleur</v>
      </c>
      <c r="H472" s="35" t="str">
        <f>IF(Liens!G467="","",IF(COUNTIF(Mots!A:A,Liens!G467)&gt;0,"✓ "&amp;Liens!G467,"✗ "&amp;Liens!G467&amp;" (introuvable)"))</f>
        <v>✓ haricot</v>
      </c>
      <c r="I472" s="35" t="str">
        <f>IF(Liens!H467="","",IF(COUNTIF(Mots!A:A,Liens!H467)&gt;0,"✓ "&amp;Liens!H467,"✗ "&amp;Liens!H467&amp;" (introuvable)"))</f>
        <v>✓ tomate</v>
      </c>
    </row>
    <row r="473" spans="1:9" x14ac:dyDescent="0.3">
      <c r="A473">
        <f t="shared" si="4"/>
        <v>468</v>
      </c>
      <c r="B473" s="35" t="str">
        <f>IF(Liens!A468="","",IF(COUNTIF(Mots!A:A,Liens!A468)&gt;0,"✓ "&amp;Liens!A468,"✗ "&amp;Liens!A468&amp;" (introuvable)"))</f>
        <v>✓ jardinage</v>
      </c>
      <c r="C473" s="35" t="str">
        <f>IF(Liens!B468="","",IF(COUNTIF(Mots!A:A,Liens!B468)&gt;0,"✓ "&amp;Liens!B468,"✗ "&amp;Liens!B468&amp;" (introuvable)"))</f>
        <v>✓ plante</v>
      </c>
      <c r="D473" s="35" t="str">
        <f>IF(Liens!C468="","",IF(COUNTIF(Mots!A:A,Liens!C468)&gt;0,"✓ "&amp;Liens!C468,"✗ "&amp;Liens!C468&amp;" (introuvable)"))</f>
        <v>✓ jardin</v>
      </c>
      <c r="E473" s="35" t="str">
        <f>IF(Liens!D468="","",IF(COUNTIF(Mots!A:A,Liens!D468)&gt;0,"✓ "&amp;Liens!D468,"✗ "&amp;Liens!D468&amp;" (introuvable)"))</f>
        <v>✓ legume</v>
      </c>
      <c r="F473" s="35" t="str">
        <f>IF(Liens!E468="","",IF(COUNTIF(Mots!A:A,Liens!E468)&gt;0,"✓ "&amp;Liens!E468,"✗ "&amp;Liens!E468&amp;" (introuvable)"))</f>
        <v>✓ e_terre</v>
      </c>
      <c r="G473" s="35" t="str">
        <f>IF(Liens!F468="","",IF(COUNTIF(Mots!A:A,Liens!F468)&gt;0,"✓ "&amp;Liens!F468,"✗ "&amp;Liens!F468&amp;" (introuvable)"))</f>
        <v>✓ graine</v>
      </c>
      <c r="H473" s="35" t="str">
        <f>IF(Liens!G468="","",IF(COUNTIF(Mots!A:A,Liens!G468)&gt;0,"✓ "&amp;Liens!G468,"✗ "&amp;Liens!G468&amp;" (introuvable)"))</f>
        <v>✓ fleur</v>
      </c>
      <c r="I473" s="35" t="str">
        <f>IF(Liens!H468="","",IF(COUNTIF(Mots!A:A,Liens!H468)&gt;0,"✓ "&amp;Liens!H468,"✗ "&amp;Liens!H468&amp;" (introuvable)"))</f>
        <v/>
      </c>
    </row>
    <row r="474" spans="1:9" x14ac:dyDescent="0.3">
      <c r="A474">
        <f t="shared" si="4"/>
        <v>469</v>
      </c>
      <c r="B474" s="35" t="str">
        <f>IF(Liens!A469="","",IF(COUNTIF(Mots!A:A,Liens!A469)&gt;0,"✓ "&amp;Liens!A469,"✗ "&amp;Liens!A469&amp;" (introuvable)"))</f>
        <v>✓ jeu</v>
      </c>
      <c r="C474" s="35" t="str">
        <f>IF(Liens!B469="","",IF(COUNTIF(Mots!A:A,Liens!B469)&gt;0,"✓ "&amp;Liens!B469,"✗ "&amp;Liens!B469&amp;" (introuvable)"))</f>
        <v>✓ enfants</v>
      </c>
      <c r="D474" s="35" t="str">
        <f>IF(Liens!C469="","",IF(COUNTIF(Mots!A:A,Liens!C469)&gt;0,"✓ "&amp;Liens!C469,"✗ "&amp;Liens!C469&amp;" (introuvable)"))</f>
        <v>✓ ecole</v>
      </c>
      <c r="E474" s="35" t="str">
        <f>IF(Liens!D469="","",IF(COUNTIF(Mots!A:A,Liens!D469)&gt;0,"✓ "&amp;Liens!D469,"✗ "&amp;Liens!D469&amp;" (introuvable)"))</f>
        <v>✓ v_jouer</v>
      </c>
      <c r="F474" s="35" t="str">
        <f>IF(Liens!E469="","",IF(COUNTIF(Mots!A:A,Liens!E469)&gt;0,"✓ "&amp;Liens!E469,"✗ "&amp;Liens!E469&amp;" (introuvable)"))</f>
        <v>✓ puzzle</v>
      </c>
      <c r="G474" s="35" t="str">
        <f>IF(Liens!F469="","",IF(COUNTIF(Mots!A:A,Liens!F469)&gt;0,"✓ "&amp;Liens!F469,"✗ "&amp;Liens!F469&amp;" (introuvable)"))</f>
        <v/>
      </c>
      <c r="H474" s="35" t="str">
        <f>IF(Liens!G469="","",IF(COUNTIF(Mots!A:A,Liens!G469)&gt;0,"✓ "&amp;Liens!G469,"✗ "&amp;Liens!G469&amp;" (introuvable)"))</f>
        <v/>
      </c>
      <c r="I474" s="35" t="str">
        <f>IF(Liens!H469="","",IF(COUNTIF(Mots!A:A,Liens!H469)&gt;0,"✓ "&amp;Liens!H469,"✗ "&amp;Liens!H469&amp;" (introuvable)"))</f>
        <v/>
      </c>
    </row>
    <row r="475" spans="1:9" x14ac:dyDescent="0.3">
      <c r="A475">
        <f t="shared" si="4"/>
        <v>470</v>
      </c>
      <c r="B475" s="35" t="str">
        <f>IF(Liens!A470="","",IF(COUNTIF(Mots!A:A,Liens!A470)&gt;0,"✓ "&amp;Liens!A470,"✗ "&amp;Liens!A470&amp;" (introuvable)"))</f>
        <v>✓ joie</v>
      </c>
      <c r="C475" s="35" t="str">
        <f>IF(Liens!B470="","",IF(COUNTIF(Mots!A:A,Liens!B470)&gt;0,"✓ "&amp;Liens!B470,"✗ "&amp;Liens!B470&amp;" (introuvable)"))</f>
        <v>✓ visage</v>
      </c>
      <c r="D475" s="35" t="str">
        <f>IF(Liens!C470="","",IF(COUNTIF(Mots!A:A,Liens!C470)&gt;0,"✓ "&amp;Liens!C470,"✗ "&amp;Liens!C470&amp;" (introuvable)"))</f>
        <v>✓ bouche</v>
      </c>
      <c r="E475" s="35" t="str">
        <f>IF(Liens!D470="","",IF(COUNTIF(Mots!A:A,Liens!D470)&gt;0,"✓ "&amp;Liens!D470,"✗ "&amp;Liens!D470&amp;" (introuvable)"))</f>
        <v>✓ levre</v>
      </c>
      <c r="F475" s="35" t="str">
        <f>IF(Liens!E470="","",IF(COUNTIF(Mots!A:A,Liens!E470)&gt;0,"✓ "&amp;Liens!E470,"✗ "&amp;Liens!E470&amp;" (introuvable)"))</f>
        <v>✓ a_heureux</v>
      </c>
      <c r="G475" s="35" t="str">
        <f>IF(Liens!F470="","",IF(COUNTIF(Mots!A:A,Liens!F470)&gt;0,"✓ "&amp;Liens!F470,"✗ "&amp;Liens!F470&amp;" (introuvable)"))</f>
        <v>✓ gaiete</v>
      </c>
      <c r="H475" s="35" t="str">
        <f>IF(Liens!G470="","",IF(COUNTIF(Mots!A:A,Liens!G470)&gt;0,"✓ "&amp;Liens!G470,"✗ "&amp;Liens!G470&amp;" (introuvable)"))</f>
        <v>✓ a_joyeux</v>
      </c>
      <c r="I475" s="35" t="str">
        <f>IF(Liens!H470="","",IF(COUNTIF(Mots!A:A,Liens!H470)&gt;0,"✓ "&amp;Liens!H470,"✗ "&amp;Liens!H470&amp;" (introuvable)"))</f>
        <v>✓ a_content_triste</v>
      </c>
    </row>
    <row r="476" spans="1:9" x14ac:dyDescent="0.3">
      <c r="A476">
        <f t="shared" si="4"/>
        <v>471</v>
      </c>
      <c r="B476" s="35" t="str">
        <f>IF(Liens!A471="","",IF(COUNTIF(Mots!A:A,Liens!A471)&gt;0,"✓ "&amp;Liens!A471,"✗ "&amp;Liens!A471&amp;" (introuvable)"))</f>
        <v>✓ joue</v>
      </c>
      <c r="C476" s="35" t="str">
        <f>IF(Liens!B471="","",IF(COUNTIF(Mots!A:A,Liens!B471)&gt;0,"✓ "&amp;Liens!B471,"✗ "&amp;Liens!B471&amp;" (introuvable)"))</f>
        <v>✓ tete</v>
      </c>
      <c r="D476" s="35" t="str">
        <f>IF(Liens!C471="","",IF(COUNTIF(Mots!A:A,Liens!C471)&gt;0,"✓ "&amp;Liens!C471,"✗ "&amp;Liens!C471&amp;" (introuvable)"))</f>
        <v>✓ visage</v>
      </c>
      <c r="E476" s="35" t="str">
        <f>IF(Liens!D471="","",IF(COUNTIF(Mots!A:A,Liens!D471)&gt;0,"✓ "&amp;Liens!D471,"✗ "&amp;Liens!D471&amp;" (introuvable)"))</f>
        <v>✓ bouche</v>
      </c>
      <c r="F476" s="35" t="str">
        <f>IF(Liens!E471="","",IF(COUNTIF(Mots!A:A,Liens!E471)&gt;0,"✓ "&amp;Liens!E471,"✗ "&amp;Liens!E471&amp;" (introuvable)"))</f>
        <v>✓ oeil</v>
      </c>
      <c r="G476" s="35" t="str">
        <f>IF(Liens!F471="","",IF(COUNTIF(Mots!A:A,Liens!F471)&gt;0,"✓ "&amp;Liens!F471,"✗ "&amp;Liens!F471&amp;" (introuvable)"))</f>
        <v>✓ corps_humain</v>
      </c>
      <c r="H476" s="35" t="str">
        <f>IF(Liens!G471="","",IF(COUNTIF(Mots!A:A,Liens!G471)&gt;0,"✓ "&amp;Liens!G471,"✗ "&amp;Liens!G471&amp;" (introuvable)"))</f>
        <v/>
      </c>
      <c r="I476" s="35" t="str">
        <f>IF(Liens!H471="","",IF(COUNTIF(Mots!A:A,Liens!H471)&gt;0,"✓ "&amp;Liens!H471,"✗ "&amp;Liens!H471&amp;" (introuvable)"))</f>
        <v/>
      </c>
    </row>
    <row r="477" spans="1:9" x14ac:dyDescent="0.3">
      <c r="A477">
        <f t="shared" si="4"/>
        <v>472</v>
      </c>
      <c r="B477" s="35" t="str">
        <f>IF(Liens!A472="","",IF(COUNTIF(Mots!A:A,Liens!A472)&gt;0,"✓ "&amp;Liens!A472,"✗ "&amp;Liens!A472&amp;" (introuvable)"))</f>
        <v>✓ jouet</v>
      </c>
      <c r="C477" s="35" t="str">
        <f>IF(Liens!B472="","",IF(COUNTIF(Mots!A:A,Liens!B472)&gt;0,"✓ "&amp;Liens!B472,"✗ "&amp;Liens!B472&amp;" (introuvable)"))</f>
        <v>✓ enfants</v>
      </c>
      <c r="D477" s="35" t="str">
        <f>IF(Liens!C472="","",IF(COUNTIF(Mots!A:A,Liens!C472)&gt;0,"✓ "&amp;Liens!C472,"✗ "&amp;Liens!C472&amp;" (introuvable)"))</f>
        <v>✓ v_jouer</v>
      </c>
      <c r="E477" s="35" t="str">
        <f>IF(Liens!D472="","",IF(COUNTIF(Mots!A:A,Liens!D472)&gt;0,"✓ "&amp;Liens!D472,"✗ "&amp;Liens!D472&amp;" (introuvable)"))</f>
        <v>✓ jeu</v>
      </c>
      <c r="F477" s="35" t="str">
        <f>IF(Liens!E472="","",IF(COUNTIF(Mots!A:A,Liens!E472)&gt;0,"✓ "&amp;Liens!E472,"✗ "&amp;Liens!E472&amp;" (introuvable)"))</f>
        <v/>
      </c>
      <c r="G477" s="35" t="str">
        <f>IF(Liens!F472="","",IF(COUNTIF(Mots!A:A,Liens!F472)&gt;0,"✓ "&amp;Liens!F472,"✗ "&amp;Liens!F472&amp;" (introuvable)"))</f>
        <v/>
      </c>
      <c r="H477" s="35" t="str">
        <f>IF(Liens!G472="","",IF(COUNTIF(Mots!A:A,Liens!G472)&gt;0,"✓ "&amp;Liens!G472,"✗ "&amp;Liens!G472&amp;" (introuvable)"))</f>
        <v/>
      </c>
      <c r="I477" s="35" t="str">
        <f>IF(Liens!H472="","",IF(COUNTIF(Mots!A:A,Liens!H472)&gt;0,"✓ "&amp;Liens!H472,"✗ "&amp;Liens!H472&amp;" (introuvable)"))</f>
        <v/>
      </c>
    </row>
    <row r="478" spans="1:9" x14ac:dyDescent="0.3">
      <c r="A478">
        <f t="shared" si="4"/>
        <v>473</v>
      </c>
      <c r="B478" s="35" t="str">
        <f>IF(Liens!A473="","",IF(COUNTIF(Mots!A:A,Liens!A473)&gt;0,"✓ "&amp;Liens!A473,"✗ "&amp;Liens!A473&amp;" (introuvable)"))</f>
        <v>✓ jour</v>
      </c>
      <c r="C478" s="35" t="str">
        <f>IF(Liens!B473="","",IF(COUNTIF(Mots!A:A,Liens!B473)&gt;0,"✓ "&amp;Liens!B473,"✗ "&amp;Liens!B473&amp;" (introuvable)"))</f>
        <v>✓ soleil</v>
      </c>
      <c r="D478" s="35" t="str">
        <f>IF(Liens!C473="","",IF(COUNTIF(Mots!A:A,Liens!C473)&gt;0,"✓ "&amp;Liens!C473,"✗ "&amp;Liens!C473&amp;" (introuvable)"))</f>
        <v>✓ tot</v>
      </c>
      <c r="E478" s="35" t="str">
        <f>IF(Liens!D473="","",IF(COUNTIF(Mots!A:A,Liens!D473)&gt;0,"✓ "&amp;Liens!D473,"✗ "&amp;Liens!D473&amp;" (introuvable)"))</f>
        <v>✓ v_travailler</v>
      </c>
      <c r="F478" s="35" t="str">
        <f>IF(Liens!E473="","",IF(COUNTIF(Mots!A:A,Liens!E473)&gt;0,"✓ "&amp;Liens!E473,"✗ "&amp;Liens!E473&amp;" (introuvable)"))</f>
        <v>✓ lumiere</v>
      </c>
      <c r="G478" s="35" t="str">
        <f>IF(Liens!F473="","",IF(COUNTIF(Mots!A:A,Liens!F473)&gt;0,"✓ "&amp;Liens!F473,"✗ "&amp;Liens!F473&amp;" (introuvable)"))</f>
        <v>✓ nuit</v>
      </c>
      <c r="H478" s="35" t="str">
        <f>IF(Liens!G473="","",IF(COUNTIF(Mots!A:A,Liens!G473)&gt;0,"✓ "&amp;Liens!G473,"✗ "&amp;Liens!G473&amp;" (introuvable)"))</f>
        <v>✓ chambre</v>
      </c>
      <c r="I478" s="35" t="str">
        <f>IF(Liens!H473="","",IF(COUNTIF(Mots!A:A,Liens!H473)&gt;0,"✓ "&amp;Liens!H473,"✗ "&amp;Liens!H473&amp;" (introuvable)"))</f>
        <v>✓ lit</v>
      </c>
    </row>
    <row r="479" spans="1:9" x14ac:dyDescent="0.3">
      <c r="A479">
        <f t="shared" si="4"/>
        <v>474</v>
      </c>
      <c r="B479" s="35" t="str">
        <f>IF(Liens!A474="","",IF(COUNTIF(Mots!A:A,Liens!A474)&gt;0,"✓ "&amp;Liens!A474,"✗ "&amp;Liens!A474&amp;" (introuvable)"))</f>
        <v>✓ journee</v>
      </c>
      <c r="C479" s="35" t="str">
        <f>IF(Liens!B474="","",IF(COUNTIF(Mots!A:A,Liens!B474)&gt;0,"✓ "&amp;Liens!B474,"✗ "&amp;Liens!B474&amp;" (introuvable)"))</f>
        <v>✓ matin</v>
      </c>
      <c r="D479" s="35" t="str">
        <f>IF(Liens!C474="","",IF(COUNTIF(Mots!A:A,Liens!C474)&gt;0,"✓ "&amp;Liens!C474,"✗ "&amp;Liens!C474&amp;" (introuvable)"))</f>
        <v>✓ soir</v>
      </c>
      <c r="E479" s="35" t="str">
        <f>IF(Liens!D474="","",IF(COUNTIF(Mots!A:A,Liens!D474)&gt;0,"✓ "&amp;Liens!D474,"✗ "&amp;Liens!D474&amp;" (introuvable)"))</f>
        <v>✓ midi</v>
      </c>
      <c r="F479" s="35" t="str">
        <f>IF(Liens!E474="","",IF(COUNTIF(Mots!A:A,Liens!E474)&gt;0,"✓ "&amp;Liens!E474,"✗ "&amp;Liens!E474&amp;" (introuvable)"))</f>
        <v>✓ duree</v>
      </c>
      <c r="G479" s="35" t="str">
        <f>IF(Liens!F474="","",IF(COUNTIF(Mots!A:A,Liens!F474)&gt;0,"✓ "&amp;Liens!F474,"✗ "&amp;Liens!F474&amp;" (introuvable)"))</f>
        <v>✓ heure</v>
      </c>
      <c r="H479" s="35" t="str">
        <f>IF(Liens!G474="","",IF(COUNTIF(Mots!A:A,Liens!G474)&gt;0,"✓ "&amp;Liens!G474,"✗ "&amp;Liens!G474&amp;" (introuvable)"))</f>
        <v>✓ semaine</v>
      </c>
      <c r="I479" s="35" t="str">
        <f>IF(Liens!H474="","",IF(COUNTIF(Mots!A:A,Liens!H474)&gt;0,"✓ "&amp;Liens!H474,"✗ "&amp;Liens!H474&amp;" (introuvable)"))</f>
        <v>✓ reveil</v>
      </c>
    </row>
    <row r="480" spans="1:9" x14ac:dyDescent="0.3">
      <c r="A480">
        <f t="shared" si="4"/>
        <v>475</v>
      </c>
      <c r="B480" s="35" t="str">
        <f>IF(Liens!A475="","",IF(COUNTIF(Mots!A:A,Liens!A475)&gt;0,"✓ "&amp;Liens!A475,"✗ "&amp;Liens!A475&amp;" (introuvable)"))</f>
        <v>✓ jupe</v>
      </c>
      <c r="C480" s="35" t="str">
        <f>IF(Liens!B475="","",IF(COUNTIF(Mots!A:A,Liens!B475)&gt;0,"✓ "&amp;Liens!B475,"✗ "&amp;Liens!B475&amp;" (introuvable)"))</f>
        <v>✓ vetement</v>
      </c>
      <c r="D480" s="35" t="str">
        <f>IF(Liens!C475="","",IF(COUNTIF(Mots!A:A,Liens!C475)&gt;0,"✓ "&amp;Liens!C475,"✗ "&amp;Liens!C475&amp;" (introuvable)"))</f>
        <v>✓ femme</v>
      </c>
      <c r="E480" s="35" t="str">
        <f>IF(Liens!D475="","",IF(COUNTIF(Mots!A:A,Liens!D475)&gt;0,"✓ "&amp;Liens!D475,"✗ "&amp;Liens!D475&amp;" (introuvable)"))</f>
        <v>✓ fille</v>
      </c>
      <c r="F480" s="35" t="str">
        <f>IF(Liens!E475="","",IF(COUNTIF(Mots!A:A,Liens!E475)&gt;0,"✓ "&amp;Liens!E475,"✗ "&amp;Liens!E475&amp;" (introuvable)"))</f>
        <v>✓ feminin</v>
      </c>
      <c r="G480" s="35" t="str">
        <f>IF(Liens!F475="","",IF(COUNTIF(Mots!A:A,Liens!F475)&gt;0,"✓ "&amp;Liens!F475,"✗ "&amp;Liens!F475&amp;" (introuvable)"))</f>
        <v>✓ robe</v>
      </c>
      <c r="H480" s="35" t="str">
        <f>IF(Liens!G475="","",IF(COUNTIF(Mots!A:A,Liens!G475)&gt;0,"✓ "&amp;Liens!G475,"✗ "&amp;Liens!G475&amp;" (introuvable)"))</f>
        <v/>
      </c>
      <c r="I480" s="35" t="str">
        <f>IF(Liens!H475="","",IF(COUNTIF(Mots!A:A,Liens!H475)&gt;0,"✓ "&amp;Liens!H475,"✗ "&amp;Liens!H475&amp;" (introuvable)"))</f>
        <v/>
      </c>
    </row>
    <row r="481" spans="1:9" x14ac:dyDescent="0.3">
      <c r="A481">
        <f t="shared" si="4"/>
        <v>476</v>
      </c>
      <c r="B481" s="35" t="str">
        <f>IF(Liens!A476="","",IF(COUNTIF(Mots!A:A,Liens!A476)&gt;0,"✓ "&amp;Liens!A476,"✗ "&amp;Liens!A476&amp;" (introuvable)"))</f>
        <v>✓ jus</v>
      </c>
      <c r="C481" s="35" t="str">
        <f>IF(Liens!B476="","",IF(COUNTIF(Mots!A:A,Liens!B476)&gt;0,"✓ "&amp;Liens!B476,"✗ "&amp;Liens!B476&amp;" (introuvable)"))</f>
        <v>✓ liquide</v>
      </c>
      <c r="D481" s="35" t="str">
        <f>IF(Liens!C476="","",IF(COUNTIF(Mots!A:A,Liens!C476)&gt;0,"✓ "&amp;Liens!C476,"✗ "&amp;Liens!C476&amp;" (introuvable)"))</f>
        <v>✓ fruit</v>
      </c>
      <c r="E481" s="35" t="str">
        <f>IF(Liens!D476="","",IF(COUNTIF(Mots!A:A,Liens!D476)&gt;0,"✓ "&amp;Liens!D476,"✗ "&amp;Liens!D476&amp;" (introuvable)"))</f>
        <v>✓ v_boire</v>
      </c>
      <c r="F481" s="35" t="str">
        <f>IF(Liens!E476="","",IF(COUNTIF(Mots!A:A,Liens!E476)&gt;0,"✓ "&amp;Liens!E476,"✗ "&amp;Liens!E476&amp;" (introuvable)"))</f>
        <v>✓ jus_de_pomme</v>
      </c>
      <c r="G481" s="35" t="str">
        <f>IF(Liens!F476="","",IF(COUNTIF(Mots!A:A,Liens!F476)&gt;0,"✓ "&amp;Liens!F476,"✗ "&amp;Liens!F476&amp;" (introuvable)"))</f>
        <v>✓ jus_dorange</v>
      </c>
      <c r="H481" s="35" t="str">
        <f>IF(Liens!G476="","",IF(COUNTIF(Mots!A:A,Liens!G476)&gt;0,"✓ "&amp;Liens!G476,"✗ "&amp;Liens!G476&amp;" (introuvable)"))</f>
        <v>✓ dejeuner</v>
      </c>
      <c r="I481" s="35" t="str">
        <f>IF(Liens!H476="","",IF(COUNTIF(Mots!A:A,Liens!H476)&gt;0,"✓ "&amp;Liens!H476,"✗ "&amp;Liens!H476&amp;" (introuvable)"))</f>
        <v>✓ boisson</v>
      </c>
    </row>
    <row r="482" spans="1:9" x14ac:dyDescent="0.3">
      <c r="A482">
        <f t="shared" si="4"/>
        <v>477</v>
      </c>
      <c r="B482" s="35" t="str">
        <f>IF(Liens!A477="","",IF(COUNTIF(Mots!A:A,Liens!A477)&gt;0,"✓ "&amp;Liens!A477,"✗ "&amp;Liens!A477&amp;" (introuvable)"))</f>
        <v>✓ juste</v>
      </c>
      <c r="C482" s="35" t="str">
        <f>IF(Liens!B477="","",IF(COUNTIF(Mots!A:A,Liens!B477)&gt;0,"✓ "&amp;Liens!B477,"✗ "&amp;Liens!B477&amp;" (introuvable)"))</f>
        <v>✓ correct</v>
      </c>
      <c r="D482" s="35" t="str">
        <f>IF(Liens!C477="","",IF(COUNTIF(Mots!A:A,Liens!C477)&gt;0,"✓ "&amp;Liens!C477,"✗ "&amp;Liens!C477&amp;" (introuvable)"))</f>
        <v>✓ a_equitable</v>
      </c>
      <c r="E482" s="35" t="str">
        <f>IF(Liens!D477="","",IF(COUNTIF(Mots!A:A,Liens!D477)&gt;0,"✓ "&amp;Liens!D477,"✗ "&amp;Liens!D477&amp;" (introuvable)"))</f>
        <v>✓ exact</v>
      </c>
      <c r="F482" s="35" t="str">
        <f>IF(Liens!E477="","",IF(COUNTIF(Mots!A:A,Liens!E477)&gt;0,"✓ "&amp;Liens!E477,"✗ "&amp;Liens!E477&amp;" (introuvable)"))</f>
        <v/>
      </c>
      <c r="G482" s="35" t="str">
        <f>IF(Liens!F477="","",IF(COUNTIF(Mots!A:A,Liens!F477)&gt;0,"✓ "&amp;Liens!F477,"✗ "&amp;Liens!F477&amp;" (introuvable)"))</f>
        <v/>
      </c>
      <c r="H482" s="35" t="str">
        <f>IF(Liens!G477="","",IF(COUNTIF(Mots!A:A,Liens!G477)&gt;0,"✓ "&amp;Liens!G477,"✗ "&amp;Liens!G477&amp;" (introuvable)"))</f>
        <v/>
      </c>
      <c r="I482" s="35" t="str">
        <f>IF(Liens!H477="","",IF(COUNTIF(Mots!A:A,Liens!H477)&gt;0,"✓ "&amp;Liens!H477,"✗ "&amp;Liens!H477&amp;" (introuvable)"))</f>
        <v/>
      </c>
    </row>
    <row r="483" spans="1:9" x14ac:dyDescent="0.3">
      <c r="A483">
        <f t="shared" si="4"/>
        <v>478</v>
      </c>
      <c r="B483" s="35" t="str">
        <f>IF(Liens!A478="","",IF(COUNTIF(Mots!A:A,Liens!A478)&gt;0,"✓ "&amp;Liens!A478,"✗ "&amp;Liens!A478&amp;" (introuvable)"))</f>
        <v>✓ klaxon</v>
      </c>
      <c r="C483" s="35" t="str">
        <f>IF(Liens!B478="","",IF(COUNTIF(Mots!A:A,Liens!B478)&gt;0,"✓ "&amp;Liens!B478,"✗ "&amp;Liens!B478&amp;" (introuvable)"))</f>
        <v>✓ voiture</v>
      </c>
      <c r="D483" s="35" t="str">
        <f>IF(Liens!C478="","",IF(COUNTIF(Mots!A:A,Liens!C478)&gt;0,"✓ "&amp;Liens!C478,"✗ "&amp;Liens!C478&amp;" (introuvable)"))</f>
        <v>✓ bruit</v>
      </c>
      <c r="E483" s="35" t="str">
        <f>IF(Liens!D478="","",IF(COUNTIF(Mots!A:A,Liens!D478)&gt;0,"✓ "&amp;Liens!D478,"✗ "&amp;Liens!D478&amp;" (introuvable)"))</f>
        <v>✓ son</v>
      </c>
      <c r="F483" s="35" t="str">
        <f>IF(Liens!E478="","",IF(COUNTIF(Mots!A:A,Liens!E478)&gt;0,"✓ "&amp;Liens!E478,"✗ "&amp;Liens!E478&amp;" (introuvable)"))</f>
        <v>✓ v_entendre</v>
      </c>
      <c r="G483" s="35" t="str">
        <f>IF(Liens!F478="","",IF(COUNTIF(Mots!A:A,Liens!F478)&gt;0,"✓ "&amp;Liens!F478,"✗ "&amp;Liens!F478&amp;" (introuvable)"))</f>
        <v>✓ danger</v>
      </c>
      <c r="H483" s="35" t="str">
        <f>IF(Liens!G478="","",IF(COUNTIF(Mots!A:A,Liens!G478)&gt;0,"✓ "&amp;Liens!G478,"✗ "&amp;Liens!G478&amp;" (introuvable)"))</f>
        <v>✓ volant</v>
      </c>
      <c r="I483" s="35" t="str">
        <f>IF(Liens!H478="","",IF(COUNTIF(Mots!A:A,Liens!H478)&gt;0,"✓ "&amp;Liens!H478,"✗ "&amp;Liens!H478&amp;" (introuvable)"))</f>
        <v/>
      </c>
    </row>
    <row r="484" spans="1:9" x14ac:dyDescent="0.3">
      <c r="A484">
        <f t="shared" si="4"/>
        <v>479</v>
      </c>
      <c r="B484" s="35" t="str">
        <f>IF(Liens!A479="","",IF(COUNTIF(Mots!A:A,Liens!A479)&gt;0,"✓ "&amp;Liens!A479,"✗ "&amp;Liens!A479&amp;" (introuvable)"))</f>
        <v>✓ la</v>
      </c>
      <c r="C484" s="35" t="str">
        <f>IF(Liens!B479="","",IF(COUNTIF(Mots!A:A,Liens!B479)&gt;0,"✓ "&amp;Liens!B479,"✗ "&amp;Liens!B479&amp;" (introuvable)"))</f>
        <v>✓ endroit</v>
      </c>
      <c r="D484" s="35" t="str">
        <f>IF(Liens!C479="","",IF(COUNTIF(Mots!A:A,Liens!C479)&gt;0,"✓ "&amp;Liens!C479,"✗ "&amp;Liens!C479&amp;" (introuvable)"))</f>
        <v>✓ ici</v>
      </c>
      <c r="E484" s="35" t="str">
        <f>IF(Liens!D479="","",IF(COUNTIF(Mots!A:A,Liens!D479)&gt;0,"✓ "&amp;Liens!D479,"✗ "&amp;Liens!D479&amp;" (introuvable)"))</f>
        <v>✓ ailleurs</v>
      </c>
      <c r="F484" s="35" t="str">
        <f>IF(Liens!E479="","",IF(COUNTIF(Mots!A:A,Liens!E479)&gt;0,"✓ "&amp;Liens!E479,"✗ "&amp;Liens!E479&amp;" (introuvable)"))</f>
        <v/>
      </c>
      <c r="G484" s="35" t="str">
        <f>IF(Liens!F479="","",IF(COUNTIF(Mots!A:A,Liens!F479)&gt;0,"✓ "&amp;Liens!F479,"✗ "&amp;Liens!F479&amp;" (introuvable)"))</f>
        <v/>
      </c>
      <c r="H484" s="35" t="str">
        <f>IF(Liens!G479="","",IF(COUNTIF(Mots!A:A,Liens!G479)&gt;0,"✓ "&amp;Liens!G479,"✗ "&amp;Liens!G479&amp;" (introuvable)"))</f>
        <v/>
      </c>
      <c r="I484" s="35" t="str">
        <f>IF(Liens!H479="","",IF(COUNTIF(Mots!A:A,Liens!H479)&gt;0,"✓ "&amp;Liens!H479,"✗ "&amp;Liens!H479&amp;" (introuvable)"))</f>
        <v/>
      </c>
    </row>
    <row r="485" spans="1:9" x14ac:dyDescent="0.3">
      <c r="A485">
        <f t="shared" si="4"/>
        <v>480</v>
      </c>
      <c r="B485" s="35" t="str">
        <f>IF(Liens!A480="","",IF(COUNTIF(Mots!A:A,Liens!A480)&gt;0,"✓ "&amp;Liens!A480,"✗ "&amp;Liens!A480&amp;" (introuvable)"))</f>
        <v>✓ lac</v>
      </c>
      <c r="C485" s="35" t="str">
        <f>IF(Liens!B480="","",IF(COUNTIF(Mots!A:A,Liens!B480)&gt;0,"✓ "&amp;Liens!B480,"✗ "&amp;Liens!B480&amp;" (introuvable)"))</f>
        <v>✓ eau</v>
      </c>
      <c r="D485" s="35" t="str">
        <f>IF(Liens!C480="","",IF(COUNTIF(Mots!A:A,Liens!C480)&gt;0,"✓ "&amp;Liens!C480,"✗ "&amp;Liens!C480&amp;" (introuvable)"))</f>
        <v>✓ poisson</v>
      </c>
      <c r="E485" s="35" t="str">
        <f>IF(Liens!D480="","",IF(COUNTIF(Mots!A:A,Liens!D480)&gt;0,"✓ "&amp;Liens!D480,"✗ "&amp;Liens!D480&amp;" (introuvable)"))</f>
        <v>✓ bateau</v>
      </c>
      <c r="F485" s="35" t="str">
        <f>IF(Liens!E480="","",IF(COUNTIF(Mots!A:A,Liens!E480)&gt;0,"✓ "&amp;Liens!E480,"✗ "&amp;Liens!E480&amp;" (introuvable)"))</f>
        <v>✓ riviere</v>
      </c>
      <c r="G485" s="35" t="str">
        <f>IF(Liens!F480="","",IF(COUNTIF(Mots!A:A,Liens!F480)&gt;0,"✓ "&amp;Liens!F480,"✗ "&amp;Liens!F480&amp;" (introuvable)"))</f>
        <v>✓ cascade</v>
      </c>
      <c r="H485" s="35" t="str">
        <f>IF(Liens!G480="","",IF(COUNTIF(Mots!A:A,Liens!G480)&gt;0,"✓ "&amp;Liens!G480,"✗ "&amp;Liens!G480&amp;" (introuvable)"))</f>
        <v/>
      </c>
      <c r="I485" s="35" t="str">
        <f>IF(Liens!H480="","",IF(COUNTIF(Mots!A:A,Liens!H480)&gt;0,"✓ "&amp;Liens!H480,"✗ "&amp;Liens!H480&amp;" (introuvable)"))</f>
        <v/>
      </c>
    </row>
    <row r="486" spans="1:9" x14ac:dyDescent="0.3">
      <c r="A486">
        <f t="shared" si="4"/>
        <v>481</v>
      </c>
      <c r="B486" s="35" t="str">
        <f>IF(Liens!A481="","",IF(COUNTIF(Mots!A:A,Liens!A481)&gt;0,"✓ "&amp;Liens!A481,"✗ "&amp;Liens!A481&amp;" (introuvable)"))</f>
        <v>✓ lait</v>
      </c>
      <c r="C486" s="35" t="str">
        <f>IF(Liens!B481="","",IF(COUNTIF(Mots!A:A,Liens!B481)&gt;0,"✓ "&amp;Liens!B481,"✗ "&amp;Liens!B481&amp;" (introuvable)"))</f>
        <v>✓ vache</v>
      </c>
      <c r="D486" s="35" t="str">
        <f>IF(Liens!C481="","",IF(COUNTIF(Mots!A:A,Liens!C481)&gt;0,"✓ "&amp;Liens!C481,"✗ "&amp;Liens!C481&amp;" (introuvable)"))</f>
        <v>✓ v_boire</v>
      </c>
      <c r="E486" s="35" t="str">
        <f>IF(Liens!D481="","",IF(COUNTIF(Mots!A:A,Liens!D481)&gt;0,"✓ "&amp;Liens!D481,"✗ "&amp;Liens!D481&amp;" (introuvable)"))</f>
        <v>✓ verre</v>
      </c>
      <c r="F486" s="35" t="str">
        <f>IF(Liens!E481="","",IF(COUNTIF(Mots!A:A,Liens!E481)&gt;0,"✓ "&amp;Liens!E481,"✗ "&amp;Liens!E481&amp;" (introuvable)"))</f>
        <v>✓ cafe</v>
      </c>
      <c r="G486" s="35" t="str">
        <f>IF(Liens!F481="","",IF(COUNTIF(Mots!A:A,Liens!F481)&gt;0,"✓ "&amp;Liens!F481,"✗ "&amp;Liens!F481&amp;" (introuvable)"))</f>
        <v>✓ beurre</v>
      </c>
      <c r="H486" s="35" t="str">
        <f>IF(Liens!G481="","",IF(COUNTIF(Mots!A:A,Liens!G481)&gt;0,"✓ "&amp;Liens!G481,"✗ "&amp;Liens!G481&amp;" (introuvable)"))</f>
        <v>✓ fromage</v>
      </c>
      <c r="I486" s="35" t="str">
        <f>IF(Liens!H481="","",IF(COUNTIF(Mots!A:A,Liens!H481)&gt;0,"✓ "&amp;Liens!H481,"✗ "&amp;Liens!H481&amp;" (introuvable)"))</f>
        <v/>
      </c>
    </row>
    <row r="487" spans="1:9" x14ac:dyDescent="0.3">
      <c r="A487">
        <f t="shared" si="4"/>
        <v>482</v>
      </c>
      <c r="B487" s="35" t="str">
        <f>IF(Liens!A482="","",IF(COUNTIF(Mots!A:A,Liens!A482)&gt;0,"✓ "&amp;Liens!A482,"✗ "&amp;Liens!A482&amp;" (introuvable)"))</f>
        <v>✓ lame</v>
      </c>
      <c r="C487" s="35" t="str">
        <f>IF(Liens!B482="","",IF(COUNTIF(Mots!A:A,Liens!B482)&gt;0,"✓ "&amp;Liens!B482,"✗ "&amp;Liens!B482&amp;" (introuvable)"))</f>
        <v>✓ couteau</v>
      </c>
      <c r="D487" s="35" t="str">
        <f>IF(Liens!C482="","",IF(COUNTIF(Mots!A:A,Liens!C482)&gt;0,"✓ "&amp;Liens!C482,"✗ "&amp;Liens!C482&amp;" (introuvable)"))</f>
        <v>✓ ciseaux</v>
      </c>
      <c r="E487" s="35" t="str">
        <f>IF(Liens!D482="","",IF(COUNTIF(Mots!A:A,Liens!D482)&gt;0,"✓ "&amp;Liens!D482,"✗ "&amp;Liens!D482&amp;" (introuvable)"))</f>
        <v/>
      </c>
      <c r="F487" s="35" t="str">
        <f>IF(Liens!E482="","",IF(COUNTIF(Mots!A:A,Liens!E482)&gt;0,"✓ "&amp;Liens!E482,"✗ "&amp;Liens!E482&amp;" (introuvable)"))</f>
        <v/>
      </c>
      <c r="G487" s="35" t="str">
        <f>IF(Liens!F482="","",IF(COUNTIF(Mots!A:A,Liens!F482)&gt;0,"✓ "&amp;Liens!F482,"✗ "&amp;Liens!F482&amp;" (introuvable)"))</f>
        <v/>
      </c>
      <c r="H487" s="35" t="str">
        <f>IF(Liens!G482="","",IF(COUNTIF(Mots!A:A,Liens!G482)&gt;0,"✓ "&amp;Liens!G482,"✗ "&amp;Liens!G482&amp;" (introuvable)"))</f>
        <v/>
      </c>
      <c r="I487" s="35" t="str">
        <f>IF(Liens!H482="","",IF(COUNTIF(Mots!A:A,Liens!H482)&gt;0,"✓ "&amp;Liens!H482,"✗ "&amp;Liens!H482&amp;" (introuvable)"))</f>
        <v/>
      </c>
    </row>
    <row r="488" spans="1:9" x14ac:dyDescent="0.3">
      <c r="A488">
        <f t="shared" si="4"/>
        <v>483</v>
      </c>
      <c r="B488" s="35" t="str">
        <f>IF(Liens!A483="","",IF(COUNTIF(Mots!A:A,Liens!A483)&gt;0,"✓ "&amp;Liens!A483,"✗ "&amp;Liens!A483&amp;" (introuvable)"))</f>
        <v>✓ lampe</v>
      </c>
      <c r="C488" s="35" t="str">
        <f>IF(Liens!B483="","",IF(COUNTIF(Mots!A:A,Liens!B483)&gt;0,"✓ "&amp;Liens!B483,"✗ "&amp;Liens!B483&amp;" (introuvable)"))</f>
        <v>✓ maison</v>
      </c>
      <c r="D488" s="35" t="str">
        <f>IF(Liens!C483="","",IF(COUNTIF(Mots!A:A,Liens!C483)&gt;0,"✓ "&amp;Liens!C483,"✗ "&amp;Liens!C483&amp;" (introuvable)"))</f>
        <v>✓ lumiere</v>
      </c>
      <c r="E488" s="35" t="str">
        <f>IF(Liens!D483="","",IF(COUNTIF(Mots!A:A,Liens!D483)&gt;0,"✓ "&amp;Liens!D483,"✗ "&amp;Liens!D483&amp;" (introuvable)"))</f>
        <v>✓ ampoule</v>
      </c>
      <c r="F488" s="35" t="str">
        <f>IF(Liens!E483="","",IF(COUNTIF(Mots!A:A,Liens!E483)&gt;0,"✓ "&amp;Liens!E483,"✗ "&amp;Liens!E483&amp;" (introuvable)"))</f>
        <v>✓ v_eclairer</v>
      </c>
      <c r="G488" s="35" t="str">
        <f>IF(Liens!F483="","",IF(COUNTIF(Mots!A:A,Liens!F483)&gt;0,"✓ "&amp;Liens!F483,"✗ "&amp;Liens!F483&amp;" (introuvable)"))</f>
        <v/>
      </c>
      <c r="H488" s="35" t="str">
        <f>IF(Liens!G483="","",IF(COUNTIF(Mots!A:A,Liens!G483)&gt;0,"✓ "&amp;Liens!G483,"✗ "&amp;Liens!G483&amp;" (introuvable)"))</f>
        <v/>
      </c>
      <c r="I488" s="35" t="str">
        <f>IF(Liens!H483="","",IF(COUNTIF(Mots!A:A,Liens!H483)&gt;0,"✓ "&amp;Liens!H483,"✗ "&amp;Liens!H483&amp;" (introuvable)"))</f>
        <v/>
      </c>
    </row>
    <row r="489" spans="1:9" x14ac:dyDescent="0.3">
      <c r="A489">
        <f t="shared" si="4"/>
        <v>484</v>
      </c>
      <c r="B489" s="35" t="str">
        <f>IF(Liens!A484="","",IF(COUNTIF(Mots!A:A,Liens!A484)&gt;0,"✓ "&amp;Liens!A484,"✗ "&amp;Liens!A484&amp;" (introuvable)"))</f>
        <v>✓ langue</v>
      </c>
      <c r="C489" s="35" t="str">
        <f>IF(Liens!B484="","",IF(COUNTIF(Mots!A:A,Liens!B484)&gt;0,"✓ "&amp;Liens!B484,"✗ "&amp;Liens!B484&amp;" (introuvable)"))</f>
        <v>✓ bouche</v>
      </c>
      <c r="D489" s="35" t="str">
        <f>IF(Liens!C484="","",IF(COUNTIF(Mots!A:A,Liens!C484)&gt;0,"✓ "&amp;Liens!C484,"✗ "&amp;Liens!C484&amp;" (introuvable)"))</f>
        <v>✓ gout</v>
      </c>
      <c r="E489" s="35" t="str">
        <f>IF(Liens!D484="","",IF(COUNTIF(Mots!A:A,Liens!D484)&gt;0,"✓ "&amp;Liens!D484,"✗ "&amp;Liens!D484&amp;" (introuvable)"))</f>
        <v>✓ tete</v>
      </c>
      <c r="F489" s="35" t="str">
        <f>IF(Liens!E484="","",IF(COUNTIF(Mots!A:A,Liens!E484)&gt;0,"✓ "&amp;Liens!E484,"✗ "&amp;Liens!E484&amp;" (introuvable)"))</f>
        <v>✓ levre</v>
      </c>
      <c r="G489" s="35" t="str">
        <f>IF(Liens!F484="","",IF(COUNTIF(Mots!A:A,Liens!F484)&gt;0,"✓ "&amp;Liens!F484,"✗ "&amp;Liens!F484&amp;" (introuvable)"))</f>
        <v>✓ doigt</v>
      </c>
      <c r="H489" s="35" t="str">
        <f>IF(Liens!G484="","",IF(COUNTIF(Mots!A:A,Liens!G484)&gt;0,"✓ "&amp;Liens!G484,"✗ "&amp;Liens!G484&amp;" (introuvable)"))</f>
        <v/>
      </c>
      <c r="I489" s="35" t="str">
        <f>IF(Liens!H484="","",IF(COUNTIF(Mots!A:A,Liens!H484)&gt;0,"✓ "&amp;Liens!H484,"✗ "&amp;Liens!H484&amp;" (introuvable)"))</f>
        <v/>
      </c>
    </row>
    <row r="490" spans="1:9" x14ac:dyDescent="0.3">
      <c r="A490">
        <f t="shared" si="4"/>
        <v>485</v>
      </c>
      <c r="B490" s="35" t="str">
        <f>IF(Liens!A485="","",IF(COUNTIF(Mots!A:A,Liens!A485)&gt;0,"✓ "&amp;Liens!A485,"✗ "&amp;Liens!A485&amp;" (introuvable)"))</f>
        <v>✓ lapin</v>
      </c>
      <c r="C490" s="35" t="str">
        <f>IF(Liens!B485="","",IF(COUNTIF(Mots!A:A,Liens!B485)&gt;0,"✓ "&amp;Liens!B485,"✗ "&amp;Liens!B485&amp;" (introuvable)"))</f>
        <v>✓ animal</v>
      </c>
      <c r="D490" s="35" t="str">
        <f>IF(Liens!C485="","",IF(COUNTIF(Mots!A:A,Liens!C485)&gt;0,"✓ "&amp;Liens!C485,"✗ "&amp;Liens!C485&amp;" (introuvable)"))</f>
        <v>✓ ferme</v>
      </c>
      <c r="E490" s="35" t="str">
        <f>IF(Liens!D485="","",IF(COUNTIF(Mots!A:A,Liens!D485)&gt;0,"✓ "&amp;Liens!D485,"✗ "&amp;Liens!D485&amp;" (introuvable)"))</f>
        <v>✓ carotte</v>
      </c>
      <c r="F490" s="35" t="str">
        <f>IF(Liens!E485="","",IF(COUNTIF(Mots!A:A,Liens!E485)&gt;0,"✓ "&amp;Liens!E485,"✗ "&amp;Liens!E485&amp;" (introuvable)"))</f>
        <v/>
      </c>
      <c r="G490" s="35" t="str">
        <f>IF(Liens!F485="","",IF(COUNTIF(Mots!A:A,Liens!F485)&gt;0,"✓ "&amp;Liens!F485,"✗ "&amp;Liens!F485&amp;" (introuvable)"))</f>
        <v/>
      </c>
      <c r="H490" s="35" t="str">
        <f>IF(Liens!G485="","",IF(COUNTIF(Mots!A:A,Liens!G485)&gt;0,"✓ "&amp;Liens!G485,"✗ "&amp;Liens!G485&amp;" (introuvable)"))</f>
        <v/>
      </c>
      <c r="I490" s="35" t="str">
        <f>IF(Liens!H485="","",IF(COUNTIF(Mots!A:A,Liens!H485)&gt;0,"✓ "&amp;Liens!H485,"✗ "&amp;Liens!H485&amp;" (introuvable)"))</f>
        <v/>
      </c>
    </row>
    <row r="491" spans="1:9" x14ac:dyDescent="0.3">
      <c r="A491">
        <f t="shared" si="4"/>
        <v>486</v>
      </c>
      <c r="B491" s="35" t="str">
        <f>IF(Liens!A486="","",IF(COUNTIF(Mots!A:A,Liens!A486)&gt;0,"✓ "&amp;Liens!A486,"✗ "&amp;Liens!A486&amp;" (introuvable)"))</f>
        <v>✓ largeur</v>
      </c>
      <c r="C491" s="35" t="str">
        <f>IF(Liens!B486="","",IF(COUNTIF(Mots!A:A,Liens!B486)&gt;0,"✓ "&amp;Liens!B486,"✗ "&amp;Liens!B486&amp;" (introuvable)"))</f>
        <v>✓ hauteur</v>
      </c>
      <c r="D491" s="35" t="str">
        <f>IF(Liens!C486="","",IF(COUNTIF(Mots!A:A,Liens!C486)&gt;0,"✓ "&amp;Liens!C486,"✗ "&amp;Liens!C486&amp;" (introuvable)"))</f>
        <v>✓ f_carre</v>
      </c>
      <c r="E491" s="35" t="str">
        <f>IF(Liens!D486="","",IF(COUNTIF(Mots!A:A,Liens!D486)&gt;0,"✓ "&amp;Liens!D486,"✗ "&amp;Liens!D486&amp;" (introuvable)"))</f>
        <v>✓ f_rectangle</v>
      </c>
      <c r="F491" s="35" t="str">
        <f>IF(Liens!E486="","",IF(COUNTIF(Mots!A:A,Liens!E486)&gt;0,"✓ "&amp;Liens!E486,"✗ "&amp;Liens!E486&amp;" (introuvable)"))</f>
        <v>✓ meuble</v>
      </c>
      <c r="G491" s="35" t="str">
        <f>IF(Liens!F486="","",IF(COUNTIF(Mots!A:A,Liens!F486)&gt;0,"✓ "&amp;Liens!F486,"✗ "&amp;Liens!F486&amp;" (introuvable)"))</f>
        <v>✓ canape</v>
      </c>
      <c r="H491" s="35" t="str">
        <f>IF(Liens!G486="","",IF(COUNTIF(Mots!A:A,Liens!G486)&gt;0,"✓ "&amp;Liens!G486,"✗ "&amp;Liens!G486&amp;" (introuvable)"))</f>
        <v>✓ fauteuil</v>
      </c>
      <c r="I491" s="35" t="str">
        <f>IF(Liens!H486="","",IF(COUNTIF(Mots!A:A,Liens!H486)&gt;0,"✓ "&amp;Liens!H486,"✗ "&amp;Liens!H486&amp;" (introuvable)"))</f>
        <v>✓ porte</v>
      </c>
    </row>
    <row r="492" spans="1:9" x14ac:dyDescent="0.3">
      <c r="A492">
        <f t="shared" si="4"/>
        <v>487</v>
      </c>
      <c r="B492" s="35" t="str">
        <f>IF(Liens!A487="","",IF(COUNTIF(Mots!A:A,Liens!A487)&gt;0,"✓ "&amp;Liens!A487,"✗ "&amp;Liens!A487&amp;" (introuvable)"))</f>
        <v>✓ larme</v>
      </c>
      <c r="C492" s="35" t="str">
        <f>IF(Liens!B487="","",IF(COUNTIF(Mots!A:A,Liens!B487)&gt;0,"✓ "&amp;Liens!B487,"✗ "&amp;Liens!B487&amp;" (introuvable)"))</f>
        <v>✓ goutte</v>
      </c>
      <c r="D492" s="35" t="str">
        <f>IF(Liens!C487="","",IF(COUNTIF(Mots!A:A,Liens!C487)&gt;0,"✓ "&amp;Liens!C487,"✗ "&amp;Liens!C487&amp;" (introuvable)"))</f>
        <v>✓ oeil</v>
      </c>
      <c r="E492" s="35" t="str">
        <f>IF(Liens!D487="","",IF(COUNTIF(Mots!A:A,Liens!D487)&gt;0,"✓ "&amp;Liens!D487,"✗ "&amp;Liens!D487&amp;" (introuvable)"))</f>
        <v>✓ v_pleurer</v>
      </c>
      <c r="F492" s="35" t="str">
        <f>IF(Liens!E487="","",IF(COUNTIF(Mots!A:A,Liens!E487)&gt;0,"✓ "&amp;Liens!E487,"✗ "&amp;Liens!E487&amp;" (introuvable)"))</f>
        <v>✓ peine</v>
      </c>
      <c r="G492" s="35" t="str">
        <f>IF(Liens!F487="","",IF(COUNTIF(Mots!A:A,Liens!F487)&gt;0,"✓ "&amp;Liens!F487,"✗ "&amp;Liens!F487&amp;" (introuvable)"))</f>
        <v>✓ emotion</v>
      </c>
      <c r="H492" s="35" t="str">
        <f>IF(Liens!G487="","",IF(COUNTIF(Mots!A:A,Liens!G487)&gt;0,"✓ "&amp;Liens!G487,"✗ "&amp;Liens!G487&amp;" (introuvable)"))</f>
        <v/>
      </c>
      <c r="I492" s="35" t="str">
        <f>IF(Liens!H487="","",IF(COUNTIF(Mots!A:A,Liens!H487)&gt;0,"✓ "&amp;Liens!H487,"✗ "&amp;Liens!H487&amp;" (introuvable)"))</f>
        <v/>
      </c>
    </row>
    <row r="493" spans="1:9" x14ac:dyDescent="0.3">
      <c r="A493">
        <f t="shared" si="4"/>
        <v>488</v>
      </c>
      <c r="B493" s="35" t="str">
        <f>IF(Liens!A488="","",IF(COUNTIF(Mots!A:A,Liens!A488)&gt;0,"✓ "&amp;Liens!A488,"✗ "&amp;Liens!A488&amp;" (introuvable)"))</f>
        <v>✓ lecture</v>
      </c>
      <c r="C493" s="35" t="str">
        <f>IF(Liens!B488="","",IF(COUNTIF(Mots!A:A,Liens!B488)&gt;0,"✓ "&amp;Liens!B488,"✗ "&amp;Liens!B488&amp;" (introuvable)"))</f>
        <v>✓ livre</v>
      </c>
      <c r="D493" s="35" t="str">
        <f>IF(Liens!C488="","",IF(COUNTIF(Mots!A:A,Liens!C488)&gt;0,"✓ "&amp;Liens!C488,"✗ "&amp;Liens!C488&amp;" (introuvable)"))</f>
        <v>✓ v_lire</v>
      </c>
      <c r="E493" s="35" t="str">
        <f>IF(Liens!D488="","",IF(COUNTIF(Mots!A:A,Liens!D488)&gt;0,"✓ "&amp;Liens!D488,"✗ "&amp;Liens!D488&amp;" (introuvable)"))</f>
        <v>✓ histoire</v>
      </c>
      <c r="F493" s="35" t="str">
        <f>IF(Liens!E488="","",IF(COUNTIF(Mots!A:A,Liens!E488)&gt;0,"✓ "&amp;Liens!E488,"✗ "&amp;Liens!E488&amp;" (introuvable)"))</f>
        <v>✓ recit</v>
      </c>
      <c r="G493" s="35" t="str">
        <f>IF(Liens!F488="","",IF(COUNTIF(Mots!A:A,Liens!F488)&gt;0,"✓ "&amp;Liens!F488,"✗ "&amp;Liens!F488&amp;" (introuvable)"))</f>
        <v>✓ v_ecouter</v>
      </c>
      <c r="H493" s="35" t="str">
        <f>IF(Liens!G488="","",IF(COUNTIF(Mots!A:A,Liens!G488)&gt;0,"✓ "&amp;Liens!G488,"✗ "&amp;Liens!G488&amp;" (introuvable)"))</f>
        <v/>
      </c>
      <c r="I493" s="35" t="str">
        <f>IF(Liens!H488="","",IF(COUNTIF(Mots!A:A,Liens!H488)&gt;0,"✓ "&amp;Liens!H488,"✗ "&amp;Liens!H488&amp;" (introuvable)"))</f>
        <v/>
      </c>
    </row>
    <row r="494" spans="1:9" x14ac:dyDescent="0.3">
      <c r="A494">
        <f t="shared" si="4"/>
        <v>489</v>
      </c>
      <c r="B494" s="35" t="str">
        <f>IF(Liens!A489="","",IF(COUNTIF(Mots!A:A,Liens!A489)&gt;0,"✓ "&amp;Liens!A489,"✗ "&amp;Liens!A489&amp;" (introuvable)"))</f>
        <v>✓ lessive</v>
      </c>
      <c r="C494" s="35" t="str">
        <f>IF(Liens!B489="","",IF(COUNTIF(Mots!A:A,Liens!B489)&gt;0,"✓ "&amp;Liens!B489,"✗ "&amp;Liens!B489&amp;" (introuvable)"))</f>
        <v>✓ linge</v>
      </c>
      <c r="D494" s="35" t="str">
        <f>IF(Liens!C489="","",IF(COUNTIF(Mots!A:A,Liens!C489)&gt;0,"✓ "&amp;Liens!C489,"✗ "&amp;Liens!C489&amp;" (introuvable)"))</f>
        <v>✓ lave_linge</v>
      </c>
      <c r="E494" s="35" t="str">
        <f>IF(Liens!D489="","",IF(COUNTIF(Mots!A:A,Liens!D489)&gt;0,"✓ "&amp;Liens!D489,"✗ "&amp;Liens!D489&amp;" (introuvable)"))</f>
        <v>✓ habit</v>
      </c>
      <c r="F494" s="35" t="str">
        <f>IF(Liens!E489="","",IF(COUNTIF(Mots!A:A,Liens!E489)&gt;0,"✓ "&amp;Liens!E489,"✗ "&amp;Liens!E489&amp;" (introuvable)"))</f>
        <v>✓ vetement</v>
      </c>
      <c r="G494" s="35" t="str">
        <f>IF(Liens!F489="","",IF(COUNTIF(Mots!A:A,Liens!F489)&gt;0,"✓ "&amp;Liens!F489,"✗ "&amp;Liens!F489&amp;" (introuvable)"))</f>
        <v>✓ seche_linge</v>
      </c>
      <c r="H494" s="35" t="str">
        <f>IF(Liens!G489="","",IF(COUNTIF(Mots!A:A,Liens!G489)&gt;0,"✓ "&amp;Liens!G489,"✗ "&amp;Liens!G489&amp;" (introuvable)"))</f>
        <v>✓ fer_a_repasser</v>
      </c>
      <c r="I494" s="35" t="str">
        <f>IF(Liens!H489="","",IF(COUNTIF(Mots!A:A,Liens!H489)&gt;0,"✓ "&amp;Liens!H489,"✗ "&amp;Liens!H489&amp;" (introuvable)"))</f>
        <v/>
      </c>
    </row>
    <row r="495" spans="1:9" x14ac:dyDescent="0.3">
      <c r="A495">
        <f t="shared" si="4"/>
        <v>490</v>
      </c>
      <c r="B495" s="35" t="str">
        <f>IF(Liens!A490="","",IF(COUNTIF(Mots!A:A,Liens!A490)&gt;0,"✓ "&amp;Liens!A490,"✗ "&amp;Liens!A490&amp;" (introuvable)"))</f>
        <v>✓ lettre</v>
      </c>
      <c r="C495" s="35" t="str">
        <f>IF(Liens!B490="","",IF(COUNTIF(Mots!A:A,Liens!B490)&gt;0,"✓ "&amp;Liens!B490,"✗ "&amp;Liens!B490&amp;" (introuvable)"))</f>
        <v>✓ courrier</v>
      </c>
      <c r="D495" s="35" t="str">
        <f>IF(Liens!C490="","",IF(COUNTIF(Mots!A:A,Liens!C490)&gt;0,"✓ "&amp;Liens!C490,"✗ "&amp;Liens!C490&amp;" (introuvable)"))</f>
        <v>✓ v_ecrire</v>
      </c>
      <c r="E495" s="35" t="str">
        <f>IF(Liens!D490="","",IF(COUNTIF(Mots!A:A,Liens!D490)&gt;0,"✓ "&amp;Liens!D490,"✗ "&amp;Liens!D490&amp;" (introuvable)"))</f>
        <v/>
      </c>
      <c r="F495" s="35" t="str">
        <f>IF(Liens!E490="","",IF(COUNTIF(Mots!A:A,Liens!E490)&gt;0,"✓ "&amp;Liens!E490,"✗ "&amp;Liens!E490&amp;" (introuvable)"))</f>
        <v/>
      </c>
      <c r="G495" s="35" t="str">
        <f>IF(Liens!F490="","",IF(COUNTIF(Mots!A:A,Liens!F490)&gt;0,"✓ "&amp;Liens!F490,"✗ "&amp;Liens!F490&amp;" (introuvable)"))</f>
        <v/>
      </c>
      <c r="H495" s="35" t="str">
        <f>IF(Liens!G490="","",IF(COUNTIF(Mots!A:A,Liens!G490)&gt;0,"✓ "&amp;Liens!G490,"✗ "&amp;Liens!G490&amp;" (introuvable)"))</f>
        <v/>
      </c>
      <c r="I495" s="35" t="str">
        <f>IF(Liens!H490="","",IF(COUNTIF(Mots!A:A,Liens!H490)&gt;0,"✓ "&amp;Liens!H490,"✗ "&amp;Liens!H490&amp;" (introuvable)"))</f>
        <v/>
      </c>
    </row>
    <row r="496" spans="1:9" x14ac:dyDescent="0.3">
      <c r="A496">
        <f t="shared" si="4"/>
        <v>491</v>
      </c>
      <c r="B496" s="35" t="str">
        <f>IF(Liens!A491="","",IF(COUNTIF(Mots!A:A,Liens!A491)&gt;0,"✓ "&amp;Liens!A491,"✗ "&amp;Liens!A491&amp;" (introuvable)"))</f>
        <v>✓ levre</v>
      </c>
      <c r="C496" s="35" t="str">
        <f>IF(Liens!B491="","",IF(COUNTIF(Mots!A:A,Liens!B491)&gt;0,"✓ "&amp;Liens!B491,"✗ "&amp;Liens!B491&amp;" (introuvable)"))</f>
        <v>✓ bouche</v>
      </c>
      <c r="D496" s="35" t="str">
        <f>IF(Liens!C491="","",IF(COUNTIF(Mots!A:A,Liens!C491)&gt;0,"✓ "&amp;Liens!C491,"✗ "&amp;Liens!C491&amp;" (introuvable)"))</f>
        <v>✓ langue</v>
      </c>
      <c r="E496" s="35" t="str">
        <f>IF(Liens!D491="","",IF(COUNTIF(Mots!A:A,Liens!D491)&gt;0,"✓ "&amp;Liens!D491,"✗ "&amp;Liens!D491&amp;" (introuvable)"))</f>
        <v>✓ tete</v>
      </c>
      <c r="F496" s="35" t="str">
        <f>IF(Liens!E491="","",IF(COUNTIF(Mots!A:A,Liens!E491)&gt;0,"✓ "&amp;Liens!E491,"✗ "&amp;Liens!E491&amp;" (introuvable)"))</f>
        <v>✓ embouchure</v>
      </c>
      <c r="G496" s="35" t="str">
        <f>IF(Liens!F491="","",IF(COUNTIF(Mots!A:A,Liens!F491)&gt;0,"✓ "&amp;Liens!F491,"✗ "&amp;Liens!F491&amp;" (introuvable)"))</f>
        <v>✓ souffle</v>
      </c>
      <c r="H496" s="35" t="str">
        <f>IF(Liens!G491="","",IF(COUNTIF(Mots!A:A,Liens!G491)&gt;0,"✓ "&amp;Liens!G491,"✗ "&amp;Liens!G491&amp;" (introuvable)"))</f>
        <v>✓ v_boire</v>
      </c>
      <c r="I496" s="35" t="str">
        <f>IF(Liens!H491="","",IF(COUNTIF(Mots!A:A,Liens!H491)&gt;0,"✓ "&amp;Liens!H491,"✗ "&amp;Liens!H491&amp;" (introuvable)"))</f>
        <v>✓ dent</v>
      </c>
    </row>
    <row r="497" spans="1:9" x14ac:dyDescent="0.3">
      <c r="A497">
        <f t="shared" si="4"/>
        <v>492</v>
      </c>
      <c r="B497" s="35" t="str">
        <f>IF(Liens!A492="","",IF(COUNTIF(Mots!A:A,Liens!A492)&gt;0,"✓ "&amp;Liens!A492,"✗ "&amp;Liens!A492&amp;" (introuvable)"))</f>
        <v>✓ lien</v>
      </c>
      <c r="C497" s="35" t="str">
        <f>IF(Liens!B492="","",IF(COUNTIF(Mots!A:A,Liens!B492)&gt;0,"✓ "&amp;Liens!B492,"✗ "&amp;Liens!B492&amp;" (introuvable)"))</f>
        <v>✓ ami</v>
      </c>
      <c r="D497" s="35" t="str">
        <f>IF(Liens!C492="","",IF(COUNTIF(Mots!A:A,Liens!C492)&gt;0,"✓ "&amp;Liens!C492,"✗ "&amp;Liens!C492&amp;" (introuvable)"))</f>
        <v>✓ corde</v>
      </c>
      <c r="E497" s="35" t="str">
        <f>IF(Liens!D492="","",IF(COUNTIF(Mots!A:A,Liens!D492)&gt;0,"✓ "&amp;Liens!D492,"✗ "&amp;Liens!D492&amp;" (introuvable)"))</f>
        <v>✓ amitie</v>
      </c>
      <c r="F497" s="35" t="str">
        <f>IF(Liens!E492="","",IF(COUNTIF(Mots!A:A,Liens!E492)&gt;0,"✓ "&amp;Liens!E492,"✗ "&amp;Liens!E492&amp;" (introuvable)"))</f>
        <v/>
      </c>
      <c r="G497" s="35" t="str">
        <f>IF(Liens!F492="","",IF(COUNTIF(Mots!A:A,Liens!F492)&gt;0,"✓ "&amp;Liens!F492,"✗ "&amp;Liens!F492&amp;" (introuvable)"))</f>
        <v/>
      </c>
      <c r="H497" s="35" t="str">
        <f>IF(Liens!G492="","",IF(COUNTIF(Mots!A:A,Liens!G492)&gt;0,"✓ "&amp;Liens!G492,"✗ "&amp;Liens!G492&amp;" (introuvable)"))</f>
        <v/>
      </c>
      <c r="I497" s="35" t="str">
        <f>IF(Liens!H492="","",IF(COUNTIF(Mots!A:A,Liens!H492)&gt;0,"✓ "&amp;Liens!H492,"✗ "&amp;Liens!H492&amp;" (introuvable)"))</f>
        <v/>
      </c>
    </row>
    <row r="498" spans="1:9" x14ac:dyDescent="0.3">
      <c r="A498">
        <f t="shared" si="4"/>
        <v>493</v>
      </c>
      <c r="B498" s="35" t="str">
        <f>IF(Liens!A493="","",IF(COUNTIF(Mots!A:A,Liens!A493)&gt;0,"✓ "&amp;Liens!A493,"✗ "&amp;Liens!A493&amp;" (introuvable)"))</f>
        <v>✓ ligne</v>
      </c>
      <c r="C498" s="35" t="str">
        <f>IF(Liens!B493="","",IF(COUNTIF(Mots!A:A,Liens!B493)&gt;0,"✓ "&amp;Liens!B493,"✗ "&amp;Liens!B493&amp;" (introuvable)"))</f>
        <v>✓ trait</v>
      </c>
      <c r="D498" s="35" t="str">
        <f>IF(Liens!C493="","",IF(COUNTIF(Mots!A:A,Liens!C493)&gt;0,"✓ "&amp;Liens!C493,"✗ "&amp;Liens!C493&amp;" (introuvable)"))</f>
        <v>✓ fin</v>
      </c>
      <c r="E498" s="35" t="str">
        <f>IF(Liens!D493="","",IF(COUNTIF(Mots!A:A,Liens!D493)&gt;0,"✓ "&amp;Liens!D493,"✗ "&amp;Liens!D493&amp;" (introuvable)"))</f>
        <v>✓ courbe</v>
      </c>
      <c r="F498" s="35" t="str">
        <f>IF(Liens!E493="","",IF(COUNTIF(Mots!A:A,Liens!E493)&gt;0,"✓ "&amp;Liens!E493,"✗ "&amp;Liens!E493&amp;" (introuvable)"))</f>
        <v>✓ crayon</v>
      </c>
      <c r="G498" s="35" t="str">
        <f>IF(Liens!F493="","",IF(COUNTIF(Mots!A:A,Liens!F493)&gt;0,"✓ "&amp;Liens!F493,"✗ "&amp;Liens!F493&amp;" (introuvable)"))</f>
        <v>✓ route</v>
      </c>
      <c r="H498" s="35" t="str">
        <f>IF(Liens!G493="","",IF(COUNTIF(Mots!A:A,Liens!G493)&gt;0,"✓ "&amp;Liens!G493,"✗ "&amp;Liens!G493&amp;" (introuvable)"))</f>
        <v>✓ milieu</v>
      </c>
      <c r="I498" s="35" t="str">
        <f>IF(Liens!H493="","",IF(COUNTIF(Mots!A:A,Liens!H493)&gt;0,"✓ "&amp;Liens!H493,"✗ "&amp;Liens!H493&amp;" (introuvable)"))</f>
        <v/>
      </c>
    </row>
    <row r="499" spans="1:9" x14ac:dyDescent="0.3">
      <c r="A499">
        <f t="shared" si="4"/>
        <v>494</v>
      </c>
      <c r="B499" s="35" t="str">
        <f>IF(Liens!A494="","",IF(COUNTIF(Mots!A:A,Liens!A494)&gt;0,"✓ "&amp;Liens!A494,"✗ "&amp;Liens!A494&amp;" (introuvable)"))</f>
        <v>✓ limite</v>
      </c>
      <c r="C499" s="35" t="str">
        <f>IF(Liens!B494="","",IF(COUNTIF(Mots!A:A,Liens!B494)&gt;0,"✓ "&amp;Liens!B494,"✗ "&amp;Liens!B494&amp;" (introuvable)"))</f>
        <v>✓ endroit</v>
      </c>
      <c r="D499" s="35" t="str">
        <f>IF(Liens!C494="","",IF(COUNTIF(Mots!A:A,Liens!C494)&gt;0,"✓ "&amp;Liens!C494,"✗ "&amp;Liens!C494&amp;" (introuvable)"))</f>
        <v>✓ mer</v>
      </c>
      <c r="E499" s="35" t="str">
        <f>IF(Liens!D494="","",IF(COUNTIF(Mots!A:A,Liens!D494)&gt;0,"✓ "&amp;Liens!D494,"✗ "&amp;Liens!D494&amp;" (introuvable)"))</f>
        <v>✓ riviere</v>
      </c>
      <c r="F499" s="35" t="str">
        <f>IF(Liens!E494="","",IF(COUNTIF(Mots!A:A,Liens!E494)&gt;0,"✓ "&amp;Liens!E494,"✗ "&amp;Liens!E494&amp;" (introuvable)"))</f>
        <v>✓ montagne</v>
      </c>
      <c r="G499" s="35" t="str">
        <f>IF(Liens!F494="","",IF(COUNTIF(Mots!A:A,Liens!F494)&gt;0,"✓ "&amp;Liens!F494,"✗ "&amp;Liens!F494&amp;" (introuvable)"))</f>
        <v/>
      </c>
      <c r="H499" s="35" t="str">
        <f>IF(Liens!G494="","",IF(COUNTIF(Mots!A:A,Liens!G494)&gt;0,"✓ "&amp;Liens!G494,"✗ "&amp;Liens!G494&amp;" (introuvable)"))</f>
        <v/>
      </c>
      <c r="I499" s="35" t="str">
        <f>IF(Liens!H494="","",IF(COUNTIF(Mots!A:A,Liens!H494)&gt;0,"✓ "&amp;Liens!H494,"✗ "&amp;Liens!H494&amp;" (introuvable)"))</f>
        <v/>
      </c>
    </row>
    <row r="500" spans="1:9" x14ac:dyDescent="0.3">
      <c r="A500">
        <f t="shared" si="4"/>
        <v>495</v>
      </c>
      <c r="B500" s="35" t="str">
        <f>IF(Liens!A495="","",IF(COUNTIF(Mots!A:A,Liens!A495)&gt;0,"✓ "&amp;Liens!A495,"✗ "&amp;Liens!A495&amp;" (introuvable)"))</f>
        <v>✓ linge</v>
      </c>
      <c r="C500" s="35" t="str">
        <f>IF(Liens!B495="","",IF(COUNTIF(Mots!A:A,Liens!B495)&gt;0,"✓ "&amp;Liens!B495,"✗ "&amp;Liens!B495&amp;" (introuvable)"))</f>
        <v>✓ vetement</v>
      </c>
      <c r="D500" s="35" t="str">
        <f>IF(Liens!C495="","",IF(COUNTIF(Mots!A:A,Liens!C495)&gt;0,"✓ "&amp;Liens!C495,"✗ "&amp;Liens!C495&amp;" (introuvable)"))</f>
        <v>✓ habit</v>
      </c>
      <c r="E500" s="35" t="str">
        <f>IF(Liens!D495="","",IF(COUNTIF(Mots!A:A,Liens!D495)&gt;0,"✓ "&amp;Liens!D495,"✗ "&amp;Liens!D495&amp;" (introuvable)"))</f>
        <v>✓ lave_linge</v>
      </c>
      <c r="F500" s="35" t="str">
        <f>IF(Liens!E495="","",IF(COUNTIF(Mots!A:A,Liens!E495)&gt;0,"✓ "&amp;Liens!E495,"✗ "&amp;Liens!E495&amp;" (introuvable)"))</f>
        <v>✓ seche_linge</v>
      </c>
      <c r="G500" s="35" t="str">
        <f>IF(Liens!F495="","",IF(COUNTIF(Mots!A:A,Liens!F495)&gt;0,"✓ "&amp;Liens!F495,"✗ "&amp;Liens!F495&amp;" (introuvable)"))</f>
        <v>✓ corbeille_a_linge</v>
      </c>
      <c r="H500" s="35" t="str">
        <f>IF(Liens!G495="","",IF(COUNTIF(Mots!A:A,Liens!G495)&gt;0,"✓ "&amp;Liens!G495,"✗ "&amp;Liens!G495&amp;" (introuvable)"))</f>
        <v>✓ panier_a_linge</v>
      </c>
      <c r="I500" s="35" t="str">
        <f>IF(Liens!H495="","",IF(COUNTIF(Mots!A:A,Liens!H495)&gt;0,"✓ "&amp;Liens!H495,"✗ "&amp;Liens!H495&amp;" (introuvable)"))</f>
        <v>✓ fer_a_repasser</v>
      </c>
    </row>
    <row r="501" spans="1:9" x14ac:dyDescent="0.3">
      <c r="A501">
        <f t="shared" si="4"/>
        <v>496</v>
      </c>
      <c r="B501" s="35" t="str">
        <f>IF(Liens!A496="","",IF(COUNTIF(Mots!A:A,Liens!A496)&gt;0,"✓ "&amp;Liens!A496,"✗ "&amp;Liens!A496&amp;" (introuvable)"))</f>
        <v>✓ lion</v>
      </c>
      <c r="C501" s="35" t="str">
        <f>IF(Liens!B496="","",IF(COUNTIF(Mots!A:A,Liens!B496)&gt;0,"✓ "&amp;Liens!B496,"✗ "&amp;Liens!B496&amp;" (introuvable)"))</f>
        <v>✓ animal</v>
      </c>
      <c r="D501" s="35" t="str">
        <f>IF(Liens!C496="","",IF(COUNTIF(Mots!A:A,Liens!C496)&gt;0,"✓ "&amp;Liens!C496,"✗ "&amp;Liens!C496&amp;" (introuvable)"))</f>
        <v>✓ fauve</v>
      </c>
      <c r="E501" s="35" t="str">
        <f>IF(Liens!D496="","",IF(COUNTIF(Mots!A:A,Liens!D496)&gt;0,"✓ "&amp;Liens!D496,"✗ "&amp;Liens!D496&amp;" (introuvable)"))</f>
        <v>✓ dangereux</v>
      </c>
      <c r="F501" s="35" t="str">
        <f>IF(Liens!E496="","",IF(COUNTIF(Mots!A:A,Liens!E496)&gt;0,"✓ "&amp;Liens!E496,"✗ "&amp;Liens!E496&amp;" (introuvable)"))</f>
        <v/>
      </c>
      <c r="G501" s="35" t="str">
        <f>IF(Liens!F496="","",IF(COUNTIF(Mots!A:A,Liens!F496)&gt;0,"✓ "&amp;Liens!F496,"✗ "&amp;Liens!F496&amp;" (introuvable)"))</f>
        <v/>
      </c>
      <c r="H501" s="35" t="str">
        <f>IF(Liens!G496="","",IF(COUNTIF(Mots!A:A,Liens!G496)&gt;0,"✓ "&amp;Liens!G496,"✗ "&amp;Liens!G496&amp;" (introuvable)"))</f>
        <v/>
      </c>
      <c r="I501" s="35" t="str">
        <f>IF(Liens!H496="","",IF(COUNTIF(Mots!A:A,Liens!H496)&gt;0,"✓ "&amp;Liens!H496,"✗ "&amp;Liens!H496&amp;" (introuvable)"))</f>
        <v/>
      </c>
    </row>
    <row r="502" spans="1:9" x14ac:dyDescent="0.3">
      <c r="A502">
        <f t="shared" si="4"/>
        <v>497</v>
      </c>
      <c r="B502" s="35" t="str">
        <f>IF(Liens!A497="","",IF(COUNTIF(Mots!A:A,Liens!A497)&gt;0,"✓ "&amp;Liens!A497,"✗ "&amp;Liens!A497&amp;" (introuvable)"))</f>
        <v>✓ liquide</v>
      </c>
      <c r="C502" s="35" t="str">
        <f>IF(Liens!B497="","",IF(COUNTIF(Mots!A:A,Liens!B497)&gt;0,"✓ "&amp;Liens!B497,"✗ "&amp;Liens!B497&amp;" (introuvable)"))</f>
        <v>✓ eau</v>
      </c>
      <c r="D502" s="35" t="str">
        <f>IF(Liens!C497="","",IF(COUNTIF(Mots!A:A,Liens!C497)&gt;0,"✓ "&amp;Liens!C497,"✗ "&amp;Liens!C497&amp;" (introuvable)"))</f>
        <v>✓ coca_cola</v>
      </c>
      <c r="E502" s="35" t="str">
        <f>IF(Liens!D497="","",IF(COUNTIF(Mots!A:A,Liens!D497)&gt;0,"✓ "&amp;Liens!D497,"✗ "&amp;Liens!D497&amp;" (introuvable)"))</f>
        <v>✓ cafe</v>
      </c>
      <c r="F502" s="35" t="str">
        <f>IF(Liens!E497="","",IF(COUNTIF(Mots!A:A,Liens!E497)&gt;0,"✓ "&amp;Liens!E497,"✗ "&amp;Liens!E497&amp;" (introuvable)"))</f>
        <v>✓ henniez_cassis</v>
      </c>
      <c r="G502" s="35" t="str">
        <f>IF(Liens!F497="","",IF(COUNTIF(Mots!A:A,Liens!F497)&gt;0,"✓ "&amp;Liens!F497,"✗ "&amp;Liens!F497&amp;" (introuvable)"))</f>
        <v>✓ grapefruit</v>
      </c>
      <c r="H502" s="35" t="str">
        <f>IF(Liens!G497="","",IF(COUNTIF(Mots!A:A,Liens!G497)&gt;0,"✓ "&amp;Liens!G497,"✗ "&amp;Liens!G497&amp;" (introuvable)"))</f>
        <v>✓ sprite</v>
      </c>
      <c r="I502" s="35" t="str">
        <f>IF(Liens!H497="","",IF(COUNTIF(Mots!A:A,Liens!H497)&gt;0,"✓ "&amp;Liens!H497,"✗ "&amp;Liens!H497&amp;" (introuvable)"))</f>
        <v>✓ huile</v>
      </c>
    </row>
    <row r="503" spans="1:9" x14ac:dyDescent="0.3">
      <c r="A503">
        <f t="shared" si="4"/>
        <v>498</v>
      </c>
      <c r="B503" s="35" t="str">
        <f>IF(Liens!A498="","",IF(COUNTIF(Mots!A:A,Liens!A498)&gt;0,"✓ "&amp;Liens!A498,"✗ "&amp;Liens!A498&amp;" (introuvable)"))</f>
        <v>✓ liste</v>
      </c>
      <c r="C503" s="35" t="str">
        <f>IF(Liens!B498="","",IF(COUNTIF(Mots!A:A,Liens!B498)&gt;0,"✓ "&amp;Liens!B498,"✗ "&amp;Liens!B498&amp;" (introuvable)"))</f>
        <v>✓ papier</v>
      </c>
      <c r="D503" s="35" t="str">
        <f>IF(Liens!C498="","",IF(COUNTIF(Mots!A:A,Liens!C498)&gt;0,"✓ "&amp;Liens!C498,"✗ "&amp;Liens!C498&amp;" (introuvable)"))</f>
        <v>✓ crayon</v>
      </c>
      <c r="E503" s="35" t="str">
        <f>IF(Liens!D498="","",IF(COUNTIF(Mots!A:A,Liens!D498)&gt;0,"✓ "&amp;Liens!D498,"✗ "&amp;Liens!D498&amp;" (introuvable)"))</f>
        <v>✓ stylo</v>
      </c>
      <c r="F503" s="35" t="str">
        <f>IF(Liens!E498="","",IF(COUNTIF(Mots!A:A,Liens!E498)&gt;0,"✓ "&amp;Liens!E498,"✗ "&amp;Liens!E498&amp;" (introuvable)"))</f>
        <v>✓ v_ecrire</v>
      </c>
      <c r="G503" s="35" t="str">
        <f>IF(Liens!F498="","",IF(COUNTIF(Mots!A:A,Liens!F498)&gt;0,"✓ "&amp;Liens!F498,"✗ "&amp;Liens!F498&amp;" (introuvable)"))</f>
        <v/>
      </c>
      <c r="H503" s="35" t="str">
        <f>IF(Liens!G498="","",IF(COUNTIF(Mots!A:A,Liens!G498)&gt;0,"✓ "&amp;Liens!G498,"✗ "&amp;Liens!G498&amp;" (introuvable)"))</f>
        <v/>
      </c>
      <c r="I503" s="35" t="str">
        <f>IF(Liens!H498="","",IF(COUNTIF(Mots!A:A,Liens!H498)&gt;0,"✓ "&amp;Liens!H498,"✗ "&amp;Liens!H498&amp;" (introuvable)"))</f>
        <v/>
      </c>
    </row>
    <row r="504" spans="1:9" x14ac:dyDescent="0.3">
      <c r="A504">
        <f t="shared" si="4"/>
        <v>499</v>
      </c>
      <c r="B504" s="35" t="str">
        <f>IF(Liens!A499="","",IF(COUNTIF(Mots!A:A,Liens!A499)&gt;0,"✓ "&amp;Liens!A499,"✗ "&amp;Liens!A499&amp;" (introuvable)"))</f>
        <v>✓ lit</v>
      </c>
      <c r="C504" s="35" t="str">
        <f>IF(Liens!B499="","",IF(COUNTIF(Mots!A:A,Liens!B499)&gt;0,"✓ "&amp;Liens!B499,"✗ "&amp;Liens!B499&amp;" (introuvable)"))</f>
        <v>✓ maison</v>
      </c>
      <c r="D504" s="35" t="str">
        <f>IF(Liens!C499="","",IF(COUNTIF(Mots!A:A,Liens!C499)&gt;0,"✓ "&amp;Liens!C499,"✗ "&amp;Liens!C499&amp;" (introuvable)"))</f>
        <v>✓ chambre</v>
      </c>
      <c r="E504" s="35" t="str">
        <f>IF(Liens!D499="","",IF(COUNTIF(Mots!A:A,Liens!D499)&gt;0,"✓ "&amp;Liens!D499,"✗ "&amp;Liens!D499&amp;" (introuvable)"))</f>
        <v>✓ v_dormir</v>
      </c>
      <c r="F504" s="35" t="str">
        <f>IF(Liens!E499="","",IF(COUNTIF(Mots!A:A,Liens!E499)&gt;0,"✓ "&amp;Liens!E499,"✗ "&amp;Liens!E499&amp;" (introuvable)"))</f>
        <v>✓ matelas</v>
      </c>
      <c r="G504" s="35" t="str">
        <f>IF(Liens!F499="","",IF(COUNTIF(Mots!A:A,Liens!F499)&gt;0,"✓ "&amp;Liens!F499,"✗ "&amp;Liens!F499&amp;" (introuvable)"))</f>
        <v>✓ duvet</v>
      </c>
      <c r="H504" s="35" t="str">
        <f>IF(Liens!G499="","",IF(COUNTIF(Mots!A:A,Liens!G499)&gt;0,"✓ "&amp;Liens!G499,"✗ "&amp;Liens!G499&amp;" (introuvable)"))</f>
        <v>✓ coussin</v>
      </c>
      <c r="I504" s="35" t="str">
        <f>IF(Liens!H499="","",IF(COUNTIF(Mots!A:A,Liens!H499)&gt;0,"✓ "&amp;Liens!H499,"✗ "&amp;Liens!H499&amp;" (introuvable)"))</f>
        <v>✓ couverture</v>
      </c>
    </row>
    <row r="505" spans="1:9" x14ac:dyDescent="0.3">
      <c r="A505">
        <f t="shared" si="4"/>
        <v>500</v>
      </c>
      <c r="B505" s="35" t="str">
        <f>IF(Liens!A500="","",IF(COUNTIF(Mots!A:A,Liens!A500)&gt;0,"✓ "&amp;Liens!A500,"✗ "&amp;Liens!A500&amp;" (introuvable)"))</f>
        <v>✓ livre</v>
      </c>
      <c r="C505" s="35" t="str">
        <f>IF(Liens!B500="","",IF(COUNTIF(Mots!A:A,Liens!B500)&gt;0,"✓ "&amp;Liens!B500,"✗ "&amp;Liens!B500&amp;" (introuvable)"))</f>
        <v>✓ bibliotheque</v>
      </c>
      <c r="D505" s="35" t="str">
        <f>IF(Liens!C500="","",IF(COUNTIF(Mots!A:A,Liens!C500)&gt;0,"✓ "&amp;Liens!C500,"✗ "&amp;Liens!C500&amp;" (introuvable)"))</f>
        <v>✓ page</v>
      </c>
      <c r="E505" s="35" t="str">
        <f>IF(Liens!D500="","",IF(COUNTIF(Mots!A:A,Liens!D500)&gt;0,"✓ "&amp;Liens!D500,"✗ "&amp;Liens!D500&amp;" (introuvable)"))</f>
        <v>✓ papier</v>
      </c>
      <c r="F505" s="35" t="str">
        <f>IF(Liens!E500="","",IF(COUNTIF(Mots!A:A,Liens!E500)&gt;0,"✓ "&amp;Liens!E500,"✗ "&amp;Liens!E500&amp;" (introuvable)"))</f>
        <v>✓ v_lire</v>
      </c>
      <c r="G505" s="35" t="str">
        <f>IF(Liens!F500="","",IF(COUNTIF(Mots!A:A,Liens!F500)&gt;0,"✓ "&amp;Liens!F500,"✗ "&amp;Liens!F500&amp;" (introuvable)"))</f>
        <v>✓ histoire</v>
      </c>
      <c r="H505" s="35" t="str">
        <f>IF(Liens!G500="","",IF(COUNTIF(Mots!A:A,Liens!G500)&gt;0,"✓ "&amp;Liens!G500,"✗ "&amp;Liens!G500&amp;" (introuvable)"))</f>
        <v>✓ recit</v>
      </c>
      <c r="I505" s="35" t="str">
        <f>IF(Liens!H500="","",IF(COUNTIF(Mots!A:A,Liens!H500)&gt;0,"✓ "&amp;Liens!H500,"✗ "&amp;Liens!H500&amp;" (introuvable)"))</f>
        <v>✓ v_raconter</v>
      </c>
    </row>
    <row r="506" spans="1:9" x14ac:dyDescent="0.3">
      <c r="A506">
        <f t="shared" si="4"/>
        <v>501</v>
      </c>
      <c r="B506" s="35" t="str">
        <f>IF(Liens!A501="","",IF(COUNTIF(Mots!A:A,Liens!A501)&gt;0,"✓ "&amp;Liens!A501,"✗ "&amp;Liens!A501&amp;" (introuvable)"))</f>
        <v>✓ logement</v>
      </c>
      <c r="C506" s="35" t="str">
        <f>IF(Liens!B501="","",IF(COUNTIF(Mots!A:A,Liens!B501)&gt;0,"✓ "&amp;Liens!B501,"✗ "&amp;Liens!B501&amp;" (introuvable)"))</f>
        <v>✓ maison</v>
      </c>
      <c r="D506" s="35" t="str">
        <f>IF(Liens!C501="","",IF(COUNTIF(Mots!A:A,Liens!C501)&gt;0,"✓ "&amp;Liens!C501,"✗ "&amp;Liens!C501&amp;" (introuvable)"))</f>
        <v>✓ chalet</v>
      </c>
      <c r="E506" s="35" t="str">
        <f>IF(Liens!D501="","",IF(COUNTIF(Mots!A:A,Liens!D501)&gt;0,"✓ "&amp;Liens!D501,"✗ "&amp;Liens!D501&amp;" (introuvable)"))</f>
        <v>✓ appartement</v>
      </c>
      <c r="F506" s="35" t="str">
        <f>IF(Liens!E501="","",IF(COUNTIF(Mots!A:A,Liens!E501)&gt;0,"✓ "&amp;Liens!E501,"✗ "&amp;Liens!E501&amp;" (introuvable)"))</f>
        <v>✓ loyer</v>
      </c>
      <c r="G506" s="35" t="str">
        <f>IF(Liens!F501="","",IF(COUNTIF(Mots!A:A,Liens!F501)&gt;0,"✓ "&amp;Liens!F501,"✗ "&amp;Liens!F501&amp;" (introuvable)"))</f>
        <v>✓ v_habiter</v>
      </c>
      <c r="H506" s="35" t="str">
        <f>IF(Liens!G501="","",IF(COUNTIF(Mots!A:A,Liens!G501)&gt;0,"✓ "&amp;Liens!G501,"✗ "&amp;Liens!G501&amp;" (introuvable)"))</f>
        <v/>
      </c>
      <c r="I506" s="35" t="str">
        <f>IF(Liens!H501="","",IF(COUNTIF(Mots!A:A,Liens!H501)&gt;0,"✓ "&amp;Liens!H501,"✗ "&amp;Liens!H501&amp;" (introuvable)"))</f>
        <v/>
      </c>
    </row>
    <row r="507" spans="1:9" x14ac:dyDescent="0.3">
      <c r="A507">
        <f t="shared" si="4"/>
        <v>502</v>
      </c>
      <c r="B507" s="35" t="str">
        <f>IF(Liens!A502="","",IF(COUNTIF(Mots!A:A,Liens!A502)&gt;0,"✓ "&amp;Liens!A502,"✗ "&amp;Liens!A502&amp;" (introuvable)"))</f>
        <v>✓ loi</v>
      </c>
      <c r="C507" s="35" t="str">
        <f>IF(Liens!B502="","",IF(COUNTIF(Mots!A:A,Liens!B502)&gt;0,"✓ "&amp;Liens!B502,"✗ "&amp;Liens!B502&amp;" (introuvable)"))</f>
        <v>✓ juste</v>
      </c>
      <c r="D507" s="35" t="str">
        <f>IF(Liens!C502="","",IF(COUNTIF(Mots!A:A,Liens!C502)&gt;0,"✓ "&amp;Liens!C502,"✗ "&amp;Liens!C502&amp;" (introuvable)"))</f>
        <v/>
      </c>
      <c r="E507" s="35" t="str">
        <f>IF(Liens!D502="","",IF(COUNTIF(Mots!A:A,Liens!D502)&gt;0,"✓ "&amp;Liens!D502,"✗ "&amp;Liens!D502&amp;" (introuvable)"))</f>
        <v/>
      </c>
      <c r="F507" s="35" t="str">
        <f>IF(Liens!E502="","",IF(COUNTIF(Mots!A:A,Liens!E502)&gt;0,"✓ "&amp;Liens!E502,"✗ "&amp;Liens!E502&amp;" (introuvable)"))</f>
        <v/>
      </c>
      <c r="G507" s="35" t="str">
        <f>IF(Liens!F502="","",IF(COUNTIF(Mots!A:A,Liens!F502)&gt;0,"✓ "&amp;Liens!F502,"✗ "&amp;Liens!F502&amp;" (introuvable)"))</f>
        <v/>
      </c>
      <c r="H507" s="35" t="str">
        <f>IF(Liens!G502="","",IF(COUNTIF(Mots!A:A,Liens!G502)&gt;0,"✓ "&amp;Liens!G502,"✗ "&amp;Liens!G502&amp;" (introuvable)"))</f>
        <v/>
      </c>
      <c r="I507" s="35" t="str">
        <f>IF(Liens!H502="","",IF(COUNTIF(Mots!A:A,Liens!H502)&gt;0,"✓ "&amp;Liens!H502,"✗ "&amp;Liens!H502&amp;" (introuvable)"))</f>
        <v/>
      </c>
    </row>
    <row r="508" spans="1:9" x14ac:dyDescent="0.3">
      <c r="A508">
        <f t="shared" si="4"/>
        <v>503</v>
      </c>
      <c r="B508" s="35" t="str">
        <f>IF(Liens!A503="","",IF(COUNTIF(Mots!A:A,Liens!A503)&gt;0,"✓ "&amp;Liens!A503,"✗ "&amp;Liens!A503&amp;" (introuvable)"))</f>
        <v>✓ loin</v>
      </c>
      <c r="C508" s="35" t="str">
        <f>IF(Liens!B503="","",IF(COUNTIF(Mots!A:A,Liens!B503)&gt;0,"✓ "&amp;Liens!B503,"✗ "&amp;Liens!B503&amp;" (introuvable)"))</f>
        <v>✓ distance</v>
      </c>
      <c r="D508" s="35" t="str">
        <f>IF(Liens!C503="","",IF(COUNTIF(Mots!A:A,Liens!C503)&gt;0,"✓ "&amp;Liens!C503,"✗ "&amp;Liens!C503&amp;" (introuvable)"))</f>
        <v>✓ ailleurs</v>
      </c>
      <c r="E508" s="35" t="str">
        <f>IF(Liens!D503="","",IF(COUNTIF(Mots!A:A,Liens!D503)&gt;0,"✓ "&amp;Liens!D503,"✗ "&amp;Liens!D503&amp;" (introuvable)"))</f>
        <v>✓ la</v>
      </c>
      <c r="F508" s="35" t="str">
        <f>IF(Liens!E503="","",IF(COUNTIF(Mots!A:A,Liens!E503)&gt;0,"✓ "&amp;Liens!E503,"✗ "&amp;Liens!E503&amp;" (introuvable)"))</f>
        <v>✓ ici</v>
      </c>
      <c r="G508" s="35" t="str">
        <f>IF(Liens!F503="","",IF(COUNTIF(Mots!A:A,Liens!F503)&gt;0,"✓ "&amp;Liens!F503,"✗ "&amp;Liens!F503&amp;" (introuvable)"))</f>
        <v>✓ v_partir</v>
      </c>
      <c r="H508" s="35" t="str">
        <f>IF(Liens!G503="","",IF(COUNTIF(Mots!A:A,Liens!G503)&gt;0,"✓ "&amp;Liens!G503,"✗ "&amp;Liens!G503&amp;" (introuvable)"))</f>
        <v>✓ vacances</v>
      </c>
      <c r="I508" s="35" t="str">
        <f>IF(Liens!H503="","",IF(COUNTIF(Mots!A:A,Liens!H503)&gt;0,"✓ "&amp;Liens!H503,"✗ "&amp;Liens!H503&amp;" (introuvable)"))</f>
        <v>✓ a_proche_eloigne</v>
      </c>
    </row>
    <row r="509" spans="1:9" x14ac:dyDescent="0.3">
      <c r="A509">
        <f t="shared" si="4"/>
        <v>504</v>
      </c>
      <c r="B509" s="35" t="str">
        <f>IF(Liens!A504="","",IF(COUNTIF(Mots!A:A,Liens!A504)&gt;0,"✓ "&amp;Liens!A504,"✗ "&amp;Liens!A504&amp;" (introuvable)"))</f>
        <v>✓ loisir</v>
      </c>
      <c r="C509" s="35" t="str">
        <f>IF(Liens!B504="","",IF(COUNTIF(Mots!A:A,Liens!B504)&gt;0,"✓ "&amp;Liens!B504,"✗ "&amp;Liens!B504&amp;" (introuvable)"))</f>
        <v>✓ hobby</v>
      </c>
      <c r="D509" s="35" t="str">
        <f>IF(Liens!C504="","",IF(COUNTIF(Mots!A:A,Liens!C504)&gt;0,"✓ "&amp;Liens!C504,"✗ "&amp;Liens!C504&amp;" (introuvable)"))</f>
        <v>✓ plaisir</v>
      </c>
      <c r="E509" s="35" t="str">
        <f>IF(Liens!D504="","",IF(COUNTIF(Mots!A:A,Liens!D504)&gt;0,"✓ "&amp;Liens!D504,"✗ "&amp;Liens!D504&amp;" (introuvable)"))</f>
        <v>✓ cornet</v>
      </c>
      <c r="F509" s="35" t="str">
        <f>IF(Liens!E504="","",IF(COUNTIF(Mots!A:A,Liens!E504)&gt;0,"✓ "&amp;Liens!E504,"✗ "&amp;Liens!E504&amp;" (introuvable)"))</f>
        <v>✓ v_jouer</v>
      </c>
      <c r="G509" s="35" t="str">
        <f>IF(Liens!F504="","",IF(COUNTIF(Mots!A:A,Liens!F504)&gt;0,"✓ "&amp;Liens!F504,"✗ "&amp;Liens!F504&amp;" (introuvable)"))</f>
        <v>✓ randonnee</v>
      </c>
      <c r="H509" s="35" t="str">
        <f>IF(Liens!G504="","",IF(COUNTIF(Mots!A:A,Liens!G504)&gt;0,"✓ "&amp;Liens!G504,"✗ "&amp;Liens!G504&amp;" (introuvable)"))</f>
        <v>✓ promenade</v>
      </c>
      <c r="I509" s="35" t="str">
        <f>IF(Liens!H504="","",IF(COUNTIF(Mots!A:A,Liens!H504)&gt;0,"✓ "&amp;Liens!H504,"✗ "&amp;Liens!H504&amp;" (introuvable)"))</f>
        <v>✓ sport</v>
      </c>
    </row>
    <row r="510" spans="1:9" x14ac:dyDescent="0.3">
      <c r="A510">
        <f t="shared" si="4"/>
        <v>505</v>
      </c>
      <c r="B510" s="35" t="str">
        <f>IF(Liens!A505="","",IF(COUNTIF(Mots!A:A,Liens!A505)&gt;0,"✓ "&amp;Liens!A505,"✗ "&amp;Liens!A505&amp;" (introuvable)"))</f>
        <v>✓ longtemps</v>
      </c>
      <c r="C510" s="35" t="str">
        <f>IF(Liens!B505="","",IF(COUNTIF(Mots!A:A,Liens!B505)&gt;0,"✓ "&amp;Liens!B505,"✗ "&amp;Liens!B505&amp;" (introuvable)"))</f>
        <v>✓ duree</v>
      </c>
      <c r="D510" s="35" t="str">
        <f>IF(Liens!C505="","",IF(COUNTIF(Mots!A:A,Liens!C505)&gt;0,"✓ "&amp;Liens!C505,"✗ "&amp;Liens!C505&amp;" (introuvable)"))</f>
        <v>✓ debut</v>
      </c>
      <c r="E510" s="35" t="str">
        <f>IF(Liens!D505="","",IF(COUNTIF(Mots!A:A,Liens!D505)&gt;0,"✓ "&amp;Liens!D505,"✗ "&amp;Liens!D505&amp;" (introuvable)"))</f>
        <v>✓ fin</v>
      </c>
      <c r="F510" s="35" t="str">
        <f>IF(Liens!E505="","",IF(COUNTIF(Mots!A:A,Liens!E505)&gt;0,"✓ "&amp;Liens!E505,"✗ "&amp;Liens!E505&amp;" (introuvable)"))</f>
        <v>✓ moment</v>
      </c>
      <c r="G510" s="35" t="str">
        <f>IF(Liens!F505="","",IF(COUNTIF(Mots!A:A,Liens!F505)&gt;0,"✓ "&amp;Liens!F505,"✗ "&amp;Liens!F505&amp;" (introuvable)"))</f>
        <v>✓ heure</v>
      </c>
      <c r="H510" s="35" t="str">
        <f>IF(Liens!G505="","",IF(COUNTIF(Mots!A:A,Liens!G505)&gt;0,"✓ "&amp;Liens!G505,"✗ "&amp;Liens!G505&amp;" (introuvable)"))</f>
        <v>✓ jour</v>
      </c>
      <c r="I510" s="35" t="str">
        <f>IF(Liens!H505="","",IF(COUNTIF(Mots!A:A,Liens!H505)&gt;0,"✓ "&amp;Liens!H505,"✗ "&amp;Liens!H505&amp;" (introuvable)"))</f>
        <v>✓ semaine</v>
      </c>
    </row>
    <row r="511" spans="1:9" x14ac:dyDescent="0.3">
      <c r="A511">
        <f t="shared" si="4"/>
        <v>506</v>
      </c>
      <c r="B511" s="35" t="str">
        <f>IF(Liens!A506="","",IF(COUNTIF(Mots!A:A,Liens!A506)&gt;0,"✓ "&amp;Liens!A506,"✗ "&amp;Liens!A506&amp;" (introuvable)"))</f>
        <v>✓ longueur</v>
      </c>
      <c r="C511" s="35" t="str">
        <f>IF(Liens!B506="","",IF(COUNTIF(Mots!A:A,Liens!B506)&gt;0,"✓ "&amp;Liens!B506,"✗ "&amp;Liens!B506&amp;" (introuvable)"))</f>
        <v>✓ distance</v>
      </c>
      <c r="D511" s="35" t="str">
        <f>IF(Liens!C506="","",IF(COUNTIF(Mots!A:A,Liens!C506)&gt;0,"✓ "&amp;Liens!C506,"✗ "&amp;Liens!C506&amp;" (introuvable)"))</f>
        <v>✓ largeur</v>
      </c>
      <c r="E511" s="35" t="str">
        <f>IF(Liens!D506="","",IF(COUNTIF(Mots!A:A,Liens!D506)&gt;0,"✓ "&amp;Liens!D506,"✗ "&amp;Liens!D506&amp;" (introuvable)"))</f>
        <v>✓ hauteur</v>
      </c>
      <c r="F511" s="35" t="str">
        <f>IF(Liens!E506="","",IF(COUNTIF(Mots!A:A,Liens!E506)&gt;0,"✓ "&amp;Liens!E506,"✗ "&amp;Liens!E506&amp;" (introuvable)"))</f>
        <v>✓ voiture</v>
      </c>
      <c r="G511" s="35" t="str">
        <f>IF(Liens!F506="","",IF(COUNTIF(Mots!A:A,Liens!F506)&gt;0,"✓ "&amp;Liens!F506,"✗ "&amp;Liens!F506&amp;" (introuvable)"))</f>
        <v>✓ camion</v>
      </c>
      <c r="H511" s="35" t="str">
        <f>IF(Liens!G506="","",IF(COUNTIF(Mots!A:A,Liens!G506)&gt;0,"✓ "&amp;Liens!G506,"✗ "&amp;Liens!G506&amp;" (introuvable)"))</f>
        <v>✓ route</v>
      </c>
      <c r="I511" s="35" t="str">
        <f>IF(Liens!H506="","",IF(COUNTIF(Mots!A:A,Liens!H506)&gt;0,"✓ "&amp;Liens!H506,"✗ "&amp;Liens!H506&amp;" (introuvable)"))</f>
        <v>✓ train</v>
      </c>
    </row>
    <row r="512" spans="1:9" x14ac:dyDescent="0.3">
      <c r="A512">
        <f t="shared" si="4"/>
        <v>507</v>
      </c>
      <c r="B512" s="35" t="str">
        <f>IF(Liens!A507="","",IF(COUNTIF(Mots!A:A,Liens!A507)&gt;0,"✓ "&amp;Liens!A507,"✗ "&amp;Liens!A507&amp;" (introuvable)"))</f>
        <v>✓ loto</v>
      </c>
      <c r="C512" s="35" t="str">
        <f>IF(Liens!B507="","",IF(COUNTIF(Mots!A:A,Liens!B507)&gt;0,"✓ "&amp;Liens!B507,"✗ "&amp;Liens!B507&amp;" (introuvable)"))</f>
        <v>✓ jeu</v>
      </c>
      <c r="D512" s="35" t="str">
        <f>IF(Liens!C507="","",IF(COUNTIF(Mots!A:A,Liens!C507)&gt;0,"✓ "&amp;Liens!C507,"✗ "&amp;Liens!C507&amp;" (introuvable)"))</f>
        <v>✓ hasard</v>
      </c>
      <c r="E512" s="35" t="str">
        <f>IF(Liens!D507="","",IF(COUNTIF(Mots!A:A,Liens!D507)&gt;0,"✓ "&amp;Liens!D507,"✗ "&amp;Liens!D507&amp;" (introuvable)"))</f>
        <v>✓ numero</v>
      </c>
      <c r="F512" s="35" t="str">
        <f>IF(Liens!E507="","",IF(COUNTIF(Mots!A:A,Liens!E507)&gt;0,"✓ "&amp;Liens!E507,"✗ "&amp;Liens!E507&amp;" (introuvable)"))</f>
        <v>✓ v_crier</v>
      </c>
      <c r="G512" s="35" t="str">
        <f>IF(Liens!F507="","",IF(COUNTIF(Mots!A:A,Liens!F507)&gt;0,"✓ "&amp;Liens!F507,"✗ "&amp;Liens!F507&amp;" (introuvable)"))</f>
        <v>✓ v_gagner</v>
      </c>
      <c r="H512" s="35" t="str">
        <f>IF(Liens!G507="","",IF(COUNTIF(Mots!A:A,Liens!G507)&gt;0,"✓ "&amp;Liens!G507,"✗ "&amp;Liens!G507&amp;" (introuvable)"))</f>
        <v/>
      </c>
      <c r="I512" s="35" t="str">
        <f>IF(Liens!H507="","",IF(COUNTIF(Mots!A:A,Liens!H507)&gt;0,"✓ "&amp;Liens!H507,"✗ "&amp;Liens!H507&amp;" (introuvable)"))</f>
        <v/>
      </c>
    </row>
    <row r="513" spans="1:9" x14ac:dyDescent="0.3">
      <c r="A513">
        <f t="shared" si="4"/>
        <v>508</v>
      </c>
      <c r="B513" s="35" t="str">
        <f>IF(Liens!A508="","",IF(COUNTIF(Mots!A:A,Liens!A508)&gt;0,"✓ "&amp;Liens!A508,"✗ "&amp;Liens!A508&amp;" (introuvable)"))</f>
        <v>✓ loup</v>
      </c>
      <c r="C513" s="35" t="str">
        <f>IF(Liens!B508="","",IF(COUNTIF(Mots!A:A,Liens!B508)&gt;0,"✓ "&amp;Liens!B508,"✗ "&amp;Liens!B508&amp;" (introuvable)"))</f>
        <v>✓ animal</v>
      </c>
      <c r="D513" s="35" t="str">
        <f>IF(Liens!C508="","",IF(COUNTIF(Mots!A:A,Liens!C508)&gt;0,"✓ "&amp;Liens!C508,"✗ "&amp;Liens!C508&amp;" (introuvable)"))</f>
        <v>✓ a_sauvage</v>
      </c>
      <c r="E513" s="35" t="str">
        <f>IF(Liens!D508="","",IF(COUNTIF(Mots!A:A,Liens!D508)&gt;0,"✓ "&amp;Liens!D508,"✗ "&amp;Liens!D508&amp;" (introuvable)"))</f>
        <v>✓ chien</v>
      </c>
      <c r="F513" s="35" t="str">
        <f>IF(Liens!E508="","",IF(COUNTIF(Mots!A:A,Liens!E508)&gt;0,"✓ "&amp;Liens!E508,"✗ "&amp;Liens!E508&amp;" (introuvable)"))</f>
        <v>✓ dangereux</v>
      </c>
      <c r="G513" s="35" t="str">
        <f>IF(Liens!F508="","",IF(COUNTIF(Mots!A:A,Liens!F508)&gt;0,"✓ "&amp;Liens!F508,"✗ "&amp;Liens!F508&amp;" (introuvable)"))</f>
        <v/>
      </c>
      <c r="H513" s="35" t="str">
        <f>IF(Liens!G508="","",IF(COUNTIF(Mots!A:A,Liens!G508)&gt;0,"✓ "&amp;Liens!G508,"✗ "&amp;Liens!G508&amp;" (introuvable)"))</f>
        <v/>
      </c>
      <c r="I513" s="35" t="str">
        <f>IF(Liens!H508="","",IF(COUNTIF(Mots!A:A,Liens!H508)&gt;0,"✓ "&amp;Liens!H508,"✗ "&amp;Liens!H508&amp;" (introuvable)"))</f>
        <v/>
      </c>
    </row>
    <row r="514" spans="1:9" x14ac:dyDescent="0.3">
      <c r="A514">
        <f t="shared" si="4"/>
        <v>509</v>
      </c>
      <c r="B514" s="35" t="str">
        <f>IF(Liens!A509="","",IF(COUNTIF(Mots!A:A,Liens!A509)&gt;0,"✓ "&amp;Liens!A509,"✗ "&amp;Liens!A509&amp;" (introuvable)"))</f>
        <v>✓ loupe</v>
      </c>
      <c r="C514" s="35" t="str">
        <f>IF(Liens!B509="","",IF(COUNTIF(Mots!A:A,Liens!B509)&gt;0,"✓ "&amp;Liens!B509,"✗ "&amp;Liens!B509&amp;" (introuvable)"))</f>
        <v>✓ verre</v>
      </c>
      <c r="D514" s="35" t="str">
        <f>IF(Liens!C509="","",IF(COUNTIF(Mots!A:A,Liens!C509)&gt;0,"✓ "&amp;Liens!C509,"✗ "&amp;Liens!C509&amp;" (introuvable)"))</f>
        <v>✓ rond</v>
      </c>
      <c r="E514" s="35" t="str">
        <f>IF(Liens!D509="","",IF(COUNTIF(Mots!A:A,Liens!D509)&gt;0,"✓ "&amp;Liens!D509,"✗ "&amp;Liens!D509&amp;" (introuvable)"))</f>
        <v>✓ v_voir</v>
      </c>
      <c r="F514" s="35" t="str">
        <f>IF(Liens!E509="","",IF(COUNTIF(Mots!A:A,Liens!E509)&gt;0,"✓ "&amp;Liens!E509,"✗ "&amp;Liens!E509&amp;" (introuvable)"))</f>
        <v>✓ v_regarder</v>
      </c>
      <c r="G514" s="35" t="str">
        <f>IF(Liens!F509="","",IF(COUNTIF(Mots!A:A,Liens!F509)&gt;0,"✓ "&amp;Liens!F509,"✗ "&amp;Liens!F509&amp;" (introuvable)"))</f>
        <v>✓ v_chercher</v>
      </c>
      <c r="H514" s="35" t="str">
        <f>IF(Liens!G509="","",IF(COUNTIF(Mots!A:A,Liens!G509)&gt;0,"✓ "&amp;Liens!G509,"✗ "&amp;Liens!G509&amp;" (introuvable)"))</f>
        <v/>
      </c>
      <c r="I514" s="35" t="str">
        <f>IF(Liens!H509="","",IF(COUNTIF(Mots!A:A,Liens!H509)&gt;0,"✓ "&amp;Liens!H509,"✗ "&amp;Liens!H509&amp;" (introuvable)"))</f>
        <v/>
      </c>
    </row>
    <row r="515" spans="1:9" x14ac:dyDescent="0.3">
      <c r="A515">
        <f t="shared" si="4"/>
        <v>510</v>
      </c>
      <c r="B515" s="35" t="str">
        <f>IF(Liens!A510="","",IF(COUNTIF(Mots!A:A,Liens!A510)&gt;0,"✓ "&amp;Liens!A510,"✗ "&amp;Liens!A510&amp;" (introuvable)"))</f>
        <v>✓ lumiere</v>
      </c>
      <c r="C515" s="35" t="str">
        <f>IF(Liens!B510="","",IF(COUNTIF(Mots!A:A,Liens!B510)&gt;0,"✓ "&amp;Liens!B510,"✗ "&amp;Liens!B510&amp;" (introuvable)"))</f>
        <v>✓ soleil</v>
      </c>
      <c r="D515" s="35" t="str">
        <f>IF(Liens!C510="","",IF(COUNTIF(Mots!A:A,Liens!C510)&gt;0,"✓ "&amp;Liens!C510,"✗ "&amp;Liens!C510&amp;" (introuvable)"))</f>
        <v>✓ ampoule</v>
      </c>
      <c r="E515" s="35" t="str">
        <f>IF(Liens!D510="","",IF(COUNTIF(Mots!A:A,Liens!D510)&gt;0,"✓ "&amp;Liens!D510,"✗ "&amp;Liens!D510&amp;" (introuvable)"))</f>
        <v>✓ phare</v>
      </c>
      <c r="F515" s="35" t="str">
        <f>IF(Liens!E510="","",IF(COUNTIF(Mots!A:A,Liens!E510)&gt;0,"✓ "&amp;Liens!E510,"✗ "&amp;Liens!E510&amp;" (introuvable)"))</f>
        <v>✓ bougie</v>
      </c>
      <c r="G515" s="35" t="str">
        <f>IF(Liens!F510="","",IF(COUNTIF(Mots!A:A,Liens!F510)&gt;0,"✓ "&amp;Liens!F510,"✗ "&amp;Liens!F510&amp;" (introuvable)"))</f>
        <v>✓ feu</v>
      </c>
      <c r="H515" s="35" t="str">
        <f>IF(Liens!G510="","",IF(COUNTIF(Mots!A:A,Liens!G510)&gt;0,"✓ "&amp;Liens!G510,"✗ "&amp;Liens!G510&amp;" (introuvable)"))</f>
        <v>✓ jour</v>
      </c>
      <c r="I515" s="35" t="str">
        <f>IF(Liens!H510="","",IF(COUNTIF(Mots!A:A,Liens!H510)&gt;0,"✓ "&amp;Liens!H510,"✗ "&amp;Liens!H510&amp;" (introuvable)"))</f>
        <v>✓ lampe</v>
      </c>
    </row>
    <row r="516" spans="1:9" x14ac:dyDescent="0.3">
      <c r="A516">
        <f t="shared" si="4"/>
        <v>511</v>
      </c>
      <c r="B516" s="35" t="str">
        <f>IF(Liens!A511="","",IF(COUNTIF(Mots!A:A,Liens!A511)&gt;0,"✓ "&amp;Liens!A511,"✗ "&amp;Liens!A511&amp;" (introuvable)"))</f>
        <v>✓ lunettes</v>
      </c>
      <c r="C516" s="35" t="str">
        <f>IF(Liens!B511="","",IF(COUNTIF(Mots!A:A,Liens!B511)&gt;0,"✓ "&amp;Liens!B511,"✗ "&amp;Liens!B511&amp;" (introuvable)"))</f>
        <v>✓ verre</v>
      </c>
      <c r="D516" s="35" t="str">
        <f>IF(Liens!C511="","",IF(COUNTIF(Mots!A:A,Liens!C511)&gt;0,"✓ "&amp;Liens!C511,"✗ "&amp;Liens!C511&amp;" (introuvable)"))</f>
        <v>✓ oeil</v>
      </c>
      <c r="E516" s="35" t="str">
        <f>IF(Liens!D511="","",IF(COUNTIF(Mots!A:A,Liens!D511)&gt;0,"✓ "&amp;Liens!D511,"✗ "&amp;Liens!D511&amp;" (introuvable)"))</f>
        <v>✓ v_voir</v>
      </c>
      <c r="F516" s="35" t="str">
        <f>IF(Liens!E511="","",IF(COUNTIF(Mots!A:A,Liens!E511)&gt;0,"✓ "&amp;Liens!E511,"✗ "&amp;Liens!E511&amp;" (introuvable)"))</f>
        <v>✓ soleil</v>
      </c>
      <c r="G516" s="35" t="str">
        <f>IF(Liens!F511="","",IF(COUNTIF(Mots!A:A,Liens!F511)&gt;0,"✓ "&amp;Liens!F511,"✗ "&amp;Liens!F511&amp;" (introuvable)"))</f>
        <v/>
      </c>
      <c r="H516" s="35" t="str">
        <f>IF(Liens!G511="","",IF(COUNTIF(Mots!A:A,Liens!G511)&gt;0,"✓ "&amp;Liens!G511,"✗ "&amp;Liens!G511&amp;" (introuvable)"))</f>
        <v/>
      </c>
      <c r="I516" s="35" t="str">
        <f>IF(Liens!H511="","",IF(COUNTIF(Mots!A:A,Liens!H511)&gt;0,"✓ "&amp;Liens!H511,"✗ "&amp;Liens!H511&amp;" (introuvable)"))</f>
        <v/>
      </c>
    </row>
    <row r="517" spans="1:9" x14ac:dyDescent="0.3">
      <c r="A517">
        <f t="shared" si="4"/>
        <v>512</v>
      </c>
      <c r="B517" s="35" t="str">
        <f>IF(Liens!A512="","",IF(COUNTIF(Mots!A:A,Liens!A512)&gt;0,"✓ "&amp;Liens!A512,"✗ "&amp;Liens!A512&amp;" (introuvable)"))</f>
        <v>✓ lutte</v>
      </c>
      <c r="C517" s="35" t="str">
        <f>IF(Liens!B512="","",IF(COUNTIF(Mots!A:A,Liens!B512)&gt;0,"✓ "&amp;Liens!B512,"✗ "&amp;Liens!B512&amp;" (introuvable)"))</f>
        <v>✓ combat</v>
      </c>
      <c r="D517" s="35" t="str">
        <f>IF(Liens!C512="","",IF(COUNTIF(Mots!A:A,Liens!C512)&gt;0,"✓ "&amp;Liens!C512,"✗ "&amp;Liens!C512&amp;" (introuvable)"))</f>
        <v>✓ bagarre</v>
      </c>
      <c r="E517" s="35" t="str">
        <f>IF(Liens!D512="","",IF(COUNTIF(Mots!A:A,Liens!D512)&gt;0,"✓ "&amp;Liens!D512,"✗ "&amp;Liens!D512&amp;" (introuvable)"))</f>
        <v>✓ v_frapper</v>
      </c>
      <c r="F517" s="35" t="str">
        <f>IF(Liens!E512="","",IF(COUNTIF(Mots!A:A,Liens!E512)&gt;0,"✓ "&amp;Liens!E512,"✗ "&amp;Liens!E512&amp;" (introuvable)"))</f>
        <v>✓ blessure</v>
      </c>
      <c r="G517" s="35" t="str">
        <f>IF(Liens!F512="","",IF(COUNTIF(Mots!A:A,Liens!F512)&gt;0,"✓ "&amp;Liens!F512,"✗ "&amp;Liens!F512&amp;" (introuvable)"))</f>
        <v/>
      </c>
      <c r="H517" s="35" t="str">
        <f>IF(Liens!G512="","",IF(COUNTIF(Mots!A:A,Liens!G512)&gt;0,"✓ "&amp;Liens!G512,"✗ "&amp;Liens!G512&amp;" (introuvable)"))</f>
        <v/>
      </c>
      <c r="I517" s="35" t="str">
        <f>IF(Liens!H512="","",IF(COUNTIF(Mots!A:A,Liens!H512)&gt;0,"✓ "&amp;Liens!H512,"✗ "&amp;Liens!H512&amp;" (introuvable)"))</f>
        <v/>
      </c>
    </row>
    <row r="518" spans="1:9" x14ac:dyDescent="0.3">
      <c r="A518">
        <f t="shared" si="4"/>
        <v>513</v>
      </c>
      <c r="B518" s="35" t="str">
        <f>IF(Liens!A513="","",IF(COUNTIF(Mots!A:A,Liens!A513)&gt;0,"✓ "&amp;Liens!A513,"✗ "&amp;Liens!A513&amp;" (introuvable)"))</f>
        <v>✓ m_bureau</v>
      </c>
      <c r="C518" s="35" t="str">
        <f>IF(Liens!B513="","",IF(COUNTIF(Mots!A:A,Liens!B513)&gt;0,"✓ "&amp;Liens!B513,"✗ "&amp;Liens!B513&amp;" (introuvable)"))</f>
        <v>✓ meuble</v>
      </c>
      <c r="D518" s="35" t="str">
        <f>IF(Liens!C513="","",IF(COUNTIF(Mots!A:A,Liens!C513)&gt;0,"✓ "&amp;Liens!C513,"✗ "&amp;Liens!C513&amp;" (introuvable)"))</f>
        <v>✓ bureau_piece</v>
      </c>
      <c r="E518" s="35" t="str">
        <f>IF(Liens!D513="","",IF(COUNTIF(Mots!A:A,Liens!D513)&gt;0,"✓ "&amp;Liens!D513,"✗ "&amp;Liens!D513&amp;" (introuvable)"))</f>
        <v>✓ chaise</v>
      </c>
      <c r="F518" s="35" t="str">
        <f>IF(Liens!E513="","",IF(COUNTIF(Mots!A:A,Liens!E513)&gt;0,"✓ "&amp;Liens!E513,"✗ "&amp;Liens!E513&amp;" (introuvable)"))</f>
        <v>✓ ordinateur</v>
      </c>
      <c r="G518" s="35" t="str">
        <f>IF(Liens!F513="","",IF(COUNTIF(Mots!A:A,Liens!F513)&gt;0,"✓ "&amp;Liens!F513,"✗ "&amp;Liens!F513&amp;" (introuvable)"))</f>
        <v>✓ calculatrice</v>
      </c>
      <c r="H518" s="35" t="str">
        <f>IF(Liens!G513="","",IF(COUNTIF(Mots!A:A,Liens!G513)&gt;0,"✓ "&amp;Liens!G513,"✗ "&amp;Liens!G513&amp;" (introuvable)"))</f>
        <v/>
      </c>
      <c r="I518" s="35" t="str">
        <f>IF(Liens!H513="","",IF(COUNTIF(Mots!A:A,Liens!H513)&gt;0,"✓ "&amp;Liens!H513,"✗ "&amp;Liens!H513&amp;" (introuvable)"))</f>
        <v/>
      </c>
    </row>
    <row r="519" spans="1:9" x14ac:dyDescent="0.3">
      <c r="A519">
        <f t="shared" si="4"/>
        <v>514</v>
      </c>
      <c r="B519" s="35" t="str">
        <f>IF(Liens!A514="","",IF(COUNTIF(Mots!A:A,Liens!A514)&gt;0,"✓ "&amp;Liens!A514,"✗ "&amp;Liens!A514&amp;" (introuvable)"))</f>
        <v>✓ machine</v>
      </c>
      <c r="C519" s="35" t="str">
        <f>IF(Liens!B514="","",IF(COUNTIF(Mots!A:A,Liens!B514)&gt;0,"✓ "&amp;Liens!B514,"✗ "&amp;Liens!B514&amp;" (introuvable)"))</f>
        <v>✓ travail</v>
      </c>
      <c r="D519" s="35" t="str">
        <f>IF(Liens!C514="","",IF(COUNTIF(Mots!A:A,Liens!C514)&gt;0,"✓ "&amp;Liens!C514,"✗ "&amp;Liens!C514&amp;" (introuvable)"))</f>
        <v>✓ pelle_mecanique</v>
      </c>
      <c r="E519" s="35" t="str">
        <f>IF(Liens!D514="","",IF(COUNTIF(Mots!A:A,Liens!D514)&gt;0,"✓ "&amp;Liens!D514,"✗ "&amp;Liens!D514&amp;" (introuvable)"))</f>
        <v>✓ rouleau_compresseur</v>
      </c>
      <c r="F519" s="35" t="str">
        <f>IF(Liens!E514="","",IF(COUNTIF(Mots!A:A,Liens!E514)&gt;0,"✓ "&amp;Liens!E514,"✗ "&amp;Liens!E514&amp;" (introuvable)"))</f>
        <v>✓ appareil</v>
      </c>
      <c r="G519" s="35" t="str">
        <f>IF(Liens!F514="","",IF(COUNTIF(Mots!A:A,Liens!F514)&gt;0,"✓ "&amp;Liens!F514,"✗ "&amp;Liens!F514&amp;" (introuvable)"))</f>
        <v>✓ lave_linge</v>
      </c>
      <c r="H519" s="35" t="str">
        <f>IF(Liens!G514="","",IF(COUNTIF(Mots!A:A,Liens!G514)&gt;0,"✓ "&amp;Liens!G514,"✗ "&amp;Liens!G514&amp;" (introuvable)"))</f>
        <v>✓ seche_linge</v>
      </c>
      <c r="I519" s="35" t="str">
        <f>IF(Liens!H514="","",IF(COUNTIF(Mots!A:A,Liens!H514)&gt;0,"✓ "&amp;Liens!H514,"✗ "&amp;Liens!H514&amp;" (introuvable)"))</f>
        <v>✓ machine_a_cafe</v>
      </c>
    </row>
    <row r="520" spans="1:9" x14ac:dyDescent="0.3">
      <c r="A520">
        <f t="shared" si="4"/>
        <v>515</v>
      </c>
      <c r="B520" s="35" t="str">
        <f>IF(Liens!A515="","",IF(COUNTIF(Mots!A:A,Liens!A515)&gt;0,"✓ "&amp;Liens!A515,"✗ "&amp;Liens!A515&amp;" (introuvable)"))</f>
        <v>✓ magasin</v>
      </c>
      <c r="C520" s="35" t="str">
        <f>IF(Liens!B515="","",IF(COUNTIF(Mots!A:A,Liens!B515)&gt;0,"✓ "&amp;Liens!B515,"✗ "&amp;Liens!B515&amp;" (introuvable)"))</f>
        <v>✓ chose</v>
      </c>
      <c r="D520" s="35" t="str">
        <f>IF(Liens!C515="","",IF(COUNTIF(Mots!A:A,Liens!C515)&gt;0,"✓ "&amp;Liens!C515,"✗ "&amp;Liens!C515&amp;" (introuvable)"))</f>
        <v>✓ v_acheter</v>
      </c>
      <c r="E520" s="35" t="str">
        <f>IF(Liens!D515="","",IF(COUNTIF(Mots!A:A,Liens!D515)&gt;0,"✓ "&amp;Liens!D515,"✗ "&amp;Liens!D515&amp;" (introuvable)"))</f>
        <v>✓ nourriture</v>
      </c>
      <c r="F520" s="35" t="str">
        <f>IF(Liens!E515="","",IF(COUNTIF(Mots!A:A,Liens!E515)&gt;0,"✓ "&amp;Liens!E515,"✗ "&amp;Liens!E515&amp;" (introuvable)"))</f>
        <v>✓ habit</v>
      </c>
      <c r="G520" s="35" t="str">
        <f>IF(Liens!F515="","",IF(COUNTIF(Mots!A:A,Liens!F515)&gt;0,"✓ "&amp;Liens!F515,"✗ "&amp;Liens!F515&amp;" (introuvable)"))</f>
        <v/>
      </c>
      <c r="H520" s="35" t="str">
        <f>IF(Liens!G515="","",IF(COUNTIF(Mots!A:A,Liens!G515)&gt;0,"✓ "&amp;Liens!G515,"✗ "&amp;Liens!G515&amp;" (introuvable)"))</f>
        <v/>
      </c>
      <c r="I520" s="35" t="str">
        <f>IF(Liens!H515="","",IF(COUNTIF(Mots!A:A,Liens!H515)&gt;0,"✓ "&amp;Liens!H515,"✗ "&amp;Liens!H515&amp;" (introuvable)"))</f>
        <v/>
      </c>
    </row>
    <row r="521" spans="1:9" x14ac:dyDescent="0.3">
      <c r="A521">
        <f t="shared" si="4"/>
        <v>516</v>
      </c>
      <c r="B521" s="35" t="str">
        <f>IF(Liens!A516="","",IF(COUNTIF(Mots!A:A,Liens!A516)&gt;0,"✓ "&amp;Liens!A516,"✗ "&amp;Liens!A516&amp;" (introuvable)"))</f>
        <v>✓ main</v>
      </c>
      <c r="C521" s="35" t="str">
        <f>IF(Liens!B516="","",IF(COUNTIF(Mots!A:A,Liens!B516)&gt;0,"✓ "&amp;Liens!B516,"✗ "&amp;Liens!B516&amp;" (introuvable)"))</f>
        <v>✓ corps_humain</v>
      </c>
      <c r="D521" s="35" t="str">
        <f>IF(Liens!C516="","",IF(COUNTIF(Mots!A:A,Liens!C516)&gt;0,"✓ "&amp;Liens!C516,"✗ "&amp;Liens!C516&amp;" (introuvable)"))</f>
        <v>✓ bras</v>
      </c>
      <c r="E521" s="35" t="str">
        <f>IF(Liens!D516="","",IF(COUNTIF(Mots!A:A,Liens!D516)&gt;0,"✓ "&amp;Liens!D516,"✗ "&amp;Liens!D516&amp;" (introuvable)"))</f>
        <v>✓ main</v>
      </c>
      <c r="F521" s="35" t="str">
        <f>IF(Liens!E516="","",IF(COUNTIF(Mots!A:A,Liens!E516)&gt;0,"✓ "&amp;Liens!E516,"✗ "&amp;Liens!E516&amp;" (introuvable)"))</f>
        <v>✓ v_toucher</v>
      </c>
      <c r="G521" s="35" t="str">
        <f>IF(Liens!F516="","",IF(COUNTIF(Mots!A:A,Liens!F516)&gt;0,"✓ "&amp;Liens!F516,"✗ "&amp;Liens!F516&amp;" (introuvable)"))</f>
        <v>✓ geste</v>
      </c>
      <c r="H521" s="35" t="str">
        <f>IF(Liens!G516="","",IF(COUNTIF(Mots!A:A,Liens!G516)&gt;0,"✓ "&amp;Liens!G516,"✗ "&amp;Liens!G516&amp;" (introuvable)"))</f>
        <v/>
      </c>
      <c r="I521" s="35" t="str">
        <f>IF(Liens!H516="","",IF(COUNTIF(Mots!A:A,Liens!H516)&gt;0,"✓ "&amp;Liens!H516,"✗ "&amp;Liens!H516&amp;" (introuvable)"))</f>
        <v/>
      </c>
    </row>
    <row r="522" spans="1:9" x14ac:dyDescent="0.3">
      <c r="A522">
        <f t="shared" si="4"/>
        <v>517</v>
      </c>
      <c r="B522" s="35" t="str">
        <f>IF(Liens!A517="","",IF(COUNTIF(Mots!A:A,Liens!A517)&gt;0,"✓ "&amp;Liens!A517,"✗ "&amp;Liens!A517&amp;" (introuvable)"))</f>
        <v>✓ maintenant</v>
      </c>
      <c r="C522" s="35" t="str">
        <f>IF(Liens!B517="","",IF(COUNTIF(Mots!A:A,Liens!B517)&gt;0,"✓ "&amp;Liens!B517,"✗ "&amp;Liens!B517&amp;" (introuvable)"))</f>
        <v>✓ aujourd_hui</v>
      </c>
      <c r="D522" s="35" t="str">
        <f>IF(Liens!C517="","",IF(COUNTIF(Mots!A:A,Liens!C517)&gt;0,"✓ "&amp;Liens!C517,"✗ "&amp;Liens!C517&amp;" (introuvable)"))</f>
        <v>✓ minute</v>
      </c>
      <c r="E522" s="35" t="str">
        <f>IF(Liens!D517="","",IF(COUNTIF(Mots!A:A,Liens!D517)&gt;0,"✓ "&amp;Liens!D517,"✗ "&amp;Liens!D517&amp;" (introuvable)"))</f>
        <v>✓ seconde</v>
      </c>
      <c r="F522" s="35" t="str">
        <f>IF(Liens!E517="","",IF(COUNTIF(Mots!A:A,Liens!E517)&gt;0,"✓ "&amp;Liens!E517,"✗ "&amp;Liens!E517&amp;" (introuvable)"))</f>
        <v/>
      </c>
      <c r="G522" s="35" t="str">
        <f>IF(Liens!F517="","",IF(COUNTIF(Mots!A:A,Liens!F517)&gt;0,"✓ "&amp;Liens!F517,"✗ "&amp;Liens!F517&amp;" (introuvable)"))</f>
        <v/>
      </c>
      <c r="H522" s="35" t="str">
        <f>IF(Liens!G517="","",IF(COUNTIF(Mots!A:A,Liens!G517)&gt;0,"✓ "&amp;Liens!G517,"✗ "&amp;Liens!G517&amp;" (introuvable)"))</f>
        <v/>
      </c>
      <c r="I522" s="35" t="str">
        <f>IF(Liens!H517="","",IF(COUNTIF(Mots!A:A,Liens!H517)&gt;0,"✓ "&amp;Liens!H517,"✗ "&amp;Liens!H517&amp;" (introuvable)"))</f>
        <v/>
      </c>
    </row>
    <row r="523" spans="1:9" x14ac:dyDescent="0.3">
      <c r="A523">
        <f t="shared" si="4"/>
        <v>518</v>
      </c>
      <c r="B523" s="35" t="str">
        <f>IF(Liens!A518="","",IF(COUNTIF(Mots!A:A,Liens!A518)&gt;0,"✓ "&amp;Liens!A518,"✗ "&amp;Liens!A518&amp;" (introuvable)"))</f>
        <v>✓ maison</v>
      </c>
      <c r="C523" s="35" t="str">
        <f>IF(Liens!B518="","",IF(COUNTIF(Mots!A:A,Liens!B518)&gt;0,"✓ "&amp;Liens!B518,"✗ "&amp;Liens!B518&amp;" (introuvable)"))</f>
        <v>✓ batiment</v>
      </c>
      <c r="D523" s="35" t="str">
        <f>IF(Liens!C518="","",IF(COUNTIF(Mots!A:A,Liens!C518)&gt;0,"✓ "&amp;Liens!C518,"✗ "&amp;Liens!C518&amp;" (introuvable)"))</f>
        <v>✓ famille</v>
      </c>
      <c r="E523" s="35" t="str">
        <f>IF(Liens!D518="","",IF(COUNTIF(Mots!A:A,Liens!D518)&gt;0,"✓ "&amp;Liens!D518,"✗ "&amp;Liens!D518&amp;" (introuvable)"))</f>
        <v/>
      </c>
      <c r="F523" s="35" t="str">
        <f>IF(Liens!E518="","",IF(COUNTIF(Mots!A:A,Liens!E518)&gt;0,"✓ "&amp;Liens!E518,"✗ "&amp;Liens!E518&amp;" (introuvable)"))</f>
        <v/>
      </c>
      <c r="G523" s="35" t="str">
        <f>IF(Liens!F518="","",IF(COUNTIF(Mots!A:A,Liens!F518)&gt;0,"✓ "&amp;Liens!F518,"✗ "&amp;Liens!F518&amp;" (introuvable)"))</f>
        <v/>
      </c>
      <c r="H523" s="35" t="str">
        <f>IF(Liens!G518="","",IF(COUNTIF(Mots!A:A,Liens!G518)&gt;0,"✓ "&amp;Liens!G518,"✗ "&amp;Liens!G518&amp;" (introuvable)"))</f>
        <v/>
      </c>
      <c r="I523" s="35" t="str">
        <f>IF(Liens!H518="","",IF(COUNTIF(Mots!A:A,Liens!H518)&gt;0,"✓ "&amp;Liens!H518,"✗ "&amp;Liens!H518&amp;" (introuvable)"))</f>
        <v/>
      </c>
    </row>
    <row r="524" spans="1:9" x14ac:dyDescent="0.3">
      <c r="A524">
        <f t="shared" si="4"/>
        <v>519</v>
      </c>
      <c r="B524" s="35" t="str">
        <f>IF(Liens!A519="","",IF(COUNTIF(Mots!A:A,Liens!A519)&gt;0,"✓ "&amp;Liens!A519,"✗ "&amp;Liens!A519&amp;" (introuvable)"))</f>
        <v>✓ maitre</v>
      </c>
      <c r="C524" s="35" t="str">
        <f>IF(Liens!B519="","",IF(COUNTIF(Mots!A:A,Liens!B519)&gt;0,"✓ "&amp;Liens!B519,"✗ "&amp;Liens!B519&amp;" (introuvable)"))</f>
        <v>✓ ecole</v>
      </c>
      <c r="D524" s="35" t="str">
        <f>IF(Liens!C519="","",IF(COUNTIF(Mots!A:A,Liens!C519)&gt;0,"✓ "&amp;Liens!C519,"✗ "&amp;Liens!C519&amp;" (introuvable)"))</f>
        <v>✓ eleve</v>
      </c>
      <c r="E524" s="35" t="str">
        <f>IF(Liens!D519="","",IF(COUNTIF(Mots!A:A,Liens!D519)&gt;0,"✓ "&amp;Liens!D519,"✗ "&amp;Liens!D519&amp;" (introuvable)"))</f>
        <v>✓ v_apprendre</v>
      </c>
      <c r="F524" s="35" t="str">
        <f>IF(Liens!E519="","",IF(COUNTIF(Mots!A:A,Liens!E519)&gt;0,"✓ "&amp;Liens!E519,"✗ "&amp;Liens!E519&amp;" (introuvable)"))</f>
        <v>✓ v_lire</v>
      </c>
      <c r="G524" s="35" t="str">
        <f>IF(Liens!F519="","",IF(COUNTIF(Mots!A:A,Liens!F519)&gt;0,"✓ "&amp;Liens!F519,"✗ "&amp;Liens!F519&amp;" (introuvable)"))</f>
        <v>✓ question</v>
      </c>
      <c r="H524" s="35" t="str">
        <f>IF(Liens!G519="","",IF(COUNTIF(Mots!A:A,Liens!G519)&gt;0,"✓ "&amp;Liens!G519,"✗ "&amp;Liens!G519&amp;" (introuvable)"))</f>
        <v>✓ calcul</v>
      </c>
      <c r="I524" s="35" t="str">
        <f>IF(Liens!H519="","",IF(COUNTIF(Mots!A:A,Liens!H519)&gt;0,"✓ "&amp;Liens!H519,"✗ "&amp;Liens!H519&amp;" (introuvable)"))</f>
        <v>✓ somme</v>
      </c>
    </row>
    <row r="525" spans="1:9" x14ac:dyDescent="0.3">
      <c r="A525">
        <f t="shared" si="4"/>
        <v>520</v>
      </c>
      <c r="B525" s="35" t="str">
        <f>IF(Liens!A520="","",IF(COUNTIF(Mots!A:A,Liens!A520)&gt;0,"✓ "&amp;Liens!A520,"✗ "&amp;Liens!A520&amp;" (introuvable)"))</f>
        <v>✓ maladie</v>
      </c>
      <c r="C525" s="35" t="str">
        <f>IF(Liens!B520="","",IF(COUNTIF(Mots!A:A,Liens!B520)&gt;0,"✓ "&amp;Liens!B520,"✗ "&amp;Liens!B520&amp;" (introuvable)"))</f>
        <v>✓ a_sain_malade</v>
      </c>
      <c r="D525" s="35" t="str">
        <f>IF(Liens!C520="","",IF(COUNTIF(Mots!A:A,Liens!C520)&gt;0,"✓ "&amp;Liens!C520,"✗ "&amp;Liens!C520&amp;" (introuvable)"))</f>
        <v>✓ v_soigner</v>
      </c>
      <c r="E525" s="35" t="str">
        <f>IF(Liens!D520="","",IF(COUNTIF(Mots!A:A,Liens!D520)&gt;0,"✓ "&amp;Liens!D520,"✗ "&amp;Liens!D520&amp;" (introuvable)"))</f>
        <v>✓ medecin</v>
      </c>
      <c r="F525" s="35" t="str">
        <f>IF(Liens!E520="","",IF(COUNTIF(Mots!A:A,Liens!E520)&gt;0,"✓ "&amp;Liens!E520,"✗ "&amp;Liens!E520&amp;" (introuvable)"))</f>
        <v>✓ hopital_sion</v>
      </c>
      <c r="G525" s="35" t="str">
        <f>IF(Liens!F520="","",IF(COUNTIF(Mots!A:A,Liens!F520)&gt;0,"✓ "&amp;Liens!F520,"✗ "&amp;Liens!F520&amp;" (introuvable)"))</f>
        <v>✓ hopital_sierre</v>
      </c>
      <c r="H525" s="35" t="str">
        <f>IF(Liens!G520="","",IF(COUNTIF(Mots!A:A,Liens!G520)&gt;0,"✓ "&amp;Liens!G520,"✗ "&amp;Liens!G520&amp;" (introuvable)"))</f>
        <v/>
      </c>
      <c r="I525" s="35" t="str">
        <f>IF(Liens!H520="","",IF(COUNTIF(Mots!A:A,Liens!H520)&gt;0,"✓ "&amp;Liens!H520,"✗ "&amp;Liens!H520&amp;" (introuvable)"))</f>
        <v/>
      </c>
    </row>
    <row r="526" spans="1:9" x14ac:dyDescent="0.3">
      <c r="A526">
        <f t="shared" si="4"/>
        <v>521</v>
      </c>
      <c r="B526" s="35" t="str">
        <f>IF(Liens!A521="","",IF(COUNTIF(Mots!A:A,Liens!A521)&gt;0,"✓ "&amp;Liens!A521,"✗ "&amp;Liens!A521&amp;" (introuvable)"))</f>
        <v>✓ manche</v>
      </c>
      <c r="C526" s="35" t="str">
        <f>IF(Liens!B521="","",IF(COUNTIF(Mots!A:A,Liens!B521)&gt;0,"✓ "&amp;Liens!B521,"✗ "&amp;Liens!B521&amp;" (introuvable)"))</f>
        <v>✓ vetement</v>
      </c>
      <c r="D526" s="35" t="str">
        <f>IF(Liens!C521="","",IF(COUNTIF(Mots!A:A,Liens!C521)&gt;0,"✓ "&amp;Liens!C521,"✗ "&amp;Liens!C521&amp;" (introuvable)"))</f>
        <v>✓ chemise</v>
      </c>
      <c r="E526" s="35" t="str">
        <f>IF(Liens!D521="","",IF(COUNTIF(Mots!A:A,Liens!D521)&gt;0,"✓ "&amp;Liens!D521,"✗ "&amp;Liens!D521&amp;" (introuvable)"))</f>
        <v>✓ pullover</v>
      </c>
      <c r="F526" s="35" t="str">
        <f>IF(Liens!E521="","",IF(COUNTIF(Mots!A:A,Liens!E521)&gt;0,"✓ "&amp;Liens!E521,"✗ "&amp;Liens!E521&amp;" (introuvable)"))</f>
        <v>✓ veste</v>
      </c>
      <c r="G526" s="35" t="str">
        <f>IF(Liens!F521="","",IF(COUNTIF(Mots!A:A,Liens!F521)&gt;0,"✓ "&amp;Liens!F521,"✗ "&amp;Liens!F521&amp;" (introuvable)"))</f>
        <v>✓ manteau</v>
      </c>
      <c r="H526" s="35" t="str">
        <f>IF(Liens!G521="","",IF(COUNTIF(Mots!A:A,Liens!G521)&gt;0,"✓ "&amp;Liens!G521,"✗ "&amp;Liens!G521&amp;" (introuvable)"))</f>
        <v>✓ bras</v>
      </c>
      <c r="I526" s="35" t="str">
        <f>IF(Liens!H521="","",IF(COUNTIF(Mots!A:A,Liens!H521)&gt;0,"✓ "&amp;Liens!H521,"✗ "&amp;Liens!H521&amp;" (introuvable)"))</f>
        <v/>
      </c>
    </row>
    <row r="527" spans="1:9" x14ac:dyDescent="0.3">
      <c r="A527">
        <f t="shared" ref="A527:A590" si="5">A526+1</f>
        <v>522</v>
      </c>
      <c r="B527" s="35" t="str">
        <f>IF(Liens!A522="","",IF(COUNTIF(Mots!A:A,Liens!A522)&gt;0,"✓ "&amp;Liens!A522,"✗ "&amp;Liens!A522&amp;" (introuvable)"))</f>
        <v>✓ maniere</v>
      </c>
      <c r="C527" s="35" t="str">
        <f>IF(Liens!B522="","",IF(COUNTIF(Mots!A:A,Liens!B522)&gt;0,"✓ "&amp;Liens!B522,"✗ "&amp;Liens!B522&amp;" (introuvable)"))</f>
        <v/>
      </c>
      <c r="D527" s="35" t="str">
        <f>IF(Liens!C522="","",IF(COUNTIF(Mots!A:A,Liens!C522)&gt;0,"✓ "&amp;Liens!C522,"✗ "&amp;Liens!C522&amp;" (introuvable)"))</f>
        <v/>
      </c>
      <c r="E527" s="35" t="str">
        <f>IF(Liens!D522="","",IF(COUNTIF(Mots!A:A,Liens!D522)&gt;0,"✓ "&amp;Liens!D522,"✗ "&amp;Liens!D522&amp;" (introuvable)"))</f>
        <v/>
      </c>
      <c r="F527" s="35" t="str">
        <f>IF(Liens!E522="","",IF(COUNTIF(Mots!A:A,Liens!E522)&gt;0,"✓ "&amp;Liens!E522,"✗ "&amp;Liens!E522&amp;" (introuvable)"))</f>
        <v/>
      </c>
      <c r="G527" s="35" t="str">
        <f>IF(Liens!F522="","",IF(COUNTIF(Mots!A:A,Liens!F522)&gt;0,"✓ "&amp;Liens!F522,"✗ "&amp;Liens!F522&amp;" (introuvable)"))</f>
        <v/>
      </c>
      <c r="H527" s="35" t="str">
        <f>IF(Liens!G522="","",IF(COUNTIF(Mots!A:A,Liens!G522)&gt;0,"✓ "&amp;Liens!G522,"✗ "&amp;Liens!G522&amp;" (introuvable)"))</f>
        <v/>
      </c>
      <c r="I527" s="35" t="str">
        <f>IF(Liens!H522="","",IF(COUNTIF(Mots!A:A,Liens!H522)&gt;0,"✓ "&amp;Liens!H522,"✗ "&amp;Liens!H522&amp;" (introuvable)"))</f>
        <v/>
      </c>
    </row>
    <row r="528" spans="1:9" x14ac:dyDescent="0.3">
      <c r="A528">
        <f t="shared" si="5"/>
        <v>523</v>
      </c>
      <c r="B528" s="35" t="str">
        <f>IF(Liens!A523="","",IF(COUNTIF(Mots!A:A,Liens!A523)&gt;0,"✓ "&amp;Liens!A523,"✗ "&amp;Liens!A523&amp;" (introuvable)"))</f>
        <v>✓ manteau</v>
      </c>
      <c r="C528" s="35" t="str">
        <f>IF(Liens!B523="","",IF(COUNTIF(Mots!A:A,Liens!B523)&gt;0,"✓ "&amp;Liens!B523,"✗ "&amp;Liens!B523&amp;" (introuvable)"))</f>
        <v>✓ vetement</v>
      </c>
      <c r="D528" s="35" t="str">
        <f>IF(Liens!C523="","",IF(COUNTIF(Mots!A:A,Liens!C523)&gt;0,"✓ "&amp;Liens!C523,"✗ "&amp;Liens!C523&amp;" (introuvable)"))</f>
        <v>✓ torse</v>
      </c>
      <c r="E528" s="35" t="str">
        <f>IF(Liens!D523="","",IF(COUNTIF(Mots!A:A,Liens!D523)&gt;0,"✓ "&amp;Liens!D523,"✗ "&amp;Liens!D523&amp;" (introuvable)"))</f>
        <v>✓ veste</v>
      </c>
      <c r="F528" s="35" t="str">
        <f>IF(Liens!E523="","",IF(COUNTIF(Mots!A:A,Liens!E523)&gt;0,"✓ "&amp;Liens!E523,"✗ "&amp;Liens!E523&amp;" (introuvable)"))</f>
        <v>✓ echarpe</v>
      </c>
      <c r="G528" s="35" t="str">
        <f>IF(Liens!F523="","",IF(COUNTIF(Mots!A:A,Liens!F523)&gt;0,"✓ "&amp;Liens!F523,"✗ "&amp;Liens!F523&amp;" (introuvable)"))</f>
        <v>✓ bonnet</v>
      </c>
      <c r="H528" s="35" t="str">
        <f>IF(Liens!G523="","",IF(COUNTIF(Mots!A:A,Liens!G523)&gt;0,"✓ "&amp;Liens!G523,"✗ "&amp;Liens!G523&amp;" (introuvable)"))</f>
        <v>✓ automne</v>
      </c>
      <c r="I528" s="35" t="str">
        <f>IF(Liens!H523="","",IF(COUNTIF(Mots!A:A,Liens!H523)&gt;0,"✓ "&amp;Liens!H523,"✗ "&amp;Liens!H523&amp;" (introuvable)"))</f>
        <v>✓ hiver</v>
      </c>
    </row>
    <row r="529" spans="1:9" x14ac:dyDescent="0.3">
      <c r="A529">
        <f t="shared" si="5"/>
        <v>524</v>
      </c>
      <c r="B529" s="35" t="str">
        <f>IF(Liens!A524="","",IF(COUNTIF(Mots!A:A,Liens!A524)&gt;0,"✓ "&amp;Liens!A524,"✗ "&amp;Liens!A524&amp;" (introuvable)"))</f>
        <v>✓ marche_lieu</v>
      </c>
      <c r="C529" s="35" t="str">
        <f>IF(Liens!B524="","",IF(COUNTIF(Mots!A:A,Liens!B524)&gt;0,"✓ "&amp;Liens!B524,"✗ "&amp;Liens!B524&amp;" (introuvable)"))</f>
        <v>✓ fruit</v>
      </c>
      <c r="D529" s="35" t="str">
        <f>IF(Liens!C524="","",IF(COUNTIF(Mots!A:A,Liens!C524)&gt;0,"✓ "&amp;Liens!C524,"✗ "&amp;Liens!C524&amp;" (introuvable)"))</f>
        <v>✓ legume</v>
      </c>
      <c r="E529" s="35" t="str">
        <f>IF(Liens!D524="","",IF(COUNTIF(Mots!A:A,Liens!D524)&gt;0,"✓ "&amp;Liens!D524,"✗ "&amp;Liens!D524&amp;" (introuvable)"))</f>
        <v>✓ v_vendre</v>
      </c>
      <c r="F529" s="35" t="str">
        <f>IF(Liens!E524="","",IF(COUNTIF(Mots!A:A,Liens!E524)&gt;0,"✓ "&amp;Liens!E524,"✗ "&amp;Liens!E524&amp;" (introuvable)"))</f>
        <v>✓ sion</v>
      </c>
      <c r="G529" s="35" t="str">
        <f>IF(Liens!F524="","",IF(COUNTIF(Mots!A:A,Liens!F524)&gt;0,"✓ "&amp;Liens!F524,"✗ "&amp;Liens!F524&amp;" (introuvable)"))</f>
        <v>✓ ville</v>
      </c>
      <c r="H529" s="35" t="str">
        <f>IF(Liens!G524="","",IF(COUNTIF(Mots!A:A,Liens!G524)&gt;0,"✓ "&amp;Liens!G524,"✗ "&amp;Liens!G524&amp;" (introuvable)"))</f>
        <v>✓ jardin</v>
      </c>
      <c r="I529" s="35" t="str">
        <f>IF(Liens!H524="","",IF(COUNTIF(Mots!A:A,Liens!H524)&gt;0,"✓ "&amp;Liens!H524,"✗ "&amp;Liens!H524&amp;" (introuvable)"))</f>
        <v>✓ jardinage</v>
      </c>
    </row>
    <row r="530" spans="1:9" x14ac:dyDescent="0.3">
      <c r="A530">
        <f t="shared" si="5"/>
        <v>525</v>
      </c>
      <c r="B530" s="35" t="str">
        <f>IF(Liens!A525="","",IF(COUNTIF(Mots!A:A,Liens!A525)&gt;0,"✓ "&amp;Liens!A525,"✗ "&amp;Liens!A525&amp;" (introuvable)"))</f>
        <v>✓ maree</v>
      </c>
      <c r="C530" s="35" t="str">
        <f>IF(Liens!B525="","",IF(COUNTIF(Mots!A:A,Liens!B525)&gt;0,"✓ "&amp;Liens!B525,"✗ "&amp;Liens!B525&amp;" (introuvable)"))</f>
        <v>✓ eau</v>
      </c>
      <c r="D530" s="35" t="str">
        <f>IF(Liens!C525="","",IF(COUNTIF(Mots!A:A,Liens!C525)&gt;0,"✓ "&amp;Liens!C525,"✗ "&amp;Liens!C525&amp;" (introuvable)"))</f>
        <v>✓ mer</v>
      </c>
      <c r="E530" s="35" t="str">
        <f>IF(Liens!D525="","",IF(COUNTIF(Mots!A:A,Liens!D525)&gt;0,"✓ "&amp;Liens!D525,"✗ "&amp;Liens!D525&amp;" (introuvable)"))</f>
        <v>✓ p_lune</v>
      </c>
      <c r="F530" s="35" t="str">
        <f>IF(Liens!E525="","",IF(COUNTIF(Mots!A:A,Liens!E525)&gt;0,"✓ "&amp;Liens!E525,"✗ "&amp;Liens!E525&amp;" (introuvable)"))</f>
        <v>✓ mouvement</v>
      </c>
      <c r="G530" s="35" t="str">
        <f>IF(Liens!F525="","",IF(COUNTIF(Mots!A:A,Liens!F525)&gt;0,"✓ "&amp;Liens!F525,"✗ "&amp;Liens!F525&amp;" (introuvable)"))</f>
        <v>✓ a_haut_bas</v>
      </c>
      <c r="H530" s="35" t="str">
        <f>IF(Liens!G525="","",IF(COUNTIF(Mots!A:A,Liens!G525)&gt;0,"✓ "&amp;Liens!G525,"✗ "&amp;Liens!G525&amp;" (introuvable)"))</f>
        <v/>
      </c>
      <c r="I530" s="35" t="str">
        <f>IF(Liens!H525="","",IF(COUNTIF(Mots!A:A,Liens!H525)&gt;0,"✓ "&amp;Liens!H525,"✗ "&amp;Liens!H525&amp;" (introuvable)"))</f>
        <v/>
      </c>
    </row>
    <row r="531" spans="1:9" x14ac:dyDescent="0.3">
      <c r="A531">
        <f t="shared" si="5"/>
        <v>526</v>
      </c>
      <c r="B531" s="35" t="str">
        <f>IF(Liens!A526="","",IF(COUNTIF(Mots!A:A,Liens!A526)&gt;0,"✓ "&amp;Liens!A526,"✗ "&amp;Liens!A526&amp;" (introuvable)"))</f>
        <v>✓ marteau</v>
      </c>
      <c r="C531" s="35" t="str">
        <f>IF(Liens!B526="","",IF(COUNTIF(Mots!A:A,Liens!B526)&gt;0,"✓ "&amp;Liens!B526,"✗ "&amp;Liens!B526&amp;" (introuvable)"))</f>
        <v>✓ clou</v>
      </c>
      <c r="D531" s="35" t="str">
        <f>IF(Liens!C526="","",IF(COUNTIF(Mots!A:A,Liens!C526)&gt;0,"✓ "&amp;Liens!C526,"✗ "&amp;Liens!C526&amp;" (introuvable)"))</f>
        <v>✓ outil</v>
      </c>
      <c r="E531" s="35" t="str">
        <f>IF(Liens!D526="","",IF(COUNTIF(Mots!A:A,Liens!D526)&gt;0,"✓ "&amp;Liens!D526,"✗ "&amp;Liens!D526&amp;" (introuvable)"))</f>
        <v>✓ bricolage</v>
      </c>
      <c r="F531" s="35" t="str">
        <f>IF(Liens!E526="","",IF(COUNTIF(Mots!A:A,Liens!E526)&gt;0,"✓ "&amp;Liens!E526,"✗ "&amp;Liens!E526&amp;" (introuvable)"))</f>
        <v/>
      </c>
      <c r="G531" s="35" t="str">
        <f>IF(Liens!F526="","",IF(COUNTIF(Mots!A:A,Liens!F526)&gt;0,"✓ "&amp;Liens!F526,"✗ "&amp;Liens!F526&amp;" (introuvable)"))</f>
        <v/>
      </c>
      <c r="H531" s="35" t="str">
        <f>IF(Liens!G526="","",IF(COUNTIF(Mots!A:A,Liens!G526)&gt;0,"✓ "&amp;Liens!G526,"✗ "&amp;Liens!G526&amp;" (introuvable)"))</f>
        <v/>
      </c>
      <c r="I531" s="35" t="str">
        <f>IF(Liens!H526="","",IF(COUNTIF(Mots!A:A,Liens!H526)&gt;0,"✓ "&amp;Liens!H526,"✗ "&amp;Liens!H526&amp;" (introuvable)"))</f>
        <v/>
      </c>
    </row>
    <row r="532" spans="1:9" x14ac:dyDescent="0.3">
      <c r="A532">
        <f t="shared" si="5"/>
        <v>527</v>
      </c>
      <c r="B532" s="35" t="str">
        <f>IF(Liens!A527="","",IF(COUNTIF(Mots!A:A,Liens!A527)&gt;0,"✓ "&amp;Liens!A527,"✗ "&amp;Liens!A527&amp;" (introuvable)"))</f>
        <v>✓ masculin</v>
      </c>
      <c r="C532" s="35" t="str">
        <f>IF(Liens!B527="","",IF(COUNTIF(Mots!A:A,Liens!B527)&gt;0,"✓ "&amp;Liens!B527,"✗ "&amp;Liens!B527&amp;" (introuvable)"))</f>
        <v>✓ garcon</v>
      </c>
      <c r="D532" s="35" t="str">
        <f>IF(Liens!C527="","",IF(COUNTIF(Mots!A:A,Liens!C527)&gt;0,"✓ "&amp;Liens!C527,"✗ "&amp;Liens!C527&amp;" (introuvable)"))</f>
        <v>✓ homme</v>
      </c>
      <c r="E532" s="35" t="str">
        <f>IF(Liens!D527="","",IF(COUNTIF(Mots!A:A,Liens!D527)&gt;0,"✓ "&amp;Liens!D527,"✗ "&amp;Liens!D527&amp;" (introuvable)"))</f>
        <v>✓ barbe</v>
      </c>
      <c r="F532" s="35" t="str">
        <f>IF(Liens!E527="","",IF(COUNTIF(Mots!A:A,Liens!E527)&gt;0,"✓ "&amp;Liens!E527,"✗ "&amp;Liens!E527&amp;" (introuvable)"))</f>
        <v/>
      </c>
      <c r="G532" s="35" t="str">
        <f>IF(Liens!F527="","",IF(COUNTIF(Mots!A:A,Liens!F527)&gt;0,"✓ "&amp;Liens!F527,"✗ "&amp;Liens!F527&amp;" (introuvable)"))</f>
        <v/>
      </c>
      <c r="H532" s="35" t="str">
        <f>IF(Liens!G527="","",IF(COUNTIF(Mots!A:A,Liens!G527)&gt;0,"✓ "&amp;Liens!G527,"✗ "&amp;Liens!G527&amp;" (introuvable)"))</f>
        <v/>
      </c>
      <c r="I532" s="35" t="str">
        <f>IF(Liens!H527="","",IF(COUNTIF(Mots!A:A,Liens!H527)&gt;0,"✓ "&amp;Liens!H527,"✗ "&amp;Liens!H527&amp;" (introuvable)"))</f>
        <v/>
      </c>
    </row>
    <row r="533" spans="1:9" x14ac:dyDescent="0.3">
      <c r="A533">
        <f t="shared" si="5"/>
        <v>528</v>
      </c>
      <c r="B533" s="35" t="str">
        <f>IF(Liens!A528="","",IF(COUNTIF(Mots!A:A,Liens!A528)&gt;0,"✓ "&amp;Liens!A528,"✗ "&amp;Liens!A528&amp;" (introuvable)"))</f>
        <v>✓ masse</v>
      </c>
      <c r="C533" s="35" t="str">
        <f>IF(Liens!B528="","",IF(COUNTIF(Mots!A:A,Liens!B528)&gt;0,"✓ "&amp;Liens!B528,"✗ "&amp;Liens!B528&amp;" (introuvable)"))</f>
        <v>✓ volume</v>
      </c>
      <c r="D533" s="35" t="str">
        <f>IF(Liens!C528="","",IF(COUNTIF(Mots!A:A,Liens!C528)&gt;0,"✓ "&amp;Liens!C528,"✗ "&amp;Liens!C528&amp;" (introuvable)"))</f>
        <v>✓ matiere</v>
      </c>
      <c r="E533" s="35" t="str">
        <f>IF(Liens!D528="","",IF(COUNTIF(Mots!A:A,Liens!D528)&gt;0,"✓ "&amp;Liens!D528,"✗ "&amp;Liens!D528&amp;" (introuvable)"))</f>
        <v>✓ hauteur</v>
      </c>
      <c r="F533" s="35" t="str">
        <f>IF(Liens!E528="","",IF(COUNTIF(Mots!A:A,Liens!E528)&gt;0,"✓ "&amp;Liens!E528,"✗ "&amp;Liens!E528&amp;" (introuvable)"))</f>
        <v>✓ longueur</v>
      </c>
      <c r="G533" s="35" t="str">
        <f>IF(Liens!F528="","",IF(COUNTIF(Mots!A:A,Liens!F528)&gt;0,"✓ "&amp;Liens!F528,"✗ "&amp;Liens!F528&amp;" (introuvable)"))</f>
        <v>✓ largeur</v>
      </c>
      <c r="H533" s="35" t="str">
        <f>IF(Liens!G528="","",IF(COUNTIF(Mots!A:A,Liens!G528)&gt;0,"✓ "&amp;Liens!G528,"✗ "&amp;Liens!G528&amp;" (introuvable)"))</f>
        <v>✓ a_lourd_leger</v>
      </c>
      <c r="I533" s="35" t="str">
        <f>IF(Liens!H528="","",IF(COUNTIF(Mots!A:A,Liens!H528)&gt;0,"✓ "&amp;Liens!H528,"✗ "&amp;Liens!H528&amp;" (introuvable)"))</f>
        <v/>
      </c>
    </row>
    <row r="534" spans="1:9" x14ac:dyDescent="0.3">
      <c r="A534">
        <f t="shared" si="5"/>
        <v>529</v>
      </c>
      <c r="B534" s="35" t="str">
        <f>IF(Liens!A529="","",IF(COUNTIF(Mots!A:A,Liens!A529)&gt;0,"✓ "&amp;Liens!A529,"✗ "&amp;Liens!A529&amp;" (introuvable)"))</f>
        <v>✓ match</v>
      </c>
      <c r="C534" s="35" t="str">
        <f>IF(Liens!B529="","",IF(COUNTIF(Mots!A:A,Liens!B529)&gt;0,"✓ "&amp;Liens!B529,"✗ "&amp;Liens!B529&amp;" (introuvable)"))</f>
        <v>✓ sport</v>
      </c>
      <c r="D534" s="35" t="str">
        <f>IF(Liens!C529="","",IF(COUNTIF(Mots!A:A,Liens!C529)&gt;0,"✓ "&amp;Liens!C529,"✗ "&amp;Liens!C529&amp;" (introuvable)"))</f>
        <v>✓ equipe</v>
      </c>
      <c r="E534" s="35" t="str">
        <f>IF(Liens!D529="","",IF(COUNTIF(Mots!A:A,Liens!D529)&gt;0,"✓ "&amp;Liens!D529,"✗ "&amp;Liens!D529&amp;" (introuvable)"))</f>
        <v>✓ vainqueur</v>
      </c>
      <c r="F534" s="35" t="str">
        <f>IF(Liens!E529="","",IF(COUNTIF(Mots!A:A,Liens!E529)&gt;0,"✓ "&amp;Liens!E529,"✗ "&amp;Liens!E529&amp;" (introuvable)"))</f>
        <v>✓ ballon</v>
      </c>
      <c r="G534" s="35" t="str">
        <f>IF(Liens!F529="","",IF(COUNTIF(Mots!A:A,Liens!F529)&gt;0,"✓ "&amp;Liens!F529,"✗ "&amp;Liens!F529&amp;" (introuvable)"))</f>
        <v>✓ but_foot</v>
      </c>
      <c r="H534" s="35" t="str">
        <f>IF(Liens!G529="","",IF(COUNTIF(Mots!A:A,Liens!G529)&gt;0,"✓ "&amp;Liens!G529,"✗ "&amp;Liens!G529&amp;" (introuvable)"))</f>
        <v>✓ stade</v>
      </c>
      <c r="I534" s="35" t="str">
        <f>IF(Liens!H529="","",IF(COUNTIF(Mots!A:A,Liens!H529)&gt;0,"✓ "&amp;Liens!H529,"✗ "&amp;Liens!H529&amp;" (introuvable)"))</f>
        <v>✓ terrain</v>
      </c>
    </row>
    <row r="535" spans="1:9" x14ac:dyDescent="0.3">
      <c r="A535">
        <f t="shared" si="5"/>
        <v>530</v>
      </c>
      <c r="B535" s="35" t="str">
        <f>IF(Liens!A530="","",IF(COUNTIF(Mots!A:A,Liens!A530)&gt;0,"✓ "&amp;Liens!A530,"✗ "&amp;Liens!A530&amp;" (introuvable)"))</f>
        <v>✓ matiere</v>
      </c>
      <c r="C535" s="35" t="str">
        <f>IF(Liens!B530="","",IF(COUNTIF(Mots!A:A,Liens!B530)&gt;0,"✓ "&amp;Liens!B530,"✗ "&amp;Liens!B530&amp;" (introuvable)"))</f>
        <v>✓ bois</v>
      </c>
      <c r="D535" s="35" t="str">
        <f>IF(Liens!C530="","",IF(COUNTIF(Mots!A:A,Liens!C530)&gt;0,"✓ "&amp;Liens!C530,"✗ "&amp;Liens!C530&amp;" (introuvable)"))</f>
        <v>✓ metal</v>
      </c>
      <c r="E535" s="35" t="str">
        <f>IF(Liens!D530="","",IF(COUNTIF(Mots!A:A,Liens!D530)&gt;0,"✓ "&amp;Liens!D530,"✗ "&amp;Liens!D530&amp;" (introuvable)"))</f>
        <v>✓ tissu</v>
      </c>
      <c r="F535" s="35" t="str">
        <f>IF(Liens!E530="","",IF(COUNTIF(Mots!A:A,Liens!E530)&gt;0,"✓ "&amp;Liens!E530,"✗ "&amp;Liens!E530&amp;" (introuvable)"))</f>
        <v>✓ pierre</v>
      </c>
      <c r="G535" s="35" t="str">
        <f>IF(Liens!F530="","",IF(COUNTIF(Mots!A:A,Liens!F530)&gt;0,"✓ "&amp;Liens!F530,"✗ "&amp;Liens!F530&amp;" (introuvable)"))</f>
        <v>✓ plastique</v>
      </c>
      <c r="H535" s="35" t="str">
        <f>IF(Liens!G530="","",IF(COUNTIF(Mots!A:A,Liens!G530)&gt;0,"✓ "&amp;Liens!G530,"✗ "&amp;Liens!G530&amp;" (introuvable)"))</f>
        <v/>
      </c>
      <c r="I535" s="35" t="str">
        <f>IF(Liens!H530="","",IF(COUNTIF(Mots!A:A,Liens!H530)&gt;0,"✓ "&amp;Liens!H530,"✗ "&amp;Liens!H530&amp;" (introuvable)"))</f>
        <v/>
      </c>
    </row>
    <row r="536" spans="1:9" x14ac:dyDescent="0.3">
      <c r="A536">
        <f t="shared" si="5"/>
        <v>531</v>
      </c>
      <c r="B536" s="35" t="str">
        <f>IF(Liens!A531="","",IF(COUNTIF(Mots!A:A,Liens!A531)&gt;0,"✓ "&amp;Liens!A531,"✗ "&amp;Liens!A531&amp;" (introuvable)"))</f>
        <v>✓ matin</v>
      </c>
      <c r="C536" s="35" t="str">
        <f>IF(Liens!B531="","",IF(COUNTIF(Mots!A:A,Liens!B531)&gt;0,"✓ "&amp;Liens!B531,"✗ "&amp;Liens!B531&amp;" (introuvable)"))</f>
        <v>✓ journee</v>
      </c>
      <c r="D536" s="35" t="str">
        <f>IF(Liens!C531="","",IF(COUNTIF(Mots!A:A,Liens!C531)&gt;0,"✓ "&amp;Liens!C531,"✗ "&amp;Liens!C531&amp;" (introuvable)"))</f>
        <v>✓ tot</v>
      </c>
      <c r="E536" s="35" t="str">
        <f>IF(Liens!D531="","",IF(COUNTIF(Mots!A:A,Liens!D531)&gt;0,"✓ "&amp;Liens!D531,"✗ "&amp;Liens!D531&amp;" (introuvable)"))</f>
        <v>✓ soleil</v>
      </c>
      <c r="F536" s="35" t="str">
        <f>IF(Liens!E531="","",IF(COUNTIF(Mots!A:A,Liens!E531)&gt;0,"✓ "&amp;Liens!E531,"✗ "&amp;Liens!E531&amp;" (introuvable)"))</f>
        <v>✓ reveil</v>
      </c>
      <c r="G536" s="35" t="str">
        <f>IF(Liens!F531="","",IF(COUNTIF(Mots!A:A,Liens!F531)&gt;0,"✓ "&amp;Liens!F531,"✗ "&amp;Liens!F531&amp;" (introuvable)"))</f>
        <v>✓ dejeuner</v>
      </c>
      <c r="H536" s="35" t="str">
        <f>IF(Liens!G531="","",IF(COUNTIF(Mots!A:A,Liens!G531)&gt;0,"✓ "&amp;Liens!G531,"✗ "&amp;Liens!G531&amp;" (introuvable)"))</f>
        <v>✓ chambre</v>
      </c>
      <c r="I536" s="35" t="str">
        <f>IF(Liens!H531="","",IF(COUNTIF(Mots!A:A,Liens!H531)&gt;0,"✓ "&amp;Liens!H531,"✗ "&amp;Liens!H531&amp;" (introuvable)"))</f>
        <v>✓ lit</v>
      </c>
    </row>
    <row r="537" spans="1:9" x14ac:dyDescent="0.3">
      <c r="A537">
        <f t="shared" si="5"/>
        <v>532</v>
      </c>
      <c r="B537" s="35" t="str">
        <f>IF(Liens!A532="","",IF(COUNTIF(Mots!A:A,Liens!A532)&gt;0,"✓ "&amp;Liens!A532,"✗ "&amp;Liens!A532&amp;" (introuvable)"))</f>
        <v>✓ mecanicien</v>
      </c>
      <c r="C537" s="35" t="str">
        <f>IF(Liens!B532="","",IF(COUNTIF(Mots!A:A,Liens!B532)&gt;0,"✓ "&amp;Liens!B532,"✗ "&amp;Liens!B532&amp;" (introuvable)"))</f>
        <v>✓ personne</v>
      </c>
      <c r="D537" s="35" t="str">
        <f>IF(Liens!C532="","",IF(COUNTIF(Mots!A:A,Liens!C532)&gt;0,"✓ "&amp;Liens!C532,"✗ "&amp;Liens!C532&amp;" (introuvable)"))</f>
        <v>✓ voiture</v>
      </c>
      <c r="E537" s="35" t="str">
        <f>IF(Liens!D532="","",IF(COUNTIF(Mots!A:A,Liens!D532)&gt;0,"✓ "&amp;Liens!D532,"✗ "&amp;Liens!D532&amp;" (introuvable)"))</f>
        <v>✓ v_reparer</v>
      </c>
      <c r="F537" s="35" t="str">
        <f>IF(Liens!E532="","",IF(COUNTIF(Mots!A:A,Liens!E532)&gt;0,"✓ "&amp;Liens!E532,"✗ "&amp;Liens!E532&amp;" (introuvable)"))</f>
        <v/>
      </c>
      <c r="G537" s="35" t="str">
        <f>IF(Liens!F532="","",IF(COUNTIF(Mots!A:A,Liens!F532)&gt;0,"✓ "&amp;Liens!F532,"✗ "&amp;Liens!F532&amp;" (introuvable)"))</f>
        <v/>
      </c>
      <c r="H537" s="35" t="str">
        <f>IF(Liens!G532="","",IF(COUNTIF(Mots!A:A,Liens!G532)&gt;0,"✓ "&amp;Liens!G532,"✗ "&amp;Liens!G532&amp;" (introuvable)"))</f>
        <v/>
      </c>
      <c r="I537" s="35" t="str">
        <f>IF(Liens!H532="","",IF(COUNTIF(Mots!A:A,Liens!H532)&gt;0,"✓ "&amp;Liens!H532,"✗ "&amp;Liens!H532&amp;" (introuvable)"))</f>
        <v/>
      </c>
    </row>
    <row r="538" spans="1:9" x14ac:dyDescent="0.3">
      <c r="A538">
        <f t="shared" si="5"/>
        <v>533</v>
      </c>
      <c r="B538" s="35" t="str">
        <f>IF(Liens!A533="","",IF(COUNTIF(Mots!A:A,Liens!A533)&gt;0,"✓ "&amp;Liens!A533,"✗ "&amp;Liens!A533&amp;" (introuvable)"))</f>
        <v>✓ medecin</v>
      </c>
      <c r="C538" s="35" t="str">
        <f>IF(Liens!B533="","",IF(COUNTIF(Mots!A:A,Liens!B533)&gt;0,"✓ "&amp;Liens!B533,"✗ "&amp;Liens!B533&amp;" (introuvable)"))</f>
        <v>✓ personne</v>
      </c>
      <c r="D538" s="35" t="str">
        <f>IF(Liens!C533="","",IF(COUNTIF(Mots!A:A,Liens!C533)&gt;0,"✓ "&amp;Liens!C533,"✗ "&amp;Liens!C533&amp;" (introuvable)"))</f>
        <v>✓ v_soigner</v>
      </c>
      <c r="E538" s="35" t="str">
        <f>IF(Liens!D533="","",IF(COUNTIF(Mots!A:A,Liens!D533)&gt;0,"✓ "&amp;Liens!D533,"✗ "&amp;Liens!D533&amp;" (introuvable)"))</f>
        <v>✓ mon_neurologue</v>
      </c>
      <c r="F538" s="35" t="str">
        <f>IF(Liens!E533="","",IF(COUNTIF(Mots!A:A,Liens!E533)&gt;0,"✓ "&amp;Liens!E533,"✗ "&amp;Liens!E533&amp;" (introuvable)"))</f>
        <v>✓ ma_generaliste</v>
      </c>
      <c r="G538" s="35" t="str">
        <f>IF(Liens!F533="","",IF(COUNTIF(Mots!A:A,Liens!F533)&gt;0,"✓ "&amp;Liens!F533,"✗ "&amp;Liens!F533&amp;" (introuvable)"))</f>
        <v/>
      </c>
      <c r="H538" s="35" t="str">
        <f>IF(Liens!G533="","",IF(COUNTIF(Mots!A:A,Liens!G533)&gt;0,"✓ "&amp;Liens!G533,"✗ "&amp;Liens!G533&amp;" (introuvable)"))</f>
        <v/>
      </c>
      <c r="I538" s="35" t="str">
        <f>IF(Liens!H533="","",IF(COUNTIF(Mots!A:A,Liens!H533)&gt;0,"✓ "&amp;Liens!H533,"✗ "&amp;Liens!H533&amp;" (introuvable)"))</f>
        <v/>
      </c>
    </row>
    <row r="539" spans="1:9" x14ac:dyDescent="0.3">
      <c r="A539">
        <f t="shared" si="5"/>
        <v>534</v>
      </c>
      <c r="B539" s="35" t="str">
        <f>IF(Liens!A534="","",IF(COUNTIF(Mots!A:A,Liens!A534)&gt;0,"✓ "&amp;Liens!A534,"✗ "&amp;Liens!A534&amp;" (introuvable)"))</f>
        <v>✓ medicament</v>
      </c>
      <c r="C539" s="35" t="str">
        <f>IF(Liens!B534="","",IF(COUNTIF(Mots!A:A,Liens!B534)&gt;0,"✓ "&amp;Liens!B534,"✗ "&amp;Liens!B534&amp;" (introuvable)"))</f>
        <v>✓ pharmacie</v>
      </c>
      <c r="D539" s="35" t="str">
        <f>IF(Liens!C534="","",IF(COUNTIF(Mots!A:A,Liens!C534)&gt;0,"✓ "&amp;Liens!C534,"✗ "&amp;Liens!C534&amp;" (introuvable)"))</f>
        <v>✓ pharmacien</v>
      </c>
      <c r="E539" s="35" t="str">
        <f>IF(Liens!D534="","",IF(COUNTIF(Mots!A:A,Liens!D534)&gt;0,"✓ "&amp;Liens!D534,"✗ "&amp;Liens!D534&amp;" (introuvable)"))</f>
        <v>✓ blessure</v>
      </c>
      <c r="F539" s="35" t="str">
        <f>IF(Liens!E534="","",IF(COUNTIF(Mots!A:A,Liens!E534)&gt;0,"✓ "&amp;Liens!E534,"✗ "&amp;Liens!E534&amp;" (introuvable)"))</f>
        <v>✓ maladie</v>
      </c>
      <c r="G539" s="35" t="str">
        <f>IF(Liens!F534="","",IF(COUNTIF(Mots!A:A,Liens!F534)&gt;0,"✓ "&amp;Liens!F534,"✗ "&amp;Liens!F534&amp;" (introuvable)"))</f>
        <v>✓ v_soigner</v>
      </c>
      <c r="H539" s="35" t="str">
        <f>IF(Liens!G534="","",IF(COUNTIF(Mots!A:A,Liens!G534)&gt;0,"✓ "&amp;Liens!G534,"✗ "&amp;Liens!G534&amp;" (introuvable)"))</f>
        <v>✓ toux</v>
      </c>
      <c r="I539" s="35" t="str">
        <f>IF(Liens!H534="","",IF(COUNTIF(Mots!A:A,Liens!H534)&gt;0,"✓ "&amp;Liens!H534,"✗ "&amp;Liens!H534&amp;" (introuvable)"))</f>
        <v/>
      </c>
    </row>
    <row r="540" spans="1:9" x14ac:dyDescent="0.3">
      <c r="A540">
        <f t="shared" si="5"/>
        <v>535</v>
      </c>
      <c r="B540" s="35" t="str">
        <f>IF(Liens!A535="","",IF(COUNTIF(Mots!A:A,Liens!A535)&gt;0,"✓ "&amp;Liens!A535,"✗ "&amp;Liens!A535&amp;" (introuvable)"))</f>
        <v>✓ mefiance</v>
      </c>
      <c r="C540" s="35" t="str">
        <f>IF(Liens!B535="","",IF(COUNTIF(Mots!A:A,Liens!B535)&gt;0,"✓ "&amp;Liens!B535,"✗ "&amp;Liens!B535&amp;" (introuvable)"))</f>
        <v>✓ peur</v>
      </c>
      <c r="D540" s="35" t="str">
        <f>IF(Liens!C535="","",IF(COUNTIF(Mots!A:A,Liens!C535)&gt;0,"✓ "&amp;Liens!C535,"✗ "&amp;Liens!C535&amp;" (introuvable)"))</f>
        <v>✓ inquietude</v>
      </c>
      <c r="E540" s="35" t="str">
        <f>IF(Liens!D535="","",IF(COUNTIF(Mots!A:A,Liens!D535)&gt;0,"✓ "&amp;Liens!D535,"✗ "&amp;Liens!D535&amp;" (introuvable)"))</f>
        <v>✓ danger</v>
      </c>
      <c r="F540" s="35" t="str">
        <f>IF(Liens!E535="","",IF(COUNTIF(Mots!A:A,Liens!E535)&gt;0,"✓ "&amp;Liens!E535,"✗ "&amp;Liens!E535&amp;" (introuvable)"))</f>
        <v>✓ confiance</v>
      </c>
      <c r="G540" s="35" t="str">
        <f>IF(Liens!F535="","",IF(COUNTIF(Mots!A:A,Liens!F535)&gt;0,"✓ "&amp;Liens!F535,"✗ "&amp;Liens!F535&amp;" (introuvable)"))</f>
        <v/>
      </c>
      <c r="H540" s="35" t="str">
        <f>IF(Liens!G535="","",IF(COUNTIF(Mots!A:A,Liens!G535)&gt;0,"✓ "&amp;Liens!G535,"✗ "&amp;Liens!G535&amp;" (introuvable)"))</f>
        <v/>
      </c>
      <c r="I540" s="35" t="str">
        <f>IF(Liens!H535="","",IF(COUNTIF(Mots!A:A,Liens!H535)&gt;0,"✓ "&amp;Liens!H535,"✗ "&amp;Liens!H535&amp;" (introuvable)"))</f>
        <v/>
      </c>
    </row>
    <row r="541" spans="1:9" x14ac:dyDescent="0.3">
      <c r="A541">
        <f t="shared" si="5"/>
        <v>536</v>
      </c>
      <c r="B541" s="35" t="str">
        <f>IF(Liens!A536="","",IF(COUNTIF(Mots!A:A,Liens!A536)&gt;0,"✓ "&amp;Liens!A536,"✗ "&amp;Liens!A536&amp;" (introuvable)"))</f>
        <v>✓ melange</v>
      </c>
      <c r="C541" s="35" t="str">
        <f>IF(Liens!B536="","",IF(COUNTIF(Mots!A:A,Liens!B536)&gt;0,"✓ "&amp;Liens!B536,"✗ "&amp;Liens!B536&amp;" (introuvable)"))</f>
        <v>✓ chose</v>
      </c>
      <c r="D541" s="35" t="str">
        <f>IF(Liens!C536="","",IF(COUNTIF(Mots!A:A,Liens!C536)&gt;0,"✓ "&amp;Liens!C536,"✗ "&amp;Liens!C536&amp;" (introuvable)"))</f>
        <v>✓ sirop</v>
      </c>
      <c r="E541" s="35" t="str">
        <f>IF(Liens!D536="","",IF(COUNTIF(Mots!A:A,Liens!D536)&gt;0,"✓ "&amp;Liens!D536,"✗ "&amp;Liens!D536&amp;" (introuvable)"))</f>
        <v>✓ biere_limonade</v>
      </c>
      <c r="F541" s="35" t="str">
        <f>IF(Liens!E536="","",IF(COUNTIF(Mots!A:A,Liens!E536)&gt;0,"✓ "&amp;Liens!E536,"✗ "&amp;Liens!E536&amp;" (introuvable)"))</f>
        <v>✓ ensemble</v>
      </c>
      <c r="G541" s="35" t="str">
        <f>IF(Liens!F536="","",IF(COUNTIF(Mots!A:A,Liens!F536)&gt;0,"✓ "&amp;Liens!F536,"✗ "&amp;Liens!F536&amp;" (introuvable)"))</f>
        <v/>
      </c>
      <c r="H541" s="35" t="str">
        <f>IF(Liens!G536="","",IF(COUNTIF(Mots!A:A,Liens!G536)&gt;0,"✓ "&amp;Liens!G536,"✗ "&amp;Liens!G536&amp;" (introuvable)"))</f>
        <v/>
      </c>
      <c r="I541" s="35" t="str">
        <f>IF(Liens!H536="","",IF(COUNTIF(Mots!A:A,Liens!H536)&gt;0,"✓ "&amp;Liens!H536,"✗ "&amp;Liens!H536&amp;" (introuvable)"))</f>
        <v/>
      </c>
    </row>
    <row r="542" spans="1:9" x14ac:dyDescent="0.3">
      <c r="A542">
        <f t="shared" si="5"/>
        <v>537</v>
      </c>
      <c r="B542" s="35" t="str">
        <f>IF(Liens!A537="","",IF(COUNTIF(Mots!A:A,Liens!A537)&gt;0,"✓ "&amp;Liens!A537,"✗ "&amp;Liens!A537&amp;" (introuvable)"))</f>
        <v>✓ melodie</v>
      </c>
      <c r="C542" s="35" t="str">
        <f>IF(Liens!B537="","",IF(COUNTIF(Mots!A:A,Liens!B537)&gt;0,"✓ "&amp;Liens!B537,"✗ "&amp;Liens!B537&amp;" (introuvable)"))</f>
        <v>✓ figures_notes</v>
      </c>
      <c r="D542" s="35" t="str">
        <f>IF(Liens!C537="","",IF(COUNTIF(Mots!A:A,Liens!C537)&gt;0,"✓ "&amp;Liens!C537,"✗ "&amp;Liens!C537&amp;" (introuvable)"))</f>
        <v>✓ v_jouer</v>
      </c>
      <c r="E542" s="35" t="str">
        <f>IF(Liens!D537="","",IF(COUNTIF(Mots!A:A,Liens!D537)&gt;0,"✓ "&amp;Liens!D537,"✗ "&amp;Liens!D537&amp;" (introuvable)"))</f>
        <v>✓ cornet</v>
      </c>
      <c r="F542" s="35" t="str">
        <f>IF(Liens!E537="","",IF(COUNTIF(Mots!A:A,Liens!E537)&gt;0,"✓ "&amp;Liens!E537,"✗ "&amp;Liens!E537&amp;" (introuvable)"))</f>
        <v>✓ v_chanter</v>
      </c>
      <c r="G542" s="35" t="str">
        <f>IF(Liens!F537="","",IF(COUNTIF(Mots!A:A,Liens!F537)&gt;0,"✓ "&amp;Liens!F537,"✗ "&amp;Liens!F537&amp;" (introuvable)"))</f>
        <v>✓ chanteur</v>
      </c>
      <c r="H542" s="35" t="str">
        <f>IF(Liens!G537="","",IF(COUNTIF(Mots!A:A,Liens!G537)&gt;0,"✓ "&amp;Liens!G537,"✗ "&amp;Liens!G537&amp;" (introuvable)"))</f>
        <v>✓ v_ecouter</v>
      </c>
      <c r="I542" s="35" t="str">
        <f>IF(Liens!H537="","",IF(COUNTIF(Mots!A:A,Liens!H537)&gt;0,"✓ "&amp;Liens!H537,"✗ "&amp;Liens!H537&amp;" (introuvable)"))</f>
        <v>✓ v_entendre</v>
      </c>
    </row>
    <row r="543" spans="1:9" x14ac:dyDescent="0.3">
      <c r="A543">
        <f t="shared" si="5"/>
        <v>538</v>
      </c>
      <c r="B543" s="35" t="str">
        <f>IF(Liens!A538="","",IF(COUNTIF(Mots!A:A,Liens!A538)&gt;0,"✓ "&amp;Liens!A538,"✗ "&amp;Liens!A538&amp;" (introuvable)"))</f>
        <v>✓ membre</v>
      </c>
      <c r="C543" s="35" t="str">
        <f>IF(Liens!B538="","",IF(COUNTIF(Mots!A:A,Liens!B538)&gt;0,"✓ "&amp;Liens!B538,"✗ "&amp;Liens!B538&amp;" (introuvable)"))</f>
        <v>✓ personne</v>
      </c>
      <c r="D543" s="35" t="str">
        <f>IF(Liens!C538="","",IF(COUNTIF(Mots!A:A,Liens!C538)&gt;0,"✓ "&amp;Liens!C538,"✗ "&amp;Liens!C538&amp;" (introuvable)"))</f>
        <v>✓ partie</v>
      </c>
      <c r="E543" s="35" t="str">
        <f>IF(Liens!D538="","",IF(COUNTIF(Mots!A:A,Liens!D538)&gt;0,"✓ "&amp;Liens!D538,"✗ "&amp;Liens!D538&amp;" (introuvable)"))</f>
        <v>✓ groupe</v>
      </c>
      <c r="F543" s="35" t="str">
        <f>IF(Liens!E538="","",IF(COUNTIF(Mots!A:A,Liens!E538)&gt;0,"✓ "&amp;Liens!E538,"✗ "&amp;Liens!E538&amp;" (introuvable)"))</f>
        <v>✓ bras</v>
      </c>
      <c r="G543" s="35" t="str">
        <f>IF(Liens!F538="","",IF(COUNTIF(Mots!A:A,Liens!F538)&gt;0,"✓ "&amp;Liens!F538,"✗ "&amp;Liens!F538&amp;" (introuvable)"))</f>
        <v>✓ jambe</v>
      </c>
      <c r="H543" s="35" t="str">
        <f>IF(Liens!G538="","",IF(COUNTIF(Mots!A:A,Liens!G538)&gt;0,"✓ "&amp;Liens!G538,"✗ "&amp;Liens!G538&amp;" (introuvable)"))</f>
        <v/>
      </c>
      <c r="I543" s="35" t="str">
        <f>IF(Liens!H538="","",IF(COUNTIF(Mots!A:A,Liens!H538)&gt;0,"✓ "&amp;Liens!H538,"✗ "&amp;Liens!H538&amp;" (introuvable)"))</f>
        <v/>
      </c>
    </row>
    <row r="544" spans="1:9" x14ac:dyDescent="0.3">
      <c r="A544">
        <f t="shared" si="5"/>
        <v>539</v>
      </c>
      <c r="B544" s="35" t="str">
        <f>IF(Liens!A539="","",IF(COUNTIF(Mots!A:A,Liens!A539)&gt;0,"✓ "&amp;Liens!A539,"✗ "&amp;Liens!A539&amp;" (introuvable)"))</f>
        <v>✓ memoire</v>
      </c>
      <c r="C544" s="35" t="str">
        <f>IF(Liens!B539="","",IF(COUNTIF(Mots!A:A,Liens!B539)&gt;0,"✓ "&amp;Liens!B539,"✗ "&amp;Liens!B539&amp;" (introuvable)"))</f>
        <v>✓ souvenir</v>
      </c>
      <c r="D544" s="35" t="str">
        <f>IF(Liens!C539="","",IF(COUNTIF(Mots!A:A,Liens!C539)&gt;0,"✓ "&amp;Liens!C539,"✗ "&amp;Liens!C539&amp;" (introuvable)"))</f>
        <v>✓ cerveau</v>
      </c>
      <c r="E544" s="35" t="str">
        <f>IF(Liens!D539="","",IF(COUNTIF(Mots!A:A,Liens!D539)&gt;0,"✓ "&amp;Liens!D539,"✗ "&amp;Liens!D539&amp;" (introuvable)"))</f>
        <v>✓ image</v>
      </c>
      <c r="F544" s="35" t="str">
        <f>IF(Liens!E539="","",IF(COUNTIF(Mots!A:A,Liens!E539)&gt;0,"✓ "&amp;Liens!E539,"✗ "&amp;Liens!E539&amp;" (introuvable)"))</f>
        <v>✓ ami</v>
      </c>
      <c r="G544" s="35" t="str">
        <f>IF(Liens!F539="","",IF(COUNTIF(Mots!A:A,Liens!F539)&gt;0,"✓ "&amp;Liens!F539,"✗ "&amp;Liens!F539&amp;" (introuvable)"))</f>
        <v>✓ famille</v>
      </c>
      <c r="H544" s="35" t="str">
        <f>IF(Liens!G539="","",IF(COUNTIF(Mots!A:A,Liens!G539)&gt;0,"✓ "&amp;Liens!G539,"✗ "&amp;Liens!G539&amp;" (introuvable)"))</f>
        <v>✓ v_apprendre</v>
      </c>
      <c r="I544" s="35" t="str">
        <f>IF(Liens!H539="","",IF(COUNTIF(Mots!A:A,Liens!H539)&gt;0,"✓ "&amp;Liens!H539,"✗ "&amp;Liens!H539&amp;" (introuvable)"))</f>
        <v>✓ v_jouer</v>
      </c>
    </row>
    <row r="545" spans="1:9" x14ac:dyDescent="0.3">
      <c r="A545">
        <f t="shared" si="5"/>
        <v>540</v>
      </c>
      <c r="B545" s="35" t="str">
        <f>IF(Liens!A540="","",IF(COUNTIF(Mots!A:A,Liens!A540)&gt;0,"✓ "&amp;Liens!A540,"✗ "&amp;Liens!A540&amp;" (introuvable)"))</f>
        <v>✓ mensonge</v>
      </c>
      <c r="C545" s="35" t="str">
        <f>IF(Liens!B540="","",IF(COUNTIF(Mots!A:A,Liens!B540)&gt;0,"✓ "&amp;Liens!B540,"✗ "&amp;Liens!B540&amp;" (introuvable)"))</f>
        <v>✓ a_vrai_faux</v>
      </c>
      <c r="D545" s="35" t="str">
        <f>IF(Liens!C540="","",IF(COUNTIF(Mots!A:A,Liens!C540)&gt;0,"✓ "&amp;Liens!C540,"✗ "&amp;Liens!C540&amp;" (introuvable)"))</f>
        <v>✓ v_mentir</v>
      </c>
      <c r="E545" s="35" t="str">
        <f>IF(Liens!D540="","",IF(COUNTIF(Mots!A:A,Liens!D540)&gt;0,"✓ "&amp;Liens!D540,"✗ "&amp;Liens!D540&amp;" (introuvable)"))</f>
        <v>✓ verite</v>
      </c>
      <c r="F545" s="35" t="str">
        <f>IF(Liens!E540="","",IF(COUNTIF(Mots!A:A,Liens!E540)&gt;0,"✓ "&amp;Liens!E540,"✗ "&amp;Liens!E540&amp;" (introuvable)"))</f>
        <v>✓ mefiance</v>
      </c>
      <c r="G545" s="35" t="str">
        <f>IF(Liens!F540="","",IF(COUNTIF(Mots!A:A,Liens!F540)&gt;0,"✓ "&amp;Liens!F540,"✗ "&amp;Liens!F540&amp;" (introuvable)"))</f>
        <v>✓ confiance</v>
      </c>
      <c r="H545" s="35" t="str">
        <f>IF(Liens!G540="","",IF(COUNTIF(Mots!A:A,Liens!G540)&gt;0,"✓ "&amp;Liens!G540,"✗ "&amp;Liens!G540&amp;" (introuvable)"))</f>
        <v/>
      </c>
      <c r="I545" s="35" t="str">
        <f>IF(Liens!H540="","",IF(COUNTIF(Mots!A:A,Liens!H540)&gt;0,"✓ "&amp;Liens!H540,"✗ "&amp;Liens!H540&amp;" (introuvable)"))</f>
        <v/>
      </c>
    </row>
    <row r="546" spans="1:9" x14ac:dyDescent="0.3">
      <c r="A546">
        <f t="shared" si="5"/>
        <v>541</v>
      </c>
      <c r="B546" s="35" t="str">
        <f>IF(Liens!A541="","",IF(COUNTIF(Mots!A:A,Liens!A541)&gt;0,"✓ "&amp;Liens!A541,"✗ "&amp;Liens!A541&amp;" (introuvable)"))</f>
        <v>✓ mer</v>
      </c>
      <c r="C546" s="35" t="str">
        <f>IF(Liens!B541="","",IF(COUNTIF(Mots!A:A,Liens!B541)&gt;0,"✓ "&amp;Liens!B541,"✗ "&amp;Liens!B541&amp;" (introuvable)"))</f>
        <v>✓ eau</v>
      </c>
      <c r="D546" s="35" t="str">
        <f>IF(Liens!C541="","",IF(COUNTIF(Mots!A:A,Liens!C541)&gt;0,"✓ "&amp;Liens!C541,"✗ "&amp;Liens!C541&amp;" (introuvable)"))</f>
        <v>✓ bateau</v>
      </c>
      <c r="E546" s="35" t="str">
        <f>IF(Liens!D541="","",IF(COUNTIF(Mots!A:A,Liens!D541)&gt;0,"✓ "&amp;Liens!D541,"✗ "&amp;Liens!D541&amp;" (introuvable)"))</f>
        <v>✓ vacances</v>
      </c>
      <c r="F546" s="35" t="str">
        <f>IF(Liens!E541="","",IF(COUNTIF(Mots!A:A,Liens!E541)&gt;0,"✓ "&amp;Liens!E541,"✗ "&amp;Liens!E541&amp;" (introuvable)"))</f>
        <v>✓ v_nager</v>
      </c>
      <c r="G546" s="35" t="str">
        <f>IF(Liens!F541="","",IF(COUNTIF(Mots!A:A,Liens!F541)&gt;0,"✓ "&amp;Liens!F541,"✗ "&amp;Liens!F541&amp;" (introuvable)"))</f>
        <v>✓ soleil</v>
      </c>
      <c r="H546" s="35" t="str">
        <f>IF(Liens!G541="","",IF(COUNTIF(Mots!A:A,Liens!G541)&gt;0,"✓ "&amp;Liens!G541,"✗ "&amp;Liens!G541&amp;" (introuvable)"))</f>
        <v/>
      </c>
      <c r="I546" s="35" t="str">
        <f>IF(Liens!H541="","",IF(COUNTIF(Mots!A:A,Liens!H541)&gt;0,"✓ "&amp;Liens!H541,"✗ "&amp;Liens!H541&amp;" (introuvable)"))</f>
        <v/>
      </c>
    </row>
    <row r="547" spans="1:9" x14ac:dyDescent="0.3">
      <c r="A547">
        <f t="shared" si="5"/>
        <v>542</v>
      </c>
      <c r="B547" s="35" t="str">
        <f>IF(Liens!A542="","",IF(COUNTIF(Mots!A:A,Liens!A542)&gt;0,"✓ "&amp;Liens!A542,"✗ "&amp;Liens!A542&amp;" (introuvable)"))</f>
        <v>✓ merveilleux</v>
      </c>
      <c r="C547" s="35" t="str">
        <f>IF(Liens!B542="","",IF(COUNTIF(Mots!A:A,Liens!B542)&gt;0,"✓ "&amp;Liens!B542,"✗ "&amp;Liens!B542&amp;" (introuvable)"))</f>
        <v>✓ a_beau_laid</v>
      </c>
      <c r="D547" s="35" t="str">
        <f>IF(Liens!C542="","",IF(COUNTIF(Mots!A:A,Liens!C542)&gt;0,"✓ "&amp;Liens!C542,"✗ "&amp;Liens!C542&amp;" (introuvable)"))</f>
        <v>✓ feu_artifice</v>
      </c>
      <c r="E547" s="35" t="str">
        <f>IF(Liens!D542="","",IF(COUNTIF(Mots!A:A,Liens!D542)&gt;0,"✓ "&amp;Liens!D542,"✗ "&amp;Liens!D542&amp;" (introuvable)"))</f>
        <v>✓ naissance</v>
      </c>
      <c r="F547" s="35" t="str">
        <f>IF(Liens!E542="","",IF(COUNTIF(Mots!A:A,Liens!E542)&gt;0,"✓ "&amp;Liens!E542,"✗ "&amp;Liens!E542&amp;" (introuvable)"))</f>
        <v>✓ melodie</v>
      </c>
      <c r="G547" s="35" t="str">
        <f>IF(Liens!F542="","",IF(COUNTIF(Mots!A:A,Liens!F542)&gt;0,"✓ "&amp;Liens!F542,"✗ "&amp;Liens!F542&amp;" (introuvable)"))</f>
        <v>✓ v_jouer</v>
      </c>
      <c r="H547" s="35" t="str">
        <f>IF(Liens!G542="","",IF(COUNTIF(Mots!A:A,Liens!G542)&gt;0,"✓ "&amp;Liens!G542,"✗ "&amp;Liens!G542&amp;" (introuvable)"))</f>
        <v>✓ v_chanter</v>
      </c>
      <c r="I547" s="35" t="str">
        <f>IF(Liens!H542="","",IF(COUNTIF(Mots!A:A,Liens!H542)&gt;0,"✓ "&amp;Liens!H542,"✗ "&amp;Liens!H542&amp;" (introuvable)"))</f>
        <v>✓ concert</v>
      </c>
    </row>
    <row r="548" spans="1:9" x14ac:dyDescent="0.3">
      <c r="A548">
        <f t="shared" si="5"/>
        <v>543</v>
      </c>
      <c r="B548" s="35" t="str">
        <f>IF(Liens!A543="","",IF(COUNTIF(Mots!A:A,Liens!A543)&gt;0,"✓ "&amp;Liens!A543,"✗ "&amp;Liens!A543&amp;" (introuvable)"))</f>
        <v>✓ metal</v>
      </c>
      <c r="C548" s="35" t="str">
        <f>IF(Liens!B543="","",IF(COUNTIF(Mots!A:A,Liens!B543)&gt;0,"✓ "&amp;Liens!B543,"✗ "&amp;Liens!B543&amp;" (introuvable)"))</f>
        <v>✓ matiere</v>
      </c>
      <c r="D548" s="35" t="str">
        <f>IF(Liens!C543="","",IF(COUNTIF(Mots!A:A,Liens!C543)&gt;0,"✓ "&amp;Liens!C543,"✗ "&amp;Liens!C543&amp;" (introuvable)"))</f>
        <v>✓ fer</v>
      </c>
      <c r="E548" s="35" t="str">
        <f>IF(Liens!D543="","",IF(COUNTIF(Mots!A:A,Liens!D543)&gt;0,"✓ "&amp;Liens!D543,"✗ "&amp;Liens!D543&amp;" (introuvable)"))</f>
        <v>✓ cle</v>
      </c>
      <c r="F548" s="35" t="str">
        <f>IF(Liens!E543="","",IF(COUNTIF(Mots!A:A,Liens!E543)&gt;0,"✓ "&amp;Liens!E543,"✗ "&amp;Liens!E543&amp;" (introuvable)"))</f>
        <v>✓ serrure</v>
      </c>
      <c r="G548" s="35" t="str">
        <f>IF(Liens!F543="","",IF(COUNTIF(Mots!A:A,Liens!F543)&gt;0,"✓ "&amp;Liens!F543,"✗ "&amp;Liens!F543&amp;" (introuvable)"))</f>
        <v>✓ voiture</v>
      </c>
      <c r="H548" s="35" t="str">
        <f>IF(Liens!G543="","",IF(COUNTIF(Mots!A:A,Liens!G543)&gt;0,"✓ "&amp;Liens!G543,"✗ "&amp;Liens!G543&amp;" (introuvable)"))</f>
        <v>✓ sourdine_straignt_ou_metal</v>
      </c>
      <c r="I548" s="35" t="str">
        <f>IF(Liens!H543="","",IF(COUNTIF(Mots!A:A,Liens!H543)&gt;0,"✓ "&amp;Liens!H543,"✗ "&amp;Liens!H543&amp;" (introuvable)"))</f>
        <v>✓ sourdine_cup</v>
      </c>
    </row>
    <row r="549" spans="1:9" x14ac:dyDescent="0.3">
      <c r="A549">
        <f t="shared" si="5"/>
        <v>544</v>
      </c>
      <c r="B549" s="35" t="str">
        <f>IF(Liens!A544="","",IF(COUNTIF(Mots!A:A,Liens!A544)&gt;0,"✓ "&amp;Liens!A544,"✗ "&amp;Liens!A544&amp;" (introuvable)"))</f>
        <v>✓ meteo</v>
      </c>
      <c r="C549" s="35" t="str">
        <f>IF(Liens!B544="","",IF(COUNTIF(Mots!A:A,Liens!B544)&gt;0,"✓ "&amp;Liens!B544,"✗ "&amp;Liens!B544&amp;" (introuvable)"))</f>
        <v>✓ pluie</v>
      </c>
      <c r="D549" s="35" t="str">
        <f>IF(Liens!C544="","",IF(COUNTIF(Mots!A:A,Liens!C544)&gt;0,"✓ "&amp;Liens!C544,"✗ "&amp;Liens!C544&amp;" (introuvable)"))</f>
        <v>✓ soleil</v>
      </c>
      <c r="E549" s="35" t="str">
        <f>IF(Liens!D544="","",IF(COUNTIF(Mots!A:A,Liens!D544)&gt;0,"✓ "&amp;Liens!D544,"✗ "&amp;Liens!D544&amp;" (introuvable)"))</f>
        <v>✓ vent</v>
      </c>
      <c r="F549" s="35" t="str">
        <f>IF(Liens!E544="","",IF(COUNTIF(Mots!A:A,Liens!E544)&gt;0,"✓ "&amp;Liens!E544,"✗ "&amp;Liens!E544&amp;" (introuvable)"))</f>
        <v>✓ nuage</v>
      </c>
      <c r="G549" s="35" t="str">
        <f>IF(Liens!F544="","",IF(COUNTIF(Mots!A:A,Liens!F544)&gt;0,"✓ "&amp;Liens!F544,"✗ "&amp;Liens!F544&amp;" (introuvable)"))</f>
        <v>✓ brouillard</v>
      </c>
      <c r="H549" s="35" t="str">
        <f>IF(Liens!G544="","",IF(COUNTIF(Mots!A:A,Liens!G544)&gt;0,"✓ "&amp;Liens!G544,"✗ "&amp;Liens!G544&amp;" (introuvable)"))</f>
        <v>✓ temperature</v>
      </c>
      <c r="I549" s="35" t="str">
        <f>IF(Liens!H544="","",IF(COUNTIF(Mots!A:A,Liens!H544)&gt;0,"✓ "&amp;Liens!H544,"✗ "&amp;Liens!H544&amp;" (introuvable)"))</f>
        <v>✓ parapluie</v>
      </c>
    </row>
    <row r="550" spans="1:9" x14ac:dyDescent="0.3">
      <c r="A550">
        <f t="shared" si="5"/>
        <v>545</v>
      </c>
      <c r="B550" s="35" t="str">
        <f>IF(Liens!A545="","",IF(COUNTIF(Mots!A:A,Liens!A545)&gt;0,"✓ "&amp;Liens!A545,"✗ "&amp;Liens!A545&amp;" (introuvable)"))</f>
        <v>✓ meuble</v>
      </c>
      <c r="C550" s="35" t="str">
        <f>IF(Liens!B545="","",IF(COUNTIF(Mots!A:A,Liens!B545)&gt;0,"✓ "&amp;Liens!B545,"✗ "&amp;Liens!B545&amp;" (introuvable)"))</f>
        <v>✓ table</v>
      </c>
      <c r="D550" s="35" t="str">
        <f>IF(Liens!C545="","",IF(COUNTIF(Mots!A:A,Liens!C545)&gt;0,"✓ "&amp;Liens!C545,"✗ "&amp;Liens!C545&amp;" (introuvable)"))</f>
        <v>✓ chaise</v>
      </c>
      <c r="E550" s="35" t="str">
        <f>IF(Liens!D545="","",IF(COUNTIF(Mots!A:A,Liens!D545)&gt;0,"✓ "&amp;Liens!D545,"✗ "&amp;Liens!D545&amp;" (introuvable)"))</f>
        <v>✓ canape</v>
      </c>
      <c r="F550" s="35" t="str">
        <f>IF(Liens!E545="","",IF(COUNTIF(Mots!A:A,Liens!E545)&gt;0,"✓ "&amp;Liens!E545,"✗ "&amp;Liens!E545&amp;" (introuvable)"))</f>
        <v>✓ fauteuil</v>
      </c>
      <c r="G550" s="35" t="str">
        <f>IF(Liens!F545="","",IF(COUNTIF(Mots!A:A,Liens!F545)&gt;0,"✓ "&amp;Liens!F545,"✗ "&amp;Liens!F545&amp;" (introuvable)"))</f>
        <v>✓ armoire</v>
      </c>
      <c r="H550" s="35" t="str">
        <f>IF(Liens!G545="","",IF(COUNTIF(Mots!A:A,Liens!G545)&gt;0,"✓ "&amp;Liens!G545,"✗ "&amp;Liens!G545&amp;" (introuvable)"))</f>
        <v>✓ lit</v>
      </c>
      <c r="I550" s="35" t="str">
        <f>IF(Liens!H545="","",IF(COUNTIF(Mots!A:A,Liens!H545)&gt;0,"✓ "&amp;Liens!H545,"✗ "&amp;Liens!H545&amp;" (introuvable)"))</f>
        <v>✓ m_bureau</v>
      </c>
    </row>
    <row r="551" spans="1:9" x14ac:dyDescent="0.3">
      <c r="A551">
        <f t="shared" si="5"/>
        <v>546</v>
      </c>
      <c r="B551" s="35" t="str">
        <f>IF(Liens!A546="","",IF(COUNTIF(Mots!A:A,Liens!A546)&gt;0,"✓ "&amp;Liens!A546,"✗ "&amp;Liens!A546&amp;" (introuvable)"))</f>
        <v>✓ miel</v>
      </c>
      <c r="C551" s="35" t="str">
        <f>IF(Liens!B546="","",IF(COUNTIF(Mots!A:A,Liens!B546)&gt;0,"✓ "&amp;Liens!B546,"✗ "&amp;Liens!B546&amp;" (introuvable)"))</f>
        <v>✓ abeille</v>
      </c>
      <c r="D551" s="35" t="str">
        <f>IF(Liens!C546="","",IF(COUNTIF(Mots!A:A,Liens!C546)&gt;0,"✓ "&amp;Liens!C546,"✗ "&amp;Liens!C546&amp;" (introuvable)"))</f>
        <v>✓ fleur</v>
      </c>
      <c r="E551" s="35" t="str">
        <f>IF(Liens!D546="","",IF(COUNTIF(Mots!A:A,Liens!D546)&gt;0,"✓ "&amp;Liens!D546,"✗ "&amp;Liens!D546&amp;" (introuvable)"))</f>
        <v>✓ insecte</v>
      </c>
      <c r="F551" s="35" t="str">
        <f>IF(Liens!E546="","",IF(COUNTIF(Mots!A:A,Liens!E546)&gt;0,"✓ "&amp;Liens!E546,"✗ "&amp;Liens!E546&amp;" (introuvable)"))</f>
        <v>✓ pain</v>
      </c>
      <c r="G551" s="35" t="str">
        <f>IF(Liens!F546="","",IF(COUNTIF(Mots!A:A,Liens!F546)&gt;0,"✓ "&amp;Liens!F546,"✗ "&amp;Liens!F546&amp;" (introuvable)"))</f>
        <v>✓ beurre</v>
      </c>
      <c r="H551" s="35" t="str">
        <f>IF(Liens!G546="","",IF(COUNTIF(Mots!A:A,Liens!G546)&gt;0,"✓ "&amp;Liens!G546,"✗ "&amp;Liens!G546&amp;" (introuvable)"))</f>
        <v>✓ the</v>
      </c>
      <c r="I551" s="35" t="str">
        <f>IF(Liens!H546="","",IF(COUNTIF(Mots!A:A,Liens!H546)&gt;0,"✓ "&amp;Liens!H546,"✗ "&amp;Liens!H546&amp;" (introuvable)"))</f>
        <v/>
      </c>
    </row>
    <row r="552" spans="1:9" x14ac:dyDescent="0.3">
      <c r="A552">
        <f t="shared" si="5"/>
        <v>547</v>
      </c>
      <c r="B552" s="35" t="str">
        <f>IF(Liens!A547="","",IF(COUNTIF(Mots!A:A,Liens!A547)&gt;0,"✓ "&amp;Liens!A547,"✗ "&amp;Liens!A547&amp;" (introuvable)"))</f>
        <v>✓ milieu</v>
      </c>
      <c r="C552" s="35" t="str">
        <f>IF(Liens!B547="","",IF(COUNTIF(Mots!A:A,Liens!B547)&gt;0,"✓ "&amp;Liens!B547,"✗ "&amp;Liens!B547&amp;" (introuvable)"))</f>
        <v>✓ partie</v>
      </c>
      <c r="D552" s="35" t="str">
        <f>IF(Liens!C547="","",IF(COUNTIF(Mots!A:A,Liens!C547)&gt;0,"✓ "&amp;Liens!C547,"✗ "&amp;Liens!C547&amp;" (introuvable)"))</f>
        <v>✓ centre</v>
      </c>
      <c r="E552" s="35" t="str">
        <f>IF(Liens!D547="","",IF(COUNTIF(Mots!A:A,Liens!D547)&gt;0,"✓ "&amp;Liens!D547,"✗ "&amp;Liens!D547&amp;" (introuvable)"))</f>
        <v>✓ bord</v>
      </c>
      <c r="F552" s="35" t="str">
        <f>IF(Liens!E547="","",IF(COUNTIF(Mots!A:A,Liens!E547)&gt;0,"✓ "&amp;Liens!E547,"✗ "&amp;Liens!E547&amp;" (introuvable)"))</f>
        <v>✓ route</v>
      </c>
      <c r="G552" s="35" t="str">
        <f>IF(Liens!F547="","",IF(COUNTIF(Mots!A:A,Liens!F547)&gt;0,"✓ "&amp;Liens!F547,"✗ "&amp;Liens!F547&amp;" (introuvable)"))</f>
        <v>✓ mois</v>
      </c>
      <c r="H552" s="35" t="str">
        <f>IF(Liens!G547="","",IF(COUNTIF(Mots!A:A,Liens!G547)&gt;0,"✓ "&amp;Liens!G547,"✗ "&amp;Liens!G547&amp;" (introuvable)"))</f>
        <v>✓ annee</v>
      </c>
      <c r="I552" s="35" t="str">
        <f>IF(Liens!H547="","",IF(COUNTIF(Mots!A:A,Liens!H547)&gt;0,"✓ "&amp;Liens!H547,"✗ "&amp;Liens!H547&amp;" (introuvable)"))</f>
        <v>✓ jambe</v>
      </c>
    </row>
    <row r="553" spans="1:9" x14ac:dyDescent="0.3">
      <c r="A553">
        <f t="shared" si="5"/>
        <v>548</v>
      </c>
      <c r="B553" s="35" t="str">
        <f>IF(Liens!A548="","",IF(COUNTIF(Mots!A:A,Liens!A548)&gt;0,"✓ "&amp;Liens!A548,"✗ "&amp;Liens!A548&amp;" (introuvable)"))</f>
        <v>✓ minute</v>
      </c>
      <c r="C553" s="35" t="str">
        <f>IF(Liens!B548="","",IF(COUNTIF(Mots!A:A,Liens!B548)&gt;0,"✓ "&amp;Liens!B548,"✗ "&amp;Liens!B548&amp;" (introuvable)"))</f>
        <v>✓ heure</v>
      </c>
      <c r="D553" s="35" t="str">
        <f>IF(Liens!C548="","",IF(COUNTIF(Mots!A:A,Liens!C548)&gt;0,"✓ "&amp;Liens!C548,"✗ "&amp;Liens!C548&amp;" (introuvable)"))</f>
        <v>✓ seconde</v>
      </c>
      <c r="E553" s="35" t="str">
        <f>IF(Liens!D548="","",IF(COUNTIF(Mots!A:A,Liens!D548)&gt;0,"✓ "&amp;Liens!D548,"✗ "&amp;Liens!D548&amp;" (introuvable)"))</f>
        <v>✓ v_attendre</v>
      </c>
      <c r="F553" s="35" t="str">
        <f>IF(Liens!E548="","",IF(COUNTIF(Mots!A:A,Liens!E548)&gt;0,"✓ "&amp;Liens!E548,"✗ "&amp;Liens!E548&amp;" (introuvable)"))</f>
        <v>✓ montre</v>
      </c>
      <c r="G553" s="35" t="str">
        <f>IF(Liens!F548="","",IF(COUNTIF(Mots!A:A,Liens!F548)&gt;0,"✓ "&amp;Liens!F548,"✗ "&amp;Liens!F548&amp;" (introuvable)"))</f>
        <v>✓ reveil</v>
      </c>
      <c r="H553" s="35" t="str">
        <f>IF(Liens!G548="","",IF(COUNTIF(Mots!A:A,Liens!G548)&gt;0,"✓ "&amp;Liens!G548,"✗ "&amp;Liens!G548&amp;" (introuvable)"))</f>
        <v/>
      </c>
      <c r="I553" s="35" t="str">
        <f>IF(Liens!H548="","",IF(COUNTIF(Mots!A:A,Liens!H548)&gt;0,"✓ "&amp;Liens!H548,"✗ "&amp;Liens!H548&amp;" (introuvable)"))</f>
        <v/>
      </c>
    </row>
    <row r="554" spans="1:9" x14ac:dyDescent="0.3">
      <c r="A554">
        <f t="shared" si="5"/>
        <v>549</v>
      </c>
      <c r="B554" s="35" t="str">
        <f>IF(Liens!A549="","",IF(COUNTIF(Mots!A:A,Liens!A549)&gt;0,"✓ "&amp;Liens!A549,"✗ "&amp;Liens!A549&amp;" (introuvable)"))</f>
        <v>✓ miroir</v>
      </c>
      <c r="C554" s="35" t="str">
        <f>IF(Liens!B549="","",IF(COUNTIF(Mots!A:A,Liens!B549)&gt;0,"✓ "&amp;Liens!B549,"✗ "&amp;Liens!B549&amp;" (introuvable)"))</f>
        <v>✓ maison</v>
      </c>
      <c r="D554" s="35" t="str">
        <f>IF(Liens!C549="","",IF(COUNTIF(Mots!A:A,Liens!C549)&gt;0,"✓ "&amp;Liens!C549,"✗ "&amp;Liens!C549&amp;" (introuvable)"))</f>
        <v>✓ salle_de_bain</v>
      </c>
      <c r="E554" s="35" t="str">
        <f>IF(Liens!D549="","",IF(COUNTIF(Mots!A:A,Liens!D549)&gt;0,"✓ "&amp;Liens!D549,"✗ "&amp;Liens!D549&amp;" (introuvable)"))</f>
        <v>✓ v_voir</v>
      </c>
      <c r="F554" s="35" t="str">
        <f>IF(Liens!E549="","",IF(COUNTIF(Mots!A:A,Liens!E549)&gt;0,"✓ "&amp;Liens!E549,"✗ "&amp;Liens!E549&amp;" (introuvable)"))</f>
        <v>✓ reflet</v>
      </c>
      <c r="G554" s="35" t="str">
        <f>IF(Liens!F549="","",IF(COUNTIF(Mots!A:A,Liens!F549)&gt;0,"✓ "&amp;Liens!F549,"✗ "&amp;Liens!F549&amp;" (introuvable)"))</f>
        <v>✓ oeil</v>
      </c>
      <c r="H554" s="35" t="str">
        <f>IF(Liens!G549="","",IF(COUNTIF(Mots!A:A,Liens!G549)&gt;0,"✓ "&amp;Liens!G549,"✗ "&amp;Liens!G549&amp;" (introuvable)"))</f>
        <v>✓ rasoir</v>
      </c>
      <c r="I554" s="35" t="str">
        <f>IF(Liens!H549="","",IF(COUNTIF(Mots!A:A,Liens!H549)&gt;0,"✓ "&amp;Liens!H549,"✗ "&amp;Liens!H549&amp;" (introuvable)"))</f>
        <v>✓ v_essuyer</v>
      </c>
    </row>
    <row r="555" spans="1:9" x14ac:dyDescent="0.3">
      <c r="A555">
        <f t="shared" si="5"/>
        <v>550</v>
      </c>
      <c r="B555" s="35" t="str">
        <f>IF(Liens!A550="","",IF(COUNTIF(Mots!A:A,Liens!A550)&gt;0,"✓ "&amp;Liens!A550,"✗ "&amp;Liens!A550&amp;" (introuvable)"))</f>
        <v>✓ mois</v>
      </c>
      <c r="C555" s="35" t="str">
        <f>IF(Liens!B550="","",IF(COUNTIF(Mots!A:A,Liens!B550)&gt;0,"✓ "&amp;Liens!B550,"✗ "&amp;Liens!B550&amp;" (introuvable)"))</f>
        <v>✓ periode</v>
      </c>
      <c r="D555" s="35" t="str">
        <f>IF(Liens!C550="","",IF(COUNTIF(Mots!A:A,Liens!C550)&gt;0,"✓ "&amp;Liens!C550,"✗ "&amp;Liens!C550&amp;" (introuvable)"))</f>
        <v>✓ annee</v>
      </c>
      <c r="E555" s="35" t="str">
        <f>IF(Liens!D550="","",IF(COUNTIF(Mots!A:A,Liens!D550)&gt;0,"✓ "&amp;Liens!D550,"✗ "&amp;Liens!D550&amp;" (introuvable)"))</f>
        <v>✓ semaine</v>
      </c>
      <c r="F555" s="35" t="str">
        <f>IF(Liens!E550="","",IF(COUNTIF(Mots!A:A,Liens!E550)&gt;0,"✓ "&amp;Liens!E550,"✗ "&amp;Liens!E550&amp;" (introuvable)"))</f>
        <v>✓ jour</v>
      </c>
      <c r="G555" s="35" t="str">
        <f>IF(Liens!F550="","",IF(COUNTIF(Mots!A:A,Liens!F550)&gt;0,"✓ "&amp;Liens!F550,"✗ "&amp;Liens!F550&amp;" (introuvable)"))</f>
        <v>✓ calendrier</v>
      </c>
      <c r="H555" s="35" t="str">
        <f>IF(Liens!G550="","",IF(COUNTIF(Mots!A:A,Liens!G550)&gt;0,"✓ "&amp;Liens!G550,"✗ "&amp;Liens!G550&amp;" (introuvable)"))</f>
        <v/>
      </c>
      <c r="I555" s="35" t="str">
        <f>IF(Liens!H550="","",IF(COUNTIF(Mots!A:A,Liens!H550)&gt;0,"✓ "&amp;Liens!H550,"✗ "&amp;Liens!H550&amp;" (introuvable)"))</f>
        <v/>
      </c>
    </row>
    <row r="556" spans="1:9" x14ac:dyDescent="0.3">
      <c r="A556">
        <f t="shared" si="5"/>
        <v>551</v>
      </c>
      <c r="B556" s="35" t="str">
        <f>IF(Liens!A551="","",IF(COUNTIF(Mots!A:A,Liens!A551)&gt;0,"✓ "&amp;Liens!A551,"✗ "&amp;Liens!A551&amp;" (introuvable)"))</f>
        <v>✓ moitie</v>
      </c>
      <c r="C556" s="35" t="str">
        <f>IF(Liens!B551="","",IF(COUNTIF(Mots!A:A,Liens!B551)&gt;0,"✓ "&amp;Liens!B551,"✗ "&amp;Liens!B551&amp;" (introuvable)"))</f>
        <v>✓ part</v>
      </c>
      <c r="D556" s="35" t="str">
        <f>IF(Liens!C551="","",IF(COUNTIF(Mots!A:A,Liens!C551)&gt;0,"✓ "&amp;Liens!C551,"✗ "&amp;Liens!C551&amp;" (introuvable)"))</f>
        <v>✓ milieu</v>
      </c>
      <c r="E556" s="35" t="str">
        <f>IF(Liens!D551="","",IF(COUNTIF(Mots!A:A,Liens!D551)&gt;0,"✓ "&amp;Liens!D551,"✗ "&amp;Liens!D551&amp;" (introuvable)"))</f>
        <v/>
      </c>
      <c r="F556" s="35" t="str">
        <f>IF(Liens!E551="","",IF(COUNTIF(Mots!A:A,Liens!E551)&gt;0,"✓ "&amp;Liens!E551,"✗ "&amp;Liens!E551&amp;" (introuvable)"))</f>
        <v/>
      </c>
      <c r="G556" s="35" t="str">
        <f>IF(Liens!F551="","",IF(COUNTIF(Mots!A:A,Liens!F551)&gt;0,"✓ "&amp;Liens!F551,"✗ "&amp;Liens!F551&amp;" (introuvable)"))</f>
        <v/>
      </c>
      <c r="H556" s="35" t="str">
        <f>IF(Liens!G551="","",IF(COUNTIF(Mots!A:A,Liens!G551)&gt;0,"✓ "&amp;Liens!G551,"✗ "&amp;Liens!G551&amp;" (introuvable)"))</f>
        <v/>
      </c>
      <c r="I556" s="35" t="str">
        <f>IF(Liens!H551="","",IF(COUNTIF(Mots!A:A,Liens!H551)&gt;0,"✓ "&amp;Liens!H551,"✗ "&amp;Liens!H551&amp;" (introuvable)"))</f>
        <v/>
      </c>
    </row>
    <row r="557" spans="1:9" x14ac:dyDescent="0.3">
      <c r="A557">
        <f t="shared" si="5"/>
        <v>552</v>
      </c>
      <c r="B557" s="35" t="str">
        <f>IF(Liens!A552="","",IF(COUNTIF(Mots!A:A,Liens!A552)&gt;0,"✓ "&amp;Liens!A552,"✗ "&amp;Liens!A552&amp;" (introuvable)"))</f>
        <v>✓ moment</v>
      </c>
      <c r="C557" s="35" t="str">
        <f>IF(Liens!B552="","",IF(COUNTIF(Mots!A:A,Liens!B552)&gt;0,"✓ "&amp;Liens!B552,"✗ "&amp;Liens!B552&amp;" (introuvable)"))</f>
        <v>✓ instant</v>
      </c>
      <c r="D557" s="35" t="str">
        <f>IF(Liens!C552="","",IF(COUNTIF(Mots!A:A,Liens!C552)&gt;0,"✓ "&amp;Liens!C552,"✗ "&amp;Liens!C552&amp;" (introuvable)"))</f>
        <v>✓ periode</v>
      </c>
      <c r="E557" s="35" t="str">
        <f>IF(Liens!D552="","",IF(COUNTIF(Mots!A:A,Liens!D552)&gt;0,"✓ "&amp;Liens!D552,"✗ "&amp;Liens!D552&amp;" (introuvable)"))</f>
        <v>✓ debut</v>
      </c>
      <c r="F557" s="35" t="str">
        <f>IF(Liens!E552="","",IF(COUNTIF(Mots!A:A,Liens!E552)&gt;0,"✓ "&amp;Liens!E552,"✗ "&amp;Liens!E552&amp;" (introuvable)"))</f>
        <v>✓ fin</v>
      </c>
      <c r="G557" s="35" t="str">
        <f>IF(Liens!F552="","",IF(COUNTIF(Mots!A:A,Liens!F552)&gt;0,"✓ "&amp;Liens!F552,"✗ "&amp;Liens!F552&amp;" (introuvable)"))</f>
        <v>✓ duree</v>
      </c>
      <c r="H557" s="35" t="str">
        <f>IF(Liens!G552="","",IF(COUNTIF(Mots!A:A,Liens!G552)&gt;0,"✓ "&amp;Liens!G552,"✗ "&amp;Liens!G552&amp;" (introuvable)"))</f>
        <v>✓ minute</v>
      </c>
      <c r="I557" s="35" t="str">
        <f>IF(Liens!H552="","",IF(COUNTIF(Mots!A:A,Liens!H552)&gt;0,"✓ "&amp;Liens!H552,"✗ "&amp;Liens!H552&amp;" (introuvable)"))</f>
        <v>✓ heure</v>
      </c>
    </row>
    <row r="558" spans="1:9" x14ac:dyDescent="0.3">
      <c r="A558">
        <f t="shared" si="5"/>
        <v>553</v>
      </c>
      <c r="B558" s="35" t="str">
        <f>IF(Liens!A553="","",IF(COUNTIF(Mots!A:A,Liens!A553)&gt;0,"✓ "&amp;Liens!A553,"✗ "&amp;Liens!A553&amp;" (introuvable)"))</f>
        <v>✓ monde</v>
      </c>
      <c r="C558" s="35" t="str">
        <f>IF(Liens!B553="","",IF(COUNTIF(Mots!A:A,Liens!B553)&gt;0,"✓ "&amp;Liens!B553,"✗ "&amp;Liens!B553&amp;" (introuvable)"))</f>
        <v>✓ pays</v>
      </c>
      <c r="D558" s="35" t="str">
        <f>IF(Liens!C553="","",IF(COUNTIF(Mots!A:A,Liens!C553)&gt;0,"✓ "&amp;Liens!C553,"✗ "&amp;Liens!C553&amp;" (introuvable)"))</f>
        <v>✓ gens</v>
      </c>
      <c r="E558" s="35" t="str">
        <f>IF(Liens!D553="","",IF(COUNTIF(Mots!A:A,Liens!D553)&gt;0,"✓ "&amp;Liens!D553,"✗ "&amp;Liens!D553&amp;" (introuvable)"))</f>
        <v>✓ environnement</v>
      </c>
      <c r="F558" s="35" t="str">
        <f>IF(Liens!E553="","",IF(COUNTIF(Mots!A:A,Liens!E553)&gt;0,"✓ "&amp;Liens!E553,"✗ "&amp;Liens!E553&amp;" (introuvable)"))</f>
        <v/>
      </c>
      <c r="G558" s="35" t="str">
        <f>IF(Liens!F553="","",IF(COUNTIF(Mots!A:A,Liens!F553)&gt;0,"✓ "&amp;Liens!F553,"✗ "&amp;Liens!F553&amp;" (introuvable)"))</f>
        <v/>
      </c>
      <c r="H558" s="35" t="str">
        <f>IF(Liens!G553="","",IF(COUNTIF(Mots!A:A,Liens!G553)&gt;0,"✓ "&amp;Liens!G553,"✗ "&amp;Liens!G553&amp;" (introuvable)"))</f>
        <v/>
      </c>
      <c r="I558" s="35" t="str">
        <f>IF(Liens!H553="","",IF(COUNTIF(Mots!A:A,Liens!H553)&gt;0,"✓ "&amp;Liens!H553,"✗ "&amp;Liens!H553&amp;" (introuvable)"))</f>
        <v/>
      </c>
    </row>
    <row r="559" spans="1:9" x14ac:dyDescent="0.3">
      <c r="A559">
        <f t="shared" si="5"/>
        <v>554</v>
      </c>
      <c r="B559" s="35" t="str">
        <f>IF(Liens!A554="","",IF(COUNTIF(Mots!A:A,Liens!A554)&gt;0,"✓ "&amp;Liens!A554,"✗ "&amp;Liens!A554&amp;" (introuvable)"))</f>
        <v>✓ montagne</v>
      </c>
      <c r="C559" s="35" t="str">
        <f>IF(Liens!B554="","",IF(COUNTIF(Mots!A:A,Liens!B554)&gt;0,"✓ "&amp;Liens!B554,"✗ "&amp;Liens!B554&amp;" (introuvable)"))</f>
        <v>✓ roche</v>
      </c>
      <c r="D559" s="35" t="str">
        <f>IF(Liens!C554="","",IF(COUNTIF(Mots!A:A,Liens!C554)&gt;0,"✓ "&amp;Liens!C554,"✗ "&amp;Liens!C554&amp;" (introuvable)"))</f>
        <v>✓ rocher</v>
      </c>
      <c r="E559" s="35" t="str">
        <f>IF(Liens!D554="","",IF(COUNTIF(Mots!A:A,Liens!D554)&gt;0,"✓ "&amp;Liens!D554,"✗ "&amp;Liens!D554&amp;" (introuvable)"))</f>
        <v>✓ randonnee</v>
      </c>
      <c r="F559" s="35" t="str">
        <f>IF(Liens!E554="","",IF(COUNTIF(Mots!A:A,Liens!E554)&gt;0,"✓ "&amp;Liens!E554,"✗ "&amp;Liens!E554&amp;" (introuvable)"))</f>
        <v>✓ riviere</v>
      </c>
      <c r="G559" s="35" t="str">
        <f>IF(Liens!F554="","",IF(COUNTIF(Mots!A:A,Liens!F554)&gt;0,"✓ "&amp;Liens!F554,"✗ "&amp;Liens!F554&amp;" (introuvable)"))</f>
        <v>✓ neige</v>
      </c>
      <c r="H559" s="35" t="str">
        <f>IF(Liens!G554="","",IF(COUNTIF(Mots!A:A,Liens!G554)&gt;0,"✓ "&amp;Liens!G554,"✗ "&amp;Liens!G554&amp;" (introuvable)"))</f>
        <v>✓ ciel</v>
      </c>
      <c r="I559" s="35" t="str">
        <f>IF(Liens!H554="","",IF(COUNTIF(Mots!A:A,Liens!H554)&gt;0,"✓ "&amp;Liens!H554,"✗ "&amp;Liens!H554&amp;" (introuvable)"))</f>
        <v/>
      </c>
    </row>
    <row r="560" spans="1:9" x14ac:dyDescent="0.3">
      <c r="A560">
        <f t="shared" si="5"/>
        <v>555</v>
      </c>
      <c r="B560" s="35" t="str">
        <f>IF(Liens!A555="","",IF(COUNTIF(Mots!A:A,Liens!A555)&gt;0,"✓ "&amp;Liens!A555,"✗ "&amp;Liens!A555&amp;" (introuvable)"))</f>
        <v>✓ montre</v>
      </c>
      <c r="C560" s="35" t="str">
        <f>IF(Liens!B555="","",IF(COUNTIF(Mots!A:A,Liens!B555)&gt;0,"✓ "&amp;Liens!B555,"✗ "&amp;Liens!B555&amp;" (introuvable)"))</f>
        <v>✓ objet</v>
      </c>
      <c r="D560" s="35" t="str">
        <f>IF(Liens!C555="","",IF(COUNTIF(Mots!A:A,Liens!C555)&gt;0,"✓ "&amp;Liens!C555,"✗ "&amp;Liens!C555&amp;" (introuvable)"))</f>
        <v>✓ heure</v>
      </c>
      <c r="E560" s="35" t="str">
        <f>IF(Liens!D555="","",IF(COUNTIF(Mots!A:A,Liens!D555)&gt;0,"✓ "&amp;Liens!D555,"✗ "&amp;Liens!D555&amp;" (introuvable)"))</f>
        <v>✓ minute</v>
      </c>
      <c r="F560" s="35" t="str">
        <f>IF(Liens!E555="","",IF(COUNTIF(Mots!A:A,Liens!E555)&gt;0,"✓ "&amp;Liens!E555,"✗ "&amp;Liens!E555&amp;" (introuvable)"))</f>
        <v>✓ jour</v>
      </c>
      <c r="G560" s="35" t="str">
        <f>IF(Liens!F555="","",IF(COUNTIF(Mots!A:A,Liens!F555)&gt;0,"✓ "&amp;Liens!F555,"✗ "&amp;Liens!F555&amp;" (introuvable)"))</f>
        <v>✓ bras</v>
      </c>
      <c r="H560" s="35" t="str">
        <f>IF(Liens!G555="","",IF(COUNTIF(Mots!A:A,Liens!G555)&gt;0,"✓ "&amp;Liens!G555,"✗ "&amp;Liens!G555&amp;" (introuvable)"))</f>
        <v>✓ heure_temps</v>
      </c>
      <c r="I560" s="35" t="str">
        <f>IF(Liens!H555="","",IF(COUNTIF(Mots!A:A,Liens!H555)&gt;0,"✓ "&amp;Liens!H555,"✗ "&amp;Liens!H555&amp;" (introuvable)"))</f>
        <v/>
      </c>
    </row>
    <row r="561" spans="1:9" x14ac:dyDescent="0.3">
      <c r="A561">
        <f t="shared" si="5"/>
        <v>556</v>
      </c>
      <c r="B561" s="35" t="str">
        <f>IF(Liens!A556="","",IF(COUNTIF(Mots!A:A,Liens!A556)&gt;0,"✓ "&amp;Liens!A556,"✗ "&amp;Liens!A556&amp;" (introuvable)"))</f>
        <v>✓ morceau</v>
      </c>
      <c r="C561" s="35" t="str">
        <f>IF(Liens!B556="","",IF(COUNTIF(Mots!A:A,Liens!B556)&gt;0,"✓ "&amp;Liens!B556,"✗ "&amp;Liens!B556&amp;" (introuvable)"))</f>
        <v>✓ bout</v>
      </c>
      <c r="D561" s="35" t="str">
        <f>IF(Liens!C556="","",IF(COUNTIF(Mots!A:A,Liens!C556)&gt;0,"✓ "&amp;Liens!C556,"✗ "&amp;Liens!C556&amp;" (introuvable)"))</f>
        <v>✓ part</v>
      </c>
      <c r="E561" s="35" t="str">
        <f>IF(Liens!D556="","",IF(COUNTIF(Mots!A:A,Liens!D556)&gt;0,"✓ "&amp;Liens!D556,"✗ "&amp;Liens!D556&amp;" (introuvable)"))</f>
        <v>✓ partie</v>
      </c>
      <c r="F561" s="35" t="str">
        <f>IF(Liens!E556="","",IF(COUNTIF(Mots!A:A,Liens!E556)&gt;0,"✓ "&amp;Liens!E556,"✗ "&amp;Liens!E556&amp;" (introuvable)"))</f>
        <v>✓ v_partager</v>
      </c>
      <c r="G561" s="35" t="str">
        <f>IF(Liens!F556="","",IF(COUNTIF(Mots!A:A,Liens!F556)&gt;0,"✓ "&amp;Liens!F556,"✗ "&amp;Liens!F556&amp;" (introuvable)"))</f>
        <v/>
      </c>
      <c r="H561" s="35" t="str">
        <f>IF(Liens!G556="","",IF(COUNTIF(Mots!A:A,Liens!G556)&gt;0,"✓ "&amp;Liens!G556,"✗ "&amp;Liens!G556&amp;" (introuvable)"))</f>
        <v/>
      </c>
      <c r="I561" s="35" t="str">
        <f>IF(Liens!H556="","",IF(COUNTIF(Mots!A:A,Liens!H556)&gt;0,"✓ "&amp;Liens!H556,"✗ "&amp;Liens!H556&amp;" (introuvable)"))</f>
        <v/>
      </c>
    </row>
    <row r="562" spans="1:9" x14ac:dyDescent="0.3">
      <c r="A562">
        <f t="shared" si="5"/>
        <v>557</v>
      </c>
      <c r="B562" s="35" t="str">
        <f>IF(Liens!A557="","",IF(COUNTIF(Mots!A:A,Liens!A557)&gt;0,"✓ "&amp;Liens!A557,"✗ "&amp;Liens!A557&amp;" (introuvable)"))</f>
        <v>✓ mouche</v>
      </c>
      <c r="C562" s="35" t="str">
        <f>IF(Liens!B557="","",IF(COUNTIF(Mots!A:A,Liens!B557)&gt;0,"✓ "&amp;Liens!B557,"✗ "&amp;Liens!B557&amp;" (introuvable)"))</f>
        <v>✓ insecte</v>
      </c>
      <c r="D562" s="35" t="str">
        <f>IF(Liens!C557="","",IF(COUNTIF(Mots!A:A,Liens!C557)&gt;0,"✓ "&amp;Liens!C557,"✗ "&amp;Liens!C557&amp;" (introuvable)"))</f>
        <v>✓ v_voler</v>
      </c>
      <c r="E562" s="35" t="str">
        <f>IF(Liens!D557="","",IF(COUNTIF(Mots!A:A,Liens!D557)&gt;0,"✓ "&amp;Liens!D557,"✗ "&amp;Liens!D557&amp;" (introuvable)"))</f>
        <v>✓ aile_animal</v>
      </c>
      <c r="F562" s="35" t="str">
        <f>IF(Liens!E557="","",IF(COUNTIF(Mots!A:A,Liens!E557)&gt;0,"✓ "&amp;Liens!E557,"✗ "&amp;Liens!E557&amp;" (introuvable)"))</f>
        <v>✓ c_noir</v>
      </c>
      <c r="G562" s="35" t="str">
        <f>IF(Liens!F557="","",IF(COUNTIF(Mots!A:A,Liens!F557)&gt;0,"✓ "&amp;Liens!F557,"✗ "&amp;Liens!F557&amp;" (introuvable)"))</f>
        <v>✓ grenouille</v>
      </c>
      <c r="H562" s="35" t="str">
        <f>IF(Liens!G557="","",IF(COUNTIF(Mots!A:A,Liens!G557)&gt;0,"✓ "&amp;Liens!G557,"✗ "&amp;Liens!G557&amp;" (introuvable)"))</f>
        <v/>
      </c>
      <c r="I562" s="35" t="str">
        <f>IF(Liens!H557="","",IF(COUNTIF(Mots!A:A,Liens!H557)&gt;0,"✓ "&amp;Liens!H557,"✗ "&amp;Liens!H557&amp;" (introuvable)"))</f>
        <v/>
      </c>
    </row>
    <row r="563" spans="1:9" x14ac:dyDescent="0.3">
      <c r="A563">
        <f t="shared" si="5"/>
        <v>558</v>
      </c>
      <c r="B563" s="35" t="str">
        <f>IF(Liens!A558="","",IF(COUNTIF(Mots!A:A,Liens!A558)&gt;0,"✓ "&amp;Liens!A558,"✗ "&amp;Liens!A558&amp;" (introuvable)"))</f>
        <v>✓ mousse</v>
      </c>
      <c r="C563" s="35" t="str">
        <f>IF(Liens!B558="","",IF(COUNTIF(Mots!A:A,Liens!B558)&gt;0,"✓ "&amp;Liens!B558,"✗ "&amp;Liens!B558&amp;" (introuvable)"))</f>
        <v>✓ plante</v>
      </c>
      <c r="D563" s="35" t="str">
        <f>IF(Liens!C558="","",IF(COUNTIF(Mots!A:A,Liens!C558)&gt;0,"✓ "&amp;Liens!C558,"✗ "&amp;Liens!C558&amp;" (introuvable)"))</f>
        <v>✓ c_vert</v>
      </c>
      <c r="E563" s="35" t="str">
        <f>IF(Liens!D558="","",IF(COUNTIF(Mots!A:A,Liens!D558)&gt;0,"✓ "&amp;Liens!D558,"✗ "&amp;Liens!D558&amp;" (introuvable)"))</f>
        <v>✓ douce</v>
      </c>
      <c r="F563" s="35" t="str">
        <f>IF(Liens!E558="","",IF(COUNTIF(Mots!A:A,Liens!E558)&gt;0,"✓ "&amp;Liens!E558,"✗ "&amp;Liens!E558&amp;" (introuvable)"))</f>
        <v>✓ pierre</v>
      </c>
      <c r="G563" s="35" t="str">
        <f>IF(Liens!F558="","",IF(COUNTIF(Mots!A:A,Liens!F558)&gt;0,"✓ "&amp;Liens!F558,"✗ "&amp;Liens!F558&amp;" (introuvable)"))</f>
        <v>✓ pluie</v>
      </c>
      <c r="H563" s="35" t="str">
        <f>IF(Liens!G558="","",IF(COUNTIF(Mots!A:A,Liens!G558)&gt;0,"✓ "&amp;Liens!G558,"✗ "&amp;Liens!G558&amp;" (introuvable)"))</f>
        <v>✓ a_sec_mouille</v>
      </c>
      <c r="I563" s="35" t="str">
        <f>IF(Liens!H558="","",IF(COUNTIF(Mots!A:A,Liens!H558)&gt;0,"✓ "&amp;Liens!H558,"✗ "&amp;Liens!H558&amp;" (introuvable)"))</f>
        <v/>
      </c>
    </row>
    <row r="564" spans="1:9" x14ac:dyDescent="0.3">
      <c r="A564">
        <f t="shared" si="5"/>
        <v>559</v>
      </c>
      <c r="B564" s="35" t="str">
        <f>IF(Liens!A559="","",IF(COUNTIF(Mots!A:A,Liens!A559)&gt;0,"✓ "&amp;Liens!A559,"✗ "&amp;Liens!A559&amp;" (introuvable)"))</f>
        <v>✓ mouton</v>
      </c>
      <c r="C564" s="35" t="str">
        <f>IF(Liens!B559="","",IF(COUNTIF(Mots!A:A,Liens!B559)&gt;0,"✓ "&amp;Liens!B559,"✗ "&amp;Liens!B559&amp;" (introuvable)"))</f>
        <v>✓ animal</v>
      </c>
      <c r="D564" s="35" t="str">
        <f>IF(Liens!C559="","",IF(COUNTIF(Mots!A:A,Liens!C559)&gt;0,"✓ "&amp;Liens!C559,"✗ "&amp;Liens!C559&amp;" (introuvable)"))</f>
        <v>✓ ferme</v>
      </c>
      <c r="E564" s="35" t="str">
        <f>IF(Liens!D559="","",IF(COUNTIF(Mots!A:A,Liens!D559)&gt;0,"✓ "&amp;Liens!D559,"✗ "&amp;Liens!D559&amp;" (introuvable)"))</f>
        <v>✓ herbe</v>
      </c>
      <c r="F564" s="35" t="str">
        <f>IF(Liens!E559="","",IF(COUNTIF(Mots!A:A,Liens!E559)&gt;0,"✓ "&amp;Liens!E559,"✗ "&amp;Liens!E559&amp;" (introuvable)"))</f>
        <v>✓ v_manger</v>
      </c>
      <c r="G564" s="35" t="str">
        <f>IF(Liens!F559="","",IF(COUNTIF(Mots!A:A,Liens!F559)&gt;0,"✓ "&amp;Liens!F559,"✗ "&amp;Liens!F559&amp;" (introuvable)"))</f>
        <v/>
      </c>
      <c r="H564" s="35" t="str">
        <f>IF(Liens!G559="","",IF(COUNTIF(Mots!A:A,Liens!G559)&gt;0,"✓ "&amp;Liens!G559,"✗ "&amp;Liens!G559&amp;" (introuvable)"))</f>
        <v/>
      </c>
      <c r="I564" s="35" t="str">
        <f>IF(Liens!H559="","",IF(COUNTIF(Mots!A:A,Liens!H559)&gt;0,"✓ "&amp;Liens!H559,"✗ "&amp;Liens!H559&amp;" (introuvable)"))</f>
        <v/>
      </c>
    </row>
    <row r="565" spans="1:9" x14ac:dyDescent="0.3">
      <c r="A565">
        <f t="shared" si="5"/>
        <v>560</v>
      </c>
      <c r="B565" s="35" t="str">
        <f>IF(Liens!A560="","",IF(COUNTIF(Mots!A:A,Liens!A560)&gt;0,"✓ "&amp;Liens!A560,"✗ "&amp;Liens!A560&amp;" (introuvable)"))</f>
        <v>✓ mouvement</v>
      </c>
      <c r="C565" s="35" t="str">
        <f>IF(Liens!B560="","",IF(COUNTIF(Mots!A:A,Liens!B560)&gt;0,"✓ "&amp;Liens!B560,"✗ "&amp;Liens!B560&amp;" (introuvable)"))</f>
        <v>✓ main</v>
      </c>
      <c r="D565" s="35" t="str">
        <f>IF(Liens!C560="","",IF(COUNTIF(Mots!A:A,Liens!C560)&gt;0,"✓ "&amp;Liens!C560,"✗ "&amp;Liens!C560&amp;" (introuvable)"))</f>
        <v>✓ bras</v>
      </c>
      <c r="E565" s="35" t="str">
        <f>IF(Liens!D560="","",IF(COUNTIF(Mots!A:A,Liens!D560)&gt;0,"✓ "&amp;Liens!D560,"✗ "&amp;Liens!D560&amp;" (introuvable)"))</f>
        <v>✓ doigt</v>
      </c>
      <c r="F565" s="35" t="str">
        <f>IF(Liens!E560="","",IF(COUNTIF(Mots!A:A,Liens!E560)&gt;0,"✓ "&amp;Liens!E560,"✗ "&amp;Liens!E560&amp;" (introuvable)"))</f>
        <v>✓ jambe</v>
      </c>
      <c r="G565" s="35" t="str">
        <f>IF(Liens!F560="","",IF(COUNTIF(Mots!A:A,Liens!F560)&gt;0,"✓ "&amp;Liens!F560,"✗ "&amp;Liens!F560&amp;" (introuvable)"))</f>
        <v>✓ muscle</v>
      </c>
      <c r="H565" s="35" t="str">
        <f>IF(Liens!G560="","",IF(COUNTIF(Mots!A:A,Liens!G560)&gt;0,"✓ "&amp;Liens!G560,"✗ "&amp;Liens!G560&amp;" (introuvable)"))</f>
        <v>✓ v_aller</v>
      </c>
      <c r="I565" s="35" t="str">
        <f>IF(Liens!H560="","",IF(COUNTIF(Mots!A:A,Liens!H560)&gt;0,"✓ "&amp;Liens!H560,"✗ "&amp;Liens!H560&amp;" (introuvable)"))</f>
        <v>✓ v_voler</v>
      </c>
    </row>
    <row r="566" spans="1:9" x14ac:dyDescent="0.3">
      <c r="A566">
        <f t="shared" si="5"/>
        <v>561</v>
      </c>
      <c r="B566" s="35" t="str">
        <f>IF(Liens!A561="","",IF(COUNTIF(Mots!A:A,Liens!A561)&gt;0,"✓ "&amp;Liens!A561,"✗ "&amp;Liens!A561&amp;" (introuvable)"))</f>
        <v>✓ mur</v>
      </c>
      <c r="C566" s="35" t="str">
        <f>IF(Liens!B561="","",IF(COUNTIF(Mots!A:A,Liens!B561)&gt;0,"✓ "&amp;Liens!B561,"✗ "&amp;Liens!B561&amp;" (introuvable)"))</f>
        <v>✓ maison</v>
      </c>
      <c r="D566" s="35" t="str">
        <f>IF(Liens!C561="","",IF(COUNTIF(Mots!A:A,Liens!C561)&gt;0,"✓ "&amp;Liens!C561,"✗ "&amp;Liens!C561&amp;" (introuvable)"))</f>
        <v>✓ macon</v>
      </c>
      <c r="E566" s="35" t="str">
        <f>IF(Liens!D561="","",IF(COUNTIF(Mots!A:A,Liens!D561)&gt;0,"✓ "&amp;Liens!D561,"✗ "&amp;Liens!D561&amp;" (introuvable)"))</f>
        <v/>
      </c>
      <c r="F566" s="35" t="str">
        <f>IF(Liens!E561="","",IF(COUNTIF(Mots!A:A,Liens!E561)&gt;0,"✓ "&amp;Liens!E561,"✗ "&amp;Liens!E561&amp;" (introuvable)"))</f>
        <v/>
      </c>
      <c r="G566" s="35" t="str">
        <f>IF(Liens!F561="","",IF(COUNTIF(Mots!A:A,Liens!F561)&gt;0,"✓ "&amp;Liens!F561,"✗ "&amp;Liens!F561&amp;" (introuvable)"))</f>
        <v/>
      </c>
      <c r="H566" s="35" t="str">
        <f>IF(Liens!G561="","",IF(COUNTIF(Mots!A:A,Liens!G561)&gt;0,"✓ "&amp;Liens!G561,"✗ "&amp;Liens!G561&amp;" (introuvable)"))</f>
        <v/>
      </c>
      <c r="I566" s="35" t="str">
        <f>IF(Liens!H561="","",IF(COUNTIF(Mots!A:A,Liens!H561)&gt;0,"✓ "&amp;Liens!H561,"✗ "&amp;Liens!H561&amp;" (introuvable)"))</f>
        <v/>
      </c>
    </row>
    <row r="567" spans="1:9" x14ac:dyDescent="0.3">
      <c r="A567">
        <f t="shared" si="5"/>
        <v>562</v>
      </c>
      <c r="B567" s="35" t="str">
        <f>IF(Liens!A562="","",IF(COUNTIF(Mots!A:A,Liens!A562)&gt;0,"✓ "&amp;Liens!A562,"✗ "&amp;Liens!A562&amp;" (introuvable)"))</f>
        <v>✓ muscle</v>
      </c>
      <c r="C567" s="35" t="str">
        <f>IF(Liens!B562="","",IF(COUNTIF(Mots!A:A,Liens!B562)&gt;0,"✓ "&amp;Liens!B562,"✗ "&amp;Liens!B562&amp;" (introuvable)"))</f>
        <v>✓ corps_humain</v>
      </c>
      <c r="D567" s="35" t="str">
        <f>IF(Liens!C562="","",IF(COUNTIF(Mots!A:A,Liens!C562)&gt;0,"✓ "&amp;Liens!C562,"✗ "&amp;Liens!C562&amp;" (introuvable)"))</f>
        <v>✓ chair</v>
      </c>
      <c r="E567" s="35" t="str">
        <f>IF(Liens!D562="","",IF(COUNTIF(Mots!A:A,Liens!D562)&gt;0,"✓ "&amp;Liens!D562,"✗ "&amp;Liens!D562&amp;" (introuvable)"))</f>
        <v/>
      </c>
      <c r="F567" s="35" t="str">
        <f>IF(Liens!E562="","",IF(COUNTIF(Mots!A:A,Liens!E562)&gt;0,"✓ "&amp;Liens!E562,"✗ "&amp;Liens!E562&amp;" (introuvable)"))</f>
        <v/>
      </c>
      <c r="G567" s="35" t="str">
        <f>IF(Liens!F562="","",IF(COUNTIF(Mots!A:A,Liens!F562)&gt;0,"✓ "&amp;Liens!F562,"✗ "&amp;Liens!F562&amp;" (introuvable)"))</f>
        <v/>
      </c>
      <c r="H567" s="35" t="str">
        <f>IF(Liens!G562="","",IF(COUNTIF(Mots!A:A,Liens!G562)&gt;0,"✓ "&amp;Liens!G562,"✗ "&amp;Liens!G562&amp;" (introuvable)"))</f>
        <v/>
      </c>
      <c r="I567" s="35" t="str">
        <f>IF(Liens!H562="","",IF(COUNTIF(Mots!A:A,Liens!H562)&gt;0,"✓ "&amp;Liens!H562,"✗ "&amp;Liens!H562&amp;" (introuvable)"))</f>
        <v/>
      </c>
    </row>
    <row r="568" spans="1:9" x14ac:dyDescent="0.3">
      <c r="A568">
        <f t="shared" si="5"/>
        <v>563</v>
      </c>
      <c r="B568" s="35" t="str">
        <f>IF(Liens!A563="","",IF(COUNTIF(Mots!A:A,Liens!A563)&gt;0,"✓ "&amp;Liens!A563,"✗ "&amp;Liens!A563&amp;" (introuvable)"))</f>
        <v>✓ musicien</v>
      </c>
      <c r="C568" s="35" t="str">
        <f>IF(Liens!B563="","",IF(COUNTIF(Mots!A:A,Liens!B563)&gt;0,"✓ "&amp;Liens!B563,"✗ "&amp;Liens!B563&amp;" (introuvable)"))</f>
        <v>✓ personne</v>
      </c>
      <c r="D568" s="35" t="str">
        <f>IF(Liens!C563="","",IF(COUNTIF(Mots!A:A,Liens!C563)&gt;0,"✓ "&amp;Liens!C563,"✗ "&amp;Liens!C563&amp;" (introuvable)"))</f>
        <v>✓ v_jouer</v>
      </c>
      <c r="E568" s="35" t="str">
        <f>IF(Liens!D563="","",IF(COUNTIF(Mots!A:A,Liens!D563)&gt;0,"✓ "&amp;Liens!D563,"✗ "&amp;Liens!D563&amp;" (introuvable)"))</f>
        <v>✓ musique</v>
      </c>
      <c r="F568" s="35" t="str">
        <f>IF(Liens!E563="","",IF(COUNTIF(Mots!A:A,Liens!E563)&gt;0,"✓ "&amp;Liens!E563,"✗ "&amp;Liens!E563&amp;" (introuvable)"))</f>
        <v>✓ bugle</v>
      </c>
      <c r="G568" s="35" t="str">
        <f>IF(Liens!F563="","",IF(COUNTIF(Mots!A:A,Liens!F563)&gt;0,"✓ "&amp;Liens!F563,"✗ "&amp;Liens!F563&amp;" (introuvable)"))</f>
        <v>✓ baryton</v>
      </c>
      <c r="H568" s="35" t="str">
        <f>IF(Liens!G563="","",IF(COUNTIF(Mots!A:A,Liens!G563)&gt;0,"✓ "&amp;Liens!G563,"✗ "&amp;Liens!G563&amp;" (introuvable)"))</f>
        <v>✓ alto</v>
      </c>
      <c r="I568" s="35" t="str">
        <f>IF(Liens!H563="","",IF(COUNTIF(Mots!A:A,Liens!H563)&gt;0,"✓ "&amp;Liens!H563,"✗ "&amp;Liens!H563&amp;" (introuvable)"))</f>
        <v>✓ trombone</v>
      </c>
    </row>
    <row r="569" spans="1:9" x14ac:dyDescent="0.3">
      <c r="A569">
        <f t="shared" si="5"/>
        <v>564</v>
      </c>
      <c r="B569" s="35" t="str">
        <f>IF(Liens!A564="","",IF(COUNTIF(Mots!A:A,Liens!A564)&gt;0,"✓ "&amp;Liens!A564,"✗ "&amp;Liens!A564&amp;" (introuvable)"))</f>
        <v>✓ naissance</v>
      </c>
      <c r="C569" s="35" t="str">
        <f>IF(Liens!B564="","",IF(COUNTIF(Mots!A:A,Liens!B564)&gt;0,"✓ "&amp;Liens!B564,"✗ "&amp;Liens!B564&amp;" (introuvable)"))</f>
        <v>✓ moment</v>
      </c>
      <c r="D569" s="35" t="str">
        <f>IF(Liens!C564="","",IF(COUNTIF(Mots!A:A,Liens!C564)&gt;0,"✓ "&amp;Liens!C564,"✗ "&amp;Liens!C564&amp;" (introuvable)"))</f>
        <v>✓ bebe</v>
      </c>
      <c r="E569" s="35" t="str">
        <f>IF(Liens!D564="","",IF(COUNTIF(Mots!A:A,Liens!D564)&gt;0,"✓ "&amp;Liens!D564,"✗ "&amp;Liens!D564&amp;" (introuvable)"))</f>
        <v>✓ joie</v>
      </c>
      <c r="F569" s="35" t="str">
        <f>IF(Liens!E564="","",IF(COUNTIF(Mots!A:A,Liens!E564)&gt;0,"✓ "&amp;Liens!E564,"✗ "&amp;Liens!E564&amp;" (introuvable)"))</f>
        <v>✓ emotion</v>
      </c>
      <c r="G569" s="35" t="str">
        <f>IF(Liens!F564="","",IF(COUNTIF(Mots!A:A,Liens!F564)&gt;0,"✓ "&amp;Liens!F564,"✗ "&amp;Liens!F564&amp;" (introuvable)"))</f>
        <v>✓ a_joyeux</v>
      </c>
      <c r="H569" s="35" t="str">
        <f>IF(Liens!G564="","",IF(COUNTIF(Mots!A:A,Liens!G564)&gt;0,"✓ "&amp;Liens!G564,"✗ "&amp;Liens!G564&amp;" (introuvable)"))</f>
        <v>✓ anniversaire</v>
      </c>
      <c r="I569" s="35" t="str">
        <f>IF(Liens!H564="","",IF(COUNTIF(Mots!A:A,Liens!H564)&gt;0,"✓ "&amp;Liens!H564,"✗ "&amp;Liens!H564&amp;" (introuvable)"))</f>
        <v>✓ fete</v>
      </c>
    </row>
    <row r="570" spans="1:9" x14ac:dyDescent="0.3">
      <c r="A570">
        <f t="shared" si="5"/>
        <v>565</v>
      </c>
      <c r="B570" s="35" t="str">
        <f>IF(Liens!A565="","",IF(COUNTIF(Mots!A:A,Liens!A565)&gt;0,"✓ "&amp;Liens!A565,"✗ "&amp;Liens!A565&amp;" (introuvable)"))</f>
        <v>✓ nature</v>
      </c>
      <c r="C570" s="35" t="str">
        <f>IF(Liens!B565="","",IF(COUNTIF(Mots!A:A,Liens!B565)&gt;0,"✓ "&amp;Liens!B565,"✗ "&amp;Liens!B565&amp;" (introuvable)"))</f>
        <v>✓ plante</v>
      </c>
      <c r="D570" s="35" t="str">
        <f>IF(Liens!C565="","",IF(COUNTIF(Mots!A:A,Liens!C565)&gt;0,"✓ "&amp;Liens!C565,"✗ "&amp;Liens!C565&amp;" (introuvable)"))</f>
        <v>✓ eau</v>
      </c>
      <c r="E570" s="35" t="str">
        <f>IF(Liens!D565="","",IF(COUNTIF(Mots!A:A,Liens!D565)&gt;0,"✓ "&amp;Liens!D565,"✗ "&amp;Liens!D565&amp;" (introuvable)"))</f>
        <v>✓ montagne</v>
      </c>
      <c r="F570" s="35" t="str">
        <f>IF(Liens!E565="","",IF(COUNTIF(Mots!A:A,Liens!E565)&gt;0,"✓ "&amp;Liens!E565,"✗ "&amp;Liens!E565&amp;" (introuvable)"))</f>
        <v>✓ arbre</v>
      </c>
      <c r="G570" s="35" t="str">
        <f>IF(Liens!F565="","",IF(COUNTIF(Mots!A:A,Liens!F565)&gt;0,"✓ "&amp;Liens!F565,"✗ "&amp;Liens!F565&amp;" (introuvable)"))</f>
        <v>✓ riviere</v>
      </c>
      <c r="H570" s="35" t="str">
        <f>IF(Liens!G565="","",IF(COUNTIF(Mots!A:A,Liens!G565)&gt;0,"✓ "&amp;Liens!G565,"✗ "&amp;Liens!G565&amp;" (introuvable)"))</f>
        <v>✓ lac</v>
      </c>
      <c r="I570" s="35" t="str">
        <f>IF(Liens!H565="","",IF(COUNTIF(Mots!A:A,Liens!H565)&gt;0,"✓ "&amp;Liens!H565,"✗ "&amp;Liens!H565&amp;" (introuvable)"))</f>
        <v>✓ animal</v>
      </c>
    </row>
    <row r="571" spans="1:9" x14ac:dyDescent="0.3">
      <c r="A571">
        <f t="shared" si="5"/>
        <v>566</v>
      </c>
      <c r="B571" s="35" t="str">
        <f>IF(Liens!A566="","",IF(COUNTIF(Mots!A:A,Liens!A566)&gt;0,"✓ "&amp;Liens!A566,"✗ "&amp;Liens!A566&amp;" (introuvable)"))</f>
        <v>✓ neige</v>
      </c>
      <c r="C571" s="35" t="str">
        <f>IF(Liens!B566="","",IF(COUNTIF(Mots!A:A,Liens!B566)&gt;0,"✓ "&amp;Liens!B566,"✗ "&amp;Liens!B566&amp;" (introuvable)"))</f>
        <v>✓ hiver</v>
      </c>
      <c r="D571" s="35" t="str">
        <f>IF(Liens!C566="","",IF(COUNTIF(Mots!A:A,Liens!C566)&gt;0,"✓ "&amp;Liens!C566,"✗ "&amp;Liens!C566&amp;" (introuvable)"))</f>
        <v>✓ nuage</v>
      </c>
      <c r="E571" s="35" t="str">
        <f>IF(Liens!D566="","",IF(COUNTIF(Mots!A:A,Liens!D566)&gt;0,"✓ "&amp;Liens!D566,"✗ "&amp;Liens!D566&amp;" (introuvable)"))</f>
        <v>✓ ciel</v>
      </c>
      <c r="F571" s="35" t="str">
        <f>IF(Liens!E566="","",IF(COUNTIF(Mots!A:A,Liens!E566)&gt;0,"✓ "&amp;Liens!E566,"✗ "&amp;Liens!E566&amp;" (introuvable)"))</f>
        <v>✓ a_chaud_froid</v>
      </c>
      <c r="G571" s="35" t="str">
        <f>IF(Liens!F566="","",IF(COUNTIF(Mots!A:A,Liens!F566)&gt;0,"✓ "&amp;Liens!F566,"✗ "&amp;Liens!F566&amp;" (introuvable)"))</f>
        <v>✓ montagne</v>
      </c>
      <c r="H571" s="35" t="str">
        <f>IF(Liens!G566="","",IF(COUNTIF(Mots!A:A,Liens!G566)&gt;0,"✓ "&amp;Liens!G566,"✗ "&amp;Liens!G566&amp;" (introuvable)"))</f>
        <v>✓ v_skier</v>
      </c>
      <c r="I571" s="35" t="str">
        <f>IF(Liens!H566="","",IF(COUNTIF(Mots!A:A,Liens!H566)&gt;0,"✓ "&amp;Liens!H566,"✗ "&amp;Liens!H566&amp;" (introuvable)"))</f>
        <v>✓ veste</v>
      </c>
    </row>
    <row r="572" spans="1:9" x14ac:dyDescent="0.3">
      <c r="A572">
        <f t="shared" si="5"/>
        <v>567</v>
      </c>
      <c r="B572" s="35" t="str">
        <f>IF(Liens!A567="","",IF(COUNTIF(Mots!A:A,Liens!A567)&gt;0,"✓ "&amp;Liens!A567,"✗ "&amp;Liens!A567&amp;" (introuvable)"))</f>
        <v>✓ nez</v>
      </c>
      <c r="C572" s="35" t="str">
        <f>IF(Liens!B567="","",IF(COUNTIF(Mots!A:A,Liens!B567)&gt;0,"✓ "&amp;Liens!B567,"✗ "&amp;Liens!B567&amp;" (introuvable)"))</f>
        <v>✓ corps_humain</v>
      </c>
      <c r="D572" s="35" t="str">
        <f>IF(Liens!C567="","",IF(COUNTIF(Mots!A:A,Liens!C567)&gt;0,"✓ "&amp;Liens!C567,"✗ "&amp;Liens!C567&amp;" (introuvable)"))</f>
        <v>✓ tete</v>
      </c>
      <c r="E572" s="35" t="str">
        <f>IF(Liens!D567="","",IF(COUNTIF(Mots!A:A,Liens!D567)&gt;0,"✓ "&amp;Liens!D567,"✗ "&amp;Liens!D567&amp;" (introuvable)"))</f>
        <v>✓ visage</v>
      </c>
      <c r="F572" s="35" t="str">
        <f>IF(Liens!E567="","",IF(COUNTIF(Mots!A:A,Liens!E567)&gt;0,"✓ "&amp;Liens!E567,"✗ "&amp;Liens!E567&amp;" (introuvable)"))</f>
        <v>✓ v_sentir</v>
      </c>
      <c r="G572" s="35" t="str">
        <f>IF(Liens!F567="","",IF(COUNTIF(Mots!A:A,Liens!F567)&gt;0,"✓ "&amp;Liens!F567,"✗ "&amp;Liens!F567&amp;" (introuvable)"))</f>
        <v>✓ odeur</v>
      </c>
      <c r="H572" s="35" t="str">
        <f>IF(Liens!G567="","",IF(COUNTIF(Mots!A:A,Liens!G567)&gt;0,"✓ "&amp;Liens!G567,"✗ "&amp;Liens!G567&amp;" (introuvable)"))</f>
        <v/>
      </c>
      <c r="I572" s="35" t="str">
        <f>IF(Liens!H567="","",IF(COUNTIF(Mots!A:A,Liens!H567)&gt;0,"✓ "&amp;Liens!H567,"✗ "&amp;Liens!H567&amp;" (introuvable)"))</f>
        <v/>
      </c>
    </row>
    <row r="573" spans="1:9" x14ac:dyDescent="0.3">
      <c r="A573">
        <f t="shared" si="5"/>
        <v>568</v>
      </c>
      <c r="B573" s="35" t="str">
        <f>IF(Liens!A568="","",IF(COUNTIF(Mots!A:A,Liens!A568)&gt;0,"✓ "&amp;Liens!A568,"✗ "&amp;Liens!A568&amp;" (introuvable)"))</f>
        <v>✓ niveau</v>
      </c>
      <c r="C573" s="35" t="str">
        <f>IF(Liens!B568="","",IF(COUNTIF(Mots!A:A,Liens!B568)&gt;0,"✓ "&amp;Liens!B568,"✗ "&amp;Liens!B568&amp;" (introuvable)"))</f>
        <v>✓ hauteur</v>
      </c>
      <c r="D573" s="35" t="str">
        <f>IF(Liens!C568="","",IF(COUNTIF(Mots!A:A,Liens!C568)&gt;0,"✓ "&amp;Liens!C568,"✗ "&amp;Liens!C568&amp;" (introuvable)"))</f>
        <v>✓ outil</v>
      </c>
      <c r="E573" s="35" t="str">
        <f>IF(Liens!D568="","",IF(COUNTIF(Mots!A:A,Liens!D568)&gt;0,"✓ "&amp;Liens!D568,"✗ "&amp;Liens!D568&amp;" (introuvable)"))</f>
        <v>✓ immeuble</v>
      </c>
      <c r="F573" s="35" t="str">
        <f>IF(Liens!E568="","",IF(COUNTIF(Mots!A:A,Liens!E568)&gt;0,"✓ "&amp;Liens!E568,"✗ "&amp;Liens!E568&amp;" (introuvable)"))</f>
        <v>✓ maison</v>
      </c>
      <c r="G573" s="35" t="str">
        <f>IF(Liens!F568="","",IF(COUNTIF(Mots!A:A,Liens!F568)&gt;0,"✓ "&amp;Liens!F568,"✗ "&amp;Liens!F568&amp;" (introuvable)"))</f>
        <v/>
      </c>
      <c r="H573" s="35" t="str">
        <f>IF(Liens!G568="","",IF(COUNTIF(Mots!A:A,Liens!G568)&gt;0,"✓ "&amp;Liens!G568,"✗ "&amp;Liens!G568&amp;" (introuvable)"))</f>
        <v/>
      </c>
      <c r="I573" s="35" t="str">
        <f>IF(Liens!H568="","",IF(COUNTIF(Mots!A:A,Liens!H568)&gt;0,"✓ "&amp;Liens!H568,"✗ "&amp;Liens!H568&amp;" (introuvable)"))</f>
        <v/>
      </c>
    </row>
    <row r="574" spans="1:9" x14ac:dyDescent="0.3">
      <c r="A574">
        <f t="shared" si="5"/>
        <v>569</v>
      </c>
      <c r="B574" s="35" t="str">
        <f>IF(Liens!A569="","",IF(COUNTIF(Mots!A:A,Liens!A569)&gt;0,"✓ "&amp;Liens!A569,"✗ "&amp;Liens!A569&amp;" (introuvable)"))</f>
        <v>✓ noix</v>
      </c>
      <c r="C574" s="35" t="str">
        <f>IF(Liens!B569="","",IF(COUNTIF(Mots!A:A,Liens!B569)&gt;0,"✓ "&amp;Liens!B569,"✗ "&amp;Liens!B569&amp;" (introuvable)"))</f>
        <v>✓ fruit</v>
      </c>
      <c r="D574" s="35" t="str">
        <f>IF(Liens!C569="","",IF(COUNTIF(Mots!A:A,Liens!C569)&gt;0,"✓ "&amp;Liens!C569,"✗ "&amp;Liens!C569&amp;" (introuvable)"))</f>
        <v>✓ arbre</v>
      </c>
      <c r="E574" s="35" t="str">
        <f>IF(Liens!D569="","",IF(COUNTIF(Mots!A:A,Liens!D569)&gt;0,"✓ "&amp;Liens!D569,"✗ "&amp;Liens!D569&amp;" (introuvable)"))</f>
        <v>✓ noyer</v>
      </c>
      <c r="F574" s="35" t="str">
        <f>IF(Liens!E569="","",IF(COUNTIF(Mots!A:A,Liens!E569)&gt;0,"✓ "&amp;Liens!E569,"✗ "&amp;Liens!E569&amp;" (introuvable)"))</f>
        <v>✓ v_manger</v>
      </c>
      <c r="G574" s="35" t="str">
        <f>IF(Liens!F569="","",IF(COUNTIF(Mots!A:A,Liens!F569)&gt;0,"✓ "&amp;Liens!F569,"✗ "&amp;Liens!F569&amp;" (introuvable)"))</f>
        <v/>
      </c>
      <c r="H574" s="35" t="str">
        <f>IF(Liens!G569="","",IF(COUNTIF(Mots!A:A,Liens!G569)&gt;0,"✓ "&amp;Liens!G569,"✗ "&amp;Liens!G569&amp;" (introuvable)"))</f>
        <v/>
      </c>
      <c r="I574" s="35" t="str">
        <f>IF(Liens!H569="","",IF(COUNTIF(Mots!A:A,Liens!H569)&gt;0,"✓ "&amp;Liens!H569,"✗ "&amp;Liens!H569&amp;" (introuvable)"))</f>
        <v/>
      </c>
    </row>
    <row r="575" spans="1:9" x14ac:dyDescent="0.3">
      <c r="A575">
        <f t="shared" si="5"/>
        <v>570</v>
      </c>
      <c r="B575" s="35" t="str">
        <f>IF(Liens!A570="","",IF(COUNTIF(Mots!A:A,Liens!A570)&gt;0,"✓ "&amp;Liens!A570,"✗ "&amp;Liens!A570&amp;" (introuvable)"))</f>
        <v>✓ nombre</v>
      </c>
      <c r="C575" s="35" t="str">
        <f>IF(Liens!B570="","",IF(COUNTIF(Mots!A:A,Liens!B570)&gt;0,"✓ "&amp;Liens!B570,"✗ "&amp;Liens!B570&amp;" (introuvable)"))</f>
        <v>✓ v_compter</v>
      </c>
      <c r="D575" s="35" t="str">
        <f>IF(Liens!C570="","",IF(COUNTIF(Mots!A:A,Liens!C570)&gt;0,"✓ "&amp;Liens!C570,"✗ "&amp;Liens!C570&amp;" (introuvable)"))</f>
        <v>✓ calcul</v>
      </c>
      <c r="E575" s="35" t="str">
        <f>IF(Liens!D570="","",IF(COUNTIF(Mots!A:A,Liens!D570)&gt;0,"✓ "&amp;Liens!D570,"✗ "&amp;Liens!D570&amp;" (introuvable)"))</f>
        <v>✓ somme</v>
      </c>
      <c r="F575" s="35" t="str">
        <f>IF(Liens!E570="","",IF(COUNTIF(Mots!A:A,Liens!E570)&gt;0,"✓ "&amp;Liens!E570,"✗ "&amp;Liens!E570&amp;" (introuvable)"))</f>
        <v>✓ total</v>
      </c>
      <c r="G575" s="35" t="str">
        <f>IF(Liens!F570="","",IF(COUNTIF(Mots!A:A,Liens!F570)&gt;0,"✓ "&amp;Liens!F570,"✗ "&amp;Liens!F570&amp;" (introuvable)"))</f>
        <v>✓ calculatrice</v>
      </c>
      <c r="H575" s="35" t="str">
        <f>IF(Liens!G570="","",IF(COUNTIF(Mots!A:A,Liens!G570)&gt;0,"✓ "&amp;Liens!G570,"✗ "&amp;Liens!G570&amp;" (introuvable)"))</f>
        <v/>
      </c>
      <c r="I575" s="35" t="str">
        <f>IF(Liens!H570="","",IF(COUNTIF(Mots!A:A,Liens!H570)&gt;0,"✓ "&amp;Liens!H570,"✗ "&amp;Liens!H570&amp;" (introuvable)"))</f>
        <v/>
      </c>
    </row>
    <row r="576" spans="1:9" x14ac:dyDescent="0.3">
      <c r="A576">
        <f t="shared" si="5"/>
        <v>571</v>
      </c>
      <c r="B576" s="35" t="str">
        <f>IF(Liens!A571="","",IF(COUNTIF(Mots!A:A,Liens!A571)&gt;0,"✓ "&amp;Liens!A571,"✗ "&amp;Liens!A571&amp;" (introuvable)"))</f>
        <v>✓ nouvelle</v>
      </c>
      <c r="C576" s="35" t="str">
        <f>IF(Liens!B571="","",IF(COUNTIF(Mots!A:A,Liens!B571)&gt;0,"✓ "&amp;Liens!B571,"✗ "&amp;Liens!B571&amp;" (introuvable)"))</f>
        <v>✓ information</v>
      </c>
      <c r="D576" s="35" t="str">
        <f>IF(Liens!C571="","",IF(COUNTIF(Mots!A:A,Liens!C571)&gt;0,"✓ "&amp;Liens!C571,"✗ "&amp;Liens!C571&amp;" (introuvable)"))</f>
        <v>✓ television</v>
      </c>
      <c r="E576" s="35" t="str">
        <f>IF(Liens!D571="","",IF(COUNTIF(Mots!A:A,Liens!D571)&gt;0,"✓ "&amp;Liens!D571,"✗ "&amp;Liens!D571&amp;" (introuvable)"))</f>
        <v>✓ smartphone</v>
      </c>
      <c r="F576" s="35" t="str">
        <f>IF(Liens!E571="","",IF(COUNTIF(Mots!A:A,Liens!E571)&gt;0,"✓ "&amp;Liens!E571,"✗ "&amp;Liens!E571&amp;" (introuvable)"))</f>
        <v>✓ a_important</v>
      </c>
      <c r="G576" s="35" t="str">
        <f>IF(Liens!F571="","",IF(COUNTIF(Mots!A:A,Liens!F571)&gt;0,"✓ "&amp;Liens!F571,"✗ "&amp;Liens!F571&amp;" (introuvable)"))</f>
        <v>✓ danger</v>
      </c>
      <c r="H576" s="35" t="str">
        <f>IF(Liens!G571="","",IF(COUNTIF(Mots!A:A,Liens!G571)&gt;0,"✓ "&amp;Liens!G571,"✗ "&amp;Liens!G571&amp;" (introuvable)"))</f>
        <v/>
      </c>
      <c r="I576" s="35" t="str">
        <f>IF(Liens!H571="","",IF(COUNTIF(Mots!A:A,Liens!H571)&gt;0,"✓ "&amp;Liens!H571,"✗ "&amp;Liens!H571&amp;" (introuvable)"))</f>
        <v/>
      </c>
    </row>
    <row r="577" spans="1:9" x14ac:dyDescent="0.3">
      <c r="A577">
        <f t="shared" si="5"/>
        <v>572</v>
      </c>
      <c r="B577" s="35" t="str">
        <f>IF(Liens!A572="","",IF(COUNTIF(Mots!A:A,Liens!A572)&gt;0,"✓ "&amp;Liens!A572,"✗ "&amp;Liens!A572&amp;" (introuvable)"))</f>
        <v>✓ noyau</v>
      </c>
      <c r="C577" s="35" t="str">
        <f>IF(Liens!B572="","",IF(COUNTIF(Mots!A:A,Liens!B572)&gt;0,"✓ "&amp;Liens!B572,"✗ "&amp;Liens!B572&amp;" (introuvable)"))</f>
        <v>✓ abricot</v>
      </c>
      <c r="D577" s="35" t="str">
        <f>IF(Liens!C572="","",IF(COUNTIF(Mots!A:A,Liens!C572)&gt;0,"✓ "&amp;Liens!C572,"✗ "&amp;Liens!C572&amp;" (introuvable)"))</f>
        <v>✓ peche</v>
      </c>
      <c r="E577" s="35" t="str">
        <f>IF(Liens!D572="","",IF(COUNTIF(Mots!A:A,Liens!D572)&gt;0,"✓ "&amp;Liens!D572,"✗ "&amp;Liens!D572&amp;" (introuvable)"))</f>
        <v>✓ pruneau</v>
      </c>
      <c r="F577" s="35" t="str">
        <f>IF(Liens!E572="","",IF(COUNTIF(Mots!A:A,Liens!E572)&gt;0,"✓ "&amp;Liens!E572,"✗ "&amp;Liens!E572&amp;" (introuvable)"))</f>
        <v>✓ avocat</v>
      </c>
      <c r="G577" s="35" t="str">
        <f>IF(Liens!F572="","",IF(COUNTIF(Mots!A:A,Liens!F572)&gt;0,"✓ "&amp;Liens!F572,"✗ "&amp;Liens!F572&amp;" (introuvable)"))</f>
        <v/>
      </c>
      <c r="H577" s="35" t="str">
        <f>IF(Liens!G572="","",IF(COUNTIF(Mots!A:A,Liens!G572)&gt;0,"✓ "&amp;Liens!G572,"✗ "&amp;Liens!G572&amp;" (introuvable)"))</f>
        <v/>
      </c>
      <c r="I577" s="35" t="str">
        <f>IF(Liens!H572="","",IF(COUNTIF(Mots!A:A,Liens!H572)&gt;0,"✓ "&amp;Liens!H572,"✗ "&amp;Liens!H572&amp;" (introuvable)"))</f>
        <v/>
      </c>
    </row>
    <row r="578" spans="1:9" x14ac:dyDescent="0.3">
      <c r="A578">
        <f t="shared" si="5"/>
        <v>573</v>
      </c>
      <c r="B578" s="35" t="str">
        <f>IF(Liens!A573="","",IF(COUNTIF(Mots!A:A,Liens!A573)&gt;0,"✓ "&amp;Liens!A573,"✗ "&amp;Liens!A573&amp;" (introuvable)"))</f>
        <v>✓ nu</v>
      </c>
      <c r="C578" s="35" t="str">
        <f>IF(Liens!B573="","",IF(COUNTIF(Mots!A:A,Liens!B573)&gt;0,"✓ "&amp;Liens!B573,"✗ "&amp;Liens!B573&amp;" (introuvable)"))</f>
        <v>✓ corps_humain</v>
      </c>
      <c r="D578" s="35" t="str">
        <f>IF(Liens!C573="","",IF(COUNTIF(Mots!A:A,Liens!C573)&gt;0,"✓ "&amp;Liens!C573,"✗ "&amp;Liens!C573&amp;" (introuvable)"))</f>
        <v>✓ vetement</v>
      </c>
      <c r="E578" s="35" t="str">
        <f>IF(Liens!D573="","",IF(COUNTIF(Mots!A:A,Liens!D573)&gt;0,"✓ "&amp;Liens!D573,"✗ "&amp;Liens!D573&amp;" (introuvable)"))</f>
        <v>✓ peau</v>
      </c>
      <c r="F578" s="35" t="str">
        <f>IF(Liens!E573="","",IF(COUNTIF(Mots!A:A,Liens!E573)&gt;0,"✓ "&amp;Liens!E573,"✗ "&amp;Liens!E573&amp;" (introuvable)"))</f>
        <v/>
      </c>
      <c r="G578" s="35" t="str">
        <f>IF(Liens!F573="","",IF(COUNTIF(Mots!A:A,Liens!F573)&gt;0,"✓ "&amp;Liens!F573,"✗ "&amp;Liens!F573&amp;" (introuvable)"))</f>
        <v/>
      </c>
      <c r="H578" s="35" t="str">
        <f>IF(Liens!G573="","",IF(COUNTIF(Mots!A:A,Liens!G573)&gt;0,"✓ "&amp;Liens!G573,"✗ "&amp;Liens!G573&amp;" (introuvable)"))</f>
        <v/>
      </c>
      <c r="I578" s="35" t="str">
        <f>IF(Liens!H573="","",IF(COUNTIF(Mots!A:A,Liens!H573)&gt;0,"✓ "&amp;Liens!H573,"✗ "&amp;Liens!H573&amp;" (introuvable)"))</f>
        <v/>
      </c>
    </row>
    <row r="579" spans="1:9" x14ac:dyDescent="0.3">
      <c r="A579">
        <f t="shared" si="5"/>
        <v>574</v>
      </c>
      <c r="B579" s="35" t="str">
        <f>IF(Liens!A574="","",IF(COUNTIF(Mots!A:A,Liens!A574)&gt;0,"✓ "&amp;Liens!A574,"✗ "&amp;Liens!A574&amp;" (introuvable)"))</f>
        <v>✓ nuage</v>
      </c>
      <c r="C579" s="35" t="str">
        <f>IF(Liens!B574="","",IF(COUNTIF(Mots!A:A,Liens!B574)&gt;0,"✓ "&amp;Liens!B574,"✗ "&amp;Liens!B574&amp;" (introuvable)"))</f>
        <v>✓ ciel</v>
      </c>
      <c r="D579" s="35" t="str">
        <f>IF(Liens!C574="","",IF(COUNTIF(Mots!A:A,Liens!C574)&gt;0,"✓ "&amp;Liens!C574,"✗ "&amp;Liens!C574&amp;" (introuvable)"))</f>
        <v>✓ pluie</v>
      </c>
      <c r="E579" s="35" t="str">
        <f>IF(Liens!D574="","",IF(COUNTIF(Mots!A:A,Liens!D574)&gt;0,"✓ "&amp;Liens!D574,"✗ "&amp;Liens!D574&amp;" (introuvable)"))</f>
        <v>✓ neige</v>
      </c>
      <c r="F579" s="35" t="str">
        <f>IF(Liens!E574="","",IF(COUNTIF(Mots!A:A,Liens!E574)&gt;0,"✓ "&amp;Liens!E574,"✗ "&amp;Liens!E574&amp;" (introuvable)"))</f>
        <v>✓ vent</v>
      </c>
      <c r="G579" s="35" t="str">
        <f>IF(Liens!F574="","",IF(COUNTIF(Mots!A:A,Liens!F574)&gt;0,"✓ "&amp;Liens!F574,"✗ "&amp;Liens!F574&amp;" (introuvable)"))</f>
        <v/>
      </c>
      <c r="H579" s="35" t="str">
        <f>IF(Liens!G574="","",IF(COUNTIF(Mots!A:A,Liens!G574)&gt;0,"✓ "&amp;Liens!G574,"✗ "&amp;Liens!G574&amp;" (introuvable)"))</f>
        <v/>
      </c>
      <c r="I579" s="35" t="str">
        <f>IF(Liens!H574="","",IF(COUNTIF(Mots!A:A,Liens!H574)&gt;0,"✓ "&amp;Liens!H574,"✗ "&amp;Liens!H574&amp;" (introuvable)"))</f>
        <v/>
      </c>
    </row>
    <row r="580" spans="1:9" x14ac:dyDescent="0.3">
      <c r="A580">
        <f t="shared" si="5"/>
        <v>575</v>
      </c>
      <c r="B580" s="35" t="str">
        <f>IF(Liens!A575="","",IF(COUNTIF(Mots!A:A,Liens!A575)&gt;0,"✓ "&amp;Liens!A575,"✗ "&amp;Liens!A575&amp;" (introuvable)"))</f>
        <v>✓ nuance</v>
      </c>
      <c r="C580" s="35" t="str">
        <f>IF(Liens!B575="","",IF(COUNTIF(Mots!A:A,Liens!B575)&gt;0,"✓ "&amp;Liens!B575,"✗ "&amp;Liens!B575&amp;" (introuvable)"))</f>
        <v>✓ son</v>
      </c>
      <c r="D580" s="35" t="str">
        <f>IF(Liens!C575="","",IF(COUNTIF(Mots!A:A,Liens!C575)&gt;0,"✓ "&amp;Liens!C575,"✗ "&amp;Liens!C575&amp;" (introuvable)"))</f>
        <v>✓ a_fort_doucement</v>
      </c>
      <c r="E580" s="35" t="str">
        <f>IF(Liens!D575="","",IF(COUNTIF(Mots!A:A,Liens!D575)&gt;0,"✓ "&amp;Liens!D575,"✗ "&amp;Liens!D575&amp;" (introuvable)"))</f>
        <v>✓ volume</v>
      </c>
      <c r="F580" s="35" t="str">
        <f>IF(Liens!E575="","",IF(COUNTIF(Mots!A:A,Liens!E575)&gt;0,"✓ "&amp;Liens!E575,"✗ "&amp;Liens!E575&amp;" (introuvable)"))</f>
        <v>✓ difference</v>
      </c>
      <c r="G580" s="35" t="str">
        <f>IF(Liens!F575="","",IF(COUNTIF(Mots!A:A,Liens!F575)&gt;0,"✓ "&amp;Liens!F575,"✗ "&amp;Liens!F575&amp;" (introuvable)"))</f>
        <v>✓ couleur</v>
      </c>
      <c r="H580" s="35" t="str">
        <f>IF(Liens!G575="","",IF(COUNTIF(Mots!A:A,Liens!G575)&gt;0,"✓ "&amp;Liens!G575,"✗ "&amp;Liens!G575&amp;" (introuvable)"))</f>
        <v/>
      </c>
      <c r="I580" s="35" t="str">
        <f>IF(Liens!H575="","",IF(COUNTIF(Mots!A:A,Liens!H575)&gt;0,"✓ "&amp;Liens!H575,"✗ "&amp;Liens!H575&amp;" (introuvable)"))</f>
        <v/>
      </c>
    </row>
    <row r="581" spans="1:9" x14ac:dyDescent="0.3">
      <c r="A581">
        <f t="shared" si="5"/>
        <v>576</v>
      </c>
      <c r="B581" s="35" t="str">
        <f>IF(Liens!A576="","",IF(COUNTIF(Mots!A:A,Liens!A576)&gt;0,"✓ "&amp;Liens!A576,"✗ "&amp;Liens!A576&amp;" (introuvable)"))</f>
        <v>✓ nuit</v>
      </c>
      <c r="C581" s="35" t="str">
        <f>IF(Liens!B576="","",IF(COUNTIF(Mots!A:A,Liens!B576)&gt;0,"✓ "&amp;Liens!B576,"✗ "&amp;Liens!B576&amp;" (introuvable)"))</f>
        <v>✓ p_lune</v>
      </c>
      <c r="D581" s="35" t="str">
        <f>IF(Liens!C576="","",IF(COUNTIF(Mots!A:A,Liens!C576)&gt;0,"✓ "&amp;Liens!C576,"✗ "&amp;Liens!C576&amp;" (introuvable)"))</f>
        <v>✓ tard</v>
      </c>
      <c r="E581" s="35" t="str">
        <f>IF(Liens!D576="","",IF(COUNTIF(Mots!A:A,Liens!D576)&gt;0,"✓ "&amp;Liens!D576,"✗ "&amp;Liens!D576&amp;" (introuvable)"))</f>
        <v>✓ v_dormir</v>
      </c>
      <c r="F581" s="35" t="str">
        <f>IF(Liens!E576="","",IF(COUNTIF(Mots!A:A,Liens!E576)&gt;0,"✓ "&amp;Liens!E576,"✗ "&amp;Liens!E576&amp;" (introuvable)"))</f>
        <v>✓ reve</v>
      </c>
      <c r="G581" s="35" t="str">
        <f>IF(Liens!F576="","",IF(COUNTIF(Mots!A:A,Liens!F576)&gt;0,"✓ "&amp;Liens!F576,"✗ "&amp;Liens!F576&amp;" (introuvable)"))</f>
        <v>✓ jour</v>
      </c>
      <c r="H581" s="35" t="str">
        <f>IF(Liens!G576="","",IF(COUNTIF(Mots!A:A,Liens!G576)&gt;0,"✓ "&amp;Liens!G576,"✗ "&amp;Liens!G576&amp;" (introuvable)"))</f>
        <v>✓ chambre</v>
      </c>
      <c r="I581" s="35" t="str">
        <f>IF(Liens!H576="","",IF(COUNTIF(Mots!A:A,Liens!H576)&gt;0,"✓ "&amp;Liens!H576,"✗ "&amp;Liens!H576&amp;" (introuvable)"))</f>
        <v>✓ lit</v>
      </c>
    </row>
    <row r="582" spans="1:9" x14ac:dyDescent="0.3">
      <c r="A582">
        <f t="shared" si="5"/>
        <v>577</v>
      </c>
      <c r="B582" s="35" t="str">
        <f>IF(Liens!A577="","",IF(COUNTIF(Mots!A:A,Liens!A577)&gt;0,"✓ "&amp;Liens!A577,"✗ "&amp;Liens!A577&amp;" (introuvable)"))</f>
        <v>✓ numero</v>
      </c>
      <c r="C582" s="35" t="str">
        <f>IF(Liens!B577="","",IF(COUNTIF(Mots!A:A,Liens!B577)&gt;0,"✓ "&amp;Liens!B577,"✗ "&amp;Liens!B577&amp;" (introuvable)"))</f>
        <v>✓ nombre</v>
      </c>
      <c r="D582" s="35" t="str">
        <f>IF(Liens!C577="","",IF(COUNTIF(Mots!A:A,Liens!C577)&gt;0,"✓ "&amp;Liens!C577,"✗ "&amp;Liens!C577&amp;" (introuvable)"))</f>
        <v>✓ smartphone</v>
      </c>
      <c r="E582" s="35" t="str">
        <f>IF(Liens!D577="","",IF(COUNTIF(Mots!A:A,Liens!D577)&gt;0,"✓ "&amp;Liens!D577,"✗ "&amp;Liens!D577&amp;" (introuvable)"))</f>
        <v>✓ rue</v>
      </c>
      <c r="F582" s="35" t="str">
        <f>IF(Liens!E577="","",IF(COUNTIF(Mots!A:A,Liens!E577)&gt;0,"✓ "&amp;Liens!E577,"✗ "&amp;Liens!E577&amp;" (introuvable)"))</f>
        <v>✓ v_habiter</v>
      </c>
      <c r="G582" s="35" t="str">
        <f>IF(Liens!F577="","",IF(COUNTIF(Mots!A:A,Liens!F577)&gt;0,"✓ "&amp;Liens!F577,"✗ "&amp;Liens!F577&amp;" (introuvable)"))</f>
        <v/>
      </c>
      <c r="H582" s="35" t="str">
        <f>IF(Liens!G577="","",IF(COUNTIF(Mots!A:A,Liens!G577)&gt;0,"✓ "&amp;Liens!G577,"✗ "&amp;Liens!G577&amp;" (introuvable)"))</f>
        <v/>
      </c>
      <c r="I582" s="35" t="str">
        <f>IF(Liens!H577="","",IF(COUNTIF(Mots!A:A,Liens!H577)&gt;0,"✓ "&amp;Liens!H577,"✗ "&amp;Liens!H577&amp;" (introuvable)"))</f>
        <v/>
      </c>
    </row>
    <row r="583" spans="1:9" x14ac:dyDescent="0.3">
      <c r="A583">
        <f t="shared" si="5"/>
        <v>578</v>
      </c>
      <c r="B583" s="35" t="str">
        <f>IF(Liens!A578="","",IF(COUNTIF(Mots!A:A,Liens!A578)&gt;0,"✓ "&amp;Liens!A578,"✗ "&amp;Liens!A578&amp;" (introuvable)"))</f>
        <v>✓ o_jumelles</v>
      </c>
      <c r="C583" s="35" t="str">
        <f>IF(Liens!B578="","",IF(COUNTIF(Mots!A:A,Liens!B578)&gt;0,"✓ "&amp;Liens!B578,"✗ "&amp;Liens!B578&amp;" (introuvable)"))</f>
        <v>✓ oeil</v>
      </c>
      <c r="D583" s="35" t="str">
        <f>IF(Liens!C578="","",IF(COUNTIF(Mots!A:A,Liens!C578)&gt;0,"✓ "&amp;Liens!C578,"✗ "&amp;Liens!C578&amp;" (introuvable)"))</f>
        <v>✓ verre</v>
      </c>
      <c r="E583" s="35" t="str">
        <f>IF(Liens!D578="","",IF(COUNTIF(Mots!A:A,Liens!D578)&gt;0,"✓ "&amp;Liens!D578,"✗ "&amp;Liens!D578&amp;" (introuvable)"))</f>
        <v>✓ v_regarder</v>
      </c>
      <c r="F583" s="35" t="str">
        <f>IF(Liens!E578="","",IF(COUNTIF(Mots!A:A,Liens!E578)&gt;0,"✓ "&amp;Liens!E578,"✗ "&amp;Liens!E578&amp;" (introuvable)"))</f>
        <v>✓ a_proche_eloigne</v>
      </c>
      <c r="G583" s="35" t="str">
        <f>IF(Liens!F578="","",IF(COUNTIF(Mots!A:A,Liens!F578)&gt;0,"✓ "&amp;Liens!F578,"✗ "&amp;Liens!F578&amp;" (introuvable)"))</f>
        <v>✓ chamois</v>
      </c>
      <c r="H583" s="35" t="str">
        <f>IF(Liens!G578="","",IF(COUNTIF(Mots!A:A,Liens!G578)&gt;0,"✓ "&amp;Liens!G578,"✗ "&amp;Liens!G578&amp;" (introuvable)"))</f>
        <v>✓ cerf</v>
      </c>
      <c r="I583" s="35" t="str">
        <f>IF(Liens!H578="","",IF(COUNTIF(Mots!A:A,Liens!H578)&gt;0,"✓ "&amp;Liens!H578,"✗ "&amp;Liens!H578&amp;" (introuvable)"))</f>
        <v>✓ bouquetin</v>
      </c>
    </row>
    <row r="584" spans="1:9" x14ac:dyDescent="0.3">
      <c r="A584">
        <f t="shared" si="5"/>
        <v>579</v>
      </c>
      <c r="B584" s="35" t="str">
        <f>IF(Liens!A579="","",IF(COUNTIF(Mots!A:A,Liens!A579)&gt;0,"✓ "&amp;Liens!A579,"✗ "&amp;Liens!A579&amp;" (introuvable)"))</f>
        <v>✓ objet</v>
      </c>
      <c r="C584" s="35" t="str">
        <f>IF(Liens!B579="","",IF(COUNTIF(Mots!A:A,Liens!B579)&gt;0,"✓ "&amp;Liens!B579,"✗ "&amp;Liens!B579&amp;" (introuvable)"))</f>
        <v>✓ chose</v>
      </c>
      <c r="D584" s="35" t="str">
        <f>IF(Liens!C579="","",IF(COUNTIF(Mots!A:A,Liens!C579)&gt;0,"✓ "&amp;Liens!C579,"✗ "&amp;Liens!C579&amp;" (introuvable)"))</f>
        <v/>
      </c>
      <c r="E584" s="35" t="str">
        <f>IF(Liens!D579="","",IF(COUNTIF(Mots!A:A,Liens!D579)&gt;0,"✓ "&amp;Liens!D579,"✗ "&amp;Liens!D579&amp;" (introuvable)"))</f>
        <v/>
      </c>
      <c r="F584" s="35" t="str">
        <f>IF(Liens!E579="","",IF(COUNTIF(Mots!A:A,Liens!E579)&gt;0,"✓ "&amp;Liens!E579,"✗ "&amp;Liens!E579&amp;" (introuvable)"))</f>
        <v/>
      </c>
      <c r="G584" s="35" t="str">
        <f>IF(Liens!F579="","",IF(COUNTIF(Mots!A:A,Liens!F579)&gt;0,"✓ "&amp;Liens!F579,"✗ "&amp;Liens!F579&amp;" (introuvable)"))</f>
        <v/>
      </c>
      <c r="H584" s="35" t="str">
        <f>IF(Liens!G579="","",IF(COUNTIF(Mots!A:A,Liens!G579)&gt;0,"✓ "&amp;Liens!G579,"✗ "&amp;Liens!G579&amp;" (introuvable)"))</f>
        <v/>
      </c>
      <c r="I584" s="35" t="str">
        <f>IF(Liens!H579="","",IF(COUNTIF(Mots!A:A,Liens!H579)&gt;0,"✓ "&amp;Liens!H579,"✗ "&amp;Liens!H579&amp;" (introuvable)"))</f>
        <v/>
      </c>
    </row>
    <row r="585" spans="1:9" x14ac:dyDescent="0.3">
      <c r="A585">
        <f t="shared" si="5"/>
        <v>580</v>
      </c>
      <c r="B585" s="35" t="str">
        <f>IF(Liens!A580="","",IF(COUNTIF(Mots!A:A,Liens!A580)&gt;0,"✓ "&amp;Liens!A580,"✗ "&amp;Liens!A580&amp;" (introuvable)"))</f>
        <v>✓ odeur</v>
      </c>
      <c r="C585" s="35" t="str">
        <f>IF(Liens!B580="","",IF(COUNTIF(Mots!A:A,Liens!B580)&gt;0,"✓ "&amp;Liens!B580,"✗ "&amp;Liens!B580&amp;" (introuvable)"))</f>
        <v>✓ nez</v>
      </c>
      <c r="D585" s="35" t="str">
        <f>IF(Liens!C580="","",IF(COUNTIF(Mots!A:A,Liens!C580)&gt;0,"✓ "&amp;Liens!C580,"✗ "&amp;Liens!C580&amp;" (introuvable)"))</f>
        <v>✓ a_bon_mauvais</v>
      </c>
      <c r="E585" s="35" t="str">
        <f>IF(Liens!D580="","",IF(COUNTIF(Mots!A:A,Liens!D580)&gt;0,"✓ "&amp;Liens!D580,"✗ "&amp;Liens!D580&amp;" (introuvable)"))</f>
        <v>✓ repas</v>
      </c>
      <c r="F585" s="35" t="str">
        <f>IF(Liens!E580="","",IF(COUNTIF(Mots!A:A,Liens!E580)&gt;0,"✓ "&amp;Liens!E580,"✗ "&amp;Liens!E580&amp;" (introuvable)"))</f>
        <v>✓ fruit</v>
      </c>
      <c r="G585" s="35" t="str">
        <f>IF(Liens!F580="","",IF(COUNTIF(Mots!A:A,Liens!F580)&gt;0,"✓ "&amp;Liens!F580,"✗ "&amp;Liens!F580&amp;" (introuvable)"))</f>
        <v>✓ legume</v>
      </c>
      <c r="H585" s="35" t="str">
        <f>IF(Liens!G580="","",IF(COUNTIF(Mots!A:A,Liens!G580)&gt;0,"✓ "&amp;Liens!G580,"✗ "&amp;Liens!G580&amp;" (introuvable)"))</f>
        <v/>
      </c>
      <c r="I585" s="35" t="str">
        <f>IF(Liens!H580="","",IF(COUNTIF(Mots!A:A,Liens!H580)&gt;0,"✓ "&amp;Liens!H580,"✗ "&amp;Liens!H580&amp;" (introuvable)"))</f>
        <v/>
      </c>
    </row>
    <row r="586" spans="1:9" x14ac:dyDescent="0.3">
      <c r="A586">
        <f t="shared" si="5"/>
        <v>581</v>
      </c>
      <c r="B586" s="35" t="str">
        <f>IF(Liens!A581="","",IF(COUNTIF(Mots!A:A,Liens!A581)&gt;0,"✓ "&amp;Liens!A581,"✗ "&amp;Liens!A581&amp;" (introuvable)"))</f>
        <v>✓ oeil</v>
      </c>
      <c r="C586" s="35" t="str">
        <f>IF(Liens!B581="","",IF(COUNTIF(Mots!A:A,Liens!B581)&gt;0,"✓ "&amp;Liens!B581,"✗ "&amp;Liens!B581&amp;" (introuvable)"))</f>
        <v>✓ corps_humain</v>
      </c>
      <c r="D586" s="35" t="str">
        <f>IF(Liens!C581="","",IF(COUNTIF(Mots!A:A,Liens!C581)&gt;0,"✓ "&amp;Liens!C581,"✗ "&amp;Liens!C581&amp;" (introuvable)"))</f>
        <v>✓ tete</v>
      </c>
      <c r="E586" s="35" t="str">
        <f>IF(Liens!D581="","",IF(COUNTIF(Mots!A:A,Liens!D581)&gt;0,"✓ "&amp;Liens!D581,"✗ "&amp;Liens!D581&amp;" (introuvable)"))</f>
        <v>✓ v_voir</v>
      </c>
      <c r="F586" s="35" t="str">
        <f>IF(Liens!E581="","",IF(COUNTIF(Mots!A:A,Liens!E581)&gt;0,"✓ "&amp;Liens!E581,"✗ "&amp;Liens!E581&amp;" (introuvable)"))</f>
        <v/>
      </c>
      <c r="G586" s="35" t="str">
        <f>IF(Liens!F581="","",IF(COUNTIF(Mots!A:A,Liens!F581)&gt;0,"✓ "&amp;Liens!F581,"✗ "&amp;Liens!F581&amp;" (introuvable)"))</f>
        <v/>
      </c>
      <c r="H586" s="35" t="str">
        <f>IF(Liens!G581="","",IF(COUNTIF(Mots!A:A,Liens!G581)&gt;0,"✓ "&amp;Liens!G581,"✗ "&amp;Liens!G581&amp;" (introuvable)"))</f>
        <v/>
      </c>
      <c r="I586" s="35" t="str">
        <f>IF(Liens!H581="","",IF(COUNTIF(Mots!A:A,Liens!H581)&gt;0,"✓ "&amp;Liens!H581,"✗ "&amp;Liens!H581&amp;" (introuvable)"))</f>
        <v/>
      </c>
    </row>
    <row r="587" spans="1:9" x14ac:dyDescent="0.3">
      <c r="A587">
        <f t="shared" si="5"/>
        <v>582</v>
      </c>
      <c r="B587" s="35" t="str">
        <f>IF(Liens!A582="","",IF(COUNTIF(Mots!A:A,Liens!A582)&gt;0,"✓ "&amp;Liens!A582,"✗ "&amp;Liens!A582&amp;" (introuvable)"))</f>
        <v>✓ oeuf</v>
      </c>
      <c r="C587" s="35" t="str">
        <f>IF(Liens!B582="","",IF(COUNTIF(Mots!A:A,Liens!B582)&gt;0,"✓ "&amp;Liens!B582,"✗ "&amp;Liens!B582&amp;" (introuvable)"))</f>
        <v>✓ rond</v>
      </c>
      <c r="D587" s="35" t="str">
        <f>IF(Liens!C582="","",IF(COUNTIF(Mots!A:A,Liens!C582)&gt;0,"✓ "&amp;Liens!C582,"✗ "&amp;Liens!C582&amp;" (introuvable)"))</f>
        <v>✓ poule</v>
      </c>
      <c r="E587" s="35" t="str">
        <f>IF(Liens!D582="","",IF(COUNTIF(Mots!A:A,Liens!D582)&gt;0,"✓ "&amp;Liens!D582,"✗ "&amp;Liens!D582&amp;" (introuvable)"))</f>
        <v>✓ oeuf_au_plat</v>
      </c>
      <c r="F587" s="35" t="str">
        <f>IF(Liens!E582="","",IF(COUNTIF(Mots!A:A,Liens!E582)&gt;0,"✓ "&amp;Liens!E582,"✗ "&amp;Liens!E582&amp;" (introuvable)"))</f>
        <v>✓ omelette</v>
      </c>
      <c r="G587" s="35" t="str">
        <f>IF(Liens!F582="","",IF(COUNTIF(Mots!A:A,Liens!F582)&gt;0,"✓ "&amp;Liens!F582,"✗ "&amp;Liens!F582&amp;" (introuvable)"))</f>
        <v>✓ v_manger</v>
      </c>
      <c r="H587" s="35" t="str">
        <f>IF(Liens!G582="","",IF(COUNTIF(Mots!A:A,Liens!G582)&gt;0,"✓ "&amp;Liens!G582,"✗ "&amp;Liens!G582&amp;" (introuvable)"))</f>
        <v/>
      </c>
      <c r="I587" s="35" t="str">
        <f>IF(Liens!H582="","",IF(COUNTIF(Mots!A:A,Liens!H582)&gt;0,"✓ "&amp;Liens!H582,"✗ "&amp;Liens!H582&amp;" (introuvable)"))</f>
        <v/>
      </c>
    </row>
    <row r="588" spans="1:9" x14ac:dyDescent="0.3">
      <c r="A588">
        <f t="shared" si="5"/>
        <v>583</v>
      </c>
      <c r="B588" s="35" t="str">
        <f>IF(Liens!A583="","",IF(COUNTIF(Mots!A:A,Liens!A583)&gt;0,"✓ "&amp;Liens!A583,"✗ "&amp;Liens!A583&amp;" (introuvable)"))</f>
        <v>✓ oeuvre</v>
      </c>
      <c r="C588" s="35" t="str">
        <f>IF(Liens!B583="","",IF(COUNTIF(Mots!A:A,Liens!B583)&gt;0,"✓ "&amp;Liens!B583,"✗ "&amp;Liens!B583&amp;" (introuvable)"))</f>
        <v>✓ tableau</v>
      </c>
      <c r="D588" s="35" t="str">
        <f>IF(Liens!C583="","",IF(COUNTIF(Mots!A:A,Liens!C583)&gt;0,"✓ "&amp;Liens!C583,"✗ "&amp;Liens!C583&amp;" (introuvable)"))</f>
        <v>✓ livre</v>
      </c>
      <c r="E588" s="35" t="str">
        <f>IF(Liens!D583="","",IF(COUNTIF(Mots!A:A,Liens!D583)&gt;0,"✓ "&amp;Liens!D583,"✗ "&amp;Liens!D583&amp;" (introuvable)"))</f>
        <v>✓ chanteur</v>
      </c>
      <c r="F588" s="35" t="str">
        <f>IF(Liens!E583="","",IF(COUNTIF(Mots!A:A,Liens!E583)&gt;0,"✓ "&amp;Liens!E583,"✗ "&amp;Liens!E583&amp;" (introuvable)"))</f>
        <v>✓ musicien</v>
      </c>
      <c r="G588" s="35" t="str">
        <f>IF(Liens!F583="","",IF(COUNTIF(Mots!A:A,Liens!F583)&gt;0,"✓ "&amp;Liens!F583,"✗ "&amp;Liens!F583&amp;" (introuvable)"))</f>
        <v/>
      </c>
      <c r="H588" s="35" t="str">
        <f>IF(Liens!G583="","",IF(COUNTIF(Mots!A:A,Liens!G583)&gt;0,"✓ "&amp;Liens!G583,"✗ "&amp;Liens!G583&amp;" (introuvable)"))</f>
        <v/>
      </c>
      <c r="I588" s="35" t="str">
        <f>IF(Liens!H583="","",IF(COUNTIF(Mots!A:A,Liens!H583)&gt;0,"✓ "&amp;Liens!H583,"✗ "&amp;Liens!H583&amp;" (introuvable)"))</f>
        <v/>
      </c>
    </row>
    <row r="589" spans="1:9" x14ac:dyDescent="0.3">
      <c r="A589">
        <f t="shared" si="5"/>
        <v>584</v>
      </c>
      <c r="B589" s="35" t="str">
        <f>IF(Liens!A584="","",IF(COUNTIF(Mots!A:A,Liens!A584)&gt;0,"✓ "&amp;Liens!A584,"✗ "&amp;Liens!A584&amp;" (introuvable)"))</f>
        <v>✓ oignon</v>
      </c>
      <c r="C589" s="35" t="str">
        <f>IF(Liens!B584="","",IF(COUNTIF(Mots!A:A,Liens!B584)&gt;0,"✓ "&amp;Liens!B584,"✗ "&amp;Liens!B584&amp;" (introuvable)"))</f>
        <v>✓ legume</v>
      </c>
      <c r="D589" s="35" t="str">
        <f>IF(Liens!C584="","",IF(COUNTIF(Mots!A:A,Liens!C584)&gt;0,"✓ "&amp;Liens!C584,"✗ "&amp;Liens!C584&amp;" (introuvable)"))</f>
        <v>✓ rond</v>
      </c>
      <c r="E589" s="35" t="str">
        <f>IF(Liens!D584="","",IF(COUNTIF(Mots!A:A,Liens!D584)&gt;0,"✓ "&amp;Liens!D584,"✗ "&amp;Liens!D584&amp;" (introuvable)"))</f>
        <v>✓ soupe</v>
      </c>
      <c r="F589" s="35" t="str">
        <f>IF(Liens!E584="","",IF(COUNTIF(Mots!A:A,Liens!E584)&gt;0,"✓ "&amp;Liens!E584,"✗ "&amp;Liens!E584&amp;" (introuvable)"))</f>
        <v>✓ salade_laitue</v>
      </c>
      <c r="G589" s="35" t="str">
        <f>IF(Liens!F584="","",IF(COUNTIF(Mots!A:A,Liens!F584)&gt;0,"✓ "&amp;Liens!F584,"✗ "&amp;Liens!F584&amp;" (introuvable)"))</f>
        <v/>
      </c>
      <c r="H589" s="35" t="str">
        <f>IF(Liens!G584="","",IF(COUNTIF(Mots!A:A,Liens!G584)&gt;0,"✓ "&amp;Liens!G584,"✗ "&amp;Liens!G584&amp;" (introuvable)"))</f>
        <v/>
      </c>
      <c r="I589" s="35" t="str">
        <f>IF(Liens!H584="","",IF(COUNTIF(Mots!A:A,Liens!H584)&gt;0,"✓ "&amp;Liens!H584,"✗ "&amp;Liens!H584&amp;" (introuvable)"))</f>
        <v/>
      </c>
    </row>
    <row r="590" spans="1:9" x14ac:dyDescent="0.3">
      <c r="A590">
        <f t="shared" si="5"/>
        <v>585</v>
      </c>
      <c r="B590" s="35" t="str">
        <f>IF(Liens!A585="","",IF(COUNTIF(Mots!A:A,Liens!A585)&gt;0,"✓ "&amp;Liens!A585,"✗ "&amp;Liens!A585&amp;" (introuvable)"))</f>
        <v>✓ ombre</v>
      </c>
      <c r="C590" s="35" t="str">
        <f>IF(Liens!B585="","",IF(COUNTIF(Mots!A:A,Liens!B585)&gt;0,"✓ "&amp;Liens!B585,"✗ "&amp;Liens!B585&amp;" (introuvable)"))</f>
        <v>✓ zone</v>
      </c>
      <c r="D590" s="35" t="str">
        <f>IF(Liens!C585="","",IF(COUNTIF(Mots!A:A,Liens!C585)&gt;0,"✓ "&amp;Liens!C585,"✗ "&amp;Liens!C585&amp;" (introuvable)"))</f>
        <v>✓ a_clair_sombre</v>
      </c>
      <c r="E590" s="35" t="str">
        <f>IF(Liens!D585="","",IF(COUNTIF(Mots!A:A,Liens!D585)&gt;0,"✓ "&amp;Liens!D585,"✗ "&amp;Liens!D585&amp;" (introuvable)"))</f>
        <v>✓ lumiere</v>
      </c>
      <c r="F590" s="35" t="str">
        <f>IF(Liens!E585="","",IF(COUNTIF(Mots!A:A,Liens!E585)&gt;0,"✓ "&amp;Liens!E585,"✗ "&amp;Liens!E585&amp;" (introuvable)"))</f>
        <v/>
      </c>
      <c r="G590" s="35" t="str">
        <f>IF(Liens!F585="","",IF(COUNTIF(Mots!A:A,Liens!F585)&gt;0,"✓ "&amp;Liens!F585,"✗ "&amp;Liens!F585&amp;" (introuvable)"))</f>
        <v/>
      </c>
      <c r="H590" s="35" t="str">
        <f>IF(Liens!G585="","",IF(COUNTIF(Mots!A:A,Liens!G585)&gt;0,"✓ "&amp;Liens!G585,"✗ "&amp;Liens!G585&amp;" (introuvable)"))</f>
        <v/>
      </c>
      <c r="I590" s="35" t="str">
        <f>IF(Liens!H585="","",IF(COUNTIF(Mots!A:A,Liens!H585)&gt;0,"✓ "&amp;Liens!H585,"✗ "&amp;Liens!H585&amp;" (introuvable)"))</f>
        <v/>
      </c>
    </row>
    <row r="591" spans="1:9" x14ac:dyDescent="0.3">
      <c r="A591">
        <f t="shared" ref="A591:A654" si="6">A590+1</f>
        <v>586</v>
      </c>
      <c r="B591" s="35" t="str">
        <f>IF(Liens!A586="","",IF(COUNTIF(Mots!A:A,Liens!A586)&gt;0,"✓ "&amp;Liens!A586,"✗ "&amp;Liens!A586&amp;" (introuvable)"))</f>
        <v>✓ oncle</v>
      </c>
      <c r="C591" s="35" t="str">
        <f>IF(Liens!B586="","",IF(COUNTIF(Mots!A:A,Liens!B586)&gt;0,"✓ "&amp;Liens!B586,"✗ "&amp;Liens!B586&amp;" (introuvable)"))</f>
        <v>✓ personne</v>
      </c>
      <c r="D591" s="35" t="str">
        <f>IF(Liens!C586="","",IF(COUNTIF(Mots!A:A,Liens!C586)&gt;0,"✓ "&amp;Liens!C586,"✗ "&amp;Liens!C586&amp;" (introuvable)"))</f>
        <v>✓ homme</v>
      </c>
      <c r="E591" s="35" t="str">
        <f>IF(Liens!D586="","",IF(COUNTIF(Mots!A:A,Liens!D586)&gt;0,"✓ "&amp;Liens!D586,"✗ "&amp;Liens!D586&amp;" (introuvable)"))</f>
        <v>✓ frere</v>
      </c>
      <c r="F591" s="35" t="str">
        <f>IF(Liens!E586="","",IF(COUNTIF(Mots!A:A,Liens!E586)&gt;0,"✓ "&amp;Liens!E586,"✗ "&amp;Liens!E586&amp;" (introuvable)"))</f>
        <v>✓ tante</v>
      </c>
      <c r="G591" s="35" t="str">
        <f>IF(Liens!F586="","",IF(COUNTIF(Mots!A:A,Liens!F586)&gt;0,"✓ "&amp;Liens!F586,"✗ "&amp;Liens!F586&amp;" (introuvable)"))</f>
        <v>✓ cousin</v>
      </c>
      <c r="H591" s="35" t="str">
        <f>IF(Liens!G586="","",IF(COUNTIF(Mots!A:A,Liens!G586)&gt;0,"✓ "&amp;Liens!G586,"✗ "&amp;Liens!G586&amp;" (introuvable)"))</f>
        <v/>
      </c>
      <c r="I591" s="35" t="str">
        <f>IF(Liens!H586="","",IF(COUNTIF(Mots!A:A,Liens!H586)&gt;0,"✓ "&amp;Liens!H586,"✗ "&amp;Liens!H586&amp;" (introuvable)"))</f>
        <v/>
      </c>
    </row>
    <row r="592" spans="1:9" x14ac:dyDescent="0.3">
      <c r="A592">
        <f t="shared" si="6"/>
        <v>587</v>
      </c>
      <c r="B592" s="35" t="str">
        <f>IF(Liens!A587="","",IF(COUNTIF(Mots!A:A,Liens!A587)&gt;0,"✓ "&amp;Liens!A587,"✗ "&amp;Liens!A587&amp;" (introuvable)"))</f>
        <v>✓ ongle</v>
      </c>
      <c r="C592" s="35" t="str">
        <f>IF(Liens!B587="","",IF(COUNTIF(Mots!A:A,Liens!B587)&gt;0,"✓ "&amp;Liens!B587,"✗ "&amp;Liens!B587&amp;" (introuvable)"))</f>
        <v>✓ main</v>
      </c>
      <c r="D592" s="35" t="str">
        <f>IF(Liens!C587="","",IF(COUNTIF(Mots!A:A,Liens!C587)&gt;0,"✓ "&amp;Liens!C587,"✗ "&amp;Liens!C587&amp;" (introuvable)"))</f>
        <v>✓ doigt</v>
      </c>
      <c r="E592" s="35" t="str">
        <f>IF(Liens!D587="","",IF(COUNTIF(Mots!A:A,Liens!D587)&gt;0,"✓ "&amp;Liens!D587,"✗ "&amp;Liens!D587&amp;" (introuvable)"))</f>
        <v>✓ pied</v>
      </c>
      <c r="F592" s="35" t="str">
        <f>IF(Liens!E587="","",IF(COUNTIF(Mots!A:A,Liens!E587)&gt;0,"✓ "&amp;Liens!E587,"✗ "&amp;Liens!E587&amp;" (introuvable)"))</f>
        <v>✓ orteil</v>
      </c>
      <c r="G592" s="35" t="str">
        <f>IF(Liens!F587="","",IF(COUNTIF(Mots!A:A,Liens!F587)&gt;0,"✓ "&amp;Liens!F587,"✗ "&amp;Liens!F587&amp;" (introuvable)"))</f>
        <v/>
      </c>
      <c r="H592" s="35" t="str">
        <f>IF(Liens!G587="","",IF(COUNTIF(Mots!A:A,Liens!G587)&gt;0,"✓ "&amp;Liens!G587,"✗ "&amp;Liens!G587&amp;" (introuvable)"))</f>
        <v/>
      </c>
      <c r="I592" s="35" t="str">
        <f>IF(Liens!H587="","",IF(COUNTIF(Mots!A:A,Liens!H587)&gt;0,"✓ "&amp;Liens!H587,"✗ "&amp;Liens!H587&amp;" (introuvable)"))</f>
        <v/>
      </c>
    </row>
    <row r="593" spans="1:9" x14ac:dyDescent="0.3">
      <c r="A593">
        <f t="shared" si="6"/>
        <v>588</v>
      </c>
      <c r="B593" s="35" t="str">
        <f>IF(Liens!A588="","",IF(COUNTIF(Mots!A:A,Liens!A588)&gt;0,"✓ "&amp;Liens!A588,"✗ "&amp;Liens!A588&amp;" (introuvable)"))</f>
        <v>✓ orage</v>
      </c>
      <c r="C593" s="35" t="str">
        <f>IF(Liens!B588="","",IF(COUNTIF(Mots!A:A,Liens!B588)&gt;0,"✓ "&amp;Liens!B588,"✗ "&amp;Liens!B588&amp;" (introuvable)"))</f>
        <v>✓ ciel</v>
      </c>
      <c r="D593" s="35" t="str">
        <f>IF(Liens!C588="","",IF(COUNTIF(Mots!A:A,Liens!C588)&gt;0,"✓ "&amp;Liens!C588,"✗ "&amp;Liens!C588&amp;" (introuvable)"))</f>
        <v>✓ nuage</v>
      </c>
      <c r="E593" s="35" t="str">
        <f>IF(Liens!D588="","",IF(COUNTIF(Mots!A:A,Liens!D588)&gt;0,"✓ "&amp;Liens!D588,"✗ "&amp;Liens!D588&amp;" (introuvable)"))</f>
        <v>✓ pluie</v>
      </c>
      <c r="F593" s="35" t="str">
        <f>IF(Liens!E588="","",IF(COUNTIF(Mots!A:A,Liens!E588)&gt;0,"✓ "&amp;Liens!E588,"✗ "&amp;Liens!E588&amp;" (introuvable)"))</f>
        <v>✓ eclair</v>
      </c>
      <c r="G593" s="35" t="str">
        <f>IF(Liens!F588="","",IF(COUNTIF(Mots!A:A,Liens!F588)&gt;0,"✓ "&amp;Liens!F588,"✗ "&amp;Liens!F588&amp;" (introuvable)"))</f>
        <v>✓ tonnerre</v>
      </c>
      <c r="H593" s="35" t="str">
        <f>IF(Liens!G588="","",IF(COUNTIF(Mots!A:A,Liens!G588)&gt;0,"✓ "&amp;Liens!G588,"✗ "&amp;Liens!G588&amp;" (introuvable)"))</f>
        <v>✓ parapluie</v>
      </c>
      <c r="I593" s="35" t="str">
        <f>IF(Liens!H588="","",IF(COUNTIF(Mots!A:A,Liens!H588)&gt;0,"✓ "&amp;Liens!H588,"✗ "&amp;Liens!H588&amp;" (introuvable)"))</f>
        <v/>
      </c>
    </row>
    <row r="594" spans="1:9" x14ac:dyDescent="0.3">
      <c r="A594">
        <f t="shared" si="6"/>
        <v>589</v>
      </c>
      <c r="B594" s="35" t="str">
        <f>IF(Liens!A589="","",IF(COUNTIF(Mots!A:A,Liens!A589)&gt;0,"✓ "&amp;Liens!A589,"✗ "&amp;Liens!A589&amp;" (introuvable)"))</f>
        <v>✓ ordonnance</v>
      </c>
      <c r="C594" s="35" t="str">
        <f>IF(Liens!B589="","",IF(COUNTIF(Mots!A:A,Liens!B589)&gt;0,"✓ "&amp;Liens!B589,"✗ "&amp;Liens!B589&amp;" (introuvable)"))</f>
        <v>✓ papier</v>
      </c>
      <c r="D594" s="35" t="str">
        <f>IF(Liens!C589="","",IF(COUNTIF(Mots!A:A,Liens!C589)&gt;0,"✓ "&amp;Liens!C589,"✗ "&amp;Liens!C589&amp;" (introuvable)"))</f>
        <v>✓ medecin</v>
      </c>
      <c r="E594" s="35" t="str">
        <f>IF(Liens!D589="","",IF(COUNTIF(Mots!A:A,Liens!D589)&gt;0,"✓ "&amp;Liens!D589,"✗ "&amp;Liens!D589&amp;" (introuvable)"))</f>
        <v>✓ medicament</v>
      </c>
      <c r="F594" s="35" t="str">
        <f>IF(Liens!E589="","",IF(COUNTIF(Mots!A:A,Liens!E589)&gt;0,"✓ "&amp;Liens!E589,"✗ "&amp;Liens!E589&amp;" (introuvable)"))</f>
        <v>✓ v_soigner</v>
      </c>
      <c r="G594" s="35" t="str">
        <f>IF(Liens!F589="","",IF(COUNTIF(Mots!A:A,Liens!F589)&gt;0,"✓ "&amp;Liens!F589,"✗ "&amp;Liens!F589&amp;" (introuvable)"))</f>
        <v>✓ assurance_maladie</v>
      </c>
      <c r="H594" s="35" t="str">
        <f>IF(Liens!G589="","",IF(COUNTIF(Mots!A:A,Liens!G589)&gt;0,"✓ "&amp;Liens!G589,"✗ "&amp;Liens!G589&amp;" (introuvable)"))</f>
        <v/>
      </c>
      <c r="I594" s="35" t="str">
        <f>IF(Liens!H589="","",IF(COUNTIF(Mots!A:A,Liens!H589)&gt;0,"✓ "&amp;Liens!H589,"✗ "&amp;Liens!H589&amp;" (introuvable)"))</f>
        <v/>
      </c>
    </row>
    <row r="595" spans="1:9" x14ac:dyDescent="0.3">
      <c r="A595">
        <f t="shared" si="6"/>
        <v>590</v>
      </c>
      <c r="B595" s="35" t="str">
        <f>IF(Liens!A590="","",IF(COUNTIF(Mots!A:A,Liens!A590)&gt;0,"✓ "&amp;Liens!A590,"✗ "&amp;Liens!A590&amp;" (introuvable)"))</f>
        <v>✓ oreille</v>
      </c>
      <c r="C595" s="35" t="str">
        <f>IF(Liens!B590="","",IF(COUNTIF(Mots!A:A,Liens!B590)&gt;0,"✓ "&amp;Liens!B590,"✗ "&amp;Liens!B590&amp;" (introuvable)"))</f>
        <v>✓ corps_humain</v>
      </c>
      <c r="D595" s="35" t="str">
        <f>IF(Liens!C590="","",IF(COUNTIF(Mots!A:A,Liens!C590)&gt;0,"✓ "&amp;Liens!C590,"✗ "&amp;Liens!C590&amp;" (introuvable)"))</f>
        <v>✓ tete</v>
      </c>
      <c r="E595" s="35" t="str">
        <f>IF(Liens!D590="","",IF(COUNTIF(Mots!A:A,Liens!D590)&gt;0,"✓ "&amp;Liens!D590,"✗ "&amp;Liens!D590&amp;" (introuvable)"))</f>
        <v>✓ visage</v>
      </c>
      <c r="F595" s="35" t="str">
        <f>IF(Liens!E590="","",IF(COUNTIF(Mots!A:A,Liens!E590)&gt;0,"✓ "&amp;Liens!E590,"✗ "&amp;Liens!E590&amp;" (introuvable)"))</f>
        <v>✓ v_entendre</v>
      </c>
      <c r="G595" s="35" t="str">
        <f>IF(Liens!F590="","",IF(COUNTIF(Mots!A:A,Liens!F590)&gt;0,"✓ "&amp;Liens!F590,"✗ "&amp;Liens!F590&amp;" (introuvable)"))</f>
        <v>✓ son</v>
      </c>
      <c r="H595" s="35" t="str">
        <f>IF(Liens!G590="","",IF(COUNTIF(Mots!A:A,Liens!G590)&gt;0,"✓ "&amp;Liens!G590,"✗ "&amp;Liens!G590&amp;" (introuvable)"))</f>
        <v/>
      </c>
      <c r="I595" s="35" t="str">
        <f>IF(Liens!H590="","",IF(COUNTIF(Mots!A:A,Liens!H590)&gt;0,"✓ "&amp;Liens!H590,"✗ "&amp;Liens!H590&amp;" (introuvable)"))</f>
        <v/>
      </c>
    </row>
    <row r="596" spans="1:9" x14ac:dyDescent="0.3">
      <c r="A596">
        <f t="shared" si="6"/>
        <v>591</v>
      </c>
      <c r="B596" s="35" t="str">
        <f>IF(Liens!A591="","",IF(COUNTIF(Mots!A:A,Liens!A591)&gt;0,"✓ "&amp;Liens!A591,"✗ "&amp;Liens!A591&amp;" (introuvable)"))</f>
        <v>✓ oreiller</v>
      </c>
      <c r="C596" s="35" t="str">
        <f>IF(Liens!B591="","",IF(COUNTIF(Mots!A:A,Liens!B591)&gt;0,"✓ "&amp;Liens!B591,"✗ "&amp;Liens!B591&amp;" (introuvable)"))</f>
        <v>✓ coussin</v>
      </c>
      <c r="D596" s="35" t="str">
        <f>IF(Liens!C591="","",IF(COUNTIF(Mots!A:A,Liens!C591)&gt;0,"✓ "&amp;Liens!C591,"✗ "&amp;Liens!C591&amp;" (introuvable)"))</f>
        <v>✓ tete</v>
      </c>
      <c r="E596" s="35" t="str">
        <f>IF(Liens!D591="","",IF(COUNTIF(Mots!A:A,Liens!D591)&gt;0,"✓ "&amp;Liens!D591,"✗ "&amp;Liens!D591&amp;" (introuvable)"))</f>
        <v>✓ v_dormir</v>
      </c>
      <c r="F596" s="35" t="str">
        <f>IF(Liens!E591="","",IF(COUNTIF(Mots!A:A,Liens!E591)&gt;0,"✓ "&amp;Liens!E591,"✗ "&amp;Liens!E591&amp;" (introuvable)"))</f>
        <v>✓ chambre</v>
      </c>
      <c r="G596" s="35" t="str">
        <f>IF(Liens!F591="","",IF(COUNTIF(Mots!A:A,Liens!F591)&gt;0,"✓ "&amp;Liens!F591,"✗ "&amp;Liens!F591&amp;" (introuvable)"))</f>
        <v>✓ lit</v>
      </c>
      <c r="H596" s="35" t="str">
        <f>IF(Liens!G591="","",IF(COUNTIF(Mots!A:A,Liens!G591)&gt;0,"✓ "&amp;Liens!G591,"✗ "&amp;Liens!G591&amp;" (introuvable)"))</f>
        <v>✓ duvet</v>
      </c>
      <c r="I596" s="35" t="str">
        <f>IF(Liens!H591="","",IF(COUNTIF(Mots!A:A,Liens!H591)&gt;0,"✓ "&amp;Liens!H591,"✗ "&amp;Liens!H591&amp;" (introuvable)"))</f>
        <v/>
      </c>
    </row>
    <row r="597" spans="1:9" x14ac:dyDescent="0.3">
      <c r="A597">
        <f t="shared" si="6"/>
        <v>592</v>
      </c>
      <c r="B597" s="35" t="str">
        <f>IF(Liens!A592="","",IF(COUNTIF(Mots!A:A,Liens!A592)&gt;0,"✓ "&amp;Liens!A592,"✗ "&amp;Liens!A592&amp;" (introuvable)"))</f>
        <v>✓ os</v>
      </c>
      <c r="C597" s="35" t="str">
        <f>IF(Liens!B592="","",IF(COUNTIF(Mots!A:A,Liens!B592)&gt;0,"✓ "&amp;Liens!B592,"✗ "&amp;Liens!B592&amp;" (introuvable)"))</f>
        <v>✓ squelette</v>
      </c>
      <c r="D597" s="35" t="str">
        <f>IF(Liens!C592="","",IF(COUNTIF(Mots!A:A,Liens!C592)&gt;0,"✓ "&amp;Liens!C592,"✗ "&amp;Liens!C592&amp;" (introuvable)"))</f>
        <v>✓ corps_humain</v>
      </c>
      <c r="E597" s="35" t="str">
        <f>IF(Liens!D592="","",IF(COUNTIF(Mots!A:A,Liens!D592)&gt;0,"✓ "&amp;Liens!D592,"✗ "&amp;Liens!D592&amp;" (introuvable)"))</f>
        <v/>
      </c>
      <c r="F597" s="35" t="str">
        <f>IF(Liens!E592="","",IF(COUNTIF(Mots!A:A,Liens!E592)&gt;0,"✓ "&amp;Liens!E592,"✗ "&amp;Liens!E592&amp;" (introuvable)"))</f>
        <v/>
      </c>
      <c r="G597" s="35" t="str">
        <f>IF(Liens!F592="","",IF(COUNTIF(Mots!A:A,Liens!F592)&gt;0,"✓ "&amp;Liens!F592,"✗ "&amp;Liens!F592&amp;" (introuvable)"))</f>
        <v/>
      </c>
      <c r="H597" s="35" t="str">
        <f>IF(Liens!G592="","",IF(COUNTIF(Mots!A:A,Liens!G592)&gt;0,"✓ "&amp;Liens!G592,"✗ "&amp;Liens!G592&amp;" (introuvable)"))</f>
        <v/>
      </c>
      <c r="I597" s="35" t="str">
        <f>IF(Liens!H592="","",IF(COUNTIF(Mots!A:A,Liens!H592)&gt;0,"✓ "&amp;Liens!H592,"✗ "&amp;Liens!H592&amp;" (introuvable)"))</f>
        <v/>
      </c>
    </row>
    <row r="598" spans="1:9" x14ac:dyDescent="0.3">
      <c r="A598">
        <f t="shared" si="6"/>
        <v>593</v>
      </c>
      <c r="B598" s="35" t="str">
        <f>IF(Liens!A593="","",IF(COUNTIF(Mots!A:A,Liens!A593)&gt;0,"✓ "&amp;Liens!A593,"✗ "&amp;Liens!A593&amp;" (introuvable)"))</f>
        <v>✓ ours</v>
      </c>
      <c r="C598" s="35" t="str">
        <f>IF(Liens!B593="","",IF(COUNTIF(Mots!A:A,Liens!B593)&gt;0,"✓ "&amp;Liens!B593,"✗ "&amp;Liens!B593&amp;" (introuvable)"))</f>
        <v>✓ animal</v>
      </c>
      <c r="D598" s="35" t="str">
        <f>IF(Liens!C593="","",IF(COUNTIF(Mots!A:A,Liens!C593)&gt;0,"✓ "&amp;Liens!C593,"✗ "&amp;Liens!C593&amp;" (introuvable)"))</f>
        <v>✓ fourrure</v>
      </c>
      <c r="E598" s="35" t="str">
        <f>IF(Liens!D593="","",IF(COUNTIF(Mots!A:A,Liens!D593)&gt;0,"✓ "&amp;Liens!D593,"✗ "&amp;Liens!D593&amp;" (introuvable)"))</f>
        <v>✓ a_sauvage</v>
      </c>
      <c r="F598" s="35" t="str">
        <f>IF(Liens!E593="","",IF(COUNTIF(Mots!A:A,Liens!E593)&gt;0,"✓ "&amp;Liens!E593,"✗ "&amp;Liens!E593&amp;" (introuvable)"))</f>
        <v/>
      </c>
      <c r="G598" s="35" t="str">
        <f>IF(Liens!F593="","",IF(COUNTIF(Mots!A:A,Liens!F593)&gt;0,"✓ "&amp;Liens!F593,"✗ "&amp;Liens!F593&amp;" (introuvable)"))</f>
        <v/>
      </c>
      <c r="H598" s="35" t="str">
        <f>IF(Liens!G593="","",IF(COUNTIF(Mots!A:A,Liens!G593)&gt;0,"✓ "&amp;Liens!G593,"✗ "&amp;Liens!G593&amp;" (introuvable)"))</f>
        <v/>
      </c>
      <c r="I598" s="35" t="str">
        <f>IF(Liens!H593="","",IF(COUNTIF(Mots!A:A,Liens!H593)&gt;0,"✓ "&amp;Liens!H593,"✗ "&amp;Liens!H593&amp;" (introuvable)"))</f>
        <v/>
      </c>
    </row>
    <row r="599" spans="1:9" x14ac:dyDescent="0.3">
      <c r="A599">
        <f t="shared" si="6"/>
        <v>594</v>
      </c>
      <c r="B599" s="35" t="str">
        <f>IF(Liens!A594="","",IF(COUNTIF(Mots!A:A,Liens!A594)&gt;0,"✓ "&amp;Liens!A594,"✗ "&amp;Liens!A594&amp;" (introuvable)"))</f>
        <v>✓ outil</v>
      </c>
      <c r="C599" s="35" t="str">
        <f>IF(Liens!B594="","",IF(COUNTIF(Mots!A:A,Liens!B594)&gt;0,"✓ "&amp;Liens!B594,"✗ "&amp;Liens!B594&amp;" (introuvable)"))</f>
        <v>✓ objet</v>
      </c>
      <c r="D599" s="35" t="str">
        <f>IF(Liens!C594="","",IF(COUNTIF(Mots!A:A,Liens!C594)&gt;0,"✓ "&amp;Liens!C594,"✗ "&amp;Liens!C594&amp;" (introuvable)"))</f>
        <v>✓ travail</v>
      </c>
      <c r="E599" s="35" t="str">
        <f>IF(Liens!D594="","",IF(COUNTIF(Mots!A:A,Liens!D594)&gt;0,"✓ "&amp;Liens!D594,"✗ "&amp;Liens!D594&amp;" (introuvable)"))</f>
        <v>✓ marteau</v>
      </c>
      <c r="F599" s="35" t="str">
        <f>IF(Liens!E594="","",IF(COUNTIF(Mots!A:A,Liens!E594)&gt;0,"✓ "&amp;Liens!E594,"✗ "&amp;Liens!E594&amp;" (introuvable)"))</f>
        <v>✓ tournevis</v>
      </c>
      <c r="G599" s="35" t="str">
        <f>IF(Liens!F594="","",IF(COUNTIF(Mots!A:A,Liens!F594)&gt;0,"✓ "&amp;Liens!F594,"✗ "&amp;Liens!F594&amp;" (introuvable)"))</f>
        <v>✓ pince</v>
      </c>
      <c r="H599" s="35" t="str">
        <f>IF(Liens!G594="","",IF(COUNTIF(Mots!A:A,Liens!G594)&gt;0,"✓ "&amp;Liens!G594,"✗ "&amp;Liens!G594&amp;" (introuvable)"))</f>
        <v>✓ ciseaux</v>
      </c>
      <c r="I599" s="35" t="str">
        <f>IF(Liens!H594="","",IF(COUNTIF(Mots!A:A,Liens!H594)&gt;0,"✓ "&amp;Liens!H594,"✗ "&amp;Liens!H594&amp;" (introuvable)"))</f>
        <v>✓ debroussailleuse</v>
      </c>
    </row>
    <row r="600" spans="1:9" x14ac:dyDescent="0.3">
      <c r="A600">
        <f t="shared" si="6"/>
        <v>595</v>
      </c>
      <c r="B600" s="35" t="str">
        <f>IF(Liens!A595="","",IF(COUNTIF(Mots!A:A,Liens!A595)&gt;0,"✓ "&amp;Liens!A595,"✗ "&amp;Liens!A595&amp;" (introuvable)"))</f>
        <v>✓ p_lune</v>
      </c>
      <c r="C600" s="35" t="str">
        <f>IF(Liens!B595="","",IF(COUNTIF(Mots!A:A,Liens!B595)&gt;0,"✓ "&amp;Liens!B595,"✗ "&amp;Liens!B595&amp;" (introuvable)"))</f>
        <v>✓ ciel</v>
      </c>
      <c r="D600" s="35" t="str">
        <f>IF(Liens!C595="","",IF(COUNTIF(Mots!A:A,Liens!C595)&gt;0,"✓ "&amp;Liens!C595,"✗ "&amp;Liens!C595&amp;" (introuvable)"))</f>
        <v>✓ nuit</v>
      </c>
      <c r="E600" s="35" t="str">
        <f>IF(Liens!D595="","",IF(COUNTIF(Mots!A:A,Liens!D595)&gt;0,"✓ "&amp;Liens!D595,"✗ "&amp;Liens!D595&amp;" (introuvable)"))</f>
        <v>✓ a_clair_sombre</v>
      </c>
      <c r="F600" s="35" t="str">
        <f>IF(Liens!E595="","",IF(COUNTIF(Mots!A:A,Liens!E595)&gt;0,"✓ "&amp;Liens!E595,"✗ "&amp;Liens!E595&amp;" (introuvable)"))</f>
        <v>✓ p_terre</v>
      </c>
      <c r="G600" s="35" t="str">
        <f>IF(Liens!F595="","",IF(COUNTIF(Mots!A:A,Liens!F595)&gt;0,"✓ "&amp;Liens!F595,"✗ "&amp;Liens!F595&amp;" (introuvable)"))</f>
        <v/>
      </c>
      <c r="H600" s="35" t="str">
        <f>IF(Liens!G595="","",IF(COUNTIF(Mots!A:A,Liens!G595)&gt;0,"✓ "&amp;Liens!G595,"✗ "&amp;Liens!G595&amp;" (introuvable)"))</f>
        <v/>
      </c>
      <c r="I600" s="35" t="str">
        <f>IF(Liens!H595="","",IF(COUNTIF(Mots!A:A,Liens!H595)&gt;0,"✓ "&amp;Liens!H595,"✗ "&amp;Liens!H595&amp;" (introuvable)"))</f>
        <v/>
      </c>
    </row>
    <row r="601" spans="1:9" x14ac:dyDescent="0.3">
      <c r="A601">
        <f t="shared" si="6"/>
        <v>596</v>
      </c>
      <c r="B601" s="35" t="str">
        <f>IF(Liens!A596="","",IF(COUNTIF(Mots!A:A,Liens!A596)&gt;0,"✓ "&amp;Liens!A596,"✗ "&amp;Liens!A596&amp;" (introuvable)"))</f>
        <v>✓ page</v>
      </c>
      <c r="C601" s="35" t="str">
        <f>IF(Liens!B596="","",IF(COUNTIF(Mots!A:A,Liens!B596)&gt;0,"✓ "&amp;Liens!B596,"✗ "&amp;Liens!B596&amp;" (introuvable)"))</f>
        <v>✓ feuille_papier</v>
      </c>
      <c r="D601" s="35" t="str">
        <f>IF(Liens!C596="","",IF(COUNTIF(Mots!A:A,Liens!C596)&gt;0,"✓ "&amp;Liens!C596,"✗ "&amp;Liens!C596&amp;" (introuvable)"))</f>
        <v>✓ livre</v>
      </c>
      <c r="E601" s="35" t="str">
        <f>IF(Liens!D596="","",IF(COUNTIF(Mots!A:A,Liens!D596)&gt;0,"✓ "&amp;Liens!D596,"✗ "&amp;Liens!D596&amp;" (introuvable)"))</f>
        <v>✓ cahier</v>
      </c>
      <c r="F601" s="35" t="str">
        <f>IF(Liens!E596="","",IF(COUNTIF(Mots!A:A,Liens!E596)&gt;0,"✓ "&amp;Liens!E596,"✗ "&amp;Liens!E596&amp;" (introuvable)"))</f>
        <v>✓ v_tourner</v>
      </c>
      <c r="G601" s="35" t="str">
        <f>IF(Liens!F596="","",IF(COUNTIF(Mots!A:A,Liens!F596)&gt;0,"✓ "&amp;Liens!F596,"✗ "&amp;Liens!F596&amp;" (introuvable)"))</f>
        <v/>
      </c>
      <c r="H601" s="35" t="str">
        <f>IF(Liens!G596="","",IF(COUNTIF(Mots!A:A,Liens!G596)&gt;0,"✓ "&amp;Liens!G596,"✗ "&amp;Liens!G596&amp;" (introuvable)"))</f>
        <v/>
      </c>
      <c r="I601" s="35" t="str">
        <f>IF(Liens!H596="","",IF(COUNTIF(Mots!A:A,Liens!H596)&gt;0,"✓ "&amp;Liens!H596,"✗ "&amp;Liens!H596&amp;" (introuvable)"))</f>
        <v/>
      </c>
    </row>
    <row r="602" spans="1:9" x14ac:dyDescent="0.3">
      <c r="A602">
        <f t="shared" si="6"/>
        <v>597</v>
      </c>
      <c r="B602" s="35" t="str">
        <f>IF(Liens!A597="","",IF(COUNTIF(Mots!A:A,Liens!A597)&gt;0,"✓ "&amp;Liens!A597,"✗ "&amp;Liens!A597&amp;" (introuvable)"))</f>
        <v>✓ pain</v>
      </c>
      <c r="C602" s="35" t="str">
        <f>IF(Liens!B597="","",IF(COUNTIF(Mots!A:A,Liens!B597)&gt;0,"✓ "&amp;Liens!B597,"✗ "&amp;Liens!B597&amp;" (introuvable)"))</f>
        <v>✓ cuisine</v>
      </c>
      <c r="D602" s="35" t="str">
        <f>IF(Liens!C597="","",IF(COUNTIF(Mots!A:A,Liens!C597)&gt;0,"✓ "&amp;Liens!C597,"✗ "&amp;Liens!C597&amp;" (introuvable)"))</f>
        <v>✓ buffet</v>
      </c>
      <c r="E602" s="35" t="str">
        <f>IF(Liens!D597="","",IF(COUNTIF(Mots!A:A,Liens!D597)&gt;0,"✓ "&amp;Liens!D597,"✗ "&amp;Liens!D597&amp;" (introuvable)"))</f>
        <v>✓ farine</v>
      </c>
      <c r="F602" s="35" t="str">
        <f>IF(Liens!E597="","",IF(COUNTIF(Mots!A:A,Liens!E597)&gt;0,"✓ "&amp;Liens!E597,"✗ "&amp;Liens!E597&amp;" (introuvable)"))</f>
        <v>✓ four</v>
      </c>
      <c r="G602" s="35" t="str">
        <f>IF(Liens!F597="","",IF(COUNTIF(Mots!A:A,Liens!F597)&gt;0,"✓ "&amp;Liens!F597,"✗ "&amp;Liens!F597&amp;" (introuvable)"))</f>
        <v>✓ v_manger</v>
      </c>
      <c r="H602" s="35" t="str">
        <f>IF(Liens!G597="","",IF(COUNTIF(Mots!A:A,Liens!G597)&gt;0,"✓ "&amp;Liens!G597,"✗ "&amp;Liens!G597&amp;" (introuvable)"))</f>
        <v>✓ souper</v>
      </c>
      <c r="I602" s="35" t="str">
        <f>IF(Liens!H597="","",IF(COUNTIF(Mots!A:A,Liens!H597)&gt;0,"✓ "&amp;Liens!H597,"✗ "&amp;Liens!H597&amp;" (introuvable)"))</f>
        <v/>
      </c>
    </row>
    <row r="603" spans="1:9" x14ac:dyDescent="0.3">
      <c r="A603">
        <f t="shared" si="6"/>
        <v>598</v>
      </c>
      <c r="B603" s="35" t="str">
        <f>IF(Liens!A598="","",IF(COUNTIF(Mots!A:A,Liens!A598)&gt;0,"✓ "&amp;Liens!A598,"✗ "&amp;Liens!A598&amp;" (introuvable)"))</f>
        <v>✓ paire</v>
      </c>
      <c r="C603" s="35" t="str">
        <f>IF(Liens!B598="","",IF(COUNTIF(Mots!A:A,Liens!B598)&gt;0,"✓ "&amp;Liens!B598,"✗ "&amp;Liens!B598&amp;" (introuvable)"))</f>
        <v>✓ quantite</v>
      </c>
      <c r="D603" s="35" t="str">
        <f>IF(Liens!C598="","",IF(COUNTIF(Mots!A:A,Liens!C598)&gt;0,"✓ "&amp;Liens!C598,"✗ "&amp;Liens!C598&amp;" (introuvable)"))</f>
        <v>✓ a_pareil</v>
      </c>
      <c r="E603" s="35" t="str">
        <f>IF(Liens!D598="","",IF(COUNTIF(Mots!A:A,Liens!D598)&gt;0,"✓ "&amp;Liens!D598,"✗ "&amp;Liens!D598&amp;" (introuvable)"))</f>
        <v>✓ nombre</v>
      </c>
      <c r="F603" s="35" t="str">
        <f>IF(Liens!E598="","",IF(COUNTIF(Mots!A:A,Liens!E598)&gt;0,"✓ "&amp;Liens!E598,"✗ "&amp;Liens!E598&amp;" (introuvable)"))</f>
        <v/>
      </c>
      <c r="G603" s="35" t="str">
        <f>IF(Liens!F598="","",IF(COUNTIF(Mots!A:A,Liens!F598)&gt;0,"✓ "&amp;Liens!F598,"✗ "&amp;Liens!F598&amp;" (introuvable)"))</f>
        <v/>
      </c>
      <c r="H603" s="35" t="str">
        <f>IF(Liens!G598="","",IF(COUNTIF(Mots!A:A,Liens!G598)&gt;0,"✓ "&amp;Liens!G598,"✗ "&amp;Liens!G598&amp;" (introuvable)"))</f>
        <v/>
      </c>
      <c r="I603" s="35" t="str">
        <f>IF(Liens!H598="","",IF(COUNTIF(Mots!A:A,Liens!H598)&gt;0,"✓ "&amp;Liens!H598,"✗ "&amp;Liens!H598&amp;" (introuvable)"))</f>
        <v/>
      </c>
    </row>
    <row r="604" spans="1:9" x14ac:dyDescent="0.3">
      <c r="A604">
        <f t="shared" si="6"/>
        <v>599</v>
      </c>
      <c r="B604" s="35" t="str">
        <f>IF(Liens!A599="","",IF(COUNTIF(Mots!A:A,Liens!A599)&gt;0,"✓ "&amp;Liens!A599,"✗ "&amp;Liens!A599&amp;" (introuvable)"))</f>
        <v>✓ paix</v>
      </c>
      <c r="C604" s="35" t="str">
        <f>IF(Liens!B599="","",IF(COUNTIF(Mots!A:A,Liens!B599)&gt;0,"✓ "&amp;Liens!B599,"✗ "&amp;Liens!B599&amp;" (introuvable)"))</f>
        <v>✓ joie</v>
      </c>
      <c r="D604" s="35" t="str">
        <f>IF(Liens!C599="","",IF(COUNTIF(Mots!A:A,Liens!C599)&gt;0,"✓ "&amp;Liens!C599,"✗ "&amp;Liens!C599&amp;" (introuvable)"))</f>
        <v>✓ bonheur</v>
      </c>
      <c r="E604" s="35" t="str">
        <f>IF(Liens!D599="","",IF(COUNTIF(Mots!A:A,Liens!D599)&gt;0,"✓ "&amp;Liens!D599,"✗ "&amp;Liens!D599&amp;" (introuvable)"))</f>
        <v>✓ reconciliation</v>
      </c>
      <c r="F604" s="35" t="str">
        <f>IF(Liens!E599="","",IF(COUNTIF(Mots!A:A,Liens!E599)&gt;0,"✓ "&amp;Liens!E599,"✗ "&amp;Liens!E599&amp;" (introuvable)"))</f>
        <v>✓ guerre</v>
      </c>
      <c r="G604" s="35" t="str">
        <f>IF(Liens!F599="","",IF(COUNTIF(Mots!A:A,Liens!F599)&gt;0,"✓ "&amp;Liens!F599,"✗ "&amp;Liens!F599&amp;" (introuvable)"))</f>
        <v>✓ dispute</v>
      </c>
      <c r="H604" s="35" t="str">
        <f>IF(Liens!G599="","",IF(COUNTIF(Mots!A:A,Liens!G599)&gt;0,"✓ "&amp;Liens!G599,"✗ "&amp;Liens!G599&amp;" (introuvable)"))</f>
        <v>✓ ami</v>
      </c>
      <c r="I604" s="35" t="str">
        <f>IF(Liens!H599="","",IF(COUNTIF(Mots!A:A,Liens!H599)&gt;0,"✓ "&amp;Liens!H599,"✗ "&amp;Liens!H599&amp;" (introuvable)"))</f>
        <v/>
      </c>
    </row>
    <row r="605" spans="1:9" x14ac:dyDescent="0.3">
      <c r="A605">
        <f t="shared" si="6"/>
        <v>600</v>
      </c>
      <c r="B605" s="35" t="str">
        <f>IF(Liens!A600="","",IF(COUNTIF(Mots!A:A,Liens!A600)&gt;0,"✓ "&amp;Liens!A600,"✗ "&amp;Liens!A600&amp;" (introuvable)"))</f>
        <v>✓ panier</v>
      </c>
      <c r="C605" s="35" t="str">
        <f>IF(Liens!B600="","",IF(COUNTIF(Mots!A:A,Liens!B600)&gt;0,"✓ "&amp;Liens!B600,"✗ "&amp;Liens!B600&amp;" (introuvable)"))</f>
        <v>✓ recipient</v>
      </c>
      <c r="D605" s="35" t="str">
        <f>IF(Liens!C600="","",IF(COUNTIF(Mots!A:A,Liens!C600)&gt;0,"✓ "&amp;Liens!C600,"✗ "&amp;Liens!C600&amp;" (introuvable)"))</f>
        <v>✓ anse</v>
      </c>
      <c r="E605" s="35" t="str">
        <f>IF(Liens!D600="","",IF(COUNTIF(Mots!A:A,Liens!D600)&gt;0,"✓ "&amp;Liens!D600,"✗ "&amp;Liens!D600&amp;" (introuvable)"))</f>
        <v>✓ nourriture</v>
      </c>
      <c r="F605" s="35" t="str">
        <f>IF(Liens!E600="","",IF(COUNTIF(Mots!A:A,Liens!E600)&gt;0,"✓ "&amp;Liens!E600,"✗ "&amp;Liens!E600&amp;" (introuvable)"))</f>
        <v>✓ boisson</v>
      </c>
      <c r="G605" s="35" t="str">
        <f>IF(Liens!F600="","",IF(COUNTIF(Mots!A:A,Liens!F600)&gt;0,"✓ "&amp;Liens!F600,"✗ "&amp;Liens!F600&amp;" (introuvable)"))</f>
        <v>✓ legume</v>
      </c>
      <c r="H605" s="35" t="str">
        <f>IF(Liens!G600="","",IF(COUNTIF(Mots!A:A,Liens!G600)&gt;0,"✓ "&amp;Liens!G600,"✗ "&amp;Liens!G600&amp;" (introuvable)"))</f>
        <v>✓ fruit</v>
      </c>
      <c r="I605" s="35" t="str">
        <f>IF(Liens!H600="","",IF(COUNTIF(Mots!A:A,Liens!H600)&gt;0,"✓ "&amp;Liens!H600,"✗ "&amp;Liens!H600&amp;" (introuvable)"))</f>
        <v>✓ v_acheter</v>
      </c>
    </row>
    <row r="606" spans="1:9" x14ac:dyDescent="0.3">
      <c r="A606">
        <f t="shared" si="6"/>
        <v>601</v>
      </c>
      <c r="B606" s="35" t="str">
        <f>IF(Liens!A601="","",IF(COUNTIF(Mots!A:A,Liens!A601)&gt;0,"✓ "&amp;Liens!A601,"✗ "&amp;Liens!A601&amp;" (introuvable)"))</f>
        <v>✓ panne</v>
      </c>
      <c r="C606" s="35" t="str">
        <f>IF(Liens!B601="","",IF(COUNTIF(Mots!A:A,Liens!B601)&gt;0,"✓ "&amp;Liens!B601,"✗ "&amp;Liens!B601&amp;" (introuvable)"))</f>
        <v>✓ voiture</v>
      </c>
      <c r="D606" s="35" t="str">
        <f>IF(Liens!C601="","",IF(COUNTIF(Mots!A:A,Liens!C601)&gt;0,"✓ "&amp;Liens!C601,"✗ "&amp;Liens!C601&amp;" (introuvable)"))</f>
        <v>✓ mecanicien</v>
      </c>
      <c r="E606" s="35" t="str">
        <f>IF(Liens!D601="","",IF(COUNTIF(Mots!A:A,Liens!D601)&gt;0,"✓ "&amp;Liens!D601,"✗ "&amp;Liens!D601&amp;" (introuvable)"))</f>
        <v>✓ v_reparer</v>
      </c>
      <c r="F606" s="35" t="str">
        <f>IF(Liens!E601="","",IF(COUNTIF(Mots!A:A,Liens!E601)&gt;0,"✓ "&amp;Liens!E601,"✗ "&amp;Liens!E601&amp;" (introuvable)"))</f>
        <v>✓ moment</v>
      </c>
      <c r="G606" s="35" t="str">
        <f>IF(Liens!F601="","",IF(COUNTIF(Mots!A:A,Liens!F601)&gt;0,"✓ "&amp;Liens!F601,"✗ "&amp;Liens!F601&amp;" (introuvable)"))</f>
        <v>✓ accident</v>
      </c>
      <c r="H606" s="35" t="str">
        <f>IF(Liens!G601="","",IF(COUNTIF(Mots!A:A,Liens!G601)&gt;0,"✓ "&amp;Liens!G601,"✗ "&amp;Liens!G601&amp;" (introuvable)"))</f>
        <v>✓ danger</v>
      </c>
      <c r="I606" s="35" t="str">
        <f>IF(Liens!H601="","",IF(COUNTIF(Mots!A:A,Liens!H601)&gt;0,"✓ "&amp;Liens!H601,"✗ "&amp;Liens!H601&amp;" (introuvable)"))</f>
        <v/>
      </c>
    </row>
    <row r="607" spans="1:9" x14ac:dyDescent="0.3">
      <c r="A607">
        <f t="shared" si="6"/>
        <v>602</v>
      </c>
      <c r="B607" s="35" t="str">
        <f>IF(Liens!A602="","",IF(COUNTIF(Mots!A:A,Liens!A602)&gt;0,"✓ "&amp;Liens!A602,"✗ "&amp;Liens!A602&amp;" (introuvable)"))</f>
        <v>✓ panneau</v>
      </c>
      <c r="C607" s="35" t="str">
        <f>IF(Liens!B602="","",IF(COUNTIF(Mots!A:A,Liens!B602)&gt;0,"✓ "&amp;Liens!B602,"✗ "&amp;Liens!B602&amp;" (introuvable)"))</f>
        <v>✓ route</v>
      </c>
      <c r="D607" s="35" t="str">
        <f>IF(Liens!C602="","",IF(COUNTIF(Mots!A:A,Liens!C602)&gt;0,"✓ "&amp;Liens!C602,"✗ "&amp;Liens!C602&amp;" (introuvable)"))</f>
        <v>✓ voiture</v>
      </c>
      <c r="E607" s="35" t="str">
        <f>IF(Liens!D602="","",IF(COUNTIF(Mots!A:A,Liens!D602)&gt;0,"✓ "&amp;Liens!D602,"✗ "&amp;Liens!D602&amp;" (introuvable)"))</f>
        <v>✓ v_conduire</v>
      </c>
      <c r="F607" s="35" t="str">
        <f>IF(Liens!E602="","",IF(COUNTIF(Mots!A:A,Liens!E602)&gt;0,"✓ "&amp;Liens!E602,"✗ "&amp;Liens!E602&amp;" (introuvable)"))</f>
        <v>✓ vitesse</v>
      </c>
      <c r="G607" s="35" t="str">
        <f>IF(Liens!F602="","",IF(COUNTIF(Mots!A:A,Liens!F602)&gt;0,"✓ "&amp;Liens!F602,"✗ "&amp;Liens!F602&amp;" (introuvable)"))</f>
        <v>✓ danger</v>
      </c>
      <c r="H607" s="35" t="str">
        <f>IF(Liens!G602="","",IF(COUNTIF(Mots!A:A,Liens!G602)&gt;0,"✓ "&amp;Liens!G602,"✗ "&amp;Liens!G602&amp;" (introuvable)"))</f>
        <v/>
      </c>
      <c r="I607" s="35" t="str">
        <f>IF(Liens!H602="","",IF(COUNTIF(Mots!A:A,Liens!H602)&gt;0,"✓ "&amp;Liens!H602,"✗ "&amp;Liens!H602&amp;" (introuvable)"))</f>
        <v/>
      </c>
    </row>
    <row r="608" spans="1:9" x14ac:dyDescent="0.3">
      <c r="A608">
        <f t="shared" si="6"/>
        <v>603</v>
      </c>
      <c r="B608" s="35" t="str">
        <f>IF(Liens!A603="","",IF(COUNTIF(Mots!A:A,Liens!A603)&gt;0,"✓ "&amp;Liens!A603,"✗ "&amp;Liens!A603&amp;" (introuvable)"))</f>
        <v>✓ pansement</v>
      </c>
      <c r="C608" s="35" t="str">
        <f>IF(Liens!B603="","",IF(COUNTIF(Mots!A:A,Liens!B603)&gt;0,"✓ "&amp;Liens!B603,"✗ "&amp;Liens!B603&amp;" (introuvable)"))</f>
        <v>✓ blessure</v>
      </c>
      <c r="D608" s="35" t="str">
        <f>IF(Liens!C603="","",IF(COUNTIF(Mots!A:A,Liens!C603)&gt;0,"✓ "&amp;Liens!C603,"✗ "&amp;Liens!C603&amp;" (introuvable)"))</f>
        <v>✓ v_soigner</v>
      </c>
      <c r="E608" s="35" t="str">
        <f>IF(Liens!D603="","",IF(COUNTIF(Mots!A:A,Liens!D603)&gt;0,"✓ "&amp;Liens!D603,"✗ "&amp;Liens!D603&amp;" (introuvable)"))</f>
        <v>✓ infirmier</v>
      </c>
      <c r="F608" s="35" t="str">
        <f>IF(Liens!E603="","",IF(COUNTIF(Mots!A:A,Liens!E603)&gt;0,"✓ "&amp;Liens!E603,"✗ "&amp;Liens!E603&amp;" (introuvable)"))</f>
        <v>✓ bandage</v>
      </c>
      <c r="G608" s="35" t="str">
        <f>IF(Liens!F603="","",IF(COUNTIF(Mots!A:A,Liens!F603)&gt;0,"✓ "&amp;Liens!F603,"✗ "&amp;Liens!F603&amp;" (introuvable)"))</f>
        <v/>
      </c>
      <c r="H608" s="35" t="str">
        <f>IF(Liens!G603="","",IF(COUNTIF(Mots!A:A,Liens!G603)&gt;0,"✓ "&amp;Liens!G603,"✗ "&amp;Liens!G603&amp;" (introuvable)"))</f>
        <v/>
      </c>
      <c r="I608" s="35" t="str">
        <f>IF(Liens!H603="","",IF(COUNTIF(Mots!A:A,Liens!H603)&gt;0,"✓ "&amp;Liens!H603,"✗ "&amp;Liens!H603&amp;" (introuvable)"))</f>
        <v/>
      </c>
    </row>
    <row r="609" spans="1:9" x14ac:dyDescent="0.3">
      <c r="A609">
        <f t="shared" si="6"/>
        <v>604</v>
      </c>
      <c r="B609" s="35" t="str">
        <f>IF(Liens!A604="","",IF(COUNTIF(Mots!A:A,Liens!A604)&gt;0,"✓ "&amp;Liens!A604,"✗ "&amp;Liens!A604&amp;" (introuvable)"))</f>
        <v>✓ pantalon</v>
      </c>
      <c r="C609" s="35" t="str">
        <f>IF(Liens!B604="","",IF(COUNTIF(Mots!A:A,Liens!B604)&gt;0,"✓ "&amp;Liens!B604,"✗ "&amp;Liens!B604&amp;" (introuvable)"))</f>
        <v>✓ vetement</v>
      </c>
      <c r="D609" s="35" t="str">
        <f>IF(Liens!C604="","",IF(COUNTIF(Mots!A:A,Liens!C604)&gt;0,"✓ "&amp;Liens!C604,"✗ "&amp;Liens!C604&amp;" (introuvable)"))</f>
        <v>✓ jambe</v>
      </c>
      <c r="E609" s="35" t="str">
        <f>IF(Liens!D604="","",IF(COUNTIF(Mots!A:A,Liens!D604)&gt;0,"✓ "&amp;Liens!D604,"✗ "&amp;Liens!D604&amp;" (introuvable)"))</f>
        <v>✓ chemise</v>
      </c>
      <c r="F609" s="35" t="str">
        <f>IF(Liens!E604="","",IF(COUNTIF(Mots!A:A,Liens!E604)&gt;0,"✓ "&amp;Liens!E604,"✗ "&amp;Liens!E604&amp;" (introuvable)"))</f>
        <v>✓ bas</v>
      </c>
      <c r="G609" s="35" t="str">
        <f>IF(Liens!F604="","",IF(COUNTIF(Mots!A:A,Liens!F604)&gt;0,"✓ "&amp;Liens!F604,"✗ "&amp;Liens!F604&amp;" (introuvable)"))</f>
        <v>✓ souliers</v>
      </c>
      <c r="H609" s="35" t="str">
        <f>IF(Liens!G604="","",IF(COUNTIF(Mots!A:A,Liens!G604)&gt;0,"✓ "&amp;Liens!G604,"✗ "&amp;Liens!G604&amp;" (introuvable)"))</f>
        <v>✓ cuissettes</v>
      </c>
      <c r="I609" s="35" t="str">
        <f>IF(Liens!H604="","",IF(COUNTIF(Mots!A:A,Liens!H604)&gt;0,"✓ "&amp;Liens!H604,"✗ "&amp;Liens!H604&amp;" (introuvable)"))</f>
        <v>✓ a_chaud_froid</v>
      </c>
    </row>
    <row r="610" spans="1:9" x14ac:dyDescent="0.3">
      <c r="A610">
        <f t="shared" si="6"/>
        <v>605</v>
      </c>
      <c r="B610" s="35" t="str">
        <f>IF(Liens!A605="","",IF(COUNTIF(Mots!A:A,Liens!A605)&gt;0,"✓ "&amp;Liens!A605,"✗ "&amp;Liens!A605&amp;" (introuvable)"))</f>
        <v>✓ papier</v>
      </c>
      <c r="C610" s="35" t="str">
        <f>IF(Liens!B605="","",IF(COUNTIF(Mots!A:A,Liens!B605)&gt;0,"✓ "&amp;Liens!B605,"✗ "&amp;Liens!B605&amp;" (introuvable)"))</f>
        <v>✓ feuille_papier</v>
      </c>
      <c r="D610" s="35" t="str">
        <f>IF(Liens!C605="","",IF(COUNTIF(Mots!A:A,Liens!C605)&gt;0,"✓ "&amp;Liens!C605,"✗ "&amp;Liens!C605&amp;" (introuvable)"))</f>
        <v>✓ a_epais_fin</v>
      </c>
      <c r="E610" s="35" t="str">
        <f>IF(Liens!D605="","",IF(COUNTIF(Mots!A:A,Liens!D605)&gt;0,"✓ "&amp;Liens!D605,"✗ "&amp;Liens!D605&amp;" (introuvable)"))</f>
        <v>✓ v_ecrire</v>
      </c>
      <c r="F610" s="35" t="str">
        <f>IF(Liens!E605="","",IF(COUNTIF(Mots!A:A,Liens!E605)&gt;0,"✓ "&amp;Liens!E605,"✗ "&amp;Liens!E605&amp;" (introuvable)"))</f>
        <v>✓ stylo</v>
      </c>
      <c r="G610" s="35" t="str">
        <f>IF(Liens!F605="","",IF(COUNTIF(Mots!A:A,Liens!F605)&gt;0,"✓ "&amp;Liens!F605,"✗ "&amp;Liens!F605&amp;" (introuvable)"))</f>
        <v>✓ crayon</v>
      </c>
      <c r="H610" s="35" t="str">
        <f>IF(Liens!G605="","",IF(COUNTIF(Mots!A:A,Liens!G605)&gt;0,"✓ "&amp;Liens!G605,"✗ "&amp;Liens!G605&amp;" (introuvable)"))</f>
        <v>✓ v_lire</v>
      </c>
      <c r="I610" s="35" t="str">
        <f>IF(Liens!H605="","",IF(COUNTIF(Mots!A:A,Liens!H605)&gt;0,"✓ "&amp;Liens!H605,"✗ "&amp;Liens!H605&amp;" (introuvable)"))</f>
        <v>✓ livre</v>
      </c>
    </row>
    <row r="611" spans="1:9" x14ac:dyDescent="0.3">
      <c r="A611">
        <f t="shared" si="6"/>
        <v>606</v>
      </c>
      <c r="B611" s="35" t="str">
        <f>IF(Liens!A606="","",IF(COUNTIF(Mots!A:A,Liens!A606)&gt;0,"✓ "&amp;Liens!A606,"✗ "&amp;Liens!A606&amp;" (introuvable)"))</f>
        <v>✓ papillon</v>
      </c>
      <c r="C611" s="35" t="str">
        <f>IF(Liens!B606="","",IF(COUNTIF(Mots!A:A,Liens!B606)&gt;0,"✓ "&amp;Liens!B606,"✗ "&amp;Liens!B606&amp;" (introuvable)"))</f>
        <v>✓ insecte</v>
      </c>
      <c r="D611" s="35" t="str">
        <f>IF(Liens!C606="","",IF(COUNTIF(Mots!A:A,Liens!C606)&gt;0,"✓ "&amp;Liens!C606,"✗ "&amp;Liens!C606&amp;" (introuvable)"))</f>
        <v>✓ aile_animal</v>
      </c>
      <c r="E611" s="35" t="str">
        <f>IF(Liens!D606="","",IF(COUNTIF(Mots!A:A,Liens!D606)&gt;0,"✓ "&amp;Liens!D606,"✗ "&amp;Liens!D606&amp;" (introuvable)"))</f>
        <v>✓ v_voler</v>
      </c>
      <c r="F611" s="35" t="str">
        <f>IF(Liens!E606="","",IF(COUNTIF(Mots!A:A,Liens!E606)&gt;0,"✓ "&amp;Liens!E606,"✗ "&amp;Liens!E606&amp;" (introuvable)"))</f>
        <v>✓ a_colore</v>
      </c>
      <c r="G611" s="35" t="str">
        <f>IF(Liens!F606="","",IF(COUNTIF(Mots!A:A,Liens!F606)&gt;0,"✓ "&amp;Liens!F606,"✗ "&amp;Liens!F606&amp;" (introuvable)"))</f>
        <v>✓ fleur</v>
      </c>
      <c r="H611" s="35" t="str">
        <f>IF(Liens!G606="","",IF(COUNTIF(Mots!A:A,Liens!G606)&gt;0,"✓ "&amp;Liens!G606,"✗ "&amp;Liens!G606&amp;" (introuvable)"))</f>
        <v/>
      </c>
      <c r="I611" s="35" t="str">
        <f>IF(Liens!H606="","",IF(COUNTIF(Mots!A:A,Liens!H606)&gt;0,"✓ "&amp;Liens!H606,"✗ "&amp;Liens!H606&amp;" (introuvable)"))</f>
        <v/>
      </c>
    </row>
    <row r="612" spans="1:9" x14ac:dyDescent="0.3">
      <c r="A612">
        <f t="shared" si="6"/>
        <v>607</v>
      </c>
      <c r="B612" s="35" t="str">
        <f>IF(Liens!A607="","",IF(COUNTIF(Mots!A:A,Liens!A607)&gt;0,"✓ "&amp;Liens!A607,"✗ "&amp;Liens!A607&amp;" (introuvable)"))</f>
        <v>✓ parapluie</v>
      </c>
      <c r="C612" s="35" t="str">
        <f>IF(Liens!B607="","",IF(COUNTIF(Mots!A:A,Liens!B607)&gt;0,"✓ "&amp;Liens!B607,"✗ "&amp;Liens!B607&amp;" (introuvable)"))</f>
        <v>✓ pluie</v>
      </c>
      <c r="D612" s="35" t="str">
        <f>IF(Liens!C607="","",IF(COUNTIF(Mots!A:A,Liens!C607)&gt;0,"✓ "&amp;Liens!C607,"✗ "&amp;Liens!C607&amp;" (introuvable)"))</f>
        <v>✓ goutte</v>
      </c>
      <c r="E612" s="35" t="str">
        <f>IF(Liens!D607="","",IF(COUNTIF(Mots!A:A,Liens!D607)&gt;0,"✓ "&amp;Liens!D607,"✗ "&amp;Liens!D607&amp;" (introuvable)"))</f>
        <v>✓ nuage</v>
      </c>
      <c r="F612" s="35" t="str">
        <f>IF(Liens!E607="","",IF(COUNTIF(Mots!A:A,Liens!E607)&gt;0,"✓ "&amp;Liens!E607,"✗ "&amp;Liens!E607&amp;" (introuvable)"))</f>
        <v>✓ brouillard</v>
      </c>
      <c r="G612" s="35" t="str">
        <f>IF(Liens!F607="","",IF(COUNTIF(Mots!A:A,Liens!F607)&gt;0,"✓ "&amp;Liens!F607,"✗ "&amp;Liens!F607&amp;" (introuvable)"))</f>
        <v>✓ neige</v>
      </c>
      <c r="H612" s="35" t="str">
        <f>IF(Liens!G607="","",IF(COUNTIF(Mots!A:A,Liens!G607)&gt;0,"✓ "&amp;Liens!G607,"✗ "&amp;Liens!G607&amp;" (introuvable)"))</f>
        <v/>
      </c>
      <c r="I612" s="35" t="str">
        <f>IF(Liens!H607="","",IF(COUNTIF(Mots!A:A,Liens!H607)&gt;0,"✓ "&amp;Liens!H607,"✗ "&amp;Liens!H607&amp;" (introuvable)"))</f>
        <v/>
      </c>
    </row>
    <row r="613" spans="1:9" x14ac:dyDescent="0.3">
      <c r="A613">
        <f t="shared" si="6"/>
        <v>608</v>
      </c>
      <c r="B613" s="35" t="str">
        <f>IF(Liens!A608="","",IF(COUNTIF(Mots!A:A,Liens!A608)&gt;0,"✓ "&amp;Liens!A608,"✗ "&amp;Liens!A608&amp;" (introuvable)"))</f>
        <v>✓ parc</v>
      </c>
      <c r="C613" s="35" t="str">
        <f>IF(Liens!B608="","",IF(COUNTIF(Mots!A:A,Liens!B608)&gt;0,"✓ "&amp;Liens!B608,"✗ "&amp;Liens!B608&amp;" (introuvable)"))</f>
        <v>✓ promenade</v>
      </c>
      <c r="D613" s="35" t="str">
        <f>IF(Liens!C608="","",IF(COUNTIF(Mots!A:A,Liens!C608)&gt;0,"✓ "&amp;Liens!C608,"✗ "&amp;Liens!C608&amp;" (introuvable)"))</f>
        <v>✓ plante</v>
      </c>
      <c r="E613" s="35" t="str">
        <f>IF(Liens!D608="","",IF(COUNTIF(Mots!A:A,Liens!D608)&gt;0,"✓ "&amp;Liens!D608,"✗ "&amp;Liens!D608&amp;" (introuvable)"))</f>
        <v>✓ arbre</v>
      </c>
      <c r="F613" s="35" t="str">
        <f>IF(Liens!E608="","",IF(COUNTIF(Mots!A:A,Liens!E608)&gt;0,"✓ "&amp;Liens!E608,"✗ "&amp;Liens!E608&amp;" (introuvable)"))</f>
        <v>✓ fleur</v>
      </c>
      <c r="G613" s="35" t="str">
        <f>IF(Liens!F608="","",IF(COUNTIF(Mots!A:A,Liens!F608)&gt;0,"✓ "&amp;Liens!F608,"✗ "&amp;Liens!F608&amp;" (introuvable)"))</f>
        <v>✓ eau</v>
      </c>
      <c r="H613" s="35" t="str">
        <f>IF(Liens!G608="","",IF(COUNTIF(Mots!A:A,Liens!G608)&gt;0,"✓ "&amp;Liens!G608,"✗ "&amp;Liens!G608&amp;" (introuvable)"))</f>
        <v/>
      </c>
      <c r="I613" s="35" t="str">
        <f>IF(Liens!H608="","",IF(COUNTIF(Mots!A:A,Liens!H608)&gt;0,"✓ "&amp;Liens!H608,"✗ "&amp;Liens!H608&amp;" (introuvable)"))</f>
        <v/>
      </c>
    </row>
    <row r="614" spans="1:9" x14ac:dyDescent="0.3">
      <c r="A614">
        <f t="shared" si="6"/>
        <v>609</v>
      </c>
      <c r="B614" s="35" t="str">
        <f>IF(Liens!A609="","",IF(COUNTIF(Mots!A:A,Liens!A609)&gt;0,"✓ "&amp;Liens!A609,"✗ "&amp;Liens!A609&amp;" (introuvable)"))</f>
        <v>✓ parfois</v>
      </c>
      <c r="C614" s="35" t="str">
        <f>IF(Liens!B609="","",IF(COUNTIF(Mots!A:A,Liens!B609)&gt;0,"✓ "&amp;Liens!B609,"✗ "&amp;Liens!B609&amp;" (introuvable)"))</f>
        <v>✓ toujours</v>
      </c>
      <c r="D614" s="35" t="str">
        <f>IF(Liens!C609="","",IF(COUNTIF(Mots!A:A,Liens!C609)&gt;0,"✓ "&amp;Liens!C609,"✗ "&amp;Liens!C609&amp;" (introuvable)"))</f>
        <v>✓ souvent</v>
      </c>
      <c r="E614" s="35" t="str">
        <f>IF(Liens!D609="","",IF(COUNTIF(Mots!A:A,Liens!D609)&gt;0,"✓ "&amp;Liens!D609,"✗ "&amp;Liens!D609&amp;" (introuvable)"))</f>
        <v>✓ jamais</v>
      </c>
      <c r="F614" s="35" t="str">
        <f>IF(Liens!E609="","",IF(COUNTIF(Mots!A:A,Liens!E609)&gt;0,"✓ "&amp;Liens!E609,"✗ "&amp;Liens!E609&amp;" (introuvable)"))</f>
        <v/>
      </c>
      <c r="G614" s="35" t="str">
        <f>IF(Liens!F609="","",IF(COUNTIF(Mots!A:A,Liens!F609)&gt;0,"✓ "&amp;Liens!F609,"✗ "&amp;Liens!F609&amp;" (introuvable)"))</f>
        <v/>
      </c>
      <c r="H614" s="35" t="str">
        <f>IF(Liens!G609="","",IF(COUNTIF(Mots!A:A,Liens!G609)&gt;0,"✓ "&amp;Liens!G609,"✗ "&amp;Liens!G609&amp;" (introuvable)"))</f>
        <v/>
      </c>
      <c r="I614" s="35" t="str">
        <f>IF(Liens!H609="","",IF(COUNTIF(Mots!A:A,Liens!H609)&gt;0,"✓ "&amp;Liens!H609,"✗ "&amp;Liens!H609&amp;" (introuvable)"))</f>
        <v/>
      </c>
    </row>
    <row r="615" spans="1:9" x14ac:dyDescent="0.3">
      <c r="A615">
        <f t="shared" si="6"/>
        <v>610</v>
      </c>
      <c r="B615" s="35" t="str">
        <f>IF(Liens!A610="","",IF(COUNTIF(Mots!A:A,Liens!A610)&gt;0,"✓ "&amp;Liens!A610,"✗ "&amp;Liens!A610&amp;" (introuvable)"))</f>
        <v>✓ parking</v>
      </c>
      <c r="C615" s="35" t="str">
        <f>IF(Liens!B610="","",IF(COUNTIF(Mots!A:A,Liens!B610)&gt;0,"✓ "&amp;Liens!B610,"✗ "&amp;Liens!B610&amp;" (introuvable)"))</f>
        <v>✓ voiture</v>
      </c>
      <c r="D615" s="35" t="str">
        <f>IF(Liens!C610="","",IF(COUNTIF(Mots!A:A,Liens!C610)&gt;0,"✓ "&amp;Liens!C610,"✗ "&amp;Liens!C610&amp;" (introuvable)"))</f>
        <v>✓ gare</v>
      </c>
      <c r="E615" s="35" t="str">
        <f>IF(Liens!D610="","",IF(COUNTIF(Mots!A:A,Liens!D610)&gt;0,"✓ "&amp;Liens!D610,"✗ "&amp;Liens!D610&amp;" (introuvable)"))</f>
        <v/>
      </c>
      <c r="F615" s="35" t="str">
        <f>IF(Liens!E610="","",IF(COUNTIF(Mots!A:A,Liens!E610)&gt;0,"✓ "&amp;Liens!E610,"✗ "&amp;Liens!E610&amp;" (introuvable)"))</f>
        <v/>
      </c>
      <c r="G615" s="35" t="str">
        <f>IF(Liens!F610="","",IF(COUNTIF(Mots!A:A,Liens!F610)&gt;0,"✓ "&amp;Liens!F610,"✗ "&amp;Liens!F610&amp;" (introuvable)"))</f>
        <v/>
      </c>
      <c r="H615" s="35" t="str">
        <f>IF(Liens!G610="","",IF(COUNTIF(Mots!A:A,Liens!G610)&gt;0,"✓ "&amp;Liens!G610,"✗ "&amp;Liens!G610&amp;" (introuvable)"))</f>
        <v/>
      </c>
      <c r="I615" s="35" t="str">
        <f>IF(Liens!H610="","",IF(COUNTIF(Mots!A:A,Liens!H610)&gt;0,"✓ "&amp;Liens!H610,"✗ "&amp;Liens!H610&amp;" (introuvable)"))</f>
        <v/>
      </c>
    </row>
    <row r="616" spans="1:9" x14ac:dyDescent="0.3">
      <c r="A616">
        <f t="shared" si="6"/>
        <v>611</v>
      </c>
      <c r="B616" s="35" t="str">
        <f>IF(Liens!A611="","",IF(COUNTIF(Mots!A:A,Liens!A611)&gt;0,"✓ "&amp;Liens!A611,"✗ "&amp;Liens!A611&amp;" (introuvable)"))</f>
        <v>✓ paroi</v>
      </c>
      <c r="C616" s="35" t="str">
        <f>IF(Liens!B611="","",IF(COUNTIF(Mots!A:A,Liens!B611)&gt;0,"✓ "&amp;Liens!B611,"✗ "&amp;Liens!B611&amp;" (introuvable)"))</f>
        <v>✓ mur</v>
      </c>
      <c r="D616" s="35" t="str">
        <f>IF(Liens!C611="","",IF(COUNTIF(Mots!A:A,Liens!C611)&gt;0,"✓ "&amp;Liens!C611,"✗ "&amp;Liens!C611&amp;" (introuvable)"))</f>
        <v>✓ maison</v>
      </c>
      <c r="E616" s="35" t="str">
        <f>IF(Liens!D611="","",IF(COUNTIF(Mots!A:A,Liens!D611)&gt;0,"✓ "&amp;Liens!D611,"✗ "&amp;Liens!D611&amp;" (introuvable)"))</f>
        <v/>
      </c>
      <c r="F616" s="35" t="str">
        <f>IF(Liens!E611="","",IF(COUNTIF(Mots!A:A,Liens!E611)&gt;0,"✓ "&amp;Liens!E611,"✗ "&amp;Liens!E611&amp;" (introuvable)"))</f>
        <v/>
      </c>
      <c r="G616" s="35" t="str">
        <f>IF(Liens!F611="","",IF(COUNTIF(Mots!A:A,Liens!F611)&gt;0,"✓ "&amp;Liens!F611,"✗ "&amp;Liens!F611&amp;" (introuvable)"))</f>
        <v/>
      </c>
      <c r="H616" s="35" t="str">
        <f>IF(Liens!G611="","",IF(COUNTIF(Mots!A:A,Liens!G611)&gt;0,"✓ "&amp;Liens!G611,"✗ "&amp;Liens!G611&amp;" (introuvable)"))</f>
        <v/>
      </c>
      <c r="I616" s="35" t="str">
        <f>IF(Liens!H611="","",IF(COUNTIF(Mots!A:A,Liens!H611)&gt;0,"✓ "&amp;Liens!H611,"✗ "&amp;Liens!H611&amp;" (introuvable)"))</f>
        <v/>
      </c>
    </row>
    <row r="617" spans="1:9" x14ac:dyDescent="0.3">
      <c r="A617">
        <f t="shared" si="6"/>
        <v>612</v>
      </c>
      <c r="B617" s="35" t="str">
        <f>IF(Liens!A612="","",IF(COUNTIF(Mots!A:A,Liens!A612)&gt;0,"✓ "&amp;Liens!A612,"✗ "&amp;Liens!A612&amp;" (introuvable)"))</f>
        <v>✓ paroles</v>
      </c>
      <c r="C617" s="35" t="str">
        <f>IF(Liens!B612="","",IF(COUNTIF(Mots!A:A,Liens!B612)&gt;0,"✓ "&amp;Liens!B612,"✗ "&amp;Liens!B612&amp;" (introuvable)"))</f>
        <v>✓ chanson</v>
      </c>
      <c r="D617" s="35" t="str">
        <f>IF(Liens!C612="","",IF(COUNTIF(Mots!A:A,Liens!C612)&gt;0,"✓ "&amp;Liens!C612,"✗ "&amp;Liens!C612&amp;" (introuvable)"))</f>
        <v>✓ chorale</v>
      </c>
      <c r="E617" s="35" t="str">
        <f>IF(Liens!D612="","",IF(COUNTIF(Mots!A:A,Liens!D612)&gt;0,"✓ "&amp;Liens!D612,"✗ "&amp;Liens!D612&amp;" (introuvable)"))</f>
        <v>✓ v_chanter</v>
      </c>
      <c r="F617" s="35" t="str">
        <f>IF(Liens!E612="","",IF(COUNTIF(Mots!A:A,Liens!E612)&gt;0,"✓ "&amp;Liens!E612,"✗ "&amp;Liens!E612&amp;" (introuvable)"))</f>
        <v>✓ v_dire</v>
      </c>
      <c r="G617" s="35" t="str">
        <f>IF(Liens!F612="","",IF(COUNTIF(Mots!A:A,Liens!F612)&gt;0,"✓ "&amp;Liens!F612,"✗ "&amp;Liens!F612&amp;" (introuvable)"))</f>
        <v>✓ v_ecouter</v>
      </c>
      <c r="H617" s="35" t="str">
        <f>IF(Liens!G612="","",IF(COUNTIF(Mots!A:A,Liens!G612)&gt;0,"✓ "&amp;Liens!G612,"✗ "&amp;Liens!G612&amp;" (introuvable)"))</f>
        <v>✓ v_entendre</v>
      </c>
      <c r="I617" s="35" t="str">
        <f>IF(Liens!H612="","",IF(COUNTIF(Mots!A:A,Liens!H612)&gt;0,"✓ "&amp;Liens!H612,"✗ "&amp;Liens!H612&amp;" (introuvable)"))</f>
        <v>✓ texte</v>
      </c>
    </row>
    <row r="618" spans="1:9" x14ac:dyDescent="0.3">
      <c r="A618">
        <f t="shared" si="6"/>
        <v>613</v>
      </c>
      <c r="B618" s="35" t="str">
        <f>IF(Liens!A613="","",IF(COUNTIF(Mots!A:A,Liens!A613)&gt;0,"✓ "&amp;Liens!A613,"✗ "&amp;Liens!A613&amp;" (introuvable)"))</f>
        <v>✓ part</v>
      </c>
      <c r="C618" s="35" t="str">
        <f>IF(Liens!B613="","",IF(COUNTIF(Mots!A:A,Liens!B613)&gt;0,"✓ "&amp;Liens!B613,"✗ "&amp;Liens!B613&amp;" (introuvable)"))</f>
        <v>✓ morceau</v>
      </c>
      <c r="D618" s="35" t="str">
        <f>IF(Liens!C613="","",IF(COUNTIF(Mots!A:A,Liens!C613)&gt;0,"✓ "&amp;Liens!C613,"✗ "&amp;Liens!C613&amp;" (introuvable)"))</f>
        <v>✓ partie</v>
      </c>
      <c r="E618" s="35" t="str">
        <f>IF(Liens!D613="","",IF(COUNTIF(Mots!A:A,Liens!D613)&gt;0,"✓ "&amp;Liens!D613,"✗ "&amp;Liens!D613&amp;" (introuvable)"))</f>
        <v>✓ moitie</v>
      </c>
      <c r="F618" s="35" t="str">
        <f>IF(Liens!E613="","",IF(COUNTIF(Mots!A:A,Liens!E613)&gt;0,"✓ "&amp;Liens!E613,"✗ "&amp;Liens!E613&amp;" (introuvable)"))</f>
        <v>✓ milieu</v>
      </c>
      <c r="G618" s="35" t="str">
        <f>IF(Liens!F613="","",IF(COUNTIF(Mots!A:A,Liens!F613)&gt;0,"✓ "&amp;Liens!F613,"✗ "&amp;Liens!F613&amp;" (introuvable)"))</f>
        <v>✓ v_partager</v>
      </c>
      <c r="H618" s="35" t="str">
        <f>IF(Liens!G613="","",IF(COUNTIF(Mots!A:A,Liens!G613)&gt;0,"✓ "&amp;Liens!G613,"✗ "&amp;Liens!G613&amp;" (introuvable)"))</f>
        <v/>
      </c>
      <c r="I618" s="35" t="str">
        <f>IF(Liens!H613="","",IF(COUNTIF(Mots!A:A,Liens!H613)&gt;0,"✓ "&amp;Liens!H613,"✗ "&amp;Liens!H613&amp;" (introuvable)"))</f>
        <v/>
      </c>
    </row>
    <row r="619" spans="1:9" x14ac:dyDescent="0.3">
      <c r="A619">
        <f t="shared" si="6"/>
        <v>614</v>
      </c>
      <c r="B619" s="35" t="str">
        <f>IF(Liens!A614="","",IF(COUNTIF(Mots!A:A,Liens!A614)&gt;0,"✓ "&amp;Liens!A614,"✗ "&amp;Liens!A614&amp;" (introuvable)"))</f>
        <v>✓ partie</v>
      </c>
      <c r="C619" s="35" t="str">
        <f>IF(Liens!B614="","",IF(COUNTIF(Mots!A:A,Liens!B614)&gt;0,"✓ "&amp;Liens!B614,"✗ "&amp;Liens!B614&amp;" (introuvable)"))</f>
        <v>✓ morceau</v>
      </c>
      <c r="D619" s="35" t="str">
        <f>IF(Liens!C614="","",IF(COUNTIF(Mots!A:A,Liens!C614)&gt;0,"✓ "&amp;Liens!C614,"✗ "&amp;Liens!C614&amp;" (introuvable)"))</f>
        <v>✓ part</v>
      </c>
      <c r="E619" s="35" t="str">
        <f>IF(Liens!D614="","",IF(COUNTIF(Mots!A:A,Liens!D614)&gt;0,"✓ "&amp;Liens!D614,"✗ "&amp;Liens!D614&amp;" (introuvable)"))</f>
        <v>✓ quartier</v>
      </c>
      <c r="F619" s="35" t="str">
        <f>IF(Liens!E614="","",IF(COUNTIF(Mots!A:A,Liens!E614)&gt;0,"✓ "&amp;Liens!E614,"✗ "&amp;Liens!E614&amp;" (introuvable)"))</f>
        <v/>
      </c>
      <c r="G619" s="35" t="str">
        <f>IF(Liens!F614="","",IF(COUNTIF(Mots!A:A,Liens!F614)&gt;0,"✓ "&amp;Liens!F614,"✗ "&amp;Liens!F614&amp;" (introuvable)"))</f>
        <v/>
      </c>
      <c r="H619" s="35" t="str">
        <f>IF(Liens!G614="","",IF(COUNTIF(Mots!A:A,Liens!G614)&gt;0,"✓ "&amp;Liens!G614,"✗ "&amp;Liens!G614&amp;" (introuvable)"))</f>
        <v/>
      </c>
      <c r="I619" s="35" t="str">
        <f>IF(Liens!H614="","",IF(COUNTIF(Mots!A:A,Liens!H614)&gt;0,"✓ "&amp;Liens!H614,"✗ "&amp;Liens!H614&amp;" (introuvable)"))</f>
        <v/>
      </c>
    </row>
    <row r="620" spans="1:9" x14ac:dyDescent="0.3">
      <c r="A620">
        <f t="shared" si="6"/>
        <v>615</v>
      </c>
      <c r="B620" s="35" t="str">
        <f>IF(Liens!A615="","",IF(COUNTIF(Mots!A:A,Liens!A615)&gt;0,"✓ "&amp;Liens!A615,"✗ "&amp;Liens!A615&amp;" (introuvable)"))</f>
        <v>✓ partition</v>
      </c>
      <c r="C620" s="35" t="str">
        <f>IF(Liens!B615="","",IF(COUNTIF(Mots!A:A,Liens!B615)&gt;0,"✓ "&amp;Liens!B615,"✗ "&amp;Liens!B615&amp;" (introuvable)"))</f>
        <v>✓ papier</v>
      </c>
      <c r="D620" s="35" t="str">
        <f>IF(Liens!C615="","",IF(COUNTIF(Mots!A:A,Liens!C615)&gt;0,"✓ "&amp;Liens!C615,"✗ "&amp;Liens!C615&amp;" (introuvable)"))</f>
        <v>✓ figures_notes</v>
      </c>
      <c r="E620" s="35" t="str">
        <f>IF(Liens!D615="","",IF(COUNTIF(Mots!A:A,Liens!D615)&gt;0,"✓ "&amp;Liens!D615,"✗ "&amp;Liens!D615&amp;" (introuvable)"))</f>
        <v>✓ portee_et_mesures</v>
      </c>
      <c r="F620" s="35" t="str">
        <f>IF(Liens!E615="","",IF(COUNTIF(Mots!A:A,Liens!E615)&gt;0,"✓ "&amp;Liens!E615,"✗ "&amp;Liens!E615&amp;" (introuvable)"))</f>
        <v>✓ cle_de_sol</v>
      </c>
      <c r="G620" s="35" t="str">
        <f>IF(Liens!F615="","",IF(COUNTIF(Mots!A:A,Liens!F615)&gt;0,"✓ "&amp;Liens!F615,"✗ "&amp;Liens!F615&amp;" (introuvable)"))</f>
        <v>✓ alterations</v>
      </c>
      <c r="H620" s="35" t="str">
        <f>IF(Liens!G615="","",IF(COUNTIF(Mots!A:A,Liens!G615)&gt;0,"✓ "&amp;Liens!G615,"✗ "&amp;Liens!G615&amp;" (introuvable)"))</f>
        <v>✓ silences</v>
      </c>
      <c r="I620" s="35" t="str">
        <f>IF(Liens!H615="","",IF(COUNTIF(Mots!A:A,Liens!H615)&gt;0,"✓ "&amp;Liens!H615,"✗ "&amp;Liens!H615&amp;" (introuvable)"))</f>
        <v>✓ les_nuances</v>
      </c>
    </row>
    <row r="621" spans="1:9" x14ac:dyDescent="0.3">
      <c r="A621">
        <f t="shared" si="6"/>
        <v>616</v>
      </c>
      <c r="B621" s="35" t="str">
        <f>IF(Liens!A616="","",IF(COUNTIF(Mots!A:A,Liens!A616)&gt;0,"✓ "&amp;Liens!A616,"✗ "&amp;Liens!A616&amp;" (introuvable)"))</f>
        <v>✓ passage</v>
      </c>
      <c r="C621" s="35" t="str">
        <f>IF(Liens!B616="","",IF(COUNTIF(Mots!A:A,Liens!B616)&gt;0,"✓ "&amp;Liens!B616,"✗ "&amp;Liens!B616&amp;" (introuvable)"))</f>
        <v>✓ route</v>
      </c>
      <c r="D621" s="35" t="str">
        <f>IF(Liens!C616="","",IF(COUNTIF(Mots!A:A,Liens!C616)&gt;0,"✓ "&amp;Liens!C616,"✗ "&amp;Liens!C616&amp;" (introuvable)"))</f>
        <v>✓ gare</v>
      </c>
      <c r="E621" s="35" t="str">
        <f>IF(Liens!D616="","",IF(COUNTIF(Mots!A:A,Liens!D616)&gt;0,"✓ "&amp;Liens!D616,"✗ "&amp;Liens!D616&amp;" (introuvable)"))</f>
        <v>✓ train</v>
      </c>
      <c r="F621" s="35" t="str">
        <f>IF(Liens!E616="","",IF(COUNTIF(Mots!A:A,Liens!E616)&gt;0,"✓ "&amp;Liens!E616,"✗ "&amp;Liens!E616&amp;" (introuvable)"))</f>
        <v>✓ rue</v>
      </c>
      <c r="G621" s="35" t="str">
        <f>IF(Liens!F616="","",IF(COUNTIF(Mots!A:A,Liens!F616)&gt;0,"✓ "&amp;Liens!F616,"✗ "&amp;Liens!F616&amp;" (introuvable)"))</f>
        <v>✓ v_marcher</v>
      </c>
      <c r="H621" s="35" t="str">
        <f>IF(Liens!G616="","",IF(COUNTIF(Mots!A:A,Liens!G616)&gt;0,"✓ "&amp;Liens!G616,"✗ "&amp;Liens!G616&amp;" (introuvable)"))</f>
        <v/>
      </c>
      <c r="I621" s="35" t="str">
        <f>IF(Liens!H616="","",IF(COUNTIF(Mots!A:A,Liens!H616)&gt;0,"✓ "&amp;Liens!H616,"✗ "&amp;Liens!H616&amp;" (introuvable)"))</f>
        <v/>
      </c>
    </row>
    <row r="622" spans="1:9" x14ac:dyDescent="0.3">
      <c r="A622">
        <f t="shared" si="6"/>
        <v>617</v>
      </c>
      <c r="B622" s="35" t="str">
        <f>IF(Liens!A617="","",IF(COUNTIF(Mots!A:A,Liens!A617)&gt;0,"✓ "&amp;Liens!A617,"✗ "&amp;Liens!A617&amp;" (introuvable)"))</f>
        <v>✓ pates</v>
      </c>
      <c r="C622" s="35" t="str">
        <f>IF(Liens!B617="","",IF(COUNTIF(Mots!A:A,Liens!B617)&gt;0,"✓ "&amp;Liens!B617,"✗ "&amp;Liens!B617&amp;" (introuvable)"))</f>
        <v>✓ farine</v>
      </c>
      <c r="D622" s="35" t="str">
        <f>IF(Liens!C617="","",IF(COUNTIF(Mots!A:A,Liens!C617)&gt;0,"✓ "&amp;Liens!C617,"✗ "&amp;Liens!C617&amp;" (introuvable)"))</f>
        <v>✓ sel</v>
      </c>
      <c r="E622" s="35" t="str">
        <f>IF(Liens!D617="","",IF(COUNTIF(Mots!A:A,Liens!D617)&gt;0,"✓ "&amp;Liens!D617,"✗ "&amp;Liens!D617&amp;" (introuvable)"))</f>
        <v>✓ oeuf</v>
      </c>
      <c r="F622" s="35" t="str">
        <f>IF(Liens!E617="","",IF(COUNTIF(Mots!A:A,Liens!E617)&gt;0,"✓ "&amp;Liens!E617,"✗ "&amp;Liens!E617&amp;" (introuvable)"))</f>
        <v>✓ eau</v>
      </c>
      <c r="G622" s="35" t="str">
        <f>IF(Liens!F617="","",IF(COUNTIF(Mots!A:A,Liens!F617)&gt;0,"✓ "&amp;Liens!F617,"✗ "&amp;Liens!F617&amp;" (introuvable)"))</f>
        <v>✓ marmite</v>
      </c>
      <c r="H622" s="35" t="str">
        <f>IF(Liens!G617="","",IF(COUNTIF(Mots!A:A,Liens!G617)&gt;0,"✓ "&amp;Liens!G617,"✗ "&amp;Liens!G617&amp;" (introuvable)"))</f>
        <v>✓ v_manger</v>
      </c>
      <c r="I622" s="35" t="str">
        <f>IF(Liens!H617="","",IF(COUNTIF(Mots!A:A,Liens!H617)&gt;0,"✓ "&amp;Liens!H617,"✗ "&amp;Liens!H617&amp;" (introuvable)"))</f>
        <v/>
      </c>
    </row>
    <row r="623" spans="1:9" x14ac:dyDescent="0.3">
      <c r="A623">
        <f t="shared" si="6"/>
        <v>618</v>
      </c>
      <c r="B623" s="35" t="str">
        <f>IF(Liens!A618="","",IF(COUNTIF(Mots!A:A,Liens!A618)&gt;0,"✓ "&amp;Liens!A618,"✗ "&amp;Liens!A618&amp;" (introuvable)"))</f>
        <v>✓ patience</v>
      </c>
      <c r="C623" s="35" t="str">
        <f>IF(Liens!B618="","",IF(COUNTIF(Mots!A:A,Liens!B618)&gt;0,"✓ "&amp;Liens!B618,"✗ "&amp;Liens!B618&amp;" (introuvable)"))</f>
        <v>✓ v_attendre</v>
      </c>
      <c r="D623" s="35" t="str">
        <f>IF(Liens!C618="","",IF(COUNTIF(Mots!A:A,Liens!C618)&gt;0,"✓ "&amp;Liens!C618,"✗ "&amp;Liens!C618&amp;" (introuvable)"))</f>
        <v>✓ a_calme_agite</v>
      </c>
      <c r="E623" s="35" t="str">
        <f>IF(Liens!D618="","",IF(COUNTIF(Mots!A:A,Liens!D618)&gt;0,"✓ "&amp;Liens!D618,"✗ "&amp;Liens!D618&amp;" (introuvable)"))</f>
        <v>✓ heure</v>
      </c>
      <c r="F623" s="35" t="str">
        <f>IF(Liens!E618="","",IF(COUNTIF(Mots!A:A,Liens!E618)&gt;0,"✓ "&amp;Liens!E618,"✗ "&amp;Liens!E618&amp;" (introuvable)"))</f>
        <v>✓ medecin</v>
      </c>
      <c r="G623" s="35" t="str">
        <f>IF(Liens!F618="","",IF(COUNTIF(Mots!A:A,Liens!F618)&gt;0,"✓ "&amp;Liens!F618,"✗ "&amp;Liens!F618&amp;" (introuvable)"))</f>
        <v>✓ duree</v>
      </c>
      <c r="H623" s="35" t="str">
        <f>IF(Liens!G618="","",IF(COUNTIF(Mots!A:A,Liens!G618)&gt;0,"✓ "&amp;Liens!G618,"✗ "&amp;Liens!G618&amp;" (introuvable)"))</f>
        <v/>
      </c>
      <c r="I623" s="35" t="str">
        <f>IF(Liens!H618="","",IF(COUNTIF(Mots!A:A,Liens!H618)&gt;0,"✓ "&amp;Liens!H618,"✗ "&amp;Liens!H618&amp;" (introuvable)"))</f>
        <v/>
      </c>
    </row>
    <row r="624" spans="1:9" x14ac:dyDescent="0.3">
      <c r="A624">
        <f t="shared" si="6"/>
        <v>619</v>
      </c>
      <c r="B624" s="35" t="str">
        <f>IF(Liens!A619="","",IF(COUNTIF(Mots!A:A,Liens!A619)&gt;0,"✓ "&amp;Liens!A619,"✗ "&amp;Liens!A619&amp;" (introuvable)"))</f>
        <v>✓ patte</v>
      </c>
      <c r="C624" s="35" t="str">
        <f>IF(Liens!B619="","",IF(COUNTIF(Mots!A:A,Liens!B619)&gt;0,"✓ "&amp;Liens!B619,"✗ "&amp;Liens!B619&amp;" (introuvable)"))</f>
        <v>✓ jambe</v>
      </c>
      <c r="D624" s="35" t="str">
        <f>IF(Liens!C619="","",IF(COUNTIF(Mots!A:A,Liens!C619)&gt;0,"✓ "&amp;Liens!C619,"✗ "&amp;Liens!C619&amp;" (introuvable)"))</f>
        <v>✓ animal</v>
      </c>
      <c r="E624" s="35" t="str">
        <f>IF(Liens!D619="","",IF(COUNTIF(Mots!A:A,Liens!D619)&gt;0,"✓ "&amp;Liens!D619,"✗ "&amp;Liens!D619&amp;" (introuvable)"))</f>
        <v>✓ insecte</v>
      </c>
      <c r="F624" s="35" t="str">
        <f>IF(Liens!E619="","",IF(COUNTIF(Mots!A:A,Liens!E619)&gt;0,"✓ "&amp;Liens!E619,"✗ "&amp;Liens!E619&amp;" (introuvable)"))</f>
        <v/>
      </c>
      <c r="G624" s="35" t="str">
        <f>IF(Liens!F619="","",IF(COUNTIF(Mots!A:A,Liens!F619)&gt;0,"✓ "&amp;Liens!F619,"✗ "&amp;Liens!F619&amp;" (introuvable)"))</f>
        <v/>
      </c>
      <c r="H624" s="35" t="str">
        <f>IF(Liens!G619="","",IF(COUNTIF(Mots!A:A,Liens!G619)&gt;0,"✓ "&amp;Liens!G619,"✗ "&amp;Liens!G619&amp;" (introuvable)"))</f>
        <v/>
      </c>
      <c r="I624" s="35" t="str">
        <f>IF(Liens!H619="","",IF(COUNTIF(Mots!A:A,Liens!H619)&gt;0,"✓ "&amp;Liens!H619,"✗ "&amp;Liens!H619&amp;" (introuvable)"))</f>
        <v/>
      </c>
    </row>
    <row r="625" spans="1:9" x14ac:dyDescent="0.3">
      <c r="A625">
        <f t="shared" si="6"/>
        <v>620</v>
      </c>
      <c r="B625" s="35" t="str">
        <f>IF(Liens!A620="","",IF(COUNTIF(Mots!A:A,Liens!A620)&gt;0,"✓ "&amp;Liens!A620,"✗ "&amp;Liens!A620&amp;" (introuvable)"))</f>
        <v>✓ pays</v>
      </c>
      <c r="C625" s="35" t="str">
        <f>IF(Liens!B620="","",IF(COUNTIF(Mots!A:A,Liens!B620)&gt;0,"✓ "&amp;Liens!B620,"✗ "&amp;Liens!B620&amp;" (introuvable)"))</f>
        <v>✓ v_habiter</v>
      </c>
      <c r="D625" s="35" t="str">
        <f>IF(Liens!C620="","",IF(COUNTIF(Mots!A:A,Liens!C620)&gt;0,"✓ "&amp;Liens!C620,"✗ "&amp;Liens!C620&amp;" (introuvable)"))</f>
        <v>✓ ville</v>
      </c>
      <c r="E625" s="35" t="str">
        <f>IF(Liens!D620="","",IF(COUNTIF(Mots!A:A,Liens!D620)&gt;0,"✓ "&amp;Liens!D620,"✗ "&amp;Liens!D620&amp;" (introuvable)"))</f>
        <v/>
      </c>
      <c r="F625" s="35" t="str">
        <f>IF(Liens!E620="","",IF(COUNTIF(Mots!A:A,Liens!E620)&gt;0,"✓ "&amp;Liens!E620,"✗ "&amp;Liens!E620&amp;" (introuvable)"))</f>
        <v/>
      </c>
      <c r="G625" s="35" t="str">
        <f>IF(Liens!F620="","",IF(COUNTIF(Mots!A:A,Liens!F620)&gt;0,"✓ "&amp;Liens!F620,"✗ "&amp;Liens!F620&amp;" (introuvable)"))</f>
        <v/>
      </c>
      <c r="H625" s="35" t="str">
        <f>IF(Liens!G620="","",IF(COUNTIF(Mots!A:A,Liens!G620)&gt;0,"✓ "&amp;Liens!G620,"✗ "&amp;Liens!G620&amp;" (introuvable)"))</f>
        <v/>
      </c>
      <c r="I625" s="35" t="str">
        <f>IF(Liens!H620="","",IF(COUNTIF(Mots!A:A,Liens!H620)&gt;0,"✓ "&amp;Liens!H620,"✗ "&amp;Liens!H620&amp;" (introuvable)"))</f>
        <v/>
      </c>
    </row>
    <row r="626" spans="1:9" x14ac:dyDescent="0.3">
      <c r="A626">
        <f t="shared" si="6"/>
        <v>621</v>
      </c>
      <c r="B626" s="35" t="str">
        <f>IF(Liens!A621="","",IF(COUNTIF(Mots!A:A,Liens!A621)&gt;0,"✓ "&amp;Liens!A621,"✗ "&amp;Liens!A621&amp;" (introuvable)"))</f>
        <v>✓ paysage</v>
      </c>
      <c r="C626" s="35" t="str">
        <f>IF(Liens!B621="","",IF(COUNTIF(Mots!A:A,Liens!B621)&gt;0,"✓ "&amp;Liens!B621,"✗ "&amp;Liens!B621&amp;" (introuvable)"))</f>
        <v>✓ nature</v>
      </c>
      <c r="D626" s="35" t="str">
        <f>IF(Liens!C621="","",IF(COUNTIF(Mots!A:A,Liens!C621)&gt;0,"✓ "&amp;Liens!C621,"✗ "&amp;Liens!C621&amp;" (introuvable)"))</f>
        <v>✓ montagne</v>
      </c>
      <c r="E626" s="35" t="str">
        <f>IF(Liens!D621="","",IF(COUNTIF(Mots!A:A,Liens!D621)&gt;0,"✓ "&amp;Liens!D621,"✗ "&amp;Liens!D621&amp;" (introuvable)"))</f>
        <v>✓ lac</v>
      </c>
      <c r="F626" s="35" t="str">
        <f>IF(Liens!E621="","",IF(COUNTIF(Mots!A:A,Liens!E621)&gt;0,"✓ "&amp;Liens!E621,"✗ "&amp;Liens!E621&amp;" (introuvable)"))</f>
        <v>✓ chemin</v>
      </c>
      <c r="G626" s="35" t="str">
        <f>IF(Liens!F621="","",IF(COUNTIF(Mots!A:A,Liens!F621)&gt;0,"✓ "&amp;Liens!F621,"✗ "&amp;Liens!F621&amp;" (introuvable)"))</f>
        <v>✓ riviere</v>
      </c>
      <c r="H626" s="35" t="str">
        <f>IF(Liens!G621="","",IF(COUNTIF(Mots!A:A,Liens!G621)&gt;0,"✓ "&amp;Liens!G621,"✗ "&amp;Liens!G621&amp;" (introuvable)"))</f>
        <v>✓ foret</v>
      </c>
      <c r="I626" s="35" t="str">
        <f>IF(Liens!H621="","",IF(COUNTIF(Mots!A:A,Liens!H621)&gt;0,"✓ "&amp;Liens!H621,"✗ "&amp;Liens!H621&amp;" (introuvable)"))</f>
        <v>✓ v_regarder</v>
      </c>
    </row>
    <row r="627" spans="1:9" x14ac:dyDescent="0.3">
      <c r="A627">
        <f t="shared" si="6"/>
        <v>622</v>
      </c>
      <c r="B627" s="35" t="str">
        <f>IF(Liens!A622="","",IF(COUNTIF(Mots!A:A,Liens!A622)&gt;0,"✓ "&amp;Liens!A622,"✗ "&amp;Liens!A622&amp;" (introuvable)"))</f>
        <v>✓ peau</v>
      </c>
      <c r="C627" s="35" t="str">
        <f>IF(Liens!B622="","",IF(COUNTIF(Mots!A:A,Liens!B622)&gt;0,"✓ "&amp;Liens!B622,"✗ "&amp;Liens!B622&amp;" (introuvable)"))</f>
        <v>✓ corps_humain</v>
      </c>
      <c r="D627" s="35" t="str">
        <f>IF(Liens!C622="","",IF(COUNTIF(Mots!A:A,Liens!C622)&gt;0,"✓ "&amp;Liens!C622,"✗ "&amp;Liens!C622&amp;" (introuvable)"))</f>
        <v>✓ fruit</v>
      </c>
      <c r="E627" s="35" t="str">
        <f>IF(Liens!D622="","",IF(COUNTIF(Mots!A:A,Liens!D622)&gt;0,"✓ "&amp;Liens!D622,"✗ "&amp;Liens!D622&amp;" (introuvable)"))</f>
        <v/>
      </c>
      <c r="F627" s="35" t="str">
        <f>IF(Liens!E622="","",IF(COUNTIF(Mots!A:A,Liens!E622)&gt;0,"✓ "&amp;Liens!E622,"✗ "&amp;Liens!E622&amp;" (introuvable)"))</f>
        <v/>
      </c>
      <c r="G627" s="35" t="str">
        <f>IF(Liens!F622="","",IF(COUNTIF(Mots!A:A,Liens!F622)&gt;0,"✓ "&amp;Liens!F622,"✗ "&amp;Liens!F622&amp;" (introuvable)"))</f>
        <v/>
      </c>
      <c r="H627" s="35" t="str">
        <f>IF(Liens!G622="","",IF(COUNTIF(Mots!A:A,Liens!G622)&gt;0,"✓ "&amp;Liens!G622,"✗ "&amp;Liens!G622&amp;" (introuvable)"))</f>
        <v/>
      </c>
      <c r="I627" s="35" t="str">
        <f>IF(Liens!H622="","",IF(COUNTIF(Mots!A:A,Liens!H622)&gt;0,"✓ "&amp;Liens!H622,"✗ "&amp;Liens!H622&amp;" (introuvable)"))</f>
        <v/>
      </c>
    </row>
    <row r="628" spans="1:9" x14ac:dyDescent="0.3">
      <c r="A628">
        <f t="shared" si="6"/>
        <v>623</v>
      </c>
      <c r="B628" s="35" t="str">
        <f>IF(Liens!A623="","",IF(COUNTIF(Mots!A:A,Liens!A623)&gt;0,"✓ "&amp;Liens!A623,"✗ "&amp;Liens!A623&amp;" (introuvable)"))</f>
        <v>✓ peche</v>
      </c>
      <c r="C628" s="35" t="str">
        <f>IF(Liens!B623="","",IF(COUNTIF(Mots!A:A,Liens!B623)&gt;0,"✓ "&amp;Liens!B623,"✗ "&amp;Liens!B623&amp;" (introuvable)"))</f>
        <v>✓ fruit</v>
      </c>
      <c r="D628" s="35" t="str">
        <f>IF(Liens!C623="","",IF(COUNTIF(Mots!A:A,Liens!C623)&gt;0,"✓ "&amp;Liens!C623,"✗ "&amp;Liens!C623&amp;" (introuvable)"))</f>
        <v>✓ rond</v>
      </c>
      <c r="E628" s="35" t="str">
        <f>IF(Liens!D623="","",IF(COUNTIF(Mots!A:A,Liens!D623)&gt;0,"✓ "&amp;Liens!D623,"✗ "&amp;Liens!D623&amp;" (introuvable)"))</f>
        <v>✓ noyau</v>
      </c>
      <c r="F628" s="35" t="str">
        <f>IF(Liens!E623="","",IF(COUNTIF(Mots!A:A,Liens!E623)&gt;0,"✓ "&amp;Liens!E623,"✗ "&amp;Liens!E623&amp;" (introuvable)"))</f>
        <v>✓ jus</v>
      </c>
      <c r="G628" s="35" t="str">
        <f>IF(Liens!F623="","",IF(COUNTIF(Mots!A:A,Liens!F623)&gt;0,"✓ "&amp;Liens!F623,"✗ "&amp;Liens!F623&amp;" (introuvable)"))</f>
        <v>✓ v_manger</v>
      </c>
      <c r="H628" s="35" t="str">
        <f>IF(Liens!G623="","",IF(COUNTIF(Mots!A:A,Liens!G623)&gt;0,"✓ "&amp;Liens!G623,"✗ "&amp;Liens!G623&amp;" (introuvable)"))</f>
        <v>✓ v_boire</v>
      </c>
      <c r="I628" s="35" t="str">
        <f>IF(Liens!H623="","",IF(COUNTIF(Mots!A:A,Liens!H623)&gt;0,"✓ "&amp;Liens!H623,"✗ "&amp;Liens!H623&amp;" (introuvable)"))</f>
        <v/>
      </c>
    </row>
    <row r="629" spans="1:9" x14ac:dyDescent="0.3">
      <c r="A629">
        <f t="shared" si="6"/>
        <v>624</v>
      </c>
      <c r="B629" s="35" t="str">
        <f>IF(Liens!A624="","",IF(COUNTIF(Mots!A:A,Liens!A624)&gt;0,"✓ "&amp;Liens!A624,"✗ "&amp;Liens!A624&amp;" (introuvable)"))</f>
        <v>✓ peine</v>
      </c>
      <c r="C629" s="35" t="str">
        <f>IF(Liens!B624="","",IF(COUNTIF(Mots!A:A,Liens!B624)&gt;0,"✓ "&amp;Liens!B624,"✗ "&amp;Liens!B624&amp;" (introuvable)"))</f>
        <v>✓ tristesse</v>
      </c>
      <c r="D629" s="35" t="str">
        <f>IF(Liens!C624="","",IF(COUNTIF(Mots!A:A,Liens!C624)&gt;0,"✓ "&amp;Liens!C624,"✗ "&amp;Liens!C624&amp;" (introuvable)"))</f>
        <v>✓ chagrin</v>
      </c>
      <c r="E629" s="35" t="str">
        <f>IF(Liens!D624="","",IF(COUNTIF(Mots!A:A,Liens!D624)&gt;0,"✓ "&amp;Liens!D624,"✗ "&amp;Liens!D624&amp;" (introuvable)"))</f>
        <v>✓ larme</v>
      </c>
      <c r="F629" s="35" t="str">
        <f>IF(Liens!E624="","",IF(COUNTIF(Mots!A:A,Liens!E624)&gt;0,"✓ "&amp;Liens!E624,"✗ "&amp;Liens!E624&amp;" (introuvable)"))</f>
        <v>✓ v_pleurer</v>
      </c>
      <c r="G629" s="35" t="str">
        <f>IF(Liens!F624="","",IF(COUNTIF(Mots!A:A,Liens!F624)&gt;0,"✓ "&amp;Liens!F624,"✗ "&amp;Liens!F624&amp;" (introuvable)"))</f>
        <v>✓ a_content_triste</v>
      </c>
      <c r="H629" s="35" t="str">
        <f>IF(Liens!G624="","",IF(COUNTIF(Mots!A:A,Liens!G624)&gt;0,"✓ "&amp;Liens!G624,"✗ "&amp;Liens!G624&amp;" (introuvable)"))</f>
        <v>✓ a_mal_douloureux</v>
      </c>
      <c r="I629" s="35" t="str">
        <f>IF(Liens!H624="","",IF(COUNTIF(Mots!A:A,Liens!H624)&gt;0,"✓ "&amp;Liens!H624,"✗ "&amp;Liens!H624&amp;" (introuvable)"))</f>
        <v/>
      </c>
    </row>
    <row r="630" spans="1:9" x14ac:dyDescent="0.3">
      <c r="A630">
        <f t="shared" si="6"/>
        <v>625</v>
      </c>
      <c r="B630" s="35" t="str">
        <f>IF(Liens!A625="","",IF(COUNTIF(Mots!A:A,Liens!A625)&gt;0,"✓ "&amp;Liens!A625,"✗ "&amp;Liens!A625&amp;" (introuvable)"))</f>
        <v>✓ peintre</v>
      </c>
      <c r="C630" s="35" t="str">
        <f>IF(Liens!B625="","",IF(COUNTIF(Mots!A:A,Liens!B625)&gt;0,"✓ "&amp;Liens!B625,"✗ "&amp;Liens!B625&amp;" (introuvable)"))</f>
        <v>✓ personne</v>
      </c>
      <c r="D630" s="35" t="str">
        <f>IF(Liens!C625="","",IF(COUNTIF(Mots!A:A,Liens!C625)&gt;0,"✓ "&amp;Liens!C625,"✗ "&amp;Liens!C625&amp;" (introuvable)"))</f>
        <v>✓ peinture</v>
      </c>
      <c r="E630" s="35" t="str">
        <f>IF(Liens!D625="","",IF(COUNTIF(Mots!A:A,Liens!D625)&gt;0,"✓ "&amp;Liens!D625,"✗ "&amp;Liens!D625&amp;" (introuvable)"))</f>
        <v>✓ tableau</v>
      </c>
      <c r="F630" s="35" t="str">
        <f>IF(Liens!E625="","",IF(COUNTIF(Mots!A:A,Liens!E625)&gt;0,"✓ "&amp;Liens!E625,"✗ "&amp;Liens!E625&amp;" (introuvable)"))</f>
        <v>✓ mur</v>
      </c>
      <c r="G630" s="35" t="str">
        <f>IF(Liens!F625="","",IF(COUNTIF(Mots!A:A,Liens!F625)&gt;0,"✓ "&amp;Liens!F625,"✗ "&amp;Liens!F625&amp;" (introuvable)"))</f>
        <v>✓ couleur</v>
      </c>
      <c r="H630" s="35" t="str">
        <f>IF(Liens!G625="","",IF(COUNTIF(Mots!A:A,Liens!G625)&gt;0,"✓ "&amp;Liens!G625,"✗ "&amp;Liens!G625&amp;" (introuvable)"))</f>
        <v>✓ pinceau</v>
      </c>
      <c r="I630" s="35" t="str">
        <f>IF(Liens!H625="","",IF(COUNTIF(Mots!A:A,Liens!H625)&gt;0,"✓ "&amp;Liens!H625,"✗ "&amp;Liens!H625&amp;" (introuvable)"))</f>
        <v>✓ seau</v>
      </c>
    </row>
    <row r="631" spans="1:9" x14ac:dyDescent="0.3">
      <c r="A631">
        <f t="shared" si="6"/>
        <v>626</v>
      </c>
      <c r="B631" s="35" t="str">
        <f>IF(Liens!A626="","",IF(COUNTIF(Mots!A:A,Liens!A626)&gt;0,"✓ "&amp;Liens!A626,"✗ "&amp;Liens!A626&amp;" (introuvable)"))</f>
        <v>✓ peinture</v>
      </c>
      <c r="C631" s="35" t="str">
        <f>IF(Liens!B626="","",IF(COUNTIF(Mots!A:A,Liens!B626)&gt;0,"✓ "&amp;Liens!B626,"✗ "&amp;Liens!B626&amp;" (introuvable)"))</f>
        <v>✓ mur</v>
      </c>
      <c r="D631" s="35" t="str">
        <f>IF(Liens!C626="","",IF(COUNTIF(Mots!A:A,Liens!C626)&gt;0,"✓ "&amp;Liens!C626,"✗ "&amp;Liens!C626&amp;" (introuvable)"))</f>
        <v>✓ couleur</v>
      </c>
      <c r="E631" s="35" t="str">
        <f>IF(Liens!D626="","",IF(COUNTIF(Mots!A:A,Liens!D626)&gt;0,"✓ "&amp;Liens!D626,"✗ "&amp;Liens!D626&amp;" (introuvable)"))</f>
        <v>✓ peintre</v>
      </c>
      <c r="F631" s="35" t="str">
        <f>IF(Liens!E626="","",IF(COUNTIF(Mots!A:A,Liens!E626)&gt;0,"✓ "&amp;Liens!E626,"✗ "&amp;Liens!E626&amp;" (introuvable)"))</f>
        <v>✓ pinceau</v>
      </c>
      <c r="G631" s="35" t="str">
        <f>IF(Liens!F626="","",IF(COUNTIF(Mots!A:A,Liens!F626)&gt;0,"✓ "&amp;Liens!F626,"✗ "&amp;Liens!F626&amp;" (introuvable)"))</f>
        <v>✓ seau</v>
      </c>
      <c r="H631" s="35" t="str">
        <f>IF(Liens!G626="","",IF(COUNTIF(Mots!A:A,Liens!G626)&gt;0,"✓ "&amp;Liens!G626,"✗ "&amp;Liens!G626&amp;" (introuvable)"))</f>
        <v>✓ echelle</v>
      </c>
      <c r="I631" s="35" t="str">
        <f>IF(Liens!H626="","",IF(COUNTIF(Mots!A:A,Liens!H626)&gt;0,"✓ "&amp;Liens!H626,"✗ "&amp;Liens!H626&amp;" (introuvable)"))</f>
        <v>✓ tableau</v>
      </c>
    </row>
    <row r="632" spans="1:9" x14ac:dyDescent="0.3">
      <c r="A632">
        <f t="shared" si="6"/>
        <v>627</v>
      </c>
      <c r="B632" s="35" t="str">
        <f>IF(Liens!A627="","",IF(COUNTIF(Mots!A:A,Liens!A627)&gt;0,"✓ "&amp;Liens!A627,"✗ "&amp;Liens!A627&amp;" (introuvable)"))</f>
        <v>✓ pensee</v>
      </c>
      <c r="C632" s="35" t="str">
        <f>IF(Liens!B627="","",IF(COUNTIF(Mots!A:A,Liens!B627)&gt;0,"✓ "&amp;Liens!B627,"✗ "&amp;Liens!B627&amp;" (introuvable)"))</f>
        <v>✓ tete</v>
      </c>
      <c r="D632" s="35" t="str">
        <f>IF(Liens!C627="","",IF(COUNTIF(Mots!A:A,Liens!C627)&gt;0,"✓ "&amp;Liens!C627,"✗ "&amp;Liens!C627&amp;" (introuvable)"))</f>
        <v>✓ cerveau</v>
      </c>
      <c r="E632" s="35" t="str">
        <f>IF(Liens!D627="","",IF(COUNTIF(Mots!A:A,Liens!D627)&gt;0,"✓ "&amp;Liens!D627,"✗ "&amp;Liens!D627&amp;" (introuvable)"))</f>
        <v>✓ idee</v>
      </c>
      <c r="F632" s="35" t="str">
        <f>IF(Liens!E627="","",IF(COUNTIF(Mots!A:A,Liens!E627)&gt;0,"✓ "&amp;Liens!E627,"✗ "&amp;Liens!E627&amp;" (introuvable)"))</f>
        <v>✓ v_penser</v>
      </c>
      <c r="G632" s="35" t="str">
        <f>IF(Liens!F627="","",IF(COUNTIF(Mots!A:A,Liens!F627)&gt;0,"✓ "&amp;Liens!F627,"✗ "&amp;Liens!F627&amp;" (introuvable)"))</f>
        <v>✓ v_reflechir</v>
      </c>
      <c r="H632" s="35" t="str">
        <f>IF(Liens!G627="","",IF(COUNTIF(Mots!A:A,Liens!G627)&gt;0,"✓ "&amp;Liens!G627,"✗ "&amp;Liens!G627&amp;" (introuvable)"))</f>
        <v/>
      </c>
      <c r="I632" s="35" t="str">
        <f>IF(Liens!H627="","",IF(COUNTIF(Mots!A:A,Liens!H627)&gt;0,"✓ "&amp;Liens!H627,"✗ "&amp;Liens!H627&amp;" (introuvable)"))</f>
        <v/>
      </c>
    </row>
    <row r="633" spans="1:9" x14ac:dyDescent="0.3">
      <c r="A633">
        <f t="shared" si="6"/>
        <v>628</v>
      </c>
      <c r="B633" s="35" t="str">
        <f>IF(Liens!A628="","",IF(COUNTIF(Mots!A:A,Liens!A628)&gt;0,"✓ "&amp;Liens!A628,"✗ "&amp;Liens!A628&amp;" (introuvable)"))</f>
        <v>✓ pere</v>
      </c>
      <c r="C633" s="35" t="str">
        <f>IF(Liens!B628="","",IF(COUNTIF(Mots!A:A,Liens!B628)&gt;0,"✓ "&amp;Liens!B628,"✗ "&amp;Liens!B628&amp;" (introuvable)"))</f>
        <v>✓ enfants</v>
      </c>
      <c r="D633" s="35" t="str">
        <f>IF(Liens!C628="","",IF(COUNTIF(Mots!A:A,Liens!C628)&gt;0,"✓ "&amp;Liens!C628,"✗ "&amp;Liens!C628&amp;" (introuvable)"))</f>
        <v>✓ fils</v>
      </c>
      <c r="E633" s="35" t="str">
        <f>IF(Liens!D628="","",IF(COUNTIF(Mots!A:A,Liens!D628)&gt;0,"✓ "&amp;Liens!D628,"✗ "&amp;Liens!D628&amp;" (introuvable)"))</f>
        <v>✓ fille</v>
      </c>
      <c r="F633" s="35" t="str">
        <f>IF(Liens!E628="","",IF(COUNTIF(Mots!A:A,Liens!E628)&gt;0,"✓ "&amp;Liens!E628,"✗ "&amp;Liens!E628&amp;" (introuvable)"))</f>
        <v>✓ famille</v>
      </c>
      <c r="G633" s="35" t="str">
        <f>IF(Liens!F628="","",IF(COUNTIF(Mots!A:A,Liens!F628)&gt;0,"✓ "&amp;Liens!F628,"✗ "&amp;Liens!F628&amp;" (introuvable)"))</f>
        <v/>
      </c>
      <c r="H633" s="35" t="str">
        <f>IF(Liens!G628="","",IF(COUNTIF(Mots!A:A,Liens!G628)&gt;0,"✓ "&amp;Liens!G628,"✗ "&amp;Liens!G628&amp;" (introuvable)"))</f>
        <v/>
      </c>
      <c r="I633" s="35" t="str">
        <f>IF(Liens!H628="","",IF(COUNTIF(Mots!A:A,Liens!H628)&gt;0,"✓ "&amp;Liens!H628,"✗ "&amp;Liens!H628&amp;" (introuvable)"))</f>
        <v/>
      </c>
    </row>
    <row r="634" spans="1:9" x14ac:dyDescent="0.3">
      <c r="A634">
        <f t="shared" si="6"/>
        <v>629</v>
      </c>
      <c r="B634" s="35" t="str">
        <f>IF(Liens!A629="","",IF(COUNTIF(Mots!A:A,Liens!A629)&gt;0,"✓ "&amp;Liens!A629,"✗ "&amp;Liens!A629&amp;" (introuvable)"))</f>
        <v>✓ periode</v>
      </c>
      <c r="C634" s="35" t="str">
        <f>IF(Liens!B629="","",IF(COUNTIF(Mots!A:A,Liens!B629)&gt;0,"✓ "&amp;Liens!B629,"✗ "&amp;Liens!B629&amp;" (introuvable)"))</f>
        <v>✓ debut</v>
      </c>
      <c r="D634" s="35" t="str">
        <f>IF(Liens!C629="","",IF(COUNTIF(Mots!A:A,Liens!C629)&gt;0,"✓ "&amp;Liens!C629,"✗ "&amp;Liens!C629&amp;" (introuvable)"))</f>
        <v>✓ fin</v>
      </c>
      <c r="E634" s="35" t="str">
        <f>IF(Liens!D629="","",IF(COUNTIF(Mots!A:A,Liens!D629)&gt;0,"✓ "&amp;Liens!D629,"✗ "&amp;Liens!D629&amp;" (introuvable)"))</f>
        <v>✓ duree</v>
      </c>
      <c r="F634" s="35" t="str">
        <f>IF(Liens!E629="","",IF(COUNTIF(Mots!A:A,Liens!E629)&gt;0,"✓ "&amp;Liens!E629,"✗ "&amp;Liens!E629&amp;" (introuvable)"))</f>
        <v>✓ moment</v>
      </c>
      <c r="G634" s="35" t="str">
        <f>IF(Liens!F629="","",IF(COUNTIF(Mots!A:A,Liens!F629)&gt;0,"✓ "&amp;Liens!F629,"✗ "&amp;Liens!F629&amp;" (introuvable)"))</f>
        <v>✓ semaine</v>
      </c>
      <c r="H634" s="35" t="str">
        <f>IF(Liens!G629="","",IF(COUNTIF(Mots!A:A,Liens!G629)&gt;0,"✓ "&amp;Liens!G629,"✗ "&amp;Liens!G629&amp;" (introuvable)"))</f>
        <v>✓ mois</v>
      </c>
      <c r="I634" s="35" t="str">
        <f>IF(Liens!H629="","",IF(COUNTIF(Mots!A:A,Liens!H629)&gt;0,"✓ "&amp;Liens!H629,"✗ "&amp;Liens!H629&amp;" (introuvable)"))</f>
        <v>✓ annee</v>
      </c>
    </row>
    <row r="635" spans="1:9" x14ac:dyDescent="0.3">
      <c r="A635">
        <f t="shared" si="6"/>
        <v>630</v>
      </c>
      <c r="B635" s="35" t="str">
        <f>IF(Liens!A630="","",IF(COUNTIF(Mots!A:A,Liens!A630)&gt;0,"✓ "&amp;Liens!A630,"✗ "&amp;Liens!A630&amp;" (introuvable)"))</f>
        <v>✓ permis</v>
      </c>
      <c r="C635" s="35" t="str">
        <f>IF(Liens!B630="","",IF(COUNTIF(Mots!A:A,Liens!B630)&gt;0,"✓ "&amp;Liens!B630,"✗ "&amp;Liens!B630&amp;" (introuvable)"))</f>
        <v>✓ papier</v>
      </c>
      <c r="D635" s="35" t="str">
        <f>IF(Liens!C630="","",IF(COUNTIF(Mots!A:A,Liens!C630)&gt;0,"✓ "&amp;Liens!C630,"✗ "&amp;Liens!C630&amp;" (introuvable)"))</f>
        <v>✓ droit</v>
      </c>
      <c r="E635" s="35" t="str">
        <f>IF(Liens!D630="","",IF(COUNTIF(Mots!A:A,Liens!D630)&gt;0,"✓ "&amp;Liens!D630,"✗ "&amp;Liens!D630&amp;" (introuvable)"))</f>
        <v>✓ v_conduire</v>
      </c>
      <c r="F635" s="35" t="str">
        <f>IF(Liens!E630="","",IF(COUNTIF(Mots!A:A,Liens!E630)&gt;0,"✓ "&amp;Liens!E630,"✗ "&amp;Liens!E630&amp;" (introuvable)"))</f>
        <v>✓ voiture</v>
      </c>
      <c r="G635" s="35" t="str">
        <f>IF(Liens!F630="","",IF(COUNTIF(Mots!A:A,Liens!F630)&gt;0,"✓ "&amp;Liens!F630,"✗ "&amp;Liens!F630&amp;" (introuvable)"))</f>
        <v>✓ policier</v>
      </c>
      <c r="H635" s="35" t="str">
        <f>IF(Liens!G630="","",IF(COUNTIF(Mots!A:A,Liens!G630)&gt;0,"✓ "&amp;Liens!G630,"✗ "&amp;Liens!G630&amp;" (introuvable)"))</f>
        <v/>
      </c>
      <c r="I635" s="35" t="str">
        <f>IF(Liens!H630="","",IF(COUNTIF(Mots!A:A,Liens!H630)&gt;0,"✓ "&amp;Liens!H630,"✗ "&amp;Liens!H630&amp;" (introuvable)"))</f>
        <v/>
      </c>
    </row>
    <row r="636" spans="1:9" x14ac:dyDescent="0.3">
      <c r="A636">
        <f t="shared" si="6"/>
        <v>631</v>
      </c>
      <c r="B636" s="35" t="str">
        <f>IF(Liens!A631="","",IF(COUNTIF(Mots!A:A,Liens!A631)&gt;0,"✓ "&amp;Liens!A631,"✗ "&amp;Liens!A631&amp;" (introuvable)"))</f>
        <v>✓ personne</v>
      </c>
      <c r="C636" s="35" t="str">
        <f>IF(Liens!B631="","",IF(COUNTIF(Mots!A:A,Liens!B631)&gt;0,"✓ "&amp;Liens!B631,"✗ "&amp;Liens!B631&amp;" (introuvable)"))</f>
        <v>✓ homme</v>
      </c>
      <c r="D636" s="35" t="str">
        <f>IF(Liens!C631="","",IF(COUNTIF(Mots!A:A,Liens!C631)&gt;0,"✓ "&amp;Liens!C631,"✗ "&amp;Liens!C631&amp;" (introuvable)"))</f>
        <v>✓ femme</v>
      </c>
      <c r="E636" s="35" t="str">
        <f>IF(Liens!D631="","",IF(COUNTIF(Mots!A:A,Liens!D631)&gt;0,"✓ "&amp;Liens!D631,"✗ "&amp;Liens!D631&amp;" (introuvable)"))</f>
        <v>✓ garcon</v>
      </c>
      <c r="F636" s="35" t="str">
        <f>IF(Liens!E631="","",IF(COUNTIF(Mots!A:A,Liens!E631)&gt;0,"✓ "&amp;Liens!E631,"✗ "&amp;Liens!E631&amp;" (introuvable)"))</f>
        <v>✓ fille</v>
      </c>
      <c r="G636" s="35" t="str">
        <f>IF(Liens!F631="","",IF(COUNTIF(Mots!A:A,Liens!F631)&gt;0,"✓ "&amp;Liens!F631,"✗ "&amp;Liens!F631&amp;" (introuvable)"))</f>
        <v>✓ bebe</v>
      </c>
      <c r="H636" s="35" t="str">
        <f>IF(Liens!G631="","",IF(COUNTIF(Mots!A:A,Liens!G631)&gt;0,"✓ "&amp;Liens!G631,"✗ "&amp;Liens!G631&amp;" (introuvable)"))</f>
        <v/>
      </c>
      <c r="I636" s="35" t="str">
        <f>IF(Liens!H631="","",IF(COUNTIF(Mots!A:A,Liens!H631)&gt;0,"✓ "&amp;Liens!H631,"✗ "&amp;Liens!H631&amp;" (introuvable)"))</f>
        <v/>
      </c>
    </row>
    <row r="637" spans="1:9" x14ac:dyDescent="0.3">
      <c r="A637">
        <f t="shared" si="6"/>
        <v>632</v>
      </c>
      <c r="B637" s="35" t="str">
        <f>IF(Liens!A632="","",IF(COUNTIF(Mots!A:A,Liens!A632)&gt;0,"✓ "&amp;Liens!A632,"✗ "&amp;Liens!A632&amp;" (introuvable)"))</f>
        <v>✓ perte</v>
      </c>
      <c r="C637" s="35" t="str">
        <f>IF(Liens!B632="","",IF(COUNTIF(Mots!A:A,Liens!B632)&gt;0,"✓ "&amp;Liens!B632,"✗ "&amp;Liens!B632&amp;" (introuvable)"))</f>
        <v>✓ chose</v>
      </c>
      <c r="D637" s="35" t="str">
        <f>IF(Liens!C632="","",IF(COUNTIF(Mots!A:A,Liens!C632)&gt;0,"✓ "&amp;Liens!C632,"✗ "&amp;Liens!C632&amp;" (introuvable)"))</f>
        <v>✓ v_perdre</v>
      </c>
      <c r="E637" s="35" t="str">
        <f>IF(Liens!D632="","",IF(COUNTIF(Mots!A:A,Liens!D632)&gt;0,"✓ "&amp;Liens!D632,"✗ "&amp;Liens!D632&amp;" (introuvable)"))</f>
        <v>✓ v_chercher</v>
      </c>
      <c r="F637" s="35" t="str">
        <f>IF(Liens!E632="","",IF(COUNTIF(Mots!A:A,Liens!E632)&gt;0,"✓ "&amp;Liens!E632,"✗ "&amp;Liens!E632&amp;" (introuvable)"))</f>
        <v>✓ v_trouver</v>
      </c>
      <c r="G637" s="35" t="str">
        <f>IF(Liens!F632="","",IF(COUNTIF(Mots!A:A,Liens!F632)&gt;0,"✓ "&amp;Liens!F632,"✗ "&amp;Liens!F632&amp;" (introuvable)"))</f>
        <v/>
      </c>
      <c r="H637" s="35" t="str">
        <f>IF(Liens!G632="","",IF(COUNTIF(Mots!A:A,Liens!G632)&gt;0,"✓ "&amp;Liens!G632,"✗ "&amp;Liens!G632&amp;" (introuvable)"))</f>
        <v/>
      </c>
      <c r="I637" s="35" t="str">
        <f>IF(Liens!H632="","",IF(COUNTIF(Mots!A:A,Liens!H632)&gt;0,"✓ "&amp;Liens!H632,"✗ "&amp;Liens!H632&amp;" (introuvable)"))</f>
        <v/>
      </c>
    </row>
    <row r="638" spans="1:9" x14ac:dyDescent="0.3">
      <c r="A638">
        <f t="shared" si="6"/>
        <v>633</v>
      </c>
      <c r="B638" s="35" t="str">
        <f>IF(Liens!A633="","",IF(COUNTIF(Mots!A:A,Liens!A633)&gt;0,"✓ "&amp;Liens!A633,"✗ "&amp;Liens!A633&amp;" (introuvable)"))</f>
        <v>✓ peu</v>
      </c>
      <c r="C638" s="35" t="str">
        <f>IF(Liens!B633="","",IF(COUNTIF(Mots!A:A,Liens!B633)&gt;0,"✓ "&amp;Liens!B633,"✗ "&amp;Liens!B633&amp;" (introuvable)"))</f>
        <v>✓ quantite</v>
      </c>
      <c r="D638" s="35" t="str">
        <f>IF(Liens!C633="","",IF(COUNTIF(Mots!A:A,Liens!C633)&gt;0,"✓ "&amp;Liens!C633,"✗ "&amp;Liens!C633&amp;" (introuvable)"))</f>
        <v>✓ beaucoup</v>
      </c>
      <c r="E638" s="35" t="str">
        <f>IF(Liens!D633="","",IF(COUNTIF(Mots!A:A,Liens!D633)&gt;0,"✓ "&amp;Liens!D633,"✗ "&amp;Liens!D633&amp;" (introuvable)"))</f>
        <v>✓ assez</v>
      </c>
      <c r="F638" s="35" t="str">
        <f>IF(Liens!E633="","",IF(COUNTIF(Mots!A:A,Liens!E633)&gt;0,"✓ "&amp;Liens!E633,"✗ "&amp;Liens!E633&amp;" (introuvable)"))</f>
        <v>✓ trop</v>
      </c>
      <c r="G638" s="35" t="str">
        <f>IF(Liens!F633="","",IF(COUNTIF(Mots!A:A,Liens!F633)&gt;0,"✓ "&amp;Liens!F633,"✗ "&amp;Liens!F633&amp;" (introuvable)"))</f>
        <v/>
      </c>
      <c r="H638" s="35" t="str">
        <f>IF(Liens!G633="","",IF(COUNTIF(Mots!A:A,Liens!G633)&gt;0,"✓ "&amp;Liens!G633,"✗ "&amp;Liens!G633&amp;" (introuvable)"))</f>
        <v/>
      </c>
      <c r="I638" s="35" t="str">
        <f>IF(Liens!H633="","",IF(COUNTIF(Mots!A:A,Liens!H633)&gt;0,"✓ "&amp;Liens!H633,"✗ "&amp;Liens!H633&amp;" (introuvable)"))</f>
        <v/>
      </c>
    </row>
    <row r="639" spans="1:9" x14ac:dyDescent="0.3">
      <c r="A639">
        <f t="shared" si="6"/>
        <v>634</v>
      </c>
      <c r="B639" s="35" t="str">
        <f>IF(Liens!A634="","",IF(COUNTIF(Mots!A:A,Liens!A634)&gt;0,"✓ "&amp;Liens!A634,"✗ "&amp;Liens!A634&amp;" (introuvable)"))</f>
        <v>✓ peur</v>
      </c>
      <c r="C639" s="35" t="str">
        <f>IF(Liens!B634="","",IF(COUNTIF(Mots!A:A,Liens!B634)&gt;0,"✓ "&amp;Liens!B634,"✗ "&amp;Liens!B634&amp;" (introuvable)"))</f>
        <v>✓ danger</v>
      </c>
      <c r="D639" s="35" t="str">
        <f>IF(Liens!C634="","",IF(COUNTIF(Mots!A:A,Liens!C634)&gt;0,"✓ "&amp;Liens!C634,"✗ "&amp;Liens!C634&amp;" (introuvable)"))</f>
        <v/>
      </c>
      <c r="E639" s="35" t="str">
        <f>IF(Liens!D634="","",IF(COUNTIF(Mots!A:A,Liens!D634)&gt;0,"✓ "&amp;Liens!D634,"✗ "&amp;Liens!D634&amp;" (introuvable)"))</f>
        <v/>
      </c>
      <c r="F639" s="35" t="str">
        <f>IF(Liens!E634="","",IF(COUNTIF(Mots!A:A,Liens!E634)&gt;0,"✓ "&amp;Liens!E634,"✗ "&amp;Liens!E634&amp;" (introuvable)"))</f>
        <v/>
      </c>
      <c r="G639" s="35" t="str">
        <f>IF(Liens!F634="","",IF(COUNTIF(Mots!A:A,Liens!F634)&gt;0,"✓ "&amp;Liens!F634,"✗ "&amp;Liens!F634&amp;" (introuvable)"))</f>
        <v/>
      </c>
      <c r="H639" s="35" t="str">
        <f>IF(Liens!G634="","",IF(COUNTIF(Mots!A:A,Liens!G634)&gt;0,"✓ "&amp;Liens!G634,"✗ "&amp;Liens!G634&amp;" (introuvable)"))</f>
        <v/>
      </c>
      <c r="I639" s="35" t="str">
        <f>IF(Liens!H634="","",IF(COUNTIF(Mots!A:A,Liens!H634)&gt;0,"✓ "&amp;Liens!H634,"✗ "&amp;Liens!H634&amp;" (introuvable)"))</f>
        <v/>
      </c>
    </row>
    <row r="640" spans="1:9" x14ac:dyDescent="0.3">
      <c r="A640">
        <f t="shared" si="6"/>
        <v>635</v>
      </c>
      <c r="B640" s="35" t="str">
        <f>IF(Liens!A635="","",IF(COUNTIF(Mots!A:A,Liens!A635)&gt;0,"✓ "&amp;Liens!A635,"✗ "&amp;Liens!A635&amp;" (introuvable)"))</f>
        <v>✓ phare</v>
      </c>
      <c r="C640" s="35" t="str">
        <f>IF(Liens!B635="","",IF(COUNTIF(Mots!A:A,Liens!B635)&gt;0,"✓ "&amp;Liens!B635,"✗ "&amp;Liens!B635&amp;" (introuvable)"))</f>
        <v>✓ lumiere</v>
      </c>
      <c r="D640" s="35" t="str">
        <f>IF(Liens!C635="","",IF(COUNTIF(Mots!A:A,Liens!C635)&gt;0,"✓ "&amp;Liens!C635,"✗ "&amp;Liens!C635&amp;" (introuvable)"))</f>
        <v>✓ voiture</v>
      </c>
      <c r="E640" s="35" t="str">
        <f>IF(Liens!D635="","",IF(COUNTIF(Mots!A:A,Liens!D635)&gt;0,"✓ "&amp;Liens!D635,"✗ "&amp;Liens!D635&amp;" (introuvable)"))</f>
        <v>✓ nuit</v>
      </c>
      <c r="F640" s="35" t="str">
        <f>IF(Liens!E635="","",IF(COUNTIF(Mots!A:A,Liens!E635)&gt;0,"✓ "&amp;Liens!E635,"✗ "&amp;Liens!E635&amp;" (introuvable)"))</f>
        <v>✓ ampoule</v>
      </c>
      <c r="G640" s="35" t="str">
        <f>IF(Liens!F635="","",IF(COUNTIF(Mots!A:A,Liens!F635)&gt;0,"✓ "&amp;Liens!F635,"✗ "&amp;Liens!F635&amp;" (introuvable)"))</f>
        <v>✓ v_eclairer</v>
      </c>
      <c r="H640" s="35" t="str">
        <f>IF(Liens!G635="","",IF(COUNTIF(Mots!A:A,Liens!G635)&gt;0,"✓ "&amp;Liens!G635,"✗ "&amp;Liens!G635&amp;" (introuvable)"))</f>
        <v>✓ mer</v>
      </c>
      <c r="I640" s="35" t="str">
        <f>IF(Liens!H635="","",IF(COUNTIF(Mots!A:A,Liens!H635)&gt;0,"✓ "&amp;Liens!H635,"✗ "&amp;Liens!H635&amp;" (introuvable)"))</f>
        <v>✓ bateau</v>
      </c>
    </row>
    <row r="641" spans="1:9" x14ac:dyDescent="0.3">
      <c r="A641">
        <f t="shared" si="6"/>
        <v>636</v>
      </c>
      <c r="B641" s="35" t="str">
        <f>IF(Liens!A636="","",IF(COUNTIF(Mots!A:A,Liens!A636)&gt;0,"✓ "&amp;Liens!A636,"✗ "&amp;Liens!A636&amp;" (introuvable)"))</f>
        <v>✓ pharmacie</v>
      </c>
      <c r="C641" s="35" t="str">
        <f>IF(Liens!B636="","",IF(COUNTIF(Mots!A:A,Liens!B636)&gt;0,"✓ "&amp;Liens!B636,"✗ "&amp;Liens!B636&amp;" (introuvable)"))</f>
        <v>✓ medicament</v>
      </c>
      <c r="D641" s="35" t="str">
        <f>IF(Liens!C636="","",IF(COUNTIF(Mots!A:A,Liens!C636)&gt;0,"✓ "&amp;Liens!C636,"✗ "&amp;Liens!C636&amp;" (introuvable)"))</f>
        <v>✓ comprime</v>
      </c>
      <c r="E641" s="35" t="str">
        <f>IF(Liens!D636="","",IF(COUNTIF(Mots!A:A,Liens!D636)&gt;0,"✓ "&amp;Liens!D636,"✗ "&amp;Liens!D636&amp;" (introuvable)"))</f>
        <v>✓ pharmacien</v>
      </c>
      <c r="F641" s="35" t="str">
        <f>IF(Liens!E636="","",IF(COUNTIF(Mots!A:A,Liens!E636)&gt;0,"✓ "&amp;Liens!E636,"✗ "&amp;Liens!E636&amp;" (introuvable)"))</f>
        <v>✓ medecin</v>
      </c>
      <c r="G641" s="35" t="str">
        <f>IF(Liens!F636="","",IF(COUNTIF(Mots!A:A,Liens!F636)&gt;0,"✓ "&amp;Liens!F636,"✗ "&amp;Liens!F636&amp;" (introuvable)"))</f>
        <v>✓ v_soigner</v>
      </c>
      <c r="H641" s="35" t="str">
        <f>IF(Liens!G636="","",IF(COUNTIF(Mots!A:A,Liens!G636)&gt;0,"✓ "&amp;Liens!G636,"✗ "&amp;Liens!G636&amp;" (introuvable)"))</f>
        <v>✓ toux</v>
      </c>
      <c r="I641" s="35" t="str">
        <f>IF(Liens!H636="","",IF(COUNTIF(Mots!A:A,Liens!H636)&gt;0,"✓ "&amp;Liens!H636,"✗ "&amp;Liens!H636&amp;" (introuvable)"))</f>
        <v/>
      </c>
    </row>
    <row r="642" spans="1:9" x14ac:dyDescent="0.3">
      <c r="A642">
        <f t="shared" si="6"/>
        <v>637</v>
      </c>
      <c r="B642" s="35" t="str">
        <f>IF(Liens!A637="","",IF(COUNTIF(Mots!A:A,Liens!A637)&gt;0,"✓ "&amp;Liens!A637,"✗ "&amp;Liens!A637&amp;" (introuvable)"))</f>
        <v>✓ pharmacien</v>
      </c>
      <c r="C642" s="35" t="str">
        <f>IF(Liens!B637="","",IF(COUNTIF(Mots!A:A,Liens!B637)&gt;0,"✓ "&amp;Liens!B637,"✗ "&amp;Liens!B637&amp;" (introuvable)"))</f>
        <v>✓ pharmacie</v>
      </c>
      <c r="D642" s="35" t="str">
        <f>IF(Liens!C637="","",IF(COUNTIF(Mots!A:A,Liens!C637)&gt;0,"✓ "&amp;Liens!C637,"✗ "&amp;Liens!C637&amp;" (introuvable)"))</f>
        <v>✓ medicament</v>
      </c>
      <c r="E642" s="35" t="str">
        <f>IF(Liens!D637="","",IF(COUNTIF(Mots!A:A,Liens!D637)&gt;0,"✓ "&amp;Liens!D637,"✗ "&amp;Liens!D637&amp;" (introuvable)"))</f>
        <v>✓ comprime</v>
      </c>
      <c r="F642" s="35" t="str">
        <f>IF(Liens!E637="","",IF(COUNTIF(Mots!A:A,Liens!E637)&gt;0,"✓ "&amp;Liens!E637,"✗ "&amp;Liens!E637&amp;" (introuvable)"))</f>
        <v>✓ v_soigner</v>
      </c>
      <c r="G642" s="35" t="str">
        <f>IF(Liens!F637="","",IF(COUNTIF(Mots!A:A,Liens!F637)&gt;0,"✓ "&amp;Liens!F637,"✗ "&amp;Liens!F637&amp;" (introuvable)"))</f>
        <v>✓ toux</v>
      </c>
      <c r="H642" s="35" t="str">
        <f>IF(Liens!G637="","",IF(COUNTIF(Mots!A:A,Liens!G637)&gt;0,"✓ "&amp;Liens!G637,"✗ "&amp;Liens!G637&amp;" (introuvable)"))</f>
        <v/>
      </c>
      <c r="I642" s="35" t="str">
        <f>IF(Liens!H637="","",IF(COUNTIF(Mots!A:A,Liens!H637)&gt;0,"✓ "&amp;Liens!H637,"✗ "&amp;Liens!H637&amp;" (introuvable)"))</f>
        <v/>
      </c>
    </row>
    <row r="643" spans="1:9" x14ac:dyDescent="0.3">
      <c r="A643">
        <f t="shared" si="6"/>
        <v>638</v>
      </c>
      <c r="B643" s="35" t="str">
        <f>IF(Liens!A638="","",IF(COUNTIF(Mots!A:A,Liens!A638)&gt;0,"✓ "&amp;Liens!A638,"✗ "&amp;Liens!A638&amp;" (introuvable)"))</f>
        <v>✓ photo</v>
      </c>
      <c r="C643" s="35" t="str">
        <f>IF(Liens!B638="","",IF(COUNTIF(Mots!A:A,Liens!B638)&gt;0,"✓ "&amp;Liens!B638,"✗ "&amp;Liens!B638&amp;" (introuvable)"))</f>
        <v>✓ image</v>
      </c>
      <c r="D643" s="35" t="str">
        <f>IF(Liens!C638="","",IF(COUNTIF(Mots!A:A,Liens!C638)&gt;0,"✓ "&amp;Liens!C638,"✗ "&amp;Liens!C638&amp;" (introuvable)"))</f>
        <v>✓ appareil_photo</v>
      </c>
      <c r="E643" s="35" t="str">
        <f>IF(Liens!D638="","",IF(COUNTIF(Mots!A:A,Liens!D638)&gt;0,"✓ "&amp;Liens!D638,"✗ "&amp;Liens!D638&amp;" (introuvable)"))</f>
        <v>✓ personne</v>
      </c>
      <c r="F643" s="35" t="str">
        <f>IF(Liens!E638="","",IF(COUNTIF(Mots!A:A,Liens!E638)&gt;0,"✓ "&amp;Liens!E638,"✗ "&amp;Liens!E638&amp;" (introuvable)"))</f>
        <v>✓ nature</v>
      </c>
      <c r="G643" s="35" t="str">
        <f>IF(Liens!F638="","",IF(COUNTIF(Mots!A:A,Liens!F638)&gt;0,"✓ "&amp;Liens!F638,"✗ "&amp;Liens!F638&amp;" (introuvable)"))</f>
        <v>✓ smartphone</v>
      </c>
      <c r="H643" s="35" t="str">
        <f>IF(Liens!G638="","",IF(COUNTIF(Mots!A:A,Liens!G638)&gt;0,"✓ "&amp;Liens!G638,"✗ "&amp;Liens!G638&amp;" (introuvable)"))</f>
        <v/>
      </c>
      <c r="I643" s="35" t="str">
        <f>IF(Liens!H638="","",IF(COUNTIF(Mots!A:A,Liens!H638)&gt;0,"✓ "&amp;Liens!H638,"✗ "&amp;Liens!H638&amp;" (introuvable)"))</f>
        <v/>
      </c>
    </row>
    <row r="644" spans="1:9" x14ac:dyDescent="0.3">
      <c r="A644">
        <f t="shared" si="6"/>
        <v>639</v>
      </c>
      <c r="B644" s="35" t="str">
        <f>IF(Liens!A639="","",IF(COUNTIF(Mots!A:A,Liens!A639)&gt;0,"✓ "&amp;Liens!A639,"✗ "&amp;Liens!A639&amp;" (introuvable)"))</f>
        <v>✓ piano</v>
      </c>
      <c r="C644" s="35" t="str">
        <f>IF(Liens!B639="","",IF(COUNTIF(Mots!A:A,Liens!B639)&gt;0,"✓ "&amp;Liens!B639,"✗ "&amp;Liens!B639&amp;" (introuvable)"))</f>
        <v>✓ musicien</v>
      </c>
      <c r="D644" s="35" t="str">
        <f>IF(Liens!C639="","",IF(COUNTIF(Mots!A:A,Liens!C639)&gt;0,"✓ "&amp;Liens!C639,"✗ "&amp;Liens!C639&amp;" (introuvable)"))</f>
        <v>✓ melodie</v>
      </c>
      <c r="E644" s="35" t="str">
        <f>IF(Liens!D639="","",IF(COUNTIF(Mots!A:A,Liens!D639)&gt;0,"✓ "&amp;Liens!D639,"✗ "&amp;Liens!D639&amp;" (introuvable)"))</f>
        <v>✓ corde</v>
      </c>
      <c r="F644" s="35" t="str">
        <f>IF(Liens!E639="","",IF(COUNTIF(Mots!A:A,Liens!E639)&gt;0,"✓ "&amp;Liens!E639,"✗ "&amp;Liens!E639&amp;" (introuvable)"))</f>
        <v>✓ v_jouer</v>
      </c>
      <c r="G644" s="35" t="str">
        <f>IF(Liens!F639="","",IF(COUNTIF(Mots!A:A,Liens!F639)&gt;0,"✓ "&amp;Liens!F639,"✗ "&amp;Liens!F639&amp;" (introuvable)"))</f>
        <v>✓ son</v>
      </c>
      <c r="H644" s="35" t="str">
        <f>IF(Liens!G639="","",IF(COUNTIF(Mots!A:A,Liens!G639)&gt;0,"✓ "&amp;Liens!G639,"✗ "&amp;Liens!G639&amp;" (introuvable)"))</f>
        <v>✓ v_entendre</v>
      </c>
      <c r="I644" s="35" t="str">
        <f>IF(Liens!H639="","",IF(COUNTIF(Mots!A:A,Liens!H639)&gt;0,"✓ "&amp;Liens!H639,"✗ "&amp;Liens!H639&amp;" (introuvable)"))</f>
        <v>✓ musique</v>
      </c>
    </row>
    <row r="645" spans="1:9" x14ac:dyDescent="0.3">
      <c r="A645">
        <f t="shared" si="6"/>
        <v>640</v>
      </c>
      <c r="B645" s="35" t="str">
        <f>IF(Liens!A640="","",IF(COUNTIF(Mots!A:A,Liens!A640)&gt;0,"✓ "&amp;Liens!A640,"✗ "&amp;Liens!A640&amp;" (introuvable)"))</f>
        <v>✓ pied</v>
      </c>
      <c r="C645" s="35" t="str">
        <f>IF(Liens!B640="","",IF(COUNTIF(Mots!A:A,Liens!B640)&gt;0,"✓ "&amp;Liens!B640,"✗ "&amp;Liens!B640&amp;" (introuvable)"))</f>
        <v>✓ corps_humain</v>
      </c>
      <c r="D645" s="35" t="str">
        <f>IF(Liens!C640="","",IF(COUNTIF(Mots!A:A,Liens!C640)&gt;0,"✓ "&amp;Liens!C640,"✗ "&amp;Liens!C640&amp;" (introuvable)"))</f>
        <v>✓ jambe</v>
      </c>
      <c r="E645" s="35" t="str">
        <f>IF(Liens!D640="","",IF(COUNTIF(Mots!A:A,Liens!D640)&gt;0,"✓ "&amp;Liens!D640,"✗ "&amp;Liens!D640&amp;" (introuvable)"))</f>
        <v>✓ v_marcher</v>
      </c>
      <c r="F645" s="35" t="str">
        <f>IF(Liens!E640="","",IF(COUNTIF(Mots!A:A,Liens!E640)&gt;0,"✓ "&amp;Liens!E640,"✗ "&amp;Liens!E640&amp;" (introuvable)"))</f>
        <v>✓ v_courir</v>
      </c>
      <c r="G645" s="35" t="str">
        <f>IF(Liens!F640="","",IF(COUNTIF(Mots!A:A,Liens!F640)&gt;0,"✓ "&amp;Liens!F640,"✗ "&amp;Liens!F640&amp;" (introuvable)"))</f>
        <v>✓ bas</v>
      </c>
      <c r="H645" s="35" t="str">
        <f>IF(Liens!G640="","",IF(COUNTIF(Mots!A:A,Liens!G640)&gt;0,"✓ "&amp;Liens!G640,"✗ "&amp;Liens!G640&amp;" (introuvable)"))</f>
        <v>✓ souliers</v>
      </c>
      <c r="I645" s="35" t="str">
        <f>IF(Liens!H640="","",IF(COUNTIF(Mots!A:A,Liens!H640)&gt;0,"✓ "&amp;Liens!H640,"✗ "&amp;Liens!H640&amp;" (introuvable)"))</f>
        <v>✓ sol</v>
      </c>
    </row>
    <row r="646" spans="1:9" x14ac:dyDescent="0.3">
      <c r="A646">
        <f t="shared" si="6"/>
        <v>641</v>
      </c>
      <c r="B646" s="35" t="str">
        <f>IF(Liens!A641="","",IF(COUNTIF(Mots!A:A,Liens!A641)&gt;0,"✓ "&amp;Liens!A641,"✗ "&amp;Liens!A641&amp;" (introuvable)"))</f>
        <v>✓ pierre</v>
      </c>
      <c r="C646" s="35" t="str">
        <f>IF(Liens!B641="","",IF(COUNTIF(Mots!A:A,Liens!B641)&gt;0,"✓ "&amp;Liens!B641,"✗ "&amp;Liens!B641&amp;" (introuvable)"))</f>
        <v>✓ roche</v>
      </c>
      <c r="D646" s="35" t="str">
        <f>IF(Liens!C641="","",IF(COUNTIF(Mots!A:A,Liens!C641)&gt;0,"✓ "&amp;Liens!C641,"✗ "&amp;Liens!C641&amp;" (introuvable)"))</f>
        <v>✓ a_dur_mou</v>
      </c>
      <c r="E646" s="35" t="str">
        <f>IF(Liens!D641="","",IF(COUNTIF(Mots!A:A,Liens!D641)&gt;0,"✓ "&amp;Liens!D641,"✗ "&amp;Liens!D641&amp;" (introuvable)"))</f>
        <v/>
      </c>
      <c r="F646" s="35" t="str">
        <f>IF(Liens!E641="","",IF(COUNTIF(Mots!A:A,Liens!E641)&gt;0,"✓ "&amp;Liens!E641,"✗ "&amp;Liens!E641&amp;" (introuvable)"))</f>
        <v/>
      </c>
      <c r="G646" s="35" t="str">
        <f>IF(Liens!F641="","",IF(COUNTIF(Mots!A:A,Liens!F641)&gt;0,"✓ "&amp;Liens!F641,"✗ "&amp;Liens!F641&amp;" (introuvable)"))</f>
        <v/>
      </c>
      <c r="H646" s="35" t="str">
        <f>IF(Liens!G641="","",IF(COUNTIF(Mots!A:A,Liens!G641)&gt;0,"✓ "&amp;Liens!G641,"✗ "&amp;Liens!G641&amp;" (introuvable)"))</f>
        <v/>
      </c>
      <c r="I646" s="35" t="str">
        <f>IF(Liens!H641="","",IF(COUNTIF(Mots!A:A,Liens!H641)&gt;0,"✓ "&amp;Liens!H641,"✗ "&amp;Liens!H641&amp;" (introuvable)"))</f>
        <v/>
      </c>
    </row>
    <row r="647" spans="1:9" x14ac:dyDescent="0.3">
      <c r="A647">
        <f t="shared" si="6"/>
        <v>642</v>
      </c>
      <c r="B647" s="35" t="str">
        <f>IF(Liens!A642="","",IF(COUNTIF(Mots!A:A,Liens!A642)&gt;0,"✓ "&amp;Liens!A642,"✗ "&amp;Liens!A642&amp;" (introuvable)"))</f>
        <v>✓ piment</v>
      </c>
      <c r="C647" s="35" t="str">
        <f>IF(Liens!B642="","",IF(COUNTIF(Mots!A:A,Liens!B642)&gt;0,"✓ "&amp;Liens!B642,"✗ "&amp;Liens!B642&amp;" (introuvable)"))</f>
        <v>✓ legume</v>
      </c>
      <c r="D647" s="35" t="str">
        <f>IF(Liens!C642="","",IF(COUNTIF(Mots!A:A,Liens!C642)&gt;0,"✓ "&amp;Liens!C642,"✗ "&amp;Liens!C642&amp;" (introuvable)"))</f>
        <v>✓ c_rouge</v>
      </c>
      <c r="E647" s="35" t="str">
        <f>IF(Liens!D642="","",IF(COUNTIF(Mots!A:A,Liens!D642)&gt;0,"✓ "&amp;Liens!D642,"✗ "&amp;Liens!D642&amp;" (introuvable)"))</f>
        <v>✓ c_vert</v>
      </c>
      <c r="F647" s="35" t="str">
        <f>IF(Liens!E642="","",IF(COUNTIF(Mots!A:A,Liens!E642)&gt;0,"✓ "&amp;Liens!E642,"✗ "&amp;Liens!E642&amp;" (introuvable)"))</f>
        <v>✓ bouche</v>
      </c>
      <c r="G647" s="35" t="str">
        <f>IF(Liens!F642="","",IF(COUNTIF(Mots!A:A,Liens!F642)&gt;0,"✓ "&amp;Liens!F642,"✗ "&amp;Liens!F642&amp;" (introuvable)"))</f>
        <v>✓ piquant</v>
      </c>
      <c r="H647" s="35" t="str">
        <f>IF(Liens!G642="","",IF(COUNTIF(Mots!A:A,Liens!G642)&gt;0,"✓ "&amp;Liens!G642,"✗ "&amp;Liens!G642&amp;" (introuvable)"))</f>
        <v>✓ gout</v>
      </c>
      <c r="I647" s="35" t="str">
        <f>IF(Liens!H642="","",IF(COUNTIF(Mots!A:A,Liens!H642)&gt;0,"✓ "&amp;Liens!H642,"✗ "&amp;Liens!H642&amp;" (introuvable)"))</f>
        <v>✓ v_gouter</v>
      </c>
    </row>
    <row r="648" spans="1:9" x14ac:dyDescent="0.3">
      <c r="A648">
        <f t="shared" si="6"/>
        <v>643</v>
      </c>
      <c r="B648" s="35" t="str">
        <f>IF(Liens!A643="","",IF(COUNTIF(Mots!A:A,Liens!A643)&gt;0,"✓ "&amp;Liens!A643,"✗ "&amp;Liens!A643&amp;" (introuvable)"))</f>
        <v>✓ pince</v>
      </c>
      <c r="C648" s="35" t="str">
        <f>IF(Liens!B643="","",IF(COUNTIF(Mots!A:A,Liens!B643)&gt;0,"✓ "&amp;Liens!B643,"✗ "&amp;Liens!B643&amp;" (introuvable)"))</f>
        <v>✓ outil</v>
      </c>
      <c r="D648" s="35" t="str">
        <f>IF(Liens!C643="","",IF(COUNTIF(Mots!A:A,Liens!C643)&gt;0,"✓ "&amp;Liens!C643,"✗ "&amp;Liens!C643&amp;" (introuvable)"))</f>
        <v>✓ bricolage</v>
      </c>
      <c r="E648" s="35" t="str">
        <f>IF(Liens!D643="","",IF(COUNTIF(Mots!A:A,Liens!D643)&gt;0,"✓ "&amp;Liens!D643,"✗ "&amp;Liens!D643&amp;" (introuvable)"))</f>
        <v>✓ vis</v>
      </c>
      <c r="F648" s="35" t="str">
        <f>IF(Liens!E643="","",IF(COUNTIF(Mots!A:A,Liens!E643)&gt;0,"✓ "&amp;Liens!E643,"✗ "&amp;Liens!E643&amp;" (introuvable)"))</f>
        <v/>
      </c>
      <c r="G648" s="35" t="str">
        <f>IF(Liens!F643="","",IF(COUNTIF(Mots!A:A,Liens!F643)&gt;0,"✓ "&amp;Liens!F643,"✗ "&amp;Liens!F643&amp;" (introuvable)"))</f>
        <v/>
      </c>
      <c r="H648" s="35" t="str">
        <f>IF(Liens!G643="","",IF(COUNTIF(Mots!A:A,Liens!G643)&gt;0,"✓ "&amp;Liens!G643,"✗ "&amp;Liens!G643&amp;" (introuvable)"))</f>
        <v/>
      </c>
      <c r="I648" s="35" t="str">
        <f>IF(Liens!H643="","",IF(COUNTIF(Mots!A:A,Liens!H643)&gt;0,"✓ "&amp;Liens!H643,"✗ "&amp;Liens!H643&amp;" (introuvable)"))</f>
        <v/>
      </c>
    </row>
    <row r="649" spans="1:9" x14ac:dyDescent="0.3">
      <c r="A649">
        <f t="shared" si="6"/>
        <v>644</v>
      </c>
      <c r="B649" s="35" t="str">
        <f>IF(Liens!A644="","",IF(COUNTIF(Mots!A:A,Liens!A644)&gt;0,"✓ "&amp;Liens!A644,"✗ "&amp;Liens!A644&amp;" (introuvable)"))</f>
        <v>✓ pinceau</v>
      </c>
      <c r="C649" s="35" t="str">
        <f>IF(Liens!B644="","",IF(COUNTIF(Mots!A:A,Liens!B644)&gt;0,"✓ "&amp;Liens!B644,"✗ "&amp;Liens!B644&amp;" (introuvable)"))</f>
        <v>✓ peinture</v>
      </c>
      <c r="D649" s="35" t="str">
        <f>IF(Liens!C644="","",IF(COUNTIF(Mots!A:A,Liens!C644)&gt;0,"✓ "&amp;Liens!C644,"✗ "&amp;Liens!C644&amp;" (introuvable)"))</f>
        <v>✓ peintre</v>
      </c>
      <c r="E649" s="35" t="str">
        <f>IF(Liens!D644="","",IF(COUNTIF(Mots!A:A,Liens!D644)&gt;0,"✓ "&amp;Liens!D644,"✗ "&amp;Liens!D644&amp;" (introuvable)"))</f>
        <v>✓ couleur</v>
      </c>
      <c r="F649" s="35" t="str">
        <f>IF(Liens!E644="","",IF(COUNTIF(Mots!A:A,Liens!E644)&gt;0,"✓ "&amp;Liens!E644,"✗ "&amp;Liens!E644&amp;" (introuvable)"))</f>
        <v>✓ tableau</v>
      </c>
      <c r="G649" s="35" t="str">
        <f>IF(Liens!F644="","",IF(COUNTIF(Mots!A:A,Liens!F644)&gt;0,"✓ "&amp;Liens!F644,"✗ "&amp;Liens!F644&amp;" (introuvable)"))</f>
        <v>✓ mur</v>
      </c>
      <c r="H649" s="35" t="str">
        <f>IF(Liens!G644="","",IF(COUNTIF(Mots!A:A,Liens!G644)&gt;0,"✓ "&amp;Liens!G644,"✗ "&amp;Liens!G644&amp;" (introuvable)"))</f>
        <v>✓ echelle</v>
      </c>
      <c r="I649" s="35" t="str">
        <f>IF(Liens!H644="","",IF(COUNTIF(Mots!A:A,Liens!H644)&gt;0,"✓ "&amp;Liens!H644,"✗ "&amp;Liens!H644&amp;" (introuvable)"))</f>
        <v/>
      </c>
    </row>
    <row r="650" spans="1:9" x14ac:dyDescent="0.3">
      <c r="A650">
        <f t="shared" si="6"/>
        <v>645</v>
      </c>
      <c r="B650" s="35" t="str">
        <f>IF(Liens!A645="","",IF(COUNTIF(Mots!A:A,Liens!A645)&gt;0,"✓ "&amp;Liens!A645,"✗ "&amp;Liens!A645&amp;" (introuvable)"))</f>
        <v>✓ piquant</v>
      </c>
      <c r="C650" s="35" t="str">
        <f>IF(Liens!B645="","",IF(COUNTIF(Mots!A:A,Liens!B645)&gt;0,"✓ "&amp;Liens!B645,"✗ "&amp;Liens!B645&amp;" (introuvable)"))</f>
        <v>✓ gout</v>
      </c>
      <c r="D650" s="35" t="str">
        <f>IF(Liens!C645="","",IF(COUNTIF(Mots!A:A,Liens!C645)&gt;0,"✓ "&amp;Liens!C645,"✗ "&amp;Liens!C645&amp;" (introuvable)"))</f>
        <v>✓ piment</v>
      </c>
      <c r="E650" s="35" t="str">
        <f>IF(Liens!D645="","",IF(COUNTIF(Mots!A:A,Liens!D645)&gt;0,"✓ "&amp;Liens!D645,"✗ "&amp;Liens!D645&amp;" (introuvable)"))</f>
        <v>✓ v_gouter</v>
      </c>
      <c r="F650" s="35" t="str">
        <f>IF(Liens!E645="","",IF(COUNTIF(Mots!A:A,Liens!E645)&gt;0,"✓ "&amp;Liens!E645,"✗ "&amp;Liens!E645&amp;" (introuvable)"))</f>
        <v>✓ langue</v>
      </c>
      <c r="G650" s="35" t="str">
        <f>IF(Liens!F645="","",IF(COUNTIF(Mots!A:A,Liens!F645)&gt;0,"✓ "&amp;Liens!F645,"✗ "&amp;Liens!F645&amp;" (introuvable)"))</f>
        <v>✓ bouche</v>
      </c>
      <c r="H650" s="35" t="str">
        <f>IF(Liens!G645="","",IF(COUNTIF(Mots!A:A,Liens!G645)&gt;0,"✓ "&amp;Liens!G645,"✗ "&amp;Liens!G645&amp;" (introuvable)"))</f>
        <v/>
      </c>
      <c r="I650" s="35" t="str">
        <f>IF(Liens!H645="","",IF(COUNTIF(Mots!A:A,Liens!H645)&gt;0,"✓ "&amp;Liens!H645,"✗ "&amp;Liens!H645&amp;" (introuvable)"))</f>
        <v/>
      </c>
    </row>
    <row r="651" spans="1:9" x14ac:dyDescent="0.3">
      <c r="A651">
        <f t="shared" si="6"/>
        <v>646</v>
      </c>
      <c r="B651" s="35" t="str">
        <f>IF(Liens!A646="","",IF(COUNTIF(Mots!A:A,Liens!A646)&gt;0,"✓ "&amp;Liens!A646,"✗ "&amp;Liens!A646&amp;" (introuvable)"))</f>
        <v>✓ pique_nique</v>
      </c>
      <c r="C651" s="35" t="str">
        <f>IF(Liens!B646="","",IF(COUNTIF(Mots!A:A,Liens!B646)&gt;0,"✓ "&amp;Liens!B646,"✗ "&amp;Liens!B646&amp;" (introuvable)"))</f>
        <v>✓ repas</v>
      </c>
      <c r="D651" s="35" t="str">
        <f>IF(Liens!C646="","",IF(COUNTIF(Mots!A:A,Liens!C646)&gt;0,"✓ "&amp;Liens!C646,"✗ "&amp;Liens!C646&amp;" (introuvable)"))</f>
        <v>✓ nature</v>
      </c>
      <c r="E651" s="35" t="str">
        <f>IF(Liens!D646="","",IF(COUNTIF(Mots!A:A,Liens!D646)&gt;0,"✓ "&amp;Liens!D646,"✗ "&amp;Liens!D646&amp;" (introuvable)"))</f>
        <v>✓ sandwich</v>
      </c>
      <c r="F651" s="35" t="str">
        <f>IF(Liens!E646="","",IF(COUNTIF(Mots!A:A,Liens!E646)&gt;0,"✓ "&amp;Liens!E646,"✗ "&amp;Liens!E646&amp;" (introuvable)"))</f>
        <v>✓ pain</v>
      </c>
      <c r="G651" s="35" t="str">
        <f>IF(Liens!F646="","",IF(COUNTIF(Mots!A:A,Liens!F646)&gt;0,"✓ "&amp;Liens!F646,"✗ "&amp;Liens!F646&amp;" (introuvable)"))</f>
        <v>✓ fromage</v>
      </c>
      <c r="H651" s="35" t="str">
        <f>IF(Liens!G646="","",IF(COUNTIF(Mots!A:A,Liens!G646)&gt;0,"✓ "&amp;Liens!G646,"✗ "&amp;Liens!G646&amp;" (introuvable)"))</f>
        <v/>
      </c>
      <c r="I651" s="35" t="str">
        <f>IF(Liens!H646="","",IF(COUNTIF(Mots!A:A,Liens!H646)&gt;0,"✓ "&amp;Liens!H646,"✗ "&amp;Liens!H646&amp;" (introuvable)"))</f>
        <v/>
      </c>
    </row>
    <row r="652" spans="1:9" x14ac:dyDescent="0.3">
      <c r="A652">
        <f t="shared" si="6"/>
        <v>647</v>
      </c>
      <c r="B652" s="35" t="str">
        <f>IF(Liens!A647="","",IF(COUNTIF(Mots!A:A,Liens!A647)&gt;0,"✓ "&amp;Liens!A647,"✗ "&amp;Liens!A647&amp;" (introuvable)"))</f>
        <v>✓ piqure</v>
      </c>
      <c r="C652" s="35" t="str">
        <f>IF(Liens!B647="","",IF(COUNTIF(Mots!A:A,Liens!B647)&gt;0,"✓ "&amp;Liens!B647,"✗ "&amp;Liens!B647&amp;" (introuvable)"))</f>
        <v>✓ peau</v>
      </c>
      <c r="D652" s="35" t="str">
        <f>IF(Liens!C647="","",IF(COUNTIF(Mots!A:A,Liens!C647)&gt;0,"✓ "&amp;Liens!C647,"✗ "&amp;Liens!C647&amp;" (introuvable)"))</f>
        <v>✓ vaccin</v>
      </c>
      <c r="E652" s="35" t="str">
        <f>IF(Liens!D647="","",IF(COUNTIF(Mots!A:A,Liens!D647)&gt;0,"✓ "&amp;Liens!D647,"✗ "&amp;Liens!D647&amp;" (introuvable)"))</f>
        <v>✓ infirmier</v>
      </c>
      <c r="F652" s="35" t="str">
        <f>IF(Liens!E647="","",IF(COUNTIF(Mots!A:A,Liens!E647)&gt;0,"✓ "&amp;Liens!E647,"✗ "&amp;Liens!E647&amp;" (introuvable)"))</f>
        <v>✓ guepe</v>
      </c>
      <c r="G652" s="35" t="str">
        <f>IF(Liens!F647="","",IF(COUNTIF(Mots!A:A,Liens!F647)&gt;0,"✓ "&amp;Liens!F647,"✗ "&amp;Liens!F647&amp;" (introuvable)"))</f>
        <v>✓ moustique</v>
      </c>
      <c r="H652" s="35" t="str">
        <f>IF(Liens!G647="","",IF(COUNTIF(Mots!A:A,Liens!G647)&gt;0,"✓ "&amp;Liens!G647,"✗ "&amp;Liens!G647&amp;" (introuvable)"))</f>
        <v>✓ araignee</v>
      </c>
      <c r="I652" s="35" t="str">
        <f>IF(Liens!H647="","",IF(COUNTIF(Mots!A:A,Liens!H647)&gt;0,"✓ "&amp;Liens!H647,"✗ "&amp;Liens!H647&amp;" (introuvable)"))</f>
        <v>✓ aiguille</v>
      </c>
    </row>
    <row r="653" spans="1:9" x14ac:dyDescent="0.3">
      <c r="A653">
        <f t="shared" si="6"/>
        <v>648</v>
      </c>
      <c r="B653" s="35" t="str">
        <f>IF(Liens!A648="","",IF(COUNTIF(Mots!A:A,Liens!A648)&gt;0,"✓ "&amp;Liens!A648,"✗ "&amp;Liens!A648&amp;" (introuvable)"))</f>
        <v>✓ piscine</v>
      </c>
      <c r="C653" s="35" t="str">
        <f>IF(Liens!B648="","",IF(COUNTIF(Mots!A:A,Liens!B648)&gt;0,"✓ "&amp;Liens!B648,"✗ "&amp;Liens!B648&amp;" (introuvable)"))</f>
        <v>✓ bassin</v>
      </c>
      <c r="D653" s="35" t="str">
        <f>IF(Liens!C648="","",IF(COUNTIF(Mots!A:A,Liens!C648)&gt;0,"✓ "&amp;Liens!C648,"✗ "&amp;Liens!C648&amp;" (introuvable)"))</f>
        <v>✓ eau</v>
      </c>
      <c r="E653" s="35" t="str">
        <f>IF(Liens!D648="","",IF(COUNTIF(Mots!A:A,Liens!D648)&gt;0,"✓ "&amp;Liens!D648,"✗ "&amp;Liens!D648&amp;" (introuvable)"))</f>
        <v>✓ v_nager</v>
      </c>
      <c r="F653" s="35" t="str">
        <f>IF(Liens!E648="","",IF(COUNTIF(Mots!A:A,Liens!E648)&gt;0,"✓ "&amp;Liens!E648,"✗ "&amp;Liens!E648&amp;" (introuvable)"))</f>
        <v>✓ vacances</v>
      </c>
      <c r="G653" s="35" t="str">
        <f>IF(Liens!F648="","",IF(COUNTIF(Mots!A:A,Liens!F648)&gt;0,"✓ "&amp;Liens!F648,"✗ "&amp;Liens!F648&amp;" (introuvable)"))</f>
        <v/>
      </c>
      <c r="H653" s="35" t="str">
        <f>IF(Liens!G648="","",IF(COUNTIF(Mots!A:A,Liens!G648)&gt;0,"✓ "&amp;Liens!G648,"✗ "&amp;Liens!G648&amp;" (introuvable)"))</f>
        <v/>
      </c>
      <c r="I653" s="35" t="str">
        <f>IF(Liens!H648="","",IF(COUNTIF(Mots!A:A,Liens!H648)&gt;0,"✓ "&amp;Liens!H648,"✗ "&amp;Liens!H648&amp;" (introuvable)"))</f>
        <v/>
      </c>
    </row>
    <row r="654" spans="1:9" x14ac:dyDescent="0.3">
      <c r="A654">
        <f t="shared" si="6"/>
        <v>649</v>
      </c>
      <c r="B654" s="35" t="str">
        <f>IF(Liens!A649="","",IF(COUNTIF(Mots!A:A,Liens!A649)&gt;0,"✓ "&amp;Liens!A649,"✗ "&amp;Liens!A649&amp;" (introuvable)"))</f>
        <v>✓ pitie</v>
      </c>
      <c r="C654" s="35" t="str">
        <f>IF(Liens!B649="","",IF(COUNTIF(Mots!A:A,Liens!B649)&gt;0,"✓ "&amp;Liens!B649,"✗ "&amp;Liens!B649&amp;" (introuvable)"))</f>
        <v>✓ peine</v>
      </c>
      <c r="D654" s="35" t="str">
        <f>IF(Liens!C649="","",IF(COUNTIF(Mots!A:A,Liens!C649)&gt;0,"✓ "&amp;Liens!C649,"✗ "&amp;Liens!C649&amp;" (introuvable)"))</f>
        <v>✓ tristesse</v>
      </c>
      <c r="E654" s="35" t="str">
        <f>IF(Liens!D649="","",IF(COUNTIF(Mots!A:A,Liens!D649)&gt;0,"✓ "&amp;Liens!D649,"✗ "&amp;Liens!D649&amp;" (introuvable)"))</f>
        <v/>
      </c>
      <c r="F654" s="35" t="str">
        <f>IF(Liens!E649="","",IF(COUNTIF(Mots!A:A,Liens!E649)&gt;0,"✓ "&amp;Liens!E649,"✗ "&amp;Liens!E649&amp;" (introuvable)"))</f>
        <v/>
      </c>
      <c r="G654" s="35" t="str">
        <f>IF(Liens!F649="","",IF(COUNTIF(Mots!A:A,Liens!F649)&gt;0,"✓ "&amp;Liens!F649,"✗ "&amp;Liens!F649&amp;" (introuvable)"))</f>
        <v/>
      </c>
      <c r="H654" s="35" t="str">
        <f>IF(Liens!G649="","",IF(COUNTIF(Mots!A:A,Liens!G649)&gt;0,"✓ "&amp;Liens!G649,"✗ "&amp;Liens!G649&amp;" (introuvable)"))</f>
        <v/>
      </c>
      <c r="I654" s="35" t="str">
        <f>IF(Liens!H649="","",IF(COUNTIF(Mots!A:A,Liens!H649)&gt;0,"✓ "&amp;Liens!H649,"✗ "&amp;Liens!H649&amp;" (introuvable)"))</f>
        <v/>
      </c>
    </row>
    <row r="655" spans="1:9" x14ac:dyDescent="0.3">
      <c r="A655">
        <f t="shared" ref="A655:A718" si="7">A654+1</f>
        <v>650</v>
      </c>
      <c r="B655" s="35" t="str">
        <f>IF(Liens!A650="","",IF(COUNTIF(Mots!A:A,Liens!A650)&gt;0,"✓ "&amp;Liens!A650,"✗ "&amp;Liens!A650&amp;" (introuvable)"))</f>
        <v>✓ place</v>
      </c>
      <c r="C655" s="35" t="str">
        <f>IF(Liens!B650="","",IF(COUNTIF(Mots!A:A,Liens!B650)&gt;0,"✓ "&amp;Liens!B650,"✗ "&amp;Liens!B650&amp;" (introuvable)"))</f>
        <v>✓ ville</v>
      </c>
      <c r="D655" s="35" t="str">
        <f>IF(Liens!C650="","",IF(COUNTIF(Mots!A:A,Liens!C650)&gt;0,"✓ "&amp;Liens!C650,"✗ "&amp;Liens!C650&amp;" (introuvable)"))</f>
        <v>✓ parc</v>
      </c>
      <c r="E655" s="35" t="str">
        <f>IF(Liens!D650="","",IF(COUNTIF(Mots!A:A,Liens!D650)&gt;0,"✓ "&amp;Liens!D650,"✗ "&amp;Liens!D650&amp;" (introuvable)"))</f>
        <v>✓ fontaine</v>
      </c>
      <c r="F655" s="35" t="str">
        <f>IF(Liens!E650="","",IF(COUNTIF(Mots!A:A,Liens!E650)&gt;0,"✓ "&amp;Liens!E650,"✗ "&amp;Liens!E650&amp;" (introuvable)"))</f>
        <v>✓ promenade</v>
      </c>
      <c r="G655" s="35" t="str">
        <f>IF(Liens!F650="","",IF(COUNTIF(Mots!A:A,Liens!F650)&gt;0,"✓ "&amp;Liens!F650,"✗ "&amp;Liens!F650&amp;" (introuvable)"))</f>
        <v/>
      </c>
      <c r="H655" s="35" t="str">
        <f>IF(Liens!G650="","",IF(COUNTIF(Mots!A:A,Liens!G650)&gt;0,"✓ "&amp;Liens!G650,"✗ "&amp;Liens!G650&amp;" (introuvable)"))</f>
        <v/>
      </c>
      <c r="I655" s="35" t="str">
        <f>IF(Liens!H650="","",IF(COUNTIF(Mots!A:A,Liens!H650)&gt;0,"✓ "&amp;Liens!H650,"✗ "&amp;Liens!H650&amp;" (introuvable)"))</f>
        <v/>
      </c>
    </row>
    <row r="656" spans="1:9" x14ac:dyDescent="0.3">
      <c r="A656">
        <f t="shared" si="7"/>
        <v>651</v>
      </c>
      <c r="B656" s="35" t="str">
        <f>IF(Liens!A651="","",IF(COUNTIF(Mots!A:A,Liens!A651)&gt;0,"✓ "&amp;Liens!A651,"✗ "&amp;Liens!A651&amp;" (introuvable)"))</f>
        <v>✓ plafond</v>
      </c>
      <c r="C656" s="35" t="str">
        <f>IF(Liens!B651="","",IF(COUNTIF(Mots!A:A,Liens!B651)&gt;0,"✓ "&amp;Liens!B651,"✗ "&amp;Liens!B651&amp;" (introuvable)"))</f>
        <v>✓ maison</v>
      </c>
      <c r="D656" s="35" t="str">
        <f>IF(Liens!C651="","",IF(COUNTIF(Mots!A:A,Liens!C651)&gt;0,"✓ "&amp;Liens!C651,"✗ "&amp;Liens!C651&amp;" (introuvable)"))</f>
        <v>✓ appartement</v>
      </c>
      <c r="E656" s="35" t="str">
        <f>IF(Liens!D651="","",IF(COUNTIF(Mots!A:A,Liens!D651)&gt;0,"✓ "&amp;Liens!D651,"✗ "&amp;Liens!D651&amp;" (introuvable)"))</f>
        <v>✓ sol</v>
      </c>
      <c r="F656" s="35" t="str">
        <f>IF(Liens!E651="","",IF(COUNTIF(Mots!A:A,Liens!E651)&gt;0,"✓ "&amp;Liens!E651,"✗ "&amp;Liens!E651&amp;" (introuvable)"))</f>
        <v>✓ plancher</v>
      </c>
      <c r="G656" s="35" t="str">
        <f>IF(Liens!F651="","",IF(COUNTIF(Mots!A:A,Liens!F651)&gt;0,"✓ "&amp;Liens!F651,"✗ "&amp;Liens!F651&amp;" (introuvable)"))</f>
        <v>✓ parquet</v>
      </c>
      <c r="H656" s="35" t="str">
        <f>IF(Liens!G651="","",IF(COUNTIF(Mots!A:A,Liens!G651)&gt;0,"✓ "&amp;Liens!G651,"✗ "&amp;Liens!G651&amp;" (introuvable)"))</f>
        <v/>
      </c>
      <c r="I656" s="35" t="str">
        <f>IF(Liens!H651="","",IF(COUNTIF(Mots!A:A,Liens!H651)&gt;0,"✓ "&amp;Liens!H651,"✗ "&amp;Liens!H651&amp;" (introuvable)"))</f>
        <v/>
      </c>
    </row>
    <row r="657" spans="1:9" x14ac:dyDescent="0.3">
      <c r="A657">
        <f t="shared" si="7"/>
        <v>652</v>
      </c>
      <c r="B657" s="35" t="str">
        <f>IF(Liens!A652="","",IF(COUNTIF(Mots!A:A,Liens!A652)&gt;0,"✓ "&amp;Liens!A652,"✗ "&amp;Liens!A652&amp;" (introuvable)"))</f>
        <v>✓ plage</v>
      </c>
      <c r="C657" s="35" t="str">
        <f>IF(Liens!B652="","",IF(COUNTIF(Mots!A:A,Liens!B652)&gt;0,"✓ "&amp;Liens!B652,"✗ "&amp;Liens!B652&amp;" (introuvable)"))</f>
        <v>✓ mer</v>
      </c>
      <c r="D657" s="35" t="str">
        <f>IF(Liens!C652="","",IF(COUNTIF(Mots!A:A,Liens!C652)&gt;0,"✓ "&amp;Liens!C652,"✗ "&amp;Liens!C652&amp;" (introuvable)"))</f>
        <v>✓ sable</v>
      </c>
      <c r="E657" s="35" t="str">
        <f>IF(Liens!D652="","",IF(COUNTIF(Mots!A:A,Liens!D652)&gt;0,"✓ "&amp;Liens!D652,"✗ "&amp;Liens!D652&amp;" (introuvable)"))</f>
        <v>✓ soleil</v>
      </c>
      <c r="F657" s="35" t="str">
        <f>IF(Liens!E652="","",IF(COUNTIF(Mots!A:A,Liens!E652)&gt;0,"✓ "&amp;Liens!E652,"✗ "&amp;Liens!E652&amp;" (introuvable)"))</f>
        <v>✓ vacances</v>
      </c>
      <c r="G657" s="35" t="str">
        <f>IF(Liens!F652="","",IF(COUNTIF(Mots!A:A,Liens!F652)&gt;0,"✓ "&amp;Liens!F652,"✗ "&amp;Liens!F652&amp;" (introuvable)"))</f>
        <v>✓ v_nager</v>
      </c>
      <c r="H657" s="35" t="str">
        <f>IF(Liens!G652="","",IF(COUNTIF(Mots!A:A,Liens!G652)&gt;0,"✓ "&amp;Liens!G652,"✗ "&amp;Liens!G652&amp;" (introuvable)"))</f>
        <v>✓ grain</v>
      </c>
      <c r="I657" s="35" t="str">
        <f>IF(Liens!H652="","",IF(COUNTIF(Mots!A:A,Liens!H652)&gt;0,"✓ "&amp;Liens!H652,"✗ "&amp;Liens!H652&amp;" (introuvable)"))</f>
        <v/>
      </c>
    </row>
    <row r="658" spans="1:9" x14ac:dyDescent="0.3">
      <c r="A658">
        <f t="shared" si="7"/>
        <v>653</v>
      </c>
      <c r="B658" s="35" t="str">
        <f>IF(Liens!A653="","",IF(COUNTIF(Mots!A:A,Liens!A653)&gt;0,"✓ "&amp;Liens!A653,"✗ "&amp;Liens!A653&amp;" (introuvable)"))</f>
        <v>✓ plaisir</v>
      </c>
      <c r="C658" s="35" t="str">
        <f>IF(Liens!B653="","",IF(COUNTIF(Mots!A:A,Liens!B653)&gt;0,"✓ "&amp;Liens!B653,"✗ "&amp;Liens!B653&amp;" (introuvable)"))</f>
        <v>✓ v_aimer</v>
      </c>
      <c r="D658" s="35" t="str">
        <f>IF(Liens!C653="","",IF(COUNTIF(Mots!A:A,Liens!C653)&gt;0,"✓ "&amp;Liens!C653,"✗ "&amp;Liens!C653&amp;" (introuvable)"))</f>
        <v>✓ joie</v>
      </c>
      <c r="E658" s="35" t="str">
        <f>IF(Liens!D653="","",IF(COUNTIF(Mots!A:A,Liens!D653)&gt;0,"✓ "&amp;Liens!D653,"✗ "&amp;Liens!D653&amp;" (introuvable)"))</f>
        <v>✓ a_heureux</v>
      </c>
      <c r="F658" s="35" t="str">
        <f>IF(Liens!E653="","",IF(COUNTIF(Mots!A:A,Liens!E653)&gt;0,"✓ "&amp;Liens!E653,"✗ "&amp;Liens!E653&amp;" (introuvable)"))</f>
        <v>✓ bonheur</v>
      </c>
      <c r="G658" s="35" t="str">
        <f>IF(Liens!F653="","",IF(COUNTIF(Mots!A:A,Liens!F653)&gt;0,"✓ "&amp;Liens!F653,"✗ "&amp;Liens!F653&amp;" (introuvable)"))</f>
        <v>✓ v_rire</v>
      </c>
      <c r="H658" s="35" t="str">
        <f>IF(Liens!G653="","",IF(COUNTIF(Mots!A:A,Liens!G653)&gt;0,"✓ "&amp;Liens!G653,"✗ "&amp;Liens!G653&amp;" (introuvable)"))</f>
        <v/>
      </c>
      <c r="I658" s="35" t="str">
        <f>IF(Liens!H653="","",IF(COUNTIF(Mots!A:A,Liens!H653)&gt;0,"✓ "&amp;Liens!H653,"✗ "&amp;Liens!H653&amp;" (introuvable)"))</f>
        <v/>
      </c>
    </row>
    <row r="659" spans="1:9" x14ac:dyDescent="0.3">
      <c r="A659">
        <f t="shared" si="7"/>
        <v>654</v>
      </c>
      <c r="B659" s="35" t="str">
        <f>IF(Liens!A654="","",IF(COUNTIF(Mots!A:A,Liens!A654)&gt;0,"✓ "&amp;Liens!A654,"✗ "&amp;Liens!A654&amp;" (introuvable)"))</f>
        <v>✓ plancher</v>
      </c>
      <c r="C659" s="35" t="str">
        <f>IF(Liens!B654="","",IF(COUNTIF(Mots!A:A,Liens!B654)&gt;0,"✓ "&amp;Liens!B654,"✗ "&amp;Liens!B654&amp;" (introuvable)"))</f>
        <v>✓ sol</v>
      </c>
      <c r="D659" s="35" t="str">
        <f>IF(Liens!C654="","",IF(COUNTIF(Mots!A:A,Liens!C654)&gt;0,"✓ "&amp;Liens!C654,"✗ "&amp;Liens!C654&amp;" (introuvable)"))</f>
        <v>✓ bois</v>
      </c>
      <c r="E659" s="35" t="str">
        <f>IF(Liens!D654="","",IF(COUNTIF(Mots!A:A,Liens!D654)&gt;0,"✓ "&amp;Liens!D654,"✗ "&amp;Liens!D654&amp;" (introuvable)"))</f>
        <v>✓ parquet</v>
      </c>
      <c r="F659" s="35" t="str">
        <f>IF(Liens!E654="","",IF(COUNTIF(Mots!A:A,Liens!E654)&gt;0,"✓ "&amp;Liens!E654,"✗ "&amp;Liens!E654&amp;" (introuvable)"))</f>
        <v/>
      </c>
      <c r="G659" s="35" t="str">
        <f>IF(Liens!F654="","",IF(COUNTIF(Mots!A:A,Liens!F654)&gt;0,"✓ "&amp;Liens!F654,"✗ "&amp;Liens!F654&amp;" (introuvable)"))</f>
        <v/>
      </c>
      <c r="H659" s="35" t="str">
        <f>IF(Liens!G654="","",IF(COUNTIF(Mots!A:A,Liens!G654)&gt;0,"✓ "&amp;Liens!G654,"✗ "&amp;Liens!G654&amp;" (introuvable)"))</f>
        <v/>
      </c>
      <c r="I659" s="35" t="str">
        <f>IF(Liens!H654="","",IF(COUNTIF(Mots!A:A,Liens!H654)&gt;0,"✓ "&amp;Liens!H654,"✗ "&amp;Liens!H654&amp;" (introuvable)"))</f>
        <v/>
      </c>
    </row>
    <row r="660" spans="1:9" x14ac:dyDescent="0.3">
      <c r="A660">
        <f t="shared" si="7"/>
        <v>655</v>
      </c>
      <c r="B660" s="35" t="str">
        <f>IF(Liens!A655="","",IF(COUNTIF(Mots!A:A,Liens!A655)&gt;0,"✓ "&amp;Liens!A655,"✗ "&amp;Liens!A655&amp;" (introuvable)"))</f>
        <v>✓ planete</v>
      </c>
      <c r="C660" s="35" t="str">
        <f>IF(Liens!B655="","",IF(COUNTIF(Mots!A:A,Liens!B655)&gt;0,"✓ "&amp;Liens!B655,"✗ "&amp;Liens!B655&amp;" (introuvable)"))</f>
        <v>✓ soleil</v>
      </c>
      <c r="D660" s="35" t="str">
        <f>IF(Liens!C655="","",IF(COUNTIF(Mots!A:A,Liens!C655)&gt;0,"✓ "&amp;Liens!C655,"✗ "&amp;Liens!C655&amp;" (introuvable)"))</f>
        <v>✓ p_terre</v>
      </c>
      <c r="E660" s="35" t="str">
        <f>IF(Liens!D655="","",IF(COUNTIF(Mots!A:A,Liens!D655)&gt;0,"✓ "&amp;Liens!D655,"✗ "&amp;Liens!D655&amp;" (introuvable)"))</f>
        <v>✓ p_lune</v>
      </c>
      <c r="F660" s="35" t="str">
        <f>IF(Liens!E655="","",IF(COUNTIF(Mots!A:A,Liens!E655)&gt;0,"✓ "&amp;Liens!E655,"✗ "&amp;Liens!E655&amp;" (introuvable)"))</f>
        <v/>
      </c>
      <c r="G660" s="35" t="str">
        <f>IF(Liens!F655="","",IF(COUNTIF(Mots!A:A,Liens!F655)&gt;0,"✓ "&amp;Liens!F655,"✗ "&amp;Liens!F655&amp;" (introuvable)"))</f>
        <v/>
      </c>
      <c r="H660" s="35" t="str">
        <f>IF(Liens!G655="","",IF(COUNTIF(Mots!A:A,Liens!G655)&gt;0,"✓ "&amp;Liens!G655,"✗ "&amp;Liens!G655&amp;" (introuvable)"))</f>
        <v/>
      </c>
      <c r="I660" s="35" t="str">
        <f>IF(Liens!H655="","",IF(COUNTIF(Mots!A:A,Liens!H655)&gt;0,"✓ "&amp;Liens!H655,"✗ "&amp;Liens!H655&amp;" (introuvable)"))</f>
        <v/>
      </c>
    </row>
    <row r="661" spans="1:9" x14ac:dyDescent="0.3">
      <c r="A661">
        <f t="shared" si="7"/>
        <v>656</v>
      </c>
      <c r="B661" s="35" t="str">
        <f>IF(Liens!A656="","",IF(COUNTIF(Mots!A:A,Liens!A656)&gt;0,"✓ "&amp;Liens!A656,"✗ "&amp;Liens!A656&amp;" (introuvable)"))</f>
        <v>✓ plante</v>
      </c>
      <c r="C661" s="35" t="str">
        <f>IF(Liens!B656="","",IF(COUNTIF(Mots!A:A,Liens!B656)&gt;0,"✓ "&amp;Liens!B656,"✗ "&amp;Liens!B656&amp;" (introuvable)"))</f>
        <v>✓ e_terre</v>
      </c>
      <c r="D661" s="35" t="str">
        <f>IF(Liens!C656="","",IF(COUNTIF(Mots!A:A,Liens!C656)&gt;0,"✓ "&amp;Liens!C656,"✗ "&amp;Liens!C656&amp;" (introuvable)"))</f>
        <v>✓ fleur</v>
      </c>
      <c r="E661" s="35" t="str">
        <f>IF(Liens!D656="","",IF(COUNTIF(Mots!A:A,Liens!D656)&gt;0,"✓ "&amp;Liens!D656,"✗ "&amp;Liens!D656&amp;" (introuvable)"))</f>
        <v>✓ racine</v>
      </c>
      <c r="F661" s="35" t="str">
        <f>IF(Liens!E656="","",IF(COUNTIF(Mots!A:A,Liens!E656)&gt;0,"✓ "&amp;Liens!E656,"✗ "&amp;Liens!E656&amp;" (introuvable)"))</f>
        <v>✓ vivant</v>
      </c>
      <c r="G661" s="35" t="str">
        <f>IF(Liens!F656="","",IF(COUNTIF(Mots!A:A,Liens!F656)&gt;0,"✓ "&amp;Liens!F656,"✗ "&amp;Liens!F656&amp;" (introuvable)"))</f>
        <v>✓ arbre</v>
      </c>
      <c r="H661" s="35" t="str">
        <f>IF(Liens!G656="","",IF(COUNTIF(Mots!A:A,Liens!G656)&gt;0,"✓ "&amp;Liens!G656,"✗ "&amp;Liens!G656&amp;" (introuvable)"))</f>
        <v>✓ legume</v>
      </c>
      <c r="I661" s="35" t="str">
        <f>IF(Liens!H656="","",IF(COUNTIF(Mots!A:A,Liens!H656)&gt;0,"✓ "&amp;Liens!H656,"✗ "&amp;Liens!H656&amp;" (introuvable)"))</f>
        <v>✓ salade_laitue</v>
      </c>
    </row>
    <row r="662" spans="1:9" x14ac:dyDescent="0.3">
      <c r="A662">
        <f t="shared" si="7"/>
        <v>657</v>
      </c>
      <c r="B662" s="35" t="str">
        <f>IF(Liens!A657="","",IF(COUNTIF(Mots!A:A,Liens!A657)&gt;0,"✓ "&amp;Liens!A657,"✗ "&amp;Liens!A657&amp;" (introuvable)"))</f>
        <v>✓ plastique</v>
      </c>
      <c r="C662" s="35" t="str">
        <f>IF(Liens!B657="","",IF(COUNTIF(Mots!A:A,Liens!B657)&gt;0,"✓ "&amp;Liens!B657,"✗ "&amp;Liens!B657&amp;" (introuvable)"))</f>
        <v>✓ matiere</v>
      </c>
      <c r="D662" s="35" t="str">
        <f>IF(Liens!C657="","",IF(COUNTIF(Mots!A:A,Liens!C657)&gt;0,"✓ "&amp;Liens!C657,"✗ "&amp;Liens!C657&amp;" (introuvable)"))</f>
        <v>✓ seau</v>
      </c>
      <c r="E662" s="35" t="str">
        <f>IF(Liens!D657="","",IF(COUNTIF(Mots!A:A,Liens!D657)&gt;0,"✓ "&amp;Liens!D657,"✗ "&amp;Liens!D657&amp;" (introuvable)"))</f>
        <v>✓ pot_ou_mesure</v>
      </c>
      <c r="F662" s="35" t="str">
        <f>IF(Liens!E657="","",IF(COUNTIF(Mots!A:A,Liens!E657)&gt;0,"✓ "&amp;Liens!E657,"✗ "&amp;Liens!E657&amp;" (introuvable)"))</f>
        <v>✓ chargeur_phone</v>
      </c>
      <c r="G662" s="35" t="str">
        <f>IF(Liens!F657="","",IF(COUNTIF(Mots!A:A,Liens!F657)&gt;0,"✓ "&amp;Liens!F657,"✗ "&amp;Liens!F657&amp;" (introuvable)"))</f>
        <v>✓ brosse_a_dents</v>
      </c>
      <c r="H662" s="35" t="str">
        <f>IF(Liens!G657="","",IF(COUNTIF(Mots!A:A,Liens!G657)&gt;0,"✓ "&amp;Liens!G657,"✗ "&amp;Liens!G657&amp;" (introuvable)"))</f>
        <v>✓ pare_chocs</v>
      </c>
      <c r="I662" s="35" t="str">
        <f>IF(Liens!H657="","",IF(COUNTIF(Mots!A:A,Liens!H657)&gt;0,"✓ "&amp;Liens!H657,"✗ "&amp;Liens!H657&amp;" (introuvable)"))</f>
        <v>✓ retroviseur</v>
      </c>
    </row>
    <row r="663" spans="1:9" x14ac:dyDescent="0.3">
      <c r="A663">
        <f t="shared" si="7"/>
        <v>658</v>
      </c>
      <c r="B663" s="35" t="str">
        <f>IF(Liens!A658="","",IF(COUNTIF(Mots!A:A,Liens!A658)&gt;0,"✓ "&amp;Liens!A658,"✗ "&amp;Liens!A658&amp;" (introuvable)"))</f>
        <v>✓ plat</v>
      </c>
      <c r="C663" s="35" t="str">
        <f>IF(Liens!B658="","",IF(COUNTIF(Mots!A:A,Liens!B658)&gt;0,"✓ "&amp;Liens!B658,"✗ "&amp;Liens!B658&amp;" (introuvable)"))</f>
        <v>✓ cuisine</v>
      </c>
      <c r="D663" s="35" t="str">
        <f>IF(Liens!C658="","",IF(COUNTIF(Mots!A:A,Liens!C658)&gt;0,"✓ "&amp;Liens!C658,"✗ "&amp;Liens!C658&amp;" (introuvable)"))</f>
        <v>✓ recipient</v>
      </c>
      <c r="E663" s="35" t="str">
        <f>IF(Liens!D658="","",IF(COUNTIF(Mots!A:A,Liens!D658)&gt;0,"✓ "&amp;Liens!D658,"✗ "&amp;Liens!D658&amp;" (introuvable)"))</f>
        <v>✓ v_manger</v>
      </c>
      <c r="F663" s="35" t="str">
        <f>IF(Liens!E658="","",IF(COUNTIF(Mots!A:A,Liens!E658)&gt;0,"✓ "&amp;Liens!E658,"✗ "&amp;Liens!E658&amp;" (introuvable)"))</f>
        <v/>
      </c>
      <c r="G663" s="35" t="str">
        <f>IF(Liens!F658="","",IF(COUNTIF(Mots!A:A,Liens!F658)&gt;0,"✓ "&amp;Liens!F658,"✗ "&amp;Liens!F658&amp;" (introuvable)"))</f>
        <v/>
      </c>
      <c r="H663" s="35" t="str">
        <f>IF(Liens!G658="","",IF(COUNTIF(Mots!A:A,Liens!G658)&gt;0,"✓ "&amp;Liens!G658,"✗ "&amp;Liens!G658&amp;" (introuvable)"))</f>
        <v/>
      </c>
      <c r="I663" s="35" t="str">
        <f>IF(Liens!H658="","",IF(COUNTIF(Mots!A:A,Liens!H658)&gt;0,"✓ "&amp;Liens!H658,"✗ "&amp;Liens!H658&amp;" (introuvable)"))</f>
        <v/>
      </c>
    </row>
    <row r="664" spans="1:9" x14ac:dyDescent="0.3">
      <c r="A664">
        <f t="shared" si="7"/>
        <v>659</v>
      </c>
      <c r="B664" s="35" t="str">
        <f>IF(Liens!A659="","",IF(COUNTIF(Mots!A:A,Liens!A659)&gt;0,"✓ "&amp;Liens!A659,"✗ "&amp;Liens!A659&amp;" (introuvable)"))</f>
        <v>✓ pluie</v>
      </c>
      <c r="C664" s="35" t="str">
        <f>IF(Liens!B659="","",IF(COUNTIF(Mots!A:A,Liens!B659)&gt;0,"✓ "&amp;Liens!B659,"✗ "&amp;Liens!B659&amp;" (introuvable)"))</f>
        <v>✓ ciel</v>
      </c>
      <c r="D664" s="35" t="str">
        <f>IF(Liens!C659="","",IF(COUNTIF(Mots!A:A,Liens!C659)&gt;0,"✓ "&amp;Liens!C659,"✗ "&amp;Liens!C659&amp;" (introuvable)"))</f>
        <v>✓ nuage</v>
      </c>
      <c r="E664" s="35" t="str">
        <f>IF(Liens!D659="","",IF(COUNTIF(Mots!A:A,Liens!D659)&gt;0,"✓ "&amp;Liens!D659,"✗ "&amp;Liens!D659&amp;" (introuvable)"))</f>
        <v>✓ liquide</v>
      </c>
      <c r="F664" s="35" t="str">
        <f>IF(Liens!E659="","",IF(COUNTIF(Mots!A:A,Liens!E659)&gt;0,"✓ "&amp;Liens!E659,"✗ "&amp;Liens!E659&amp;" (introuvable)"))</f>
        <v>✓ a_sec_mouille</v>
      </c>
      <c r="G664" s="35" t="str">
        <f>IF(Liens!F659="","",IF(COUNTIF(Mots!A:A,Liens!F659)&gt;0,"✓ "&amp;Liens!F659,"✗ "&amp;Liens!F659&amp;" (introuvable)"))</f>
        <v>✓ parapluie</v>
      </c>
      <c r="H664" s="35" t="str">
        <f>IF(Liens!G659="","",IF(COUNTIF(Mots!A:A,Liens!G659)&gt;0,"✓ "&amp;Liens!G659,"✗ "&amp;Liens!G659&amp;" (introuvable)"))</f>
        <v/>
      </c>
      <c r="I664" s="35" t="str">
        <f>IF(Liens!H659="","",IF(COUNTIF(Mots!A:A,Liens!H659)&gt;0,"✓ "&amp;Liens!H659,"✗ "&amp;Liens!H659&amp;" (introuvable)"))</f>
        <v/>
      </c>
    </row>
    <row r="665" spans="1:9" x14ac:dyDescent="0.3">
      <c r="A665">
        <f t="shared" si="7"/>
        <v>660</v>
      </c>
      <c r="B665" s="35" t="str">
        <f>IF(Liens!A660="","",IF(COUNTIF(Mots!A:A,Liens!A660)&gt;0,"✓ "&amp;Liens!A660,"✗ "&amp;Liens!A660&amp;" (introuvable)"))</f>
        <v>✓ plume</v>
      </c>
      <c r="C665" s="35" t="str">
        <f>IF(Liens!B660="","",IF(COUNTIF(Mots!A:A,Liens!B660)&gt;0,"✓ "&amp;Liens!B660,"✗ "&amp;Liens!B660&amp;" (introuvable)"))</f>
        <v>✓ oiseau</v>
      </c>
      <c r="D665" s="35" t="str">
        <f>IF(Liens!C660="","",IF(COUNTIF(Mots!A:A,Liens!C660)&gt;0,"✓ "&amp;Liens!C660,"✗ "&amp;Liens!C660&amp;" (introuvable)"))</f>
        <v>✓ aile_animal</v>
      </c>
      <c r="E665" s="35" t="str">
        <f>IF(Liens!D660="","",IF(COUNTIF(Mots!A:A,Liens!D660)&gt;0,"✓ "&amp;Liens!D660,"✗ "&amp;Liens!D660&amp;" (introuvable)"))</f>
        <v>✓ v_voler</v>
      </c>
      <c r="F665" s="35" t="str">
        <f>IF(Liens!E660="","",IF(COUNTIF(Mots!A:A,Liens!E660)&gt;0,"✓ "&amp;Liens!E660,"✗ "&amp;Liens!E660&amp;" (introuvable)"))</f>
        <v/>
      </c>
      <c r="G665" s="35" t="str">
        <f>IF(Liens!F660="","",IF(COUNTIF(Mots!A:A,Liens!F660)&gt;0,"✓ "&amp;Liens!F660,"✗ "&amp;Liens!F660&amp;" (introuvable)"))</f>
        <v/>
      </c>
      <c r="H665" s="35" t="str">
        <f>IF(Liens!G660="","",IF(COUNTIF(Mots!A:A,Liens!G660)&gt;0,"✓ "&amp;Liens!G660,"✗ "&amp;Liens!G660&amp;" (introuvable)"))</f>
        <v/>
      </c>
      <c r="I665" s="35" t="str">
        <f>IF(Liens!H660="","",IF(COUNTIF(Mots!A:A,Liens!H660)&gt;0,"✓ "&amp;Liens!H660,"✗ "&amp;Liens!H660&amp;" (introuvable)"))</f>
        <v/>
      </c>
    </row>
    <row r="666" spans="1:9" x14ac:dyDescent="0.3">
      <c r="A666">
        <f t="shared" si="7"/>
        <v>661</v>
      </c>
      <c r="B666" s="35" t="str">
        <f>IF(Liens!A661="","",IF(COUNTIF(Mots!A:A,Liens!A661)&gt;0,"✓ "&amp;Liens!A661,"✗ "&amp;Liens!A661&amp;" (introuvable)"))</f>
        <v>✓ plutot</v>
      </c>
      <c r="C666" s="35" t="str">
        <f>IF(Liens!B661="","",IF(COUNTIF(Mots!A:A,Liens!B661)&gt;0,"✓ "&amp;Liens!B661,"✗ "&amp;Liens!B661&amp;" (introuvable)"))</f>
        <v>✓ a_prefere</v>
      </c>
      <c r="D666" s="35" t="str">
        <f>IF(Liens!C661="","",IF(COUNTIF(Mots!A:A,Liens!C661)&gt;0,"✓ "&amp;Liens!C661,"✗ "&amp;Liens!C661&amp;" (introuvable)"))</f>
        <v>✓ v_choisir</v>
      </c>
      <c r="E666" s="35" t="str">
        <f>IF(Liens!D661="","",IF(COUNTIF(Mots!A:A,Liens!D661)&gt;0,"✓ "&amp;Liens!D661,"✗ "&amp;Liens!D661&amp;" (introuvable)"))</f>
        <v>✓ envie</v>
      </c>
      <c r="F666" s="35" t="str">
        <f>IF(Liens!E661="","",IF(COUNTIF(Mots!A:A,Liens!E661)&gt;0,"✓ "&amp;Liens!E661,"✗ "&amp;Liens!E661&amp;" (introuvable)"))</f>
        <v>✓ desir</v>
      </c>
      <c r="G666" s="35" t="str">
        <f>IF(Liens!F661="","",IF(COUNTIF(Mots!A:A,Liens!F661)&gt;0,"✓ "&amp;Liens!F661,"✗ "&amp;Liens!F661&amp;" (introuvable)"))</f>
        <v>✓ v_decider</v>
      </c>
      <c r="H666" s="35" t="str">
        <f>IF(Liens!G661="","",IF(COUNTIF(Mots!A:A,Liens!G661)&gt;0,"✓ "&amp;Liens!G661,"✗ "&amp;Liens!G661&amp;" (introuvable)"))</f>
        <v/>
      </c>
      <c r="I666" s="35" t="str">
        <f>IF(Liens!H661="","",IF(COUNTIF(Mots!A:A,Liens!H661)&gt;0,"✓ "&amp;Liens!H661,"✗ "&amp;Liens!H661&amp;" (introuvable)"))</f>
        <v/>
      </c>
    </row>
    <row r="667" spans="1:9" x14ac:dyDescent="0.3">
      <c r="A667">
        <f t="shared" si="7"/>
        <v>662</v>
      </c>
      <c r="B667" s="35" t="str">
        <f>IF(Liens!A662="","",IF(COUNTIF(Mots!A:A,Liens!A662)&gt;0,"✓ "&amp;Liens!A662,"✗ "&amp;Liens!A662&amp;" (introuvable)"))</f>
        <v>✓ poche</v>
      </c>
      <c r="C667" s="35" t="str">
        <f>IF(Liens!B662="","",IF(COUNTIF(Mots!A:A,Liens!B662)&gt;0,"✓ "&amp;Liens!B662,"✗ "&amp;Liens!B662&amp;" (introuvable)"))</f>
        <v>✓ vetement</v>
      </c>
      <c r="D667" s="35" t="str">
        <f>IF(Liens!C662="","",IF(COUNTIF(Mots!A:A,Liens!C662)&gt;0,"✓ "&amp;Liens!C662,"✗ "&amp;Liens!C662&amp;" (introuvable)"))</f>
        <v>✓ pantalon</v>
      </c>
      <c r="E667" s="35" t="str">
        <f>IF(Liens!D662="","",IF(COUNTIF(Mots!A:A,Liens!D662)&gt;0,"✓ "&amp;Liens!D662,"✗ "&amp;Liens!D662&amp;" (introuvable)"))</f>
        <v>✓ chemise</v>
      </c>
      <c r="F667" s="35" t="str">
        <f>IF(Liens!E662="","",IF(COUNTIF(Mots!A:A,Liens!E662)&gt;0,"✓ "&amp;Liens!E662,"✗ "&amp;Liens!E662&amp;" (introuvable)"))</f>
        <v>✓ main</v>
      </c>
      <c r="G667" s="35" t="str">
        <f>IF(Liens!F662="","",IF(COUNTIF(Mots!A:A,Liens!F662)&gt;0,"✓ "&amp;Liens!F662,"✗ "&amp;Liens!F662&amp;" (introuvable)"))</f>
        <v/>
      </c>
      <c r="H667" s="35" t="str">
        <f>IF(Liens!G662="","",IF(COUNTIF(Mots!A:A,Liens!G662)&gt;0,"✓ "&amp;Liens!G662,"✗ "&amp;Liens!G662&amp;" (introuvable)"))</f>
        <v/>
      </c>
      <c r="I667" s="35" t="str">
        <f>IF(Liens!H662="","",IF(COUNTIF(Mots!A:A,Liens!H662)&gt;0,"✓ "&amp;Liens!H662,"✗ "&amp;Liens!H662&amp;" (introuvable)"))</f>
        <v/>
      </c>
    </row>
    <row r="668" spans="1:9" x14ac:dyDescent="0.3">
      <c r="A668">
        <f t="shared" si="7"/>
        <v>663</v>
      </c>
      <c r="B668" s="35" t="str">
        <f>IF(Liens!A663="","",IF(COUNTIF(Mots!A:A,Liens!A663)&gt;0,"✓ "&amp;Liens!A663,"✗ "&amp;Liens!A663&amp;" (introuvable)"))</f>
        <v>✓ poil</v>
      </c>
      <c r="C668" s="35" t="str">
        <f>IF(Liens!B663="","",IF(COUNTIF(Mots!A:A,Liens!B663)&gt;0,"✓ "&amp;Liens!B663,"✗ "&amp;Liens!B663&amp;" (introuvable)"))</f>
        <v>✓ cheveux</v>
      </c>
      <c r="D668" s="35" t="str">
        <f>IF(Liens!C663="","",IF(COUNTIF(Mots!A:A,Liens!C663)&gt;0,"✓ "&amp;Liens!C663,"✗ "&amp;Liens!C663&amp;" (introuvable)"))</f>
        <v>✓ peau</v>
      </c>
      <c r="E668" s="35" t="str">
        <f>IF(Liens!D663="","",IF(COUNTIF(Mots!A:A,Liens!D663)&gt;0,"✓ "&amp;Liens!D663,"✗ "&amp;Liens!D663&amp;" (introuvable)"))</f>
        <v>✓ animal</v>
      </c>
      <c r="F668" s="35" t="str">
        <f>IF(Liens!E663="","",IF(COUNTIF(Mots!A:A,Liens!E663)&gt;0,"✓ "&amp;Liens!E663,"✗ "&amp;Liens!E663&amp;" (introuvable)"))</f>
        <v>✓ chien</v>
      </c>
      <c r="G668" s="35" t="str">
        <f>IF(Liens!F663="","",IF(COUNTIF(Mots!A:A,Liens!F663)&gt;0,"✓ "&amp;Liens!F663,"✗ "&amp;Liens!F663&amp;" (introuvable)"))</f>
        <v>✓ chat</v>
      </c>
      <c r="H668" s="35" t="str">
        <f>IF(Liens!G663="","",IF(COUNTIF(Mots!A:A,Liens!G663)&gt;0,"✓ "&amp;Liens!G663,"✗ "&amp;Liens!G663&amp;" (introuvable)"))</f>
        <v>✓ souris</v>
      </c>
      <c r="I668" s="35" t="str">
        <f>IF(Liens!H663="","",IF(COUNTIF(Mots!A:A,Liens!H663)&gt;0,"✓ "&amp;Liens!H663,"✗ "&amp;Liens!H663&amp;" (introuvable)"))</f>
        <v>✓ pinceau</v>
      </c>
    </row>
    <row r="669" spans="1:9" x14ac:dyDescent="0.3">
      <c r="A669">
        <f t="shared" si="7"/>
        <v>664</v>
      </c>
      <c r="B669" s="35" t="str">
        <f>IF(Liens!A664="","",IF(COUNTIF(Mots!A:A,Liens!A664)&gt;0,"✓ "&amp;Liens!A664,"✗ "&amp;Liens!A664&amp;" (introuvable)"))</f>
        <v>✓ point</v>
      </c>
      <c r="C669" s="35" t="str">
        <f>IF(Liens!B664="","",IF(COUNTIF(Mots!A:A,Liens!B664)&gt;0,"✓ "&amp;Liens!B664,"✗ "&amp;Liens!B664&amp;" (introuvable)"))</f>
        <v>✓ jeu</v>
      </c>
      <c r="D669" s="35" t="str">
        <f>IF(Liens!C664="","",IF(COUNTIF(Mots!A:A,Liens!C664)&gt;0,"✓ "&amp;Liens!C664,"✗ "&amp;Liens!C664&amp;" (introuvable)"))</f>
        <v>✓ concours</v>
      </c>
      <c r="E669" s="35" t="str">
        <f>IF(Liens!D664="","",IF(COUNTIF(Mots!A:A,Liens!D664)&gt;0,"✓ "&amp;Liens!D664,"✗ "&amp;Liens!D664&amp;" (introuvable)"))</f>
        <v>✓ v_compter</v>
      </c>
      <c r="F669" s="35" t="str">
        <f>IF(Liens!E664="","",IF(COUNTIF(Mots!A:A,Liens!E664)&gt;0,"✓ "&amp;Liens!E664,"✗ "&amp;Liens!E664&amp;" (introuvable)"))</f>
        <v>✓ somme</v>
      </c>
      <c r="G669" s="35" t="str">
        <f>IF(Liens!F664="","",IF(COUNTIF(Mots!A:A,Liens!F664)&gt;0,"✓ "&amp;Liens!F664,"✗ "&amp;Liens!F664&amp;" (introuvable)"))</f>
        <v>✓ total</v>
      </c>
      <c r="H669" s="35" t="str">
        <f>IF(Liens!G664="","",IF(COUNTIF(Mots!A:A,Liens!G664)&gt;0,"✓ "&amp;Liens!G664,"✗ "&amp;Liens!G664&amp;" (introuvable)"))</f>
        <v/>
      </c>
      <c r="I669" s="35" t="str">
        <f>IF(Liens!H664="","",IF(COUNTIF(Mots!A:A,Liens!H664)&gt;0,"✓ "&amp;Liens!H664,"✗ "&amp;Liens!H664&amp;" (introuvable)"))</f>
        <v/>
      </c>
    </row>
    <row r="670" spans="1:9" x14ac:dyDescent="0.3">
      <c r="A670">
        <f t="shared" si="7"/>
        <v>665</v>
      </c>
      <c r="B670" s="35" t="str">
        <f>IF(Liens!A665="","",IF(COUNTIF(Mots!A:A,Liens!A665)&gt;0,"✓ "&amp;Liens!A665,"✗ "&amp;Liens!A665&amp;" (introuvable)"))</f>
        <v>✓ pointu</v>
      </c>
      <c r="C670" s="35" t="str">
        <f>IF(Liens!B665="","",IF(COUNTIF(Mots!A:A,Liens!B665)&gt;0,"✓ "&amp;Liens!B665,"✗ "&amp;Liens!B665&amp;" (introuvable)"))</f>
        <v>✓ aiguille</v>
      </c>
      <c r="D670" s="35" t="str">
        <f>IF(Liens!C665="","",IF(COUNTIF(Mots!A:A,Liens!C665)&gt;0,"✓ "&amp;Liens!C665,"✗ "&amp;Liens!C665&amp;" (introuvable)"))</f>
        <v>✓ crayon</v>
      </c>
      <c r="E670" s="35" t="str">
        <f>IF(Liens!D665="","",IF(COUNTIF(Mots!A:A,Liens!D665)&gt;0,"✓ "&amp;Liens!D665,"✗ "&amp;Liens!D665&amp;" (introuvable)"))</f>
        <v>✓ stylo</v>
      </c>
      <c r="F670" s="35" t="str">
        <f>IF(Liens!E665="","",IF(COUNTIF(Mots!A:A,Liens!E665)&gt;0,"✓ "&amp;Liens!E665,"✗ "&amp;Liens!E665&amp;" (introuvable)"))</f>
        <v>✓ cone</v>
      </c>
      <c r="G670" s="35" t="str">
        <f>IF(Liens!F665="","",IF(COUNTIF(Mots!A:A,Liens!F665)&gt;0,"✓ "&amp;Liens!F665,"✗ "&amp;Liens!F665&amp;" (introuvable)"))</f>
        <v/>
      </c>
      <c r="H670" s="35" t="str">
        <f>IF(Liens!G665="","",IF(COUNTIF(Mots!A:A,Liens!G665)&gt;0,"✓ "&amp;Liens!G665,"✗ "&amp;Liens!G665&amp;" (introuvable)"))</f>
        <v/>
      </c>
      <c r="I670" s="35" t="str">
        <f>IF(Liens!H665="","",IF(COUNTIF(Mots!A:A,Liens!H665)&gt;0,"✓ "&amp;Liens!H665,"✗ "&amp;Liens!H665&amp;" (introuvable)"))</f>
        <v/>
      </c>
    </row>
    <row r="671" spans="1:9" x14ac:dyDescent="0.3">
      <c r="A671">
        <f t="shared" si="7"/>
        <v>666</v>
      </c>
      <c r="B671" s="35" t="str">
        <f>IF(Liens!A666="","",IF(COUNTIF(Mots!A:A,Liens!A666)&gt;0,"✓ "&amp;Liens!A666,"✗ "&amp;Liens!A666&amp;" (introuvable)"))</f>
        <v>✓ poire</v>
      </c>
      <c r="C671" s="35" t="str">
        <f>IF(Liens!B666="","",IF(COUNTIF(Mots!A:A,Liens!B666)&gt;0,"✓ "&amp;Liens!B666,"✗ "&amp;Liens!B666&amp;" (introuvable)"))</f>
        <v>✓ fruit</v>
      </c>
      <c r="D671" s="35" t="str">
        <f>IF(Liens!C666="","",IF(COUNTIF(Mots!A:A,Liens!C666)&gt;0,"✓ "&amp;Liens!C666,"✗ "&amp;Liens!C666&amp;" (introuvable)"))</f>
        <v>✓ sucre</v>
      </c>
      <c r="E671" s="35" t="str">
        <f>IF(Liens!D666="","",IF(COUNTIF(Mots!A:A,Liens!D666)&gt;0,"✓ "&amp;Liens!D666,"✗ "&amp;Liens!D666&amp;" (introuvable)"))</f>
        <v>✓ arbre</v>
      </c>
      <c r="F671" s="35" t="str">
        <f>IF(Liens!E666="","",IF(COUNTIF(Mots!A:A,Liens!E666)&gt;0,"✓ "&amp;Liens!E666,"✗ "&amp;Liens!E666&amp;" (introuvable)"))</f>
        <v>✓ v_manger</v>
      </c>
      <c r="G671" s="35" t="str">
        <f>IF(Liens!F666="","",IF(COUNTIF(Mots!A:A,Liens!F666)&gt;0,"✓ "&amp;Liens!F666,"✗ "&amp;Liens!F666&amp;" (introuvable)"))</f>
        <v/>
      </c>
      <c r="H671" s="35" t="str">
        <f>IF(Liens!G666="","",IF(COUNTIF(Mots!A:A,Liens!G666)&gt;0,"✓ "&amp;Liens!G666,"✗ "&amp;Liens!G666&amp;" (introuvable)"))</f>
        <v/>
      </c>
      <c r="I671" s="35" t="str">
        <f>IF(Liens!H666="","",IF(COUNTIF(Mots!A:A,Liens!H666)&gt;0,"✓ "&amp;Liens!H666,"✗ "&amp;Liens!H666&amp;" (introuvable)"))</f>
        <v/>
      </c>
    </row>
    <row r="672" spans="1:9" x14ac:dyDescent="0.3">
      <c r="A672">
        <f t="shared" si="7"/>
        <v>667</v>
      </c>
      <c r="B672" s="35" t="str">
        <f>IF(Liens!A667="","",IF(COUNTIF(Mots!A:A,Liens!A667)&gt;0,"✓ "&amp;Liens!A667,"✗ "&amp;Liens!A667&amp;" (introuvable)"))</f>
        <v>✓ poisson</v>
      </c>
      <c r="C672" s="35" t="str">
        <f>IF(Liens!B667="","",IF(COUNTIF(Mots!A:A,Liens!B667)&gt;0,"✓ "&amp;Liens!B667,"✗ "&amp;Liens!B667&amp;" (introuvable)"))</f>
        <v>✓ animal</v>
      </c>
      <c r="D672" s="35" t="str">
        <f>IF(Liens!C667="","",IF(COUNTIF(Mots!A:A,Liens!C667)&gt;0,"✓ "&amp;Liens!C667,"✗ "&amp;Liens!C667&amp;" (introuvable)"))</f>
        <v>✓ eau</v>
      </c>
      <c r="E672" s="35" t="str">
        <f>IF(Liens!D667="","",IF(COUNTIF(Mots!A:A,Liens!D667)&gt;0,"✓ "&amp;Liens!D667,"✗ "&amp;Liens!D667&amp;" (introuvable)"))</f>
        <v>✓ v_nager</v>
      </c>
      <c r="F672" s="35" t="str">
        <f>IF(Liens!E667="","",IF(COUNTIF(Mots!A:A,Liens!E667)&gt;0,"✓ "&amp;Liens!E667,"✗ "&amp;Liens!E667&amp;" (introuvable)"))</f>
        <v>✓ filets_de_perche</v>
      </c>
      <c r="G672" s="35" t="str">
        <f>IF(Liens!F667="","",IF(COUNTIF(Mots!A:A,Liens!F667)&gt;0,"✓ "&amp;Liens!F667,"✗ "&amp;Liens!F667&amp;" (introuvable)"))</f>
        <v>✓ filet_de_truite</v>
      </c>
      <c r="H672" s="35" t="str">
        <f>IF(Liens!G667="","",IF(COUNTIF(Mots!A:A,Liens!G667)&gt;0,"✓ "&amp;Liens!G667,"✗ "&amp;Liens!G667&amp;" (introuvable)"))</f>
        <v/>
      </c>
      <c r="I672" s="35" t="str">
        <f>IF(Liens!H667="","",IF(COUNTIF(Mots!A:A,Liens!H667)&gt;0,"✓ "&amp;Liens!H667,"✗ "&amp;Liens!H667&amp;" (introuvable)"))</f>
        <v/>
      </c>
    </row>
    <row r="673" spans="1:9" x14ac:dyDescent="0.3">
      <c r="A673">
        <f t="shared" si="7"/>
        <v>668</v>
      </c>
      <c r="B673" s="35" t="str">
        <f>IF(Liens!A668="","",IF(COUNTIF(Mots!A:A,Liens!A668)&gt;0,"✓ "&amp;Liens!A668,"✗ "&amp;Liens!A668&amp;" (introuvable)"))</f>
        <v>✓ poitrine</v>
      </c>
      <c r="C673" s="35" t="str">
        <f>IF(Liens!B668="","",IF(COUNTIF(Mots!A:A,Liens!B668)&gt;0,"✓ "&amp;Liens!B668,"✗ "&amp;Liens!B668&amp;" (introuvable)"))</f>
        <v>✓ corps_humain</v>
      </c>
      <c r="D673" s="35" t="str">
        <f>IF(Liens!C668="","",IF(COUNTIF(Mots!A:A,Liens!C668)&gt;0,"✓ "&amp;Liens!C668,"✗ "&amp;Liens!C668&amp;" (introuvable)"))</f>
        <v>✓ torse</v>
      </c>
      <c r="E673" s="35" t="str">
        <f>IF(Liens!D668="","",IF(COUNTIF(Mots!A:A,Liens!D668)&gt;0,"✓ "&amp;Liens!D668,"✗ "&amp;Liens!D668&amp;" (introuvable)"))</f>
        <v>✓ coeur</v>
      </c>
      <c r="F673" s="35" t="str">
        <f>IF(Liens!E668="","",IF(COUNTIF(Mots!A:A,Liens!E668)&gt;0,"✓ "&amp;Liens!E668,"✗ "&amp;Liens!E668&amp;" (introuvable)"))</f>
        <v/>
      </c>
      <c r="G673" s="35" t="str">
        <f>IF(Liens!F668="","",IF(COUNTIF(Mots!A:A,Liens!F668)&gt;0,"✓ "&amp;Liens!F668,"✗ "&amp;Liens!F668&amp;" (introuvable)"))</f>
        <v/>
      </c>
      <c r="H673" s="35" t="str">
        <f>IF(Liens!G668="","",IF(COUNTIF(Mots!A:A,Liens!G668)&gt;0,"✓ "&amp;Liens!G668,"✗ "&amp;Liens!G668&amp;" (introuvable)"))</f>
        <v/>
      </c>
      <c r="I673" s="35" t="str">
        <f>IF(Liens!H668="","",IF(COUNTIF(Mots!A:A,Liens!H668)&gt;0,"✓ "&amp;Liens!H668,"✗ "&amp;Liens!H668&amp;" (introuvable)"))</f>
        <v/>
      </c>
    </row>
    <row r="674" spans="1:9" x14ac:dyDescent="0.3">
      <c r="A674">
        <f t="shared" si="7"/>
        <v>669</v>
      </c>
      <c r="B674" s="35" t="str">
        <f>IF(Liens!A669="","",IF(COUNTIF(Mots!A:A,Liens!A669)&gt;0,"✓ "&amp;Liens!A669,"✗ "&amp;Liens!A669&amp;" (introuvable)"))</f>
        <v>✓ poivre</v>
      </c>
      <c r="C674" s="35" t="str">
        <f>IF(Liens!B669="","",IF(COUNTIF(Mots!A:A,Liens!B669)&gt;0,"✓ "&amp;Liens!B669,"✗ "&amp;Liens!B669&amp;" (introuvable)"))</f>
        <v>✓ assaisonnement</v>
      </c>
      <c r="D674" s="35" t="str">
        <f>IF(Liens!C669="","",IF(COUNTIF(Mots!A:A,Liens!C669)&gt;0,"✓ "&amp;Liens!C669,"✗ "&amp;Liens!C669&amp;" (introuvable)"))</f>
        <v>✓ grain</v>
      </c>
      <c r="E674" s="35" t="str">
        <f>IF(Liens!D669="","",IF(COUNTIF(Mots!A:A,Liens!D669)&gt;0,"✓ "&amp;Liens!D669,"✗ "&amp;Liens!D669&amp;" (introuvable)"))</f>
        <v>✓ c_noir</v>
      </c>
      <c r="F674" s="35" t="str">
        <f>IF(Liens!E669="","",IF(COUNTIF(Mots!A:A,Liens!E669)&gt;0,"✓ "&amp;Liens!E669,"✗ "&amp;Liens!E669&amp;" (introuvable)"))</f>
        <v>✓ v_manger</v>
      </c>
      <c r="G674" s="35" t="str">
        <f>IF(Liens!F669="","",IF(COUNTIF(Mots!A:A,Liens!F669)&gt;0,"✓ "&amp;Liens!F669,"✗ "&amp;Liens!F669&amp;" (introuvable)"))</f>
        <v>✓ nourriture</v>
      </c>
      <c r="H674" s="35" t="str">
        <f>IF(Liens!G669="","",IF(COUNTIF(Mots!A:A,Liens!G669)&gt;0,"✓ "&amp;Liens!G669,"✗ "&amp;Liens!G669&amp;" (introuvable)"))</f>
        <v>✓ v_cuire</v>
      </c>
      <c r="I674" s="35" t="str">
        <f>IF(Liens!H669="","",IF(COUNTIF(Mots!A:A,Liens!H669)&gt;0,"✓ "&amp;Liens!H669,"✗ "&amp;Liens!H669&amp;" (introuvable)"))</f>
        <v/>
      </c>
    </row>
    <row r="675" spans="1:9" x14ac:dyDescent="0.3">
      <c r="A675">
        <f t="shared" si="7"/>
        <v>670</v>
      </c>
      <c r="B675" s="35" t="str">
        <f>IF(Liens!A670="","",IF(COUNTIF(Mots!A:A,Liens!A670)&gt;0,"✓ "&amp;Liens!A670,"✗ "&amp;Liens!A670&amp;" (introuvable)"))</f>
        <v>✓ policier</v>
      </c>
      <c r="C675" s="35" t="str">
        <f>IF(Liens!B670="","",IF(COUNTIF(Mots!A:A,Liens!B670)&gt;0,"✓ "&amp;Liens!B670,"✗ "&amp;Liens!B670&amp;" (introuvable)"))</f>
        <v>✓ personne</v>
      </c>
      <c r="D675" s="35" t="str">
        <f>IF(Liens!C670="","",IF(COUNTIF(Mots!A:A,Liens!C670)&gt;0,"✓ "&amp;Liens!C670,"✗ "&amp;Liens!C670&amp;" (introuvable)"))</f>
        <v>✓ gens</v>
      </c>
      <c r="E675" s="35" t="str">
        <f>IF(Liens!D670="","",IF(COUNTIF(Mots!A:A,Liens!D670)&gt;0,"✓ "&amp;Liens!D670,"✗ "&amp;Liens!D670&amp;" (introuvable)"))</f>
        <v>✓ loi</v>
      </c>
      <c r="F675" s="35" t="str">
        <f>IF(Liens!E670="","",IF(COUNTIF(Mots!A:A,Liens!E670)&gt;0,"✓ "&amp;Liens!E670,"✗ "&amp;Liens!E670&amp;" (introuvable)"))</f>
        <v>✓ police_ge</v>
      </c>
      <c r="G675" s="35" t="str">
        <f>IF(Liens!F670="","",IF(COUNTIF(Mots!A:A,Liens!F670)&gt;0,"✓ "&amp;Liens!F670,"✗ "&amp;Liens!F670&amp;" (introuvable)"))</f>
        <v>✓ travail</v>
      </c>
      <c r="H675" s="35" t="str">
        <f>IF(Liens!G670="","",IF(COUNTIF(Mots!A:A,Liens!G670)&gt;0,"✓ "&amp;Liens!G670,"✗ "&amp;Liens!G670&amp;" (introuvable)"))</f>
        <v/>
      </c>
      <c r="I675" s="35" t="str">
        <f>IF(Liens!H670="","",IF(COUNTIF(Mots!A:A,Liens!H670)&gt;0,"✓ "&amp;Liens!H670,"✗ "&amp;Liens!H670&amp;" (introuvable)"))</f>
        <v/>
      </c>
    </row>
    <row r="676" spans="1:9" x14ac:dyDescent="0.3">
      <c r="A676">
        <f t="shared" si="7"/>
        <v>671</v>
      </c>
      <c r="B676" s="35" t="str">
        <f>IF(Liens!A671="","",IF(COUNTIF(Mots!A:A,Liens!A671)&gt;0,"✓ "&amp;Liens!A671,"✗ "&amp;Liens!A671&amp;" (introuvable)"))</f>
        <v>✓ politesse</v>
      </c>
      <c r="C676" s="35" t="str">
        <f>IF(Liens!B671="","",IF(COUNTIF(Mots!A:A,Liens!B671)&gt;0,"✓ "&amp;Liens!B671,"✗ "&amp;Liens!B671&amp;" (introuvable)"))</f>
        <v>✓ bien</v>
      </c>
      <c r="D676" s="35" t="str">
        <f>IF(Liens!C671="","",IF(COUNTIF(Mots!A:A,Liens!C671)&gt;0,"✓ "&amp;Liens!C671,"✗ "&amp;Liens!C671&amp;" (introuvable)"))</f>
        <v>✓ a_equitable</v>
      </c>
      <c r="E676" s="35" t="str">
        <f>IF(Liens!D671="","",IF(COUNTIF(Mots!A:A,Liens!D671)&gt;0,"✓ "&amp;Liens!D671,"✗ "&amp;Liens!D671&amp;" (introuvable)"))</f>
        <v>✓ gentillesse</v>
      </c>
      <c r="F676" s="35" t="str">
        <f>IF(Liens!E671="","",IF(COUNTIF(Mots!A:A,Liens!E671)&gt;0,"✓ "&amp;Liens!E671,"✗ "&amp;Liens!E671&amp;" (introuvable)"))</f>
        <v>✓ a_gentil_mechant</v>
      </c>
      <c r="G676" s="35" t="str">
        <f>IF(Liens!F671="","",IF(COUNTIF(Mots!A:A,Liens!F671)&gt;0,"✓ "&amp;Liens!F671,"✗ "&amp;Liens!F671&amp;" (introuvable)"))</f>
        <v/>
      </c>
      <c r="H676" s="35" t="str">
        <f>IF(Liens!G671="","",IF(COUNTIF(Mots!A:A,Liens!G671)&gt;0,"✓ "&amp;Liens!G671,"✗ "&amp;Liens!G671&amp;" (introuvable)"))</f>
        <v/>
      </c>
      <c r="I676" s="35" t="str">
        <f>IF(Liens!H671="","",IF(COUNTIF(Mots!A:A,Liens!H671)&gt;0,"✓ "&amp;Liens!H671,"✗ "&amp;Liens!H671&amp;" (introuvable)"))</f>
        <v/>
      </c>
    </row>
    <row r="677" spans="1:9" x14ac:dyDescent="0.3">
      <c r="A677">
        <f t="shared" si="7"/>
        <v>672</v>
      </c>
      <c r="B677" s="35" t="str">
        <f>IF(Liens!A672="","",IF(COUNTIF(Mots!A:A,Liens!A672)&gt;0,"✓ "&amp;Liens!A672,"✗ "&amp;Liens!A672&amp;" (introuvable)"))</f>
        <v>✓ pommade</v>
      </c>
      <c r="C677" s="35" t="str">
        <f>IF(Liens!B672="","",IF(COUNTIF(Mots!A:A,Liens!B672)&gt;0,"✓ "&amp;Liens!B672,"✗ "&amp;Liens!B672&amp;" (introuvable)"))</f>
        <v>✓ peau</v>
      </c>
      <c r="D677" s="35" t="str">
        <f>IF(Liens!C672="","",IF(COUNTIF(Mots!A:A,Liens!C672)&gt;0,"✓ "&amp;Liens!C672,"✗ "&amp;Liens!C672&amp;" (introuvable)"))</f>
        <v>✓ a_enflamme</v>
      </c>
      <c r="E677" s="35" t="str">
        <f>IF(Liens!D672="","",IF(COUNTIF(Mots!A:A,Liens!D672)&gt;0,"✓ "&amp;Liens!D672,"✗ "&amp;Liens!D672&amp;" (introuvable)"))</f>
        <v>✓ blessure</v>
      </c>
      <c r="F677" s="35" t="str">
        <f>IF(Liens!E672="","",IF(COUNTIF(Mots!A:A,Liens!E672)&gt;0,"✓ "&amp;Liens!E672,"✗ "&amp;Liens!E672&amp;" (introuvable)"))</f>
        <v>✓ v_soigner</v>
      </c>
      <c r="G677" s="35" t="str">
        <f>IF(Liens!F672="","",IF(COUNTIF(Mots!A:A,Liens!F672)&gt;0,"✓ "&amp;Liens!F672,"✗ "&amp;Liens!F672&amp;" (introuvable)"))</f>
        <v>✓ pharmacie</v>
      </c>
      <c r="H677" s="35" t="str">
        <f>IF(Liens!G672="","",IF(COUNTIF(Mots!A:A,Liens!G672)&gt;0,"✓ "&amp;Liens!G672,"✗ "&amp;Liens!G672&amp;" (introuvable)"))</f>
        <v>✓ pharmacien</v>
      </c>
      <c r="I677" s="35" t="str">
        <f>IF(Liens!H672="","",IF(COUNTIF(Mots!A:A,Liens!H672)&gt;0,"✓ "&amp;Liens!H672,"✗ "&amp;Liens!H672&amp;" (introuvable)"))</f>
        <v>✓ pansement</v>
      </c>
    </row>
    <row r="678" spans="1:9" x14ac:dyDescent="0.3">
      <c r="A678">
        <f t="shared" si="7"/>
        <v>673</v>
      </c>
      <c r="B678" s="35" t="str">
        <f>IF(Liens!A673="","",IF(COUNTIF(Mots!A:A,Liens!A673)&gt;0,"✓ "&amp;Liens!A673,"✗ "&amp;Liens!A673&amp;" (introuvable)"))</f>
        <v>✓ pomme</v>
      </c>
      <c r="C678" s="35" t="str">
        <f>IF(Liens!B673="","",IF(COUNTIF(Mots!A:A,Liens!B673)&gt;0,"✓ "&amp;Liens!B673,"✗ "&amp;Liens!B673&amp;" (introuvable)"))</f>
        <v>✓ fruit</v>
      </c>
      <c r="D678" s="35" t="str">
        <f>IF(Liens!C673="","",IF(COUNTIF(Mots!A:A,Liens!C673)&gt;0,"✓ "&amp;Liens!C673,"✗ "&amp;Liens!C673&amp;" (introuvable)"))</f>
        <v>✓ v_manger</v>
      </c>
      <c r="E678" s="35" t="str">
        <f>IF(Liens!D673="","",IF(COUNTIF(Mots!A:A,Liens!D673)&gt;0,"✓ "&amp;Liens!D673,"✗ "&amp;Liens!D673&amp;" (introuvable)"))</f>
        <v>✓ gateau</v>
      </c>
      <c r="F678" s="35" t="str">
        <f>IF(Liens!E673="","",IF(COUNTIF(Mots!A:A,Liens!E673)&gt;0,"✓ "&amp;Liens!E673,"✗ "&amp;Liens!E673&amp;" (introuvable)"))</f>
        <v>✓ pommier</v>
      </c>
      <c r="G678" s="35" t="str">
        <f>IF(Liens!F673="","",IF(COUNTIF(Mots!A:A,Liens!F673)&gt;0,"✓ "&amp;Liens!F673,"✗ "&amp;Liens!F673&amp;" (introuvable)"))</f>
        <v/>
      </c>
      <c r="H678" s="35" t="str">
        <f>IF(Liens!G673="","",IF(COUNTIF(Mots!A:A,Liens!G673)&gt;0,"✓ "&amp;Liens!G673,"✗ "&amp;Liens!G673&amp;" (introuvable)"))</f>
        <v/>
      </c>
      <c r="I678" s="35" t="str">
        <f>IF(Liens!H673="","",IF(COUNTIF(Mots!A:A,Liens!H673)&gt;0,"✓ "&amp;Liens!H673,"✗ "&amp;Liens!H673&amp;" (introuvable)"))</f>
        <v/>
      </c>
    </row>
    <row r="679" spans="1:9" x14ac:dyDescent="0.3">
      <c r="A679">
        <f t="shared" si="7"/>
        <v>674</v>
      </c>
      <c r="B679" s="35" t="str">
        <f>IF(Liens!A674="","",IF(COUNTIF(Mots!A:A,Liens!A674)&gt;0,"✓ "&amp;Liens!A674,"✗ "&amp;Liens!A674&amp;" (introuvable)"))</f>
        <v>✓ pompier</v>
      </c>
      <c r="C679" s="35" t="str">
        <f>IF(Liens!B674="","",IF(COUNTIF(Mots!A:A,Liens!B674)&gt;0,"✓ "&amp;Liens!B674,"✗ "&amp;Liens!B674&amp;" (introuvable)"))</f>
        <v>✓ personne</v>
      </c>
      <c r="D679" s="35" t="str">
        <f>IF(Liens!C674="","",IF(COUNTIF(Mots!A:A,Liens!C674)&gt;0,"✓ "&amp;Liens!C674,"✗ "&amp;Liens!C674&amp;" (introuvable)"))</f>
        <v>✓ feu</v>
      </c>
      <c r="E679" s="35" t="str">
        <f>IF(Liens!D674="","",IF(COUNTIF(Mots!A:A,Liens!D674)&gt;0,"✓ "&amp;Liens!D674,"✗ "&amp;Liens!D674&amp;" (introuvable)"))</f>
        <v>✓ incendie</v>
      </c>
      <c r="F679" s="35" t="str">
        <f>IF(Liens!E674="","",IF(COUNTIF(Mots!A:A,Liens!E674)&gt;0,"✓ "&amp;Liens!E674,"✗ "&amp;Liens!E674&amp;" (introuvable)"))</f>
        <v>✓ secours</v>
      </c>
      <c r="G679" s="35" t="str">
        <f>IF(Liens!F674="","",IF(COUNTIF(Mots!A:A,Liens!F674)&gt;0,"✓ "&amp;Liens!F674,"✗ "&amp;Liens!F674&amp;" (introuvable)"))</f>
        <v>✓ eau</v>
      </c>
      <c r="H679" s="35" t="str">
        <f>IF(Liens!G674="","",IF(COUNTIF(Mots!A:A,Liens!G674)&gt;0,"✓ "&amp;Liens!G674,"✗ "&amp;Liens!G674&amp;" (introuvable)"))</f>
        <v>✓ courage</v>
      </c>
      <c r="I679" s="35" t="str">
        <f>IF(Liens!H674="","",IF(COUNTIF(Mots!A:A,Liens!H674)&gt;0,"✓ "&amp;Liens!H674,"✗ "&amp;Liens!H674&amp;" (introuvable)"))</f>
        <v>✓ a_courageux_peureux</v>
      </c>
    </row>
    <row r="680" spans="1:9" x14ac:dyDescent="0.3">
      <c r="A680">
        <f t="shared" si="7"/>
        <v>675</v>
      </c>
      <c r="B680" s="35" t="str">
        <f>IF(Liens!A675="","",IF(COUNTIF(Mots!A:A,Liens!A675)&gt;0,"✓ "&amp;Liens!A675,"✗ "&amp;Liens!A675&amp;" (introuvable)"))</f>
        <v>✓ pont</v>
      </c>
      <c r="C680" s="35" t="str">
        <f>IF(Liens!B675="","",IF(COUNTIF(Mots!A:A,Liens!B675)&gt;0,"✓ "&amp;Liens!B675,"✗ "&amp;Liens!B675&amp;" (introuvable)"))</f>
        <v>✓ construction</v>
      </c>
      <c r="D680" s="35" t="str">
        <f>IF(Liens!C675="","",IF(COUNTIF(Mots!A:A,Liens!C675)&gt;0,"✓ "&amp;Liens!C675,"✗ "&amp;Liens!C675&amp;" (introuvable)"))</f>
        <v>✓ v_traverser</v>
      </c>
      <c r="E680" s="35" t="str">
        <f>IF(Liens!D675="","",IF(COUNTIF(Mots!A:A,Liens!D675)&gt;0,"✓ "&amp;Liens!D675,"✗ "&amp;Liens!D675&amp;" (introuvable)"))</f>
        <v>✓ voiture</v>
      </c>
      <c r="F680" s="35" t="str">
        <f>IF(Liens!E675="","",IF(COUNTIF(Mots!A:A,Liens!E675)&gt;0,"✓ "&amp;Liens!E675,"✗ "&amp;Liens!E675&amp;" (introuvable)"))</f>
        <v>✓ riviere</v>
      </c>
      <c r="G680" s="35" t="str">
        <f>IF(Liens!F675="","",IF(COUNTIF(Mots!A:A,Liens!F675)&gt;0,"✓ "&amp;Liens!F675,"✗ "&amp;Liens!F675&amp;" (introuvable)"))</f>
        <v/>
      </c>
      <c r="H680" s="35" t="str">
        <f>IF(Liens!G675="","",IF(COUNTIF(Mots!A:A,Liens!G675)&gt;0,"✓ "&amp;Liens!G675,"✗ "&amp;Liens!G675&amp;" (introuvable)"))</f>
        <v/>
      </c>
      <c r="I680" s="35" t="str">
        <f>IF(Liens!H675="","",IF(COUNTIF(Mots!A:A,Liens!H675)&gt;0,"✓ "&amp;Liens!H675,"✗ "&amp;Liens!H675&amp;" (introuvable)"))</f>
        <v/>
      </c>
    </row>
    <row r="681" spans="1:9" x14ac:dyDescent="0.3">
      <c r="A681">
        <f t="shared" si="7"/>
        <v>676</v>
      </c>
      <c r="B681" s="35" t="str">
        <f>IF(Liens!A676="","",IF(COUNTIF(Mots!A:A,Liens!A676)&gt;0,"✓ "&amp;Liens!A676,"✗ "&amp;Liens!A676&amp;" (introuvable)"))</f>
        <v>✓ porte</v>
      </c>
      <c r="C681" s="35" t="str">
        <f>IF(Liens!B676="","",IF(COUNTIF(Mots!A:A,Liens!B676)&gt;0,"✓ "&amp;Liens!B676,"✗ "&amp;Liens!B676&amp;" (introuvable)"))</f>
        <v>✓ maison</v>
      </c>
      <c r="D681" s="35" t="str">
        <f>IF(Liens!C676="","",IF(COUNTIF(Mots!A:A,Liens!C676)&gt;0,"✓ "&amp;Liens!C676,"✗ "&amp;Liens!C676&amp;" (introuvable)"))</f>
        <v>✓ poignee</v>
      </c>
      <c r="E681" s="35" t="str">
        <f>IF(Liens!D676="","",IF(COUNTIF(Mots!A:A,Liens!D676)&gt;0,"✓ "&amp;Liens!D676,"✗ "&amp;Liens!D676&amp;" (introuvable)"))</f>
        <v>✓ serrure</v>
      </c>
      <c r="F681" s="35" t="str">
        <f>IF(Liens!E676="","",IF(COUNTIF(Mots!A:A,Liens!E676)&gt;0,"✓ "&amp;Liens!E676,"✗ "&amp;Liens!E676&amp;" (introuvable)"))</f>
        <v>✓ a_ferme_ouvert</v>
      </c>
      <c r="G681" s="35" t="str">
        <f>IF(Liens!F676="","",IF(COUNTIF(Mots!A:A,Liens!F676)&gt;0,"✓ "&amp;Liens!F676,"✗ "&amp;Liens!F676&amp;" (introuvable)"))</f>
        <v/>
      </c>
      <c r="H681" s="35" t="str">
        <f>IF(Liens!G676="","",IF(COUNTIF(Mots!A:A,Liens!G676)&gt;0,"✓ "&amp;Liens!G676,"✗ "&amp;Liens!G676&amp;" (introuvable)"))</f>
        <v/>
      </c>
      <c r="I681" s="35" t="str">
        <f>IF(Liens!H676="","",IF(COUNTIF(Mots!A:A,Liens!H676)&gt;0,"✓ "&amp;Liens!H676,"✗ "&amp;Liens!H676&amp;" (introuvable)"))</f>
        <v/>
      </c>
    </row>
    <row r="682" spans="1:9" x14ac:dyDescent="0.3">
      <c r="A682">
        <f t="shared" si="7"/>
        <v>677</v>
      </c>
      <c r="B682" s="35" t="str">
        <f>IF(Liens!A677="","",IF(COUNTIF(Mots!A:A,Liens!A677)&gt;0,"✓ "&amp;Liens!A677,"✗ "&amp;Liens!A677&amp;" (introuvable)"))</f>
        <v>✓ porte_manteau</v>
      </c>
      <c r="C682" s="35" t="str">
        <f>IF(Liens!B677="","",IF(COUNTIF(Mots!A:A,Liens!B677)&gt;0,"✓ "&amp;Liens!B677,"✗ "&amp;Liens!B677&amp;" (introuvable)"))</f>
        <v>✓ manteau</v>
      </c>
      <c r="D682" s="35" t="str">
        <f>IF(Liens!C677="","",IF(COUNTIF(Mots!A:A,Liens!C677)&gt;0,"✓ "&amp;Liens!C677,"✗ "&amp;Liens!C677&amp;" (introuvable)"))</f>
        <v>✓ veste</v>
      </c>
      <c r="E682" s="35" t="str">
        <f>IF(Liens!D677="","",IF(COUNTIF(Mots!A:A,Liens!D677)&gt;0,"✓ "&amp;Liens!D677,"✗ "&amp;Liens!D677&amp;" (introuvable)"))</f>
        <v>✓ chapeau</v>
      </c>
      <c r="F682" s="35" t="str">
        <f>IF(Liens!E677="","",IF(COUNTIF(Mots!A:A,Liens!E677)&gt;0,"✓ "&amp;Liens!E677,"✗ "&amp;Liens!E677&amp;" (introuvable)"))</f>
        <v>✓ echarpe</v>
      </c>
      <c r="G682" s="35" t="str">
        <f>IF(Liens!F677="","",IF(COUNTIF(Mots!A:A,Liens!F677)&gt;0,"✓ "&amp;Liens!F677,"✗ "&amp;Liens!F677&amp;" (introuvable)"))</f>
        <v/>
      </c>
      <c r="H682" s="35" t="str">
        <f>IF(Liens!G677="","",IF(COUNTIF(Mots!A:A,Liens!G677)&gt;0,"✓ "&amp;Liens!G677,"✗ "&amp;Liens!G677&amp;" (introuvable)"))</f>
        <v/>
      </c>
      <c r="I682" s="35" t="str">
        <f>IF(Liens!H677="","",IF(COUNTIF(Mots!A:A,Liens!H677)&gt;0,"✓ "&amp;Liens!H677,"✗ "&amp;Liens!H677&amp;" (introuvable)"))</f>
        <v/>
      </c>
    </row>
    <row r="683" spans="1:9" x14ac:dyDescent="0.3">
      <c r="A683">
        <f t="shared" si="7"/>
        <v>678</v>
      </c>
      <c r="B683" s="35" t="str">
        <f>IF(Liens!A678="","",IF(COUNTIF(Mots!A:A,Liens!A678)&gt;0,"✓ "&amp;Liens!A678,"✗ "&amp;Liens!A678&amp;" (introuvable)"))</f>
        <v>✓ portefeuille</v>
      </c>
      <c r="C683" s="35" t="str">
        <f>IF(Liens!B678="","",IF(COUNTIF(Mots!A:A,Liens!B678)&gt;0,"✓ "&amp;Liens!B678,"✗ "&amp;Liens!B678&amp;" (introuvable)"))</f>
        <v>✓ porte_monnaie</v>
      </c>
      <c r="D683" s="35" t="str">
        <f>IF(Liens!C678="","",IF(COUNTIF(Mots!A:A,Liens!C678)&gt;0,"✓ "&amp;Liens!C678,"✗ "&amp;Liens!C678&amp;" (introuvable)"))</f>
        <v>✓ argent</v>
      </c>
      <c r="E683" s="35" t="str">
        <f>IF(Liens!D678="","",IF(COUNTIF(Mots!A:A,Liens!D678)&gt;0,"✓ "&amp;Liens!D678,"✗ "&amp;Liens!D678&amp;" (introuvable)"))</f>
        <v>✓ carte_debit</v>
      </c>
      <c r="F683" s="35" t="str">
        <f>IF(Liens!E678="","",IF(COUNTIF(Mots!A:A,Liens!E678)&gt;0,"✓ "&amp;Liens!E678,"✗ "&amp;Liens!E678&amp;" (introuvable)"))</f>
        <v>✓ piece_monnaie</v>
      </c>
      <c r="G683" s="35" t="str">
        <f>IF(Liens!F678="","",IF(COUNTIF(Mots!A:A,Liens!F678)&gt;0,"✓ "&amp;Liens!F678,"✗ "&amp;Liens!F678&amp;" (introuvable)"))</f>
        <v>✓ permis</v>
      </c>
      <c r="H683" s="35" t="str">
        <f>IF(Liens!G678="","",IF(COUNTIF(Mots!A:A,Liens!G678)&gt;0,"✓ "&amp;Liens!G678,"✗ "&amp;Liens!G678&amp;" (introuvable)"))</f>
        <v/>
      </c>
      <c r="I683" s="35" t="str">
        <f>IF(Liens!H678="","",IF(COUNTIF(Mots!A:A,Liens!H678)&gt;0,"✓ "&amp;Liens!H678,"✗ "&amp;Liens!H678&amp;" (introuvable)"))</f>
        <v/>
      </c>
    </row>
    <row r="684" spans="1:9" x14ac:dyDescent="0.3">
      <c r="A684">
        <f t="shared" si="7"/>
        <v>679</v>
      </c>
      <c r="B684" s="35" t="str">
        <f>IF(Liens!A679="","",IF(COUNTIF(Mots!A:A,Liens!A679)&gt;0,"✓ "&amp;Liens!A679,"✗ "&amp;Liens!A679&amp;" (introuvable)"))</f>
        <v>✓ portiere</v>
      </c>
      <c r="C684" s="35" t="str">
        <f>IF(Liens!B679="","",IF(COUNTIF(Mots!A:A,Liens!B679)&gt;0,"✓ "&amp;Liens!B679,"✗ "&amp;Liens!B679&amp;" (introuvable)"))</f>
        <v>✓ porte</v>
      </c>
      <c r="D684" s="35" t="str">
        <f>IF(Liens!C679="","",IF(COUNTIF(Mots!A:A,Liens!C679)&gt;0,"✓ "&amp;Liens!C679,"✗ "&amp;Liens!C679&amp;" (introuvable)"))</f>
        <v>✓ voiture</v>
      </c>
      <c r="E684" s="35" t="str">
        <f>IF(Liens!D679="","",IF(COUNTIF(Mots!A:A,Liens!D679)&gt;0,"✓ "&amp;Liens!D679,"✗ "&amp;Liens!D679&amp;" (introuvable)"))</f>
        <v>✓ pickup</v>
      </c>
      <c r="F684" s="35" t="str">
        <f>IF(Liens!E679="","",IF(COUNTIF(Mots!A:A,Liens!E679)&gt;0,"✓ "&amp;Liens!E679,"✗ "&amp;Liens!E679&amp;" (introuvable)"))</f>
        <v>✓ v_entrer</v>
      </c>
      <c r="G684" s="35" t="str">
        <f>IF(Liens!F679="","",IF(COUNTIF(Mots!A:A,Liens!F679)&gt;0,"✓ "&amp;Liens!F679,"✗ "&amp;Liens!F679&amp;" (introuvable)"))</f>
        <v>✓ v_sortir</v>
      </c>
      <c r="H684" s="35" t="str">
        <f>IF(Liens!G679="","",IF(COUNTIF(Mots!A:A,Liens!G679)&gt;0,"✓ "&amp;Liens!G679,"✗ "&amp;Liens!G679&amp;" (introuvable)"))</f>
        <v/>
      </c>
      <c r="I684" s="35" t="str">
        <f>IF(Liens!H679="","",IF(COUNTIF(Mots!A:A,Liens!H679)&gt;0,"✓ "&amp;Liens!H679,"✗ "&amp;Liens!H679&amp;" (introuvable)"))</f>
        <v/>
      </c>
    </row>
    <row r="685" spans="1:9" x14ac:dyDescent="0.3">
      <c r="A685">
        <f t="shared" si="7"/>
        <v>680</v>
      </c>
      <c r="B685" s="35" t="str">
        <f>IF(Liens!A680="","",IF(COUNTIF(Mots!A:A,Liens!A680)&gt;0,"✓ "&amp;Liens!A680,"✗ "&amp;Liens!A680&amp;" (introuvable)"))</f>
        <v>✓ possibilite</v>
      </c>
      <c r="C685" s="35" t="str">
        <f>IF(Liens!B680="","",IF(COUNTIF(Mots!A:A,Liens!B680)&gt;0,"✓ "&amp;Liens!B680,"✗ "&amp;Liens!B680&amp;" (introuvable)"))</f>
        <v>✓ v_pouvoir</v>
      </c>
      <c r="D685" s="35" t="str">
        <f>IF(Liens!C680="","",IF(COUNTIF(Mots!A:A,Liens!C680)&gt;0,"✓ "&amp;Liens!C680,"✗ "&amp;Liens!C680&amp;" (introuvable)"))</f>
        <v>✓ possible</v>
      </c>
      <c r="E685" s="35" t="str">
        <f>IF(Liens!D680="","",IF(COUNTIF(Mots!A:A,Liens!D680)&gt;0,"✓ "&amp;Liens!D680,"✗ "&amp;Liens!D680&amp;" (introuvable)"))</f>
        <v>✓ v_choisir</v>
      </c>
      <c r="F685" s="35" t="str">
        <f>IF(Liens!E680="","",IF(COUNTIF(Mots!A:A,Liens!E680)&gt;0,"✓ "&amp;Liens!E680,"✗ "&amp;Liens!E680&amp;" (introuvable)"))</f>
        <v/>
      </c>
      <c r="G685" s="35" t="str">
        <f>IF(Liens!F680="","",IF(COUNTIF(Mots!A:A,Liens!F680)&gt;0,"✓ "&amp;Liens!F680,"✗ "&amp;Liens!F680&amp;" (introuvable)"))</f>
        <v/>
      </c>
      <c r="H685" s="35" t="str">
        <f>IF(Liens!G680="","",IF(COUNTIF(Mots!A:A,Liens!G680)&gt;0,"✓ "&amp;Liens!G680,"✗ "&amp;Liens!G680&amp;" (introuvable)"))</f>
        <v/>
      </c>
      <c r="I685" s="35" t="str">
        <f>IF(Liens!H680="","",IF(COUNTIF(Mots!A:A,Liens!H680)&gt;0,"✓ "&amp;Liens!H680,"✗ "&amp;Liens!H680&amp;" (introuvable)"))</f>
        <v/>
      </c>
    </row>
    <row r="686" spans="1:9" x14ac:dyDescent="0.3">
      <c r="A686">
        <f t="shared" si="7"/>
        <v>681</v>
      </c>
      <c r="B686" s="35" t="str">
        <f>IF(Liens!A681="","",IF(COUNTIF(Mots!A:A,Liens!A681)&gt;0,"✓ "&amp;Liens!A681,"✗ "&amp;Liens!A681&amp;" (introuvable)"))</f>
        <v>✓ possible</v>
      </c>
      <c r="C686" s="35" t="str">
        <f>IF(Liens!B681="","",IF(COUNTIF(Mots!A:A,Liens!B681)&gt;0,"✓ "&amp;Liens!B681,"✗ "&amp;Liens!B681&amp;" (introuvable)"))</f>
        <v>✓ possibilite</v>
      </c>
      <c r="D686" s="35" t="str">
        <f>IF(Liens!C681="","",IF(COUNTIF(Mots!A:A,Liens!C681)&gt;0,"✓ "&amp;Liens!C681,"✗ "&amp;Liens!C681&amp;" (introuvable)"))</f>
        <v>✓ v_pouvoir</v>
      </c>
      <c r="E686" s="35" t="str">
        <f>IF(Liens!D681="","",IF(COUNTIF(Mots!A:A,Liens!D681)&gt;0,"✓ "&amp;Liens!D681,"✗ "&amp;Liens!D681&amp;" (introuvable)"))</f>
        <v>✓ v_choisir</v>
      </c>
      <c r="F686" s="35" t="str">
        <f>IF(Liens!E681="","",IF(COUNTIF(Mots!A:A,Liens!E681)&gt;0,"✓ "&amp;Liens!E681,"✗ "&amp;Liens!E681&amp;" (introuvable)"))</f>
        <v/>
      </c>
      <c r="G686" s="35" t="str">
        <f>IF(Liens!F681="","",IF(COUNTIF(Mots!A:A,Liens!F681)&gt;0,"✓ "&amp;Liens!F681,"✗ "&amp;Liens!F681&amp;" (introuvable)"))</f>
        <v/>
      </c>
      <c r="H686" s="35" t="str">
        <f>IF(Liens!G681="","",IF(COUNTIF(Mots!A:A,Liens!G681)&gt;0,"✓ "&amp;Liens!G681,"✗ "&amp;Liens!G681&amp;" (introuvable)"))</f>
        <v/>
      </c>
      <c r="I686" s="35" t="str">
        <f>IF(Liens!H681="","",IF(COUNTIF(Mots!A:A,Liens!H681)&gt;0,"✓ "&amp;Liens!H681,"✗ "&amp;Liens!H681&amp;" (introuvable)"))</f>
        <v/>
      </c>
    </row>
    <row r="687" spans="1:9" x14ac:dyDescent="0.3">
      <c r="A687">
        <f t="shared" si="7"/>
        <v>682</v>
      </c>
      <c r="B687" s="35" t="str">
        <f>IF(Liens!A682="","",IF(COUNTIF(Mots!A:A,Liens!A682)&gt;0,"✓ "&amp;Liens!A682,"✗ "&amp;Liens!A682&amp;" (introuvable)"))</f>
        <v>✓ poste</v>
      </c>
      <c r="C687" s="35" t="str">
        <f>IF(Liens!B682="","",IF(COUNTIF(Mots!A:A,Liens!B682)&gt;0,"✓ "&amp;Liens!B682,"✗ "&amp;Liens!B682&amp;" (introuvable)"))</f>
        <v>✓ lettre</v>
      </c>
      <c r="D687" s="35" t="str">
        <f>IF(Liens!C682="","",IF(COUNTIF(Mots!A:A,Liens!C682)&gt;0,"✓ "&amp;Liens!C682,"✗ "&amp;Liens!C682&amp;" (introuvable)"))</f>
        <v>✓ facteur</v>
      </c>
      <c r="E687" s="35" t="str">
        <f>IF(Liens!D682="","",IF(COUNTIF(Mots!A:A,Liens!D682)&gt;0,"✓ "&amp;Liens!D682,"✗ "&amp;Liens!D682&amp;" (introuvable)"))</f>
        <v>✓ courrier</v>
      </c>
      <c r="F687" s="35" t="str">
        <f>IF(Liens!E682="","",IF(COUNTIF(Mots!A:A,Liens!E682)&gt;0,"✓ "&amp;Liens!E682,"✗ "&amp;Liens!E682&amp;" (introuvable)"))</f>
        <v/>
      </c>
      <c r="G687" s="35" t="str">
        <f>IF(Liens!F682="","",IF(COUNTIF(Mots!A:A,Liens!F682)&gt;0,"✓ "&amp;Liens!F682,"✗ "&amp;Liens!F682&amp;" (introuvable)"))</f>
        <v/>
      </c>
      <c r="H687" s="35" t="str">
        <f>IF(Liens!G682="","",IF(COUNTIF(Mots!A:A,Liens!G682)&gt;0,"✓ "&amp;Liens!G682,"✗ "&amp;Liens!G682&amp;" (introuvable)"))</f>
        <v/>
      </c>
      <c r="I687" s="35" t="str">
        <f>IF(Liens!H682="","",IF(COUNTIF(Mots!A:A,Liens!H682)&gt;0,"✓ "&amp;Liens!H682,"✗ "&amp;Liens!H682&amp;" (introuvable)"))</f>
        <v/>
      </c>
    </row>
    <row r="688" spans="1:9" x14ac:dyDescent="0.3">
      <c r="A688">
        <f t="shared" si="7"/>
        <v>683</v>
      </c>
      <c r="B688" s="35" t="str">
        <f>IF(Liens!A683="","",IF(COUNTIF(Mots!A:A,Liens!A683)&gt;0,"✓ "&amp;Liens!A683,"✗ "&amp;Liens!A683&amp;" (introuvable)"))</f>
        <v>✓ poubelle</v>
      </c>
      <c r="C688" s="35" t="str">
        <f>IF(Liens!B683="","",IF(COUNTIF(Mots!A:A,Liens!B683)&gt;0,"✓ "&amp;Liens!B683,"✗ "&amp;Liens!B683&amp;" (introuvable)"))</f>
        <v>✓ recipient</v>
      </c>
      <c r="D688" s="35" t="str">
        <f>IF(Liens!C683="","",IF(COUNTIF(Mots!A:A,Liens!C683)&gt;0,"✓ "&amp;Liens!C683,"✗ "&amp;Liens!C683&amp;" (introuvable)"))</f>
        <v>✓ dechet</v>
      </c>
      <c r="E688" s="35" t="str">
        <f>IF(Liens!D683="","",IF(COUNTIF(Mots!A:A,Liens!D683)&gt;0,"✓ "&amp;Liens!D683,"✗ "&amp;Liens!D683&amp;" (introuvable)"))</f>
        <v>✓ cuisine</v>
      </c>
      <c r="F688" s="35" t="str">
        <f>IF(Liens!E683="","",IF(COUNTIF(Mots!A:A,Liens!E683)&gt;0,"✓ "&amp;Liens!E683,"✗ "&amp;Liens!E683&amp;" (introuvable)"))</f>
        <v>✓ evier_ou_plonge</v>
      </c>
      <c r="G688" s="35" t="str">
        <f>IF(Liens!F683="","",IF(COUNTIF(Mots!A:A,Liens!F683)&gt;0,"✓ "&amp;Liens!F683,"✗ "&amp;Liens!F683&amp;" (introuvable)"))</f>
        <v/>
      </c>
      <c r="H688" s="35" t="str">
        <f>IF(Liens!G683="","",IF(COUNTIF(Mots!A:A,Liens!G683)&gt;0,"✓ "&amp;Liens!G683,"✗ "&amp;Liens!G683&amp;" (introuvable)"))</f>
        <v/>
      </c>
      <c r="I688" s="35" t="str">
        <f>IF(Liens!H683="","",IF(COUNTIF(Mots!A:A,Liens!H683)&gt;0,"✓ "&amp;Liens!H683,"✗ "&amp;Liens!H683&amp;" (introuvable)"))</f>
        <v/>
      </c>
    </row>
    <row r="689" spans="1:9" x14ac:dyDescent="0.3">
      <c r="A689">
        <f t="shared" si="7"/>
        <v>684</v>
      </c>
      <c r="B689" s="35" t="str">
        <f>IF(Liens!A684="","",IF(COUNTIF(Mots!A:A,Liens!A684)&gt;0,"✓ "&amp;Liens!A684,"✗ "&amp;Liens!A684&amp;" (introuvable)"))</f>
        <v>✓ poudre</v>
      </c>
      <c r="C689" s="35" t="str">
        <f>IF(Liens!B684="","",IF(COUNTIF(Mots!A:A,Liens!B684)&gt;0,"✓ "&amp;Liens!B684,"✗ "&amp;Liens!B684&amp;" (introuvable)"))</f>
        <v>✓ matiere</v>
      </c>
      <c r="D689" s="35" t="str">
        <f>IF(Liens!C684="","",IF(COUNTIF(Mots!A:A,Liens!C684)&gt;0,"✓ "&amp;Liens!C684,"✗ "&amp;Liens!C684&amp;" (introuvable)"))</f>
        <v>✓ grain</v>
      </c>
      <c r="E689" s="35" t="str">
        <f>IF(Liens!D684="","",IF(COUNTIF(Mots!A:A,Liens!D684)&gt;0,"✓ "&amp;Liens!D684,"✗ "&amp;Liens!D684&amp;" (introuvable)"))</f>
        <v>✓ farine</v>
      </c>
      <c r="F689" s="35" t="str">
        <f>IF(Liens!E684="","",IF(COUNTIF(Mots!A:A,Liens!E684)&gt;0,"✓ "&amp;Liens!E684,"✗ "&amp;Liens!E684&amp;" (introuvable)"))</f>
        <v>✓ curry</v>
      </c>
      <c r="G689" s="35" t="str">
        <f>IF(Liens!F684="","",IF(COUNTIF(Mots!A:A,Liens!F684)&gt;0,"✓ "&amp;Liens!F684,"✗ "&amp;Liens!F684&amp;" (introuvable)"))</f>
        <v/>
      </c>
      <c r="H689" s="35" t="str">
        <f>IF(Liens!G684="","",IF(COUNTIF(Mots!A:A,Liens!G684)&gt;0,"✓ "&amp;Liens!G684,"✗ "&amp;Liens!G684&amp;" (introuvable)"))</f>
        <v/>
      </c>
      <c r="I689" s="35" t="str">
        <f>IF(Liens!H684="","",IF(COUNTIF(Mots!A:A,Liens!H684)&gt;0,"✓ "&amp;Liens!H684,"✗ "&amp;Liens!H684&amp;" (introuvable)"))</f>
        <v/>
      </c>
    </row>
    <row r="690" spans="1:9" x14ac:dyDescent="0.3">
      <c r="A690">
        <f t="shared" si="7"/>
        <v>685</v>
      </c>
      <c r="B690" s="35" t="str">
        <f>IF(Liens!A685="","",IF(COUNTIF(Mots!A:A,Liens!A685)&gt;0,"✓ "&amp;Liens!A685,"✗ "&amp;Liens!A685&amp;" (introuvable)"))</f>
        <v>✓ poule</v>
      </c>
      <c r="C690" s="35" t="str">
        <f>IF(Liens!B685="","",IF(COUNTIF(Mots!A:A,Liens!B685)&gt;0,"✓ "&amp;Liens!B685,"✗ "&amp;Liens!B685&amp;" (introuvable)"))</f>
        <v>✓ animal</v>
      </c>
      <c r="D690" s="35" t="str">
        <f>IF(Liens!C685="","",IF(COUNTIF(Mots!A:A,Liens!C685)&gt;0,"✓ "&amp;Liens!C685,"✗ "&amp;Liens!C685&amp;" (introuvable)"))</f>
        <v>✓ ferme</v>
      </c>
      <c r="E690" s="35" t="str">
        <f>IF(Liens!D685="","",IF(COUNTIF(Mots!A:A,Liens!D685)&gt;0,"✓ "&amp;Liens!D685,"✗ "&amp;Liens!D685&amp;" (introuvable)"))</f>
        <v>✓ graine</v>
      </c>
      <c r="F690" s="35" t="str">
        <f>IF(Liens!E685="","",IF(COUNTIF(Mots!A:A,Liens!E685)&gt;0,"✓ "&amp;Liens!E685,"✗ "&amp;Liens!E685&amp;" (introuvable)"))</f>
        <v>✓ oeuf</v>
      </c>
      <c r="G690" s="35" t="str">
        <f>IF(Liens!F685="","",IF(COUNTIF(Mots!A:A,Liens!F685)&gt;0,"✓ "&amp;Liens!F685,"✗ "&amp;Liens!F685&amp;" (introuvable)"))</f>
        <v>✓ poulet</v>
      </c>
      <c r="H690" s="35" t="str">
        <f>IF(Liens!G685="","",IF(COUNTIF(Mots!A:A,Liens!G685)&gt;0,"✓ "&amp;Liens!G685,"✗ "&amp;Liens!G685&amp;" (introuvable)"))</f>
        <v>✓ blanc_de_poulet</v>
      </c>
      <c r="I690" s="35" t="str">
        <f>IF(Liens!H685="","",IF(COUNTIF(Mots!A:A,Liens!H685)&gt;0,"✓ "&amp;Liens!H685,"✗ "&amp;Liens!H685&amp;" (introuvable)"))</f>
        <v>✓ cuisse_de_poulet</v>
      </c>
    </row>
    <row r="691" spans="1:9" x14ac:dyDescent="0.3">
      <c r="A691">
        <f t="shared" si="7"/>
        <v>686</v>
      </c>
      <c r="B691" s="35" t="str">
        <f>IF(Liens!A686="","",IF(COUNTIF(Mots!A:A,Liens!A686)&gt;0,"✓ "&amp;Liens!A686,"✗ "&amp;Liens!A686&amp;" (introuvable)"))</f>
        <v>✓ pourtant</v>
      </c>
      <c r="C691" s="35" t="str">
        <f>IF(Liens!B686="","",IF(COUNTIF(Mots!A:A,Liens!B686)&gt;0,"✓ "&amp;Liens!B686,"✗ "&amp;Liens!B686&amp;" (introuvable)"))</f>
        <v/>
      </c>
      <c r="D691" s="35" t="str">
        <f>IF(Liens!C686="","",IF(COUNTIF(Mots!A:A,Liens!C686)&gt;0,"✓ "&amp;Liens!C686,"✗ "&amp;Liens!C686&amp;" (introuvable)"))</f>
        <v/>
      </c>
      <c r="E691" s="35" t="str">
        <f>IF(Liens!D686="","",IF(COUNTIF(Mots!A:A,Liens!D686)&gt;0,"✓ "&amp;Liens!D686,"✗ "&amp;Liens!D686&amp;" (introuvable)"))</f>
        <v/>
      </c>
      <c r="F691" s="35" t="str">
        <f>IF(Liens!E686="","",IF(COUNTIF(Mots!A:A,Liens!E686)&gt;0,"✓ "&amp;Liens!E686,"✗ "&amp;Liens!E686&amp;" (introuvable)"))</f>
        <v/>
      </c>
      <c r="G691" s="35" t="str">
        <f>IF(Liens!F686="","",IF(COUNTIF(Mots!A:A,Liens!F686)&gt;0,"✓ "&amp;Liens!F686,"✗ "&amp;Liens!F686&amp;" (introuvable)"))</f>
        <v/>
      </c>
      <c r="H691" s="35" t="str">
        <f>IF(Liens!G686="","",IF(COUNTIF(Mots!A:A,Liens!G686)&gt;0,"✓ "&amp;Liens!G686,"✗ "&amp;Liens!G686&amp;" (introuvable)"))</f>
        <v/>
      </c>
      <c r="I691" s="35" t="str">
        <f>IF(Liens!H686="","",IF(COUNTIF(Mots!A:A,Liens!H686)&gt;0,"✓ "&amp;Liens!H686,"✗ "&amp;Liens!H686&amp;" (introuvable)"))</f>
        <v/>
      </c>
    </row>
    <row r="692" spans="1:9" x14ac:dyDescent="0.3">
      <c r="A692">
        <f t="shared" si="7"/>
        <v>687</v>
      </c>
      <c r="B692" s="35" t="str">
        <f>IF(Liens!A687="","",IF(COUNTIF(Mots!A:A,Liens!A687)&gt;0,"✓ "&amp;Liens!A687,"✗ "&amp;Liens!A687&amp;" (introuvable)"))</f>
        <v>✓ poussiere</v>
      </c>
      <c r="C692" s="35" t="str">
        <f>IF(Liens!B687="","",IF(COUNTIF(Mots!A:A,Liens!B687)&gt;0,"✓ "&amp;Liens!B687,"✗ "&amp;Liens!B687&amp;" (introuvable)"))</f>
        <v>✓ salete</v>
      </c>
      <c r="D692" s="35" t="str">
        <f>IF(Liens!C687="","",IF(COUNTIF(Mots!A:A,Liens!C687)&gt;0,"✓ "&amp;Liens!C687,"✗ "&amp;Liens!C687&amp;" (introuvable)"))</f>
        <v>✓ maison</v>
      </c>
      <c r="E692" s="35" t="str">
        <f>IF(Liens!D687="","",IF(COUNTIF(Mots!A:A,Liens!D687)&gt;0,"✓ "&amp;Liens!D687,"✗ "&amp;Liens!D687&amp;" (introuvable)"))</f>
        <v>✓ aspirateur</v>
      </c>
      <c r="F692" s="35" t="str">
        <f>IF(Liens!E687="","",IF(COUNTIF(Mots!A:A,Liens!E687)&gt;0,"✓ "&amp;Liens!E687,"✗ "&amp;Liens!E687&amp;" (introuvable)"))</f>
        <v>✓ champ</v>
      </c>
      <c r="G692" s="35" t="str">
        <f>IF(Liens!F687="","",IF(COUNTIF(Mots!A:A,Liens!F687)&gt;0,"✓ "&amp;Liens!F687,"✗ "&amp;Liens!F687&amp;" (introuvable)"))</f>
        <v>✓ ferme</v>
      </c>
      <c r="H692" s="35" t="str">
        <f>IF(Liens!G687="","",IF(COUNTIF(Mots!A:A,Liens!G687)&gt;0,"✓ "&amp;Liens!G687,"✗ "&amp;Liens!G687&amp;" (introuvable)"))</f>
        <v>✓ route</v>
      </c>
      <c r="I692" s="35" t="str">
        <f>IF(Liens!H687="","",IF(COUNTIF(Mots!A:A,Liens!H687)&gt;0,"✓ "&amp;Liens!H687,"✗ "&amp;Liens!H687&amp;" (introuvable)"))</f>
        <v/>
      </c>
    </row>
    <row r="693" spans="1:9" x14ac:dyDescent="0.3">
      <c r="A693">
        <f t="shared" si="7"/>
        <v>688</v>
      </c>
      <c r="B693" s="35" t="str">
        <f>IF(Liens!A688="","",IF(COUNTIF(Mots!A:A,Liens!A688)&gt;0,"✓ "&amp;Liens!A688,"✗ "&amp;Liens!A688&amp;" (introuvable)"))</f>
        <v>✓ prairie</v>
      </c>
      <c r="C693" s="35" t="str">
        <f>IF(Liens!B688="","",IF(COUNTIF(Mots!A:A,Liens!B688)&gt;0,"✓ "&amp;Liens!B688,"✗ "&amp;Liens!B688&amp;" (introuvable)"))</f>
        <v>✓ herbe</v>
      </c>
      <c r="D693" s="35" t="str">
        <f>IF(Liens!C688="","",IF(COUNTIF(Mots!A:A,Liens!C688)&gt;0,"✓ "&amp;Liens!C688,"✗ "&amp;Liens!C688&amp;" (introuvable)"))</f>
        <v>✓ ferme</v>
      </c>
      <c r="E693" s="35" t="str">
        <f>IF(Liens!D688="","",IF(COUNTIF(Mots!A:A,Liens!D688)&gt;0,"✓ "&amp;Liens!D688,"✗ "&amp;Liens!D688&amp;" (introuvable)"))</f>
        <v>✓ vache</v>
      </c>
      <c r="F693" s="35" t="str">
        <f>IF(Liens!E688="","",IF(COUNTIF(Mots!A:A,Liens!E688)&gt;0,"✓ "&amp;Liens!E688,"✗ "&amp;Liens!E688&amp;" (introuvable)"))</f>
        <v>✓ mouton</v>
      </c>
      <c r="G693" s="35" t="str">
        <f>IF(Liens!F688="","",IF(COUNTIF(Mots!A:A,Liens!F688)&gt;0,"✓ "&amp;Liens!F688,"✗ "&amp;Liens!F688&amp;" (introuvable)"))</f>
        <v>✓ fleur</v>
      </c>
      <c r="H693" s="35" t="str">
        <f>IF(Liens!G688="","",IF(COUNTIF(Mots!A:A,Liens!G688)&gt;0,"✓ "&amp;Liens!G688,"✗ "&amp;Liens!G688&amp;" (introuvable)"))</f>
        <v>✓ abeille</v>
      </c>
      <c r="I693" s="35" t="str">
        <f>IF(Liens!H688="","",IF(COUNTIF(Mots!A:A,Liens!H688)&gt;0,"✓ "&amp;Liens!H688,"✗ "&amp;Liens!H688&amp;" (introuvable)"))</f>
        <v>✓ papillon</v>
      </c>
    </row>
    <row r="694" spans="1:9" x14ac:dyDescent="0.3">
      <c r="A694">
        <f t="shared" si="7"/>
        <v>689</v>
      </c>
      <c r="B694" s="35" t="str">
        <f>IF(Liens!A689="","",IF(COUNTIF(Mots!A:A,Liens!A689)&gt;0,"✓ "&amp;Liens!A689,"✗ "&amp;Liens!A689&amp;" (introuvable)"))</f>
        <v>✓ pres</v>
      </c>
      <c r="C694" s="35" t="str">
        <f>IF(Liens!B689="","",IF(COUNTIF(Mots!A:A,Liens!B689)&gt;0,"✓ "&amp;Liens!B689,"✗ "&amp;Liens!B689&amp;" (introuvable)"))</f>
        <v>✓ distance</v>
      </c>
      <c r="D694" s="35" t="str">
        <f>IF(Liens!C689="","",IF(COUNTIF(Mots!A:A,Liens!C689)&gt;0,"✓ "&amp;Liens!C689,"✗ "&amp;Liens!C689&amp;" (introuvable)"))</f>
        <v>✓ ici</v>
      </c>
      <c r="E694" s="35" t="str">
        <f>IF(Liens!D689="","",IF(COUNTIF(Mots!A:A,Liens!D689)&gt;0,"✓ "&amp;Liens!D689,"✗ "&amp;Liens!D689&amp;" (introuvable)"))</f>
        <v>✓ la</v>
      </c>
      <c r="F694" s="35" t="str">
        <f>IF(Liens!E689="","",IF(COUNTIF(Mots!A:A,Liens!E689)&gt;0,"✓ "&amp;Liens!E689,"✗ "&amp;Liens!E689&amp;" (introuvable)"))</f>
        <v>✓ ailleurs</v>
      </c>
      <c r="G694" s="35" t="str">
        <f>IF(Liens!F689="","",IF(COUNTIF(Mots!A:A,Liens!F689)&gt;0,"✓ "&amp;Liens!F689,"✗ "&amp;Liens!F689&amp;" (introuvable)"))</f>
        <v>✓ v_arriver</v>
      </c>
      <c r="H694" s="35" t="str">
        <f>IF(Liens!G689="","",IF(COUNTIF(Mots!A:A,Liens!G689)&gt;0,"✓ "&amp;Liens!G689,"✗ "&amp;Liens!G689&amp;" (introuvable)"))</f>
        <v>✓ a_proche_eloigne</v>
      </c>
      <c r="I694" s="35" t="str">
        <f>IF(Liens!H689="","",IF(COUNTIF(Mots!A:A,Liens!H689)&gt;0,"✓ "&amp;Liens!H689,"✗ "&amp;Liens!H689&amp;" (introuvable)"))</f>
        <v/>
      </c>
    </row>
    <row r="695" spans="1:9" x14ac:dyDescent="0.3">
      <c r="A695">
        <f t="shared" si="7"/>
        <v>690</v>
      </c>
      <c r="B695" s="35" t="str">
        <f>IF(Liens!A690="","",IF(COUNTIF(Mots!A:A,Liens!A690)&gt;0,"✓ "&amp;Liens!A690,"✗ "&amp;Liens!A690&amp;" (introuvable)"))</f>
        <v>✓ presque</v>
      </c>
      <c r="C695" s="35" t="str">
        <f>IF(Liens!B690="","",IF(COUNTIF(Mots!A:A,Liens!B690)&gt;0,"✓ "&amp;Liens!B690,"✗ "&amp;Liens!B690&amp;" (introuvable)"))</f>
        <v/>
      </c>
      <c r="D695" s="35" t="str">
        <f>IF(Liens!C690="","",IF(COUNTIF(Mots!A:A,Liens!C690)&gt;0,"✓ "&amp;Liens!C690,"✗ "&amp;Liens!C690&amp;" (introuvable)"))</f>
        <v/>
      </c>
      <c r="E695" s="35" t="str">
        <f>IF(Liens!D690="","",IF(COUNTIF(Mots!A:A,Liens!D690)&gt;0,"✓ "&amp;Liens!D690,"✗ "&amp;Liens!D690&amp;" (introuvable)"))</f>
        <v/>
      </c>
      <c r="F695" s="35" t="str">
        <f>IF(Liens!E690="","",IF(COUNTIF(Mots!A:A,Liens!E690)&gt;0,"✓ "&amp;Liens!E690,"✗ "&amp;Liens!E690&amp;" (introuvable)"))</f>
        <v/>
      </c>
      <c r="G695" s="35" t="str">
        <f>IF(Liens!F690="","",IF(COUNTIF(Mots!A:A,Liens!F690)&gt;0,"✓ "&amp;Liens!F690,"✗ "&amp;Liens!F690&amp;" (introuvable)"))</f>
        <v/>
      </c>
      <c r="H695" s="35" t="str">
        <f>IF(Liens!G690="","",IF(COUNTIF(Mots!A:A,Liens!G690)&gt;0,"✓ "&amp;Liens!G690,"✗ "&amp;Liens!G690&amp;" (introuvable)"))</f>
        <v/>
      </c>
      <c r="I695" s="35" t="str">
        <f>IF(Liens!H690="","",IF(COUNTIF(Mots!A:A,Liens!H690)&gt;0,"✓ "&amp;Liens!H690,"✗ "&amp;Liens!H690&amp;" (introuvable)"))</f>
        <v/>
      </c>
    </row>
    <row r="696" spans="1:9" x14ac:dyDescent="0.3">
      <c r="A696">
        <f t="shared" si="7"/>
        <v>691</v>
      </c>
      <c r="B696" s="35" t="str">
        <f>IF(Liens!A691="","",IF(COUNTIF(Mots!A:A,Liens!A691)&gt;0,"✓ "&amp;Liens!A691,"✗ "&amp;Liens!A691&amp;" (introuvable)"))</f>
        <v>✓ pret</v>
      </c>
      <c r="C696" s="35" t="str">
        <f>IF(Liens!B691="","",IF(COUNTIF(Mots!A:A,Liens!B691)&gt;0,"✓ "&amp;Liens!B691,"✗ "&amp;Liens!B691&amp;" (introuvable)"))</f>
        <v>✓ fin</v>
      </c>
      <c r="D696" s="35" t="str">
        <f>IF(Liens!C691="","",IF(COUNTIF(Mots!A:A,Liens!C691)&gt;0,"✓ "&amp;Liens!C691,"✗ "&amp;Liens!C691&amp;" (introuvable)"))</f>
        <v>✓ debut</v>
      </c>
      <c r="E696" s="35" t="str">
        <f>IF(Liens!D691="","",IF(COUNTIF(Mots!A:A,Liens!D691)&gt;0,"✓ "&amp;Liens!D691,"✗ "&amp;Liens!D691&amp;" (introuvable)"))</f>
        <v>✓ v_partir</v>
      </c>
      <c r="F696" s="35" t="str">
        <f>IF(Liens!E691="","",IF(COUNTIF(Mots!A:A,Liens!E691)&gt;0,"✓ "&amp;Liens!E691,"✗ "&amp;Liens!E691&amp;" (introuvable)"))</f>
        <v/>
      </c>
      <c r="G696" s="35" t="str">
        <f>IF(Liens!F691="","",IF(COUNTIF(Mots!A:A,Liens!F691)&gt;0,"✓ "&amp;Liens!F691,"✗ "&amp;Liens!F691&amp;" (introuvable)"))</f>
        <v/>
      </c>
      <c r="H696" s="35" t="str">
        <f>IF(Liens!G691="","",IF(COUNTIF(Mots!A:A,Liens!G691)&gt;0,"✓ "&amp;Liens!G691,"✗ "&amp;Liens!G691&amp;" (introuvable)"))</f>
        <v/>
      </c>
      <c r="I696" s="35" t="str">
        <f>IF(Liens!H691="","",IF(COUNTIF(Mots!A:A,Liens!H691)&gt;0,"✓ "&amp;Liens!H691,"✗ "&amp;Liens!H691&amp;" (introuvable)"))</f>
        <v/>
      </c>
    </row>
    <row r="697" spans="1:9" x14ac:dyDescent="0.3">
      <c r="A697">
        <f t="shared" si="7"/>
        <v>692</v>
      </c>
      <c r="B697" s="35" t="str">
        <f>IF(Liens!A692="","",IF(COUNTIF(Mots!A:A,Liens!A692)&gt;0,"✓ "&amp;Liens!A692,"✗ "&amp;Liens!A692&amp;" (introuvable)"))</f>
        <v>✓ preuve</v>
      </c>
      <c r="C697" s="35" t="str">
        <f>IF(Liens!B692="","",IF(COUNTIF(Mots!A:A,Liens!B692)&gt;0,"✓ "&amp;Liens!B692,"✗ "&amp;Liens!B692&amp;" (introuvable)"))</f>
        <v>✓ loi</v>
      </c>
      <c r="D697" s="35" t="str">
        <f>IF(Liens!C692="","",IF(COUNTIF(Mots!A:A,Liens!C692)&gt;0,"✓ "&amp;Liens!C692,"✗ "&amp;Liens!C692&amp;" (introuvable)"))</f>
        <v>✓ policier</v>
      </c>
      <c r="E697" s="35" t="str">
        <f>IF(Liens!D692="","",IF(COUNTIF(Mots!A:A,Liens!D692)&gt;0,"✓ "&amp;Liens!D692,"✗ "&amp;Liens!D692&amp;" (introuvable)"))</f>
        <v>✓ v_chercher</v>
      </c>
      <c r="F697" s="35" t="str">
        <f>IF(Liens!E692="","",IF(COUNTIF(Mots!A:A,Liens!E692)&gt;0,"✓ "&amp;Liens!E692,"✗ "&amp;Liens!E692&amp;" (introuvable)"))</f>
        <v>✓ v_trouver</v>
      </c>
      <c r="G697" s="35" t="str">
        <f>IF(Liens!F692="","",IF(COUNTIF(Mots!A:A,Liens!F692)&gt;0,"✓ "&amp;Liens!F692,"✗ "&amp;Liens!F692&amp;" (introuvable)"))</f>
        <v/>
      </c>
      <c r="H697" s="35" t="str">
        <f>IF(Liens!G692="","",IF(COUNTIF(Mots!A:A,Liens!G692)&gt;0,"✓ "&amp;Liens!G692,"✗ "&amp;Liens!G692&amp;" (introuvable)"))</f>
        <v/>
      </c>
      <c r="I697" s="35" t="str">
        <f>IF(Liens!H692="","",IF(COUNTIF(Mots!A:A,Liens!H692)&gt;0,"✓ "&amp;Liens!H692,"✗ "&amp;Liens!H692&amp;" (introuvable)"))</f>
        <v/>
      </c>
    </row>
    <row r="698" spans="1:9" x14ac:dyDescent="0.3">
      <c r="A698">
        <f t="shared" si="7"/>
        <v>693</v>
      </c>
      <c r="B698" s="35" t="str">
        <f>IF(Liens!A693="","",IF(COUNTIF(Mots!A:A,Liens!A693)&gt;0,"✓ "&amp;Liens!A693,"✗ "&amp;Liens!A693&amp;" (introuvable)"))</f>
        <v>✓ printemps</v>
      </c>
      <c r="C698" s="35" t="str">
        <f>IF(Liens!B693="","",IF(COUNTIF(Mots!A:A,Liens!B693)&gt;0,"✓ "&amp;Liens!B693,"✗ "&amp;Liens!B693&amp;" (introuvable)"))</f>
        <v>✓ annee</v>
      </c>
      <c r="D698" s="35" t="str">
        <f>IF(Liens!C693="","",IF(COUNTIF(Mots!A:A,Liens!C693)&gt;0,"✓ "&amp;Liens!C693,"✗ "&amp;Liens!C693&amp;" (introuvable)"))</f>
        <v>✓ saison</v>
      </c>
      <c r="E698" s="35" t="str">
        <f>IF(Liens!D693="","",IF(COUNTIF(Mots!A:A,Liens!D693)&gt;0,"✓ "&amp;Liens!D693,"✗ "&amp;Liens!D693&amp;" (introuvable)"))</f>
        <v>✓ fleur</v>
      </c>
      <c r="F698" s="35" t="str">
        <f>IF(Liens!E693="","",IF(COUNTIF(Mots!A:A,Liens!E693)&gt;0,"✓ "&amp;Liens!E693,"✗ "&amp;Liens!E693&amp;" (introuvable)"))</f>
        <v>✓ plante</v>
      </c>
      <c r="G698" s="35" t="str">
        <f>IF(Liens!F693="","",IF(COUNTIF(Mots!A:A,Liens!F693)&gt;0,"✓ "&amp;Liens!F693,"✗ "&amp;Liens!F693&amp;" (introuvable)"))</f>
        <v>✓ jardin</v>
      </c>
      <c r="H698" s="35" t="str">
        <f>IF(Liens!G693="","",IF(COUNTIF(Mots!A:A,Liens!G693)&gt;0,"✓ "&amp;Liens!G693,"✗ "&amp;Liens!G693&amp;" (introuvable)"))</f>
        <v>✓ jardinage</v>
      </c>
      <c r="I698" s="35" t="str">
        <f>IF(Liens!H693="","",IF(COUNTIF(Mots!A:A,Liens!H693)&gt;0,"✓ "&amp;Liens!H693,"✗ "&amp;Liens!H693&amp;" (introuvable)"))</f>
        <v>✓ ete</v>
      </c>
    </row>
    <row r="699" spans="1:9" x14ac:dyDescent="0.3">
      <c r="A699">
        <f t="shared" si="7"/>
        <v>694</v>
      </c>
      <c r="B699" s="35" t="str">
        <f>IF(Liens!A694="","",IF(COUNTIF(Mots!A:A,Liens!A694)&gt;0,"✓ "&amp;Liens!A694,"✗ "&amp;Liens!A694&amp;" (introuvable)"))</f>
        <v>✓ prise</v>
      </c>
      <c r="C699" s="35" t="str">
        <f>IF(Liens!B694="","",IF(COUNTIF(Mots!A:A,Liens!B694)&gt;0,"✓ "&amp;Liens!B694,"✗ "&amp;Liens!B694&amp;" (introuvable)"))</f>
        <v>✓ mur</v>
      </c>
      <c r="D699" s="35" t="str">
        <f>IF(Liens!C694="","",IF(COUNTIF(Mots!A:A,Liens!C694)&gt;0,"✓ "&amp;Liens!C694,"✗ "&amp;Liens!C694&amp;" (introuvable)"))</f>
        <v>✓ appareil</v>
      </c>
      <c r="E699" s="35" t="str">
        <f>IF(Liens!D694="","",IF(COUNTIF(Mots!A:A,Liens!D694)&gt;0,"✓ "&amp;Liens!D694,"✗ "&amp;Liens!D694&amp;" (introuvable)"))</f>
        <v>✓ a_electrique</v>
      </c>
      <c r="F699" s="35" t="str">
        <f>IF(Liens!E694="","",IF(COUNTIF(Mots!A:A,Liens!E694)&gt;0,"✓ "&amp;Liens!E694,"✗ "&amp;Liens!E694&amp;" (introuvable)"))</f>
        <v>✓ chargeur_phone</v>
      </c>
      <c r="G699" s="35" t="str">
        <f>IF(Liens!F694="","",IF(COUNTIF(Mots!A:A,Liens!F694)&gt;0,"✓ "&amp;Liens!F694,"✗ "&amp;Liens!F694&amp;" (introuvable)"))</f>
        <v>✓ machine_a_cafe</v>
      </c>
      <c r="H699" s="35" t="str">
        <f>IF(Liens!G694="","",IF(COUNTIF(Mots!A:A,Liens!G694)&gt;0,"✓ "&amp;Liens!G694,"✗ "&amp;Liens!G694&amp;" (introuvable)"))</f>
        <v>✓ aspirateur</v>
      </c>
      <c r="I699" s="35" t="str">
        <f>IF(Liens!H694="","",IF(COUNTIF(Mots!A:A,Liens!H694)&gt;0,"✓ "&amp;Liens!H694,"✗ "&amp;Liens!H694&amp;" (introuvable)"))</f>
        <v/>
      </c>
    </row>
    <row r="700" spans="1:9" x14ac:dyDescent="0.3">
      <c r="A700">
        <f t="shared" si="7"/>
        <v>695</v>
      </c>
      <c r="B700" s="35" t="str">
        <f>IF(Liens!A695="","",IF(COUNTIF(Mots!A:A,Liens!A695)&gt;0,"✓ "&amp;Liens!A695,"✗ "&amp;Liens!A695&amp;" (introuvable)"))</f>
        <v>✓ prix</v>
      </c>
      <c r="C700" s="35" t="str">
        <f>IF(Liens!B695="","",IF(COUNTIF(Mots!A:A,Liens!B695)&gt;0,"✓ "&amp;Liens!B695,"✗ "&amp;Liens!B695&amp;" (introuvable)"))</f>
        <v>✓ v_acheter</v>
      </c>
      <c r="D700" s="35" t="str">
        <f>IF(Liens!C695="","",IF(COUNTIF(Mots!A:A,Liens!C695)&gt;0,"✓ "&amp;Liens!C695,"✗ "&amp;Liens!C695&amp;" (introuvable)"))</f>
        <v>✓ v_payer</v>
      </c>
      <c r="E700" s="35" t="str">
        <f>IF(Liens!D695="","",IF(COUNTIF(Mots!A:A,Liens!D695)&gt;0,"✓ "&amp;Liens!D695,"✗ "&amp;Liens!D695&amp;" (introuvable)"))</f>
        <v>✓ argent</v>
      </c>
      <c r="F700" s="35" t="str">
        <f>IF(Liens!E695="","",IF(COUNTIF(Mots!A:A,Liens!E695)&gt;0,"✓ "&amp;Liens!E695,"✗ "&amp;Liens!E695&amp;" (introuvable)"))</f>
        <v>✓ carte_debit</v>
      </c>
      <c r="G700" s="35" t="str">
        <f>IF(Liens!F695="","",IF(COUNTIF(Mots!A:A,Liens!F695)&gt;0,"✓ "&amp;Liens!F695,"✗ "&amp;Liens!F695&amp;" (introuvable)"))</f>
        <v/>
      </c>
      <c r="H700" s="35" t="str">
        <f>IF(Liens!G695="","",IF(COUNTIF(Mots!A:A,Liens!G695)&gt;0,"✓ "&amp;Liens!G695,"✗ "&amp;Liens!G695&amp;" (introuvable)"))</f>
        <v/>
      </c>
      <c r="I700" s="35" t="str">
        <f>IF(Liens!H695="","",IF(COUNTIF(Mots!A:A,Liens!H695)&gt;0,"✓ "&amp;Liens!H695,"✗ "&amp;Liens!H695&amp;" (introuvable)"))</f>
        <v/>
      </c>
    </row>
    <row r="701" spans="1:9" x14ac:dyDescent="0.3">
      <c r="A701">
        <f t="shared" si="7"/>
        <v>696</v>
      </c>
      <c r="B701" s="35" t="str">
        <f>IF(Liens!A696="","",IF(COUNTIF(Mots!A:A,Liens!A696)&gt;0,"✓ "&amp;Liens!A696,"✗ "&amp;Liens!A696&amp;" (introuvable)"))</f>
        <v>✓ probleme</v>
      </c>
      <c r="C701" s="35" t="str">
        <f>IF(Liens!B696="","",IF(COUNTIF(Mots!A:A,Liens!B696)&gt;0,"✓ "&amp;Liens!B696,"✗ "&amp;Liens!B696&amp;" (introuvable)"))</f>
        <v>✓ calcul</v>
      </c>
      <c r="D701" s="35" t="str">
        <f>IF(Liens!C696="","",IF(COUNTIF(Mots!A:A,Liens!C696)&gt;0,"✓ "&amp;Liens!C696,"✗ "&amp;Liens!C696&amp;" (introuvable)"))</f>
        <v>✓ somme</v>
      </c>
      <c r="E701" s="35" t="str">
        <f>IF(Liens!D696="","",IF(COUNTIF(Mots!A:A,Liens!D696)&gt;0,"✓ "&amp;Liens!D696,"✗ "&amp;Liens!D696&amp;" (introuvable)"))</f>
        <v>✓ total</v>
      </c>
      <c r="F701" s="35" t="str">
        <f>IF(Liens!E696="","",IF(COUNTIF(Mots!A:A,Liens!E696)&gt;0,"✓ "&amp;Liens!E696,"✗ "&amp;Liens!E696&amp;" (introuvable)"))</f>
        <v>✓ v_reflechir</v>
      </c>
      <c r="G701" s="35" t="str">
        <f>IF(Liens!F696="","",IF(COUNTIF(Mots!A:A,Liens!F696)&gt;0,"✓ "&amp;Liens!F696,"✗ "&amp;Liens!F696&amp;" (introuvable)"))</f>
        <v>✓ v_penser</v>
      </c>
      <c r="H701" s="35" t="str">
        <f>IF(Liens!G696="","",IF(COUNTIF(Mots!A:A,Liens!G696)&gt;0,"✓ "&amp;Liens!G696,"✗ "&amp;Liens!G696&amp;" (introuvable)"))</f>
        <v/>
      </c>
      <c r="I701" s="35" t="str">
        <f>IF(Liens!H696="","",IF(COUNTIF(Mots!A:A,Liens!H696)&gt;0,"✓ "&amp;Liens!H696,"✗ "&amp;Liens!H696&amp;" (introuvable)"))</f>
        <v/>
      </c>
    </row>
    <row r="702" spans="1:9" x14ac:dyDescent="0.3">
      <c r="A702">
        <f t="shared" si="7"/>
        <v>697</v>
      </c>
      <c r="B702" s="35" t="str">
        <f>IF(Liens!A697="","",IF(COUNTIF(Mots!A:A,Liens!A697)&gt;0,"✓ "&amp;Liens!A697,"✗ "&amp;Liens!A697&amp;" (introuvable)"))</f>
        <v>✓ professeur</v>
      </c>
      <c r="C702" s="35" t="str">
        <f>IF(Liens!B697="","",IF(COUNTIF(Mots!A:A,Liens!B697)&gt;0,"✓ "&amp;Liens!B697,"✗ "&amp;Liens!B697&amp;" (introuvable)"))</f>
        <v>✓ personne</v>
      </c>
      <c r="D702" s="35" t="str">
        <f>IF(Liens!C697="","",IF(COUNTIF(Mots!A:A,Liens!C697)&gt;0,"✓ "&amp;Liens!C697,"✗ "&amp;Liens!C697&amp;" (introuvable)"))</f>
        <v>✓ ecole</v>
      </c>
      <c r="E702" s="35" t="str">
        <f>IF(Liens!D697="","",IF(COUNTIF(Mots!A:A,Liens!D697)&gt;0,"✓ "&amp;Liens!D697,"✗ "&amp;Liens!D697&amp;" (introuvable)"))</f>
        <v>✓ eleve</v>
      </c>
      <c r="F702" s="35" t="str">
        <f>IF(Liens!E697="","",IF(COUNTIF(Mots!A:A,Liens!E697)&gt;0,"✓ "&amp;Liens!E697,"✗ "&amp;Liens!E697&amp;" (introuvable)"))</f>
        <v>✓ v_apprendre</v>
      </c>
      <c r="G702" s="35" t="str">
        <f>IF(Liens!F697="","",IF(COUNTIF(Mots!A:A,Liens!F697)&gt;0,"✓ "&amp;Liens!F697,"✗ "&amp;Liens!F697&amp;" (introuvable)"))</f>
        <v/>
      </c>
      <c r="H702" s="35" t="str">
        <f>IF(Liens!G697="","",IF(COUNTIF(Mots!A:A,Liens!G697)&gt;0,"✓ "&amp;Liens!G697,"✗ "&amp;Liens!G697&amp;" (introuvable)"))</f>
        <v/>
      </c>
      <c r="I702" s="35" t="str">
        <f>IF(Liens!H697="","",IF(COUNTIF(Mots!A:A,Liens!H697)&gt;0,"✓ "&amp;Liens!H697,"✗ "&amp;Liens!H697&amp;" (introuvable)"))</f>
        <v/>
      </c>
    </row>
    <row r="703" spans="1:9" x14ac:dyDescent="0.3">
      <c r="A703">
        <f t="shared" si="7"/>
        <v>698</v>
      </c>
      <c r="B703" s="35" t="str">
        <f>IF(Liens!A698="","",IF(COUNTIF(Mots!A:A,Liens!A698)&gt;0,"✓ "&amp;Liens!A698,"✗ "&amp;Liens!A698&amp;" (introuvable)"))</f>
        <v>✓ promenade</v>
      </c>
      <c r="C703" s="35" t="str">
        <f>IF(Liens!B698="","",IF(COUNTIF(Mots!A:A,Liens!B698)&gt;0,"✓ "&amp;Liens!B698,"✗ "&amp;Liens!B698&amp;" (introuvable)"))</f>
        <v>✓ v_marcher</v>
      </c>
      <c r="D703" s="35" t="str">
        <f>IF(Liens!C698="","",IF(COUNTIF(Mots!A:A,Liens!C698)&gt;0,"✓ "&amp;Liens!C698,"✗ "&amp;Liens!C698&amp;" (introuvable)"))</f>
        <v>✓ randonnee</v>
      </c>
      <c r="E703" s="35" t="str">
        <f>IF(Liens!D698="","",IF(COUNTIF(Mots!A:A,Liens!D698)&gt;0,"✓ "&amp;Liens!D698,"✗ "&amp;Liens!D698&amp;" (introuvable)"))</f>
        <v>✓ chemin</v>
      </c>
      <c r="F703" s="35" t="str">
        <f>IF(Liens!E698="","",IF(COUNTIF(Mots!A:A,Liens!E698)&gt;0,"✓ "&amp;Liens!E698,"✗ "&amp;Liens!E698&amp;" (introuvable)"))</f>
        <v>✓ pied</v>
      </c>
      <c r="G703" s="35" t="str">
        <f>IF(Liens!F698="","",IF(COUNTIF(Mots!A:A,Liens!F698)&gt;0,"✓ "&amp;Liens!F698,"✗ "&amp;Liens!F698&amp;" (introuvable)"))</f>
        <v>✓ lac</v>
      </c>
      <c r="H703" s="35" t="str">
        <f>IF(Liens!G698="","",IF(COUNTIF(Mots!A:A,Liens!G698)&gt;0,"✓ "&amp;Liens!G698,"✗ "&amp;Liens!G698&amp;" (introuvable)"))</f>
        <v/>
      </c>
      <c r="I703" s="35" t="str">
        <f>IF(Liens!H698="","",IF(COUNTIF(Mots!A:A,Liens!H698)&gt;0,"✓ "&amp;Liens!H698,"✗ "&amp;Liens!H698&amp;" (introuvable)"))</f>
        <v/>
      </c>
    </row>
    <row r="704" spans="1:9" x14ac:dyDescent="0.3">
      <c r="A704">
        <f t="shared" si="7"/>
        <v>699</v>
      </c>
      <c r="B704" s="35" t="str">
        <f>IF(Liens!A699="","",IF(COUNTIF(Mots!A:A,Liens!A699)&gt;0,"✓ "&amp;Liens!A699,"✗ "&amp;Liens!A699&amp;" (introuvable)"))</f>
        <v>✓ promesse</v>
      </c>
      <c r="C704" s="35" t="str">
        <f>IF(Liens!B699="","",IF(COUNTIF(Mots!A:A,Liens!B699)&gt;0,"✓ "&amp;Liens!B699,"✗ "&amp;Liens!B699&amp;" (introuvable)"))</f>
        <v>✓ confiance</v>
      </c>
      <c r="D704" s="35" t="str">
        <f>IF(Liens!C699="","",IF(COUNTIF(Mots!A:A,Liens!C699)&gt;0,"✓ "&amp;Liens!C699,"✗ "&amp;Liens!C699&amp;" (introuvable)"))</f>
        <v>✓ mari_et_femme</v>
      </c>
      <c r="E704" s="35" t="str">
        <f>IF(Liens!D699="","",IF(COUNTIF(Mots!A:A,Liens!D699)&gt;0,"✓ "&amp;Liens!D699,"✗ "&amp;Liens!D699&amp;" (introuvable)"))</f>
        <v/>
      </c>
      <c r="F704" s="35" t="str">
        <f>IF(Liens!E699="","",IF(COUNTIF(Mots!A:A,Liens!E699)&gt;0,"✓ "&amp;Liens!E699,"✗ "&amp;Liens!E699&amp;" (introuvable)"))</f>
        <v/>
      </c>
      <c r="G704" s="35" t="str">
        <f>IF(Liens!F699="","",IF(COUNTIF(Mots!A:A,Liens!F699)&gt;0,"✓ "&amp;Liens!F699,"✗ "&amp;Liens!F699&amp;" (introuvable)"))</f>
        <v/>
      </c>
      <c r="H704" s="35" t="str">
        <f>IF(Liens!G699="","",IF(COUNTIF(Mots!A:A,Liens!G699)&gt;0,"✓ "&amp;Liens!G699,"✗ "&amp;Liens!G699&amp;" (introuvable)"))</f>
        <v/>
      </c>
      <c r="I704" s="35" t="str">
        <f>IF(Liens!H699="","",IF(COUNTIF(Mots!A:A,Liens!H699)&gt;0,"✓ "&amp;Liens!H699,"✗ "&amp;Liens!H699&amp;" (introuvable)"))</f>
        <v/>
      </c>
    </row>
    <row r="705" spans="1:9" x14ac:dyDescent="0.3">
      <c r="A705">
        <f t="shared" si="7"/>
        <v>700</v>
      </c>
      <c r="B705" s="35" t="str">
        <f>IF(Liens!A700="","",IF(COUNTIF(Mots!A:A,Liens!A700)&gt;0,"✓ "&amp;Liens!A700,"✗ "&amp;Liens!A700&amp;" (introuvable)"))</f>
        <v>✓ protection</v>
      </c>
      <c r="C705" s="35" t="str">
        <f>IF(Liens!B700="","",IF(COUNTIF(Mots!A:A,Liens!B700)&gt;0,"✓ "&amp;Liens!B700,"✗ "&amp;Liens!B700&amp;" (introuvable)"))</f>
        <v>✓ danger</v>
      </c>
      <c r="D705" s="35" t="str">
        <f>IF(Liens!C700="","",IF(COUNTIF(Mots!A:A,Liens!C700)&gt;0,"✓ "&amp;Liens!C700,"✗ "&amp;Liens!C700&amp;" (introuvable)"))</f>
        <v>✓ pierre</v>
      </c>
      <c r="E705" s="35" t="str">
        <f>IF(Liens!D700="","",IF(COUNTIF(Mots!A:A,Liens!D700)&gt;0,"✓ "&amp;Liens!D700,"✗ "&amp;Liens!D700&amp;" (introuvable)"))</f>
        <v>✓ neige</v>
      </c>
      <c r="F705" s="35" t="str">
        <f>IF(Liens!E700="","",IF(COUNTIF(Mots!A:A,Liens!E700)&gt;0,"✓ "&amp;Liens!E700,"✗ "&amp;Liens!E700&amp;" (introuvable)"))</f>
        <v>✓ eau</v>
      </c>
      <c r="G705" s="35" t="str">
        <f>IF(Liens!F700="","",IF(COUNTIF(Mots!A:A,Liens!F700)&gt;0,"✓ "&amp;Liens!F700,"✗ "&amp;Liens!F700&amp;" (introuvable)"))</f>
        <v>✓ nature</v>
      </c>
      <c r="H705" s="35" t="str">
        <f>IF(Liens!G700="","",IF(COUNTIF(Mots!A:A,Liens!G700)&gt;0,"✓ "&amp;Liens!G700,"✗ "&amp;Liens!G700&amp;" (introuvable)"))</f>
        <v/>
      </c>
      <c r="I705" s="35" t="str">
        <f>IF(Liens!H700="","",IF(COUNTIF(Mots!A:A,Liens!H700)&gt;0,"✓ "&amp;Liens!H700,"✗ "&amp;Liens!H700&amp;" (introuvable)"))</f>
        <v/>
      </c>
    </row>
    <row r="706" spans="1:9" x14ac:dyDescent="0.3">
      <c r="A706">
        <f t="shared" si="7"/>
        <v>701</v>
      </c>
      <c r="B706" s="35" t="str">
        <f>IF(Liens!A701="","",IF(COUNTIF(Mots!A:A,Liens!A701)&gt;0,"✓ "&amp;Liens!A701,"✗ "&amp;Liens!A701&amp;" (introuvable)"))</f>
        <v>✓ public</v>
      </c>
      <c r="C706" s="35" t="str">
        <f>IF(Liens!B701="","",IF(COUNTIF(Mots!A:A,Liens!B701)&gt;0,"✓ "&amp;Liens!B701,"✗ "&amp;Liens!B701&amp;" (introuvable)"))</f>
        <v>✓ concert</v>
      </c>
      <c r="D706" s="35" t="str">
        <f>IF(Liens!C701="","",IF(COUNTIF(Mots!A:A,Liens!C701)&gt;0,"✓ "&amp;Liens!C701,"✗ "&amp;Liens!C701&amp;" (introuvable)"))</f>
        <v>✓ spectacle</v>
      </c>
      <c r="E706" s="35" t="str">
        <f>IF(Liens!D701="","",IF(COUNTIF(Mots!A:A,Liens!D701)&gt;0,"✓ "&amp;Liens!D701,"✗ "&amp;Liens!D701&amp;" (introuvable)"))</f>
        <v>✓ gens</v>
      </c>
      <c r="F706" s="35" t="str">
        <f>IF(Liens!E701="","",IF(COUNTIF(Mots!A:A,Liens!E701)&gt;0,"✓ "&amp;Liens!E701,"✗ "&amp;Liens!E701&amp;" (introuvable)"))</f>
        <v>✓ foule</v>
      </c>
      <c r="G706" s="35" t="str">
        <f>IF(Liens!F701="","",IF(COUNTIF(Mots!A:A,Liens!F701)&gt;0,"✓ "&amp;Liens!F701,"✗ "&amp;Liens!F701&amp;" (introuvable)"))</f>
        <v>✓ a_nombreux</v>
      </c>
      <c r="H706" s="35" t="str">
        <f>IF(Liens!G701="","",IF(COUNTIF(Mots!A:A,Liens!G701)&gt;0,"✓ "&amp;Liens!G701,"✗ "&amp;Liens!G701&amp;" (introuvable)"))</f>
        <v>✓ scene</v>
      </c>
      <c r="I706" s="35" t="str">
        <f>IF(Liens!H701="","",IF(COUNTIF(Mots!A:A,Liens!H701)&gt;0,"✓ "&amp;Liens!H701,"✗ "&amp;Liens!H701&amp;" (introuvable)"))</f>
        <v>✓ chaise</v>
      </c>
    </row>
    <row r="707" spans="1:9" x14ac:dyDescent="0.3">
      <c r="A707">
        <f t="shared" si="7"/>
        <v>702</v>
      </c>
      <c r="B707" s="35" t="str">
        <f>IF(Liens!A702="","",IF(COUNTIF(Mots!A:A,Liens!A702)&gt;0,"✓ "&amp;Liens!A702,"✗ "&amp;Liens!A702&amp;" (introuvable)"))</f>
        <v>✓ puzzle</v>
      </c>
      <c r="C707" s="35" t="str">
        <f>IF(Liens!B702="","",IF(COUNTIF(Mots!A:A,Liens!B702)&gt;0,"✓ "&amp;Liens!B702,"✗ "&amp;Liens!B702&amp;" (introuvable)"))</f>
        <v>✓ jeu</v>
      </c>
      <c r="D707" s="35" t="str">
        <f>IF(Liens!C702="","",IF(COUNTIF(Mots!A:A,Liens!C702)&gt;0,"✓ "&amp;Liens!C702,"✗ "&amp;Liens!C702&amp;" (introuvable)"))</f>
        <v>✓ partie</v>
      </c>
      <c r="E707" s="35" t="str">
        <f>IF(Liens!D702="","",IF(COUNTIF(Mots!A:A,Liens!D702)&gt;0,"✓ "&amp;Liens!D702,"✗ "&amp;Liens!D702&amp;" (introuvable)"))</f>
        <v>✓ image</v>
      </c>
      <c r="F707" s="35" t="str">
        <f>IF(Liens!E702="","",IF(COUNTIF(Mots!A:A,Liens!E702)&gt;0,"✓ "&amp;Liens!E702,"✗ "&amp;Liens!E702&amp;" (introuvable)"))</f>
        <v/>
      </c>
      <c r="G707" s="35" t="str">
        <f>IF(Liens!F702="","",IF(COUNTIF(Mots!A:A,Liens!F702)&gt;0,"✓ "&amp;Liens!F702,"✗ "&amp;Liens!F702&amp;" (introuvable)"))</f>
        <v/>
      </c>
      <c r="H707" s="35" t="str">
        <f>IF(Liens!G702="","",IF(COUNTIF(Mots!A:A,Liens!G702)&gt;0,"✓ "&amp;Liens!G702,"✗ "&amp;Liens!G702&amp;" (introuvable)"))</f>
        <v/>
      </c>
      <c r="I707" s="35" t="str">
        <f>IF(Liens!H702="","",IF(COUNTIF(Mots!A:A,Liens!H702)&gt;0,"✓ "&amp;Liens!H702,"✗ "&amp;Liens!H702&amp;" (introuvable)"))</f>
        <v/>
      </c>
    </row>
    <row r="708" spans="1:9" x14ac:dyDescent="0.3">
      <c r="A708">
        <f t="shared" si="7"/>
        <v>703</v>
      </c>
      <c r="B708" s="35" t="str">
        <f>IF(Liens!A703="","",IF(COUNTIF(Mots!A:A,Liens!A703)&gt;0,"✓ "&amp;Liens!A703,"✗ "&amp;Liens!A703&amp;" (introuvable)"))</f>
        <v>✓ qualite</v>
      </c>
      <c r="C708" s="35" t="str">
        <f>IF(Liens!B703="","",IF(COUNTIF(Mots!A:A,Liens!B703)&gt;0,"✓ "&amp;Liens!B703,"✗ "&amp;Liens!B703&amp;" (introuvable)"))</f>
        <v>✓ gentillesse</v>
      </c>
      <c r="D708" s="35" t="str">
        <f>IF(Liens!C703="","",IF(COUNTIF(Mots!A:A,Liens!C703)&gt;0,"✓ "&amp;Liens!C703,"✗ "&amp;Liens!C703&amp;" (introuvable)"))</f>
        <v>✓ confiance</v>
      </c>
      <c r="E708" s="35" t="str">
        <f>IF(Liens!D703="","",IF(COUNTIF(Mots!A:A,Liens!D703)&gt;0,"✓ "&amp;Liens!D703,"✗ "&amp;Liens!D703&amp;" (introuvable)"))</f>
        <v>✓ politesse</v>
      </c>
      <c r="F708" s="35" t="str">
        <f>IF(Liens!E703="","",IF(COUNTIF(Mots!A:A,Liens!E703)&gt;0,"✓ "&amp;Liens!E703,"✗ "&amp;Liens!E703&amp;" (introuvable)"))</f>
        <v>✓ a_intelligent_bete</v>
      </c>
      <c r="G708" s="35" t="str">
        <f>IF(Liens!F703="","",IF(COUNTIF(Mots!A:A,Liens!F703)&gt;0,"✓ "&amp;Liens!F703,"✗ "&amp;Liens!F703&amp;" (introuvable)"))</f>
        <v>✓ respect</v>
      </c>
      <c r="H708" s="35" t="str">
        <f>IF(Liens!G703="","",IF(COUNTIF(Mots!A:A,Liens!G703)&gt;0,"✓ "&amp;Liens!G703,"✗ "&amp;Liens!G703&amp;" (introuvable)"))</f>
        <v/>
      </c>
      <c r="I708" s="35" t="str">
        <f>IF(Liens!H703="","",IF(COUNTIF(Mots!A:A,Liens!H703)&gt;0,"✓ "&amp;Liens!H703,"✗ "&amp;Liens!H703&amp;" (introuvable)"))</f>
        <v/>
      </c>
    </row>
    <row r="709" spans="1:9" x14ac:dyDescent="0.3">
      <c r="A709">
        <f t="shared" si="7"/>
        <v>704</v>
      </c>
      <c r="B709" s="35" t="str">
        <f>IF(Liens!A704="","",IF(COUNTIF(Mots!A:A,Liens!A704)&gt;0,"✓ "&amp;Liens!A704,"✗ "&amp;Liens!A704&amp;" (introuvable)"))</f>
        <v>✓ quantite</v>
      </c>
      <c r="C709" s="35" t="str">
        <f>IF(Liens!B704="","",IF(COUNTIF(Mots!A:A,Liens!B704)&gt;0,"✓ "&amp;Liens!B704,"✗ "&amp;Liens!B704&amp;" (introuvable)"))</f>
        <v>✓ nombre</v>
      </c>
      <c r="D709" s="35" t="str">
        <f>IF(Liens!C704="","",IF(COUNTIF(Mots!A:A,Liens!C704)&gt;0,"✓ "&amp;Liens!C704,"✗ "&amp;Liens!C704&amp;" (introuvable)"))</f>
        <v>✓ v_compter</v>
      </c>
      <c r="E709" s="35" t="str">
        <f>IF(Liens!D704="","",IF(COUNTIF(Mots!A:A,Liens!D704)&gt;0,"✓ "&amp;Liens!D704,"✗ "&amp;Liens!D704&amp;" (introuvable)"))</f>
        <v/>
      </c>
      <c r="F709" s="35" t="str">
        <f>IF(Liens!E704="","",IF(COUNTIF(Mots!A:A,Liens!E704)&gt;0,"✓ "&amp;Liens!E704,"✗ "&amp;Liens!E704&amp;" (introuvable)"))</f>
        <v/>
      </c>
      <c r="G709" s="35" t="str">
        <f>IF(Liens!F704="","",IF(COUNTIF(Mots!A:A,Liens!F704)&gt;0,"✓ "&amp;Liens!F704,"✗ "&amp;Liens!F704&amp;" (introuvable)"))</f>
        <v/>
      </c>
      <c r="H709" s="35" t="str">
        <f>IF(Liens!G704="","",IF(COUNTIF(Mots!A:A,Liens!G704)&gt;0,"✓ "&amp;Liens!G704,"✗ "&amp;Liens!G704&amp;" (introuvable)"))</f>
        <v/>
      </c>
      <c r="I709" s="35" t="str">
        <f>IF(Liens!H704="","",IF(COUNTIF(Mots!A:A,Liens!H704)&gt;0,"✓ "&amp;Liens!H704,"✗ "&amp;Liens!H704&amp;" (introuvable)"))</f>
        <v/>
      </c>
    </row>
    <row r="710" spans="1:9" x14ac:dyDescent="0.3">
      <c r="A710">
        <f t="shared" si="7"/>
        <v>705</v>
      </c>
      <c r="B710" s="35" t="str">
        <f>IF(Liens!A705="","",IF(COUNTIF(Mots!A:A,Liens!A705)&gt;0,"✓ "&amp;Liens!A705,"✗ "&amp;Liens!A705&amp;" (introuvable)"))</f>
        <v>✓ quartier</v>
      </c>
      <c r="C710" s="35" t="str">
        <f>IF(Liens!B705="","",IF(COUNTIF(Mots!A:A,Liens!B705)&gt;0,"✓ "&amp;Liens!B705,"✗ "&amp;Liens!B705&amp;" (introuvable)"))</f>
        <v>✓ ville</v>
      </c>
      <c r="D710" s="35" t="str">
        <f>IF(Liens!C705="","",IF(COUNTIF(Mots!A:A,Liens!C705)&gt;0,"✓ "&amp;Liens!C705,"✗ "&amp;Liens!C705&amp;" (introuvable)"))</f>
        <v>✓ partie</v>
      </c>
      <c r="E710" s="35" t="str">
        <f>IF(Liens!D705="","",IF(COUNTIF(Mots!A:A,Liens!D705)&gt;0,"✓ "&amp;Liens!D705,"✗ "&amp;Liens!D705&amp;" (introuvable)"))</f>
        <v/>
      </c>
      <c r="F710" s="35" t="str">
        <f>IF(Liens!E705="","",IF(COUNTIF(Mots!A:A,Liens!E705)&gt;0,"✓ "&amp;Liens!E705,"✗ "&amp;Liens!E705&amp;" (introuvable)"))</f>
        <v/>
      </c>
      <c r="G710" s="35" t="str">
        <f>IF(Liens!F705="","",IF(COUNTIF(Mots!A:A,Liens!F705)&gt;0,"✓ "&amp;Liens!F705,"✗ "&amp;Liens!F705&amp;" (introuvable)"))</f>
        <v/>
      </c>
      <c r="H710" s="35" t="str">
        <f>IF(Liens!G705="","",IF(COUNTIF(Mots!A:A,Liens!G705)&gt;0,"✓ "&amp;Liens!G705,"✗ "&amp;Liens!G705&amp;" (introuvable)"))</f>
        <v/>
      </c>
      <c r="I710" s="35" t="str">
        <f>IF(Liens!H705="","",IF(COUNTIF(Mots!A:A,Liens!H705)&gt;0,"✓ "&amp;Liens!H705,"✗ "&amp;Liens!H705&amp;" (introuvable)"))</f>
        <v/>
      </c>
    </row>
    <row r="711" spans="1:9" x14ac:dyDescent="0.3">
      <c r="A711">
        <f t="shared" si="7"/>
        <v>706</v>
      </c>
      <c r="B711" s="35" t="str">
        <f>IF(Liens!A706="","",IF(COUNTIF(Mots!A:A,Liens!A706)&gt;0,"✓ "&amp;Liens!A706,"✗ "&amp;Liens!A706&amp;" (introuvable)"))</f>
        <v>✓ question</v>
      </c>
      <c r="C711" s="35" t="str">
        <f>IF(Liens!B706="","",IF(COUNTIF(Mots!A:A,Liens!B706)&gt;0,"✓ "&amp;Liens!B706,"✗ "&amp;Liens!B706&amp;" (introuvable)"))</f>
        <v>✓ ecole</v>
      </c>
      <c r="D711" s="35" t="str">
        <f>IF(Liens!C706="","",IF(COUNTIF(Mots!A:A,Liens!C706)&gt;0,"✓ "&amp;Liens!C706,"✗ "&amp;Liens!C706&amp;" (introuvable)"))</f>
        <v>✓ main</v>
      </c>
      <c r="E711" s="35" t="str">
        <f>IF(Liens!D706="","",IF(COUNTIF(Mots!A:A,Liens!D706)&gt;0,"✓ "&amp;Liens!D706,"✗ "&amp;Liens!D706&amp;" (introuvable)"))</f>
        <v>✓ v_lever</v>
      </c>
      <c r="F711" s="35" t="str">
        <f>IF(Liens!E706="","",IF(COUNTIF(Mots!A:A,Liens!E706)&gt;0,"✓ "&amp;Liens!E706,"✗ "&amp;Liens!E706&amp;" (introuvable)"))</f>
        <v>✓ v_parler</v>
      </c>
      <c r="G711" s="35" t="str">
        <f>IF(Liens!F706="","",IF(COUNTIF(Mots!A:A,Liens!F706)&gt;0,"✓ "&amp;Liens!F706,"✗ "&amp;Liens!F706&amp;" (introuvable)"))</f>
        <v>✓ reponse</v>
      </c>
      <c r="H711" s="35" t="str">
        <f>IF(Liens!G706="","",IF(COUNTIF(Mots!A:A,Liens!G706)&gt;0,"✓ "&amp;Liens!G706,"✗ "&amp;Liens!G706&amp;" (introuvable)"))</f>
        <v/>
      </c>
      <c r="I711" s="35" t="str">
        <f>IF(Liens!H706="","",IF(COUNTIF(Mots!A:A,Liens!H706)&gt;0,"✓ "&amp;Liens!H706,"✗ "&amp;Liens!H706&amp;" (introuvable)"))</f>
        <v/>
      </c>
    </row>
    <row r="712" spans="1:9" x14ac:dyDescent="0.3">
      <c r="A712">
        <f t="shared" si="7"/>
        <v>707</v>
      </c>
      <c r="B712" s="35" t="str">
        <f>IF(Liens!A707="","",IF(COUNTIF(Mots!A:A,Liens!A707)&gt;0,"✓ "&amp;Liens!A707,"✗ "&amp;Liens!A707&amp;" (introuvable)"))</f>
        <v>✓ queue</v>
      </c>
      <c r="C712" s="35" t="str">
        <f>IF(Liens!B707="","",IF(COUNTIF(Mots!A:A,Liens!B707)&gt;0,"✓ "&amp;Liens!B707,"✗ "&amp;Liens!B707&amp;" (introuvable)"))</f>
        <v>✓ animal</v>
      </c>
      <c r="D712" s="35" t="str">
        <f>IF(Liens!C707="","",IF(COUNTIF(Mots!A:A,Liens!C707)&gt;0,"✓ "&amp;Liens!C707,"✗ "&amp;Liens!C707&amp;" (introuvable)"))</f>
        <v>✓ chat</v>
      </c>
      <c r="E712" s="35" t="str">
        <f>IF(Liens!D707="","",IF(COUNTIF(Mots!A:A,Liens!D707)&gt;0,"✓ "&amp;Liens!D707,"✗ "&amp;Liens!D707&amp;" (introuvable)"))</f>
        <v>✓ chien</v>
      </c>
      <c r="F712" s="35" t="str">
        <f>IF(Liens!E707="","",IF(COUNTIF(Mots!A:A,Liens!E707)&gt;0,"✓ "&amp;Liens!E707,"✗ "&amp;Liens!E707&amp;" (introuvable)"))</f>
        <v>✓ souris</v>
      </c>
      <c r="G712" s="35" t="str">
        <f>IF(Liens!F707="","",IF(COUNTIF(Mots!A:A,Liens!F707)&gt;0,"✓ "&amp;Liens!F707,"✗ "&amp;Liens!F707&amp;" (introuvable)"))</f>
        <v>✓ cheval</v>
      </c>
      <c r="H712" s="35" t="str">
        <f>IF(Liens!G707="","",IF(COUNTIF(Mots!A:A,Liens!G707)&gt;0,"✓ "&amp;Liens!G707,"✗ "&amp;Liens!G707&amp;" (introuvable)"))</f>
        <v>✓ lion</v>
      </c>
      <c r="I712" s="35" t="str">
        <f>IF(Liens!H707="","",IF(COUNTIF(Mots!A:A,Liens!H707)&gt;0,"✓ "&amp;Liens!H707,"✗ "&amp;Liens!H707&amp;" (introuvable)"))</f>
        <v>✓ leopard</v>
      </c>
    </row>
    <row r="713" spans="1:9" x14ac:dyDescent="0.3">
      <c r="A713">
        <f t="shared" si="7"/>
        <v>708</v>
      </c>
      <c r="B713" s="35" t="str">
        <f>IF(Liens!A708="","",IF(COUNTIF(Mots!A:A,Liens!A708)&gt;0,"✓ "&amp;Liens!A708,"✗ "&amp;Liens!A708&amp;" (introuvable)"))</f>
        <v>✓ racine</v>
      </c>
      <c r="C713" s="35" t="str">
        <f>IF(Liens!B708="","",IF(COUNTIF(Mots!A:A,Liens!B708)&gt;0,"✓ "&amp;Liens!B708,"✗ "&amp;Liens!B708&amp;" (introuvable)"))</f>
        <v>✓ plante</v>
      </c>
      <c r="D713" s="35" t="str">
        <f>IF(Liens!C708="","",IF(COUNTIF(Mots!A:A,Liens!C708)&gt;0,"✓ "&amp;Liens!C708,"✗ "&amp;Liens!C708&amp;" (introuvable)"))</f>
        <v>✓ e_terre</v>
      </c>
      <c r="E713" s="35" t="str">
        <f>IF(Liens!D708="","",IF(COUNTIF(Mots!A:A,Liens!D708)&gt;0,"✓ "&amp;Liens!D708,"✗ "&amp;Liens!D708&amp;" (introuvable)"))</f>
        <v>✓ eau</v>
      </c>
      <c r="F713" s="35" t="str">
        <f>IF(Liens!E708="","",IF(COUNTIF(Mots!A:A,Liens!E708)&gt;0,"✓ "&amp;Liens!E708,"✗ "&amp;Liens!E708&amp;" (introuvable)"))</f>
        <v>✓ jardin</v>
      </c>
      <c r="G713" s="35" t="str">
        <f>IF(Liens!F708="","",IF(COUNTIF(Mots!A:A,Liens!F708)&gt;0,"✓ "&amp;Liens!F708,"✗ "&amp;Liens!F708&amp;" (introuvable)"))</f>
        <v>✓ jardinage</v>
      </c>
      <c r="H713" s="35" t="str">
        <f>IF(Liens!G708="","",IF(COUNTIF(Mots!A:A,Liens!G708)&gt;0,"✓ "&amp;Liens!G708,"✗ "&amp;Liens!G708&amp;" (introuvable)"))</f>
        <v/>
      </c>
      <c r="I713" s="35" t="str">
        <f>IF(Liens!H708="","",IF(COUNTIF(Mots!A:A,Liens!H708)&gt;0,"✓ "&amp;Liens!H708,"✗ "&amp;Liens!H708&amp;" (introuvable)"))</f>
        <v/>
      </c>
    </row>
    <row r="714" spans="1:9" x14ac:dyDescent="0.3">
      <c r="A714">
        <f t="shared" si="7"/>
        <v>709</v>
      </c>
      <c r="B714" s="35" t="str">
        <f>IF(Liens!A709="","",IF(COUNTIF(Mots!A:A,Liens!A709)&gt;0,"✓ "&amp;Liens!A709,"✗ "&amp;Liens!A709&amp;" (introuvable)"))</f>
        <v>✓ raisin</v>
      </c>
      <c r="C714" s="35" t="str">
        <f>IF(Liens!B709="","",IF(COUNTIF(Mots!A:A,Liens!B709)&gt;0,"✓ "&amp;Liens!B709,"✗ "&amp;Liens!B709&amp;" (introuvable)"))</f>
        <v>✓ fruit</v>
      </c>
      <c r="D714" s="35" t="str">
        <f>IF(Liens!C709="","",IF(COUNTIF(Mots!A:A,Liens!C709)&gt;0,"✓ "&amp;Liens!C709,"✗ "&amp;Liens!C709&amp;" (introuvable)"))</f>
        <v>✓ vigne</v>
      </c>
      <c r="E714" s="35" t="str">
        <f>IF(Liens!D709="","",IF(COUNTIF(Mots!A:A,Liens!D709)&gt;0,"✓ "&amp;Liens!D709,"✗ "&amp;Liens!D709&amp;" (introuvable)"))</f>
        <v>✓ verre_de_vin_rouge</v>
      </c>
      <c r="F714" s="35" t="str">
        <f>IF(Liens!E709="","",IF(COUNTIF(Mots!A:A,Liens!E709)&gt;0,"✓ "&amp;Liens!E709,"✗ "&amp;Liens!E709&amp;" (introuvable)"))</f>
        <v>✓ verre_de_vin_blanc</v>
      </c>
      <c r="G714" s="35" t="str">
        <f>IF(Liens!F709="","",IF(COUNTIF(Mots!A:A,Liens!F709)&gt;0,"✓ "&amp;Liens!F709,"✗ "&amp;Liens!F709&amp;" (introuvable)"))</f>
        <v>✓ v_manger</v>
      </c>
      <c r="H714" s="35" t="str">
        <f>IF(Liens!G709="","",IF(COUNTIF(Mots!A:A,Liens!G709)&gt;0,"✓ "&amp;Liens!G709,"✗ "&amp;Liens!G709&amp;" (introuvable)"))</f>
        <v>✓ v_boire</v>
      </c>
      <c r="I714" s="35" t="str">
        <f>IF(Liens!H709="","",IF(COUNTIF(Mots!A:A,Liens!H709)&gt;0,"✓ "&amp;Liens!H709,"✗ "&amp;Liens!H709&amp;" (introuvable)"))</f>
        <v/>
      </c>
    </row>
    <row r="715" spans="1:9" x14ac:dyDescent="0.3">
      <c r="A715">
        <f t="shared" si="7"/>
        <v>710</v>
      </c>
      <c r="B715" s="35" t="str">
        <f>IF(Liens!A710="","",IF(COUNTIF(Mots!A:A,Liens!A710)&gt;0,"✓ "&amp;Liens!A710,"✗ "&amp;Liens!A710&amp;" (introuvable)"))</f>
        <v>✓ randonnee</v>
      </c>
      <c r="C715" s="35" t="str">
        <f>IF(Liens!B710="","",IF(COUNTIF(Mots!A:A,Liens!B710)&gt;0,"✓ "&amp;Liens!B710,"✗ "&amp;Liens!B710&amp;" (introuvable)"))</f>
        <v>✓ promenade</v>
      </c>
      <c r="D715" s="35" t="str">
        <f>IF(Liens!C710="","",IF(COUNTIF(Mots!A:A,Liens!C710)&gt;0,"✓ "&amp;Liens!C710,"✗ "&amp;Liens!C710&amp;" (introuvable)"))</f>
        <v>✓ nature</v>
      </c>
      <c r="E715" s="35" t="str">
        <f>IF(Liens!D710="","",IF(COUNTIF(Mots!A:A,Liens!D710)&gt;0,"✓ "&amp;Liens!D710,"✗ "&amp;Liens!D710&amp;" (introuvable)"))</f>
        <v>✓ v_marcher</v>
      </c>
      <c r="F715" s="35" t="str">
        <f>IF(Liens!E710="","",IF(COUNTIF(Mots!A:A,Liens!E710)&gt;0,"✓ "&amp;Liens!E710,"✗ "&amp;Liens!E710&amp;" (introuvable)"))</f>
        <v>✓ sac_a_dos</v>
      </c>
      <c r="G715" s="35" t="str">
        <f>IF(Liens!F710="","",IF(COUNTIF(Mots!A:A,Liens!F710)&gt;0,"✓ "&amp;Liens!F710,"✗ "&amp;Liens!F710&amp;" (introuvable)"))</f>
        <v>✓ batons</v>
      </c>
      <c r="H715" s="35" t="str">
        <f>IF(Liens!G710="","",IF(COUNTIF(Mots!A:A,Liens!G710)&gt;0,"✓ "&amp;Liens!G710,"✗ "&amp;Liens!G710&amp;" (introuvable)"))</f>
        <v>✓ gourde</v>
      </c>
      <c r="I715" s="35" t="str">
        <f>IF(Liens!H710="","",IF(COUNTIF(Mots!A:A,Liens!H710)&gt;0,"✓ "&amp;Liens!H710,"✗ "&amp;Liens!H710&amp;" (introuvable)"))</f>
        <v/>
      </c>
    </row>
    <row r="716" spans="1:9" x14ac:dyDescent="0.3">
      <c r="A716">
        <f t="shared" si="7"/>
        <v>711</v>
      </c>
      <c r="B716" s="35" t="str">
        <f>IF(Liens!A711="","",IF(COUNTIF(Mots!A:A,Liens!A711)&gt;0,"✓ "&amp;Liens!A711,"✗ "&amp;Liens!A711&amp;" (introuvable)"))</f>
        <v>✓ rapidite</v>
      </c>
      <c r="C716" s="35" t="str">
        <f>IF(Liens!B711="","",IF(COUNTIF(Mots!A:A,Liens!B711)&gt;0,"✓ "&amp;Liens!B711,"✗ "&amp;Liens!B711&amp;" (introuvable)"))</f>
        <v>✓ vitesse</v>
      </c>
      <c r="D716" s="35" t="str">
        <f>IF(Liens!C711="","",IF(COUNTIF(Mots!A:A,Liens!C711)&gt;0,"✓ "&amp;Liens!C711,"✗ "&amp;Liens!C711&amp;" (introuvable)"))</f>
        <v>✓ a_vite</v>
      </c>
      <c r="E716" s="35" t="str">
        <f>IF(Liens!D711="","",IF(COUNTIF(Mots!A:A,Liens!D711)&gt;0,"✓ "&amp;Liens!D711,"✗ "&amp;Liens!D711&amp;" (introuvable)"))</f>
        <v>✓ a_rapide_lent</v>
      </c>
      <c r="F716" s="35" t="str">
        <f>IF(Liens!E711="","",IF(COUNTIF(Mots!A:A,Liens!E711)&gt;0,"✓ "&amp;Liens!E711,"✗ "&amp;Liens!E711&amp;" (introuvable)"))</f>
        <v>✓ v_courir</v>
      </c>
      <c r="G716" s="35" t="str">
        <f>IF(Liens!F711="","",IF(COUNTIF(Mots!A:A,Liens!F711)&gt;0,"✓ "&amp;Liens!F711,"✗ "&amp;Liens!F711&amp;" (introuvable)"))</f>
        <v>✓ v_skier</v>
      </c>
      <c r="H716" s="35" t="str">
        <f>IF(Liens!G711="","",IF(COUNTIF(Mots!A:A,Liens!G711)&gt;0,"✓ "&amp;Liens!G711,"✗ "&amp;Liens!G711&amp;" (introuvable)"))</f>
        <v>✓ avion</v>
      </c>
      <c r="I716" s="35" t="str">
        <f>IF(Liens!H711="","",IF(COUNTIF(Mots!A:A,Liens!H711)&gt;0,"✓ "&amp;Liens!H711,"✗ "&amp;Liens!H711&amp;" (introuvable)"))</f>
        <v>✓ train</v>
      </c>
    </row>
    <row r="717" spans="1:9" x14ac:dyDescent="0.3">
      <c r="A717">
        <f t="shared" si="7"/>
        <v>712</v>
      </c>
      <c r="B717" s="35" t="str">
        <f>IF(Liens!A712="","",IF(COUNTIF(Mots!A:A,Liens!A712)&gt;0,"✓ "&amp;Liens!A712,"✗ "&amp;Liens!A712&amp;" (introuvable)"))</f>
        <v>✓ reaction</v>
      </c>
      <c r="C717" s="35" t="str">
        <f>IF(Liens!B712="","",IF(COUNTIF(Mots!A:A,Liens!B712)&gt;0,"✓ "&amp;Liens!B712,"✗ "&amp;Liens!B712&amp;" (introuvable)"))</f>
        <v>✓ mouvement</v>
      </c>
      <c r="D717" s="35" t="str">
        <f>IF(Liens!C712="","",IF(COUNTIF(Mots!A:A,Liens!C712)&gt;0,"✓ "&amp;Liens!C712,"✗ "&amp;Liens!C712&amp;" (introuvable)"))</f>
        <v>✓ v_aller</v>
      </c>
      <c r="E717" s="35" t="str">
        <f>IF(Liens!D712="","",IF(COUNTIF(Mots!A:A,Liens!D712)&gt;0,"✓ "&amp;Liens!D712,"✗ "&amp;Liens!D712&amp;" (introuvable)"))</f>
        <v>✓ v_faire</v>
      </c>
      <c r="F717" s="35" t="str">
        <f>IF(Liens!E712="","",IF(COUNTIF(Mots!A:A,Liens!E712)&gt;0,"✓ "&amp;Liens!E712,"✗ "&amp;Liens!E712&amp;" (introuvable)"))</f>
        <v>✓ v_decider</v>
      </c>
      <c r="G717" s="35" t="str">
        <f>IF(Liens!F712="","",IF(COUNTIF(Mots!A:A,Liens!F712)&gt;0,"✓ "&amp;Liens!F712,"✗ "&amp;Liens!F712&amp;" (introuvable)"))</f>
        <v>✓ v_choisir</v>
      </c>
      <c r="H717" s="35" t="str">
        <f>IF(Liens!G712="","",IF(COUNTIF(Mots!A:A,Liens!G712)&gt;0,"✓ "&amp;Liens!G712,"✗ "&amp;Liens!G712&amp;" (introuvable)"))</f>
        <v/>
      </c>
      <c r="I717" s="35" t="str">
        <f>IF(Liens!H712="","",IF(COUNTIF(Mots!A:A,Liens!H712)&gt;0,"✓ "&amp;Liens!H712,"✗ "&amp;Liens!H712&amp;" (introuvable)"))</f>
        <v/>
      </c>
    </row>
    <row r="718" spans="1:9" x14ac:dyDescent="0.3">
      <c r="A718">
        <f t="shared" si="7"/>
        <v>713</v>
      </c>
      <c r="B718" s="35" t="str">
        <f>IF(Liens!A713="","",IF(COUNTIF(Mots!A:A,Liens!A713)&gt;0,"✓ "&amp;Liens!A713,"✗ "&amp;Liens!A713&amp;" (introuvable)"))</f>
        <v>✓ recipient</v>
      </c>
      <c r="C718" s="35" t="str">
        <f>IF(Liens!B713="","",IF(COUNTIF(Mots!A:A,Liens!B713)&gt;0,"✓ "&amp;Liens!B713,"✗ "&amp;Liens!B713&amp;" (introuvable)"))</f>
        <v>✓ seau</v>
      </c>
      <c r="D718" s="35" t="str">
        <f>IF(Liens!C713="","",IF(COUNTIF(Mots!A:A,Liens!C713)&gt;0,"✓ "&amp;Liens!C713,"✗ "&amp;Liens!C713&amp;" (introuvable)"))</f>
        <v>✓ pot_ou_mesure</v>
      </c>
      <c r="E718" s="35" t="str">
        <f>IF(Liens!D713="","",IF(COUNTIF(Mots!A:A,Liens!D713)&gt;0,"✓ "&amp;Liens!D713,"✗ "&amp;Liens!D713&amp;" (introuvable)"))</f>
        <v>✓ casserole</v>
      </c>
      <c r="F718" s="35" t="str">
        <f>IF(Liens!E713="","",IF(COUNTIF(Mots!A:A,Liens!E713)&gt;0,"✓ "&amp;Liens!E713,"✗ "&amp;Liens!E713&amp;" (introuvable)"))</f>
        <v>✓ verre</v>
      </c>
      <c r="G718" s="35" t="str">
        <f>IF(Liens!F713="","",IF(COUNTIF(Mots!A:A,Liens!F713)&gt;0,"✓ "&amp;Liens!F713,"✗ "&amp;Liens!F713&amp;" (introuvable)"))</f>
        <v>✓ bouteille</v>
      </c>
      <c r="H718" s="35" t="str">
        <f>IF(Liens!G713="","",IF(COUNTIF(Mots!A:A,Liens!G713)&gt;0,"✓ "&amp;Liens!G713,"✗ "&amp;Liens!G713&amp;" (introuvable)"))</f>
        <v/>
      </c>
      <c r="I718" s="35" t="str">
        <f>IF(Liens!H713="","",IF(COUNTIF(Mots!A:A,Liens!H713)&gt;0,"✓ "&amp;Liens!H713,"✗ "&amp;Liens!H713&amp;" (introuvable)"))</f>
        <v/>
      </c>
    </row>
    <row r="719" spans="1:9" x14ac:dyDescent="0.3">
      <c r="A719">
        <f t="shared" ref="A719:A782" si="8">A718+1</f>
        <v>714</v>
      </c>
      <c r="B719" s="35" t="str">
        <f>IF(Liens!A714="","",IF(COUNTIF(Mots!A:A,Liens!A714)&gt;0,"✓ "&amp;Liens!A714,"✗ "&amp;Liens!A714&amp;" (introuvable)"))</f>
        <v>✓ recit</v>
      </c>
      <c r="C719" s="35" t="str">
        <f>IF(Liens!B714="","",IF(COUNTIF(Mots!A:A,Liens!B714)&gt;0,"✓ "&amp;Liens!B714,"✗ "&amp;Liens!B714&amp;" (introuvable)"))</f>
        <v>✓ histoire</v>
      </c>
      <c r="D719" s="35" t="str">
        <f>IF(Liens!C714="","",IF(COUNTIF(Mots!A:A,Liens!C714)&gt;0,"✓ "&amp;Liens!C714,"✗ "&amp;Liens!C714&amp;" (introuvable)"))</f>
        <v>✓ livre</v>
      </c>
      <c r="E719" s="35" t="str">
        <f>IF(Liens!D714="","",IF(COUNTIF(Mots!A:A,Liens!D714)&gt;0,"✓ "&amp;Liens!D714,"✗ "&amp;Liens!D714&amp;" (introuvable)"))</f>
        <v>✓ v_lire</v>
      </c>
      <c r="F719" s="35" t="str">
        <f>IF(Liens!E714="","",IF(COUNTIF(Mots!A:A,Liens!E714)&gt;0,"✓ "&amp;Liens!E714,"✗ "&amp;Liens!E714&amp;" (introuvable)"))</f>
        <v>✓ v_raconter</v>
      </c>
      <c r="G719" s="35" t="str">
        <f>IF(Liens!F714="","",IF(COUNTIF(Mots!A:A,Liens!F714)&gt;0,"✓ "&amp;Liens!F714,"✗ "&amp;Liens!F714&amp;" (introuvable)"))</f>
        <v>✓ v_ecrire</v>
      </c>
      <c r="H719" s="35" t="str">
        <f>IF(Liens!G714="","",IF(COUNTIF(Mots!A:A,Liens!G714)&gt;0,"✓ "&amp;Liens!G714,"✗ "&amp;Liens!G714&amp;" (introuvable)"))</f>
        <v>✓ v_ecouter</v>
      </c>
      <c r="I719" s="35" t="str">
        <f>IF(Liens!H714="","",IF(COUNTIF(Mots!A:A,Liens!H714)&gt;0,"✓ "&amp;Liens!H714,"✗ "&amp;Liens!H714&amp;" (introuvable)"))</f>
        <v>✓ emotion</v>
      </c>
    </row>
    <row r="720" spans="1:9" x14ac:dyDescent="0.3">
      <c r="A720">
        <f t="shared" si="8"/>
        <v>715</v>
      </c>
      <c r="B720" s="35" t="str">
        <f>IF(Liens!A715="","",IF(COUNTIF(Mots!A:A,Liens!A715)&gt;0,"✓ "&amp;Liens!A715,"✗ "&amp;Liens!A715&amp;" (introuvable)"))</f>
        <v>✓ recolte</v>
      </c>
      <c r="C720" s="35" t="str">
        <f>IF(Liens!B715="","",IF(COUNTIF(Mots!A:A,Liens!B715)&gt;0,"✓ "&amp;Liens!B715,"✗ "&amp;Liens!B715&amp;" (introuvable)"))</f>
        <v>✓ plante</v>
      </c>
      <c r="D720" s="35" t="str">
        <f>IF(Liens!C715="","",IF(COUNTIF(Mots!A:A,Liens!C715)&gt;0,"✓ "&amp;Liens!C715,"✗ "&amp;Liens!C715&amp;" (introuvable)"))</f>
        <v>✓ ble</v>
      </c>
      <c r="E720" s="35" t="str">
        <f>IF(Liens!D715="","",IF(COUNTIF(Mots!A:A,Liens!D715)&gt;0,"✓ "&amp;Liens!D715,"✗ "&amp;Liens!D715&amp;" (introuvable)"))</f>
        <v>✓ p_mais</v>
      </c>
      <c r="F720" s="35" t="str">
        <f>IF(Liens!E715="","",IF(COUNTIF(Mots!A:A,Liens!E715)&gt;0,"✓ "&amp;Liens!E715,"✗ "&amp;Liens!E715&amp;" (introuvable)"))</f>
        <v>✓ grain</v>
      </c>
      <c r="G720" s="35" t="str">
        <f>IF(Liens!F715="","",IF(COUNTIF(Mots!A:A,Liens!F715)&gt;0,"✓ "&amp;Liens!F715,"✗ "&amp;Liens!F715&amp;" (introuvable)"))</f>
        <v>✓ champ</v>
      </c>
      <c r="H720" s="35" t="str">
        <f>IF(Liens!G715="","",IF(COUNTIF(Mots!A:A,Liens!G715)&gt;0,"✓ "&amp;Liens!G715,"✗ "&amp;Liens!G715&amp;" (introuvable)"))</f>
        <v>✓ legume</v>
      </c>
      <c r="I720" s="35" t="str">
        <f>IF(Liens!H715="","",IF(COUNTIF(Mots!A:A,Liens!H715)&gt;0,"✓ "&amp;Liens!H715,"✗ "&amp;Liens!H715&amp;" (introuvable)"))</f>
        <v>✓ ferme</v>
      </c>
    </row>
    <row r="721" spans="1:9" x14ac:dyDescent="0.3">
      <c r="A721">
        <f t="shared" si="8"/>
        <v>716</v>
      </c>
      <c r="B721" s="35" t="str">
        <f>IF(Liens!A716="","",IF(COUNTIF(Mots!A:A,Liens!A716)&gt;0,"✓ "&amp;Liens!A716,"✗ "&amp;Liens!A716&amp;" (introuvable)"))</f>
        <v>✓ reconciliation</v>
      </c>
      <c r="C721" s="35" t="str">
        <f>IF(Liens!B716="","",IF(COUNTIF(Mots!A:A,Liens!B716)&gt;0,"✓ "&amp;Liens!B716,"✗ "&amp;Liens!B716&amp;" (introuvable)"))</f>
        <v>✓ ami</v>
      </c>
      <c r="D721" s="35" t="str">
        <f>IF(Liens!C716="","",IF(COUNTIF(Mots!A:A,Liens!C716)&gt;0,"✓ "&amp;Liens!C716,"✗ "&amp;Liens!C716&amp;" (introuvable)"))</f>
        <v>✓ a_heureux</v>
      </c>
      <c r="E721" s="35" t="str">
        <f>IF(Liens!D716="","",IF(COUNTIF(Mots!A:A,Liens!D716)&gt;0,"✓ "&amp;Liens!D716,"✗ "&amp;Liens!D716&amp;" (introuvable)"))</f>
        <v>✓ joie</v>
      </c>
      <c r="F721" s="35" t="str">
        <f>IF(Liens!E716="","",IF(COUNTIF(Mots!A:A,Liens!E716)&gt;0,"✓ "&amp;Liens!E716,"✗ "&amp;Liens!E716&amp;" (introuvable)"))</f>
        <v>✓ v_rire</v>
      </c>
      <c r="G721" s="35" t="str">
        <f>IF(Liens!F716="","",IF(COUNTIF(Mots!A:A,Liens!F716)&gt;0,"✓ "&amp;Liens!F716,"✗ "&amp;Liens!F716&amp;" (introuvable)"))</f>
        <v>✓ dispute</v>
      </c>
      <c r="H721" s="35" t="str">
        <f>IF(Liens!G716="","",IF(COUNTIF(Mots!A:A,Liens!G716)&gt;0,"✓ "&amp;Liens!G716,"✗ "&amp;Liens!G716&amp;" (introuvable)"))</f>
        <v>✓ paix</v>
      </c>
      <c r="I721" s="35" t="str">
        <f>IF(Liens!H716="","",IF(COUNTIF(Mots!A:A,Liens!H716)&gt;0,"✓ "&amp;Liens!H716,"✗ "&amp;Liens!H716&amp;" (introuvable)"))</f>
        <v/>
      </c>
    </row>
    <row r="722" spans="1:9" x14ac:dyDescent="0.3">
      <c r="A722">
        <f t="shared" si="8"/>
        <v>717</v>
      </c>
      <c r="B722" s="35" t="str">
        <f>IF(Liens!A717="","",IF(COUNTIF(Mots!A:A,Liens!A717)&gt;0,"✓ "&amp;Liens!A717,"✗ "&amp;Liens!A717&amp;" (introuvable)"))</f>
        <v>✓ recu</v>
      </c>
      <c r="C722" s="35" t="str">
        <f>IF(Liens!B717="","",IF(COUNTIF(Mots!A:A,Liens!B717)&gt;0,"✓ "&amp;Liens!B717,"✗ "&amp;Liens!B717&amp;" (introuvable)"))</f>
        <v>✓ papier</v>
      </c>
      <c r="D722" s="35" t="str">
        <f>IF(Liens!C717="","",IF(COUNTIF(Mots!A:A,Liens!C717)&gt;0,"✓ "&amp;Liens!C717,"✗ "&amp;Liens!C717&amp;" (introuvable)"))</f>
        <v>✓ v_acheter</v>
      </c>
      <c r="E722" s="35" t="str">
        <f>IF(Liens!D717="","",IF(COUNTIF(Mots!A:A,Liens!D717)&gt;0,"✓ "&amp;Liens!D717,"✗ "&amp;Liens!D717&amp;" (introuvable)"))</f>
        <v>✓ v_payer</v>
      </c>
      <c r="F722" s="35" t="str">
        <f>IF(Liens!E717="","",IF(COUNTIF(Mots!A:A,Liens!E717)&gt;0,"✓ "&amp;Liens!E717,"✗ "&amp;Liens!E717&amp;" (introuvable)"))</f>
        <v>✓ magasin</v>
      </c>
      <c r="G722" s="35" t="str">
        <f>IF(Liens!F717="","",IF(COUNTIF(Mots!A:A,Liens!F717)&gt;0,"✓ "&amp;Liens!F717,"✗ "&amp;Liens!F717&amp;" (introuvable)"))</f>
        <v>✓ boutique</v>
      </c>
      <c r="H722" s="35" t="str">
        <f>IF(Liens!G717="","",IF(COUNTIF(Mots!A:A,Liens!G717)&gt;0,"✓ "&amp;Liens!G717,"✗ "&amp;Liens!G717&amp;" (introuvable)"))</f>
        <v>✓ nourriture</v>
      </c>
      <c r="I722" s="35" t="str">
        <f>IF(Liens!H717="","",IF(COUNTIF(Mots!A:A,Liens!H717)&gt;0,"✓ "&amp;Liens!H717,"✗ "&amp;Liens!H717&amp;" (introuvable)"))</f>
        <v>✓ vetement</v>
      </c>
    </row>
    <row r="723" spans="1:9" x14ac:dyDescent="0.3">
      <c r="A723">
        <f t="shared" si="8"/>
        <v>718</v>
      </c>
      <c r="B723" s="35" t="str">
        <f>IF(Liens!A718="","",IF(COUNTIF(Mots!A:A,Liens!A718)&gt;0,"✓ "&amp;Liens!A718,"✗ "&amp;Liens!A718&amp;" (introuvable)"))</f>
        <v>✓ reflet</v>
      </c>
      <c r="C723" s="35" t="str">
        <f>IF(Liens!B718="","",IF(COUNTIF(Mots!A:A,Liens!B718)&gt;0,"✓ "&amp;Liens!B718,"✗ "&amp;Liens!B718&amp;" (introuvable)"))</f>
        <v>✓ miroir</v>
      </c>
      <c r="D723" s="35" t="str">
        <f>IF(Liens!C718="","",IF(COUNTIF(Mots!A:A,Liens!C718)&gt;0,"✓ "&amp;Liens!C718,"✗ "&amp;Liens!C718&amp;" (introuvable)"))</f>
        <v>✓ lac</v>
      </c>
      <c r="E723" s="35" t="str">
        <f>IF(Liens!D718="","",IF(COUNTIF(Mots!A:A,Liens!D718)&gt;0,"✓ "&amp;Liens!D718,"✗ "&amp;Liens!D718&amp;" (introuvable)"))</f>
        <v>✓ image</v>
      </c>
      <c r="F723" s="35" t="str">
        <f>IF(Liens!E718="","",IF(COUNTIF(Mots!A:A,Liens!E718)&gt;0,"✓ "&amp;Liens!E718,"✗ "&amp;Liens!E718&amp;" (introuvable)"))</f>
        <v>✓ oeil</v>
      </c>
      <c r="G723" s="35" t="str">
        <f>IF(Liens!F718="","",IF(COUNTIF(Mots!A:A,Liens!F718)&gt;0,"✓ "&amp;Liens!F718,"✗ "&amp;Liens!F718&amp;" (introuvable)"))</f>
        <v>✓ v_voir</v>
      </c>
      <c r="H723" s="35" t="str">
        <f>IF(Liens!G718="","",IF(COUNTIF(Mots!A:A,Liens!G718)&gt;0,"✓ "&amp;Liens!G718,"✗ "&amp;Liens!G718&amp;" (introuvable)"))</f>
        <v>✓ v_regarder</v>
      </c>
      <c r="I723" s="35" t="str">
        <f>IF(Liens!H718="","",IF(COUNTIF(Mots!A:A,Liens!H718)&gt;0,"✓ "&amp;Liens!H718,"✗ "&amp;Liens!H718&amp;" (introuvable)"))</f>
        <v/>
      </c>
    </row>
    <row r="724" spans="1:9" x14ac:dyDescent="0.3">
      <c r="A724">
        <f t="shared" si="8"/>
        <v>719</v>
      </c>
      <c r="B724" s="35" t="str">
        <f>IF(Liens!A719="","",IF(COUNTIF(Mots!A:A,Liens!A719)&gt;0,"✓ "&amp;Liens!A719,"✗ "&amp;Liens!A719&amp;" (introuvable)"))</f>
        <v>✓ regret</v>
      </c>
      <c r="C724" s="35" t="str">
        <f>IF(Liens!B719="","",IF(COUNTIF(Mots!A:A,Liens!B719)&gt;0,"✓ "&amp;Liens!B719,"✗ "&amp;Liens!B719&amp;" (introuvable)"))</f>
        <v>✓ emotion</v>
      </c>
      <c r="D724" s="35" t="str">
        <f>IF(Liens!C719="","",IF(COUNTIF(Mots!A:A,Liens!C719)&gt;0,"✓ "&amp;Liens!C719,"✗ "&amp;Liens!C719&amp;" (introuvable)"))</f>
        <v>✓ peine</v>
      </c>
      <c r="E724" s="35" t="str">
        <f>IF(Liens!D719="","",IF(COUNTIF(Mots!A:A,Liens!D719)&gt;0,"✓ "&amp;Liens!D719,"✗ "&amp;Liens!D719&amp;" (introuvable)"))</f>
        <v>✓ tristesse</v>
      </c>
      <c r="F724" s="35" t="str">
        <f>IF(Liens!E719="","",IF(COUNTIF(Mots!A:A,Liens!E719)&gt;0,"✓ "&amp;Liens!E719,"✗ "&amp;Liens!E719&amp;" (introuvable)"))</f>
        <v/>
      </c>
      <c r="G724" s="35" t="str">
        <f>IF(Liens!F719="","",IF(COUNTIF(Mots!A:A,Liens!F719)&gt;0,"✓ "&amp;Liens!F719,"✗ "&amp;Liens!F719&amp;" (introuvable)"))</f>
        <v/>
      </c>
      <c r="H724" s="35" t="str">
        <f>IF(Liens!G719="","",IF(COUNTIF(Mots!A:A,Liens!G719)&gt;0,"✓ "&amp;Liens!G719,"✗ "&amp;Liens!G719&amp;" (introuvable)"))</f>
        <v/>
      </c>
      <c r="I724" s="35" t="str">
        <f>IF(Liens!H719="","",IF(COUNTIF(Mots!A:A,Liens!H719)&gt;0,"✓ "&amp;Liens!H719,"✗ "&amp;Liens!H719&amp;" (introuvable)"))</f>
        <v/>
      </c>
    </row>
    <row r="725" spans="1:9" x14ac:dyDescent="0.3">
      <c r="A725">
        <f t="shared" si="8"/>
        <v>720</v>
      </c>
      <c r="B725" s="35" t="str">
        <f>IF(Liens!A720="","",IF(COUNTIF(Mots!A:A,Liens!A720)&gt;0,"✓ "&amp;Liens!A720,"✗ "&amp;Liens!A720&amp;" (introuvable)"))</f>
        <v>✓ relief</v>
      </c>
      <c r="C725" s="35" t="str">
        <f>IF(Liens!B720="","",IF(COUNTIF(Mots!A:A,Liens!B720)&gt;0,"✓ "&amp;Liens!B720,"✗ "&amp;Liens!B720&amp;" (introuvable)"))</f>
        <v>✓ montagne</v>
      </c>
      <c r="D725" s="35" t="str">
        <f>IF(Liens!C720="","",IF(COUNTIF(Mots!A:A,Liens!C720)&gt;0,"✓ "&amp;Liens!C720,"✗ "&amp;Liens!C720&amp;" (introuvable)"))</f>
        <v>✓ colline</v>
      </c>
      <c r="E725" s="35" t="str">
        <f>IF(Liens!D720="","",IF(COUNTIF(Mots!A:A,Liens!D720)&gt;0,"✓ "&amp;Liens!D720,"✗ "&amp;Liens!D720&amp;" (introuvable)"))</f>
        <v>✓ paysage</v>
      </c>
      <c r="F725" s="35" t="str">
        <f>IF(Liens!E720="","",IF(COUNTIF(Mots!A:A,Liens!E720)&gt;0,"✓ "&amp;Liens!E720,"✗ "&amp;Liens!E720&amp;" (introuvable)"))</f>
        <v/>
      </c>
      <c r="G725" s="35" t="str">
        <f>IF(Liens!F720="","",IF(COUNTIF(Mots!A:A,Liens!F720)&gt;0,"✓ "&amp;Liens!F720,"✗ "&amp;Liens!F720&amp;" (introuvable)"))</f>
        <v/>
      </c>
      <c r="H725" s="35" t="str">
        <f>IF(Liens!G720="","",IF(COUNTIF(Mots!A:A,Liens!G720)&gt;0,"✓ "&amp;Liens!G720,"✗ "&amp;Liens!G720&amp;" (introuvable)"))</f>
        <v/>
      </c>
      <c r="I725" s="35" t="str">
        <f>IF(Liens!H720="","",IF(COUNTIF(Mots!A:A,Liens!H720)&gt;0,"✓ "&amp;Liens!H720,"✗ "&amp;Liens!H720&amp;" (introuvable)"))</f>
        <v/>
      </c>
    </row>
    <row r="726" spans="1:9" x14ac:dyDescent="0.3">
      <c r="A726">
        <f t="shared" si="8"/>
        <v>721</v>
      </c>
      <c r="B726" s="35" t="str">
        <f>IF(Liens!A721="","",IF(COUNTIF(Mots!A:A,Liens!A721)&gt;0,"✓ "&amp;Liens!A721,"✗ "&amp;Liens!A721&amp;" (introuvable)"))</f>
        <v>✓ remede</v>
      </c>
      <c r="C726" s="35" t="str">
        <f>IF(Liens!B721="","",IF(COUNTIF(Mots!A:A,Liens!B721)&gt;0,"✓ "&amp;Liens!B721,"✗ "&amp;Liens!B721&amp;" (introuvable)"))</f>
        <v>✓ maladie</v>
      </c>
      <c r="D726" s="35" t="str">
        <f>IF(Liens!C721="","",IF(COUNTIF(Mots!A:A,Liens!C721)&gt;0,"✓ "&amp;Liens!C721,"✗ "&amp;Liens!C721&amp;" (introuvable)"))</f>
        <v>✓ medecin</v>
      </c>
      <c r="E726" s="35" t="str">
        <f>IF(Liens!D721="","",IF(COUNTIF(Mots!A:A,Liens!D721)&gt;0,"✓ "&amp;Liens!D721,"✗ "&amp;Liens!D721&amp;" (introuvable)"))</f>
        <v>✓ medicament</v>
      </c>
      <c r="F726" s="35" t="str">
        <f>IF(Liens!E721="","",IF(COUNTIF(Mots!A:A,Liens!E721)&gt;0,"✓ "&amp;Liens!E721,"✗ "&amp;Liens!E721&amp;" (introuvable)"))</f>
        <v>✓ pharmacie</v>
      </c>
      <c r="G726" s="35" t="str">
        <f>IF(Liens!F721="","",IF(COUNTIF(Mots!A:A,Liens!F721)&gt;0,"✓ "&amp;Liens!F721,"✗ "&amp;Liens!F721&amp;" (introuvable)"))</f>
        <v>✓ pharmacien</v>
      </c>
      <c r="H726" s="35" t="str">
        <f>IF(Liens!G721="","",IF(COUNTIF(Mots!A:A,Liens!G721)&gt;0,"✓ "&amp;Liens!G721,"✗ "&amp;Liens!G721&amp;" (introuvable)"))</f>
        <v>✓ v_soigner</v>
      </c>
      <c r="I726" s="35" t="str">
        <f>IF(Liens!H721="","",IF(COUNTIF(Mots!A:A,Liens!H721)&gt;0,"✓ "&amp;Liens!H721,"✗ "&amp;Liens!H721&amp;" (introuvable)"))</f>
        <v>✓ toux</v>
      </c>
    </row>
    <row r="727" spans="1:9" x14ac:dyDescent="0.3">
      <c r="A727">
        <f t="shared" si="8"/>
        <v>722</v>
      </c>
      <c r="B727" s="35" t="str">
        <f>IF(Liens!A722="","",IF(COUNTIF(Mots!A:A,Liens!A722)&gt;0,"✓ "&amp;Liens!A722,"✗ "&amp;Liens!A722&amp;" (introuvable)"))</f>
        <v>✓ renard</v>
      </c>
      <c r="C727" s="35" t="str">
        <f>IF(Liens!B722="","",IF(COUNTIF(Mots!A:A,Liens!B722)&gt;0,"✓ "&amp;Liens!B722,"✗ "&amp;Liens!B722&amp;" (introuvable)"))</f>
        <v>✓ a_sauvage</v>
      </c>
      <c r="D727" s="35" t="str">
        <f>IF(Liens!C722="","",IF(COUNTIF(Mots!A:A,Liens!C722)&gt;0,"✓ "&amp;Liens!C722,"✗ "&amp;Liens!C722&amp;" (introuvable)"))</f>
        <v>✓ a_ruse</v>
      </c>
      <c r="E727" s="35" t="str">
        <f>IF(Liens!D722="","",IF(COUNTIF(Mots!A:A,Liens!D722)&gt;0,"✓ "&amp;Liens!D722,"✗ "&amp;Liens!D722&amp;" (introuvable)"))</f>
        <v>✓ queue</v>
      </c>
      <c r="F727" s="35" t="str">
        <f>IF(Liens!E722="","",IF(COUNTIF(Mots!A:A,Liens!E722)&gt;0,"✓ "&amp;Liens!E722,"✗ "&amp;Liens!E722&amp;" (introuvable)"))</f>
        <v>✓ fourrure</v>
      </c>
      <c r="G727" s="35" t="str">
        <f>IF(Liens!F722="","",IF(COUNTIF(Mots!A:A,Liens!F722)&gt;0,"✓ "&amp;Liens!F722,"✗ "&amp;Liens!F722&amp;" (introuvable)"))</f>
        <v>✓ loup</v>
      </c>
      <c r="H727" s="35" t="str">
        <f>IF(Liens!G722="","",IF(COUNTIF(Mots!A:A,Liens!G722)&gt;0,"✓ "&amp;Liens!G722,"✗ "&amp;Liens!G722&amp;" (introuvable)"))</f>
        <v>✓ poule</v>
      </c>
      <c r="I727" s="35" t="str">
        <f>IF(Liens!H722="","",IF(COUNTIF(Mots!A:A,Liens!H722)&gt;0,"✓ "&amp;Liens!H722,"✗ "&amp;Liens!H722&amp;" (introuvable)"))</f>
        <v/>
      </c>
    </row>
    <row r="728" spans="1:9" x14ac:dyDescent="0.3">
      <c r="A728">
        <f t="shared" si="8"/>
        <v>723</v>
      </c>
      <c r="B728" s="35" t="str">
        <f>IF(Liens!A723="","",IF(COUNTIF(Mots!A:A,Liens!A723)&gt;0,"✓ "&amp;Liens!A723,"✗ "&amp;Liens!A723&amp;" (introuvable)"))</f>
        <v>✓ rencontre</v>
      </c>
      <c r="C728" s="35" t="str">
        <f>IF(Liens!B723="","",IF(COUNTIF(Mots!A:A,Liens!B723)&gt;0,"✓ "&amp;Liens!B723,"✗ "&amp;Liens!B723&amp;" (introuvable)"))</f>
        <v>✓ moment</v>
      </c>
      <c r="D728" s="35" t="str">
        <f>IF(Liens!C723="","",IF(COUNTIF(Mots!A:A,Liens!C723)&gt;0,"✓ "&amp;Liens!C723,"✗ "&amp;Liens!C723&amp;" (introuvable)"))</f>
        <v>✓ personne</v>
      </c>
      <c r="E728" s="35" t="str">
        <f>IF(Liens!D723="","",IF(COUNTIF(Mots!A:A,Liens!D723)&gt;0,"✓ "&amp;Liens!D723,"✗ "&amp;Liens!D723&amp;" (introuvable)"))</f>
        <v>✓ invite</v>
      </c>
      <c r="F728" s="35" t="str">
        <f>IF(Liens!E723="","",IF(COUNTIF(Mots!A:A,Liens!E723)&gt;0,"✓ "&amp;Liens!E723,"✗ "&amp;Liens!E723&amp;" (introuvable)"))</f>
        <v>✓ ami</v>
      </c>
      <c r="G728" s="35" t="str">
        <f>IF(Liens!F723="","",IF(COUNTIF(Mots!A:A,Liens!F723)&gt;0,"✓ "&amp;Liens!F723,"✗ "&amp;Liens!F723&amp;" (introuvable)"))</f>
        <v>✓ famille</v>
      </c>
      <c r="H728" s="35" t="str">
        <f>IF(Liens!G723="","",IF(COUNTIF(Mots!A:A,Liens!G723)&gt;0,"✓ "&amp;Liens!G723,"✗ "&amp;Liens!G723&amp;" (introuvable)"))</f>
        <v>✓ plaisir</v>
      </c>
      <c r="I728" s="35" t="str">
        <f>IF(Liens!H723="","",IF(COUNTIF(Mots!A:A,Liens!H723)&gt;0,"✓ "&amp;Liens!H723,"✗ "&amp;Liens!H723&amp;" (introuvable)"))</f>
        <v>✓ joie</v>
      </c>
    </row>
    <row r="729" spans="1:9" x14ac:dyDescent="0.3">
      <c r="A729">
        <f t="shared" si="8"/>
        <v>724</v>
      </c>
      <c r="B729" s="35" t="str">
        <f>IF(Liens!A724="","",IF(COUNTIF(Mots!A:A,Liens!A724)&gt;0,"✓ "&amp;Liens!A724,"✗ "&amp;Liens!A724&amp;" (introuvable)"))</f>
        <v>✓ reparation</v>
      </c>
      <c r="C729" s="35" t="str">
        <f>IF(Liens!B724="","",IF(COUNTIF(Mots!A:A,Liens!B724)&gt;0,"✓ "&amp;Liens!B724,"✗ "&amp;Liens!B724&amp;" (introuvable)"))</f>
        <v>✓ mecanicien</v>
      </c>
      <c r="D729" s="35" t="str">
        <f>IF(Liens!C724="","",IF(COUNTIF(Mots!A:A,Liens!C724)&gt;0,"✓ "&amp;Liens!C724,"✗ "&amp;Liens!C724&amp;" (introuvable)"))</f>
        <v>✓ voiture</v>
      </c>
      <c r="E729" s="35" t="str">
        <f>IF(Liens!D724="","",IF(COUNTIF(Mots!A:A,Liens!D724)&gt;0,"✓ "&amp;Liens!D724,"✗ "&amp;Liens!D724&amp;" (introuvable)"))</f>
        <v>✓ bricolage</v>
      </c>
      <c r="F729" s="35" t="str">
        <f>IF(Liens!E724="","",IF(COUNTIF(Mots!A:A,Liens!E724)&gt;0,"✓ "&amp;Liens!E724,"✗ "&amp;Liens!E724&amp;" (introuvable)"))</f>
        <v>✓ a_casse</v>
      </c>
      <c r="G729" s="35" t="str">
        <f>IF(Liens!F724="","",IF(COUNTIF(Mots!A:A,Liens!F724)&gt;0,"✓ "&amp;Liens!F724,"✗ "&amp;Liens!F724&amp;" (introuvable)"))</f>
        <v/>
      </c>
      <c r="H729" s="35" t="str">
        <f>IF(Liens!G724="","",IF(COUNTIF(Mots!A:A,Liens!G724)&gt;0,"✓ "&amp;Liens!G724,"✗ "&amp;Liens!G724&amp;" (introuvable)"))</f>
        <v/>
      </c>
      <c r="I729" s="35" t="str">
        <f>IF(Liens!H724="","",IF(COUNTIF(Mots!A:A,Liens!H724)&gt;0,"✓ "&amp;Liens!H724,"✗ "&amp;Liens!H724&amp;" (introuvable)"))</f>
        <v/>
      </c>
    </row>
    <row r="730" spans="1:9" x14ac:dyDescent="0.3">
      <c r="A730">
        <f t="shared" si="8"/>
        <v>725</v>
      </c>
      <c r="B730" s="35" t="str">
        <f>IF(Liens!A725="","",IF(COUNTIF(Mots!A:A,Liens!A725)&gt;0,"✓ "&amp;Liens!A725,"✗ "&amp;Liens!A725&amp;" (introuvable)"))</f>
        <v>✓ repas</v>
      </c>
      <c r="C730" s="35" t="str">
        <f>IF(Liens!B725="","",IF(COUNTIF(Mots!A:A,Liens!B725)&gt;0,"✓ "&amp;Liens!B725,"✗ "&amp;Liens!B725&amp;" (introuvable)"))</f>
        <v>✓ nourriture</v>
      </c>
      <c r="D730" s="35" t="str">
        <f>IF(Liens!C725="","",IF(COUNTIF(Mots!A:A,Liens!C725)&gt;0,"✓ "&amp;Liens!C725,"✗ "&amp;Liens!C725&amp;" (introuvable)"))</f>
        <v>✓ v_manger</v>
      </c>
      <c r="E730" s="35" t="str">
        <f>IF(Liens!D725="","",IF(COUNTIF(Mots!A:A,Liens!D725)&gt;0,"✓ "&amp;Liens!D725,"✗ "&amp;Liens!D725&amp;" (introuvable)"))</f>
        <v>✓ table</v>
      </c>
      <c r="F730" s="35" t="str">
        <f>IF(Liens!E725="","",IF(COUNTIF(Mots!A:A,Liens!E725)&gt;0,"✓ "&amp;Liens!E725,"✗ "&amp;Liens!E725&amp;" (introuvable)"))</f>
        <v>✓ chaise</v>
      </c>
      <c r="G730" s="35" t="str">
        <f>IF(Liens!F725="","",IF(COUNTIF(Mots!A:A,Liens!F725)&gt;0,"✓ "&amp;Liens!F725,"✗ "&amp;Liens!F725&amp;" (introuvable)"))</f>
        <v>✓ assiette</v>
      </c>
      <c r="H730" s="35" t="str">
        <f>IF(Liens!G725="","",IF(COUNTIF(Mots!A:A,Liens!G725)&gt;0,"✓ "&amp;Liens!G725,"✗ "&amp;Liens!G725&amp;" (introuvable)"))</f>
        <v>✓ fourchette</v>
      </c>
      <c r="I730" s="35" t="str">
        <f>IF(Liens!H725="","",IF(COUNTIF(Mots!A:A,Liens!H725)&gt;0,"✓ "&amp;Liens!H725,"✗ "&amp;Liens!H725&amp;" (introuvable)"))</f>
        <v>✓ couteau</v>
      </c>
    </row>
    <row r="731" spans="1:9" x14ac:dyDescent="0.3">
      <c r="A731">
        <f t="shared" si="8"/>
        <v>726</v>
      </c>
      <c r="B731" s="35" t="str">
        <f>IF(Liens!A726="","",IF(COUNTIF(Mots!A:A,Liens!A726)&gt;0,"✓ "&amp;Liens!A726,"✗ "&amp;Liens!A726&amp;" (introuvable)"))</f>
        <v>✓ repetition</v>
      </c>
      <c r="C731" s="35" t="str">
        <f>IF(Liens!B726="","",IF(COUNTIF(Mots!A:A,Liens!B726)&gt;0,"✓ "&amp;Liens!B726,"✗ "&amp;Liens!B726&amp;" (introuvable)"))</f>
        <v>✓ v_jouer</v>
      </c>
      <c r="D731" s="35" t="str">
        <f>IF(Liens!C726="","",IF(COUNTIF(Mots!A:A,Liens!C726)&gt;0,"✓ "&amp;Liens!C726,"✗ "&amp;Liens!C726&amp;" (introuvable)"))</f>
        <v>✓ directeur</v>
      </c>
      <c r="E731" s="35" t="str">
        <f>IF(Liens!D726="","",IF(COUNTIF(Mots!A:A,Liens!D726)&gt;0,"✓ "&amp;Liens!D726,"✗ "&amp;Liens!D726&amp;" (introuvable)"))</f>
        <v>✓ partition</v>
      </c>
      <c r="F731" s="35" t="str">
        <f>IF(Liens!E726="","",IF(COUNTIF(Mots!A:A,Liens!E726)&gt;0,"✓ "&amp;Liens!E726,"✗ "&amp;Liens!E726&amp;" (introuvable)"))</f>
        <v>✓ v_repeter</v>
      </c>
      <c r="G731" s="35" t="str">
        <f>IF(Liens!F726="","",IF(COUNTIF(Mots!A:A,Liens!F726)&gt;0,"✓ "&amp;Liens!F726,"✗ "&amp;Liens!F726&amp;" (introuvable)"))</f>
        <v>✓ cornet</v>
      </c>
      <c r="H731" s="35" t="str">
        <f>IF(Liens!G726="","",IF(COUNTIF(Mots!A:A,Liens!G726)&gt;0,"✓ "&amp;Liens!G726,"✗ "&amp;Liens!G726&amp;" (introuvable)"))</f>
        <v>✓ sourdine_cup</v>
      </c>
      <c r="I731" s="35" t="str">
        <f>IF(Liens!H726="","",IF(COUNTIF(Mots!A:A,Liens!H726)&gt;0,"✓ "&amp;Liens!H726,"✗ "&amp;Liens!H726&amp;" (introuvable)"))</f>
        <v>✓ sourdine_straignt_ou_metal</v>
      </c>
    </row>
    <row r="732" spans="1:9" x14ac:dyDescent="0.3">
      <c r="A732">
        <f t="shared" si="8"/>
        <v>727</v>
      </c>
      <c r="B732" s="35" t="str">
        <f>IF(Liens!A727="","",IF(COUNTIF(Mots!A:A,Liens!A727)&gt;0,"✓ "&amp;Liens!A727,"✗ "&amp;Liens!A727&amp;" (introuvable)"))</f>
        <v>✓ reponse</v>
      </c>
      <c r="C732" s="35" t="str">
        <f>IF(Liens!B727="","",IF(COUNTIF(Mots!A:A,Liens!B727)&gt;0,"✓ "&amp;Liens!B727,"✗ "&amp;Liens!B727&amp;" (introuvable)"))</f>
        <v>✓ ecole</v>
      </c>
      <c r="D732" s="35" t="str">
        <f>IF(Liens!C727="","",IF(COUNTIF(Mots!A:A,Liens!C727)&gt;0,"✓ "&amp;Liens!C727,"✗ "&amp;Liens!C727&amp;" (introuvable)"))</f>
        <v>✓ main</v>
      </c>
      <c r="E732" s="35" t="str">
        <f>IF(Liens!D727="","",IF(COUNTIF(Mots!A:A,Liens!D727)&gt;0,"✓ "&amp;Liens!D727,"✗ "&amp;Liens!D727&amp;" (introuvable)"))</f>
        <v>✓ v_lever</v>
      </c>
      <c r="F732" s="35" t="str">
        <f>IF(Liens!E727="","",IF(COUNTIF(Mots!A:A,Liens!E727)&gt;0,"✓ "&amp;Liens!E727,"✗ "&amp;Liens!E727&amp;" (introuvable)"))</f>
        <v>✓ v_parler</v>
      </c>
      <c r="G732" s="35" t="str">
        <f>IF(Liens!F727="","",IF(COUNTIF(Mots!A:A,Liens!F727)&gt;0,"✓ "&amp;Liens!F727,"✗ "&amp;Liens!F727&amp;" (introuvable)"))</f>
        <v>✓ v_ecouter</v>
      </c>
      <c r="H732" s="35" t="str">
        <f>IF(Liens!G727="","",IF(COUNTIF(Mots!A:A,Liens!G727)&gt;0,"✓ "&amp;Liens!G727,"✗ "&amp;Liens!G727&amp;" (introuvable)"))</f>
        <v>✓ question</v>
      </c>
      <c r="I732" s="35" t="str">
        <f>IF(Liens!H727="","",IF(COUNTIF(Mots!A:A,Liens!H727)&gt;0,"✓ "&amp;Liens!H727,"✗ "&amp;Liens!H727&amp;" (introuvable)"))</f>
        <v/>
      </c>
    </row>
    <row r="733" spans="1:9" x14ac:dyDescent="0.3">
      <c r="A733">
        <f t="shared" si="8"/>
        <v>728</v>
      </c>
      <c r="B733" s="35" t="str">
        <f>IF(Liens!A728="","",IF(COUNTIF(Mots!A:A,Liens!A728)&gt;0,"✓ "&amp;Liens!A728,"✗ "&amp;Liens!A728&amp;" (introuvable)"))</f>
        <v>✓ repos</v>
      </c>
      <c r="C733" s="35" t="str">
        <f>IF(Liens!B728="","",IF(COUNTIF(Mots!A:A,Liens!B728)&gt;0,"✓ "&amp;Liens!B728,"✗ "&amp;Liens!B728&amp;" (introuvable)"))</f>
        <v>✓ a_fatigue</v>
      </c>
      <c r="D733" s="35" t="str">
        <f>IF(Liens!C728="","",IF(COUNTIF(Mots!A:A,Liens!C728)&gt;0,"✓ "&amp;Liens!C728,"✗ "&amp;Liens!C728&amp;" (introuvable)"))</f>
        <v>✓ chambre</v>
      </c>
      <c r="E733" s="35" t="str">
        <f>IF(Liens!D728="","",IF(COUNTIF(Mots!A:A,Liens!D728)&gt;0,"✓ "&amp;Liens!D728,"✗ "&amp;Liens!D728&amp;" (introuvable)"))</f>
        <v>✓ lit</v>
      </c>
      <c r="F733" s="35" t="str">
        <f>IF(Liens!E728="","",IF(COUNTIF(Mots!A:A,Liens!E728)&gt;0,"✓ "&amp;Liens!E728,"✗ "&amp;Liens!E728&amp;" (introuvable)"))</f>
        <v>✓ v_dormir</v>
      </c>
      <c r="G733" s="35" t="str">
        <f>IF(Liens!F728="","",IF(COUNTIF(Mots!A:A,Liens!F728)&gt;0,"✓ "&amp;Liens!F728,"✗ "&amp;Liens!F728&amp;" (introuvable)"))</f>
        <v/>
      </c>
      <c r="H733" s="35" t="str">
        <f>IF(Liens!G728="","",IF(COUNTIF(Mots!A:A,Liens!G728)&gt;0,"✓ "&amp;Liens!G728,"✗ "&amp;Liens!G728&amp;" (introuvable)"))</f>
        <v/>
      </c>
      <c r="I733" s="35" t="str">
        <f>IF(Liens!H728="","",IF(COUNTIF(Mots!A:A,Liens!H728)&gt;0,"✓ "&amp;Liens!H728,"✗ "&amp;Liens!H728&amp;" (introuvable)"))</f>
        <v/>
      </c>
    </row>
    <row r="734" spans="1:9" x14ac:dyDescent="0.3">
      <c r="A734">
        <f t="shared" si="8"/>
        <v>729</v>
      </c>
      <c r="B734" s="35" t="str">
        <f>IF(Liens!A729="","",IF(COUNTIF(Mots!A:A,Liens!A729)&gt;0,"✓ "&amp;Liens!A729,"✗ "&amp;Liens!A729&amp;" (introuvable)"))</f>
        <v>✓ respect</v>
      </c>
      <c r="C734" s="35" t="str">
        <f>IF(Liens!B729="","",IF(COUNTIF(Mots!A:A,Liens!B729)&gt;0,"✓ "&amp;Liens!B729,"✗ "&amp;Liens!B729&amp;" (introuvable)"))</f>
        <v>✓ politesse</v>
      </c>
      <c r="D734" s="35" t="str">
        <f>IF(Liens!C729="","",IF(COUNTIF(Mots!A:A,Liens!C729)&gt;0,"✓ "&amp;Liens!C729,"✗ "&amp;Liens!C729&amp;" (introuvable)"))</f>
        <v>✓ gentillesse</v>
      </c>
      <c r="E734" s="35" t="str">
        <f>IF(Liens!D729="","",IF(COUNTIF(Mots!A:A,Liens!D729)&gt;0,"✓ "&amp;Liens!D729,"✗ "&amp;Liens!D729&amp;" (introuvable)"))</f>
        <v>✓ a_gentil_mechant</v>
      </c>
      <c r="F734" s="35" t="str">
        <f>IF(Liens!E729="","",IF(COUNTIF(Mots!A:A,Liens!E729)&gt;0,"✓ "&amp;Liens!E729,"✗ "&amp;Liens!E729&amp;" (introuvable)"))</f>
        <v>✓ v_aider</v>
      </c>
      <c r="G734" s="35" t="str">
        <f>IF(Liens!F729="","",IF(COUNTIF(Mots!A:A,Liens!F729)&gt;0,"✓ "&amp;Liens!F729,"✗ "&amp;Liens!F729&amp;" (introuvable)"))</f>
        <v/>
      </c>
      <c r="H734" s="35" t="str">
        <f>IF(Liens!G729="","",IF(COUNTIF(Mots!A:A,Liens!G729)&gt;0,"✓ "&amp;Liens!G729,"✗ "&amp;Liens!G729&amp;" (introuvable)"))</f>
        <v/>
      </c>
      <c r="I734" s="35" t="str">
        <f>IF(Liens!H729="","",IF(COUNTIF(Mots!A:A,Liens!H729)&gt;0,"✓ "&amp;Liens!H729,"✗ "&amp;Liens!H729&amp;" (introuvable)"))</f>
        <v/>
      </c>
    </row>
    <row r="735" spans="1:9" x14ac:dyDescent="0.3">
      <c r="A735">
        <f t="shared" si="8"/>
        <v>730</v>
      </c>
      <c r="B735" s="35" t="str">
        <f>IF(Liens!A730="","",IF(COUNTIF(Mots!A:A,Liens!A730)&gt;0,"✓ "&amp;Liens!A730,"✗ "&amp;Liens!A730&amp;" (introuvable)"))</f>
        <v>✓ restaurant</v>
      </c>
      <c r="C735" s="35" t="str">
        <f>IF(Liens!B730="","",IF(COUNTIF(Mots!A:A,Liens!B730)&gt;0,"✓ "&amp;Liens!B730,"✗ "&amp;Liens!B730&amp;" (introuvable)"))</f>
        <v>✓ plat</v>
      </c>
      <c r="D735" s="35" t="str">
        <f>IF(Liens!C730="","",IF(COUNTIF(Mots!A:A,Liens!C730)&gt;0,"✓ "&amp;Liens!C730,"✗ "&amp;Liens!C730&amp;" (introuvable)"))</f>
        <v>✓ v_manger</v>
      </c>
      <c r="E735" s="35" t="str">
        <f>IF(Liens!D730="","",IF(COUNTIF(Mots!A:A,Liens!D730)&gt;0,"✓ "&amp;Liens!D730,"✗ "&amp;Liens!D730&amp;" (introuvable)"))</f>
        <v>✓ nourriture</v>
      </c>
      <c r="F735" s="35" t="str">
        <f>IF(Liens!E730="","",IF(COUNTIF(Mots!A:A,Liens!E730)&gt;0,"✓ "&amp;Liens!E730,"✗ "&amp;Liens!E730&amp;" (introuvable)"))</f>
        <v>✓ cuisinier</v>
      </c>
      <c r="G735" s="35" t="str">
        <f>IF(Liens!F730="","",IF(COUNTIF(Mots!A:A,Liens!F730)&gt;0,"✓ "&amp;Liens!F730,"✗ "&amp;Liens!F730&amp;" (introuvable)"))</f>
        <v/>
      </c>
      <c r="H735" s="35" t="str">
        <f>IF(Liens!G730="","",IF(COUNTIF(Mots!A:A,Liens!G730)&gt;0,"✓ "&amp;Liens!G730,"✗ "&amp;Liens!G730&amp;" (introuvable)"))</f>
        <v/>
      </c>
      <c r="I735" s="35" t="str">
        <f>IF(Liens!H730="","",IF(COUNTIF(Mots!A:A,Liens!H730)&gt;0,"✓ "&amp;Liens!H730,"✗ "&amp;Liens!H730&amp;" (introuvable)"))</f>
        <v/>
      </c>
    </row>
    <row r="736" spans="1:9" x14ac:dyDescent="0.3">
      <c r="A736">
        <f t="shared" si="8"/>
        <v>731</v>
      </c>
      <c r="B736" s="35" t="str">
        <f>IF(Liens!A731="","",IF(COUNTIF(Mots!A:A,Liens!A731)&gt;0,"✓ "&amp;Liens!A731,"✗ "&amp;Liens!A731&amp;" (introuvable)"))</f>
        <v>✓ resultat</v>
      </c>
      <c r="C736" s="35" t="str">
        <f>IF(Liens!B731="","",IF(COUNTIF(Mots!A:A,Liens!B731)&gt;0,"✓ "&amp;Liens!B731,"✗ "&amp;Liens!B731&amp;" (introuvable)"))</f>
        <v>✓ calcul</v>
      </c>
      <c r="D736" s="35" t="str">
        <f>IF(Liens!C731="","",IF(COUNTIF(Mots!A:A,Liens!C731)&gt;0,"✓ "&amp;Liens!C731,"✗ "&amp;Liens!C731&amp;" (introuvable)"))</f>
        <v>✓ somme</v>
      </c>
      <c r="E736" s="35" t="str">
        <f>IF(Liens!D731="","",IF(COUNTIF(Mots!A:A,Liens!D731)&gt;0,"✓ "&amp;Liens!D731,"✗ "&amp;Liens!D731&amp;" (introuvable)"))</f>
        <v>✓ total</v>
      </c>
      <c r="F736" s="35" t="str">
        <f>IF(Liens!E731="","",IF(COUNTIF(Mots!A:A,Liens!E731)&gt;0,"✓ "&amp;Liens!E731,"✗ "&amp;Liens!E731&amp;" (introuvable)"))</f>
        <v>✓ nombre</v>
      </c>
      <c r="G736" s="35" t="str">
        <f>IF(Liens!F731="","",IF(COUNTIF(Mots!A:A,Liens!F731)&gt;0,"✓ "&amp;Liens!F731,"✗ "&amp;Liens!F731&amp;" (introuvable)"))</f>
        <v/>
      </c>
      <c r="H736" s="35" t="str">
        <f>IF(Liens!G731="","",IF(COUNTIF(Mots!A:A,Liens!G731)&gt;0,"✓ "&amp;Liens!G731,"✗ "&amp;Liens!G731&amp;" (introuvable)"))</f>
        <v/>
      </c>
      <c r="I736" s="35" t="str">
        <f>IF(Liens!H731="","",IF(COUNTIF(Mots!A:A,Liens!H731)&gt;0,"✓ "&amp;Liens!H731,"✗ "&amp;Liens!H731&amp;" (introuvable)"))</f>
        <v/>
      </c>
    </row>
    <row r="737" spans="1:9" x14ac:dyDescent="0.3">
      <c r="A737">
        <f t="shared" si="8"/>
        <v>732</v>
      </c>
      <c r="B737" s="35" t="str">
        <f>IF(Liens!A732="","",IF(COUNTIF(Mots!A:A,Liens!A732)&gt;0,"✓ "&amp;Liens!A732,"✗ "&amp;Liens!A732&amp;" (introuvable)"))</f>
        <v>✓ retour</v>
      </c>
      <c r="C737" s="35" t="str">
        <f>IF(Liens!B732="","",IF(COUNTIF(Mots!A:A,Liens!B732)&gt;0,"✓ "&amp;Liens!B732,"✗ "&amp;Liens!B732&amp;" (introuvable)"))</f>
        <v>✓ v_venir</v>
      </c>
      <c r="D737" s="35" t="str">
        <f>IF(Liens!C732="","",IF(COUNTIF(Mots!A:A,Liens!C732)&gt;0,"✓ "&amp;Liens!C732,"✗ "&amp;Liens!C732&amp;" (introuvable)"))</f>
        <v>✓ v_aller</v>
      </c>
      <c r="E737" s="35" t="str">
        <f>IF(Liens!D732="","",IF(COUNTIF(Mots!A:A,Liens!D732)&gt;0,"✓ "&amp;Liens!D732,"✗ "&amp;Liens!D732&amp;" (introuvable)"))</f>
        <v>✓ debut</v>
      </c>
      <c r="F737" s="35" t="str">
        <f>IF(Liens!E732="","",IF(COUNTIF(Mots!A:A,Liens!E732)&gt;0,"✓ "&amp;Liens!E732,"✗ "&amp;Liens!E732&amp;" (introuvable)"))</f>
        <v>✓ fin</v>
      </c>
      <c r="G737" s="35" t="str">
        <f>IF(Liens!F732="","",IF(COUNTIF(Mots!A:A,Liens!F732)&gt;0,"✓ "&amp;Liens!F732,"✗ "&amp;Liens!F732&amp;" (introuvable)"))</f>
        <v>✓ randonnee</v>
      </c>
      <c r="H737" s="35" t="str">
        <f>IF(Liens!G732="","",IF(COUNTIF(Mots!A:A,Liens!G732)&gt;0,"✓ "&amp;Liens!G732,"✗ "&amp;Liens!G732&amp;" (introuvable)"))</f>
        <v>✓ promenade</v>
      </c>
      <c r="I737" s="35" t="str">
        <f>IF(Liens!H732="","",IF(COUNTIF(Mots!A:A,Liens!H732)&gt;0,"✓ "&amp;Liens!H732,"✗ "&amp;Liens!H732&amp;" (introuvable)"))</f>
        <v>✓ v_marcher</v>
      </c>
    </row>
    <row r="738" spans="1:9" x14ac:dyDescent="0.3">
      <c r="A738">
        <f t="shared" si="8"/>
        <v>733</v>
      </c>
      <c r="B738" s="35" t="str">
        <f>IF(Liens!A733="","",IF(COUNTIF(Mots!A:A,Liens!A733)&gt;0,"✓ "&amp;Liens!A733,"✗ "&amp;Liens!A733&amp;" (introuvable)"))</f>
        <v>✓ retrait</v>
      </c>
      <c r="C738" s="35" t="str">
        <f>IF(Liens!B733="","",IF(COUNTIF(Mots!A:A,Liens!B733)&gt;0,"✓ "&amp;Liens!B733,"✗ "&amp;Liens!B733&amp;" (introuvable)"))</f>
        <v>✓ carte_debit</v>
      </c>
      <c r="D738" s="35" t="str">
        <f>IF(Liens!C733="","",IF(COUNTIF(Mots!A:A,Liens!C733)&gt;0,"✓ "&amp;Liens!C733,"✗ "&amp;Liens!C733&amp;" (introuvable)"))</f>
        <v>✓ argent</v>
      </c>
      <c r="E738" s="35" t="str">
        <f>IF(Liens!D733="","",IF(COUNTIF(Mots!A:A,Liens!D733)&gt;0,"✓ "&amp;Liens!D733,"✗ "&amp;Liens!D733&amp;" (introuvable)"))</f>
        <v>✓ billet_banque</v>
      </c>
      <c r="F738" s="35" t="str">
        <f>IF(Liens!E733="","",IF(COUNTIF(Mots!A:A,Liens!E733)&gt;0,"✓ "&amp;Liens!E733,"✗ "&amp;Liens!E733&amp;" (introuvable)"))</f>
        <v/>
      </c>
      <c r="G738" s="35" t="str">
        <f>IF(Liens!F733="","",IF(COUNTIF(Mots!A:A,Liens!F733)&gt;0,"✓ "&amp;Liens!F733,"✗ "&amp;Liens!F733&amp;" (introuvable)"))</f>
        <v/>
      </c>
      <c r="H738" s="35" t="str">
        <f>IF(Liens!G733="","",IF(COUNTIF(Mots!A:A,Liens!G733)&gt;0,"✓ "&amp;Liens!G733,"✗ "&amp;Liens!G733&amp;" (introuvable)"))</f>
        <v/>
      </c>
      <c r="I738" s="35" t="str">
        <f>IF(Liens!H733="","",IF(COUNTIF(Mots!A:A,Liens!H733)&gt;0,"✓ "&amp;Liens!H733,"✗ "&amp;Liens!H733&amp;" (introuvable)"))</f>
        <v/>
      </c>
    </row>
    <row r="739" spans="1:9" x14ac:dyDescent="0.3">
      <c r="A739">
        <f t="shared" si="8"/>
        <v>734</v>
      </c>
      <c r="B739" s="35" t="str">
        <f>IF(Liens!A734="","",IF(COUNTIF(Mots!A:A,Liens!A734)&gt;0,"✓ "&amp;Liens!A734,"✗ "&amp;Liens!A734&amp;" (introuvable)"))</f>
        <v>✓ retroviseur</v>
      </c>
      <c r="C739" s="35" t="str">
        <f>IF(Liens!B734="","",IF(COUNTIF(Mots!A:A,Liens!B734)&gt;0,"✓ "&amp;Liens!B734,"✗ "&amp;Liens!B734&amp;" (introuvable)"))</f>
        <v>✓ voiture</v>
      </c>
      <c r="D739" s="35" t="str">
        <f>IF(Liens!C734="","",IF(COUNTIF(Mots!A:A,Liens!C734)&gt;0,"✓ "&amp;Liens!C734,"✗ "&amp;Liens!C734&amp;" (introuvable)"))</f>
        <v>✓ miroir</v>
      </c>
      <c r="E739" s="35" t="str">
        <f>IF(Liens!D734="","",IF(COUNTIF(Mots!A:A,Liens!D734)&gt;0,"✓ "&amp;Liens!D734,"✗ "&amp;Liens!D734&amp;" (introuvable)"))</f>
        <v>✓ v_voir</v>
      </c>
      <c r="F739" s="35" t="str">
        <f>IF(Liens!E734="","",IF(COUNTIF(Mots!A:A,Liens!E734)&gt;0,"✓ "&amp;Liens!E734,"✗ "&amp;Liens!E734&amp;" (introuvable)"))</f>
        <v>✓ attention</v>
      </c>
      <c r="G739" s="35" t="str">
        <f>IF(Liens!F734="","",IF(COUNTIF(Mots!A:A,Liens!F734)&gt;0,"✓ "&amp;Liens!F734,"✗ "&amp;Liens!F734&amp;" (introuvable)"))</f>
        <v>✓ danger</v>
      </c>
      <c r="H739" s="35" t="str">
        <f>IF(Liens!G734="","",IF(COUNTIF(Mots!A:A,Liens!G734)&gt;0,"✓ "&amp;Liens!G734,"✗ "&amp;Liens!G734&amp;" (introuvable)"))</f>
        <v/>
      </c>
      <c r="I739" s="35" t="str">
        <f>IF(Liens!H734="","",IF(COUNTIF(Mots!A:A,Liens!H734)&gt;0,"✓ "&amp;Liens!H734,"✗ "&amp;Liens!H734&amp;" (introuvable)"))</f>
        <v/>
      </c>
    </row>
    <row r="740" spans="1:9" x14ac:dyDescent="0.3">
      <c r="A740">
        <f t="shared" si="8"/>
        <v>735</v>
      </c>
      <c r="B740" s="35" t="str">
        <f>IF(Liens!A735="","",IF(COUNTIF(Mots!A:A,Liens!A735)&gt;0,"✓ "&amp;Liens!A735,"✗ "&amp;Liens!A735&amp;" (introuvable)"))</f>
        <v>✓ reunion</v>
      </c>
      <c r="C740" s="35" t="str">
        <f>IF(Liens!B735="","",IF(COUNTIF(Mots!A:A,Liens!B735)&gt;0,"✓ "&amp;Liens!B735,"✗ "&amp;Liens!B735&amp;" (introuvable)"))</f>
        <v>✓ travail</v>
      </c>
      <c r="D740" s="35" t="str">
        <f>IF(Liens!C735="","",IF(COUNTIF(Mots!A:A,Liens!C735)&gt;0,"✓ "&amp;Liens!C735,"✗ "&amp;Liens!C735&amp;" (introuvable)"))</f>
        <v>✓ repetition</v>
      </c>
      <c r="E740" s="35" t="str">
        <f>IF(Liens!D735="","",IF(COUNTIF(Mots!A:A,Liens!D735)&gt;0,"✓ "&amp;Liens!D735,"✗ "&amp;Liens!D735&amp;" (introuvable)"))</f>
        <v/>
      </c>
      <c r="F740" s="35" t="str">
        <f>IF(Liens!E735="","",IF(COUNTIF(Mots!A:A,Liens!E735)&gt;0,"✓ "&amp;Liens!E735,"✗ "&amp;Liens!E735&amp;" (introuvable)"))</f>
        <v/>
      </c>
      <c r="G740" s="35" t="str">
        <f>IF(Liens!F735="","",IF(COUNTIF(Mots!A:A,Liens!F735)&gt;0,"✓ "&amp;Liens!F735,"✗ "&amp;Liens!F735&amp;" (introuvable)"))</f>
        <v/>
      </c>
      <c r="H740" s="35" t="str">
        <f>IF(Liens!G735="","",IF(COUNTIF(Mots!A:A,Liens!G735)&gt;0,"✓ "&amp;Liens!G735,"✗ "&amp;Liens!G735&amp;" (introuvable)"))</f>
        <v/>
      </c>
      <c r="I740" s="35" t="str">
        <f>IF(Liens!H735="","",IF(COUNTIF(Mots!A:A,Liens!H735)&gt;0,"✓ "&amp;Liens!H735,"✗ "&amp;Liens!H735&amp;" (introuvable)"))</f>
        <v/>
      </c>
    </row>
    <row r="741" spans="1:9" x14ac:dyDescent="0.3">
      <c r="A741">
        <f t="shared" si="8"/>
        <v>736</v>
      </c>
      <c r="B741" s="35" t="str">
        <f>IF(Liens!A736="","",IF(COUNTIF(Mots!A:A,Liens!A736)&gt;0,"✓ "&amp;Liens!A736,"✗ "&amp;Liens!A736&amp;" (introuvable)"))</f>
        <v>✓ reve</v>
      </c>
      <c r="C741" s="35" t="str">
        <f>IF(Liens!B736="","",IF(COUNTIF(Mots!A:A,Liens!B736)&gt;0,"✓ "&amp;Liens!B736,"✗ "&amp;Liens!B736&amp;" (introuvable)"))</f>
        <v>✓ v_dormir</v>
      </c>
      <c r="D741" s="35" t="str">
        <f>IF(Liens!C736="","",IF(COUNTIF(Mots!A:A,Liens!C736)&gt;0,"✓ "&amp;Liens!C736,"✗ "&amp;Liens!C736&amp;" (introuvable)"))</f>
        <v>✓ chambre</v>
      </c>
      <c r="E741" s="35" t="str">
        <f>IF(Liens!D736="","",IF(COUNTIF(Mots!A:A,Liens!D736)&gt;0,"✓ "&amp;Liens!D736,"✗ "&amp;Liens!D736&amp;" (introuvable)"))</f>
        <v>✓ lit</v>
      </c>
      <c r="F741" s="35" t="str">
        <f>IF(Liens!E736="","",IF(COUNTIF(Mots!A:A,Liens!E736)&gt;0,"✓ "&amp;Liens!E736,"✗ "&amp;Liens!E736&amp;" (introuvable)"))</f>
        <v>✓ v_imaginer</v>
      </c>
      <c r="G741" s="35" t="str">
        <f>IF(Liens!F736="","",IF(COUNTIF(Mots!A:A,Liens!F736)&gt;0,"✓ "&amp;Liens!F736,"✗ "&amp;Liens!F736&amp;" (introuvable)"))</f>
        <v/>
      </c>
      <c r="H741" s="35" t="str">
        <f>IF(Liens!G736="","",IF(COUNTIF(Mots!A:A,Liens!G736)&gt;0,"✓ "&amp;Liens!G736,"✗ "&amp;Liens!G736&amp;" (introuvable)"))</f>
        <v/>
      </c>
      <c r="I741" s="35" t="str">
        <f>IF(Liens!H736="","",IF(COUNTIF(Mots!A:A,Liens!H736)&gt;0,"✓ "&amp;Liens!H736,"✗ "&amp;Liens!H736&amp;" (introuvable)"))</f>
        <v/>
      </c>
    </row>
    <row r="742" spans="1:9" x14ac:dyDescent="0.3">
      <c r="A742">
        <f t="shared" si="8"/>
        <v>737</v>
      </c>
      <c r="B742" s="35" t="str">
        <f>IF(Liens!A737="","",IF(COUNTIF(Mots!A:A,Liens!A737)&gt;0,"✓ "&amp;Liens!A737,"✗ "&amp;Liens!A737&amp;" (introuvable)"))</f>
        <v>✓ rhume</v>
      </c>
      <c r="C742" s="35" t="str">
        <f>IF(Liens!B737="","",IF(COUNTIF(Mots!A:A,Liens!B737)&gt;0,"✓ "&amp;Liens!B737,"✗ "&amp;Liens!B737&amp;" (introuvable)"))</f>
        <v>✓ nez</v>
      </c>
      <c r="D742" s="35" t="str">
        <f>IF(Liens!C737="","",IF(COUNTIF(Mots!A:A,Liens!C737)&gt;0,"✓ "&amp;Liens!C737,"✗ "&amp;Liens!C737&amp;" (introuvable)"))</f>
        <v>✓ toux</v>
      </c>
      <c r="E742" s="35" t="str">
        <f>IF(Liens!D737="","",IF(COUNTIF(Mots!A:A,Liens!D737)&gt;0,"✓ "&amp;Liens!D737,"✗ "&amp;Liens!D737&amp;" (introuvable)"))</f>
        <v>✓ a_chaud_froid</v>
      </c>
      <c r="F742" s="35" t="str">
        <f>IF(Liens!E737="","",IF(COUNTIF(Mots!A:A,Liens!E737)&gt;0,"✓ "&amp;Liens!E737,"✗ "&amp;Liens!E737&amp;" (introuvable)"))</f>
        <v>✓ echarpe</v>
      </c>
      <c r="G742" s="35" t="str">
        <f>IF(Liens!F737="","",IF(COUNTIF(Mots!A:A,Liens!F737)&gt;0,"✓ "&amp;Liens!F737,"✗ "&amp;Liens!F737&amp;" (introuvable)"))</f>
        <v>✓ bonnet</v>
      </c>
      <c r="H742" s="35" t="str">
        <f>IF(Liens!G737="","",IF(COUNTIF(Mots!A:A,Liens!G737)&gt;0,"✓ "&amp;Liens!G737,"✗ "&amp;Liens!G737&amp;" (introuvable)"))</f>
        <v>✓ mouchoir</v>
      </c>
      <c r="I742" s="35" t="str">
        <f>IF(Liens!H737="","",IF(COUNTIF(Mots!A:A,Liens!H737)&gt;0,"✓ "&amp;Liens!H737,"✗ "&amp;Liens!H737&amp;" (introuvable)"))</f>
        <v/>
      </c>
    </row>
    <row r="743" spans="1:9" x14ac:dyDescent="0.3">
      <c r="A743">
        <f t="shared" si="8"/>
        <v>738</v>
      </c>
      <c r="B743" s="35" t="str">
        <f>IF(Liens!A738="","",IF(COUNTIF(Mots!A:A,Liens!A738)&gt;0,"✓ "&amp;Liens!A738,"✗ "&amp;Liens!A738&amp;" (introuvable)"))</f>
        <v>✓ rideau</v>
      </c>
      <c r="C743" s="35" t="str">
        <f>IF(Liens!B738="","",IF(COUNTIF(Mots!A:A,Liens!B738)&gt;0,"✓ "&amp;Liens!B738,"✗ "&amp;Liens!B738&amp;" (introuvable)"))</f>
        <v>✓ maison</v>
      </c>
      <c r="D743" s="35" t="str">
        <f>IF(Liens!C738="","",IF(COUNTIF(Mots!A:A,Liens!C738)&gt;0,"✓ "&amp;Liens!C738,"✗ "&amp;Liens!C738&amp;" (introuvable)"))</f>
        <v>✓ fenetre</v>
      </c>
      <c r="E743" s="35" t="str">
        <f>IF(Liens!D738="","",IF(COUNTIF(Mots!A:A,Liens!D738)&gt;0,"✓ "&amp;Liens!D738,"✗ "&amp;Liens!D738&amp;" (introuvable)"))</f>
        <v>✓ chambre</v>
      </c>
      <c r="F743" s="35" t="str">
        <f>IF(Liens!E738="","",IF(COUNTIF(Mots!A:A,Liens!E738)&gt;0,"✓ "&amp;Liens!E738,"✗ "&amp;Liens!E738&amp;" (introuvable)"))</f>
        <v>✓ salon</v>
      </c>
      <c r="G743" s="35" t="str">
        <f>IF(Liens!F738="","",IF(COUNTIF(Mots!A:A,Liens!F738)&gt;0,"✓ "&amp;Liens!F738,"✗ "&amp;Liens!F738&amp;" (introuvable)"))</f>
        <v>✓ tissu</v>
      </c>
      <c r="H743" s="35" t="str">
        <f>IF(Liens!G738="","",IF(COUNTIF(Mots!A:A,Liens!G738)&gt;0,"✓ "&amp;Liens!G738,"✗ "&amp;Liens!G738&amp;" (introuvable)"))</f>
        <v>✓ a_clair_sombre</v>
      </c>
      <c r="I743" s="35" t="str">
        <f>IF(Liens!H738="","",IF(COUNTIF(Mots!A:A,Liens!H738)&gt;0,"✓ "&amp;Liens!H738,"✗ "&amp;Liens!H738&amp;" (introuvable)"))</f>
        <v>✓ v_dormir</v>
      </c>
    </row>
    <row r="744" spans="1:9" x14ac:dyDescent="0.3">
      <c r="A744">
        <f t="shared" si="8"/>
        <v>739</v>
      </c>
      <c r="B744" s="35" t="str">
        <f>IF(Liens!A739="","",IF(COUNTIF(Mots!A:A,Liens!A739)&gt;0,"✓ "&amp;Liens!A739,"✗ "&amp;Liens!A739&amp;" (introuvable)"))</f>
        <v>✓ risque</v>
      </c>
      <c r="C744" s="35" t="str">
        <f>IF(Liens!B739="","",IF(COUNTIF(Mots!A:A,Liens!B739)&gt;0,"✓ "&amp;Liens!B739,"✗ "&amp;Liens!B739&amp;" (introuvable)"))</f>
        <v>✓ danger</v>
      </c>
      <c r="D744" s="35" t="str">
        <f>IF(Liens!C739="","",IF(COUNTIF(Mots!A:A,Liens!C739)&gt;0,"✓ "&amp;Liens!C739,"✗ "&amp;Liens!C739&amp;" (introuvable)"))</f>
        <v>✓ attention</v>
      </c>
      <c r="E744" s="35" t="str">
        <f>IF(Liens!D739="","",IF(COUNTIF(Mots!A:A,Liens!D739)&gt;0,"✓ "&amp;Liens!D739,"✗ "&amp;Liens!D739&amp;" (introuvable)"))</f>
        <v/>
      </c>
      <c r="F744" s="35" t="str">
        <f>IF(Liens!E739="","",IF(COUNTIF(Mots!A:A,Liens!E739)&gt;0,"✓ "&amp;Liens!E739,"✗ "&amp;Liens!E739&amp;" (introuvable)"))</f>
        <v/>
      </c>
      <c r="G744" s="35" t="str">
        <f>IF(Liens!F739="","",IF(COUNTIF(Mots!A:A,Liens!F739)&gt;0,"✓ "&amp;Liens!F739,"✗ "&amp;Liens!F739&amp;" (introuvable)"))</f>
        <v/>
      </c>
      <c r="H744" s="35" t="str">
        <f>IF(Liens!G739="","",IF(COUNTIF(Mots!A:A,Liens!G739)&gt;0,"✓ "&amp;Liens!G739,"✗ "&amp;Liens!G739&amp;" (introuvable)"))</f>
        <v/>
      </c>
      <c r="I744" s="35" t="str">
        <f>IF(Liens!H739="","",IF(COUNTIF(Mots!A:A,Liens!H739)&gt;0,"✓ "&amp;Liens!H739,"✗ "&amp;Liens!H739&amp;" (introuvable)"))</f>
        <v/>
      </c>
    </row>
    <row r="745" spans="1:9" x14ac:dyDescent="0.3">
      <c r="A745">
        <f t="shared" si="8"/>
        <v>740</v>
      </c>
      <c r="B745" s="35" t="str">
        <f>IF(Liens!A740="","",IF(COUNTIF(Mots!A:A,Liens!A740)&gt;0,"✓ "&amp;Liens!A740,"✗ "&amp;Liens!A740&amp;" (introuvable)"))</f>
        <v>✓ riz</v>
      </c>
      <c r="C745" s="35" t="str">
        <f>IF(Liens!B740="","",IF(COUNTIF(Mots!A:A,Liens!B740)&gt;0,"✓ "&amp;Liens!B740,"✗ "&amp;Liens!B740&amp;" (introuvable)"))</f>
        <v>✓ nourriture</v>
      </c>
      <c r="D745" s="35" t="str">
        <f>IF(Liens!C740="","",IF(COUNTIF(Mots!A:A,Liens!C740)&gt;0,"✓ "&amp;Liens!C740,"✗ "&amp;Liens!C740&amp;" (introuvable)"))</f>
        <v>✓ grain</v>
      </c>
      <c r="E745" s="35" t="str">
        <f>IF(Liens!D740="","",IF(COUNTIF(Mots!A:A,Liens!D740)&gt;0,"✓ "&amp;Liens!D740,"✗ "&amp;Liens!D740&amp;" (introuvable)"))</f>
        <v>✓ c_blanc</v>
      </c>
      <c r="F745" s="35" t="str">
        <f>IF(Liens!E740="","",IF(COUNTIF(Mots!A:A,Liens!E740)&gt;0,"✓ "&amp;Liens!E740,"✗ "&amp;Liens!E740&amp;" (introuvable)"))</f>
        <v>✓ v_manger</v>
      </c>
      <c r="G745" s="35" t="str">
        <f>IF(Liens!F740="","",IF(COUNTIF(Mots!A:A,Liens!F740)&gt;0,"✓ "&amp;Liens!F740,"✗ "&amp;Liens!F740&amp;" (introuvable)"))</f>
        <v/>
      </c>
      <c r="H745" s="35" t="str">
        <f>IF(Liens!G740="","",IF(COUNTIF(Mots!A:A,Liens!G740)&gt;0,"✓ "&amp;Liens!G740,"✗ "&amp;Liens!G740&amp;" (introuvable)"))</f>
        <v/>
      </c>
      <c r="I745" s="35" t="str">
        <f>IF(Liens!H740="","",IF(COUNTIF(Mots!A:A,Liens!H740)&gt;0,"✓ "&amp;Liens!H740,"✗ "&amp;Liens!H740&amp;" (introuvable)"))</f>
        <v/>
      </c>
    </row>
    <row r="746" spans="1:9" x14ac:dyDescent="0.3">
      <c r="A746">
        <f t="shared" si="8"/>
        <v>741</v>
      </c>
      <c r="B746" s="35" t="str">
        <f>IF(Liens!A741="","",IF(COUNTIF(Mots!A:A,Liens!A741)&gt;0,"✓ "&amp;Liens!A741,"✗ "&amp;Liens!A741&amp;" (introuvable)"))</f>
        <v>✓ robe</v>
      </c>
      <c r="C746" s="35" t="str">
        <f>IF(Liens!B741="","",IF(COUNTIF(Mots!A:A,Liens!B741)&gt;0,"✓ "&amp;Liens!B741,"✗ "&amp;Liens!B741&amp;" (introuvable)"))</f>
        <v>✓ vetement</v>
      </c>
      <c r="D746" s="35" t="str">
        <f>IF(Liens!C741="","",IF(COUNTIF(Mots!A:A,Liens!C741)&gt;0,"✓ "&amp;Liens!C741,"✗ "&amp;Liens!C741&amp;" (introuvable)"))</f>
        <v>✓ femme</v>
      </c>
      <c r="E746" s="35" t="str">
        <f>IF(Liens!D741="","",IF(COUNTIF(Mots!A:A,Liens!D741)&gt;0,"✓ "&amp;Liens!D741,"✗ "&amp;Liens!D741&amp;" (introuvable)"))</f>
        <v>✓ fille</v>
      </c>
      <c r="F746" s="35" t="str">
        <f>IF(Liens!E741="","",IF(COUNTIF(Mots!A:A,Liens!E741)&gt;0,"✓ "&amp;Liens!E741,"✗ "&amp;Liens!E741&amp;" (introuvable)"))</f>
        <v>✓ feminin</v>
      </c>
      <c r="G746" s="35" t="str">
        <f>IF(Liens!F741="","",IF(COUNTIF(Mots!A:A,Liens!F741)&gt;0,"✓ "&amp;Liens!F741,"✗ "&amp;Liens!F741&amp;" (introuvable)"))</f>
        <v>✓ jupe</v>
      </c>
      <c r="H746" s="35" t="str">
        <f>IF(Liens!G741="","",IF(COUNTIF(Mots!A:A,Liens!G741)&gt;0,"✓ "&amp;Liens!G741,"✗ "&amp;Liens!G741&amp;" (introuvable)"))</f>
        <v/>
      </c>
      <c r="I746" s="35" t="str">
        <f>IF(Liens!H741="","",IF(COUNTIF(Mots!A:A,Liens!H741)&gt;0,"✓ "&amp;Liens!H741,"✗ "&amp;Liens!H741&amp;" (introuvable)"))</f>
        <v/>
      </c>
    </row>
    <row r="747" spans="1:9" x14ac:dyDescent="0.3">
      <c r="A747">
        <f t="shared" si="8"/>
        <v>742</v>
      </c>
      <c r="B747" s="35" t="str">
        <f>IF(Liens!A742="","",IF(COUNTIF(Mots!A:A,Liens!A742)&gt;0,"✓ "&amp;Liens!A742,"✗ "&amp;Liens!A742&amp;" (introuvable)"))</f>
        <v>✓ robinet</v>
      </c>
      <c r="C747" s="35" t="str">
        <f>IF(Liens!B742="","",IF(COUNTIF(Mots!A:A,Liens!B742)&gt;0,"✓ "&amp;Liens!B742,"✗ "&amp;Liens!B742&amp;" (introuvable)"))</f>
        <v>✓ maison</v>
      </c>
      <c r="D747" s="35" t="str">
        <f>IF(Liens!C742="","",IF(COUNTIF(Mots!A:A,Liens!C742)&gt;0,"✓ "&amp;Liens!C742,"✗ "&amp;Liens!C742&amp;" (introuvable)"))</f>
        <v>✓ eau</v>
      </c>
      <c r="E747" s="35" t="str">
        <f>IF(Liens!D742="","",IF(COUNTIF(Mots!A:A,Liens!D742)&gt;0,"✓ "&amp;Liens!D742,"✗ "&amp;Liens!D742&amp;" (introuvable)"))</f>
        <v>✓ cuisine</v>
      </c>
      <c r="F747" s="35" t="str">
        <f>IF(Liens!E742="","",IF(COUNTIF(Mots!A:A,Liens!E742)&gt;0,"✓ "&amp;Liens!E742,"✗ "&amp;Liens!E742&amp;" (introuvable)"))</f>
        <v>✓ salle_de_bain</v>
      </c>
      <c r="G747" s="35" t="str">
        <f>IF(Liens!F742="","",IF(COUNTIF(Mots!A:A,Liens!F742)&gt;0,"✓ "&amp;Liens!F742,"✗ "&amp;Liens!F742&amp;" (introuvable)"))</f>
        <v>✓ evier_ou_plonge</v>
      </c>
      <c r="H747" s="35" t="str">
        <f>IF(Liens!G742="","",IF(COUNTIF(Mots!A:A,Liens!G742)&gt;0,"✓ "&amp;Liens!G742,"✗ "&amp;Liens!G742&amp;" (introuvable)"))</f>
        <v>✓ lavabo</v>
      </c>
      <c r="I747" s="35" t="str">
        <f>IF(Liens!H742="","",IF(COUNTIF(Mots!A:A,Liens!H742)&gt;0,"✓ "&amp;Liens!H742,"✗ "&amp;Liens!H742&amp;" (introuvable)"))</f>
        <v>✓ v_laver</v>
      </c>
    </row>
    <row r="748" spans="1:9" x14ac:dyDescent="0.3">
      <c r="A748">
        <f t="shared" si="8"/>
        <v>743</v>
      </c>
      <c r="B748" s="35" t="str">
        <f>IF(Liens!A743="","",IF(COUNTIF(Mots!A:A,Liens!A743)&gt;0,"✓ "&amp;Liens!A743,"✗ "&amp;Liens!A743&amp;" (introuvable)"))</f>
        <v>✓ roche</v>
      </c>
      <c r="C748" s="35" t="str">
        <f>IF(Liens!B743="","",IF(COUNTIF(Mots!A:A,Liens!B743)&gt;0,"✓ "&amp;Liens!B743,"✗ "&amp;Liens!B743&amp;" (introuvable)"))</f>
        <v>✓ matiere</v>
      </c>
      <c r="D748" s="35" t="str">
        <f>IF(Liens!C743="","",IF(COUNTIF(Mots!A:A,Liens!C743)&gt;0,"✓ "&amp;Liens!C743,"✗ "&amp;Liens!C743&amp;" (introuvable)"))</f>
        <v>✓ pierre</v>
      </c>
      <c r="E748" s="35" t="str">
        <f>IF(Liens!D743="","",IF(COUNTIF(Mots!A:A,Liens!D743)&gt;0,"✓ "&amp;Liens!D743,"✗ "&amp;Liens!D743&amp;" (introuvable)"))</f>
        <v>✓ montagne</v>
      </c>
      <c r="F748" s="35" t="str">
        <f>IF(Liens!E743="","",IF(COUNTIF(Mots!A:A,Liens!E743)&gt;0,"✓ "&amp;Liens!E743,"✗ "&amp;Liens!E743&amp;" (introuvable)"))</f>
        <v>✓ rocher</v>
      </c>
      <c r="G748" s="35" t="str">
        <f>IF(Liens!F743="","",IF(COUNTIF(Mots!A:A,Liens!F743)&gt;0,"✓ "&amp;Liens!F743,"✗ "&amp;Liens!F743&amp;" (introuvable)"))</f>
        <v/>
      </c>
      <c r="H748" s="35" t="str">
        <f>IF(Liens!G743="","",IF(COUNTIF(Mots!A:A,Liens!G743)&gt;0,"✓ "&amp;Liens!G743,"✗ "&amp;Liens!G743&amp;" (introuvable)"))</f>
        <v/>
      </c>
      <c r="I748" s="35" t="str">
        <f>IF(Liens!H743="","",IF(COUNTIF(Mots!A:A,Liens!H743)&gt;0,"✓ "&amp;Liens!H743,"✗ "&amp;Liens!H743&amp;" (introuvable)"))</f>
        <v/>
      </c>
    </row>
    <row r="749" spans="1:9" x14ac:dyDescent="0.3">
      <c r="A749">
        <f t="shared" si="8"/>
        <v>744</v>
      </c>
      <c r="B749" s="35" t="str">
        <f>IF(Liens!A744="","",IF(COUNTIF(Mots!A:A,Liens!A744)&gt;0,"✓ "&amp;Liens!A744,"✗ "&amp;Liens!A744&amp;" (introuvable)"))</f>
        <v>✓ rocher</v>
      </c>
      <c r="C749" s="35" t="str">
        <f>IF(Liens!B744="","",IF(COUNTIF(Mots!A:A,Liens!B744)&gt;0,"✓ "&amp;Liens!B744,"✗ "&amp;Liens!B744&amp;" (introuvable)"))</f>
        <v>✓ roche</v>
      </c>
      <c r="D749" s="35" t="str">
        <f>IF(Liens!C744="","",IF(COUNTIF(Mots!A:A,Liens!C744)&gt;0,"✓ "&amp;Liens!C744,"✗ "&amp;Liens!C744&amp;" (introuvable)"))</f>
        <v>✓ pierre</v>
      </c>
      <c r="E749" s="35" t="str">
        <f>IF(Liens!D744="","",IF(COUNTIF(Mots!A:A,Liens!D744)&gt;0,"✓ "&amp;Liens!D744,"✗ "&amp;Liens!D744&amp;" (introuvable)"))</f>
        <v>✓ montagne</v>
      </c>
      <c r="F749" s="35" t="str">
        <f>IF(Liens!E744="","",IF(COUNTIF(Mots!A:A,Liens!E744)&gt;0,"✓ "&amp;Liens!E744,"✗ "&amp;Liens!E744&amp;" (introuvable)"))</f>
        <v>✓ nature</v>
      </c>
      <c r="G749" s="35" t="str">
        <f>IF(Liens!F744="","",IF(COUNTIF(Mots!A:A,Liens!F744)&gt;0,"✓ "&amp;Liens!F744,"✗ "&amp;Liens!F744&amp;" (introuvable)"))</f>
        <v/>
      </c>
      <c r="H749" s="35" t="str">
        <f>IF(Liens!G744="","",IF(COUNTIF(Mots!A:A,Liens!G744)&gt;0,"✓ "&amp;Liens!G744,"✗ "&amp;Liens!G744&amp;" (introuvable)"))</f>
        <v/>
      </c>
      <c r="I749" s="35" t="str">
        <f>IF(Liens!H744="","",IF(COUNTIF(Mots!A:A,Liens!H744)&gt;0,"✓ "&amp;Liens!H744,"✗ "&amp;Liens!H744&amp;" (introuvable)"))</f>
        <v/>
      </c>
    </row>
    <row r="750" spans="1:9" x14ac:dyDescent="0.3">
      <c r="A750">
        <f t="shared" si="8"/>
        <v>745</v>
      </c>
      <c r="B750" s="35" t="str">
        <f>IF(Liens!A745="","",IF(COUNTIF(Mots!A:A,Liens!A745)&gt;0,"✓ "&amp;Liens!A745,"✗ "&amp;Liens!A745&amp;" (introuvable)"))</f>
        <v>✓ rond</v>
      </c>
      <c r="C750" s="35" t="str">
        <f>IF(Liens!B745="","",IF(COUNTIF(Mots!A:A,Liens!B745)&gt;0,"✓ "&amp;Liens!B745,"✗ "&amp;Liens!B745&amp;" (introuvable)"))</f>
        <v>✓ forme</v>
      </c>
      <c r="D750" s="35" t="str">
        <f>IF(Liens!C745="","",IF(COUNTIF(Mots!A:A,Liens!C745)&gt;0,"✓ "&amp;Liens!C745,"✗ "&amp;Liens!C745&amp;" (introuvable)"))</f>
        <v>✓ cercle</v>
      </c>
      <c r="E750" s="35" t="str">
        <f>IF(Liens!D745="","",IF(COUNTIF(Mots!A:A,Liens!D745)&gt;0,"✓ "&amp;Liens!D745,"✗ "&amp;Liens!D745&amp;" (introuvable)"))</f>
        <v>✓ balle</v>
      </c>
      <c r="F750" s="35" t="str">
        <f>IF(Liens!E745="","",IF(COUNTIF(Mots!A:A,Liens!E745)&gt;0,"✓ "&amp;Liens!E745,"✗ "&amp;Liens!E745&amp;" (introuvable)"))</f>
        <v>✓ ballon</v>
      </c>
      <c r="G750" s="35" t="str">
        <f>IF(Liens!F745="","",IF(COUNTIF(Mots!A:A,Liens!F745)&gt;0,"✓ "&amp;Liens!F745,"✗ "&amp;Liens!F745&amp;" (introuvable)"))</f>
        <v/>
      </c>
      <c r="H750" s="35" t="str">
        <f>IF(Liens!G745="","",IF(COUNTIF(Mots!A:A,Liens!G745)&gt;0,"✓ "&amp;Liens!G745,"✗ "&amp;Liens!G745&amp;" (introuvable)"))</f>
        <v/>
      </c>
      <c r="I750" s="35" t="str">
        <f>IF(Liens!H745="","",IF(COUNTIF(Mots!A:A,Liens!H745)&gt;0,"✓ "&amp;Liens!H745,"✗ "&amp;Liens!H745&amp;" (introuvable)"))</f>
        <v/>
      </c>
    </row>
    <row r="751" spans="1:9" x14ac:dyDescent="0.3">
      <c r="A751">
        <f t="shared" si="8"/>
        <v>746</v>
      </c>
      <c r="B751" s="35" t="str">
        <f>IF(Liens!A746="","",IF(COUNTIF(Mots!A:A,Liens!A746)&gt;0,"✓ "&amp;Liens!A746,"✗ "&amp;Liens!A746&amp;" (introuvable)"))</f>
        <v>✓ rosee</v>
      </c>
      <c r="C751" s="35" t="str">
        <f>IF(Liens!B746="","",IF(COUNTIF(Mots!A:A,Liens!B746)&gt;0,"✓ "&amp;Liens!B746,"✗ "&amp;Liens!B746&amp;" (introuvable)"))</f>
        <v>✓ goutte</v>
      </c>
      <c r="D751" s="35" t="str">
        <f>IF(Liens!C746="","",IF(COUNTIF(Mots!A:A,Liens!C746)&gt;0,"✓ "&amp;Liens!C746,"✗ "&amp;Liens!C746&amp;" (introuvable)"))</f>
        <v>✓ plante</v>
      </c>
      <c r="E751" s="35" t="str">
        <f>IF(Liens!D746="","",IF(COUNTIF(Mots!A:A,Liens!D746)&gt;0,"✓ "&amp;Liens!D746,"✗ "&amp;Liens!D746&amp;" (introuvable)"))</f>
        <v>✓ fleur</v>
      </c>
      <c r="F751" s="35" t="str">
        <f>IF(Liens!E746="","",IF(COUNTIF(Mots!A:A,Liens!E746)&gt;0,"✓ "&amp;Liens!E746,"✗ "&amp;Liens!E746&amp;" (introuvable)"))</f>
        <v>✓ feuille_plante</v>
      </c>
      <c r="G751" s="35" t="str">
        <f>IF(Liens!F746="","",IF(COUNTIF(Mots!A:A,Liens!F746)&gt;0,"✓ "&amp;Liens!F746,"✗ "&amp;Liens!F746&amp;" (introuvable)"))</f>
        <v>✓ matin</v>
      </c>
      <c r="H751" s="35" t="str">
        <f>IF(Liens!G746="","",IF(COUNTIF(Mots!A:A,Liens!G746)&gt;0,"✓ "&amp;Liens!G746,"✗ "&amp;Liens!G746&amp;" (introuvable)"))</f>
        <v>✓ exterieur</v>
      </c>
      <c r="I751" s="35" t="str">
        <f>IF(Liens!H746="","",IF(COUNTIF(Mots!A:A,Liens!H746)&gt;0,"✓ "&amp;Liens!H746,"✗ "&amp;Liens!H746&amp;" (introuvable)"))</f>
        <v>✓ nature</v>
      </c>
    </row>
    <row r="752" spans="1:9" x14ac:dyDescent="0.3">
      <c r="A752">
        <f t="shared" si="8"/>
        <v>747</v>
      </c>
      <c r="B752" s="35" t="str">
        <f>IF(Liens!A747="","",IF(COUNTIF(Mots!A:A,Liens!A747)&gt;0,"✓ "&amp;Liens!A747,"✗ "&amp;Liens!A747&amp;" (introuvable)"))</f>
        <v>✓ roue</v>
      </c>
      <c r="C752" s="35" t="str">
        <f>IF(Liens!B747="","",IF(COUNTIF(Mots!A:A,Liens!B747)&gt;0,"✓ "&amp;Liens!B747,"✗ "&amp;Liens!B747&amp;" (introuvable)"))</f>
        <v>✓ rond</v>
      </c>
      <c r="D752" s="35" t="str">
        <f>IF(Liens!C747="","",IF(COUNTIF(Mots!A:A,Liens!C747)&gt;0,"✓ "&amp;Liens!C747,"✗ "&amp;Liens!C747&amp;" (introuvable)"))</f>
        <v>✓ pneu</v>
      </c>
      <c r="E752" s="35" t="str">
        <f>IF(Liens!D747="","",IF(COUNTIF(Mots!A:A,Liens!D747)&gt;0,"✓ "&amp;Liens!D747,"✗ "&amp;Liens!D747&amp;" (introuvable)"))</f>
        <v>✓ jante</v>
      </c>
      <c r="F752" s="35" t="str">
        <f>IF(Liens!E747="","",IF(COUNTIF(Mots!A:A,Liens!E747)&gt;0,"✓ "&amp;Liens!E747,"✗ "&amp;Liens!E747&amp;" (introuvable)"))</f>
        <v>✓ voiture</v>
      </c>
      <c r="G752" s="35" t="str">
        <f>IF(Liens!F747="","",IF(COUNTIF(Mots!A:A,Liens!F747)&gt;0,"✓ "&amp;Liens!F747,"✗ "&amp;Liens!F747&amp;" (introuvable)"))</f>
        <v>✓ velo</v>
      </c>
      <c r="H752" s="35" t="str">
        <f>IF(Liens!G747="","",IF(COUNTIF(Mots!A:A,Liens!G747)&gt;0,"✓ "&amp;Liens!G747,"✗ "&amp;Liens!G747&amp;" (introuvable)"))</f>
        <v>✓ camion</v>
      </c>
      <c r="I752" s="35" t="str">
        <f>IF(Liens!H747="","",IF(COUNTIF(Mots!A:A,Liens!H747)&gt;0,"✓ "&amp;Liens!H747,"✗ "&amp;Liens!H747&amp;" (introuvable)"))</f>
        <v>✓ tracteur</v>
      </c>
    </row>
    <row r="753" spans="1:9" x14ac:dyDescent="0.3">
      <c r="A753">
        <f t="shared" si="8"/>
        <v>748</v>
      </c>
      <c r="B753" s="35" t="str">
        <f>IF(Liens!A748="","",IF(COUNTIF(Mots!A:A,Liens!A748)&gt;0,"✓ "&amp;Liens!A748,"✗ "&amp;Liens!A748&amp;" (introuvable)"))</f>
        <v>✓ route</v>
      </c>
      <c r="C753" s="35" t="str">
        <f>IF(Liens!B748="","",IF(COUNTIF(Mots!A:A,Liens!B748)&gt;0,"✓ "&amp;Liens!B748,"✗ "&amp;Liens!B748&amp;" (introuvable)"))</f>
        <v>✓ voiture</v>
      </c>
      <c r="D753" s="35" t="str">
        <f>IF(Liens!C748="","",IF(COUNTIF(Mots!A:A,Liens!C748)&gt;0,"✓ "&amp;Liens!C748,"✗ "&amp;Liens!C748&amp;" (introuvable)"))</f>
        <v>✓ ville</v>
      </c>
      <c r="E753" s="35" t="str">
        <f>IF(Liens!D748="","",IF(COUNTIF(Mots!A:A,Liens!D748)&gt;0,"✓ "&amp;Liens!D748,"✗ "&amp;Liens!D748&amp;" (introuvable)"))</f>
        <v>✓ v_conduire</v>
      </c>
      <c r="F753" s="35" t="str">
        <f>IF(Liens!E748="","",IF(COUNTIF(Mots!A:A,Liens!E748)&gt;0,"✓ "&amp;Liens!E748,"✗ "&amp;Liens!E748&amp;" (introuvable)"))</f>
        <v>✓ v_aller</v>
      </c>
      <c r="G753" s="35" t="str">
        <f>IF(Liens!F748="","",IF(COUNTIF(Mots!A:A,Liens!F748)&gt;0,"✓ "&amp;Liens!F748,"✗ "&amp;Liens!F748&amp;" (introuvable)"))</f>
        <v/>
      </c>
      <c r="H753" s="35" t="str">
        <f>IF(Liens!G748="","",IF(COUNTIF(Mots!A:A,Liens!G748)&gt;0,"✓ "&amp;Liens!G748,"✗ "&amp;Liens!G748&amp;" (introuvable)"))</f>
        <v/>
      </c>
      <c r="I753" s="35" t="str">
        <f>IF(Liens!H748="","",IF(COUNTIF(Mots!A:A,Liens!H748)&gt;0,"✓ "&amp;Liens!H748,"✗ "&amp;Liens!H748&amp;" (introuvable)"))</f>
        <v/>
      </c>
    </row>
    <row r="754" spans="1:9" x14ac:dyDescent="0.3">
      <c r="A754">
        <f t="shared" si="8"/>
        <v>749</v>
      </c>
      <c r="B754" s="35" t="str">
        <f>IF(Liens!A749="","",IF(COUNTIF(Mots!A:A,Liens!A749)&gt;0,"✓ "&amp;Liens!A749,"✗ "&amp;Liens!A749&amp;" (introuvable)"))</f>
        <v>✓ ruban</v>
      </c>
      <c r="C754" s="35" t="str">
        <f>IF(Liens!B749="","",IF(COUNTIF(Mots!A:A,Liens!B749)&gt;0,"✓ "&amp;Liens!B749,"✗ "&amp;Liens!B749&amp;" (introuvable)"))</f>
        <v>✓ bande</v>
      </c>
      <c r="D754" s="35" t="str">
        <f>IF(Liens!C749="","",IF(COUNTIF(Mots!A:A,Liens!C749)&gt;0,"✓ "&amp;Liens!C749,"✗ "&amp;Liens!C749&amp;" (introuvable)"))</f>
        <v>✓ cheveux</v>
      </c>
      <c r="E754" s="35" t="str">
        <f>IF(Liens!D749="","",IF(COUNTIF(Mots!A:A,Liens!D749)&gt;0,"✓ "&amp;Liens!D749,"✗ "&amp;Liens!D749&amp;" (introuvable)"))</f>
        <v>✓ tissu</v>
      </c>
      <c r="F754" s="35" t="str">
        <f>IF(Liens!E749="","",IF(COUNTIF(Mots!A:A,Liens!E749)&gt;0,"✓ "&amp;Liens!E749,"✗ "&amp;Liens!E749&amp;" (introuvable)"))</f>
        <v/>
      </c>
      <c r="G754" s="35" t="str">
        <f>IF(Liens!F749="","",IF(COUNTIF(Mots!A:A,Liens!F749)&gt;0,"✓ "&amp;Liens!F749,"✗ "&amp;Liens!F749&amp;" (introuvable)"))</f>
        <v/>
      </c>
      <c r="H754" s="35" t="str">
        <f>IF(Liens!G749="","",IF(COUNTIF(Mots!A:A,Liens!G749)&gt;0,"✓ "&amp;Liens!G749,"✗ "&amp;Liens!G749&amp;" (introuvable)"))</f>
        <v/>
      </c>
      <c r="I754" s="35" t="str">
        <f>IF(Liens!H749="","",IF(COUNTIF(Mots!A:A,Liens!H749)&gt;0,"✓ "&amp;Liens!H749,"✗ "&amp;Liens!H749&amp;" (introuvable)"))</f>
        <v/>
      </c>
    </row>
    <row r="755" spans="1:9" x14ac:dyDescent="0.3">
      <c r="A755">
        <f t="shared" si="8"/>
        <v>750</v>
      </c>
      <c r="B755" s="35" t="str">
        <f>IF(Liens!A750="","",IF(COUNTIF(Mots!A:A,Liens!A750)&gt;0,"✓ "&amp;Liens!A750,"✗ "&amp;Liens!A750&amp;" (introuvable)"))</f>
        <v>✓ rue</v>
      </c>
      <c r="C755" s="35" t="str">
        <f>IF(Liens!B750="","",IF(COUNTIF(Mots!A:A,Liens!B750)&gt;0,"✓ "&amp;Liens!B750,"✗ "&amp;Liens!B750&amp;" (introuvable)"))</f>
        <v>✓ route</v>
      </c>
      <c r="D755" s="35" t="str">
        <f>IF(Liens!C750="","",IF(COUNTIF(Mots!A:A,Liens!C750)&gt;0,"✓ "&amp;Liens!C750,"✗ "&amp;Liens!C750&amp;" (introuvable)"))</f>
        <v>✓ trottoir</v>
      </c>
      <c r="E755" s="35" t="str">
        <f>IF(Liens!D750="","",IF(COUNTIF(Mots!A:A,Liens!D750)&gt;0,"✓ "&amp;Liens!D750,"✗ "&amp;Liens!D750&amp;" (introuvable)"))</f>
        <v>✓ ville</v>
      </c>
      <c r="F755" s="35" t="str">
        <f>IF(Liens!E750="","",IF(COUNTIF(Mots!A:A,Liens!E750)&gt;0,"✓ "&amp;Liens!E750,"✗ "&amp;Liens!E750&amp;" (introuvable)"))</f>
        <v>✓ maison</v>
      </c>
      <c r="G755" s="35" t="str">
        <f>IF(Liens!F750="","",IF(COUNTIF(Mots!A:A,Liens!F750)&gt;0,"✓ "&amp;Liens!F750,"✗ "&amp;Liens!F750&amp;" (introuvable)"))</f>
        <v>✓ boutique</v>
      </c>
      <c r="H755" s="35" t="str">
        <f>IF(Liens!G750="","",IF(COUNTIF(Mots!A:A,Liens!G750)&gt;0,"✓ "&amp;Liens!G750,"✗ "&amp;Liens!G750&amp;" (introuvable)"))</f>
        <v>✓ v_marcher</v>
      </c>
      <c r="I755" s="35" t="str">
        <f>IF(Liens!H750="","",IF(COUNTIF(Mots!A:A,Liens!H750)&gt;0,"✓ "&amp;Liens!H750,"✗ "&amp;Liens!H750&amp;" (introuvable)"))</f>
        <v>✓ voiture</v>
      </c>
    </row>
    <row r="756" spans="1:9" x14ac:dyDescent="0.3">
      <c r="A756">
        <f t="shared" si="8"/>
        <v>751</v>
      </c>
      <c r="B756" s="35" t="str">
        <f>IF(Liens!A751="","",IF(COUNTIF(Mots!A:A,Liens!A751)&gt;0,"✓ "&amp;Liens!A751,"✗ "&amp;Liens!A751&amp;" (introuvable)"))</f>
        <v>✓ rythme</v>
      </c>
      <c r="C756" s="35" t="str">
        <f>IF(Liens!B751="","",IF(COUNTIF(Mots!A:A,Liens!B751)&gt;0,"✓ "&amp;Liens!B751,"✗ "&amp;Liens!B751&amp;" (introuvable)"))</f>
        <v>✓ metronome</v>
      </c>
      <c r="D756" s="35" t="str">
        <f>IF(Liens!C751="","",IF(COUNTIF(Mots!A:A,Liens!C751)&gt;0,"✓ "&amp;Liens!C751,"✗ "&amp;Liens!C751&amp;" (introuvable)"))</f>
        <v>✓ directeur</v>
      </c>
      <c r="E756" s="35" t="str">
        <f>IF(Liens!D751="","",IF(COUNTIF(Mots!A:A,Liens!D751)&gt;0,"✓ "&amp;Liens!D751,"✗ "&amp;Liens!D751&amp;" (introuvable)"))</f>
        <v>✓ v_jouer</v>
      </c>
      <c r="F756" s="35" t="str">
        <f>IF(Liens!E751="","",IF(COUNTIF(Mots!A:A,Liens!E751)&gt;0,"✓ "&amp;Liens!E751,"✗ "&amp;Liens!E751&amp;" (introuvable)"))</f>
        <v>✓ v_chanter</v>
      </c>
      <c r="G756" s="35" t="str">
        <f>IF(Liens!F751="","",IF(COUNTIF(Mots!A:A,Liens!F751)&gt;0,"✓ "&amp;Liens!F751,"✗ "&amp;Liens!F751&amp;" (introuvable)"))</f>
        <v>✓ baguette</v>
      </c>
      <c r="H756" s="35" t="str">
        <f>IF(Liens!G751="","",IF(COUNTIF(Mots!A:A,Liens!G751)&gt;0,"✓ "&amp;Liens!G751,"✗ "&amp;Liens!G751&amp;" (introuvable)"))</f>
        <v>✓ batterie</v>
      </c>
      <c r="I756" s="35" t="str">
        <f>IF(Liens!H751="","",IF(COUNTIF(Mots!A:A,Liens!H751)&gt;0,"✓ "&amp;Liens!H751,"✗ "&amp;Liens!H751&amp;" (introuvable)"))</f>
        <v>✓ mouvement</v>
      </c>
    </row>
    <row r="757" spans="1:9" x14ac:dyDescent="0.3">
      <c r="A757">
        <f t="shared" si="8"/>
        <v>752</v>
      </c>
      <c r="B757" s="35" t="str">
        <f>IF(Liens!A752="","",IF(COUNTIF(Mots!A:A,Liens!A752)&gt;0,"✓ "&amp;Liens!A752,"✗ "&amp;Liens!A752&amp;" (introuvable)"))</f>
        <v>✓ sable</v>
      </c>
      <c r="C757" s="35" t="str">
        <f>IF(Liens!B752="","",IF(COUNTIF(Mots!A:A,Liens!B752)&gt;0,"✓ "&amp;Liens!B752,"✗ "&amp;Liens!B752&amp;" (introuvable)"))</f>
        <v>✓ plage</v>
      </c>
      <c r="D757" s="35" t="str">
        <f>IF(Liens!C752="","",IF(COUNTIF(Mots!A:A,Liens!C752)&gt;0,"✓ "&amp;Liens!C752,"✗ "&amp;Liens!C752&amp;" (introuvable)"))</f>
        <v>✓ grain</v>
      </c>
      <c r="E757" s="35" t="str">
        <f>IF(Liens!D752="","",IF(COUNTIF(Mots!A:A,Liens!D752)&gt;0,"✓ "&amp;Liens!D752,"✗ "&amp;Liens!D752&amp;" (introuvable)"))</f>
        <v>✓ mer</v>
      </c>
      <c r="F757" s="35" t="str">
        <f>IF(Liens!E752="","",IF(COUNTIF(Mots!A:A,Liens!E752)&gt;0,"✓ "&amp;Liens!E752,"✗ "&amp;Liens!E752&amp;" (introuvable)"))</f>
        <v>✓ vacances</v>
      </c>
      <c r="G757" s="35" t="str">
        <f>IF(Liens!F752="","",IF(COUNTIF(Mots!A:A,Liens!F752)&gt;0,"✓ "&amp;Liens!F752,"✗ "&amp;Liens!F752&amp;" (introuvable)"))</f>
        <v/>
      </c>
      <c r="H757" s="35" t="str">
        <f>IF(Liens!G752="","",IF(COUNTIF(Mots!A:A,Liens!G752)&gt;0,"✓ "&amp;Liens!G752,"✗ "&amp;Liens!G752&amp;" (introuvable)"))</f>
        <v/>
      </c>
      <c r="I757" s="35" t="str">
        <f>IF(Liens!H752="","",IF(COUNTIF(Mots!A:A,Liens!H752)&gt;0,"✓ "&amp;Liens!H752,"✗ "&amp;Liens!H752&amp;" (introuvable)"))</f>
        <v/>
      </c>
    </row>
    <row r="758" spans="1:9" x14ac:dyDescent="0.3">
      <c r="A758">
        <f t="shared" si="8"/>
        <v>753</v>
      </c>
      <c r="B758" s="35" t="str">
        <f>IF(Liens!A753="","",IF(COUNTIF(Mots!A:A,Liens!A753)&gt;0,"✓ "&amp;Liens!A753,"✗ "&amp;Liens!A753&amp;" (introuvable)"))</f>
        <v>✓ sac</v>
      </c>
      <c r="C758" s="35" t="str">
        <f>IF(Liens!B753="","",IF(COUNTIF(Mots!A:A,Liens!B753)&gt;0,"✓ "&amp;Liens!B753,"✗ "&amp;Liens!B753&amp;" (introuvable)"))</f>
        <v>✓ femme</v>
      </c>
      <c r="D758" s="35" t="str">
        <f>IF(Liens!C753="","",IF(COUNTIF(Mots!A:A,Liens!C753)&gt;0,"✓ "&amp;Liens!C753,"✗ "&amp;Liens!C753&amp;" (introuvable)"))</f>
        <v>✓ fille</v>
      </c>
      <c r="E758" s="35" t="str">
        <f>IF(Liens!D753="","",IF(COUNTIF(Mots!A:A,Liens!D753)&gt;0,"✓ "&amp;Liens!D753,"✗ "&amp;Liens!D753&amp;" (introuvable)"))</f>
        <v/>
      </c>
      <c r="F758" s="35" t="str">
        <f>IF(Liens!E753="","",IF(COUNTIF(Mots!A:A,Liens!E753)&gt;0,"✓ "&amp;Liens!E753,"✗ "&amp;Liens!E753&amp;" (introuvable)"))</f>
        <v/>
      </c>
      <c r="G758" s="35" t="str">
        <f>IF(Liens!F753="","",IF(COUNTIF(Mots!A:A,Liens!F753)&gt;0,"✓ "&amp;Liens!F753,"✗ "&amp;Liens!F753&amp;" (introuvable)"))</f>
        <v/>
      </c>
      <c r="H758" s="35" t="str">
        <f>IF(Liens!G753="","",IF(COUNTIF(Mots!A:A,Liens!G753)&gt;0,"✓ "&amp;Liens!G753,"✗ "&amp;Liens!G753&amp;" (introuvable)"))</f>
        <v/>
      </c>
      <c r="I758" s="35" t="str">
        <f>IF(Liens!H753="","",IF(COUNTIF(Mots!A:A,Liens!H753)&gt;0,"✓ "&amp;Liens!H753,"✗ "&amp;Liens!H753&amp;" (introuvable)"))</f>
        <v/>
      </c>
    </row>
    <row r="759" spans="1:9" x14ac:dyDescent="0.3">
      <c r="A759">
        <f t="shared" si="8"/>
        <v>754</v>
      </c>
      <c r="B759" s="35" t="str">
        <f>IF(Liens!A754="","",IF(COUNTIF(Mots!A:A,Liens!A754)&gt;0,"✓ "&amp;Liens!A754,"✗ "&amp;Liens!A754&amp;" (introuvable)"))</f>
        <v>✓ sac_a_dos</v>
      </c>
      <c r="C759" s="35" t="str">
        <f>IF(Liens!B754="","",IF(COUNTIF(Mots!A:A,Liens!B754)&gt;0,"✓ "&amp;Liens!B754,"✗ "&amp;Liens!B754&amp;" (introuvable)"))</f>
        <v>✓ v_marcher</v>
      </c>
      <c r="D759" s="35" t="str">
        <f>IF(Liens!C754="","",IF(COUNTIF(Mots!A:A,Liens!C754)&gt;0,"✓ "&amp;Liens!C754,"✗ "&amp;Liens!C754&amp;" (introuvable)"))</f>
        <v>✓ randonnee</v>
      </c>
      <c r="E759" s="35" t="str">
        <f>IF(Liens!D754="","",IF(COUNTIF(Mots!A:A,Liens!D754)&gt;0,"✓ "&amp;Liens!D754,"✗ "&amp;Liens!D754&amp;" (introuvable)"))</f>
        <v>✓ v_manger</v>
      </c>
      <c r="F759" s="35" t="str">
        <f>IF(Liens!E754="","",IF(COUNTIF(Mots!A:A,Liens!E754)&gt;0,"✓ "&amp;Liens!E754,"✗ "&amp;Liens!E754&amp;" (introuvable)"))</f>
        <v>✓ v_boire</v>
      </c>
      <c r="G759" s="35" t="str">
        <f>IF(Liens!F754="","",IF(COUNTIF(Mots!A:A,Liens!F754)&gt;0,"✓ "&amp;Liens!F754,"✗ "&amp;Liens!F754&amp;" (introuvable)"))</f>
        <v>✓ gourde</v>
      </c>
      <c r="H759" s="35" t="str">
        <f>IF(Liens!G754="","",IF(COUNTIF(Mots!A:A,Liens!G754)&gt;0,"✓ "&amp;Liens!G754,"✗ "&amp;Liens!G754&amp;" (introuvable)"))</f>
        <v>✓ batons</v>
      </c>
      <c r="I759" s="35" t="str">
        <f>IF(Liens!H754="","",IF(COUNTIF(Mots!A:A,Liens!H754)&gt;0,"✓ "&amp;Liens!H754,"✗ "&amp;Liens!H754&amp;" (introuvable)"))</f>
        <v>✓ pied</v>
      </c>
    </row>
    <row r="760" spans="1:9" x14ac:dyDescent="0.3">
      <c r="A760">
        <f t="shared" si="8"/>
        <v>755</v>
      </c>
      <c r="B760" s="35" t="str">
        <f>IF(Liens!A755="","",IF(COUNTIF(Mots!A:A,Liens!A755)&gt;0,"✓ "&amp;Liens!A755,"✗ "&amp;Liens!A755&amp;" (introuvable)"))</f>
        <v>✓ saison</v>
      </c>
      <c r="C760" s="35" t="str">
        <f>IF(Liens!B755="","",IF(COUNTIF(Mots!A:A,Liens!B755)&gt;0,"✓ "&amp;Liens!B755,"✗ "&amp;Liens!B755&amp;" (introuvable)"))</f>
        <v>✓ annee</v>
      </c>
      <c r="D760" s="35" t="str">
        <f>IF(Liens!C755="","",IF(COUNTIF(Mots!A:A,Liens!C755)&gt;0,"✓ "&amp;Liens!C755,"✗ "&amp;Liens!C755&amp;" (introuvable)"))</f>
        <v>✓ partie</v>
      </c>
      <c r="E760" s="35" t="str">
        <f>IF(Liens!D755="","",IF(COUNTIF(Mots!A:A,Liens!D755)&gt;0,"✓ "&amp;Liens!D755,"✗ "&amp;Liens!D755&amp;" (introuvable)"))</f>
        <v>✓ printemps</v>
      </c>
      <c r="F760" s="35" t="str">
        <f>IF(Liens!E755="","",IF(COUNTIF(Mots!A:A,Liens!E755)&gt;0,"✓ "&amp;Liens!E755,"✗ "&amp;Liens!E755&amp;" (introuvable)"))</f>
        <v>✓ ete</v>
      </c>
      <c r="G760" s="35" t="str">
        <f>IF(Liens!F755="","",IF(COUNTIF(Mots!A:A,Liens!F755)&gt;0,"✓ "&amp;Liens!F755,"✗ "&amp;Liens!F755&amp;" (introuvable)"))</f>
        <v>✓ automne</v>
      </c>
      <c r="H760" s="35" t="str">
        <f>IF(Liens!G755="","",IF(COUNTIF(Mots!A:A,Liens!G755)&gt;0,"✓ "&amp;Liens!G755,"✗ "&amp;Liens!G755&amp;" (introuvable)"))</f>
        <v>✓ hiver</v>
      </c>
      <c r="I760" s="35" t="str">
        <f>IF(Liens!H755="","",IF(COUNTIF(Mots!A:A,Liens!H755)&gt;0,"✓ "&amp;Liens!H755,"✗ "&amp;Liens!H755&amp;" (introuvable)"))</f>
        <v>✓ duree</v>
      </c>
    </row>
    <row r="761" spans="1:9" x14ac:dyDescent="0.3">
      <c r="A761">
        <f t="shared" si="8"/>
        <v>756</v>
      </c>
      <c r="B761" s="35" t="str">
        <f>IF(Liens!A756="","",IF(COUNTIF(Mots!A:A,Liens!A756)&gt;0,"✓ "&amp;Liens!A756,"✗ "&amp;Liens!A756&amp;" (introuvable)"))</f>
        <v>✓ salade_laitue</v>
      </c>
      <c r="C761" s="35" t="str">
        <f>IF(Liens!B756="","",IF(COUNTIF(Mots!A:A,Liens!B756)&gt;0,"✓ "&amp;Liens!B756,"✗ "&amp;Liens!B756&amp;" (introuvable)"))</f>
        <v>✓ legume</v>
      </c>
      <c r="D761" s="35" t="str">
        <f>IF(Liens!C756="","",IF(COUNTIF(Mots!A:A,Liens!C756)&gt;0,"✓ "&amp;Liens!C756,"✗ "&amp;Liens!C756&amp;" (introuvable)"))</f>
        <v>✓ feuille_plante</v>
      </c>
      <c r="E761" s="35" t="str">
        <f>IF(Liens!D756="","",IF(COUNTIF(Mots!A:A,Liens!D756)&gt;0,"✓ "&amp;Liens!D756,"✗ "&amp;Liens!D756&amp;" (introuvable)"))</f>
        <v>✓ jardin</v>
      </c>
      <c r="F761" s="35" t="str">
        <f>IF(Liens!E756="","",IF(COUNTIF(Mots!A:A,Liens!E756)&gt;0,"✓ "&amp;Liens!E756,"✗ "&amp;Liens!E756&amp;" (introuvable)"))</f>
        <v>✓ v_manger</v>
      </c>
      <c r="G761" s="35" t="str">
        <f>IF(Liens!F756="","",IF(COUNTIF(Mots!A:A,Liens!F756)&gt;0,"✓ "&amp;Liens!F756,"✗ "&amp;Liens!F756&amp;" (introuvable)"))</f>
        <v>✓ e_terre</v>
      </c>
      <c r="H761" s="35" t="str">
        <f>IF(Liens!G756="","",IF(COUNTIF(Mots!A:A,Liens!G756)&gt;0,"✓ "&amp;Liens!G756,"✗ "&amp;Liens!G756&amp;" (introuvable)"))</f>
        <v>✓ c_vert</v>
      </c>
      <c r="I761" s="35" t="str">
        <f>IF(Liens!H756="","",IF(COUNTIF(Mots!A:A,Liens!H756)&gt;0,"✓ "&amp;Liens!H756,"✗ "&amp;Liens!H756&amp;" (introuvable)"))</f>
        <v>✓ jardinage</v>
      </c>
    </row>
    <row r="762" spans="1:9" x14ac:dyDescent="0.3">
      <c r="A762">
        <f t="shared" si="8"/>
        <v>757</v>
      </c>
      <c r="B762" s="35" t="str">
        <f>IF(Liens!A757="","",IF(COUNTIF(Mots!A:A,Liens!A757)&gt;0,"✓ "&amp;Liens!A757,"✗ "&amp;Liens!A757&amp;" (introuvable)"))</f>
        <v>✓ salaire</v>
      </c>
      <c r="C762" s="35" t="str">
        <f>IF(Liens!B757="","",IF(COUNTIF(Mots!A:A,Liens!B757)&gt;0,"✓ "&amp;Liens!B757,"✗ "&amp;Liens!B757&amp;" (introuvable)"))</f>
        <v>✓ argent</v>
      </c>
      <c r="D762" s="35" t="str">
        <f>IF(Liens!C757="","",IF(COUNTIF(Mots!A:A,Liens!C757)&gt;0,"✓ "&amp;Liens!C757,"✗ "&amp;Liens!C757&amp;" (introuvable)"))</f>
        <v>✓ travail</v>
      </c>
      <c r="E762" s="35" t="str">
        <f>IF(Liens!D757="","",IF(COUNTIF(Mots!A:A,Liens!D757)&gt;0,"✓ "&amp;Liens!D757,"✗ "&amp;Liens!D757&amp;" (introuvable)"))</f>
        <v>✓ v_travailler</v>
      </c>
      <c r="F762" s="35" t="str">
        <f>IF(Liens!E757="","",IF(COUNTIF(Mots!A:A,Liens!E757)&gt;0,"✓ "&amp;Liens!E757,"✗ "&amp;Liens!E757&amp;" (introuvable)"))</f>
        <v>✓ compte</v>
      </c>
      <c r="G762" s="35" t="str">
        <f>IF(Liens!F757="","",IF(COUNTIF(Mots!A:A,Liens!F757)&gt;0,"✓ "&amp;Liens!F757,"✗ "&amp;Liens!F757&amp;" (introuvable)"))</f>
        <v/>
      </c>
      <c r="H762" s="35" t="str">
        <f>IF(Liens!G757="","",IF(COUNTIF(Mots!A:A,Liens!G757)&gt;0,"✓ "&amp;Liens!G757,"✗ "&amp;Liens!G757&amp;" (introuvable)"))</f>
        <v/>
      </c>
      <c r="I762" s="35" t="str">
        <f>IF(Liens!H757="","",IF(COUNTIF(Mots!A:A,Liens!H757)&gt;0,"✓ "&amp;Liens!H757,"✗ "&amp;Liens!H757&amp;" (introuvable)"))</f>
        <v/>
      </c>
    </row>
    <row r="763" spans="1:9" x14ac:dyDescent="0.3">
      <c r="A763">
        <f t="shared" si="8"/>
        <v>758</v>
      </c>
      <c r="B763" s="35" t="str">
        <f>IF(Liens!A758="","",IF(COUNTIF(Mots!A:A,Liens!A758)&gt;0,"✓ "&amp;Liens!A758,"✗ "&amp;Liens!A758&amp;" (introuvable)"))</f>
        <v>✓ salete</v>
      </c>
      <c r="C763" s="35" t="str">
        <f>IF(Liens!B758="","",IF(COUNTIF(Mots!A:A,Liens!B758)&gt;0,"✓ "&amp;Liens!B758,"✗ "&amp;Liens!B758&amp;" (introuvable)"))</f>
        <v>✓ a_propre_sale</v>
      </c>
      <c r="D763" s="35" t="str">
        <f>IF(Liens!C758="","",IF(COUNTIF(Mots!A:A,Liens!C758)&gt;0,"✓ "&amp;Liens!C758,"✗ "&amp;Liens!C758&amp;" (introuvable)"))</f>
        <v>✓ chiffon</v>
      </c>
      <c r="E763" s="35" t="str">
        <f>IF(Liens!D758="","",IF(COUNTIF(Mots!A:A,Liens!D758)&gt;0,"✓ "&amp;Liens!D758,"✗ "&amp;Liens!D758&amp;" (introuvable)"))</f>
        <v>✓ aspirateur</v>
      </c>
      <c r="F763" s="35" t="str">
        <f>IF(Liens!E758="","",IF(COUNTIF(Mots!A:A,Liens!E758)&gt;0,"✓ "&amp;Liens!E758,"✗ "&amp;Liens!E758&amp;" (introuvable)"))</f>
        <v>✓ v_nettoyer</v>
      </c>
      <c r="G763" s="35" t="str">
        <f>IF(Liens!F758="","",IF(COUNTIF(Mots!A:A,Liens!F758)&gt;0,"✓ "&amp;Liens!F758,"✗ "&amp;Liens!F758&amp;" (introuvable)"))</f>
        <v>✓ v_recurrer</v>
      </c>
      <c r="H763" s="35" t="str">
        <f>IF(Liens!G758="","",IF(COUNTIF(Mots!A:A,Liens!G758)&gt;0,"✓ "&amp;Liens!G758,"✗ "&amp;Liens!G758&amp;" (introuvable)"))</f>
        <v>✓ faire_les_vitres</v>
      </c>
      <c r="I763" s="35" t="str">
        <f>IF(Liens!H758="","",IF(COUNTIF(Mots!A:A,Liens!H758)&gt;0,"✓ "&amp;Liens!H758,"✗ "&amp;Liens!H758&amp;" (introuvable)"))</f>
        <v/>
      </c>
    </row>
    <row r="764" spans="1:9" x14ac:dyDescent="0.3">
      <c r="A764">
        <f t="shared" si="8"/>
        <v>759</v>
      </c>
      <c r="B764" s="35" t="str">
        <f>IF(Liens!A759="","",IF(COUNTIF(Mots!A:A,Liens!A759)&gt;0,"✓ "&amp;Liens!A759,"✗ "&amp;Liens!A759&amp;" (introuvable)"))</f>
        <v>✓ sang</v>
      </c>
      <c r="C764" s="35" t="str">
        <f>IF(Liens!B759="","",IF(COUNTIF(Mots!A:A,Liens!B759)&gt;0,"✓ "&amp;Liens!B759,"✗ "&amp;Liens!B759&amp;" (introuvable)"))</f>
        <v>✓ corps_humain</v>
      </c>
      <c r="D764" s="35" t="str">
        <f>IF(Liens!C759="","",IF(COUNTIF(Mots!A:A,Liens!C759)&gt;0,"✓ "&amp;Liens!C759,"✗ "&amp;Liens!C759&amp;" (introuvable)"))</f>
        <v>✓ torse</v>
      </c>
      <c r="E764" s="35" t="str">
        <f>IF(Liens!D759="","",IF(COUNTIF(Mots!A:A,Liens!D759)&gt;0,"✓ "&amp;Liens!D759,"✗ "&amp;Liens!D759&amp;" (introuvable)"))</f>
        <v>✓ coeur</v>
      </c>
      <c r="F764" s="35" t="str">
        <f>IF(Liens!E759="","",IF(COUNTIF(Mots!A:A,Liens!E759)&gt;0,"✓ "&amp;Liens!E759,"✗ "&amp;Liens!E759&amp;" (introuvable)"))</f>
        <v>✓ liquide</v>
      </c>
      <c r="G764" s="35" t="str">
        <f>IF(Liens!F759="","",IF(COUNTIF(Mots!A:A,Liens!F759)&gt;0,"✓ "&amp;Liens!F759,"✗ "&amp;Liens!F759&amp;" (introuvable)"))</f>
        <v>✓ c_rouge</v>
      </c>
      <c r="H764" s="35" t="str">
        <f>IF(Liens!G759="","",IF(COUNTIF(Mots!A:A,Liens!G759)&gt;0,"✓ "&amp;Liens!G759,"✗ "&amp;Liens!G759&amp;" (introuvable)"))</f>
        <v/>
      </c>
      <c r="I764" s="35" t="str">
        <f>IF(Liens!H759="","",IF(COUNTIF(Mots!A:A,Liens!H759)&gt;0,"✓ "&amp;Liens!H759,"✗ "&amp;Liens!H759&amp;" (introuvable)"))</f>
        <v/>
      </c>
    </row>
    <row r="765" spans="1:9" x14ac:dyDescent="0.3">
      <c r="A765">
        <f t="shared" si="8"/>
        <v>760</v>
      </c>
      <c r="B765" s="35" t="str">
        <f>IF(Liens!A760="","",IF(COUNTIF(Mots!A:A,Liens!A760)&gt;0,"✓ "&amp;Liens!A760,"✗ "&amp;Liens!A760&amp;" (introuvable)"))</f>
        <v>✓ sante</v>
      </c>
      <c r="C765" s="35" t="str">
        <f>IF(Liens!B760="","",IF(COUNTIF(Mots!A:A,Liens!B760)&gt;0,"✓ "&amp;Liens!B760,"✗ "&amp;Liens!B760&amp;" (introuvable)"))</f>
        <v>✓ v_soigner</v>
      </c>
      <c r="D765" s="35" t="str">
        <f>IF(Liens!C760="","",IF(COUNTIF(Mots!A:A,Liens!C760)&gt;0,"✓ "&amp;Liens!C760,"✗ "&amp;Liens!C760&amp;" (introuvable)"))</f>
        <v>✓ medicament</v>
      </c>
      <c r="E765" s="35" t="str">
        <f>IF(Liens!D760="","",IF(COUNTIF(Mots!A:A,Liens!D760)&gt;0,"✓ "&amp;Liens!D760,"✗ "&amp;Liens!D760&amp;" (introuvable)"))</f>
        <v>✓ maladie</v>
      </c>
      <c r="F765" s="35" t="str">
        <f>IF(Liens!E760="","",IF(COUNTIF(Mots!A:A,Liens!E760)&gt;0,"✓ "&amp;Liens!E760,"✗ "&amp;Liens!E760&amp;" (introuvable)"))</f>
        <v>✓ medecin</v>
      </c>
      <c r="G765" s="35" t="str">
        <f>IF(Liens!F760="","",IF(COUNTIF(Mots!A:A,Liens!F760)&gt;0,"✓ "&amp;Liens!F760,"✗ "&amp;Liens!F760&amp;" (introuvable)"))</f>
        <v>✓ hopital_sion</v>
      </c>
      <c r="H765" s="35" t="str">
        <f>IF(Liens!G760="","",IF(COUNTIF(Mots!A:A,Liens!G760)&gt;0,"✓ "&amp;Liens!G760,"✗ "&amp;Liens!G760&amp;" (introuvable)"))</f>
        <v>✓ hopital_sierre</v>
      </c>
      <c r="I765" s="35" t="str">
        <f>IF(Liens!H760="","",IF(COUNTIF(Mots!A:A,Liens!H760)&gt;0,"✓ "&amp;Liens!H760,"✗ "&amp;Liens!H760&amp;" (introuvable)"))</f>
        <v>✓ infirmier</v>
      </c>
    </row>
    <row r="766" spans="1:9" x14ac:dyDescent="0.3">
      <c r="A766">
        <f t="shared" si="8"/>
        <v>761</v>
      </c>
      <c r="B766" s="35" t="str">
        <f>IF(Liens!A761="","",IF(COUNTIF(Mots!A:A,Liens!A761)&gt;0,"✓ "&amp;Liens!A761,"✗ "&amp;Liens!A761&amp;" (introuvable)"))</f>
        <v>✓ sauce</v>
      </c>
      <c r="C766" s="35" t="str">
        <f>IF(Liens!B761="","",IF(COUNTIF(Mots!A:A,Liens!B761)&gt;0,"✓ "&amp;Liens!B761,"✗ "&amp;Liens!B761&amp;" (introuvable)"))</f>
        <v>✓ salade_laitue</v>
      </c>
      <c r="D766" s="35" t="str">
        <f>IF(Liens!C761="","",IF(COUNTIF(Mots!A:A,Liens!C761)&gt;0,"✓ "&amp;Liens!C761,"✗ "&amp;Liens!C761&amp;" (introuvable)"))</f>
        <v>✓ champignon</v>
      </c>
      <c r="E766" s="35" t="str">
        <f>IF(Liens!D761="","",IF(COUNTIF(Mots!A:A,Liens!D761)&gt;0,"✓ "&amp;Liens!D761,"✗ "&amp;Liens!D761&amp;" (introuvable)"))</f>
        <v>✓ viande</v>
      </c>
      <c r="F766" s="35" t="str">
        <f>IF(Liens!E761="","",IF(COUNTIF(Mots!A:A,Liens!E761)&gt;0,"✓ "&amp;Liens!E761,"✗ "&amp;Liens!E761&amp;" (introuvable)"))</f>
        <v>✓ repas</v>
      </c>
      <c r="G766" s="35" t="str">
        <f>IF(Liens!F761="","",IF(COUNTIF(Mots!A:A,Liens!F761)&gt;0,"✓ "&amp;Liens!F761,"✗ "&amp;Liens!F761&amp;" (introuvable)"))</f>
        <v/>
      </c>
      <c r="H766" s="35" t="str">
        <f>IF(Liens!G761="","",IF(COUNTIF(Mots!A:A,Liens!G761)&gt;0,"✓ "&amp;Liens!G761,"✗ "&amp;Liens!G761&amp;" (introuvable)"))</f>
        <v/>
      </c>
      <c r="I766" s="35" t="str">
        <f>IF(Liens!H761="","",IF(COUNTIF(Mots!A:A,Liens!H761)&gt;0,"✓ "&amp;Liens!H761,"✗ "&amp;Liens!H761&amp;" (introuvable)"))</f>
        <v/>
      </c>
    </row>
    <row r="767" spans="1:9" x14ac:dyDescent="0.3">
      <c r="A767">
        <f t="shared" si="8"/>
        <v>762</v>
      </c>
      <c r="B767" s="35" t="str">
        <f>IF(Liens!A762="","",IF(COUNTIF(Mots!A:A,Liens!A762)&gt;0,"✓ "&amp;Liens!A762,"✗ "&amp;Liens!A762&amp;" (introuvable)"))</f>
        <v>✓ savon</v>
      </c>
      <c r="C767" s="35" t="str">
        <f>IF(Liens!B762="","",IF(COUNTIF(Mots!A:A,Liens!B762)&gt;0,"✓ "&amp;Liens!B762,"✗ "&amp;Liens!B762&amp;" (introuvable)"))</f>
        <v>✓ main</v>
      </c>
      <c r="D767" s="35" t="str">
        <f>IF(Liens!C762="","",IF(COUNTIF(Mots!A:A,Liens!C762)&gt;0,"✓ "&amp;Liens!C762,"✗ "&amp;Liens!C762&amp;" (introuvable)"))</f>
        <v>✓ doigt</v>
      </c>
      <c r="E767" s="35" t="str">
        <f>IF(Liens!D762="","",IF(COUNTIF(Mots!A:A,Liens!D762)&gt;0,"✓ "&amp;Liens!D762,"✗ "&amp;Liens!D762&amp;" (introuvable)"))</f>
        <v>✓ v_laver</v>
      </c>
      <c r="F767" s="35" t="str">
        <f>IF(Liens!E762="","",IF(COUNTIF(Mots!A:A,Liens!E762)&gt;0,"✓ "&amp;Liens!E762,"✗ "&amp;Liens!E762&amp;" (introuvable)"))</f>
        <v>✓ cuisine</v>
      </c>
      <c r="G767" s="35" t="str">
        <f>IF(Liens!F762="","",IF(COUNTIF(Mots!A:A,Liens!F762)&gt;0,"✓ "&amp;Liens!F762,"✗ "&amp;Liens!F762&amp;" (introuvable)"))</f>
        <v>✓ salle_de_bain</v>
      </c>
      <c r="H767" s="35" t="str">
        <f>IF(Liens!G762="","",IF(COUNTIF(Mots!A:A,Liens!G762)&gt;0,"✓ "&amp;Liens!G762,"✗ "&amp;Liens!G762&amp;" (introuvable)"))</f>
        <v>✓ evier_ou_plonge</v>
      </c>
      <c r="I767" s="35" t="str">
        <f>IF(Liens!H762="","",IF(COUNTIF(Mots!A:A,Liens!H762)&gt;0,"✓ "&amp;Liens!H762,"✗ "&amp;Liens!H762&amp;" (introuvable)"))</f>
        <v>✓ lavabo</v>
      </c>
    </row>
    <row r="768" spans="1:9" x14ac:dyDescent="0.3">
      <c r="A768">
        <f t="shared" si="8"/>
        <v>763</v>
      </c>
      <c r="B768" s="35" t="str">
        <f>IF(Liens!A763="","",IF(COUNTIF(Mots!A:A,Liens!A763)&gt;0,"✓ "&amp;Liens!A763,"✗ "&amp;Liens!A763&amp;" (introuvable)"))</f>
        <v>✓ scene</v>
      </c>
      <c r="C768" s="35" t="str">
        <f>IF(Liens!B763="","",IF(COUNTIF(Mots!A:A,Liens!B763)&gt;0,"✓ "&amp;Liens!B763,"✗ "&amp;Liens!B763&amp;" (introuvable)"))</f>
        <v>✓ acteur</v>
      </c>
      <c r="D768" s="35" t="str">
        <f>IF(Liens!C763="","",IF(COUNTIF(Mots!A:A,Liens!C763)&gt;0,"✓ "&amp;Liens!C763,"✗ "&amp;Liens!C763&amp;" (introuvable)"))</f>
        <v>✓ chanteur</v>
      </c>
      <c r="E768" s="35" t="str">
        <f>IF(Liens!D763="","",IF(COUNTIF(Mots!A:A,Liens!D763)&gt;0,"✓ "&amp;Liens!D763,"✗ "&amp;Liens!D763&amp;" (introuvable)"))</f>
        <v>✓ concert</v>
      </c>
      <c r="F768" s="35" t="str">
        <f>IF(Liens!E763="","",IF(COUNTIF(Mots!A:A,Liens!E763)&gt;0,"✓ "&amp;Liens!E763,"✗ "&amp;Liens!E763&amp;" (introuvable)"))</f>
        <v>✓ spectacle</v>
      </c>
      <c r="G768" s="35" t="str">
        <f>IF(Liens!F763="","",IF(COUNTIF(Mots!A:A,Liens!F763)&gt;0,"✓ "&amp;Liens!F763,"✗ "&amp;Liens!F763&amp;" (introuvable)"))</f>
        <v>✓ public</v>
      </c>
      <c r="H768" s="35" t="str">
        <f>IF(Liens!G763="","",IF(COUNTIF(Mots!A:A,Liens!G763)&gt;0,"✓ "&amp;Liens!G763,"✗ "&amp;Liens!G763&amp;" (introuvable)"))</f>
        <v>✓ v_jouer</v>
      </c>
      <c r="I768" s="35" t="str">
        <f>IF(Liens!H763="","",IF(COUNTIF(Mots!A:A,Liens!H763)&gt;0,"✓ "&amp;Liens!H763,"✗ "&amp;Liens!H763&amp;" (introuvable)"))</f>
        <v>✓ v_chanter</v>
      </c>
    </row>
    <row r="769" spans="1:9" x14ac:dyDescent="0.3">
      <c r="A769">
        <f t="shared" si="8"/>
        <v>764</v>
      </c>
      <c r="B769" s="35" t="str">
        <f>IF(Liens!A764="","",IF(COUNTIF(Mots!A:A,Liens!A764)&gt;0,"✓ "&amp;Liens!A764,"✗ "&amp;Liens!A764&amp;" (introuvable)"))</f>
        <v>✓ seau</v>
      </c>
      <c r="C769" s="35" t="str">
        <f>IF(Liens!B764="","",IF(COUNTIF(Mots!A:A,Liens!B764)&gt;0,"✓ "&amp;Liens!B764,"✗ "&amp;Liens!B764&amp;" (introuvable)"))</f>
        <v>✓ recipient</v>
      </c>
      <c r="D769" s="35" t="str">
        <f>IF(Liens!C764="","",IF(COUNTIF(Mots!A:A,Liens!C764)&gt;0,"✓ "&amp;Liens!C764,"✗ "&amp;Liens!C764&amp;" (introuvable)"))</f>
        <v>✓ anse</v>
      </c>
      <c r="E769" s="35" t="str">
        <f>IF(Liens!D764="","",IF(COUNTIF(Mots!A:A,Liens!D764)&gt;0,"✓ "&amp;Liens!D764,"✗ "&amp;Liens!D764&amp;" (introuvable)"))</f>
        <v>✓ v_nettoyer</v>
      </c>
      <c r="F769" s="35" t="str">
        <f>IF(Liens!E764="","",IF(COUNTIF(Mots!A:A,Liens!E764)&gt;0,"✓ "&amp;Liens!E764,"✗ "&amp;Liens!E764&amp;" (introuvable)"))</f>
        <v>✓ peinture</v>
      </c>
      <c r="G769" s="35" t="str">
        <f>IF(Liens!F764="","",IF(COUNTIF(Mots!A:A,Liens!F764)&gt;0,"✓ "&amp;Liens!F764,"✗ "&amp;Liens!F764&amp;" (introuvable)"))</f>
        <v>✓ peintre</v>
      </c>
      <c r="H769" s="35" t="str">
        <f>IF(Liens!G764="","",IF(COUNTIF(Mots!A:A,Liens!G764)&gt;0,"✓ "&amp;Liens!G764,"✗ "&amp;Liens!G764&amp;" (introuvable)"))</f>
        <v/>
      </c>
      <c r="I769" s="35" t="str">
        <f>IF(Liens!H764="","",IF(COUNTIF(Mots!A:A,Liens!H764)&gt;0,"✓ "&amp;Liens!H764,"✗ "&amp;Liens!H764&amp;" (introuvable)"))</f>
        <v/>
      </c>
    </row>
    <row r="770" spans="1:9" x14ac:dyDescent="0.3">
      <c r="A770">
        <f t="shared" si="8"/>
        <v>765</v>
      </c>
      <c r="B770" s="35" t="str">
        <f>IF(Liens!A765="","",IF(COUNTIF(Mots!A:A,Liens!A765)&gt;0,"✓ "&amp;Liens!A765,"✗ "&amp;Liens!A765&amp;" (introuvable)"))</f>
        <v>✓ secours</v>
      </c>
      <c r="C770" s="35" t="str">
        <f>IF(Liens!B765="","",IF(COUNTIF(Mots!A:A,Liens!B765)&gt;0,"✓ "&amp;Liens!B765,"✗ "&amp;Liens!B765&amp;" (introuvable)"))</f>
        <v>✓ danger</v>
      </c>
      <c r="D770" s="35" t="str">
        <f>IF(Liens!C765="","",IF(COUNTIF(Mots!A:A,Liens!C765)&gt;0,"✓ "&amp;Liens!C765,"✗ "&amp;Liens!C765&amp;" (introuvable)"))</f>
        <v>✓ blessure</v>
      </c>
      <c r="E770" s="35" t="str">
        <f>IF(Liens!D765="","",IF(COUNTIF(Mots!A:A,Liens!D765)&gt;0,"✓ "&amp;Liens!D765,"✗ "&amp;Liens!D765&amp;" (introuvable)"))</f>
        <v>✓ medecin</v>
      </c>
      <c r="F770" s="35" t="str">
        <f>IF(Liens!E765="","",IF(COUNTIF(Mots!A:A,Liens!E765)&gt;0,"✓ "&amp;Liens!E765,"✗ "&amp;Liens!E765&amp;" (introuvable)"))</f>
        <v>✓ helicoptere</v>
      </c>
      <c r="G770" s="35" t="str">
        <f>IF(Liens!F765="","",IF(COUNTIF(Mots!A:A,Liens!F765)&gt;0,"✓ "&amp;Liens!F765,"✗ "&amp;Liens!F765&amp;" (introuvable)"))</f>
        <v>✓ pompier</v>
      </c>
      <c r="H770" s="35" t="str">
        <f>IF(Liens!G765="","",IF(COUNTIF(Mots!A:A,Liens!G765)&gt;0,"✓ "&amp;Liens!G765,"✗ "&amp;Liens!G765&amp;" (introuvable)"))</f>
        <v>✓ v_soigner</v>
      </c>
      <c r="I770" s="35" t="str">
        <f>IF(Liens!H765="","",IF(COUNTIF(Mots!A:A,Liens!H765)&gt;0,"✓ "&amp;Liens!H765,"✗ "&amp;Liens!H765&amp;" (introuvable)"))</f>
        <v>✓ hopital_sion</v>
      </c>
    </row>
    <row r="771" spans="1:9" x14ac:dyDescent="0.3">
      <c r="A771">
        <f t="shared" si="8"/>
        <v>766</v>
      </c>
      <c r="B771" s="35" t="str">
        <f>IF(Liens!A766="","",IF(COUNTIF(Mots!A:A,Liens!A766)&gt;0,"✓ "&amp;Liens!A766,"✗ "&amp;Liens!A766&amp;" (introuvable)"))</f>
        <v>✓ secret</v>
      </c>
      <c r="C771" s="35" t="str">
        <f>IF(Liens!B766="","",IF(COUNTIF(Mots!A:A,Liens!B766)&gt;0,"✓ "&amp;Liens!B766,"✗ "&amp;Liens!B766&amp;" (introuvable)"))</f>
        <v>✓ confiance</v>
      </c>
      <c r="D771" s="35" t="str">
        <f>IF(Liens!C766="","",IF(COUNTIF(Mots!A:A,Liens!C766)&gt;0,"✓ "&amp;Liens!C766,"✗ "&amp;Liens!C766&amp;" (introuvable)"))</f>
        <v>✓ v_dire</v>
      </c>
      <c r="E771" s="35" t="str">
        <f>IF(Liens!D766="","",IF(COUNTIF(Mots!A:A,Liens!D766)&gt;0,"✓ "&amp;Liens!D766,"✗ "&amp;Liens!D766&amp;" (introuvable)"))</f>
        <v>✓ v_ecouter</v>
      </c>
      <c r="F771" s="35" t="str">
        <f>IF(Liens!E766="","",IF(COUNTIF(Mots!A:A,Liens!E766)&gt;0,"✓ "&amp;Liens!E766,"✗ "&amp;Liens!E766&amp;" (introuvable)"))</f>
        <v/>
      </c>
      <c r="G771" s="35" t="str">
        <f>IF(Liens!F766="","",IF(COUNTIF(Mots!A:A,Liens!F766)&gt;0,"✓ "&amp;Liens!F766,"✗ "&amp;Liens!F766&amp;" (introuvable)"))</f>
        <v/>
      </c>
      <c r="H771" s="35" t="str">
        <f>IF(Liens!G766="","",IF(COUNTIF(Mots!A:A,Liens!G766)&gt;0,"✓ "&amp;Liens!G766,"✗ "&amp;Liens!G766&amp;" (introuvable)"))</f>
        <v/>
      </c>
      <c r="I771" s="35" t="str">
        <f>IF(Liens!H766="","",IF(COUNTIF(Mots!A:A,Liens!H766)&gt;0,"✓ "&amp;Liens!H766,"✗ "&amp;Liens!H766&amp;" (introuvable)"))</f>
        <v/>
      </c>
    </row>
    <row r="772" spans="1:9" x14ac:dyDescent="0.3">
      <c r="A772">
        <f t="shared" si="8"/>
        <v>767</v>
      </c>
      <c r="B772" s="35" t="str">
        <f>IF(Liens!A767="","",IF(COUNTIF(Mots!A:A,Liens!A767)&gt;0,"✓ "&amp;Liens!A767,"✗ "&amp;Liens!A767&amp;" (introuvable)"))</f>
        <v>✓ secteur</v>
      </c>
      <c r="C772" s="35" t="str">
        <f>IF(Liens!B767="","",IF(COUNTIF(Mots!A:A,Liens!B767)&gt;0,"✓ "&amp;Liens!B767,"✗ "&amp;Liens!B767&amp;" (introuvable)"))</f>
        <v>✓ partie</v>
      </c>
      <c r="D772" s="35" t="str">
        <f>IF(Liens!C767="","",IF(COUNTIF(Mots!A:A,Liens!C767)&gt;0,"✓ "&amp;Liens!C767,"✗ "&amp;Liens!C767&amp;" (introuvable)"))</f>
        <v>✓ travail</v>
      </c>
      <c r="E772" s="35" t="str">
        <f>IF(Liens!D767="","",IF(COUNTIF(Mots!A:A,Liens!D767)&gt;0,"✓ "&amp;Liens!D767,"✗ "&amp;Liens!D767&amp;" (introuvable)"))</f>
        <v/>
      </c>
      <c r="F772" s="35" t="str">
        <f>IF(Liens!E767="","",IF(COUNTIF(Mots!A:A,Liens!E767)&gt;0,"✓ "&amp;Liens!E767,"✗ "&amp;Liens!E767&amp;" (introuvable)"))</f>
        <v/>
      </c>
      <c r="G772" s="35" t="str">
        <f>IF(Liens!F767="","",IF(COUNTIF(Mots!A:A,Liens!F767)&gt;0,"✓ "&amp;Liens!F767,"✗ "&amp;Liens!F767&amp;" (introuvable)"))</f>
        <v/>
      </c>
      <c r="H772" s="35" t="str">
        <f>IF(Liens!G767="","",IF(COUNTIF(Mots!A:A,Liens!G767)&gt;0,"✓ "&amp;Liens!G767,"✗ "&amp;Liens!G767&amp;" (introuvable)"))</f>
        <v/>
      </c>
      <c r="I772" s="35" t="str">
        <f>IF(Liens!H767="","",IF(COUNTIF(Mots!A:A,Liens!H767)&gt;0,"✓ "&amp;Liens!H767,"✗ "&amp;Liens!H767&amp;" (introuvable)"))</f>
        <v/>
      </c>
    </row>
    <row r="773" spans="1:9" x14ac:dyDescent="0.3">
      <c r="A773">
        <f t="shared" si="8"/>
        <v>768</v>
      </c>
      <c r="B773" s="35" t="str">
        <f>IF(Liens!A768="","",IF(COUNTIF(Mots!A:A,Liens!A768)&gt;0,"✓ "&amp;Liens!A768,"✗ "&amp;Liens!A768&amp;" (introuvable)"))</f>
        <v>✓ sel</v>
      </c>
      <c r="C773" s="35" t="str">
        <f>IF(Liens!B768="","",IF(COUNTIF(Mots!A:A,Liens!B768)&gt;0,"✓ "&amp;Liens!B768,"✗ "&amp;Liens!B768&amp;" (introuvable)"))</f>
        <v>✓ assaisonnement</v>
      </c>
      <c r="D773" s="35" t="str">
        <f>IF(Liens!C768="","",IF(COUNTIF(Mots!A:A,Liens!C768)&gt;0,"✓ "&amp;Liens!C768,"✗ "&amp;Liens!C768&amp;" (introuvable)"))</f>
        <v>✓ a_sucre_sale</v>
      </c>
      <c r="E773" s="35" t="str">
        <f>IF(Liens!D768="","",IF(COUNTIF(Mots!A:A,Liens!D768)&gt;0,"✓ "&amp;Liens!D768,"✗ "&amp;Liens!D768&amp;" (introuvable)"))</f>
        <v>✓ pates</v>
      </c>
      <c r="F773" s="35" t="str">
        <f>IF(Liens!E768="","",IF(COUNTIF(Mots!A:A,Liens!E768)&gt;0,"✓ "&amp;Liens!E768,"✗ "&amp;Liens!E768&amp;" (introuvable)"))</f>
        <v>✓ saucisse</v>
      </c>
      <c r="G773" s="35" t="str">
        <f>IF(Liens!F768="","",IF(COUNTIF(Mots!A:A,Liens!F768)&gt;0,"✓ "&amp;Liens!F768,"✗ "&amp;Liens!F768&amp;" (introuvable)"))</f>
        <v>✓ gendarme_charc</v>
      </c>
      <c r="H773" s="35" t="str">
        <f>IF(Liens!G768="","",IF(COUNTIF(Mots!A:A,Liens!G768)&gt;0,"✓ "&amp;Liens!G768,"✗ "&amp;Liens!G768&amp;" (introuvable)"))</f>
        <v/>
      </c>
      <c r="I773" s="35" t="str">
        <f>IF(Liens!H768="","",IF(COUNTIF(Mots!A:A,Liens!H768)&gt;0,"✓ "&amp;Liens!H768,"✗ "&amp;Liens!H768&amp;" (introuvable)"))</f>
        <v/>
      </c>
    </row>
    <row r="774" spans="1:9" x14ac:dyDescent="0.3">
      <c r="A774">
        <f t="shared" si="8"/>
        <v>769</v>
      </c>
      <c r="B774" s="35" t="str">
        <f>IF(Liens!A769="","",IF(COUNTIF(Mots!A:A,Liens!A769)&gt;0,"✓ "&amp;Liens!A769,"✗ "&amp;Liens!A769&amp;" (introuvable)"))</f>
        <v>✓ semaine</v>
      </c>
      <c r="C774" s="35" t="str">
        <f>IF(Liens!B769="","",IF(COUNTIF(Mots!A:A,Liens!B769)&gt;0,"✓ "&amp;Liens!B769,"✗ "&amp;Liens!B769&amp;" (introuvable)"))</f>
        <v>✓ periode</v>
      </c>
      <c r="D774" s="35" t="str">
        <f>IF(Liens!C769="","",IF(COUNTIF(Mots!A:A,Liens!C769)&gt;0,"✓ "&amp;Liens!C769,"✗ "&amp;Liens!C769&amp;" (introuvable)"))</f>
        <v>✓ annee</v>
      </c>
      <c r="E774" s="35" t="str">
        <f>IF(Liens!D769="","",IF(COUNTIF(Mots!A:A,Liens!D769)&gt;0,"✓ "&amp;Liens!D769,"✗ "&amp;Liens!D769&amp;" (introuvable)"))</f>
        <v>✓ mois</v>
      </c>
      <c r="F774" s="35" t="str">
        <f>IF(Liens!E769="","",IF(COUNTIF(Mots!A:A,Liens!E769)&gt;0,"✓ "&amp;Liens!E769,"✗ "&amp;Liens!E769&amp;" (introuvable)"))</f>
        <v>✓ jour</v>
      </c>
      <c r="G774" s="35" t="str">
        <f>IF(Liens!F769="","",IF(COUNTIF(Mots!A:A,Liens!F769)&gt;0,"✓ "&amp;Liens!F769,"✗ "&amp;Liens!F769&amp;" (introuvable)"))</f>
        <v/>
      </c>
      <c r="H774" s="35" t="str">
        <f>IF(Liens!G769="","",IF(COUNTIF(Mots!A:A,Liens!G769)&gt;0,"✓ "&amp;Liens!G769,"✗ "&amp;Liens!G769&amp;" (introuvable)"))</f>
        <v/>
      </c>
      <c r="I774" s="35" t="str">
        <f>IF(Liens!H769="","",IF(COUNTIF(Mots!A:A,Liens!H769)&gt;0,"✓ "&amp;Liens!H769,"✗ "&amp;Liens!H769&amp;" (introuvable)"))</f>
        <v/>
      </c>
    </row>
    <row r="775" spans="1:9" x14ac:dyDescent="0.3">
      <c r="A775">
        <f t="shared" si="8"/>
        <v>770</v>
      </c>
      <c r="B775" s="35" t="str">
        <f>IF(Liens!A770="","",IF(COUNTIF(Mots!A:A,Liens!A770)&gt;0,"✓ "&amp;Liens!A770,"✗ "&amp;Liens!A770&amp;" (introuvable)"))</f>
        <v>✓ sensation</v>
      </c>
      <c r="C775" s="35" t="str">
        <f>IF(Liens!B770="","",IF(COUNTIF(Mots!A:A,Liens!B770)&gt;0,"✓ "&amp;Liens!B770,"✗ "&amp;Liens!B770&amp;" (introuvable)"))</f>
        <v>✓ a_chaud_froid</v>
      </c>
      <c r="D775" s="35" t="str">
        <f>IF(Liens!C770="","",IF(COUNTIF(Mots!A:A,Liens!C770)&gt;0,"✓ "&amp;Liens!C770,"✗ "&amp;Liens!C770&amp;" (introuvable)"))</f>
        <v>✓ douleur</v>
      </c>
      <c r="E775" s="35" t="str">
        <f>IF(Liens!D770="","",IF(COUNTIF(Mots!A:A,Liens!D770)&gt;0,"✓ "&amp;Liens!D770,"✗ "&amp;Liens!D770&amp;" (introuvable)"))</f>
        <v>✓ a_fatigue</v>
      </c>
      <c r="F775" s="35" t="str">
        <f>IF(Liens!E770="","",IF(COUNTIF(Mots!A:A,Liens!E770)&gt;0,"✓ "&amp;Liens!E770,"✗ "&amp;Liens!E770&amp;" (introuvable)"))</f>
        <v>✓ v_boire</v>
      </c>
      <c r="G775" s="35" t="str">
        <f>IF(Liens!F770="","",IF(COUNTIF(Mots!A:A,Liens!F770)&gt;0,"✓ "&amp;Liens!F770,"✗ "&amp;Liens!F770&amp;" (introuvable)"))</f>
        <v>✓ v_manger</v>
      </c>
      <c r="H775" s="35" t="str">
        <f>IF(Liens!G770="","",IF(COUNTIF(Mots!A:A,Liens!G770)&gt;0,"✓ "&amp;Liens!G770,"✗ "&amp;Liens!G770&amp;" (introuvable)"))</f>
        <v/>
      </c>
      <c r="I775" s="35" t="str">
        <f>IF(Liens!H770="","",IF(COUNTIF(Mots!A:A,Liens!H770)&gt;0,"✓ "&amp;Liens!H770,"✗ "&amp;Liens!H770&amp;" (introuvable)"))</f>
        <v/>
      </c>
    </row>
    <row r="776" spans="1:9" x14ac:dyDescent="0.3">
      <c r="A776">
        <f t="shared" si="8"/>
        <v>771</v>
      </c>
      <c r="B776" s="35" t="str">
        <f>IF(Liens!A771="","",IF(COUNTIF(Mots!A:A,Liens!A771)&gt;0,"✓ "&amp;Liens!A771,"✗ "&amp;Liens!A771&amp;" (introuvable)"))</f>
        <v>✓ sentier</v>
      </c>
      <c r="C776" s="35" t="str">
        <f>IF(Liens!B771="","",IF(COUNTIF(Mots!A:A,Liens!B771)&gt;0,"✓ "&amp;Liens!B771,"✗ "&amp;Liens!B771&amp;" (introuvable)"))</f>
        <v>✓ chemin</v>
      </c>
      <c r="D776" s="35" t="str">
        <f>IF(Liens!C771="","",IF(COUNTIF(Mots!A:A,Liens!C771)&gt;0,"✓ "&amp;Liens!C771,"✗ "&amp;Liens!C771&amp;" (introuvable)"))</f>
        <v>✓ nature</v>
      </c>
      <c r="E776" s="35" t="str">
        <f>IF(Liens!D771="","",IF(COUNTIF(Mots!A:A,Liens!D771)&gt;0,"✓ "&amp;Liens!D771,"✗ "&amp;Liens!D771&amp;" (introuvable)"))</f>
        <v>✓ promenade</v>
      </c>
      <c r="F776" s="35" t="str">
        <f>IF(Liens!E771="","",IF(COUNTIF(Mots!A:A,Liens!E771)&gt;0,"✓ "&amp;Liens!E771,"✗ "&amp;Liens!E771&amp;" (introuvable)"))</f>
        <v>✓ randonnee</v>
      </c>
      <c r="G776" s="35" t="str">
        <f>IF(Liens!F771="","",IF(COUNTIF(Mots!A:A,Liens!F771)&gt;0,"✓ "&amp;Liens!F771,"✗ "&amp;Liens!F771&amp;" (introuvable)"))</f>
        <v>✓ v_marcher</v>
      </c>
      <c r="H776" s="35" t="str">
        <f>IF(Liens!G771="","",IF(COUNTIF(Mots!A:A,Liens!G771)&gt;0,"✓ "&amp;Liens!G771,"✗ "&amp;Liens!G771&amp;" (introuvable)"))</f>
        <v>✓ v_aller</v>
      </c>
      <c r="I776" s="35" t="str">
        <f>IF(Liens!H771="","",IF(COUNTIF(Mots!A:A,Liens!H771)&gt;0,"✓ "&amp;Liens!H771,"✗ "&amp;Liens!H771&amp;" (introuvable)"))</f>
        <v>✓ retour</v>
      </c>
    </row>
    <row r="777" spans="1:9" x14ac:dyDescent="0.3">
      <c r="A777">
        <f t="shared" si="8"/>
        <v>772</v>
      </c>
      <c r="B777" s="35" t="str">
        <f>IF(Liens!A772="","",IF(COUNTIF(Mots!A:A,Liens!A772)&gt;0,"✓ "&amp;Liens!A772,"✗ "&amp;Liens!A772&amp;" (introuvable)"))</f>
        <v>✓ serpent</v>
      </c>
      <c r="C777" s="35" t="str">
        <f>IF(Liens!B772="","",IF(COUNTIF(Mots!A:A,Liens!B772)&gt;0,"✓ "&amp;Liens!B772,"✗ "&amp;Liens!B772&amp;" (introuvable)"))</f>
        <v>✓ animal</v>
      </c>
      <c r="D777" s="35" t="str">
        <f>IF(Liens!C772="","",IF(COUNTIF(Mots!A:A,Liens!C772)&gt;0,"✓ "&amp;Liens!C772,"✗ "&amp;Liens!C772&amp;" (introuvable)"))</f>
        <v>✓ sol</v>
      </c>
      <c r="E777" s="35" t="str">
        <f>IF(Liens!D772="","",IF(COUNTIF(Mots!A:A,Liens!D772)&gt;0,"✓ "&amp;Liens!D772,"✗ "&amp;Liens!D772&amp;" (introuvable)"))</f>
        <v>✓ patte</v>
      </c>
      <c r="F777" s="35" t="str">
        <f>IF(Liens!E772="","",IF(COUNTIF(Mots!A:A,Liens!E772)&gt;0,"✓ "&amp;Liens!E772,"✗ "&amp;Liens!E772&amp;" (introuvable)"))</f>
        <v>✓ dangereux</v>
      </c>
      <c r="G777" s="35" t="str">
        <f>IF(Liens!F772="","",IF(COUNTIF(Mots!A:A,Liens!F772)&gt;0,"✓ "&amp;Liens!F772,"✗ "&amp;Liens!F772&amp;" (introuvable)"))</f>
        <v>✓ v_ramper</v>
      </c>
      <c r="H777" s="35" t="str">
        <f>IF(Liens!G772="","",IF(COUNTIF(Mots!A:A,Liens!G772)&gt;0,"✓ "&amp;Liens!G772,"✗ "&amp;Liens!G772&amp;" (introuvable)"))</f>
        <v/>
      </c>
      <c r="I777" s="35" t="str">
        <f>IF(Liens!H772="","",IF(COUNTIF(Mots!A:A,Liens!H772)&gt;0,"✓ "&amp;Liens!H772,"✗ "&amp;Liens!H772&amp;" (introuvable)"))</f>
        <v/>
      </c>
    </row>
    <row r="778" spans="1:9" x14ac:dyDescent="0.3">
      <c r="A778">
        <f t="shared" si="8"/>
        <v>773</v>
      </c>
      <c r="B778" s="35" t="str">
        <f>IF(Liens!A773="","",IF(COUNTIF(Mots!A:A,Liens!A773)&gt;0,"✓ "&amp;Liens!A773,"✗ "&amp;Liens!A773&amp;" (introuvable)"))</f>
        <v>✓ serpillere</v>
      </c>
      <c r="C778" s="35" t="str">
        <f>IF(Liens!B773="","",IF(COUNTIF(Mots!A:A,Liens!B773)&gt;0,"✓ "&amp;Liens!B773,"✗ "&amp;Liens!B773&amp;" (introuvable)"))</f>
        <v>✓ materiel_recurrer</v>
      </c>
      <c r="D778" s="35" t="str">
        <f>IF(Liens!C773="","",IF(COUNTIF(Mots!A:A,Liens!C773)&gt;0,"✓ "&amp;Liens!C773,"✗ "&amp;Liens!C773&amp;" (introuvable)"))</f>
        <v>✓ seau</v>
      </c>
      <c r="E778" s="35" t="str">
        <f>IF(Liens!D773="","",IF(COUNTIF(Mots!A:A,Liens!D773)&gt;0,"✓ "&amp;Liens!D773,"✗ "&amp;Liens!D773&amp;" (introuvable)"))</f>
        <v>✓ meister_proper</v>
      </c>
      <c r="F778" s="35" t="str">
        <f>IF(Liens!E773="","",IF(COUNTIF(Mots!A:A,Liens!E773)&gt;0,"✓ "&amp;Liens!E773,"✗ "&amp;Liens!E773&amp;" (introuvable)"))</f>
        <v>✓ eau</v>
      </c>
      <c r="G778" s="35" t="str">
        <f>IF(Liens!F773="","",IF(COUNTIF(Mots!A:A,Liens!F773)&gt;0,"✓ "&amp;Liens!F773,"✗ "&amp;Liens!F773&amp;" (introuvable)"))</f>
        <v>✓ v_nettoyer</v>
      </c>
      <c r="H778" s="35" t="str">
        <f>IF(Liens!G773="","",IF(COUNTIF(Mots!A:A,Liens!G773)&gt;0,"✓ "&amp;Liens!G773,"✗ "&amp;Liens!G773&amp;" (introuvable)"))</f>
        <v/>
      </c>
      <c r="I778" s="35" t="str">
        <f>IF(Liens!H773="","",IF(COUNTIF(Mots!A:A,Liens!H773)&gt;0,"✓ "&amp;Liens!H773,"✗ "&amp;Liens!H773&amp;" (introuvable)"))</f>
        <v/>
      </c>
    </row>
    <row r="779" spans="1:9" x14ac:dyDescent="0.3">
      <c r="A779">
        <f t="shared" si="8"/>
        <v>774</v>
      </c>
      <c r="B779" s="35" t="str">
        <f>IF(Liens!A774="","",IF(COUNTIF(Mots!A:A,Liens!A774)&gt;0,"✓ "&amp;Liens!A774,"✗ "&amp;Liens!A774&amp;" (introuvable)"))</f>
        <v>✓ serrure</v>
      </c>
      <c r="C779" s="35" t="str">
        <f>IF(Liens!B774="","",IF(COUNTIF(Mots!A:A,Liens!B774)&gt;0,"✓ "&amp;Liens!B774,"✗ "&amp;Liens!B774&amp;" (introuvable)"))</f>
        <v>✓ cle</v>
      </c>
      <c r="D779" s="35" t="str">
        <f>IF(Liens!C774="","",IF(COUNTIF(Mots!A:A,Liens!C774)&gt;0,"✓ "&amp;Liens!C774,"✗ "&amp;Liens!C774&amp;" (introuvable)"))</f>
        <v>✓ porte</v>
      </c>
      <c r="E779" s="35" t="str">
        <f>IF(Liens!D774="","",IF(COUNTIF(Mots!A:A,Liens!D774)&gt;0,"✓ "&amp;Liens!D774,"✗ "&amp;Liens!D774&amp;" (introuvable)"))</f>
        <v>✓ poignee</v>
      </c>
      <c r="F779" s="35" t="str">
        <f>IF(Liens!E774="","",IF(COUNTIF(Mots!A:A,Liens!E774)&gt;0,"✓ "&amp;Liens!E774,"✗ "&amp;Liens!E774&amp;" (introuvable)"))</f>
        <v>✓ v_ouvrir</v>
      </c>
      <c r="G779" s="35" t="str">
        <f>IF(Liens!F774="","",IF(COUNTIF(Mots!A:A,Liens!F774)&gt;0,"✓ "&amp;Liens!F774,"✗ "&amp;Liens!F774&amp;" (introuvable)"))</f>
        <v>✓ v_fermer</v>
      </c>
      <c r="H779" s="35" t="str">
        <f>IF(Liens!G774="","",IF(COUNTIF(Mots!A:A,Liens!G774)&gt;0,"✓ "&amp;Liens!G774,"✗ "&amp;Liens!G774&amp;" (introuvable)"))</f>
        <v/>
      </c>
      <c r="I779" s="35" t="str">
        <f>IF(Liens!H774="","",IF(COUNTIF(Mots!A:A,Liens!H774)&gt;0,"✓ "&amp;Liens!H774,"✗ "&amp;Liens!H774&amp;" (introuvable)"))</f>
        <v/>
      </c>
    </row>
    <row r="780" spans="1:9" x14ac:dyDescent="0.3">
      <c r="A780">
        <f t="shared" si="8"/>
        <v>775</v>
      </c>
      <c r="B780" s="35" t="str">
        <f>IF(Liens!A775="","",IF(COUNTIF(Mots!A:A,Liens!A775)&gt;0,"✓ "&amp;Liens!A775,"✗ "&amp;Liens!A775&amp;" (introuvable)"))</f>
        <v>✓ service</v>
      </c>
      <c r="C780" s="35" t="str">
        <f>IF(Liens!B775="","",IF(COUNTIF(Mots!A:A,Liens!B775)&gt;0,"✓ "&amp;Liens!B775,"✗ "&amp;Liens!B775&amp;" (introuvable)"))</f>
        <v>✓ poste</v>
      </c>
      <c r="D780" s="35" t="str">
        <f>IF(Liens!C775="","",IF(COUNTIF(Mots!A:A,Liens!C775)&gt;0,"✓ "&amp;Liens!C775,"✗ "&amp;Liens!C775&amp;" (introuvable)"))</f>
        <v>✓ banque_migros</v>
      </c>
      <c r="E780" s="35" t="str">
        <f>IF(Liens!D775="","",IF(COUNTIF(Mots!A:A,Liens!D775)&gt;0,"✓ "&amp;Liens!D775,"✗ "&amp;Liens!D775&amp;" (introuvable)"))</f>
        <v>✓ banque_raiffeisen</v>
      </c>
      <c r="F780" s="35" t="str">
        <f>IF(Liens!E775="","",IF(COUNTIF(Mots!A:A,Liens!E775)&gt;0,"✓ "&amp;Liens!E775,"✗ "&amp;Liens!E775&amp;" (introuvable)"))</f>
        <v>✓ assurance_mobiliere</v>
      </c>
      <c r="G780" s="35" t="str">
        <f>IF(Liens!F775="","",IF(COUNTIF(Mots!A:A,Liens!F775)&gt;0,"✓ "&amp;Liens!F775,"✗ "&amp;Liens!F775&amp;" (introuvable)"))</f>
        <v>✓ assurance_Helvetia</v>
      </c>
      <c r="H780" s="35" t="str">
        <f>IF(Liens!G775="","",IF(COUNTIF(Mots!A:A,Liens!G775)&gt;0,"✓ "&amp;Liens!G775,"✗ "&amp;Liens!G775&amp;" (introuvable)"))</f>
        <v>✓ assurance_maladie</v>
      </c>
      <c r="I780" s="35" t="str">
        <f>IF(Liens!H775="","",IF(COUNTIF(Mots!A:A,Liens!H775)&gt;0,"✓ "&amp;Liens!H775,"✗ "&amp;Liens!H775&amp;" (introuvable)"))</f>
        <v/>
      </c>
    </row>
    <row r="781" spans="1:9" x14ac:dyDescent="0.3">
      <c r="A781">
        <f t="shared" si="8"/>
        <v>776</v>
      </c>
      <c r="B781" s="35" t="str">
        <f>IF(Liens!A776="","",IF(COUNTIF(Mots!A:A,Liens!A776)&gt;0,"✓ "&amp;Liens!A776,"✗ "&amp;Liens!A776&amp;" (introuvable)"))</f>
        <v>✓ serviette</v>
      </c>
      <c r="C781" s="35" t="str">
        <f>IF(Liens!B776="","",IF(COUNTIF(Mots!A:A,Liens!B776)&gt;0,"✓ "&amp;Liens!B776,"✗ "&amp;Liens!B776&amp;" (introuvable)"))</f>
        <v>✓ tissu</v>
      </c>
      <c r="D781" s="35" t="str">
        <f>IF(Liens!C776="","",IF(COUNTIF(Mots!A:A,Liens!C776)&gt;0,"✓ "&amp;Liens!C776,"✗ "&amp;Liens!C776&amp;" (introuvable)"))</f>
        <v>✓ douche</v>
      </c>
      <c r="E781" s="35" t="str">
        <f>IF(Liens!D776="","",IF(COUNTIF(Mots!A:A,Liens!D776)&gt;0,"✓ "&amp;Liens!D776,"✗ "&amp;Liens!D776&amp;" (introuvable)"))</f>
        <v>✓ baignoire</v>
      </c>
      <c r="F781" s="35" t="str">
        <f>IF(Liens!E776="","",IF(COUNTIF(Mots!A:A,Liens!E776)&gt;0,"✓ "&amp;Liens!E776,"✗ "&amp;Liens!E776&amp;" (introuvable)"))</f>
        <v>✓ eau</v>
      </c>
      <c r="G781" s="35" t="str">
        <f>IF(Liens!F776="","",IF(COUNTIF(Mots!A:A,Liens!F776)&gt;0,"✓ "&amp;Liens!F776,"✗ "&amp;Liens!F776&amp;" (introuvable)"))</f>
        <v>✓ a_sec_mouille</v>
      </c>
      <c r="H781" s="35" t="str">
        <f>IF(Liens!G776="","",IF(COUNTIF(Mots!A:A,Liens!G776)&gt;0,"✓ "&amp;Liens!G776,"✗ "&amp;Liens!G776&amp;" (introuvable)"))</f>
        <v>✓ v_essuyer</v>
      </c>
      <c r="I781" s="35" t="str">
        <f>IF(Liens!H776="","",IF(COUNTIF(Mots!A:A,Liens!H776)&gt;0,"✓ "&amp;Liens!H776,"✗ "&amp;Liens!H776&amp;" (introuvable)"))</f>
        <v/>
      </c>
    </row>
    <row r="782" spans="1:9" x14ac:dyDescent="0.3">
      <c r="A782">
        <f t="shared" si="8"/>
        <v>777</v>
      </c>
      <c r="B782" s="35" t="str">
        <f>IF(Liens!A777="","",IF(COUNTIF(Mots!A:A,Liens!A777)&gt;0,"✓ "&amp;Liens!A777,"✗ "&amp;Liens!A777&amp;" (introuvable)"))</f>
        <v>✓ seul</v>
      </c>
      <c r="C782" s="35" t="str">
        <f>IF(Liens!B777="","",IF(COUNTIF(Mots!A:A,Liens!B777)&gt;0,"✓ "&amp;Liens!B777,"✗ "&amp;Liens!B777&amp;" (introuvable)"))</f>
        <v>✓ solitude</v>
      </c>
      <c r="D782" s="35" t="str">
        <f>IF(Liens!C777="","",IF(COUNTIF(Mots!A:A,Liens!C777)&gt;0,"✓ "&amp;Liens!C777,"✗ "&amp;Liens!C777&amp;" (introuvable)"))</f>
        <v>✓ ami</v>
      </c>
      <c r="E782" s="35" t="str">
        <f>IF(Liens!D777="","",IF(COUNTIF(Mots!A:A,Liens!D777)&gt;0,"✓ "&amp;Liens!D777,"✗ "&amp;Liens!D777&amp;" (introuvable)"))</f>
        <v>✓ famille</v>
      </c>
      <c r="F782" s="35" t="str">
        <f>IF(Liens!E777="","",IF(COUNTIF(Mots!A:A,Liens!E777)&gt;0,"✓ "&amp;Liens!E777,"✗ "&amp;Liens!E777&amp;" (introuvable)"))</f>
        <v/>
      </c>
      <c r="G782" s="35" t="str">
        <f>IF(Liens!F777="","",IF(COUNTIF(Mots!A:A,Liens!F777)&gt;0,"✓ "&amp;Liens!F777,"✗ "&amp;Liens!F777&amp;" (introuvable)"))</f>
        <v/>
      </c>
      <c r="H782" s="35" t="str">
        <f>IF(Liens!G777="","",IF(COUNTIF(Mots!A:A,Liens!G777)&gt;0,"✓ "&amp;Liens!G777,"✗ "&amp;Liens!G777&amp;" (introuvable)"))</f>
        <v/>
      </c>
      <c r="I782" s="35" t="str">
        <f>IF(Liens!H777="","",IF(COUNTIF(Mots!A:A,Liens!H777)&gt;0,"✓ "&amp;Liens!H777,"✗ "&amp;Liens!H777&amp;" (introuvable)"))</f>
        <v/>
      </c>
    </row>
    <row r="783" spans="1:9" x14ac:dyDescent="0.3">
      <c r="A783">
        <f t="shared" ref="A783:A846" si="9">A782+1</f>
        <v>778</v>
      </c>
      <c r="B783" s="35" t="str">
        <f>IF(Liens!A778="","",IF(COUNTIF(Mots!A:A,Liens!A778)&gt;0,"✓ "&amp;Liens!A778,"✗ "&amp;Liens!A778&amp;" (introuvable)"))</f>
        <v>✓ siecle</v>
      </c>
      <c r="C783" s="35" t="str">
        <f>IF(Liens!B778="","",IF(COUNTIF(Mots!A:A,Liens!B778)&gt;0,"✓ "&amp;Liens!B778,"✗ "&amp;Liens!B778&amp;" (introuvable)"))</f>
        <v>✓ periode</v>
      </c>
      <c r="D783" s="35" t="str">
        <f>IF(Liens!C778="","",IF(COUNTIF(Mots!A:A,Liens!C778)&gt;0,"✓ "&amp;Liens!C778,"✗ "&amp;Liens!C778&amp;" (introuvable)"))</f>
        <v>✓ annee</v>
      </c>
      <c r="E783" s="35" t="str">
        <f>IF(Liens!D778="","",IF(COUNTIF(Mots!A:A,Liens!D778)&gt;0,"✓ "&amp;Liens!D778,"✗ "&amp;Liens!D778&amp;" (introuvable)"))</f>
        <v>✓ quantite</v>
      </c>
      <c r="F783" s="35" t="str">
        <f>IF(Liens!E778="","",IF(COUNTIF(Mots!A:A,Liens!E778)&gt;0,"✓ "&amp;Liens!E778,"✗ "&amp;Liens!E778&amp;" (introuvable)"))</f>
        <v/>
      </c>
      <c r="G783" s="35" t="str">
        <f>IF(Liens!F778="","",IF(COUNTIF(Mots!A:A,Liens!F778)&gt;0,"✓ "&amp;Liens!F778,"✗ "&amp;Liens!F778&amp;" (introuvable)"))</f>
        <v/>
      </c>
      <c r="H783" s="35" t="str">
        <f>IF(Liens!G778="","",IF(COUNTIF(Mots!A:A,Liens!G778)&gt;0,"✓ "&amp;Liens!G778,"✗ "&amp;Liens!G778&amp;" (introuvable)"))</f>
        <v/>
      </c>
      <c r="I783" s="35" t="str">
        <f>IF(Liens!H778="","",IF(COUNTIF(Mots!A:A,Liens!H778)&gt;0,"✓ "&amp;Liens!H778,"✗ "&amp;Liens!H778&amp;" (introuvable)"))</f>
        <v/>
      </c>
    </row>
    <row r="784" spans="1:9" x14ac:dyDescent="0.3">
      <c r="A784">
        <f t="shared" si="9"/>
        <v>779</v>
      </c>
      <c r="B784" s="35" t="str">
        <f>IF(Liens!A779="","",IF(COUNTIF(Mots!A:A,Liens!A779)&gt;0,"✓ "&amp;Liens!A779,"✗ "&amp;Liens!A779&amp;" (introuvable)"))</f>
        <v>✓ signature</v>
      </c>
      <c r="C784" s="35" t="str">
        <f>IF(Liens!B779="","",IF(COUNTIF(Mots!A:A,Liens!B779)&gt;0,"✓ "&amp;Liens!B779,"✗ "&amp;Liens!B779&amp;" (introuvable)"))</f>
        <v>✓ v_ecrire</v>
      </c>
      <c r="D784" s="35" t="str">
        <f>IF(Liens!C779="","",IF(COUNTIF(Mots!A:A,Liens!C779)&gt;0,"✓ "&amp;Liens!C779,"✗ "&amp;Liens!C779&amp;" (introuvable)"))</f>
        <v>✓ papier</v>
      </c>
      <c r="E784" s="35" t="str">
        <f>IF(Liens!D779="","",IF(COUNTIF(Mots!A:A,Liens!D779)&gt;0,"✓ "&amp;Liens!D779,"✗ "&amp;Liens!D779&amp;" (introuvable)"))</f>
        <v/>
      </c>
      <c r="F784" s="35" t="str">
        <f>IF(Liens!E779="","",IF(COUNTIF(Mots!A:A,Liens!E779)&gt;0,"✓ "&amp;Liens!E779,"✗ "&amp;Liens!E779&amp;" (introuvable)"))</f>
        <v/>
      </c>
      <c r="G784" s="35" t="str">
        <f>IF(Liens!F779="","",IF(COUNTIF(Mots!A:A,Liens!F779)&gt;0,"✓ "&amp;Liens!F779,"✗ "&amp;Liens!F779&amp;" (introuvable)"))</f>
        <v/>
      </c>
      <c r="H784" s="35" t="str">
        <f>IF(Liens!G779="","",IF(COUNTIF(Mots!A:A,Liens!G779)&gt;0,"✓ "&amp;Liens!G779,"✗ "&amp;Liens!G779&amp;" (introuvable)"))</f>
        <v/>
      </c>
      <c r="I784" s="35" t="str">
        <f>IF(Liens!H779="","",IF(COUNTIF(Mots!A:A,Liens!H779)&gt;0,"✓ "&amp;Liens!H779,"✗ "&amp;Liens!H779&amp;" (introuvable)"))</f>
        <v/>
      </c>
    </row>
    <row r="785" spans="1:9" x14ac:dyDescent="0.3">
      <c r="A785">
        <f t="shared" si="9"/>
        <v>780</v>
      </c>
      <c r="B785" s="35" t="str">
        <f>IF(Liens!A780="","",IF(COUNTIF(Mots!A:A,Liens!A780)&gt;0,"✓ "&amp;Liens!A780,"✗ "&amp;Liens!A780&amp;" (introuvable)"))</f>
        <v>✓ signe</v>
      </c>
      <c r="C785" s="35" t="str">
        <f>IF(Liens!B780="","",IF(COUNTIF(Mots!A:A,Liens!B780)&gt;0,"✓ "&amp;Liens!B780,"✗ "&amp;Liens!B780&amp;" (introuvable)"))</f>
        <v>✓ geste</v>
      </c>
      <c r="D785" s="35" t="str">
        <f>IF(Liens!C780="","",IF(COUNTIF(Mots!A:A,Liens!C780)&gt;0,"✓ "&amp;Liens!C780,"✗ "&amp;Liens!C780&amp;" (introuvable)"))</f>
        <v>✓ main</v>
      </c>
      <c r="E785" s="35" t="str">
        <f>IF(Liens!D780="","",IF(COUNTIF(Mots!A:A,Liens!D780)&gt;0,"✓ "&amp;Liens!D780,"✗ "&amp;Liens!D780&amp;" (introuvable)"))</f>
        <v>✓ doigt</v>
      </c>
      <c r="F785" s="35" t="str">
        <f>IF(Liens!E780="","",IF(COUNTIF(Mots!A:A,Liens!E780)&gt;0,"✓ "&amp;Liens!E780,"✗ "&amp;Liens!E780&amp;" (introuvable)"))</f>
        <v/>
      </c>
      <c r="G785" s="35" t="str">
        <f>IF(Liens!F780="","",IF(COUNTIF(Mots!A:A,Liens!F780)&gt;0,"✓ "&amp;Liens!F780,"✗ "&amp;Liens!F780&amp;" (introuvable)"))</f>
        <v/>
      </c>
      <c r="H785" s="35" t="str">
        <f>IF(Liens!G780="","",IF(COUNTIF(Mots!A:A,Liens!G780)&gt;0,"✓ "&amp;Liens!G780,"✗ "&amp;Liens!G780&amp;" (introuvable)"))</f>
        <v/>
      </c>
      <c r="I785" s="35" t="str">
        <f>IF(Liens!H780="","",IF(COUNTIF(Mots!A:A,Liens!H780)&gt;0,"✓ "&amp;Liens!H780,"✗ "&amp;Liens!H780&amp;" (introuvable)"))</f>
        <v/>
      </c>
    </row>
    <row r="786" spans="1:9" x14ac:dyDescent="0.3">
      <c r="A786">
        <f t="shared" si="9"/>
        <v>781</v>
      </c>
      <c r="B786" s="35" t="str">
        <f>IF(Liens!A781="","",IF(COUNTIF(Mots!A:A,Liens!A781)&gt;0,"✓ "&amp;Liens!A781,"✗ "&amp;Liens!A781&amp;" (introuvable)"))</f>
        <v>✓ silence</v>
      </c>
      <c r="C786" s="35" t="str">
        <f>IF(Liens!B781="","",IF(COUNTIF(Mots!A:A,Liens!B781)&gt;0,"✓ "&amp;Liens!B781,"✗ "&amp;Liens!B781&amp;" (introuvable)"))</f>
        <v>✓ a_silencieux_bruyant</v>
      </c>
      <c r="D786" s="35" t="str">
        <f>IF(Liens!C781="","",IF(COUNTIF(Mots!A:A,Liens!C781)&gt;0,"✓ "&amp;Liens!C781,"✗ "&amp;Liens!C781&amp;" (introuvable)"))</f>
        <v>✓ bruit</v>
      </c>
      <c r="E786" s="35" t="str">
        <f>IF(Liens!D781="","",IF(COUNTIF(Mots!A:A,Liens!D781)&gt;0,"✓ "&amp;Liens!D781,"✗ "&amp;Liens!D781&amp;" (introuvable)"))</f>
        <v>✓ a_calme_agite</v>
      </c>
      <c r="F786" s="35" t="str">
        <f>IF(Liens!E781="","",IF(COUNTIF(Mots!A:A,Liens!E781)&gt;0,"✓ "&amp;Liens!E781,"✗ "&amp;Liens!E781&amp;" (introuvable)"))</f>
        <v>✓ calme</v>
      </c>
      <c r="G786" s="35" t="str">
        <f>IF(Liens!F781="","",IF(COUNTIF(Mots!A:A,Liens!F781)&gt;0,"✓ "&amp;Liens!F781,"✗ "&amp;Liens!F781&amp;" (introuvable)"))</f>
        <v>✓ repos</v>
      </c>
      <c r="H786" s="35" t="str">
        <f>IF(Liens!G781="","",IF(COUNTIF(Mots!A:A,Liens!G781)&gt;0,"✓ "&amp;Liens!G781,"✗ "&amp;Liens!G781&amp;" (introuvable)"))</f>
        <v>✓ v_dormir</v>
      </c>
      <c r="I786" s="35" t="str">
        <f>IF(Liens!H781="","",IF(COUNTIF(Mots!A:A,Liens!H781)&gt;0,"✓ "&amp;Liens!H781,"✗ "&amp;Liens!H781&amp;" (introuvable)"))</f>
        <v>✓ bibliotheque</v>
      </c>
    </row>
    <row r="787" spans="1:9" x14ac:dyDescent="0.3">
      <c r="A787">
        <f t="shared" si="9"/>
        <v>782</v>
      </c>
      <c r="B787" s="35" t="str">
        <f>IF(Liens!A782="","",IF(COUNTIF(Mots!A:A,Liens!A782)&gt;0,"✓ "&amp;Liens!A782,"✗ "&amp;Liens!A782&amp;" (introuvable)"))</f>
        <v>✓ singe</v>
      </c>
      <c r="C787" s="35" t="str">
        <f>IF(Liens!B782="","",IF(COUNTIF(Mots!A:A,Liens!B782)&gt;0,"✓ "&amp;Liens!B782,"✗ "&amp;Liens!B782&amp;" (introuvable)"))</f>
        <v>✓ animal</v>
      </c>
      <c r="D787" s="35" t="str">
        <f>IF(Liens!C782="","",IF(COUNTIF(Mots!A:A,Liens!C782)&gt;0,"✓ "&amp;Liens!C782,"✗ "&amp;Liens!C782&amp;" (introuvable)"))</f>
        <v>✓ arbre</v>
      </c>
      <c r="E787" s="35" t="str">
        <f>IF(Liens!D782="","",IF(COUNTIF(Mots!A:A,Liens!D782)&gt;0,"✓ "&amp;Liens!D782,"✗ "&amp;Liens!D782&amp;" (introuvable)"))</f>
        <v>✓ feuille_plante</v>
      </c>
      <c r="F787" s="35" t="str">
        <f>IF(Liens!E782="","",IF(COUNTIF(Mots!A:A,Liens!E782)&gt;0,"✓ "&amp;Liens!E782,"✗ "&amp;Liens!E782&amp;" (introuvable)"))</f>
        <v>✓ fruit</v>
      </c>
      <c r="G787" s="35" t="str">
        <f>IF(Liens!F782="","",IF(COUNTIF(Mots!A:A,Liens!F782)&gt;0,"✓ "&amp;Liens!F782,"✗ "&amp;Liens!F782&amp;" (introuvable)"))</f>
        <v/>
      </c>
      <c r="H787" s="35" t="str">
        <f>IF(Liens!G782="","",IF(COUNTIF(Mots!A:A,Liens!G782)&gt;0,"✓ "&amp;Liens!G782,"✗ "&amp;Liens!G782&amp;" (introuvable)"))</f>
        <v/>
      </c>
      <c r="I787" s="35" t="str">
        <f>IF(Liens!H782="","",IF(COUNTIF(Mots!A:A,Liens!H782)&gt;0,"✓ "&amp;Liens!H782,"✗ "&amp;Liens!H782&amp;" (introuvable)"))</f>
        <v/>
      </c>
    </row>
    <row r="788" spans="1:9" x14ac:dyDescent="0.3">
      <c r="A788">
        <f t="shared" si="9"/>
        <v>783</v>
      </c>
      <c r="B788" s="35" t="str">
        <f>IF(Liens!A783="","",IF(COUNTIF(Mots!A:A,Liens!A783)&gt;0,"✓ "&amp;Liens!A783,"✗ "&amp;Liens!A783&amp;" (introuvable)"))</f>
        <v>✓ sirop</v>
      </c>
      <c r="C788" s="35" t="str">
        <f>IF(Liens!B783="","",IF(COUNTIF(Mots!A:A,Liens!B783)&gt;0,"✓ "&amp;Liens!B783,"✗ "&amp;Liens!B783&amp;" (introuvable)"))</f>
        <v>✓ cuisine</v>
      </c>
      <c r="D788" s="35" t="str">
        <f>IF(Liens!C783="","",IF(COUNTIF(Mots!A:A,Liens!C783)&gt;0,"✓ "&amp;Liens!C783,"✗ "&amp;Liens!C783&amp;" (introuvable)"))</f>
        <v>✓ liquide</v>
      </c>
      <c r="E788" s="35" t="str">
        <f>IF(Liens!D783="","",IF(COUNTIF(Mots!A:A,Liens!D783)&gt;0,"✓ "&amp;Liens!D783,"✗ "&amp;Liens!D783&amp;" (introuvable)"))</f>
        <v>✓ eau</v>
      </c>
      <c r="F788" s="35" t="str">
        <f>IF(Liens!E783="","",IF(COUNTIF(Mots!A:A,Liens!E783)&gt;0,"✓ "&amp;Liens!E783,"✗ "&amp;Liens!E783&amp;" (introuvable)"))</f>
        <v>✓ v_boire</v>
      </c>
      <c r="G788" s="35" t="str">
        <f>IF(Liens!F783="","",IF(COUNTIF(Mots!A:A,Liens!F783)&gt;0,"✓ "&amp;Liens!F783,"✗ "&amp;Liens!F783&amp;" (introuvable)"))</f>
        <v>✓ verre</v>
      </c>
      <c r="H788" s="35" t="str">
        <f>IF(Liens!G783="","",IF(COUNTIF(Mots!A:A,Liens!G783)&gt;0,"✓ "&amp;Liens!G783,"✗ "&amp;Liens!G783&amp;" (introuvable)"))</f>
        <v>✓ a_sucre_sale</v>
      </c>
      <c r="I788" s="35" t="str">
        <f>IF(Liens!H783="","",IF(COUNTIF(Mots!A:A,Liens!H783)&gt;0,"✓ "&amp;Liens!H783,"✗ "&amp;Liens!H783&amp;" (introuvable)"))</f>
        <v/>
      </c>
    </row>
    <row r="789" spans="1:9" x14ac:dyDescent="0.3">
      <c r="A789">
        <f t="shared" si="9"/>
        <v>784</v>
      </c>
      <c r="B789" s="35" t="str">
        <f>IF(Liens!A784="","",IF(COUNTIF(Mots!A:A,Liens!A784)&gt;0,"✓ "&amp;Liens!A784,"✗ "&amp;Liens!A784&amp;" (introuvable)"))</f>
        <v>✓ situation</v>
      </c>
      <c r="C789" s="35" t="str">
        <f>IF(Liens!B784="","",IF(COUNTIF(Mots!A:A,Liens!B784)&gt;0,"✓ "&amp;Liens!B784,"✗ "&amp;Liens!B784&amp;" (introuvable)"))</f>
        <v>✓ cas</v>
      </c>
      <c r="D789" s="35" t="str">
        <f>IF(Liens!C784="","",IF(COUNTIF(Mots!A:A,Liens!C784)&gt;0,"✓ "&amp;Liens!C784,"✗ "&amp;Liens!C784&amp;" (introuvable)"))</f>
        <v/>
      </c>
      <c r="E789" s="35" t="str">
        <f>IF(Liens!D784="","",IF(COUNTIF(Mots!A:A,Liens!D784)&gt;0,"✓ "&amp;Liens!D784,"✗ "&amp;Liens!D784&amp;" (introuvable)"))</f>
        <v/>
      </c>
      <c r="F789" s="35" t="str">
        <f>IF(Liens!E784="","",IF(COUNTIF(Mots!A:A,Liens!E784)&gt;0,"✓ "&amp;Liens!E784,"✗ "&amp;Liens!E784&amp;" (introuvable)"))</f>
        <v/>
      </c>
      <c r="G789" s="35" t="str">
        <f>IF(Liens!F784="","",IF(COUNTIF(Mots!A:A,Liens!F784)&gt;0,"✓ "&amp;Liens!F784,"✗ "&amp;Liens!F784&amp;" (introuvable)"))</f>
        <v/>
      </c>
      <c r="H789" s="35" t="str">
        <f>IF(Liens!G784="","",IF(COUNTIF(Mots!A:A,Liens!G784)&gt;0,"✓ "&amp;Liens!G784,"✗ "&amp;Liens!G784&amp;" (introuvable)"))</f>
        <v/>
      </c>
      <c r="I789" s="35" t="str">
        <f>IF(Liens!H784="","",IF(COUNTIF(Mots!A:A,Liens!H784)&gt;0,"✓ "&amp;Liens!H784,"✗ "&amp;Liens!H784&amp;" (introuvable)"))</f>
        <v/>
      </c>
    </row>
    <row r="790" spans="1:9" x14ac:dyDescent="0.3">
      <c r="A790">
        <f t="shared" si="9"/>
        <v>785</v>
      </c>
      <c r="B790" s="35" t="str">
        <f>IF(Liens!A785="","",IF(COUNTIF(Mots!A:A,Liens!A785)&gt;0,"✓ "&amp;Liens!A785,"✗ "&amp;Liens!A785&amp;" (introuvable)"))</f>
        <v>✓ societe</v>
      </c>
      <c r="C790" s="35" t="str">
        <f>IF(Liens!B785="","",IF(COUNTIF(Mots!A:A,Liens!B785)&gt;0,"✓ "&amp;Liens!B785,"✗ "&amp;Liens!B785&amp;" (introuvable)"))</f>
        <v>✓ gens</v>
      </c>
      <c r="D790" s="35" t="str">
        <f>IF(Liens!C785="","",IF(COUNTIF(Mots!A:A,Liens!C785)&gt;0,"✓ "&amp;Liens!C785,"✗ "&amp;Liens!C785&amp;" (introuvable)"))</f>
        <v>✓ foule</v>
      </c>
      <c r="E790" s="35" t="str">
        <f>IF(Liens!D785="","",IF(COUNTIF(Mots!A:A,Liens!D785)&gt;0,"✓ "&amp;Liens!D785,"✗ "&amp;Liens!D785&amp;" (introuvable)"))</f>
        <v/>
      </c>
      <c r="F790" s="35" t="str">
        <f>IF(Liens!E785="","",IF(COUNTIF(Mots!A:A,Liens!E785)&gt;0,"✓ "&amp;Liens!E785,"✗ "&amp;Liens!E785&amp;" (introuvable)"))</f>
        <v/>
      </c>
      <c r="G790" s="35" t="str">
        <f>IF(Liens!F785="","",IF(COUNTIF(Mots!A:A,Liens!F785)&gt;0,"✓ "&amp;Liens!F785,"✗ "&amp;Liens!F785&amp;" (introuvable)"))</f>
        <v/>
      </c>
      <c r="H790" s="35" t="str">
        <f>IF(Liens!G785="","",IF(COUNTIF(Mots!A:A,Liens!G785)&gt;0,"✓ "&amp;Liens!G785,"✗ "&amp;Liens!G785&amp;" (introuvable)"))</f>
        <v/>
      </c>
      <c r="I790" s="35" t="str">
        <f>IF(Liens!H785="","",IF(COUNTIF(Mots!A:A,Liens!H785)&gt;0,"✓ "&amp;Liens!H785,"✗ "&amp;Liens!H785&amp;" (introuvable)"))</f>
        <v/>
      </c>
    </row>
    <row r="791" spans="1:9" x14ac:dyDescent="0.3">
      <c r="A791">
        <f t="shared" si="9"/>
        <v>786</v>
      </c>
      <c r="B791" s="35" t="str">
        <f>IF(Liens!A786="","",IF(COUNTIF(Mots!A:A,Liens!A786)&gt;0,"✓ "&amp;Liens!A786,"✗ "&amp;Liens!A786&amp;" (introuvable)"))</f>
        <v>✓ soeur</v>
      </c>
      <c r="C791" s="35" t="str">
        <f>IF(Liens!B786="","",IF(COUNTIF(Mots!A:A,Liens!B786)&gt;0,"✓ "&amp;Liens!B786,"✗ "&amp;Liens!B786&amp;" (introuvable)"))</f>
        <v>✓ famille</v>
      </c>
      <c r="D791" s="35" t="str">
        <f>IF(Liens!C786="","",IF(COUNTIF(Mots!A:A,Liens!C786)&gt;0,"✓ "&amp;Liens!C786,"✗ "&amp;Liens!C786&amp;" (introuvable)"))</f>
        <v>✓ enfants</v>
      </c>
      <c r="E791" s="35" t="str">
        <f>IF(Liens!D786="","",IF(COUNTIF(Mots!A:A,Liens!D786)&gt;0,"✓ "&amp;Liens!D786,"✗ "&amp;Liens!D786&amp;" (introuvable)"))</f>
        <v>✓ fille</v>
      </c>
      <c r="F791" s="35" t="str">
        <f>IF(Liens!E786="","",IF(COUNTIF(Mots!A:A,Liens!E786)&gt;0,"✓ "&amp;Liens!E786,"✗ "&amp;Liens!E786&amp;" (introuvable)"))</f>
        <v>✓ feminin</v>
      </c>
      <c r="G791" s="35" t="str">
        <f>IF(Liens!F786="","",IF(COUNTIF(Mots!A:A,Liens!F786)&gt;0,"✓ "&amp;Liens!F786,"✗ "&amp;Liens!F786&amp;" (introuvable)"))</f>
        <v>✓ pere</v>
      </c>
      <c r="H791" s="35" t="str">
        <f>IF(Liens!G786="","",IF(COUNTIF(Mots!A:A,Liens!G786)&gt;0,"✓ "&amp;Liens!G786,"✗ "&amp;Liens!G786&amp;" (introuvable)"))</f>
        <v>✓ mere</v>
      </c>
      <c r="I791" s="35" t="str">
        <f>IF(Liens!H786="","",IF(COUNTIF(Mots!A:A,Liens!H786)&gt;0,"✓ "&amp;Liens!H786,"✗ "&amp;Liens!H786&amp;" (introuvable)"))</f>
        <v/>
      </c>
    </row>
    <row r="792" spans="1:9" x14ac:dyDescent="0.3">
      <c r="A792">
        <f t="shared" si="9"/>
        <v>787</v>
      </c>
      <c r="B792" s="35" t="str">
        <f>IF(Liens!A787="","",IF(COUNTIF(Mots!A:A,Liens!A787)&gt;0,"✓ "&amp;Liens!A787,"✗ "&amp;Liens!A787&amp;" (introuvable)"))</f>
        <v>✓ soir</v>
      </c>
      <c r="C792" s="35" t="str">
        <f>IF(Liens!B787="","",IF(COUNTIF(Mots!A:A,Liens!B787)&gt;0,"✓ "&amp;Liens!B787,"✗ "&amp;Liens!B787&amp;" (introuvable)"))</f>
        <v>✓ journee</v>
      </c>
      <c r="D792" s="35" t="str">
        <f>IF(Liens!C787="","",IF(COUNTIF(Mots!A:A,Liens!C787)&gt;0,"✓ "&amp;Liens!C787,"✗ "&amp;Liens!C787&amp;" (introuvable)"))</f>
        <v>✓ soleil</v>
      </c>
      <c r="E792" s="35" t="str">
        <f>IF(Liens!D787="","",IF(COUNTIF(Mots!A:A,Liens!D787)&gt;0,"✓ "&amp;Liens!D787,"✗ "&amp;Liens!D787&amp;" (introuvable)"))</f>
        <v>✓ sommeil</v>
      </c>
      <c r="F792" s="35" t="str">
        <f>IF(Liens!E787="","",IF(COUNTIF(Mots!A:A,Liens!E787)&gt;0,"✓ "&amp;Liens!E787,"✗ "&amp;Liens!E787&amp;" (introuvable)"))</f>
        <v>✓ lumiere</v>
      </c>
      <c r="G792" s="35" t="str">
        <f>IF(Liens!F787="","",IF(COUNTIF(Mots!A:A,Liens!F787)&gt;0,"✓ "&amp;Liens!F787,"✗ "&amp;Liens!F787&amp;" (introuvable)"))</f>
        <v>✓ souper</v>
      </c>
      <c r="H792" s="35" t="str">
        <f>IF(Liens!G787="","",IF(COUNTIF(Mots!A:A,Liens!G787)&gt;0,"✓ "&amp;Liens!G787,"✗ "&amp;Liens!G787&amp;" (introuvable)"))</f>
        <v>✓ tard</v>
      </c>
      <c r="I792" s="35" t="str">
        <f>IF(Liens!H787="","",IF(COUNTIF(Mots!A:A,Liens!H787)&gt;0,"✓ "&amp;Liens!H787,"✗ "&amp;Liens!H787&amp;" (introuvable)"))</f>
        <v>✓ v_dormir</v>
      </c>
    </row>
    <row r="793" spans="1:9" x14ac:dyDescent="0.3">
      <c r="A793">
        <f t="shared" si="9"/>
        <v>788</v>
      </c>
      <c r="B793" s="35" t="str">
        <f>IF(Liens!A788="","",IF(COUNTIF(Mots!A:A,Liens!A788)&gt;0,"✓ "&amp;Liens!A788,"✗ "&amp;Liens!A788&amp;" (introuvable)"))</f>
        <v>✓ sol</v>
      </c>
      <c r="C793" s="35" t="str">
        <f>IF(Liens!B788="","",IF(COUNTIF(Mots!A:A,Liens!B788)&gt;0,"✓ "&amp;Liens!B788,"✗ "&amp;Liens!B788&amp;" (introuvable)"))</f>
        <v>✓ surface</v>
      </c>
      <c r="D793" s="35" t="str">
        <f>IF(Liens!C788="","",IF(COUNTIF(Mots!A:A,Liens!C788)&gt;0,"✓ "&amp;Liens!C788,"✗ "&amp;Liens!C788&amp;" (introuvable)"))</f>
        <v>✓ parquet</v>
      </c>
      <c r="E793" s="35" t="str">
        <f>IF(Liens!D788="","",IF(COUNTIF(Mots!A:A,Liens!D788)&gt;0,"✓ "&amp;Liens!D788,"✗ "&amp;Liens!D788&amp;" (introuvable)"))</f>
        <v>✓ plancher</v>
      </c>
      <c r="F793" s="35" t="str">
        <f>IF(Liens!E788="","",IF(COUNTIF(Mots!A:A,Liens!E788)&gt;0,"✓ "&amp;Liens!E788,"✗ "&amp;Liens!E788&amp;" (introuvable)"))</f>
        <v>✓ v_marcher</v>
      </c>
      <c r="G793" s="35" t="str">
        <f>IF(Liens!F788="","",IF(COUNTIF(Mots!A:A,Liens!F788)&gt;0,"✓ "&amp;Liens!F788,"✗ "&amp;Liens!F788&amp;" (introuvable)"))</f>
        <v>✓ e_terre</v>
      </c>
      <c r="H793" s="35" t="str">
        <f>IF(Liens!G788="","",IF(COUNTIF(Mots!A:A,Liens!G788)&gt;0,"✓ "&amp;Liens!G788,"✗ "&amp;Liens!G788&amp;" (introuvable)"))</f>
        <v>✓ jardinage</v>
      </c>
      <c r="I793" s="35" t="str">
        <f>IF(Liens!H788="","",IF(COUNTIF(Mots!A:A,Liens!H788)&gt;0,"✓ "&amp;Liens!H788,"✗ "&amp;Liens!H788&amp;" (introuvable)"))</f>
        <v>✓ champ</v>
      </c>
    </row>
    <row r="794" spans="1:9" x14ac:dyDescent="0.3">
      <c r="A794">
        <f t="shared" si="9"/>
        <v>789</v>
      </c>
      <c r="B794" s="35" t="str">
        <f>IF(Liens!A789="","",IF(COUNTIF(Mots!A:A,Liens!A789)&gt;0,"✓ "&amp;Liens!A789,"✗ "&amp;Liens!A789&amp;" (introuvable)"))</f>
        <v>✓ solde</v>
      </c>
      <c r="C794" s="35" t="str">
        <f>IF(Liens!B789="","",IF(COUNTIF(Mots!A:A,Liens!B789)&gt;0,"✓ "&amp;Liens!B789,"✗ "&amp;Liens!B789&amp;" (introuvable)"))</f>
        <v>✓ compte</v>
      </c>
      <c r="D794" s="35" t="str">
        <f>IF(Liens!C789="","",IF(COUNTIF(Mots!A:A,Liens!C789)&gt;0,"✓ "&amp;Liens!C789,"✗ "&amp;Liens!C789&amp;" (introuvable)"))</f>
        <v/>
      </c>
      <c r="E794" s="35" t="str">
        <f>IF(Liens!D789="","",IF(COUNTIF(Mots!A:A,Liens!D789)&gt;0,"✓ "&amp;Liens!D789,"✗ "&amp;Liens!D789&amp;" (introuvable)"))</f>
        <v/>
      </c>
      <c r="F794" s="35" t="str">
        <f>IF(Liens!E789="","",IF(COUNTIF(Mots!A:A,Liens!E789)&gt;0,"✓ "&amp;Liens!E789,"✗ "&amp;Liens!E789&amp;" (introuvable)"))</f>
        <v/>
      </c>
      <c r="G794" s="35" t="str">
        <f>IF(Liens!F789="","",IF(COUNTIF(Mots!A:A,Liens!F789)&gt;0,"✓ "&amp;Liens!F789,"✗ "&amp;Liens!F789&amp;" (introuvable)"))</f>
        <v/>
      </c>
      <c r="H794" s="35" t="str">
        <f>IF(Liens!G789="","",IF(COUNTIF(Mots!A:A,Liens!G789)&gt;0,"✓ "&amp;Liens!G789,"✗ "&amp;Liens!G789&amp;" (introuvable)"))</f>
        <v/>
      </c>
      <c r="I794" s="35" t="str">
        <f>IF(Liens!H789="","",IF(COUNTIF(Mots!A:A,Liens!H789)&gt;0,"✓ "&amp;Liens!H789,"✗ "&amp;Liens!H789&amp;" (introuvable)"))</f>
        <v/>
      </c>
    </row>
    <row r="795" spans="1:9" x14ac:dyDescent="0.3">
      <c r="A795">
        <f t="shared" si="9"/>
        <v>790</v>
      </c>
      <c r="B795" s="35" t="str">
        <f>IF(Liens!A790="","",IF(COUNTIF(Mots!A:A,Liens!A790)&gt;0,"✓ "&amp;Liens!A790,"✗ "&amp;Liens!A790&amp;" (introuvable)"))</f>
        <v>✓ soleil</v>
      </c>
      <c r="C795" s="35" t="str">
        <f>IF(Liens!B790="","",IF(COUNTIF(Mots!A:A,Liens!B790)&gt;0,"✓ "&amp;Liens!B790,"✗ "&amp;Liens!B790&amp;" (introuvable)"))</f>
        <v>✓ ciel</v>
      </c>
      <c r="D795" s="35" t="str">
        <f>IF(Liens!C790="","",IF(COUNTIF(Mots!A:A,Liens!C790)&gt;0,"✓ "&amp;Liens!C790,"✗ "&amp;Liens!C790&amp;" (introuvable)"))</f>
        <v>✓ jour</v>
      </c>
      <c r="E795" s="35" t="str">
        <f>IF(Liens!D790="","",IF(COUNTIF(Mots!A:A,Liens!D790)&gt;0,"✓ "&amp;Liens!D790,"✗ "&amp;Liens!D790&amp;" (introuvable)"))</f>
        <v>✓ lumiere</v>
      </c>
      <c r="F795" s="35" t="str">
        <f>IF(Liens!E790="","",IF(COUNTIF(Mots!A:A,Liens!E790)&gt;0,"✓ "&amp;Liens!E790,"✗ "&amp;Liens!E790&amp;" (introuvable)"))</f>
        <v>✓ a_clair_sombre</v>
      </c>
      <c r="G795" s="35" t="str">
        <f>IF(Liens!F790="","",IF(COUNTIF(Mots!A:A,Liens!F790)&gt;0,"✓ "&amp;Liens!F790,"✗ "&amp;Liens!F790&amp;" (introuvable)"))</f>
        <v>✓ v_eclairer</v>
      </c>
      <c r="H795" s="35" t="str">
        <f>IF(Liens!G790="","",IF(COUNTIF(Mots!A:A,Liens!G790)&gt;0,"✓ "&amp;Liens!G790,"✗ "&amp;Liens!G790&amp;" (introuvable)"))</f>
        <v/>
      </c>
      <c r="I795" s="35" t="str">
        <f>IF(Liens!H790="","",IF(COUNTIF(Mots!A:A,Liens!H790)&gt;0,"✓ "&amp;Liens!H790,"✗ "&amp;Liens!H790&amp;" (introuvable)"))</f>
        <v/>
      </c>
    </row>
    <row r="796" spans="1:9" x14ac:dyDescent="0.3">
      <c r="A796">
        <f t="shared" si="9"/>
        <v>791</v>
      </c>
      <c r="B796" s="35" t="str">
        <f>IF(Liens!A791="","",IF(COUNTIF(Mots!A:A,Liens!A791)&gt;0,"✓ "&amp;Liens!A791,"✗ "&amp;Liens!A791&amp;" (introuvable)"))</f>
        <v>✓ somme</v>
      </c>
      <c r="C796" s="35" t="str">
        <f>IF(Liens!B791="","",IF(COUNTIF(Mots!A:A,Liens!B791)&gt;0,"✓ "&amp;Liens!B791,"✗ "&amp;Liens!B791&amp;" (introuvable)"))</f>
        <v>✓ total</v>
      </c>
      <c r="D796" s="35" t="str">
        <f>IF(Liens!C791="","",IF(COUNTIF(Mots!A:A,Liens!C791)&gt;0,"✓ "&amp;Liens!C791,"✗ "&amp;Liens!C791&amp;" (introuvable)"))</f>
        <v>✓ calcul</v>
      </c>
      <c r="E796" s="35" t="str">
        <f>IF(Liens!D791="","",IF(COUNTIF(Mots!A:A,Liens!D791)&gt;0,"✓ "&amp;Liens!D791,"✗ "&amp;Liens!D791&amp;" (introuvable)"))</f>
        <v>✓ nombre</v>
      </c>
      <c r="F796" s="35" t="str">
        <f>IF(Liens!E791="","",IF(COUNTIF(Mots!A:A,Liens!E791)&gt;0,"✓ "&amp;Liens!E791,"✗ "&amp;Liens!E791&amp;" (introuvable)"))</f>
        <v/>
      </c>
      <c r="G796" s="35" t="str">
        <f>IF(Liens!F791="","",IF(COUNTIF(Mots!A:A,Liens!F791)&gt;0,"✓ "&amp;Liens!F791,"✗ "&amp;Liens!F791&amp;" (introuvable)"))</f>
        <v/>
      </c>
      <c r="H796" s="35" t="str">
        <f>IF(Liens!G791="","",IF(COUNTIF(Mots!A:A,Liens!G791)&gt;0,"✓ "&amp;Liens!G791,"✗ "&amp;Liens!G791&amp;" (introuvable)"))</f>
        <v/>
      </c>
      <c r="I796" s="35" t="str">
        <f>IF(Liens!H791="","",IF(COUNTIF(Mots!A:A,Liens!H791)&gt;0,"✓ "&amp;Liens!H791,"✗ "&amp;Liens!H791&amp;" (introuvable)"))</f>
        <v/>
      </c>
    </row>
    <row r="797" spans="1:9" x14ac:dyDescent="0.3">
      <c r="A797">
        <f t="shared" si="9"/>
        <v>792</v>
      </c>
      <c r="B797" s="35" t="str">
        <f>IF(Liens!A792="","",IF(COUNTIF(Mots!A:A,Liens!A792)&gt;0,"✓ "&amp;Liens!A792,"✗ "&amp;Liens!A792&amp;" (introuvable)"))</f>
        <v>✓ sommeil</v>
      </c>
      <c r="C797" s="35" t="str">
        <f>IF(Liens!B792="","",IF(COUNTIF(Mots!A:A,Liens!B792)&gt;0,"✓ "&amp;Liens!B792,"✗ "&amp;Liens!B792&amp;" (introuvable)"))</f>
        <v>✓ chambre</v>
      </c>
      <c r="D797" s="35" t="str">
        <f>IF(Liens!C792="","",IF(COUNTIF(Mots!A:A,Liens!C792)&gt;0,"✓ "&amp;Liens!C792,"✗ "&amp;Liens!C792&amp;" (introuvable)"))</f>
        <v>✓ lit</v>
      </c>
      <c r="E797" s="35" t="str">
        <f>IF(Liens!D792="","",IF(COUNTIF(Mots!A:A,Liens!D792)&gt;0,"✓ "&amp;Liens!D792,"✗ "&amp;Liens!D792&amp;" (introuvable)"))</f>
        <v>✓ v_dormir</v>
      </c>
      <c r="F797" s="35" t="str">
        <f>IF(Liens!E792="","",IF(COUNTIF(Mots!A:A,Liens!E792)&gt;0,"✓ "&amp;Liens!E792,"✗ "&amp;Liens!E792&amp;" (introuvable)"))</f>
        <v>✓ matelas</v>
      </c>
      <c r="G797" s="35" t="str">
        <f>IF(Liens!F792="","",IF(COUNTIF(Mots!A:A,Liens!F792)&gt;0,"✓ "&amp;Liens!F792,"✗ "&amp;Liens!F792&amp;" (introuvable)"))</f>
        <v>✓ duvet</v>
      </c>
      <c r="H797" s="35" t="str">
        <f>IF(Liens!G792="","",IF(COUNTIF(Mots!A:A,Liens!G792)&gt;0,"✓ "&amp;Liens!G792,"✗ "&amp;Liens!G792&amp;" (introuvable)"))</f>
        <v>✓ oreiller</v>
      </c>
      <c r="I797" s="35" t="str">
        <f>IF(Liens!H792="","",IF(COUNTIF(Mots!A:A,Liens!H792)&gt;0,"✓ "&amp;Liens!H792,"✗ "&amp;Liens!H792&amp;" (introuvable)"))</f>
        <v>✓ reve</v>
      </c>
    </row>
    <row r="798" spans="1:9" x14ac:dyDescent="0.3">
      <c r="A798">
        <f t="shared" si="9"/>
        <v>793</v>
      </c>
      <c r="B798" s="35" t="str">
        <f>IF(Liens!A793="","",IF(COUNTIF(Mots!A:A,Liens!A793)&gt;0,"✓ "&amp;Liens!A793,"✗ "&amp;Liens!A793&amp;" (introuvable)"))</f>
        <v>✓ son</v>
      </c>
      <c r="C798" s="35" t="str">
        <f>IF(Liens!B793="","",IF(COUNTIF(Mots!A:A,Liens!B793)&gt;0,"✓ "&amp;Liens!B793,"✗ "&amp;Liens!B793&amp;" (introuvable)"))</f>
        <v>✓ oreille</v>
      </c>
      <c r="D798" s="35" t="str">
        <f>IF(Liens!C793="","",IF(COUNTIF(Mots!A:A,Liens!C793)&gt;0,"✓ "&amp;Liens!C793,"✗ "&amp;Liens!C793&amp;" (introuvable)"))</f>
        <v>✓ voix</v>
      </c>
      <c r="E798" s="35" t="str">
        <f>IF(Liens!D793="","",IF(COUNTIF(Mots!A:A,Liens!D793)&gt;0,"✓ "&amp;Liens!D793,"✗ "&amp;Liens!D793&amp;" (introuvable)"))</f>
        <v>✓ v_entendre</v>
      </c>
      <c r="F798" s="35" t="str">
        <f>IF(Liens!E793="","",IF(COUNTIF(Mots!A:A,Liens!E793)&gt;0,"✓ "&amp;Liens!E793,"✗ "&amp;Liens!E793&amp;" (introuvable)"))</f>
        <v>✓ v_ecouter</v>
      </c>
      <c r="G798" s="35" t="str">
        <f>IF(Liens!F793="","",IF(COUNTIF(Mots!A:A,Liens!F793)&gt;0,"✓ "&amp;Liens!F793,"✗ "&amp;Liens!F793&amp;" (introuvable)"))</f>
        <v>✓ v_chanter</v>
      </c>
      <c r="H798" s="35" t="str">
        <f>IF(Liens!G793="","",IF(COUNTIF(Mots!A:A,Liens!G793)&gt;0,"✓ "&amp;Liens!G793,"✗ "&amp;Liens!G793&amp;" (introuvable)"))</f>
        <v>✓ v_jouer</v>
      </c>
      <c r="I798" s="35" t="str">
        <f>IF(Liens!H793="","",IF(COUNTIF(Mots!A:A,Liens!H793)&gt;0,"✓ "&amp;Liens!H793,"✗ "&amp;Liens!H793&amp;" (introuvable)"))</f>
        <v>✓ bruit</v>
      </c>
    </row>
    <row r="799" spans="1:9" x14ac:dyDescent="0.3">
      <c r="A799">
        <f t="shared" si="9"/>
        <v>794</v>
      </c>
      <c r="B799" s="35" t="str">
        <f>IF(Liens!A794="","",IF(COUNTIF(Mots!A:A,Liens!A794)&gt;0,"✓ "&amp;Liens!A794,"✗ "&amp;Liens!A794&amp;" (introuvable)"))</f>
        <v>✓ sorte</v>
      </c>
      <c r="C799" s="35" t="str">
        <f>IF(Liens!B794="","",IF(COUNTIF(Mots!A:A,Liens!B794)&gt;0,"✓ "&amp;Liens!B794,"✗ "&amp;Liens!B794&amp;" (introuvable)"))</f>
        <v>✓ categorie</v>
      </c>
      <c r="D799" s="35" t="str">
        <f>IF(Liens!C794="","",IF(COUNTIF(Mots!A:A,Liens!C794)&gt;0,"✓ "&amp;Liens!C794,"✗ "&amp;Liens!C794&amp;" (introuvable)"))</f>
        <v>✓ type</v>
      </c>
      <c r="E799" s="35" t="str">
        <f>IF(Liens!D794="","",IF(COUNTIF(Mots!A:A,Liens!D794)&gt;0,"✓ "&amp;Liens!D794,"✗ "&amp;Liens!D794&amp;" (introuvable)"))</f>
        <v/>
      </c>
      <c r="F799" s="35" t="str">
        <f>IF(Liens!E794="","",IF(COUNTIF(Mots!A:A,Liens!E794)&gt;0,"✓ "&amp;Liens!E794,"✗ "&amp;Liens!E794&amp;" (introuvable)"))</f>
        <v/>
      </c>
      <c r="G799" s="35" t="str">
        <f>IF(Liens!F794="","",IF(COUNTIF(Mots!A:A,Liens!F794)&gt;0,"✓ "&amp;Liens!F794,"✗ "&amp;Liens!F794&amp;" (introuvable)"))</f>
        <v/>
      </c>
      <c r="H799" s="35" t="str">
        <f>IF(Liens!G794="","",IF(COUNTIF(Mots!A:A,Liens!G794)&gt;0,"✓ "&amp;Liens!G794,"✗ "&amp;Liens!G794&amp;" (introuvable)"))</f>
        <v/>
      </c>
      <c r="I799" s="35" t="str">
        <f>IF(Liens!H794="","",IF(COUNTIF(Mots!A:A,Liens!H794)&gt;0,"✓ "&amp;Liens!H794,"✗ "&amp;Liens!H794&amp;" (introuvable)"))</f>
        <v/>
      </c>
    </row>
    <row r="800" spans="1:9" x14ac:dyDescent="0.3">
      <c r="A800">
        <f t="shared" si="9"/>
        <v>795</v>
      </c>
      <c r="B800" s="35" t="str">
        <f>IF(Liens!A795="","",IF(COUNTIF(Mots!A:A,Liens!A795)&gt;0,"✓ "&amp;Liens!A795,"✗ "&amp;Liens!A795&amp;" (introuvable)"))</f>
        <v>✓ sortie</v>
      </c>
      <c r="C800" s="35" t="str">
        <f>IF(Liens!B795="","",IF(COUNTIF(Mots!A:A,Liens!B795)&gt;0,"✓ "&amp;Liens!B795,"✗ "&amp;Liens!B795&amp;" (introuvable)"))</f>
        <v>✓ v_sortir</v>
      </c>
      <c r="D800" s="35" t="str">
        <f>IF(Liens!C795="","",IF(COUNTIF(Mots!A:A,Liens!C795)&gt;0,"✓ "&amp;Liens!C795,"✗ "&amp;Liens!C795&amp;" (introuvable)"))</f>
        <v>✓ interieur</v>
      </c>
      <c r="E800" s="35" t="str">
        <f>IF(Liens!D795="","",IF(COUNTIF(Mots!A:A,Liens!D795)&gt;0,"✓ "&amp;Liens!D795,"✗ "&amp;Liens!D795&amp;" (introuvable)"))</f>
        <v>✓ dedans</v>
      </c>
      <c r="F800" s="35" t="str">
        <f>IF(Liens!E795="","",IF(COUNTIF(Mots!A:A,Liens!E795)&gt;0,"✓ "&amp;Liens!E795,"✗ "&amp;Liens!E795&amp;" (introuvable)"))</f>
        <v>✓ dehors</v>
      </c>
      <c r="G800" s="35" t="str">
        <f>IF(Liens!F795="","",IF(COUNTIF(Mots!A:A,Liens!F795)&gt;0,"✓ "&amp;Liens!F795,"✗ "&amp;Liens!F795&amp;" (introuvable)"))</f>
        <v/>
      </c>
      <c r="H800" s="35" t="str">
        <f>IF(Liens!G795="","",IF(COUNTIF(Mots!A:A,Liens!G795)&gt;0,"✓ "&amp;Liens!G795,"✗ "&amp;Liens!G795&amp;" (introuvable)"))</f>
        <v/>
      </c>
      <c r="I800" s="35" t="str">
        <f>IF(Liens!H795="","",IF(COUNTIF(Mots!A:A,Liens!H795)&gt;0,"✓ "&amp;Liens!H795,"✗ "&amp;Liens!H795&amp;" (introuvable)"))</f>
        <v/>
      </c>
    </row>
    <row r="801" spans="1:9" x14ac:dyDescent="0.3">
      <c r="A801">
        <f t="shared" si="9"/>
        <v>796</v>
      </c>
      <c r="B801" s="35" t="str">
        <f>IF(Liens!A796="","",IF(COUNTIF(Mots!A:A,Liens!A796)&gt;0,"✓ "&amp;Liens!A796,"✗ "&amp;Liens!A796&amp;" (introuvable)"))</f>
        <v>✓ soudain</v>
      </c>
      <c r="C801" s="35" t="str">
        <f>IF(Liens!B796="","",IF(COUNTIF(Mots!A:A,Liens!B796)&gt;0,"✓ "&amp;Liens!B796,"✗ "&amp;Liens!B796&amp;" (introuvable)"))</f>
        <v>✓ brusquement</v>
      </c>
      <c r="D801" s="35" t="str">
        <f>IF(Liens!C796="","",IF(COUNTIF(Mots!A:A,Liens!C796)&gt;0,"✓ "&amp;Liens!C796,"✗ "&amp;Liens!C796&amp;" (introuvable)"))</f>
        <v/>
      </c>
      <c r="E801" s="35" t="str">
        <f>IF(Liens!D796="","",IF(COUNTIF(Mots!A:A,Liens!D796)&gt;0,"✓ "&amp;Liens!D796,"✗ "&amp;Liens!D796&amp;" (introuvable)"))</f>
        <v/>
      </c>
      <c r="F801" s="35" t="str">
        <f>IF(Liens!E796="","",IF(COUNTIF(Mots!A:A,Liens!E796)&gt;0,"✓ "&amp;Liens!E796,"✗ "&amp;Liens!E796&amp;" (introuvable)"))</f>
        <v/>
      </c>
      <c r="G801" s="35" t="str">
        <f>IF(Liens!F796="","",IF(COUNTIF(Mots!A:A,Liens!F796)&gt;0,"✓ "&amp;Liens!F796,"✗ "&amp;Liens!F796&amp;" (introuvable)"))</f>
        <v/>
      </c>
      <c r="H801" s="35" t="str">
        <f>IF(Liens!G796="","",IF(COUNTIF(Mots!A:A,Liens!G796)&gt;0,"✓ "&amp;Liens!G796,"✗ "&amp;Liens!G796&amp;" (introuvable)"))</f>
        <v/>
      </c>
      <c r="I801" s="35" t="str">
        <f>IF(Liens!H796="","",IF(COUNTIF(Mots!A:A,Liens!H796)&gt;0,"✓ "&amp;Liens!H796,"✗ "&amp;Liens!H796&amp;" (introuvable)"))</f>
        <v/>
      </c>
    </row>
    <row r="802" spans="1:9" x14ac:dyDescent="0.3">
      <c r="A802">
        <f t="shared" si="9"/>
        <v>797</v>
      </c>
      <c r="B802" s="35" t="str">
        <f>IF(Liens!A797="","",IF(COUNTIF(Mots!A:A,Liens!A797)&gt;0,"✓ "&amp;Liens!A797,"✗ "&amp;Liens!A797&amp;" (introuvable)"))</f>
        <v>✓ souffle</v>
      </c>
      <c r="C802" s="35" t="str">
        <f>IF(Liens!B797="","",IF(COUNTIF(Mots!A:A,Liens!B797)&gt;0,"✓ "&amp;Liens!B797,"✗ "&amp;Liens!B797&amp;" (introuvable)"))</f>
        <v>✓ vent</v>
      </c>
      <c r="D802" s="35" t="str">
        <f>IF(Liens!C797="","",IF(COUNTIF(Mots!A:A,Liens!C797)&gt;0,"✓ "&amp;Liens!C797,"✗ "&amp;Liens!C797&amp;" (introuvable)"))</f>
        <v>✓ air</v>
      </c>
      <c r="E802" s="35" t="str">
        <f>IF(Liens!D797="","",IF(COUNTIF(Mots!A:A,Liens!D797)&gt;0,"✓ "&amp;Liens!D797,"✗ "&amp;Liens!D797&amp;" (introuvable)"))</f>
        <v>✓ bouche</v>
      </c>
      <c r="F802" s="35" t="str">
        <f>IF(Liens!E797="","",IF(COUNTIF(Mots!A:A,Liens!E797)&gt;0,"✓ "&amp;Liens!E797,"✗ "&amp;Liens!E797&amp;" (introuvable)"))</f>
        <v>✓ v_jouer</v>
      </c>
      <c r="G802" s="35" t="str">
        <f>IF(Liens!F797="","",IF(COUNTIF(Mots!A:A,Liens!F797)&gt;0,"✓ "&amp;Liens!F797,"✗ "&amp;Liens!F797&amp;" (introuvable)"))</f>
        <v>✓ v_chanter</v>
      </c>
      <c r="H802" s="35" t="str">
        <f>IF(Liens!G797="","",IF(COUNTIF(Mots!A:A,Liens!G797)&gt;0,"✓ "&amp;Liens!G797,"✗ "&amp;Liens!G797&amp;" (introuvable)"))</f>
        <v>✓ cornet</v>
      </c>
      <c r="I802" s="35" t="str">
        <f>IF(Liens!H797="","",IF(COUNTIF(Mots!A:A,Liens!H797)&gt;0,"✓ "&amp;Liens!H797,"✗ "&amp;Liens!H797&amp;" (introuvable)"))</f>
        <v>✓ arbre</v>
      </c>
    </row>
    <row r="803" spans="1:9" x14ac:dyDescent="0.3">
      <c r="A803">
        <f t="shared" si="9"/>
        <v>798</v>
      </c>
      <c r="B803" s="35" t="str">
        <f>IF(Liens!A798="","",IF(COUNTIF(Mots!A:A,Liens!A798)&gt;0,"✓ "&amp;Liens!A798,"✗ "&amp;Liens!A798&amp;" (introuvable)"))</f>
        <v>✓ souhait</v>
      </c>
      <c r="C803" s="35" t="str">
        <f>IF(Liens!B798="","",IF(COUNTIF(Mots!A:A,Liens!B798)&gt;0,"✓ "&amp;Liens!B798,"✗ "&amp;Liens!B798&amp;" (introuvable)"))</f>
        <v>✓ desir</v>
      </c>
      <c r="D803" s="35" t="str">
        <f>IF(Liens!C798="","",IF(COUNTIF(Mots!A:A,Liens!C798)&gt;0,"✓ "&amp;Liens!C798,"✗ "&amp;Liens!C798&amp;" (introuvable)"))</f>
        <v>✓ v_choisir</v>
      </c>
      <c r="E803" s="35" t="str">
        <f>IF(Liens!D798="","",IF(COUNTIF(Mots!A:A,Liens!D798)&gt;0,"✓ "&amp;Liens!D798,"✗ "&amp;Liens!D798&amp;" (introuvable)"))</f>
        <v>✓ v_pouvoir</v>
      </c>
      <c r="F803" s="35" t="str">
        <f>IF(Liens!E798="","",IF(COUNTIF(Mots!A:A,Liens!E798)&gt;0,"✓ "&amp;Liens!E798,"✗ "&amp;Liens!E798&amp;" (introuvable)"))</f>
        <v>✓ v_vouloir</v>
      </c>
      <c r="G803" s="35" t="str">
        <f>IF(Liens!F798="","",IF(COUNTIF(Mots!A:A,Liens!F798)&gt;0,"✓ "&amp;Liens!F798,"✗ "&amp;Liens!F798&amp;" (introuvable)"))</f>
        <v>✓ cadeau</v>
      </c>
      <c r="H803" s="35" t="str">
        <f>IF(Liens!G798="","",IF(COUNTIF(Mots!A:A,Liens!G798)&gt;0,"✓ "&amp;Liens!G798,"✗ "&amp;Liens!G798&amp;" (introuvable)"))</f>
        <v/>
      </c>
      <c r="I803" s="35" t="str">
        <f>IF(Liens!H798="","",IF(COUNTIF(Mots!A:A,Liens!H798)&gt;0,"✓ "&amp;Liens!H798,"✗ "&amp;Liens!H798&amp;" (introuvable)"))</f>
        <v/>
      </c>
    </row>
    <row r="804" spans="1:9" x14ac:dyDescent="0.3">
      <c r="A804">
        <f t="shared" si="9"/>
        <v>799</v>
      </c>
      <c r="B804" s="35" t="str">
        <f>IF(Liens!A799="","",IF(COUNTIF(Mots!A:A,Liens!A799)&gt;0,"✓ "&amp;Liens!A799,"✗ "&amp;Liens!A799&amp;" (introuvable)"))</f>
        <v>✓ soupe</v>
      </c>
      <c r="C804" s="35" t="str">
        <f>IF(Liens!B799="","",IF(COUNTIF(Mots!A:A,Liens!B799)&gt;0,"✓ "&amp;Liens!B799,"✗ "&amp;Liens!B799&amp;" (introuvable)"))</f>
        <v>✓ legume</v>
      </c>
      <c r="D804" s="35" t="str">
        <f>IF(Liens!C799="","",IF(COUNTIF(Mots!A:A,Liens!C799)&gt;0,"✓ "&amp;Liens!C799,"✗ "&amp;Liens!C799&amp;" (introuvable)"))</f>
        <v>✓ a_chaud_froid</v>
      </c>
      <c r="E804" s="35" t="str">
        <f>IF(Liens!D799="","",IF(COUNTIF(Mots!A:A,Liens!D799)&gt;0,"✓ "&amp;Liens!D799,"✗ "&amp;Liens!D799&amp;" (introuvable)"))</f>
        <v>✓ liquide</v>
      </c>
      <c r="F804" s="35" t="str">
        <f>IF(Liens!E799="","",IF(COUNTIF(Mots!A:A,Liens!E799)&gt;0,"✓ "&amp;Liens!E799,"✗ "&amp;Liens!E799&amp;" (introuvable)"))</f>
        <v>✓ v_manger</v>
      </c>
      <c r="G804" s="35" t="str">
        <f>IF(Liens!F799="","",IF(COUNTIF(Mots!A:A,Liens!F799)&gt;0,"✓ "&amp;Liens!F799,"✗ "&amp;Liens!F799&amp;" (introuvable)"))</f>
        <v/>
      </c>
      <c r="H804" s="35" t="str">
        <f>IF(Liens!G799="","",IF(COUNTIF(Mots!A:A,Liens!G799)&gt;0,"✓ "&amp;Liens!G799,"✗ "&amp;Liens!G799&amp;" (introuvable)"))</f>
        <v/>
      </c>
      <c r="I804" s="35" t="str">
        <f>IF(Liens!H799="","",IF(COUNTIF(Mots!A:A,Liens!H799)&gt;0,"✓ "&amp;Liens!H799,"✗ "&amp;Liens!H799&amp;" (introuvable)"))</f>
        <v/>
      </c>
    </row>
    <row r="805" spans="1:9" x14ac:dyDescent="0.3">
      <c r="A805">
        <f t="shared" si="9"/>
        <v>800</v>
      </c>
      <c r="B805" s="35" t="str">
        <f>IF(Liens!A800="","",IF(COUNTIF(Mots!A:A,Liens!A800)&gt;0,"✓ "&amp;Liens!A800,"✗ "&amp;Liens!A800&amp;" (introuvable)"))</f>
        <v>✓ souple</v>
      </c>
      <c r="C805" s="35" t="str">
        <f>IF(Liens!B800="","",IF(COUNTIF(Mots!A:A,Liens!B800)&gt;0,"✓ "&amp;Liens!B800,"✗ "&amp;Liens!B800&amp;" (introuvable)"))</f>
        <v>✓ personne</v>
      </c>
      <c r="D805" s="35" t="str">
        <f>IF(Liens!C800="","",IF(COUNTIF(Mots!A:A,Liens!C800)&gt;0,"✓ "&amp;Liens!C800,"✗ "&amp;Liens!C800&amp;" (introuvable)"))</f>
        <v/>
      </c>
      <c r="E805" s="35" t="str">
        <f>IF(Liens!D800="","",IF(COUNTIF(Mots!A:A,Liens!D800)&gt;0,"✓ "&amp;Liens!D800,"✗ "&amp;Liens!D800&amp;" (introuvable)"))</f>
        <v/>
      </c>
      <c r="F805" s="35" t="str">
        <f>IF(Liens!E800="","",IF(COUNTIF(Mots!A:A,Liens!E800)&gt;0,"✓ "&amp;Liens!E800,"✗ "&amp;Liens!E800&amp;" (introuvable)"))</f>
        <v/>
      </c>
      <c r="G805" s="35" t="str">
        <f>IF(Liens!F800="","",IF(COUNTIF(Mots!A:A,Liens!F800)&gt;0,"✓ "&amp;Liens!F800,"✗ "&amp;Liens!F800&amp;" (introuvable)"))</f>
        <v/>
      </c>
      <c r="H805" s="35" t="str">
        <f>IF(Liens!G800="","",IF(COUNTIF(Mots!A:A,Liens!G800)&gt;0,"✓ "&amp;Liens!G800,"✗ "&amp;Liens!G800&amp;" (introuvable)"))</f>
        <v/>
      </c>
      <c r="I805" s="35" t="str">
        <f>IF(Liens!H800="","",IF(COUNTIF(Mots!A:A,Liens!H800)&gt;0,"✓ "&amp;Liens!H800,"✗ "&amp;Liens!H800&amp;" (introuvable)"))</f>
        <v/>
      </c>
    </row>
    <row r="806" spans="1:9" x14ac:dyDescent="0.3">
      <c r="A806">
        <f t="shared" si="9"/>
        <v>801</v>
      </c>
      <c r="B806" s="35" t="str">
        <f>IF(Liens!A801="","",IF(COUNTIF(Mots!A:A,Liens!A801)&gt;0,"✓ "&amp;Liens!A801,"✗ "&amp;Liens!A801&amp;" (introuvable)"))</f>
        <v>✓ source</v>
      </c>
      <c r="C806" s="35" t="str">
        <f>IF(Liens!B801="","",IF(COUNTIF(Mots!A:A,Liens!B801)&gt;0,"✓ "&amp;Liens!B801,"✗ "&amp;Liens!B801&amp;" (introuvable)"))</f>
        <v>✓ eau</v>
      </c>
      <c r="D806" s="35" t="str">
        <f>IF(Liens!C801="","",IF(COUNTIF(Mots!A:A,Liens!C801)&gt;0,"✓ "&amp;Liens!C801,"✗ "&amp;Liens!C801&amp;" (introuvable)"))</f>
        <v>✓ v_boire</v>
      </c>
      <c r="E806" s="35" t="str">
        <f>IF(Liens!D801="","",IF(COUNTIF(Mots!A:A,Liens!D801)&gt;0,"✓ "&amp;Liens!D801,"✗ "&amp;Liens!D801&amp;" (introuvable)"))</f>
        <v/>
      </c>
      <c r="F806" s="35" t="str">
        <f>IF(Liens!E801="","",IF(COUNTIF(Mots!A:A,Liens!E801)&gt;0,"✓ "&amp;Liens!E801,"✗ "&amp;Liens!E801&amp;" (introuvable)"))</f>
        <v/>
      </c>
      <c r="G806" s="35" t="str">
        <f>IF(Liens!F801="","",IF(COUNTIF(Mots!A:A,Liens!F801)&gt;0,"✓ "&amp;Liens!F801,"✗ "&amp;Liens!F801&amp;" (introuvable)"))</f>
        <v/>
      </c>
      <c r="H806" s="35" t="str">
        <f>IF(Liens!G801="","",IF(COUNTIF(Mots!A:A,Liens!G801)&gt;0,"✓ "&amp;Liens!G801,"✗ "&amp;Liens!G801&amp;" (introuvable)"))</f>
        <v/>
      </c>
      <c r="I806" s="35" t="str">
        <f>IF(Liens!H801="","",IF(COUNTIF(Mots!A:A,Liens!H801)&gt;0,"✓ "&amp;Liens!H801,"✗ "&amp;Liens!H801&amp;" (introuvable)"))</f>
        <v/>
      </c>
    </row>
    <row r="807" spans="1:9" x14ac:dyDescent="0.3">
      <c r="A807">
        <f t="shared" si="9"/>
        <v>802</v>
      </c>
      <c r="B807" s="35" t="str">
        <f>IF(Liens!A802="","",IF(COUNTIF(Mots!A:A,Liens!A802)&gt;0,"✓ "&amp;Liens!A802,"✗ "&amp;Liens!A802&amp;" (introuvable)"))</f>
        <v>✓ souris</v>
      </c>
      <c r="C807" s="35" t="str">
        <f>IF(Liens!B802="","",IF(COUNTIF(Mots!A:A,Liens!B802)&gt;0,"✓ "&amp;Liens!B802,"✗ "&amp;Liens!B802&amp;" (introuvable)"))</f>
        <v>✓ animal</v>
      </c>
      <c r="D807" s="35" t="str">
        <f>IF(Liens!C802="","",IF(COUNTIF(Mots!A:A,Liens!C802)&gt;0,"✓ "&amp;Liens!C802,"✗ "&amp;Liens!C802&amp;" (introuvable)"))</f>
        <v>✓ c_gris</v>
      </c>
      <c r="E807" s="35" t="str">
        <f>IF(Liens!D802="","",IF(COUNTIF(Mots!A:A,Liens!D802)&gt;0,"✓ "&amp;Liens!D802,"✗ "&amp;Liens!D802&amp;" (introuvable)"))</f>
        <v>✓ queue</v>
      </c>
      <c r="F807" s="35" t="str">
        <f>IF(Liens!E802="","",IF(COUNTIF(Mots!A:A,Liens!E802)&gt;0,"✓ "&amp;Liens!E802,"✗ "&amp;Liens!E802&amp;" (introuvable)"))</f>
        <v>✓ fromage</v>
      </c>
      <c r="G807" s="35" t="str">
        <f>IF(Liens!F802="","",IF(COUNTIF(Mots!A:A,Liens!F802)&gt;0,"✓ "&amp;Liens!F802,"✗ "&amp;Liens!F802&amp;" (introuvable)"))</f>
        <v/>
      </c>
      <c r="H807" s="35" t="str">
        <f>IF(Liens!G802="","",IF(COUNTIF(Mots!A:A,Liens!G802)&gt;0,"✓ "&amp;Liens!G802,"✗ "&amp;Liens!G802&amp;" (introuvable)"))</f>
        <v/>
      </c>
      <c r="I807" s="35" t="str">
        <f>IF(Liens!H802="","",IF(COUNTIF(Mots!A:A,Liens!H802)&gt;0,"✓ "&amp;Liens!H802,"✗ "&amp;Liens!H802&amp;" (introuvable)"))</f>
        <v/>
      </c>
    </row>
    <row r="808" spans="1:9" x14ac:dyDescent="0.3">
      <c r="A808">
        <f t="shared" si="9"/>
        <v>803</v>
      </c>
      <c r="B808" s="35" t="str">
        <f>IF(Liens!A803="","",IF(COUNTIF(Mots!A:A,Liens!A803)&gt;0,"✓ "&amp;Liens!A803,"✗ "&amp;Liens!A803&amp;" (introuvable)"))</f>
        <v>✓ souvenir</v>
      </c>
      <c r="C808" s="35" t="str">
        <f>IF(Liens!B803="","",IF(COUNTIF(Mots!A:A,Liens!B803)&gt;0,"✓ "&amp;Liens!B803,"✗ "&amp;Liens!B803&amp;" (introuvable)"))</f>
        <v>✓ memoire</v>
      </c>
      <c r="D808" s="35" t="str">
        <f>IF(Liens!C803="","",IF(COUNTIF(Mots!A:A,Liens!C803)&gt;0,"✓ "&amp;Liens!C803,"✗ "&amp;Liens!C803&amp;" (introuvable)"))</f>
        <v>✓ cerveau</v>
      </c>
      <c r="E808" s="35" t="str">
        <f>IF(Liens!D803="","",IF(COUNTIF(Mots!A:A,Liens!D803)&gt;0,"✓ "&amp;Liens!D803,"✗ "&amp;Liens!D803&amp;" (introuvable)"))</f>
        <v>✓ image</v>
      </c>
      <c r="F808" s="35" t="str">
        <f>IF(Liens!E803="","",IF(COUNTIF(Mots!A:A,Liens!E803)&gt;0,"✓ "&amp;Liens!E803,"✗ "&amp;Liens!E803&amp;" (introuvable)"))</f>
        <v>✓ mes_enfants</v>
      </c>
      <c r="G808" s="35" t="str">
        <f>IF(Liens!F803="","",IF(COUNTIF(Mots!A:A,Liens!F803)&gt;0,"✓ "&amp;Liens!F803,"✗ "&amp;Liens!F803&amp;" (introuvable)"))</f>
        <v>✓ famille</v>
      </c>
      <c r="H808" s="35" t="str">
        <f>IF(Liens!G803="","",IF(COUNTIF(Mots!A:A,Liens!G803)&gt;0,"✓ "&amp;Liens!G803,"✗ "&amp;Liens!G803&amp;" (introuvable)"))</f>
        <v>✓ voyage</v>
      </c>
      <c r="I808" s="35" t="str">
        <f>IF(Liens!H803="","",IF(COUNTIF(Mots!A:A,Liens!H803)&gt;0,"✓ "&amp;Liens!H803,"✗ "&amp;Liens!H803&amp;" (introuvable)"))</f>
        <v>✓ vacances</v>
      </c>
    </row>
    <row r="809" spans="1:9" x14ac:dyDescent="0.3">
      <c r="A809">
        <f t="shared" si="9"/>
        <v>804</v>
      </c>
      <c r="B809" s="35" t="str">
        <f>IF(Liens!A804="","",IF(COUNTIF(Mots!A:A,Liens!A804)&gt;0,"✓ "&amp;Liens!A804,"✗ "&amp;Liens!A804&amp;" (introuvable)"))</f>
        <v>✓ souvent</v>
      </c>
      <c r="C809" s="35" t="str">
        <f>IF(Liens!B804="","",IF(COUNTIF(Mots!A:A,Liens!B804)&gt;0,"✓ "&amp;Liens!B804,"✗ "&amp;Liens!B804&amp;" (introuvable)"))</f>
        <v>✓ toujours</v>
      </c>
      <c r="D809" s="35" t="str">
        <f>IF(Liens!C804="","",IF(COUNTIF(Mots!A:A,Liens!C804)&gt;0,"✓ "&amp;Liens!C804,"✗ "&amp;Liens!C804&amp;" (introuvable)"))</f>
        <v>✓ jamais</v>
      </c>
      <c r="E809" s="35" t="str">
        <f>IF(Liens!D804="","",IF(COUNTIF(Mots!A:A,Liens!D804)&gt;0,"✓ "&amp;Liens!D804,"✗ "&amp;Liens!D804&amp;" (introuvable)"))</f>
        <v>✓ parfois</v>
      </c>
      <c r="F809" s="35" t="str">
        <f>IF(Liens!E804="","",IF(COUNTIF(Mots!A:A,Liens!E804)&gt;0,"✓ "&amp;Liens!E804,"✗ "&amp;Liens!E804&amp;" (introuvable)"))</f>
        <v/>
      </c>
      <c r="G809" s="35" t="str">
        <f>IF(Liens!F804="","",IF(COUNTIF(Mots!A:A,Liens!F804)&gt;0,"✓ "&amp;Liens!F804,"✗ "&amp;Liens!F804&amp;" (introuvable)"))</f>
        <v/>
      </c>
      <c r="H809" s="35" t="str">
        <f>IF(Liens!G804="","",IF(COUNTIF(Mots!A:A,Liens!G804)&gt;0,"✓ "&amp;Liens!G804,"✗ "&amp;Liens!G804&amp;" (introuvable)"))</f>
        <v/>
      </c>
      <c r="I809" s="35" t="str">
        <f>IF(Liens!H804="","",IF(COUNTIF(Mots!A:A,Liens!H804)&gt;0,"✓ "&amp;Liens!H804,"✗ "&amp;Liens!H804&amp;" (introuvable)"))</f>
        <v/>
      </c>
    </row>
    <row r="810" spans="1:9" x14ac:dyDescent="0.3">
      <c r="A810">
        <f t="shared" si="9"/>
        <v>805</v>
      </c>
      <c r="B810" s="35" t="str">
        <f>IF(Liens!A805="","",IF(COUNTIF(Mots!A:A,Liens!A805)&gt;0,"✓ "&amp;Liens!A805,"✗ "&amp;Liens!A805&amp;" (introuvable)"))</f>
        <v>✓ spectacle</v>
      </c>
      <c r="C810" s="35" t="str">
        <f>IF(Liens!B805="","",IF(COUNTIF(Mots!A:A,Liens!B805)&gt;0,"✓ "&amp;Liens!B805,"✗ "&amp;Liens!B805&amp;" (introuvable)"))</f>
        <v>✓ concert</v>
      </c>
      <c r="D810" s="35" t="str">
        <f>IF(Liens!C805="","",IF(COUNTIF(Mots!A:A,Liens!C805)&gt;0,"✓ "&amp;Liens!C805,"✗ "&amp;Liens!C805&amp;" (introuvable)"))</f>
        <v>✓ public</v>
      </c>
      <c r="E810" s="35" t="str">
        <f>IF(Liens!D805="","",IF(COUNTIF(Mots!A:A,Liens!D805)&gt;0,"✓ "&amp;Liens!D805,"✗ "&amp;Liens!D805&amp;" (introuvable)"))</f>
        <v>✓ applaudissements</v>
      </c>
      <c r="F810" s="35" t="str">
        <f>IF(Liens!E805="","",IF(COUNTIF(Mots!A:A,Liens!E805)&gt;0,"✓ "&amp;Liens!E805,"✗ "&amp;Liens!E805&amp;" (introuvable)"))</f>
        <v>✓ chanteur</v>
      </c>
      <c r="G810" s="35" t="str">
        <f>IF(Liens!F805="","",IF(COUNTIF(Mots!A:A,Liens!F805)&gt;0,"✓ "&amp;Liens!F805,"✗ "&amp;Liens!F805&amp;" (introuvable)"))</f>
        <v>✓ musicien</v>
      </c>
      <c r="H810" s="35" t="str">
        <f>IF(Liens!G805="","",IF(COUNTIF(Mots!A:A,Liens!G805)&gt;0,"✓ "&amp;Liens!G805,"✗ "&amp;Liens!G805&amp;" (introuvable)"))</f>
        <v>✓ scene</v>
      </c>
      <c r="I810" s="35" t="str">
        <f>IF(Liens!H805="","",IF(COUNTIF(Mots!A:A,Liens!H805)&gt;0,"✓ "&amp;Liens!H805,"✗ "&amp;Liens!H805&amp;" (introuvable)"))</f>
        <v>✓ v_jouer</v>
      </c>
    </row>
    <row r="811" spans="1:9" x14ac:dyDescent="0.3">
      <c r="A811">
        <f t="shared" si="9"/>
        <v>806</v>
      </c>
      <c r="B811" s="35" t="str">
        <f>IF(Liens!A806="","",IF(COUNTIF(Mots!A:A,Liens!A806)&gt;0,"✓ "&amp;Liens!A806,"✗ "&amp;Liens!A806&amp;" (introuvable)"))</f>
        <v>✓ sport</v>
      </c>
      <c r="C811" s="35" t="str">
        <f>IF(Liens!B806="","",IF(COUNTIF(Mots!A:A,Liens!B806)&gt;0,"✓ "&amp;Liens!B806,"✗ "&amp;Liens!B806&amp;" (introuvable)"))</f>
        <v>✓ v_courir</v>
      </c>
      <c r="D811" s="35" t="str">
        <f>IF(Liens!C806="","",IF(COUNTIF(Mots!A:A,Liens!C806)&gt;0,"✓ "&amp;Liens!C806,"✗ "&amp;Liens!C806&amp;" (introuvable)"))</f>
        <v>✓ stade</v>
      </c>
      <c r="E811" s="35" t="str">
        <f>IF(Liens!D806="","",IF(COUNTIF(Mots!A:A,Liens!D806)&gt;0,"✓ "&amp;Liens!D806,"✗ "&amp;Liens!D806&amp;" (introuvable)"))</f>
        <v>✓ effort</v>
      </c>
      <c r="F811" s="35" t="str">
        <f>IF(Liens!E806="","",IF(COUNTIF(Mots!A:A,Liens!E806)&gt;0,"✓ "&amp;Liens!E806,"✗ "&amp;Liens!E806&amp;" (introuvable)"))</f>
        <v>✓ ballon</v>
      </c>
      <c r="G811" s="35" t="str">
        <f>IF(Liens!F806="","",IF(COUNTIF(Mots!A:A,Liens!F806)&gt;0,"✓ "&amp;Liens!F806,"✗ "&amp;Liens!F806&amp;" (introuvable)"))</f>
        <v>✓ television</v>
      </c>
      <c r="H811" s="35" t="str">
        <f>IF(Liens!G806="","",IF(COUNTIF(Mots!A:A,Liens!G806)&gt;0,"✓ "&amp;Liens!G806,"✗ "&amp;Liens!G806&amp;" (introuvable)"))</f>
        <v>✓ public</v>
      </c>
      <c r="I811" s="35" t="str">
        <f>IF(Liens!H806="","",IF(COUNTIF(Mots!A:A,Liens!H806)&gt;0,"✓ "&amp;Liens!H806,"✗ "&amp;Liens!H806&amp;" (introuvable)"))</f>
        <v>✓ vainqueur</v>
      </c>
    </row>
    <row r="812" spans="1:9" x14ac:dyDescent="0.3">
      <c r="A812">
        <f t="shared" si="9"/>
        <v>807</v>
      </c>
      <c r="B812" s="35" t="str">
        <f>IF(Liens!A807="","",IF(COUNTIF(Mots!A:A,Liens!A807)&gt;0,"✓ "&amp;Liens!A807,"✗ "&amp;Liens!A807&amp;" (introuvable)"))</f>
        <v>✓ squelette</v>
      </c>
      <c r="C812" s="35" t="str">
        <f>IF(Liens!B807="","",IF(COUNTIF(Mots!A:A,Liens!B807)&gt;0,"✓ "&amp;Liens!B807,"✗ "&amp;Liens!B807&amp;" (introuvable)"))</f>
        <v>✓ os</v>
      </c>
      <c r="D812" s="35" t="str">
        <f>IF(Liens!C807="","",IF(COUNTIF(Mots!A:A,Liens!C807)&gt;0,"✓ "&amp;Liens!C807,"✗ "&amp;Liens!C807&amp;" (introuvable)"))</f>
        <v>✓ corps_humain</v>
      </c>
      <c r="E812" s="35" t="str">
        <f>IF(Liens!D807="","",IF(COUNTIF(Mots!A:A,Liens!D807)&gt;0,"✓ "&amp;Liens!D807,"✗ "&amp;Liens!D807&amp;" (introuvable)"))</f>
        <v>✓ chair</v>
      </c>
      <c r="F812" s="35" t="str">
        <f>IF(Liens!E807="","",IF(COUNTIF(Mots!A:A,Liens!E807)&gt;0,"✓ "&amp;Liens!E807,"✗ "&amp;Liens!E807&amp;" (introuvable)"))</f>
        <v>✓ muscle</v>
      </c>
      <c r="G812" s="35" t="str">
        <f>IF(Liens!F807="","",IF(COUNTIF(Mots!A:A,Liens!F807)&gt;0,"✓ "&amp;Liens!F807,"✗ "&amp;Liens!F807&amp;" (introuvable)"))</f>
        <v/>
      </c>
      <c r="H812" s="35" t="str">
        <f>IF(Liens!G807="","",IF(COUNTIF(Mots!A:A,Liens!G807)&gt;0,"✓ "&amp;Liens!G807,"✗ "&amp;Liens!G807&amp;" (introuvable)"))</f>
        <v/>
      </c>
      <c r="I812" s="35" t="str">
        <f>IF(Liens!H807="","",IF(COUNTIF(Mots!A:A,Liens!H807)&gt;0,"✓ "&amp;Liens!H807,"✗ "&amp;Liens!H807&amp;" (introuvable)"))</f>
        <v/>
      </c>
    </row>
    <row r="813" spans="1:9" x14ac:dyDescent="0.3">
      <c r="A813">
        <f t="shared" si="9"/>
        <v>808</v>
      </c>
      <c r="B813" s="35" t="str">
        <f>IF(Liens!A808="","",IF(COUNTIF(Mots!A:A,Liens!A808)&gt;0,"✓ "&amp;Liens!A808,"✗ "&amp;Liens!A808&amp;" (introuvable)"))</f>
        <v>✓ stade</v>
      </c>
      <c r="C813" s="35" t="str">
        <f>IF(Liens!B808="","",IF(COUNTIF(Mots!A:A,Liens!B808)&gt;0,"✓ "&amp;Liens!B808,"✗ "&amp;Liens!B808&amp;" (introuvable)"))</f>
        <v>✓ sport</v>
      </c>
      <c r="D813" s="35" t="str">
        <f>IF(Liens!C808="","",IF(COUNTIF(Mots!A:A,Liens!C808)&gt;0,"✓ "&amp;Liens!C808,"✗ "&amp;Liens!C808&amp;" (introuvable)"))</f>
        <v>✓ public</v>
      </c>
      <c r="E813" s="35" t="str">
        <f>IF(Liens!D808="","",IF(COUNTIF(Mots!A:A,Liens!D808)&gt;0,"✓ "&amp;Liens!D808,"✗ "&amp;Liens!D808&amp;" (introuvable)"))</f>
        <v>✓ ballon</v>
      </c>
      <c r="F813" s="35" t="str">
        <f>IF(Liens!E808="","",IF(COUNTIF(Mots!A:A,Liens!E808)&gt;0,"✓ "&amp;Liens!E808,"✗ "&amp;Liens!E808&amp;" (introuvable)"))</f>
        <v>✓ pelouse</v>
      </c>
      <c r="G813" s="35" t="str">
        <f>IF(Liens!F808="","",IF(COUNTIF(Mots!A:A,Liens!F808)&gt;0,"✓ "&amp;Liens!F808,"✗ "&amp;Liens!F808&amp;" (introuvable)"))</f>
        <v>✓ terrain</v>
      </c>
      <c r="H813" s="35" t="str">
        <f>IF(Liens!G808="","",IF(COUNTIF(Mots!A:A,Liens!G808)&gt;0,"✓ "&amp;Liens!G808,"✗ "&amp;Liens!G808&amp;" (introuvable)"))</f>
        <v/>
      </c>
      <c r="I813" s="35" t="str">
        <f>IF(Liens!H808="","",IF(COUNTIF(Mots!A:A,Liens!H808)&gt;0,"✓ "&amp;Liens!H808,"✗ "&amp;Liens!H808&amp;" (introuvable)"))</f>
        <v/>
      </c>
    </row>
    <row r="814" spans="1:9" x14ac:dyDescent="0.3">
      <c r="A814">
        <f t="shared" si="9"/>
        <v>809</v>
      </c>
      <c r="B814" s="35" t="str">
        <f>IF(Liens!A809="","",IF(COUNTIF(Mots!A:A,Liens!A809)&gt;0,"✓ "&amp;Liens!A809,"✗ "&amp;Liens!A809&amp;" (introuvable)"))</f>
        <v>✓ stylo</v>
      </c>
      <c r="C814" s="35" t="str">
        <f>IF(Liens!B809="","",IF(COUNTIF(Mots!A:A,Liens!B809)&gt;0,"✓ "&amp;Liens!B809,"✗ "&amp;Liens!B809&amp;" (introuvable)"))</f>
        <v>✓ papier</v>
      </c>
      <c r="D814" s="35" t="str">
        <f>IF(Liens!C809="","",IF(COUNTIF(Mots!A:A,Liens!C809)&gt;0,"✓ "&amp;Liens!C809,"✗ "&amp;Liens!C809&amp;" (introuvable)"))</f>
        <v>✓ v_ecrire</v>
      </c>
      <c r="E814" s="35" t="str">
        <f>IF(Liens!D809="","",IF(COUNTIF(Mots!A:A,Liens!D809)&gt;0,"✓ "&amp;Liens!D809,"✗ "&amp;Liens!D809&amp;" (introuvable)"))</f>
        <v>✓ crayon</v>
      </c>
      <c r="F814" s="35" t="str">
        <f>IF(Liens!E809="","",IF(COUNTIF(Mots!A:A,Liens!E809)&gt;0,"✓ "&amp;Liens!E809,"✗ "&amp;Liens!E809&amp;" (introuvable)"))</f>
        <v>✓ main</v>
      </c>
      <c r="G814" s="35" t="str">
        <f>IF(Liens!F809="","",IF(COUNTIF(Mots!A:A,Liens!F809)&gt;0,"✓ "&amp;Liens!F809,"✗ "&amp;Liens!F809&amp;" (introuvable)"))</f>
        <v>✓ doigt</v>
      </c>
      <c r="H814" s="35" t="str">
        <f>IF(Liens!G809="","",IF(COUNTIF(Mots!A:A,Liens!G809)&gt;0,"✓ "&amp;Liens!G809,"✗ "&amp;Liens!G809&amp;" (introuvable)"))</f>
        <v/>
      </c>
      <c r="I814" s="35" t="str">
        <f>IF(Liens!H809="","",IF(COUNTIF(Mots!A:A,Liens!H809)&gt;0,"✓ "&amp;Liens!H809,"✗ "&amp;Liens!H809&amp;" (introuvable)"))</f>
        <v/>
      </c>
    </row>
    <row r="815" spans="1:9" x14ac:dyDescent="0.3">
      <c r="A815">
        <f t="shared" si="9"/>
        <v>810</v>
      </c>
      <c r="B815" s="35" t="str">
        <f>IF(Liens!A810="","",IF(COUNTIF(Mots!A:A,Liens!A810)&gt;0,"✓ "&amp;Liens!A810,"✗ "&amp;Liens!A810&amp;" (introuvable)"))</f>
        <v>✓ sucre</v>
      </c>
      <c r="C815" s="35" t="str">
        <f>IF(Liens!B810="","",IF(COUNTIF(Mots!A:A,Liens!B810)&gt;0,"✓ "&amp;Liens!B810,"✗ "&amp;Liens!B810&amp;" (introuvable)"))</f>
        <v>✓ a_sucre_sale</v>
      </c>
      <c r="D815" s="35" t="str">
        <f>IF(Liens!C810="","",IF(COUNTIF(Mots!A:A,Liens!C810)&gt;0,"✓ "&amp;Liens!C810,"✗ "&amp;Liens!C810&amp;" (introuvable)"))</f>
        <v>✓ cafe</v>
      </c>
      <c r="E815" s="35" t="str">
        <f>IF(Liens!D810="","",IF(COUNTIF(Mots!A:A,Liens!D810)&gt;0,"✓ "&amp;Liens!D810,"✗ "&amp;Liens!D810&amp;" (introuvable)"))</f>
        <v>✓ sucrerie</v>
      </c>
      <c r="F815" s="35" t="str">
        <f>IF(Liens!E810="","",IF(COUNTIF(Mots!A:A,Liens!E810)&gt;0,"✓ "&amp;Liens!E810,"✗ "&amp;Liens!E810&amp;" (introuvable)"))</f>
        <v>✓ v_manger</v>
      </c>
      <c r="G815" s="35" t="str">
        <f>IF(Liens!F810="","",IF(COUNTIF(Mots!A:A,Liens!F810)&gt;0,"✓ "&amp;Liens!F810,"✗ "&amp;Liens!F810&amp;" (introuvable)"))</f>
        <v>✓ v_boire</v>
      </c>
      <c r="H815" s="35" t="str">
        <f>IF(Liens!G810="","",IF(COUNTIF(Mots!A:A,Liens!G810)&gt;0,"✓ "&amp;Liens!G810,"✗ "&amp;Liens!G810&amp;" (introuvable)"))</f>
        <v/>
      </c>
      <c r="I815" s="35" t="str">
        <f>IF(Liens!H810="","",IF(COUNTIF(Mots!A:A,Liens!H810)&gt;0,"✓ "&amp;Liens!H810,"✗ "&amp;Liens!H810&amp;" (introuvable)"))</f>
        <v/>
      </c>
    </row>
    <row r="816" spans="1:9" x14ac:dyDescent="0.3">
      <c r="A816">
        <f t="shared" si="9"/>
        <v>811</v>
      </c>
      <c r="B816" s="35" t="str">
        <f>IF(Liens!A811="","",IF(COUNTIF(Mots!A:A,Liens!A811)&gt;0,"✓ "&amp;Liens!A811,"✗ "&amp;Liens!A811&amp;" (introuvable)"))</f>
        <v>✓ sucrerie</v>
      </c>
      <c r="C816" s="35" t="str">
        <f>IF(Liens!B811="","",IF(COUNTIF(Mots!A:A,Liens!B811)&gt;0,"✓ "&amp;Liens!B811,"✗ "&amp;Liens!B811&amp;" (introuvable)"))</f>
        <v>✓ friandise</v>
      </c>
      <c r="D816" s="35" t="str">
        <f>IF(Liens!C811="","",IF(COUNTIF(Mots!A:A,Liens!C811)&gt;0,"✓ "&amp;Liens!C811,"✗ "&amp;Liens!C811&amp;" (introuvable)"))</f>
        <v>✓ bonbon</v>
      </c>
      <c r="E816" s="35" t="str">
        <f>IF(Liens!D811="","",IF(COUNTIF(Mots!A:A,Liens!D811)&gt;0,"✓ "&amp;Liens!D811,"✗ "&amp;Liens!D811&amp;" (introuvable)"))</f>
        <v>✓ sucre</v>
      </c>
      <c r="F816" s="35" t="str">
        <f>IF(Liens!E811="","",IF(COUNTIF(Mots!A:A,Liens!E811)&gt;0,"✓ "&amp;Liens!E811,"✗ "&amp;Liens!E811&amp;" (introuvable)"))</f>
        <v/>
      </c>
      <c r="G816" s="35" t="str">
        <f>IF(Liens!F811="","",IF(COUNTIF(Mots!A:A,Liens!F811)&gt;0,"✓ "&amp;Liens!F811,"✗ "&amp;Liens!F811&amp;" (introuvable)"))</f>
        <v/>
      </c>
      <c r="H816" s="35" t="str">
        <f>IF(Liens!G811="","",IF(COUNTIF(Mots!A:A,Liens!G811)&gt;0,"✓ "&amp;Liens!G811,"✗ "&amp;Liens!G811&amp;" (introuvable)"))</f>
        <v/>
      </c>
      <c r="I816" s="35" t="str">
        <f>IF(Liens!H811="","",IF(COUNTIF(Mots!A:A,Liens!H811)&gt;0,"✓ "&amp;Liens!H811,"✗ "&amp;Liens!H811&amp;" (introuvable)"))</f>
        <v/>
      </c>
    </row>
    <row r="817" spans="1:9" x14ac:dyDescent="0.3">
      <c r="A817">
        <f t="shared" si="9"/>
        <v>812</v>
      </c>
      <c r="B817" s="35" t="str">
        <f>IF(Liens!A812="","",IF(COUNTIF(Mots!A:A,Liens!A812)&gt;0,"✓ "&amp;Liens!A812,"✗ "&amp;Liens!A812&amp;" (introuvable)"))</f>
        <v>✓ surface</v>
      </c>
      <c r="C817" s="35" t="str">
        <f>IF(Liens!B812="","",IF(COUNTIF(Mots!A:A,Liens!B812)&gt;0,"✓ "&amp;Liens!B812,"✗ "&amp;Liens!B812&amp;" (introuvable)"))</f>
        <v>✓ plat</v>
      </c>
      <c r="D817" s="35" t="str">
        <f>IF(Liens!C812="","",IF(COUNTIF(Mots!A:A,Liens!C812)&gt;0,"✓ "&amp;Liens!C812,"✗ "&amp;Liens!C812&amp;" (introuvable)"))</f>
        <v>✓ sol</v>
      </c>
      <c r="E817" s="35" t="str">
        <f>IF(Liens!D812="","",IF(COUNTIF(Mots!A:A,Liens!D812)&gt;0,"✓ "&amp;Liens!D812,"✗ "&amp;Liens!D812&amp;" (introuvable)"))</f>
        <v>✓ television</v>
      </c>
      <c r="F817" s="35" t="str">
        <f>IF(Liens!E812="","",IF(COUNTIF(Mots!A:A,Liens!E812)&gt;0,"✓ "&amp;Liens!E812,"✗ "&amp;Liens!E812&amp;" (introuvable)"))</f>
        <v>✓ ecran</v>
      </c>
      <c r="G817" s="35" t="str">
        <f>IF(Liens!F812="","",IF(COUNTIF(Mots!A:A,Liens!F812)&gt;0,"✓ "&amp;Liens!F812,"✗ "&amp;Liens!F812&amp;" (introuvable)"))</f>
        <v>✓ table</v>
      </c>
      <c r="H817" s="35" t="str">
        <f>IF(Liens!G812="","",IF(COUNTIF(Mots!A:A,Liens!G812)&gt;0,"✓ "&amp;Liens!G812,"✗ "&amp;Liens!G812&amp;" (introuvable)"))</f>
        <v>✓ faire_les_vitres</v>
      </c>
      <c r="I817" s="35" t="str">
        <f>IF(Liens!H812="","",IF(COUNTIF(Mots!A:A,Liens!H812)&gt;0,"✓ "&amp;Liens!H812,"✗ "&amp;Liens!H812&amp;" (introuvable)"))</f>
        <v>✓ parquet</v>
      </c>
    </row>
    <row r="818" spans="1:9" x14ac:dyDescent="0.3">
      <c r="A818">
        <f t="shared" si="9"/>
        <v>813</v>
      </c>
      <c r="B818" s="35" t="str">
        <f>IF(Liens!A813="","",IF(COUNTIF(Mots!A:A,Liens!A813)&gt;0,"✓ "&amp;Liens!A813,"✗ "&amp;Liens!A813&amp;" (introuvable)"))</f>
        <v>✓ surprise</v>
      </c>
      <c r="C818" s="35" t="str">
        <f>IF(Liens!B813="","",IF(COUNTIF(Mots!A:A,Liens!B813)&gt;0,"✓ "&amp;Liens!B813,"✗ "&amp;Liens!B813&amp;" (introuvable)"))</f>
        <v>✓ emotion</v>
      </c>
      <c r="D818" s="35" t="str">
        <f>IF(Liens!C813="","",IF(COUNTIF(Mots!A:A,Liens!C813)&gt;0,"✓ "&amp;Liens!C813,"✗ "&amp;Liens!C813&amp;" (introuvable)"))</f>
        <v>✓ visage</v>
      </c>
      <c r="E818" s="35" t="str">
        <f>IF(Liens!D813="","",IF(COUNTIF(Mots!A:A,Liens!D813)&gt;0,"✓ "&amp;Liens!D813,"✗ "&amp;Liens!D813&amp;" (introuvable)"))</f>
        <v/>
      </c>
      <c r="F818" s="35" t="str">
        <f>IF(Liens!E813="","",IF(COUNTIF(Mots!A:A,Liens!E813)&gt;0,"✓ "&amp;Liens!E813,"✗ "&amp;Liens!E813&amp;" (introuvable)"))</f>
        <v/>
      </c>
      <c r="G818" s="35" t="str">
        <f>IF(Liens!F813="","",IF(COUNTIF(Mots!A:A,Liens!F813)&gt;0,"✓ "&amp;Liens!F813,"✗ "&amp;Liens!F813&amp;" (introuvable)"))</f>
        <v/>
      </c>
      <c r="H818" s="35" t="str">
        <f>IF(Liens!G813="","",IF(COUNTIF(Mots!A:A,Liens!G813)&gt;0,"✓ "&amp;Liens!G813,"✗ "&amp;Liens!G813&amp;" (introuvable)"))</f>
        <v/>
      </c>
      <c r="I818" s="35" t="str">
        <f>IF(Liens!H813="","",IF(COUNTIF(Mots!A:A,Liens!H813)&gt;0,"✓ "&amp;Liens!H813,"✗ "&amp;Liens!H813&amp;" (introuvable)"))</f>
        <v/>
      </c>
    </row>
    <row r="819" spans="1:9" x14ac:dyDescent="0.3">
      <c r="A819">
        <f t="shared" si="9"/>
        <v>814</v>
      </c>
      <c r="B819" s="35" t="str">
        <f>IF(Liens!A814="","",IF(COUNTIF(Mots!A:A,Liens!A814)&gt;0,"✓ "&amp;Liens!A814,"✗ "&amp;Liens!A814&amp;" (introuvable)"))</f>
        <v>✓ surtout</v>
      </c>
      <c r="C819" s="35" t="str">
        <f>IF(Liens!B814="","",IF(COUNTIF(Mots!A:A,Liens!B814)&gt;0,"✓ "&amp;Liens!B814,"✗ "&amp;Liens!B814&amp;" (introuvable)"))</f>
        <v/>
      </c>
      <c r="D819" s="35" t="str">
        <f>IF(Liens!C814="","",IF(COUNTIF(Mots!A:A,Liens!C814)&gt;0,"✓ "&amp;Liens!C814,"✗ "&amp;Liens!C814&amp;" (introuvable)"))</f>
        <v/>
      </c>
      <c r="E819" s="35" t="str">
        <f>IF(Liens!D814="","",IF(COUNTIF(Mots!A:A,Liens!D814)&gt;0,"✓ "&amp;Liens!D814,"✗ "&amp;Liens!D814&amp;" (introuvable)"))</f>
        <v/>
      </c>
      <c r="F819" s="35" t="str">
        <f>IF(Liens!E814="","",IF(COUNTIF(Mots!A:A,Liens!E814)&gt;0,"✓ "&amp;Liens!E814,"✗ "&amp;Liens!E814&amp;" (introuvable)"))</f>
        <v/>
      </c>
      <c r="G819" s="35" t="str">
        <f>IF(Liens!F814="","",IF(COUNTIF(Mots!A:A,Liens!F814)&gt;0,"✓ "&amp;Liens!F814,"✗ "&amp;Liens!F814&amp;" (introuvable)"))</f>
        <v/>
      </c>
      <c r="H819" s="35" t="str">
        <f>IF(Liens!G814="","",IF(COUNTIF(Mots!A:A,Liens!G814)&gt;0,"✓ "&amp;Liens!G814,"✗ "&amp;Liens!G814&amp;" (introuvable)"))</f>
        <v/>
      </c>
      <c r="I819" s="35" t="str">
        <f>IF(Liens!H814="","",IF(COUNTIF(Mots!A:A,Liens!H814)&gt;0,"✓ "&amp;Liens!H814,"✗ "&amp;Liens!H814&amp;" (introuvable)"))</f>
        <v/>
      </c>
    </row>
    <row r="820" spans="1:9" x14ac:dyDescent="0.3">
      <c r="A820">
        <f t="shared" si="9"/>
        <v>815</v>
      </c>
      <c r="B820" s="35" t="str">
        <f>IF(Liens!A815="","",IF(COUNTIF(Mots!A:A,Liens!A815)&gt;0,"✓ "&amp;Liens!A815,"✗ "&amp;Liens!A815&amp;" (introuvable)"))</f>
        <v>✓ table</v>
      </c>
      <c r="C820" s="35" t="str">
        <f>IF(Liens!B815="","",IF(COUNTIF(Mots!A:A,Liens!B815)&gt;0,"✓ "&amp;Liens!B815,"✗ "&amp;Liens!B815&amp;" (introuvable)"))</f>
        <v>✓ cuisine</v>
      </c>
      <c r="D820" s="35" t="str">
        <f>IF(Liens!C815="","",IF(COUNTIF(Mots!A:A,Liens!C815)&gt;0,"✓ "&amp;Liens!C815,"✗ "&amp;Liens!C815&amp;" (introuvable)"))</f>
        <v>✓ chaise</v>
      </c>
      <c r="E820" s="35" t="str">
        <f>IF(Liens!D815="","",IF(COUNTIF(Mots!A:A,Liens!D815)&gt;0,"✓ "&amp;Liens!D815,"✗ "&amp;Liens!D815&amp;" (introuvable)"))</f>
        <v>✓ v_manger</v>
      </c>
      <c r="F820" s="35" t="str">
        <f>IF(Liens!E815="","",IF(COUNTIF(Mots!A:A,Liens!E815)&gt;0,"✓ "&amp;Liens!E815,"✗ "&amp;Liens!E815&amp;" (introuvable)"))</f>
        <v>✓ assiette</v>
      </c>
      <c r="G820" s="35" t="str">
        <f>IF(Liens!F815="","",IF(COUNTIF(Mots!A:A,Liens!F815)&gt;0,"✓ "&amp;Liens!F815,"✗ "&amp;Liens!F815&amp;" (introuvable)"))</f>
        <v>✓ fourchette</v>
      </c>
      <c r="H820" s="35" t="str">
        <f>IF(Liens!G815="","",IF(COUNTIF(Mots!A:A,Liens!G815)&gt;0,"✓ "&amp;Liens!G815,"✗ "&amp;Liens!G815&amp;" (introuvable)"))</f>
        <v>✓ couteau</v>
      </c>
      <c r="I820" s="35" t="str">
        <f>IF(Liens!H815="","",IF(COUNTIF(Mots!A:A,Liens!H815)&gt;0,"✓ "&amp;Liens!H815,"✗ "&amp;Liens!H815&amp;" (introuvable)"))</f>
        <v>✓ lampe</v>
      </c>
    </row>
    <row r="821" spans="1:9" x14ac:dyDescent="0.3">
      <c r="A821">
        <f t="shared" si="9"/>
        <v>816</v>
      </c>
      <c r="B821" s="35" t="str">
        <f>IF(Liens!A816="","",IF(COUNTIF(Mots!A:A,Liens!A816)&gt;0,"✓ "&amp;Liens!A816,"✗ "&amp;Liens!A816&amp;" (introuvable)"))</f>
        <v>✓ tableau</v>
      </c>
      <c r="C821" s="35" t="str">
        <f>IF(Liens!B816="","",IF(COUNTIF(Mots!A:A,Liens!B816)&gt;0,"✓ "&amp;Liens!B816,"✗ "&amp;Liens!B816&amp;" (introuvable)"))</f>
        <v>✓ peintre</v>
      </c>
      <c r="D821" s="35" t="str">
        <f>IF(Liens!C816="","",IF(COUNTIF(Mots!A:A,Liens!C816)&gt;0,"✓ "&amp;Liens!C816,"✗ "&amp;Liens!C816&amp;" (introuvable)"))</f>
        <v>✓ peintre</v>
      </c>
      <c r="E821" s="35" t="str">
        <f>IF(Liens!D816="","",IF(COUNTIF(Mots!A:A,Liens!D816)&gt;0,"✓ "&amp;Liens!D816,"✗ "&amp;Liens!D816&amp;" (introuvable)"))</f>
        <v>✓ ecole</v>
      </c>
      <c r="F821" s="35" t="str">
        <f>IF(Liens!E816="","",IF(COUNTIF(Mots!A:A,Liens!E816)&gt;0,"✓ "&amp;Liens!E816,"✗ "&amp;Liens!E816&amp;" (introuvable)"))</f>
        <v>✓ classe</v>
      </c>
      <c r="G821" s="35" t="str">
        <f>IF(Liens!F816="","",IF(COUNTIF(Mots!A:A,Liens!F816)&gt;0,"✓ "&amp;Liens!F816,"✗ "&amp;Liens!F816&amp;" (introuvable)"))</f>
        <v/>
      </c>
      <c r="H821" s="35" t="str">
        <f>IF(Liens!G816="","",IF(COUNTIF(Mots!A:A,Liens!G816)&gt;0,"✓ "&amp;Liens!G816,"✗ "&amp;Liens!G816&amp;" (introuvable)"))</f>
        <v/>
      </c>
      <c r="I821" s="35" t="str">
        <f>IF(Liens!H816="","",IF(COUNTIF(Mots!A:A,Liens!H816)&gt;0,"✓ "&amp;Liens!H816,"✗ "&amp;Liens!H816&amp;" (introuvable)"))</f>
        <v/>
      </c>
    </row>
    <row r="822" spans="1:9" x14ac:dyDescent="0.3">
      <c r="A822">
        <f t="shared" si="9"/>
        <v>817</v>
      </c>
      <c r="B822" s="35" t="str">
        <f>IF(Liens!A817="","",IF(COUNTIF(Mots!A:A,Liens!A817)&gt;0,"✓ "&amp;Liens!A817,"✗ "&amp;Liens!A817&amp;" (introuvable)"))</f>
        <v>✓ tablier</v>
      </c>
      <c r="C822" s="35" t="str">
        <f>IF(Liens!B817="","",IF(COUNTIF(Mots!A:A,Liens!B817)&gt;0,"✓ "&amp;Liens!B817,"✗ "&amp;Liens!B817&amp;" (introuvable)"))</f>
        <v>✓ vetement</v>
      </c>
      <c r="D822" s="35" t="str">
        <f>IF(Liens!C817="","",IF(COUNTIF(Mots!A:A,Liens!C817)&gt;0,"✓ "&amp;Liens!C817,"✗ "&amp;Liens!C817&amp;" (introuvable)"))</f>
        <v>✓ cuisine</v>
      </c>
      <c r="E822" s="35" t="str">
        <f>IF(Liens!D817="","",IF(COUNTIF(Mots!A:A,Liens!D817)&gt;0,"✓ "&amp;Liens!D817,"✗ "&amp;Liens!D817&amp;" (introuvable)"))</f>
        <v>✓ v_griller</v>
      </c>
      <c r="F822" s="35" t="str">
        <f>IF(Liens!E817="","",IF(COUNTIF(Mots!A:A,Liens!E817)&gt;0,"✓ "&amp;Liens!E817,"✗ "&amp;Liens!E817&amp;" (introuvable)"))</f>
        <v>✓ v_cuire</v>
      </c>
      <c r="G822" s="35" t="str">
        <f>IF(Liens!F817="","",IF(COUNTIF(Mots!A:A,Liens!F817)&gt;0,"✓ "&amp;Liens!F817,"✗ "&amp;Liens!F817&amp;" (introuvable)"))</f>
        <v/>
      </c>
      <c r="H822" s="35" t="str">
        <f>IF(Liens!G817="","",IF(COUNTIF(Mots!A:A,Liens!G817)&gt;0,"✓ "&amp;Liens!G817,"✗ "&amp;Liens!G817&amp;" (introuvable)"))</f>
        <v/>
      </c>
      <c r="I822" s="35" t="str">
        <f>IF(Liens!H817="","",IF(COUNTIF(Mots!A:A,Liens!H817)&gt;0,"✓ "&amp;Liens!H817,"✗ "&amp;Liens!H817&amp;" (introuvable)"))</f>
        <v/>
      </c>
    </row>
    <row r="823" spans="1:9" x14ac:dyDescent="0.3">
      <c r="A823">
        <f t="shared" si="9"/>
        <v>818</v>
      </c>
      <c r="B823" s="35" t="str">
        <f>IF(Liens!A818="","",IF(COUNTIF(Mots!A:A,Liens!A818)&gt;0,"✓ "&amp;Liens!A818,"✗ "&amp;Liens!A818&amp;" (introuvable)"))</f>
        <v>✓ tache</v>
      </c>
      <c r="C823" s="35" t="str">
        <f>IF(Liens!B818="","",IF(COUNTIF(Mots!A:A,Liens!B818)&gt;0,"✓ "&amp;Liens!B818,"✗ "&amp;Liens!B818&amp;" (introuvable)"))</f>
        <v>✓ salete</v>
      </c>
      <c r="D823" s="35" t="str">
        <f>IF(Liens!C818="","",IF(COUNTIF(Mots!A:A,Liens!C818)&gt;0,"✓ "&amp;Liens!C818,"✗ "&amp;Liens!C818&amp;" (introuvable)"))</f>
        <v>✓ a_propre_sale</v>
      </c>
      <c r="E823" s="35" t="str">
        <f>IF(Liens!D818="","",IF(COUNTIF(Mots!A:A,Liens!D818)&gt;0,"✓ "&amp;Liens!D818,"✗ "&amp;Liens!D818&amp;" (introuvable)"))</f>
        <v>✓ v_nettoyer</v>
      </c>
      <c r="F823" s="35" t="str">
        <f>IF(Liens!E818="","",IF(COUNTIF(Mots!A:A,Liens!E818)&gt;0,"✓ "&amp;Liens!E818,"✗ "&amp;Liens!E818&amp;" (introuvable)"))</f>
        <v>✓ savon</v>
      </c>
      <c r="G823" s="35" t="str">
        <f>IF(Liens!F818="","",IF(COUNTIF(Mots!A:A,Liens!F818)&gt;0,"✓ "&amp;Liens!F818,"✗ "&amp;Liens!F818&amp;" (introuvable)"))</f>
        <v>✓ lessive</v>
      </c>
      <c r="H823" s="35" t="str">
        <f>IF(Liens!G818="","",IF(COUNTIF(Mots!A:A,Liens!G818)&gt;0,"✓ "&amp;Liens!G818,"✗ "&amp;Liens!G818&amp;" (introuvable)"))</f>
        <v>✓ lave_linge</v>
      </c>
      <c r="I823" s="35" t="str">
        <f>IF(Liens!H818="","",IF(COUNTIF(Mots!A:A,Liens!H818)&gt;0,"✓ "&amp;Liens!H818,"✗ "&amp;Liens!H818&amp;" (introuvable)"))</f>
        <v>✓ seche_linge</v>
      </c>
    </row>
    <row r="824" spans="1:9" x14ac:dyDescent="0.3">
      <c r="A824">
        <f t="shared" si="9"/>
        <v>819</v>
      </c>
      <c r="B824" s="35" t="str">
        <f>IF(Liens!A819="","",IF(COUNTIF(Mots!A:A,Liens!A819)&gt;0,"✓ "&amp;Liens!A819,"✗ "&amp;Liens!A819&amp;" (introuvable)"))</f>
        <v>✓ tambour</v>
      </c>
      <c r="C824" s="35" t="str">
        <f>IF(Liens!B819="","",IF(COUNTIF(Mots!A:A,Liens!B819)&gt;0,"✓ "&amp;Liens!B819,"✗ "&amp;Liens!B819&amp;" (introuvable)"))</f>
        <v>✓ baguette</v>
      </c>
      <c r="D824" s="35" t="str">
        <f>IF(Liens!C819="","",IF(COUNTIF(Mots!A:A,Liens!C819)&gt;0,"✓ "&amp;Liens!C819,"✗ "&amp;Liens!C819&amp;" (introuvable)"))</f>
        <v>✓ defile</v>
      </c>
      <c r="E824" s="35" t="str">
        <f>IF(Liens!D819="","",IF(COUNTIF(Mots!A:A,Liens!D819)&gt;0,"✓ "&amp;Liens!D819,"✗ "&amp;Liens!D819&amp;" (introuvable)"))</f>
        <v>✓ v_jouer</v>
      </c>
      <c r="F824" s="35" t="str">
        <f>IF(Liens!E819="","",IF(COUNTIF(Mots!A:A,Liens!E819)&gt;0,"✓ "&amp;Liens!E819,"✗ "&amp;Liens!E819&amp;" (introuvable)"))</f>
        <v>✓ rythme</v>
      </c>
      <c r="G824" s="35" t="str">
        <f>IF(Liens!F819="","",IF(COUNTIF(Mots!A:A,Liens!F819)&gt;0,"✓ "&amp;Liens!F819,"✗ "&amp;Liens!F819&amp;" (introuvable)"))</f>
        <v/>
      </c>
      <c r="H824" s="35" t="str">
        <f>IF(Liens!G819="","",IF(COUNTIF(Mots!A:A,Liens!G819)&gt;0,"✓ "&amp;Liens!G819,"✗ "&amp;Liens!G819&amp;" (introuvable)"))</f>
        <v/>
      </c>
      <c r="I824" s="35" t="str">
        <f>IF(Liens!H819="","",IF(COUNTIF(Mots!A:A,Liens!H819)&gt;0,"✓ "&amp;Liens!H819,"✗ "&amp;Liens!H819&amp;" (introuvable)"))</f>
        <v/>
      </c>
    </row>
    <row r="825" spans="1:9" x14ac:dyDescent="0.3">
      <c r="A825">
        <f t="shared" si="9"/>
        <v>820</v>
      </c>
      <c r="B825" s="35" t="str">
        <f>IF(Liens!A820="","",IF(COUNTIF(Mots!A:A,Liens!A820)&gt;0,"✓ "&amp;Liens!A820,"✗ "&amp;Liens!A820&amp;" (introuvable)"))</f>
        <v>✓ tante</v>
      </c>
      <c r="C825" s="35" t="str">
        <f>IF(Liens!B820="","",IF(COUNTIF(Mots!A:A,Liens!B820)&gt;0,"✓ "&amp;Liens!B820,"✗ "&amp;Liens!B820&amp;" (introuvable)"))</f>
        <v>✓ personne</v>
      </c>
      <c r="D825" s="35" t="str">
        <f>IF(Liens!C820="","",IF(COUNTIF(Mots!A:A,Liens!C820)&gt;0,"✓ "&amp;Liens!C820,"✗ "&amp;Liens!C820&amp;" (introuvable)"))</f>
        <v>✓ femme</v>
      </c>
      <c r="E825" s="35" t="str">
        <f>IF(Liens!D820="","",IF(COUNTIF(Mots!A:A,Liens!D820)&gt;0,"✓ "&amp;Liens!D820,"✗ "&amp;Liens!D820&amp;" (introuvable)"))</f>
        <v>✓ soeur</v>
      </c>
      <c r="F825" s="35" t="str">
        <f>IF(Liens!E820="","",IF(COUNTIF(Mots!A:A,Liens!E820)&gt;0,"✓ "&amp;Liens!E820,"✗ "&amp;Liens!E820&amp;" (introuvable)"))</f>
        <v>✓ oncle</v>
      </c>
      <c r="G825" s="35" t="str">
        <f>IF(Liens!F820="","",IF(COUNTIF(Mots!A:A,Liens!F820)&gt;0,"✓ "&amp;Liens!F820,"✗ "&amp;Liens!F820&amp;" (introuvable)"))</f>
        <v>✓ cousin</v>
      </c>
      <c r="H825" s="35" t="str">
        <f>IF(Liens!G820="","",IF(COUNTIF(Mots!A:A,Liens!G820)&gt;0,"✓ "&amp;Liens!G820,"✗ "&amp;Liens!G820&amp;" (introuvable)"))</f>
        <v/>
      </c>
      <c r="I825" s="35" t="str">
        <f>IF(Liens!H820="","",IF(COUNTIF(Mots!A:A,Liens!H820)&gt;0,"✓ "&amp;Liens!H820,"✗ "&amp;Liens!H820&amp;" (introuvable)"))</f>
        <v/>
      </c>
    </row>
    <row r="826" spans="1:9" x14ac:dyDescent="0.3">
      <c r="A826">
        <f t="shared" si="9"/>
        <v>821</v>
      </c>
      <c r="B826" s="35" t="str">
        <f>IF(Liens!A821="","",IF(COUNTIF(Mots!A:A,Liens!A821)&gt;0,"✓ "&amp;Liens!A821,"✗ "&amp;Liens!A821&amp;" (introuvable)"))</f>
        <v>✓ tard</v>
      </c>
      <c r="C826" s="35" t="str">
        <f>IF(Liens!B821="","",IF(COUNTIF(Mots!A:A,Liens!B821)&gt;0,"✓ "&amp;Liens!B821,"✗ "&amp;Liens!B821&amp;" (introuvable)"))</f>
        <v>✓ a_fatigue</v>
      </c>
      <c r="D826" s="35" t="str">
        <f>IF(Liens!C821="","",IF(COUNTIF(Mots!A:A,Liens!C821)&gt;0,"✓ "&amp;Liens!C821,"✗ "&amp;Liens!C821&amp;" (introuvable)"))</f>
        <v>✓ soir</v>
      </c>
      <c r="E826" s="35" t="str">
        <f>IF(Liens!D821="","",IF(COUNTIF(Mots!A:A,Liens!D821)&gt;0,"✓ "&amp;Liens!D821,"✗ "&amp;Liens!D821&amp;" (introuvable)"))</f>
        <v>✓ nuit</v>
      </c>
      <c r="F826" s="35" t="str">
        <f>IF(Liens!E821="","",IF(COUNTIF(Mots!A:A,Liens!E821)&gt;0,"✓ "&amp;Liens!E821,"✗ "&amp;Liens!E821&amp;" (introuvable)"))</f>
        <v>✓ v_dormir</v>
      </c>
      <c r="G826" s="35" t="str">
        <f>IF(Liens!F821="","",IF(COUNTIF(Mots!A:A,Liens!F821)&gt;0,"✓ "&amp;Liens!F821,"✗ "&amp;Liens!F821&amp;" (introuvable)"))</f>
        <v>✓ chambre</v>
      </c>
      <c r="H826" s="35" t="str">
        <f>IF(Liens!G821="","",IF(COUNTIF(Mots!A:A,Liens!G821)&gt;0,"✓ "&amp;Liens!G821,"✗ "&amp;Liens!G821&amp;" (introuvable)"))</f>
        <v>✓ lit</v>
      </c>
      <c r="I826" s="35" t="str">
        <f>IF(Liens!H821="","",IF(COUNTIF(Mots!A:A,Liens!H821)&gt;0,"✓ "&amp;Liens!H821,"✗ "&amp;Liens!H821&amp;" (introuvable)"))</f>
        <v>✓ tot</v>
      </c>
    </row>
    <row r="827" spans="1:9" x14ac:dyDescent="0.3">
      <c r="A827">
        <f t="shared" si="9"/>
        <v>822</v>
      </c>
      <c r="B827" s="35" t="str">
        <f>IF(Liens!A822="","",IF(COUNTIF(Mots!A:A,Liens!A822)&gt;0,"✓ "&amp;Liens!A822,"✗ "&amp;Liens!A822&amp;" (introuvable)"))</f>
        <v>✓ tas</v>
      </c>
      <c r="C827" s="35" t="str">
        <f>IF(Liens!B822="","",IF(COUNTIF(Mots!A:A,Liens!B822)&gt;0,"✓ "&amp;Liens!B822,"✗ "&amp;Liens!B822&amp;" (introuvable)"))</f>
        <v>✓ bois</v>
      </c>
      <c r="D827" s="35" t="str">
        <f>IF(Liens!C822="","",IF(COUNTIF(Mots!A:A,Liens!C822)&gt;0,"✓ "&amp;Liens!C822,"✗ "&amp;Liens!C822&amp;" (introuvable)"))</f>
        <v>✓ pierre</v>
      </c>
      <c r="E827" s="35" t="str">
        <f>IF(Liens!D822="","",IF(COUNTIF(Mots!A:A,Liens!D822)&gt;0,"✓ "&amp;Liens!D822,"✗ "&amp;Liens!D822&amp;" (introuvable)"))</f>
        <v/>
      </c>
      <c r="F827" s="35" t="str">
        <f>IF(Liens!E822="","",IF(COUNTIF(Mots!A:A,Liens!E822)&gt;0,"✓ "&amp;Liens!E822,"✗ "&amp;Liens!E822&amp;" (introuvable)"))</f>
        <v/>
      </c>
      <c r="G827" s="35" t="str">
        <f>IF(Liens!F822="","",IF(COUNTIF(Mots!A:A,Liens!F822)&gt;0,"✓ "&amp;Liens!F822,"✗ "&amp;Liens!F822&amp;" (introuvable)"))</f>
        <v/>
      </c>
      <c r="H827" s="35" t="str">
        <f>IF(Liens!G822="","",IF(COUNTIF(Mots!A:A,Liens!G822)&gt;0,"✓ "&amp;Liens!G822,"✗ "&amp;Liens!G822&amp;" (introuvable)"))</f>
        <v/>
      </c>
      <c r="I827" s="35" t="str">
        <f>IF(Liens!H822="","",IF(COUNTIF(Mots!A:A,Liens!H822)&gt;0,"✓ "&amp;Liens!H822,"✗ "&amp;Liens!H822&amp;" (introuvable)"))</f>
        <v/>
      </c>
    </row>
    <row r="828" spans="1:9" x14ac:dyDescent="0.3">
      <c r="A828">
        <f t="shared" si="9"/>
        <v>823</v>
      </c>
      <c r="B828" s="35" t="str">
        <f>IF(Liens!A823="","",IF(COUNTIF(Mots!A:A,Liens!A823)&gt;0,"✓ "&amp;Liens!A823,"✗ "&amp;Liens!A823&amp;" (introuvable)"))</f>
        <v>✓ tempete</v>
      </c>
      <c r="C828" s="35" t="str">
        <f>IF(Liens!B823="","",IF(COUNTIF(Mots!A:A,Liens!B823)&gt;0,"✓ "&amp;Liens!B823,"✗ "&amp;Liens!B823&amp;" (introuvable)"))</f>
        <v>✓ vent</v>
      </c>
      <c r="D828" s="35" t="str">
        <f>IF(Liens!C823="","",IF(COUNTIF(Mots!A:A,Liens!C823)&gt;0,"✓ "&amp;Liens!C823,"✗ "&amp;Liens!C823&amp;" (introuvable)"))</f>
        <v>✓ orage</v>
      </c>
      <c r="E828" s="35" t="str">
        <f>IF(Liens!D823="","",IF(COUNTIF(Mots!A:A,Liens!D823)&gt;0,"✓ "&amp;Liens!D823,"✗ "&amp;Liens!D823&amp;" (introuvable)"))</f>
        <v>✓ eclair</v>
      </c>
      <c r="F828" s="35" t="str">
        <f>IF(Liens!E823="","",IF(COUNTIF(Mots!A:A,Liens!E823)&gt;0,"✓ "&amp;Liens!E823,"✗ "&amp;Liens!E823&amp;" (introuvable)"))</f>
        <v>✓ tonnerre</v>
      </c>
      <c r="G828" s="35" t="str">
        <f>IF(Liens!F823="","",IF(COUNTIF(Mots!A:A,Liens!F823)&gt;0,"✓ "&amp;Liens!F823,"✗ "&amp;Liens!F823&amp;" (introuvable)"))</f>
        <v>✓ pluie</v>
      </c>
      <c r="H828" s="35" t="str">
        <f>IF(Liens!G823="","",IF(COUNTIF(Mots!A:A,Liens!G823)&gt;0,"✓ "&amp;Liens!G823,"✗ "&amp;Liens!G823&amp;" (introuvable)"))</f>
        <v>✓ nuage</v>
      </c>
      <c r="I828" s="35" t="str">
        <f>IF(Liens!H823="","",IF(COUNTIF(Mots!A:A,Liens!H823)&gt;0,"✓ "&amp;Liens!H823,"✗ "&amp;Liens!H823&amp;" (introuvable)"))</f>
        <v>✓ brouillard</v>
      </c>
    </row>
    <row r="829" spans="1:9" x14ac:dyDescent="0.3">
      <c r="A829">
        <f t="shared" si="9"/>
        <v>824</v>
      </c>
      <c r="B829" s="35" t="str">
        <f>IF(Liens!A824="","",IF(COUNTIF(Mots!A:A,Liens!A824)&gt;0,"✓ "&amp;Liens!A824,"✗ "&amp;Liens!A824&amp;" (introuvable)"))</f>
        <v>✓ tendresse</v>
      </c>
      <c r="C829" s="35" t="str">
        <f>IF(Liens!B824="","",IF(COUNTIF(Mots!A:A,Liens!B824)&gt;0,"✓ "&amp;Liens!B824,"✗ "&amp;Liens!B824&amp;" (introuvable)"))</f>
        <v>✓ amour</v>
      </c>
      <c r="D829" s="35" t="str">
        <f>IF(Liens!C824="","",IF(COUNTIF(Mots!A:A,Liens!C824)&gt;0,"✓ "&amp;Liens!C824,"✗ "&amp;Liens!C824&amp;" (introuvable)"))</f>
        <v>✓ gentillesse</v>
      </c>
      <c r="E829" s="35" t="str">
        <f>IF(Liens!D824="","",IF(COUNTIF(Mots!A:A,Liens!D824)&gt;0,"✓ "&amp;Liens!D824,"✗ "&amp;Liens!D824&amp;" (introuvable)"))</f>
        <v>✓ v_aider</v>
      </c>
      <c r="F829" s="35" t="str">
        <f>IF(Liens!E824="","",IF(COUNTIF(Mots!A:A,Liens!E824)&gt;0,"✓ "&amp;Liens!E824,"✗ "&amp;Liens!E824&amp;" (introuvable)"))</f>
        <v>✓ mes_enfants</v>
      </c>
      <c r="G829" s="35" t="str">
        <f>IF(Liens!F824="","",IF(COUNTIF(Mots!A:A,Liens!F824)&gt;0,"✓ "&amp;Liens!F824,"✗ "&amp;Liens!F824&amp;" (introuvable)"))</f>
        <v>✓ ami</v>
      </c>
      <c r="H829" s="35" t="str">
        <f>IF(Liens!G824="","",IF(COUNTIF(Mots!A:A,Liens!G824)&gt;0,"✓ "&amp;Liens!G824,"✗ "&amp;Liens!G824&amp;" (introuvable)"))</f>
        <v>✓ famille</v>
      </c>
      <c r="I829" s="35" t="str">
        <f>IF(Liens!H824="","",IF(COUNTIF(Mots!A:A,Liens!H824)&gt;0,"✓ "&amp;Liens!H824,"✗ "&amp;Liens!H824&amp;" (introuvable)"))</f>
        <v>✓ emotion</v>
      </c>
    </row>
    <row r="830" spans="1:9" x14ac:dyDescent="0.3">
      <c r="A830">
        <f t="shared" si="9"/>
        <v>825</v>
      </c>
      <c r="B830" s="35" t="str">
        <f>IF(Liens!A825="","",IF(COUNTIF(Mots!A:A,Liens!A825)&gt;0,"✓ "&amp;Liens!A825,"✗ "&amp;Liens!A825&amp;" (introuvable)"))</f>
        <v>✓ tente</v>
      </c>
      <c r="C830" s="35" t="str">
        <f>IF(Liens!B825="","",IF(COUNTIF(Mots!A:A,Liens!B825)&gt;0,"✓ "&amp;Liens!B825,"✗ "&amp;Liens!B825&amp;" (introuvable)"))</f>
        <v>✓ tissu</v>
      </c>
      <c r="D830" s="35" t="str">
        <f>IF(Liens!C825="","",IF(COUNTIF(Mots!A:A,Liens!C825)&gt;0,"✓ "&amp;Liens!C825,"✗ "&amp;Liens!C825&amp;" (introuvable)"))</f>
        <v>✓ nature</v>
      </c>
      <c r="E830" s="35" t="str">
        <f>IF(Liens!D825="","",IF(COUNTIF(Mots!A:A,Liens!D825)&gt;0,"✓ "&amp;Liens!D825,"✗ "&amp;Liens!D825&amp;" (introuvable)"))</f>
        <v>✓ v_dormir</v>
      </c>
      <c r="F830" s="35" t="str">
        <f>IF(Liens!E825="","",IF(COUNTIF(Mots!A:A,Liens!E825)&gt;0,"✓ "&amp;Liens!E825,"✗ "&amp;Liens!E825&amp;" (introuvable)"))</f>
        <v>✓ camping</v>
      </c>
      <c r="G830" s="35" t="str">
        <f>IF(Liens!F825="","",IF(COUNTIF(Mots!A:A,Liens!F825)&gt;0,"✓ "&amp;Liens!F825,"✗ "&amp;Liens!F825&amp;" (introuvable)"))</f>
        <v>✓ exterieur</v>
      </c>
      <c r="H830" s="35" t="str">
        <f>IF(Liens!G825="","",IF(COUNTIF(Mots!A:A,Liens!G825)&gt;0,"✓ "&amp;Liens!G825,"✗ "&amp;Liens!G825&amp;" (introuvable)"))</f>
        <v/>
      </c>
      <c r="I830" s="35" t="str">
        <f>IF(Liens!H825="","",IF(COUNTIF(Mots!A:A,Liens!H825)&gt;0,"✓ "&amp;Liens!H825,"✗ "&amp;Liens!H825&amp;" (introuvable)"))</f>
        <v/>
      </c>
    </row>
    <row r="831" spans="1:9" x14ac:dyDescent="0.3">
      <c r="A831">
        <f t="shared" si="9"/>
        <v>826</v>
      </c>
      <c r="B831" s="35" t="str">
        <f>IF(Liens!A826="","",IF(COUNTIF(Mots!A:A,Liens!A826)&gt;0,"✓ "&amp;Liens!A826,"✗ "&amp;Liens!A826&amp;" (introuvable)"))</f>
        <v>✓ terrain</v>
      </c>
      <c r="C831" s="35" t="str">
        <f>IF(Liens!B826="","",IF(COUNTIF(Mots!A:A,Liens!B826)&gt;0,"✓ "&amp;Liens!B826,"✗ "&amp;Liens!B826&amp;" (introuvable)"))</f>
        <v>✓ sport</v>
      </c>
      <c r="D831" s="35" t="str">
        <f>IF(Liens!C826="","",IF(COUNTIF(Mots!A:A,Liens!C826)&gt;0,"✓ "&amp;Liens!C826,"✗ "&amp;Liens!C826&amp;" (introuvable)"))</f>
        <v>✓ but_foot</v>
      </c>
      <c r="E831" s="35" t="str">
        <f>IF(Liens!D826="","",IF(COUNTIF(Mots!A:A,Liens!D826)&gt;0,"✓ "&amp;Liens!D826,"✗ "&amp;Liens!D826&amp;" (introuvable)"))</f>
        <v>✓ ballon</v>
      </c>
      <c r="F831" s="35" t="str">
        <f>IF(Liens!E826="","",IF(COUNTIF(Mots!A:A,Liens!E826)&gt;0,"✓ "&amp;Liens!E826,"✗ "&amp;Liens!E826&amp;" (introuvable)"))</f>
        <v>✓ pelouse</v>
      </c>
      <c r="G831" s="35" t="str">
        <f>IF(Liens!F826="","",IF(COUNTIF(Mots!A:A,Liens!F826)&gt;0,"✓ "&amp;Liens!F826,"✗ "&amp;Liens!F826&amp;" (introuvable)"))</f>
        <v>✓ tondeuse_a_gazon</v>
      </c>
      <c r="H831" s="35" t="str">
        <f>IF(Liens!G826="","",IF(COUNTIF(Mots!A:A,Liens!G826)&gt;0,"✓ "&amp;Liens!G826,"✗ "&amp;Liens!G826&amp;" (introuvable)"))</f>
        <v/>
      </c>
      <c r="I831" s="35" t="str">
        <f>IF(Liens!H826="","",IF(COUNTIF(Mots!A:A,Liens!H826)&gt;0,"✓ "&amp;Liens!H826,"✗ "&amp;Liens!H826&amp;" (introuvable)"))</f>
        <v/>
      </c>
    </row>
    <row r="832" spans="1:9" x14ac:dyDescent="0.3">
      <c r="A832">
        <f t="shared" si="9"/>
        <v>827</v>
      </c>
      <c r="B832" s="35" t="str">
        <f>IF(Liens!A827="","",IF(COUNTIF(Mots!A:A,Liens!A827)&gt;0,"✓ "&amp;Liens!A827,"✗ "&amp;Liens!A827&amp;" (introuvable)"))</f>
        <v>✓ territoire</v>
      </c>
      <c r="C832" s="35" t="str">
        <f>IF(Liens!B827="","",IF(COUNTIF(Mots!A:A,Liens!B827)&gt;0,"✓ "&amp;Liens!B827,"✗ "&amp;Liens!B827&amp;" (introuvable)"))</f>
        <v>✓ pays</v>
      </c>
      <c r="D832" s="35" t="str">
        <f>IF(Liens!C827="","",IF(COUNTIF(Mots!A:A,Liens!C827)&gt;0,"✓ "&amp;Liens!C827,"✗ "&amp;Liens!C827&amp;" (introuvable)"))</f>
        <v>✓ admin_conthey</v>
      </c>
      <c r="E832" s="35" t="str">
        <f>IF(Liens!D827="","",IF(COUNTIF(Mots!A:A,Liens!D827)&gt;0,"✓ "&amp;Liens!D827,"✗ "&amp;Liens!D827&amp;" (introuvable)"))</f>
        <v/>
      </c>
      <c r="F832" s="35" t="str">
        <f>IF(Liens!E827="","",IF(COUNTIF(Mots!A:A,Liens!E827)&gt;0,"✓ "&amp;Liens!E827,"✗ "&amp;Liens!E827&amp;" (introuvable)"))</f>
        <v/>
      </c>
      <c r="G832" s="35" t="str">
        <f>IF(Liens!F827="","",IF(COUNTIF(Mots!A:A,Liens!F827)&gt;0,"✓ "&amp;Liens!F827,"✗ "&amp;Liens!F827&amp;" (introuvable)"))</f>
        <v/>
      </c>
      <c r="H832" s="35" t="str">
        <f>IF(Liens!G827="","",IF(COUNTIF(Mots!A:A,Liens!G827)&gt;0,"✓ "&amp;Liens!G827,"✗ "&amp;Liens!G827&amp;" (introuvable)"))</f>
        <v/>
      </c>
      <c r="I832" s="35" t="str">
        <f>IF(Liens!H827="","",IF(COUNTIF(Mots!A:A,Liens!H827)&gt;0,"✓ "&amp;Liens!H827,"✗ "&amp;Liens!H827&amp;" (introuvable)"))</f>
        <v/>
      </c>
    </row>
    <row r="833" spans="1:9" x14ac:dyDescent="0.3">
      <c r="A833">
        <f t="shared" si="9"/>
        <v>828</v>
      </c>
      <c r="B833" s="35" t="str">
        <f>IF(Liens!A828="","",IF(COUNTIF(Mots!A:A,Liens!A828)&gt;0,"✓ "&amp;Liens!A828,"✗ "&amp;Liens!A828&amp;" (introuvable)"))</f>
        <v>✓ tete</v>
      </c>
      <c r="C833" s="35" t="str">
        <f>IF(Liens!B828="","",IF(COUNTIF(Mots!A:A,Liens!B828)&gt;0,"✓ "&amp;Liens!B828,"✗ "&amp;Liens!B828&amp;" (introuvable)"))</f>
        <v>✓ corps_humain</v>
      </c>
      <c r="D833" s="35" t="str">
        <f>IF(Liens!C828="","",IF(COUNTIF(Mots!A:A,Liens!C828)&gt;0,"✓ "&amp;Liens!C828,"✗ "&amp;Liens!C828&amp;" (introuvable)"))</f>
        <v>✓ visage</v>
      </c>
      <c r="E833" s="35" t="str">
        <f>IF(Liens!D828="","",IF(COUNTIF(Mots!A:A,Liens!D828)&gt;0,"✓ "&amp;Liens!D828,"✗ "&amp;Liens!D828&amp;" (introuvable)"))</f>
        <v>✓ oeil</v>
      </c>
      <c r="F833" s="35" t="str">
        <f>IF(Liens!E828="","",IF(COUNTIF(Mots!A:A,Liens!E828)&gt;0,"✓ "&amp;Liens!E828,"✗ "&amp;Liens!E828&amp;" (introuvable)"))</f>
        <v>✓ bouche</v>
      </c>
      <c r="G833" s="35" t="str">
        <f>IF(Liens!F828="","",IF(COUNTIF(Mots!A:A,Liens!F828)&gt;0,"✓ "&amp;Liens!F828,"✗ "&amp;Liens!F828&amp;" (introuvable)"))</f>
        <v>✓ oreille</v>
      </c>
      <c r="H833" s="35" t="str">
        <f>IF(Liens!G828="","",IF(COUNTIF(Mots!A:A,Liens!G828)&gt;0,"✓ "&amp;Liens!G828,"✗ "&amp;Liens!G828&amp;" (introuvable)"))</f>
        <v>✓ cheveux</v>
      </c>
      <c r="I833" s="35" t="str">
        <f>IF(Liens!H828="","",IF(COUNTIF(Mots!A:A,Liens!H828)&gt;0,"✓ "&amp;Liens!H828,"✗ "&amp;Liens!H828&amp;" (introuvable)"))</f>
        <v/>
      </c>
    </row>
    <row r="834" spans="1:9" x14ac:dyDescent="0.3">
      <c r="A834">
        <f t="shared" si="9"/>
        <v>829</v>
      </c>
      <c r="B834" s="35" t="str">
        <f>IF(Liens!A829="","",IF(COUNTIF(Mots!A:A,Liens!A829)&gt;0,"✓ "&amp;Liens!A829,"✗ "&amp;Liens!A829&amp;" (introuvable)"))</f>
        <v>✓ texte</v>
      </c>
      <c r="C834" s="35" t="str">
        <f>IF(Liens!B829="","",IF(COUNTIF(Mots!A:A,Liens!B829)&gt;0,"✓ "&amp;Liens!B829,"✗ "&amp;Liens!B829&amp;" (introuvable)"))</f>
        <v>✓ v_ecrire</v>
      </c>
      <c r="D834" s="35" t="str">
        <f>IF(Liens!C829="","",IF(COUNTIF(Mots!A:A,Liens!C829)&gt;0,"✓ "&amp;Liens!C829,"✗ "&amp;Liens!C829&amp;" (introuvable)"))</f>
        <v>✓ papier</v>
      </c>
      <c r="E834" s="35" t="str">
        <f>IF(Liens!D829="","",IF(COUNTIF(Mots!A:A,Liens!D829)&gt;0,"✓ "&amp;Liens!D829,"✗ "&amp;Liens!D829&amp;" (introuvable)"))</f>
        <v>✓ crayon</v>
      </c>
      <c r="F834" s="35" t="str">
        <f>IF(Liens!E829="","",IF(COUNTIF(Mots!A:A,Liens!E829)&gt;0,"✓ "&amp;Liens!E829,"✗ "&amp;Liens!E829&amp;" (introuvable)"))</f>
        <v>✓ stylo</v>
      </c>
      <c r="G834" s="35" t="str">
        <f>IF(Liens!F829="","",IF(COUNTIF(Mots!A:A,Liens!F829)&gt;0,"✓ "&amp;Liens!F829,"✗ "&amp;Liens!F829&amp;" (introuvable)"))</f>
        <v>✓ livre</v>
      </c>
      <c r="H834" s="35" t="str">
        <f>IF(Liens!G829="","",IF(COUNTIF(Mots!A:A,Liens!G829)&gt;0,"✓ "&amp;Liens!G829,"✗ "&amp;Liens!G829&amp;" (introuvable)"))</f>
        <v>✓ v_lire</v>
      </c>
      <c r="I834" s="35" t="str">
        <f>IF(Liens!H829="","",IF(COUNTIF(Mots!A:A,Liens!H829)&gt;0,"✓ "&amp;Liens!H829,"✗ "&amp;Liens!H829&amp;" (introuvable)"))</f>
        <v>✓ histoire</v>
      </c>
    </row>
    <row r="835" spans="1:9" x14ac:dyDescent="0.3">
      <c r="A835">
        <f t="shared" si="9"/>
        <v>830</v>
      </c>
      <c r="B835" s="35" t="str">
        <f>IF(Liens!A830="","",IF(COUNTIF(Mots!A:A,Liens!A830)&gt;0,"✓ "&amp;Liens!A830,"✗ "&amp;Liens!A830&amp;" (introuvable)"))</f>
        <v>✓ thermometre</v>
      </c>
      <c r="C835" s="35" t="str">
        <f>IF(Liens!B830="","",IF(COUNTIF(Mots!A:A,Liens!B830)&gt;0,"✓ "&amp;Liens!B830,"✗ "&amp;Liens!B830&amp;" (introuvable)"))</f>
        <v>✓ a_chaud_froid</v>
      </c>
      <c r="D835" s="35" t="str">
        <f>IF(Liens!C830="","",IF(COUNTIF(Mots!A:A,Liens!C830)&gt;0,"✓ "&amp;Liens!C830,"✗ "&amp;Liens!C830&amp;" (introuvable)"))</f>
        <v>✓ temperature</v>
      </c>
      <c r="E835" s="35" t="str">
        <f>IF(Liens!D830="","",IF(COUNTIF(Mots!A:A,Liens!D830)&gt;0,"✓ "&amp;Liens!D830,"✗ "&amp;Liens!D830&amp;" (introuvable)"))</f>
        <v>✓ degre</v>
      </c>
      <c r="F835" s="35" t="str">
        <f>IF(Liens!E830="","",IF(COUNTIF(Mots!A:A,Liens!E830)&gt;0,"✓ "&amp;Liens!E830,"✗ "&amp;Liens!E830&amp;" (introuvable)"))</f>
        <v>✓ soleil</v>
      </c>
      <c r="G835" s="35" t="str">
        <f>IF(Liens!F830="","",IF(COUNTIF(Mots!A:A,Liens!F830)&gt;0,"✓ "&amp;Liens!F830,"✗ "&amp;Liens!F830&amp;" (introuvable)"))</f>
        <v>✓ nuage</v>
      </c>
      <c r="H835" s="35" t="str">
        <f>IF(Liens!G830="","",IF(COUNTIF(Mots!A:A,Liens!G830)&gt;0,"✓ "&amp;Liens!G830,"✗ "&amp;Liens!G830&amp;" (introuvable)"))</f>
        <v>✓ brouillard</v>
      </c>
      <c r="I835" s="35" t="str">
        <f>IF(Liens!H830="","",IF(COUNTIF(Mots!A:A,Liens!H830)&gt;0,"✓ "&amp;Liens!H830,"✗ "&amp;Liens!H830&amp;" (introuvable)"))</f>
        <v>✓ vent</v>
      </c>
    </row>
    <row r="836" spans="1:9" x14ac:dyDescent="0.3">
      <c r="A836">
        <f t="shared" si="9"/>
        <v>831</v>
      </c>
      <c r="B836" s="35" t="str">
        <f>IF(Liens!A831="","",IF(COUNTIF(Mots!A:A,Liens!A831)&gt;0,"✓ "&amp;Liens!A831,"✗ "&amp;Liens!A831&amp;" (introuvable)"))</f>
        <v>✓ tiede</v>
      </c>
      <c r="C836" s="35" t="str">
        <f>IF(Liens!B831="","",IF(COUNTIF(Mots!A:A,Liens!B831)&gt;0,"✓ "&amp;Liens!B831,"✗ "&amp;Liens!B831&amp;" (introuvable)"))</f>
        <v>✓ a_chaud_froid</v>
      </c>
      <c r="D836" s="35" t="str">
        <f>IF(Liens!C831="","",IF(COUNTIF(Mots!A:A,Liens!C831)&gt;0,"✓ "&amp;Liens!C831,"✗ "&amp;Liens!C831&amp;" (introuvable)"))</f>
        <v>✓ temperature</v>
      </c>
      <c r="E836" s="35" t="str">
        <f>IF(Liens!D831="","",IF(COUNTIF(Mots!A:A,Liens!D831)&gt;0,"✓ "&amp;Liens!D831,"✗ "&amp;Liens!D831&amp;" (introuvable)"))</f>
        <v>✓ degre</v>
      </c>
      <c r="F836" s="35" t="str">
        <f>IF(Liens!E831="","",IF(COUNTIF(Mots!A:A,Liens!E831)&gt;0,"✓ "&amp;Liens!E831,"✗ "&amp;Liens!E831&amp;" (introuvable)"))</f>
        <v/>
      </c>
      <c r="G836" s="35" t="str">
        <f>IF(Liens!F831="","",IF(COUNTIF(Mots!A:A,Liens!F831)&gt;0,"✓ "&amp;Liens!F831,"✗ "&amp;Liens!F831&amp;" (introuvable)"))</f>
        <v/>
      </c>
      <c r="H836" s="35" t="str">
        <f>IF(Liens!G831="","",IF(COUNTIF(Mots!A:A,Liens!G831)&gt;0,"✓ "&amp;Liens!G831,"✗ "&amp;Liens!G831&amp;" (introuvable)"))</f>
        <v/>
      </c>
      <c r="I836" s="35" t="str">
        <f>IF(Liens!H831="","",IF(COUNTIF(Mots!A:A,Liens!H831)&gt;0,"✓ "&amp;Liens!H831,"✗ "&amp;Liens!H831&amp;" (introuvable)"))</f>
        <v/>
      </c>
    </row>
    <row r="837" spans="1:9" x14ac:dyDescent="0.3">
      <c r="A837">
        <f t="shared" si="9"/>
        <v>832</v>
      </c>
      <c r="B837" s="35" t="str">
        <f>IF(Liens!A832="","",IF(COUNTIF(Mots!A:A,Liens!A832)&gt;0,"✓ "&amp;Liens!A832,"✗ "&amp;Liens!A832&amp;" (introuvable)"))</f>
        <v>✓ timbre</v>
      </c>
      <c r="C837" s="35" t="str">
        <f>IF(Liens!B832="","",IF(COUNTIF(Mots!A:A,Liens!B832)&gt;0,"✓ "&amp;Liens!B832,"✗ "&amp;Liens!B832&amp;" (introuvable)"))</f>
        <v>✓ courrier</v>
      </c>
      <c r="D837" s="35" t="str">
        <f>IF(Liens!C832="","",IF(COUNTIF(Mots!A:A,Liens!C832)&gt;0,"✓ "&amp;Liens!C832,"✗ "&amp;Liens!C832&amp;" (introuvable)"))</f>
        <v>✓ enveloppe</v>
      </c>
      <c r="E837" s="35" t="str">
        <f>IF(Liens!D832="","",IF(COUNTIF(Mots!A:A,Liens!D832)&gt;0,"✓ "&amp;Liens!D832,"✗ "&amp;Liens!D832&amp;" (introuvable)"))</f>
        <v>✓ lettre</v>
      </c>
      <c r="F837" s="35" t="str">
        <f>IF(Liens!E832="","",IF(COUNTIF(Mots!A:A,Liens!E832)&gt;0,"✓ "&amp;Liens!E832,"✗ "&amp;Liens!E832&amp;" (introuvable)"))</f>
        <v>✓ facteur</v>
      </c>
      <c r="G837" s="35" t="str">
        <f>IF(Liens!F832="","",IF(COUNTIF(Mots!A:A,Liens!F832)&gt;0,"✓ "&amp;Liens!F832,"✗ "&amp;Liens!F832&amp;" (introuvable)"))</f>
        <v>✓ poste</v>
      </c>
      <c r="H837" s="35" t="str">
        <f>IF(Liens!G832="","",IF(COUNTIF(Mots!A:A,Liens!G832)&gt;0,"✓ "&amp;Liens!G832,"✗ "&amp;Liens!G832&amp;" (introuvable)"))</f>
        <v/>
      </c>
      <c r="I837" s="35" t="str">
        <f>IF(Liens!H832="","",IF(COUNTIF(Mots!A:A,Liens!H832)&gt;0,"✓ "&amp;Liens!H832,"✗ "&amp;Liens!H832&amp;" (introuvable)"))</f>
        <v/>
      </c>
    </row>
    <row r="838" spans="1:9" x14ac:dyDescent="0.3">
      <c r="A838">
        <f t="shared" si="9"/>
        <v>833</v>
      </c>
      <c r="B838" s="35" t="str">
        <f>IF(Liens!A833="","",IF(COUNTIF(Mots!A:A,Liens!A833)&gt;0,"✓ "&amp;Liens!A833,"✗ "&amp;Liens!A833&amp;" (introuvable)"))</f>
        <v>✓ timidite</v>
      </c>
      <c r="C838" s="35" t="str">
        <f>IF(Liens!B833="","",IF(COUNTIF(Mots!A:A,Liens!B833)&gt;0,"✓ "&amp;Liens!B833,"✗ "&amp;Liens!B833&amp;" (introuvable)"))</f>
        <v/>
      </c>
      <c r="D838" s="35" t="str">
        <f>IF(Liens!C833="","",IF(COUNTIF(Mots!A:A,Liens!C833)&gt;0,"✓ "&amp;Liens!C833,"✗ "&amp;Liens!C833&amp;" (introuvable)"))</f>
        <v/>
      </c>
      <c r="E838" s="35" t="str">
        <f>IF(Liens!D833="","",IF(COUNTIF(Mots!A:A,Liens!D833)&gt;0,"✓ "&amp;Liens!D833,"✗ "&amp;Liens!D833&amp;" (introuvable)"))</f>
        <v/>
      </c>
      <c r="F838" s="35" t="str">
        <f>IF(Liens!E833="","",IF(COUNTIF(Mots!A:A,Liens!E833)&gt;0,"✓ "&amp;Liens!E833,"✗ "&amp;Liens!E833&amp;" (introuvable)"))</f>
        <v/>
      </c>
      <c r="G838" s="35" t="str">
        <f>IF(Liens!F833="","",IF(COUNTIF(Mots!A:A,Liens!F833)&gt;0,"✓ "&amp;Liens!F833,"✗ "&amp;Liens!F833&amp;" (introuvable)"))</f>
        <v/>
      </c>
      <c r="H838" s="35" t="str">
        <f>IF(Liens!G833="","",IF(COUNTIF(Mots!A:A,Liens!G833)&gt;0,"✓ "&amp;Liens!G833,"✗ "&amp;Liens!G833&amp;" (introuvable)"))</f>
        <v/>
      </c>
      <c r="I838" s="35" t="str">
        <f>IF(Liens!H833="","",IF(COUNTIF(Mots!A:A,Liens!H833)&gt;0,"✓ "&amp;Liens!H833,"✗ "&amp;Liens!H833&amp;" (introuvable)"))</f>
        <v/>
      </c>
    </row>
    <row r="839" spans="1:9" x14ac:dyDescent="0.3">
      <c r="A839">
        <f t="shared" si="9"/>
        <v>834</v>
      </c>
      <c r="B839" s="35" t="str">
        <f>IF(Liens!A834="","",IF(COUNTIF(Mots!A:A,Liens!A834)&gt;0,"✓ "&amp;Liens!A834,"✗ "&amp;Liens!A834&amp;" (introuvable)"))</f>
        <v>✓ tiroir</v>
      </c>
      <c r="C839" s="35" t="str">
        <f>IF(Liens!B834="","",IF(COUNTIF(Mots!A:A,Liens!B834)&gt;0,"✓ "&amp;Liens!B834,"✗ "&amp;Liens!B834&amp;" (introuvable)"))</f>
        <v>✓ cuisine</v>
      </c>
      <c r="D839" s="35" t="str">
        <f>IF(Liens!C834="","",IF(COUNTIF(Mots!A:A,Liens!C834)&gt;0,"✓ "&amp;Liens!C834,"✗ "&amp;Liens!C834&amp;" (introuvable)"))</f>
        <v>✓ meuble</v>
      </c>
      <c r="E839" s="35" t="str">
        <f>IF(Liens!D834="","",IF(COUNTIF(Mots!A:A,Liens!D834)&gt;0,"✓ "&amp;Liens!D834,"✗ "&amp;Liens!D834&amp;" (introuvable)"))</f>
        <v>✓ fourchette</v>
      </c>
      <c r="F839" s="35" t="str">
        <f>IF(Liens!E834="","",IF(COUNTIF(Mots!A:A,Liens!E834)&gt;0,"✓ "&amp;Liens!E834,"✗ "&amp;Liens!E834&amp;" (introuvable)"))</f>
        <v>✓ couteau</v>
      </c>
      <c r="G839" s="35" t="str">
        <f>IF(Liens!F834="","",IF(COUNTIF(Mots!A:A,Liens!F834)&gt;0,"✓ "&amp;Liens!F834,"✗ "&amp;Liens!F834&amp;" (introuvable)"))</f>
        <v>✓ cuillere</v>
      </c>
      <c r="H839" s="35" t="str">
        <f>IF(Liens!G834="","",IF(COUNTIF(Mots!A:A,Liens!G834)&gt;0,"✓ "&amp;Liens!G834,"✗ "&amp;Liens!G834&amp;" (introuvable)"))</f>
        <v>✓ bas</v>
      </c>
      <c r="I839" s="35" t="str">
        <f>IF(Liens!H834="","",IF(COUNTIF(Mots!A:A,Liens!H834)&gt;0,"✓ "&amp;Liens!H834,"✗ "&amp;Liens!H834&amp;" (introuvable)"))</f>
        <v>✓ paire_de_slip</v>
      </c>
    </row>
    <row r="840" spans="1:9" x14ac:dyDescent="0.3">
      <c r="A840">
        <f t="shared" si="9"/>
        <v>835</v>
      </c>
      <c r="B840" s="35" t="str">
        <f>IF(Liens!A835="","",IF(COUNTIF(Mots!A:A,Liens!A835)&gt;0,"✓ "&amp;Liens!A835,"✗ "&amp;Liens!A835&amp;" (introuvable)"))</f>
        <v>✓ tissu</v>
      </c>
      <c r="C840" s="35" t="str">
        <f>IF(Liens!B835="","",IF(COUNTIF(Mots!A:A,Liens!B835)&gt;0,"✓ "&amp;Liens!B835,"✗ "&amp;Liens!B835&amp;" (introuvable)"))</f>
        <v>✓ matiere</v>
      </c>
      <c r="D840" s="35" t="str">
        <f>IF(Liens!C835="","",IF(COUNTIF(Mots!A:A,Liens!C835)&gt;0,"✓ "&amp;Liens!C835,"✗ "&amp;Liens!C835&amp;" (introuvable)"))</f>
        <v>✓ fil</v>
      </c>
      <c r="E840" s="35" t="str">
        <f>IF(Liens!D835="","",IF(COUNTIF(Mots!A:A,Liens!D835)&gt;0,"✓ "&amp;Liens!D835,"✗ "&amp;Liens!D835&amp;" (introuvable)"))</f>
        <v>✓ vetement</v>
      </c>
      <c r="F840" s="35" t="str">
        <f>IF(Liens!E835="","",IF(COUNTIF(Mots!A:A,Liens!E835)&gt;0,"✓ "&amp;Liens!E835,"✗ "&amp;Liens!E835&amp;" (introuvable)"))</f>
        <v>✓ habit</v>
      </c>
      <c r="G840" s="35" t="str">
        <f>IF(Liens!F835="","",IF(COUNTIF(Mots!A:A,Liens!F835)&gt;0,"✓ "&amp;Liens!F835,"✗ "&amp;Liens!F835&amp;" (introuvable)"))</f>
        <v>✓ serviette</v>
      </c>
      <c r="H840" s="35" t="str">
        <f>IF(Liens!G835="","",IF(COUNTIF(Mots!A:A,Liens!G835)&gt;0,"✓ "&amp;Liens!G835,"✗ "&amp;Liens!G835&amp;" (introuvable)"))</f>
        <v>✓ chiffon</v>
      </c>
      <c r="I840" s="35" t="str">
        <f>IF(Liens!H835="","",IF(COUNTIF(Mots!A:A,Liens!H835)&gt;0,"✓ "&amp;Liens!H835,"✗ "&amp;Liens!H835&amp;" (introuvable)"))</f>
        <v/>
      </c>
    </row>
    <row r="841" spans="1:9" x14ac:dyDescent="0.3">
      <c r="A841">
        <f t="shared" si="9"/>
        <v>836</v>
      </c>
      <c r="B841" s="35" t="str">
        <f>IF(Liens!A836="","",IF(COUNTIF(Mots!A:A,Liens!A836)&gt;0,"✓ "&amp;Liens!A836,"✗ "&amp;Liens!A836&amp;" (introuvable)"))</f>
        <v>✓ toile</v>
      </c>
      <c r="C841" s="35" t="str">
        <f>IF(Liens!B836="","",IF(COUNTIF(Mots!A:A,Liens!B836)&gt;0,"✓ "&amp;Liens!B836,"✗ "&amp;Liens!B836&amp;" (introuvable)"))</f>
        <v>✓ fil</v>
      </c>
      <c r="D841" s="35" t="str">
        <f>IF(Liens!C836="","",IF(COUNTIF(Mots!A:A,Liens!C836)&gt;0,"✓ "&amp;Liens!C836,"✗ "&amp;Liens!C836&amp;" (introuvable)"))</f>
        <v>✓ araignee</v>
      </c>
      <c r="E841" s="35" t="str">
        <f>IF(Liens!D836="","",IF(COUNTIF(Mots!A:A,Liens!D836)&gt;0,"✓ "&amp;Liens!D836,"✗ "&amp;Liens!D836&amp;" (introuvable)"))</f>
        <v/>
      </c>
      <c r="F841" s="35" t="str">
        <f>IF(Liens!E836="","",IF(COUNTIF(Mots!A:A,Liens!E836)&gt;0,"✓ "&amp;Liens!E836,"✗ "&amp;Liens!E836&amp;" (introuvable)"))</f>
        <v/>
      </c>
      <c r="G841" s="35" t="str">
        <f>IF(Liens!F836="","",IF(COUNTIF(Mots!A:A,Liens!F836)&gt;0,"✓ "&amp;Liens!F836,"✗ "&amp;Liens!F836&amp;" (introuvable)"))</f>
        <v/>
      </c>
      <c r="H841" s="35" t="str">
        <f>IF(Liens!G836="","",IF(COUNTIF(Mots!A:A,Liens!G836)&gt;0,"✓ "&amp;Liens!G836,"✗ "&amp;Liens!G836&amp;" (introuvable)"))</f>
        <v/>
      </c>
      <c r="I841" s="35" t="str">
        <f>IF(Liens!H836="","",IF(COUNTIF(Mots!A:A,Liens!H836)&gt;0,"✓ "&amp;Liens!H836,"✗ "&amp;Liens!H836&amp;" (introuvable)"))</f>
        <v/>
      </c>
    </row>
    <row r="842" spans="1:9" x14ac:dyDescent="0.3">
      <c r="A842">
        <f t="shared" si="9"/>
        <v>837</v>
      </c>
      <c r="B842" s="35" t="str">
        <f>IF(Liens!A837="","",IF(COUNTIF(Mots!A:A,Liens!A837)&gt;0,"✓ "&amp;Liens!A837,"✗ "&amp;Liens!A837&amp;" (introuvable)"))</f>
        <v>✓ toit</v>
      </c>
      <c r="C842" s="35" t="str">
        <f>IF(Liens!B837="","",IF(COUNTIF(Mots!A:A,Liens!B837)&gt;0,"✓ "&amp;Liens!B837,"✗ "&amp;Liens!B837&amp;" (introuvable)"))</f>
        <v>✓ maison</v>
      </c>
      <c r="D842" s="35" t="str">
        <f>IF(Liens!C837="","",IF(COUNTIF(Mots!A:A,Liens!C837)&gt;0,"✓ "&amp;Liens!C837,"✗ "&amp;Liens!C837&amp;" (introuvable)"))</f>
        <v>✓ cheneau</v>
      </c>
      <c r="E842" s="35" t="str">
        <f>IF(Liens!D837="","",IF(COUNTIF(Mots!A:A,Liens!D837)&gt;0,"✓ "&amp;Liens!D837,"✗ "&amp;Liens!D837&amp;" (introuvable)"))</f>
        <v>✓ pluie</v>
      </c>
      <c r="F842" s="35" t="str">
        <f>IF(Liens!E837="","",IF(COUNTIF(Mots!A:A,Liens!E837)&gt;0,"✓ "&amp;Liens!E837,"✗ "&amp;Liens!E837&amp;" (introuvable)"))</f>
        <v/>
      </c>
      <c r="G842" s="35" t="str">
        <f>IF(Liens!F837="","",IF(COUNTIF(Mots!A:A,Liens!F837)&gt;0,"✓ "&amp;Liens!F837,"✗ "&amp;Liens!F837&amp;" (introuvable)"))</f>
        <v/>
      </c>
      <c r="H842" s="35" t="str">
        <f>IF(Liens!G837="","",IF(COUNTIF(Mots!A:A,Liens!G837)&gt;0,"✓ "&amp;Liens!G837,"✗ "&amp;Liens!G837&amp;" (introuvable)"))</f>
        <v/>
      </c>
      <c r="I842" s="35" t="str">
        <f>IF(Liens!H837="","",IF(COUNTIF(Mots!A:A,Liens!H837)&gt;0,"✓ "&amp;Liens!H837,"✗ "&amp;Liens!H837&amp;" (introuvable)"))</f>
        <v/>
      </c>
    </row>
    <row r="843" spans="1:9" x14ac:dyDescent="0.3">
      <c r="A843">
        <f t="shared" si="9"/>
        <v>838</v>
      </c>
      <c r="B843" s="35" t="str">
        <f>IF(Liens!A838="","",IF(COUNTIF(Mots!A:A,Liens!A838)&gt;0,"✓ "&amp;Liens!A838,"✗ "&amp;Liens!A838&amp;" (introuvable)"))</f>
        <v>✓ tomate</v>
      </c>
      <c r="C843" s="35" t="str">
        <f>IF(Liens!B838="","",IF(COUNTIF(Mots!A:A,Liens!B838)&gt;0,"✓ "&amp;Liens!B838,"✗ "&amp;Liens!B838&amp;" (introuvable)"))</f>
        <v>✓ fruit</v>
      </c>
      <c r="D843" s="35" t="str">
        <f>IF(Liens!C838="","",IF(COUNTIF(Mots!A:A,Liens!C838)&gt;0,"✓ "&amp;Liens!C838,"✗ "&amp;Liens!C838&amp;" (introuvable)"))</f>
        <v>✓ c_rouge</v>
      </c>
      <c r="E843" s="35" t="str">
        <f>IF(Liens!D838="","",IF(COUNTIF(Mots!A:A,Liens!D838)&gt;0,"✓ "&amp;Liens!D838,"✗ "&amp;Liens!D838&amp;" (introuvable)"))</f>
        <v>✓ rond</v>
      </c>
      <c r="F843" s="35" t="str">
        <f>IF(Liens!E838="","",IF(COUNTIF(Mots!A:A,Liens!E838)&gt;0,"✓ "&amp;Liens!E838,"✗ "&amp;Liens!E838&amp;" (introuvable)"))</f>
        <v>✓ jardin</v>
      </c>
      <c r="G843" s="35" t="str">
        <f>IF(Liens!F838="","",IF(COUNTIF(Mots!A:A,Liens!F838)&gt;0,"✓ "&amp;Liens!F838,"✗ "&amp;Liens!F838&amp;" (introuvable)"))</f>
        <v>✓ v_manger</v>
      </c>
      <c r="H843" s="35" t="str">
        <f>IF(Liens!G838="","",IF(COUNTIF(Mots!A:A,Liens!G838)&gt;0,"✓ "&amp;Liens!G838,"✗ "&amp;Liens!G838&amp;" (introuvable)"))</f>
        <v>✓ e_terre</v>
      </c>
      <c r="I843" s="35" t="str">
        <f>IF(Liens!H838="","",IF(COUNTIF(Mots!A:A,Liens!H838)&gt;0,"✓ "&amp;Liens!H838,"✗ "&amp;Liens!H838&amp;" (introuvable)"))</f>
        <v>✓ jardinage</v>
      </c>
    </row>
    <row r="844" spans="1:9" x14ac:dyDescent="0.3">
      <c r="A844">
        <f t="shared" si="9"/>
        <v>839</v>
      </c>
      <c r="B844" s="35" t="str">
        <f>IF(Liens!A839="","",IF(COUNTIF(Mots!A:A,Liens!A839)&gt;0,"✓ "&amp;Liens!A839,"✗ "&amp;Liens!A839&amp;" (introuvable)"))</f>
        <v>✓ tonnerre</v>
      </c>
      <c r="C844" s="35" t="str">
        <f>IF(Liens!B839="","",IF(COUNTIF(Mots!A:A,Liens!B839)&gt;0,"✓ "&amp;Liens!B839,"✗ "&amp;Liens!B839&amp;" (introuvable)"))</f>
        <v>✓ bruit</v>
      </c>
      <c r="D844" s="35" t="str">
        <f>IF(Liens!C839="","",IF(COUNTIF(Mots!A:A,Liens!C839)&gt;0,"✓ "&amp;Liens!C839,"✗ "&amp;Liens!C839&amp;" (introuvable)"))</f>
        <v>✓ son</v>
      </c>
      <c r="E844" s="35" t="str">
        <f>IF(Liens!D839="","",IF(COUNTIF(Mots!A:A,Liens!D839)&gt;0,"✓ "&amp;Liens!D839,"✗ "&amp;Liens!D839&amp;" (introuvable)"))</f>
        <v>✓ v_entendre</v>
      </c>
      <c r="F844" s="35" t="str">
        <f>IF(Liens!E839="","",IF(COUNTIF(Mots!A:A,Liens!E839)&gt;0,"✓ "&amp;Liens!E839,"✗ "&amp;Liens!E839&amp;" (introuvable)"))</f>
        <v>✓ tempete</v>
      </c>
      <c r="G844" s="35" t="str">
        <f>IF(Liens!F839="","",IF(COUNTIF(Mots!A:A,Liens!F839)&gt;0,"✓ "&amp;Liens!F839,"✗ "&amp;Liens!F839&amp;" (introuvable)"))</f>
        <v>✓ eclair</v>
      </c>
      <c r="H844" s="35" t="str">
        <f>IF(Liens!G839="","",IF(COUNTIF(Mots!A:A,Liens!G839)&gt;0,"✓ "&amp;Liens!G839,"✗ "&amp;Liens!G839&amp;" (introuvable)"))</f>
        <v>✓ vent</v>
      </c>
      <c r="I844" s="35" t="str">
        <f>IF(Liens!H839="","",IF(COUNTIF(Mots!A:A,Liens!H839)&gt;0,"✓ "&amp;Liens!H839,"✗ "&amp;Liens!H839&amp;" (introuvable)"))</f>
        <v>✓ pluie</v>
      </c>
    </row>
    <row r="845" spans="1:9" x14ac:dyDescent="0.3">
      <c r="A845">
        <f t="shared" si="9"/>
        <v>840</v>
      </c>
      <c r="B845" s="35" t="str">
        <f>IF(Liens!A840="","",IF(COUNTIF(Mots!A:A,Liens!A840)&gt;0,"✓ "&amp;Liens!A840,"✗ "&amp;Liens!A840&amp;" (introuvable)"))</f>
        <v>✓ torse</v>
      </c>
      <c r="C845" s="35" t="str">
        <f>IF(Liens!B840="","",IF(COUNTIF(Mots!A:A,Liens!B840)&gt;0,"✓ "&amp;Liens!B840,"✗ "&amp;Liens!B840&amp;" (introuvable)"))</f>
        <v>✓ corps_humain</v>
      </c>
      <c r="D845" s="35" t="str">
        <f>IF(Liens!C840="","",IF(COUNTIF(Mots!A:A,Liens!C840)&gt;0,"✓ "&amp;Liens!C840,"✗ "&amp;Liens!C840&amp;" (introuvable)"))</f>
        <v>✓ tronc_anatomie</v>
      </c>
      <c r="E845" s="35" t="str">
        <f>IF(Liens!D840="","",IF(COUNTIF(Mots!A:A,Liens!D840)&gt;0,"✓ "&amp;Liens!D840,"✗ "&amp;Liens!D840&amp;" (introuvable)"))</f>
        <v>✓ epaule</v>
      </c>
      <c r="F845" s="35" t="str">
        <f>IF(Liens!E840="","",IF(COUNTIF(Mots!A:A,Liens!E840)&gt;0,"✓ "&amp;Liens!E840,"✗ "&amp;Liens!E840&amp;" (introuvable)"))</f>
        <v>✓ bras</v>
      </c>
      <c r="G845" s="35" t="str">
        <f>IF(Liens!F840="","",IF(COUNTIF(Mots!A:A,Liens!F840)&gt;0,"✓ "&amp;Liens!F840,"✗ "&amp;Liens!F840&amp;" (introuvable)"))</f>
        <v>✓ cou</v>
      </c>
      <c r="H845" s="35" t="str">
        <f>IF(Liens!G840="","",IF(COUNTIF(Mots!A:A,Liens!G840)&gt;0,"✓ "&amp;Liens!G840,"✗ "&amp;Liens!G840&amp;" (introuvable)"))</f>
        <v>✓ coeur</v>
      </c>
      <c r="I845" s="35" t="str">
        <f>IF(Liens!H840="","",IF(COUNTIF(Mots!A:A,Liens!H840)&gt;0,"✓ "&amp;Liens!H840,"✗ "&amp;Liens!H840&amp;" (introuvable)"))</f>
        <v/>
      </c>
    </row>
    <row r="846" spans="1:9" x14ac:dyDescent="0.3">
      <c r="A846">
        <f t="shared" si="9"/>
        <v>841</v>
      </c>
      <c r="B846" s="35" t="str">
        <f>IF(Liens!A841="","",IF(COUNTIF(Mots!A:A,Liens!A841)&gt;0,"✓ "&amp;Liens!A841,"✗ "&amp;Liens!A841&amp;" (introuvable)"))</f>
        <v>✓ tot</v>
      </c>
      <c r="C846" s="35" t="str">
        <f>IF(Liens!B841="","",IF(COUNTIF(Mots!A:A,Liens!B841)&gt;0,"✓ "&amp;Liens!B841,"✗ "&amp;Liens!B841&amp;" (introuvable)"))</f>
        <v>✓ reveil</v>
      </c>
      <c r="D846" s="35" t="str">
        <f>IF(Liens!C841="","",IF(COUNTIF(Mots!A:A,Liens!C841)&gt;0,"✓ "&amp;Liens!C841,"✗ "&amp;Liens!C841&amp;" (introuvable)"))</f>
        <v>✓ jour</v>
      </c>
      <c r="E846" s="35" t="str">
        <f>IF(Liens!D841="","",IF(COUNTIF(Mots!A:A,Liens!D841)&gt;0,"✓ "&amp;Liens!D841,"✗ "&amp;Liens!D841&amp;" (introuvable)"))</f>
        <v>✓ v_lever</v>
      </c>
      <c r="F846" s="35" t="str">
        <f>IF(Liens!E841="","",IF(COUNTIF(Mots!A:A,Liens!E841)&gt;0,"✓ "&amp;Liens!E841,"✗ "&amp;Liens!E841&amp;" (introuvable)"))</f>
        <v>✓ soleil</v>
      </c>
      <c r="G846" s="35" t="str">
        <f>IF(Liens!F841="","",IF(COUNTIF(Mots!A:A,Liens!F841)&gt;0,"✓ "&amp;Liens!F841,"✗ "&amp;Liens!F841&amp;" (introuvable)"))</f>
        <v>✓ tard</v>
      </c>
      <c r="H846" s="35" t="str">
        <f>IF(Liens!G841="","",IF(COUNTIF(Mots!A:A,Liens!G841)&gt;0,"✓ "&amp;Liens!G841,"✗ "&amp;Liens!G841&amp;" (introuvable)"))</f>
        <v/>
      </c>
      <c r="I846" s="35" t="str">
        <f>IF(Liens!H841="","",IF(COUNTIF(Mots!A:A,Liens!H841)&gt;0,"✓ "&amp;Liens!H841,"✗ "&amp;Liens!H841&amp;" (introuvable)"))</f>
        <v/>
      </c>
    </row>
    <row r="847" spans="1:9" x14ac:dyDescent="0.3">
      <c r="A847">
        <f t="shared" ref="A847:A910" si="10">A846+1</f>
        <v>842</v>
      </c>
      <c r="B847" s="35" t="str">
        <f>IF(Liens!A842="","",IF(COUNTIF(Mots!A:A,Liens!A842)&gt;0,"✓ "&amp;Liens!A842,"✗ "&amp;Liens!A842&amp;" (introuvable)"))</f>
        <v>✓ total</v>
      </c>
      <c r="C847" s="35" t="str">
        <f>IF(Liens!B842="","",IF(COUNTIF(Mots!A:A,Liens!B842)&gt;0,"✓ "&amp;Liens!B842,"✗ "&amp;Liens!B842&amp;" (introuvable)"))</f>
        <v>✓ resultat</v>
      </c>
      <c r="D847" s="35" t="str">
        <f>IF(Liens!C842="","",IF(COUNTIF(Mots!A:A,Liens!C842)&gt;0,"✓ "&amp;Liens!C842,"✗ "&amp;Liens!C842&amp;" (introuvable)"))</f>
        <v>✓ somme</v>
      </c>
      <c r="E847" s="35" t="str">
        <f>IF(Liens!D842="","",IF(COUNTIF(Mots!A:A,Liens!D842)&gt;0,"✓ "&amp;Liens!D842,"✗ "&amp;Liens!D842&amp;" (introuvable)"))</f>
        <v>✓ calcul</v>
      </c>
      <c r="F847" s="35" t="str">
        <f>IF(Liens!E842="","",IF(COUNTIF(Mots!A:A,Liens!E842)&gt;0,"✓ "&amp;Liens!E842,"✗ "&amp;Liens!E842&amp;" (introuvable)"))</f>
        <v>✓ calculatrice</v>
      </c>
      <c r="G847" s="35" t="str">
        <f>IF(Liens!F842="","",IF(COUNTIF(Mots!A:A,Liens!F842)&gt;0,"✓ "&amp;Liens!F842,"✗ "&amp;Liens!F842&amp;" (introuvable)"))</f>
        <v/>
      </c>
      <c r="H847" s="35" t="str">
        <f>IF(Liens!G842="","",IF(COUNTIF(Mots!A:A,Liens!G842)&gt;0,"✓ "&amp;Liens!G842,"✗ "&amp;Liens!G842&amp;" (introuvable)"))</f>
        <v/>
      </c>
      <c r="I847" s="35" t="str">
        <f>IF(Liens!H842="","",IF(COUNTIF(Mots!A:A,Liens!H842)&gt;0,"✓ "&amp;Liens!H842,"✗ "&amp;Liens!H842&amp;" (introuvable)"))</f>
        <v/>
      </c>
    </row>
    <row r="848" spans="1:9" x14ac:dyDescent="0.3">
      <c r="A848">
        <f t="shared" si="10"/>
        <v>843</v>
      </c>
      <c r="B848" s="35" t="str">
        <f>IF(Liens!A843="","",IF(COUNTIF(Mots!A:A,Liens!A843)&gt;0,"✓ "&amp;Liens!A843,"✗ "&amp;Liens!A843&amp;" (introuvable)"))</f>
        <v>✓ toujours</v>
      </c>
      <c r="C848" s="35" t="str">
        <f>IF(Liens!B843="","",IF(COUNTIF(Mots!A:A,Liens!B843)&gt;0,"✓ "&amp;Liens!B843,"✗ "&amp;Liens!B843&amp;" (introuvable)"))</f>
        <v>✓ jamais</v>
      </c>
      <c r="D848" s="35" t="str">
        <f>IF(Liens!C843="","",IF(COUNTIF(Mots!A:A,Liens!C843)&gt;0,"✓ "&amp;Liens!C843,"✗ "&amp;Liens!C843&amp;" (introuvable)"))</f>
        <v>✓ souvent</v>
      </c>
      <c r="E848" s="35" t="str">
        <f>IF(Liens!D843="","",IF(COUNTIF(Mots!A:A,Liens!D843)&gt;0,"✓ "&amp;Liens!D843,"✗ "&amp;Liens!D843&amp;" (introuvable)"))</f>
        <v>✓ parfois</v>
      </c>
      <c r="F848" s="35" t="str">
        <f>IF(Liens!E843="","",IF(COUNTIF(Mots!A:A,Liens!E843)&gt;0,"✓ "&amp;Liens!E843,"✗ "&amp;Liens!E843&amp;" (introuvable)"))</f>
        <v/>
      </c>
      <c r="G848" s="35" t="str">
        <f>IF(Liens!F843="","",IF(COUNTIF(Mots!A:A,Liens!F843)&gt;0,"✓ "&amp;Liens!F843,"✗ "&amp;Liens!F843&amp;" (introuvable)"))</f>
        <v/>
      </c>
      <c r="H848" s="35" t="str">
        <f>IF(Liens!G843="","",IF(COUNTIF(Mots!A:A,Liens!G843)&gt;0,"✓ "&amp;Liens!G843,"✗ "&amp;Liens!G843&amp;" (introuvable)"))</f>
        <v/>
      </c>
      <c r="I848" s="35" t="str">
        <f>IF(Liens!H843="","",IF(COUNTIF(Mots!A:A,Liens!H843)&gt;0,"✓ "&amp;Liens!H843,"✗ "&amp;Liens!H843&amp;" (introuvable)"))</f>
        <v/>
      </c>
    </row>
    <row r="849" spans="1:9" x14ac:dyDescent="0.3">
      <c r="A849">
        <f t="shared" si="10"/>
        <v>844</v>
      </c>
      <c r="B849" s="35" t="str">
        <f>IF(Liens!A844="","",IF(COUNTIF(Mots!A:A,Liens!A844)&gt;0,"✓ "&amp;Liens!A844,"✗ "&amp;Liens!A844&amp;" (introuvable)"))</f>
        <v>✓ tournevis</v>
      </c>
      <c r="C849" s="35" t="str">
        <f>IF(Liens!B844="","",IF(COUNTIF(Mots!A:A,Liens!B844)&gt;0,"✓ "&amp;Liens!B844,"✗ "&amp;Liens!B844&amp;" (introuvable)"))</f>
        <v>✓ vis</v>
      </c>
      <c r="D849" s="35" t="str">
        <f>IF(Liens!C844="","",IF(COUNTIF(Mots!A:A,Liens!C844)&gt;0,"✓ "&amp;Liens!C844,"✗ "&amp;Liens!C844&amp;" (introuvable)"))</f>
        <v>✓ outil</v>
      </c>
      <c r="E849" s="35" t="str">
        <f>IF(Liens!D844="","",IF(COUNTIF(Mots!A:A,Liens!D844)&gt;0,"✓ "&amp;Liens!D844,"✗ "&amp;Liens!D844&amp;" (introuvable)"))</f>
        <v>✓ bricolage</v>
      </c>
      <c r="F849" s="35" t="str">
        <f>IF(Liens!E844="","",IF(COUNTIF(Mots!A:A,Liens!E844)&gt;0,"✓ "&amp;Liens!E844,"✗ "&amp;Liens!E844&amp;" (introuvable)"))</f>
        <v/>
      </c>
      <c r="G849" s="35" t="str">
        <f>IF(Liens!F844="","",IF(COUNTIF(Mots!A:A,Liens!F844)&gt;0,"✓ "&amp;Liens!F844,"✗ "&amp;Liens!F844&amp;" (introuvable)"))</f>
        <v/>
      </c>
      <c r="H849" s="35" t="str">
        <f>IF(Liens!G844="","",IF(COUNTIF(Mots!A:A,Liens!G844)&gt;0,"✓ "&amp;Liens!G844,"✗ "&amp;Liens!G844&amp;" (introuvable)"))</f>
        <v/>
      </c>
      <c r="I849" s="35" t="str">
        <f>IF(Liens!H844="","",IF(COUNTIF(Mots!A:A,Liens!H844)&gt;0,"✓ "&amp;Liens!H844,"✗ "&amp;Liens!H844&amp;" (introuvable)"))</f>
        <v/>
      </c>
    </row>
    <row r="850" spans="1:9" x14ac:dyDescent="0.3">
      <c r="A850">
        <f t="shared" si="10"/>
        <v>845</v>
      </c>
      <c r="B850" s="35" t="str">
        <f>IF(Liens!A845="","",IF(COUNTIF(Mots!A:A,Liens!A845)&gt;0,"✓ "&amp;Liens!A845,"✗ "&amp;Liens!A845&amp;" (introuvable)"))</f>
        <v>✓ toux</v>
      </c>
      <c r="C850" s="35" t="str">
        <f>IF(Liens!B845="","",IF(COUNTIF(Mots!A:A,Liens!B845)&gt;0,"✓ "&amp;Liens!B845,"✗ "&amp;Liens!B845&amp;" (introuvable)"))</f>
        <v>✓ a_mal_douloureux</v>
      </c>
      <c r="D850" s="35" t="str">
        <f>IF(Liens!C845="","",IF(COUNTIF(Mots!A:A,Liens!C845)&gt;0,"✓ "&amp;Liens!C845,"✗ "&amp;Liens!C845&amp;" (introuvable)"))</f>
        <v>✓ gorge</v>
      </c>
      <c r="E850" s="35" t="str">
        <f>IF(Liens!D845="","",IF(COUNTIF(Mots!A:A,Liens!D845)&gt;0,"✓ "&amp;Liens!D845,"✗ "&amp;Liens!D845&amp;" (introuvable)"))</f>
        <v>✓ v_tousser</v>
      </c>
      <c r="F850" s="35" t="str">
        <f>IF(Liens!E845="","",IF(COUNTIF(Mots!A:A,Liens!E845)&gt;0,"✓ "&amp;Liens!E845,"✗ "&amp;Liens!E845&amp;" (introuvable)"))</f>
        <v>✓ medicament</v>
      </c>
      <c r="G850" s="35" t="str">
        <f>IF(Liens!F845="","",IF(COUNTIF(Mots!A:A,Liens!F845)&gt;0,"✓ "&amp;Liens!F845,"✗ "&amp;Liens!F845&amp;" (introuvable)"))</f>
        <v>✓ pharmacie</v>
      </c>
      <c r="H850" s="35" t="str">
        <f>IF(Liens!G845="","",IF(COUNTIF(Mots!A:A,Liens!G845)&gt;0,"✓ "&amp;Liens!G845,"✗ "&amp;Liens!G845&amp;" (introuvable)"))</f>
        <v>✓ pharmacien</v>
      </c>
      <c r="I850" s="35" t="str">
        <f>IF(Liens!H845="","",IF(COUNTIF(Mots!A:A,Liens!H845)&gt;0,"✓ "&amp;Liens!H845,"✗ "&amp;Liens!H845&amp;" (introuvable)"))</f>
        <v>✓ bruit</v>
      </c>
    </row>
    <row r="851" spans="1:9" x14ac:dyDescent="0.3">
      <c r="A851">
        <f t="shared" si="10"/>
        <v>846</v>
      </c>
      <c r="B851" s="35" t="str">
        <f>IF(Liens!A846="","",IF(COUNTIF(Mots!A:A,Liens!A846)&gt;0,"✓ "&amp;Liens!A846,"✗ "&amp;Liens!A846&amp;" (introuvable)"))</f>
        <v>✓ train</v>
      </c>
      <c r="C851" s="35" t="str">
        <f>IF(Liens!B846="","",IF(COUNTIF(Mots!A:A,Liens!B846)&gt;0,"✓ "&amp;Liens!B846,"✗ "&amp;Liens!B846&amp;" (introuvable)"))</f>
        <v>✓ gare_sion</v>
      </c>
      <c r="D851" s="35" t="str">
        <f>IF(Liens!C846="","",IF(COUNTIF(Mots!A:A,Liens!C846)&gt;0,"✓ "&amp;Liens!C846,"✗ "&amp;Liens!C846&amp;" (introuvable)"))</f>
        <v>✓ gare</v>
      </c>
      <c r="E851" s="35" t="str">
        <f>IF(Liens!D846="","",IF(COUNTIF(Mots!A:A,Liens!D846)&gt;0,"✓ "&amp;Liens!D846,"✗ "&amp;Liens!D846&amp;" (introuvable)"))</f>
        <v>✓ billet</v>
      </c>
      <c r="F851" s="35" t="str">
        <f>IF(Liens!E846="","",IF(COUNTIF(Mots!A:A,Liens!E846)&gt;0,"✓ "&amp;Liens!E846,"✗ "&amp;Liens!E846&amp;" (introuvable)"))</f>
        <v>✓ v_aller</v>
      </c>
      <c r="G851" s="35" t="str">
        <f>IF(Liens!F846="","",IF(COUNTIF(Mots!A:A,Liens!F846)&gt;0,"✓ "&amp;Liens!F846,"✗ "&amp;Liens!F846&amp;" (introuvable)"))</f>
        <v/>
      </c>
      <c r="H851" s="35" t="str">
        <f>IF(Liens!G846="","",IF(COUNTIF(Mots!A:A,Liens!G846)&gt;0,"✓ "&amp;Liens!G846,"✗ "&amp;Liens!G846&amp;" (introuvable)"))</f>
        <v/>
      </c>
      <c r="I851" s="35" t="str">
        <f>IF(Liens!H846="","",IF(COUNTIF(Mots!A:A,Liens!H846)&gt;0,"✓ "&amp;Liens!H846,"✗ "&amp;Liens!H846&amp;" (introuvable)"))</f>
        <v/>
      </c>
    </row>
    <row r="852" spans="1:9" x14ac:dyDescent="0.3">
      <c r="A852">
        <f t="shared" si="10"/>
        <v>847</v>
      </c>
      <c r="B852" s="35" t="str">
        <f>IF(Liens!A847="","",IF(COUNTIF(Mots!A:A,Liens!A847)&gt;0,"✓ "&amp;Liens!A847,"✗ "&amp;Liens!A847&amp;" (introuvable)"))</f>
        <v>✓ trait</v>
      </c>
      <c r="C852" s="35" t="str">
        <f>IF(Liens!B847="","",IF(COUNTIF(Mots!A:A,Liens!B847)&gt;0,"✓ "&amp;Liens!B847,"✗ "&amp;Liens!B847&amp;" (introuvable)"))</f>
        <v>✓ ligne</v>
      </c>
      <c r="D852" s="35" t="str">
        <f>IF(Liens!C847="","",IF(COUNTIF(Mots!A:A,Liens!C847)&gt;0,"✓ "&amp;Liens!C847,"✗ "&amp;Liens!C847&amp;" (introuvable)"))</f>
        <v>✓ crayon</v>
      </c>
      <c r="E852" s="35" t="str">
        <f>IF(Liens!D847="","",IF(COUNTIF(Mots!A:A,Liens!D847)&gt;0,"✓ "&amp;Liens!D847,"✗ "&amp;Liens!D847&amp;" (introuvable)"))</f>
        <v>✓ stylo</v>
      </c>
      <c r="F852" s="35" t="str">
        <f>IF(Liens!E847="","",IF(COUNTIF(Mots!A:A,Liens!E847)&gt;0,"✓ "&amp;Liens!E847,"✗ "&amp;Liens!E847&amp;" (introuvable)"))</f>
        <v>✓ feuille_papier</v>
      </c>
      <c r="G852" s="35" t="str">
        <f>IF(Liens!F847="","",IF(COUNTIF(Mots!A:A,Liens!F847)&gt;0,"✓ "&amp;Liens!F847,"✗ "&amp;Liens!F847&amp;" (introuvable)"))</f>
        <v>✓ main</v>
      </c>
      <c r="H852" s="35" t="str">
        <f>IF(Liens!G847="","",IF(COUNTIF(Mots!A:A,Liens!G847)&gt;0,"✓ "&amp;Liens!G847,"✗ "&amp;Liens!G847&amp;" (introuvable)"))</f>
        <v/>
      </c>
      <c r="I852" s="35" t="str">
        <f>IF(Liens!H847="","",IF(COUNTIF(Mots!A:A,Liens!H847)&gt;0,"✓ "&amp;Liens!H847,"✗ "&amp;Liens!H847&amp;" (introuvable)"))</f>
        <v/>
      </c>
    </row>
    <row r="853" spans="1:9" x14ac:dyDescent="0.3">
      <c r="A853">
        <f t="shared" si="10"/>
        <v>848</v>
      </c>
      <c r="B853" s="35" t="str">
        <f>IF(Liens!A848="","",IF(COUNTIF(Mots!A:A,Liens!A848)&gt;0,"✓ "&amp;Liens!A848,"✗ "&amp;Liens!A848&amp;" (introuvable)"))</f>
        <v>✓ tranquille</v>
      </c>
      <c r="C853" s="35" t="str">
        <f>IF(Liens!B848="","",IF(COUNTIF(Mots!A:A,Liens!B848)&gt;0,"✓ "&amp;Liens!B848,"✗ "&amp;Liens!B848&amp;" (introuvable)"))</f>
        <v>✓ calme</v>
      </c>
      <c r="D853" s="35" t="str">
        <f>IF(Liens!C848="","",IF(COUNTIF(Mots!A:A,Liens!C848)&gt;0,"✓ "&amp;Liens!C848,"✗ "&amp;Liens!C848&amp;" (introuvable)"))</f>
        <v>✓ repos</v>
      </c>
      <c r="E853" s="35" t="str">
        <f>IF(Liens!D848="","",IF(COUNTIF(Mots!A:A,Liens!D848)&gt;0,"✓ "&amp;Liens!D848,"✗ "&amp;Liens!D848&amp;" (introuvable)"))</f>
        <v>✓ a_calme_agite</v>
      </c>
      <c r="F853" s="35" t="str">
        <f>IF(Liens!E848="","",IF(COUNTIF(Mots!A:A,Liens!E848)&gt;0,"✓ "&amp;Liens!E848,"✗ "&amp;Liens!E848&amp;" (introuvable)"))</f>
        <v>✓ silence</v>
      </c>
      <c r="G853" s="35" t="str">
        <f>IF(Liens!F848="","",IF(COUNTIF(Mots!A:A,Liens!F848)&gt;0,"✓ "&amp;Liens!F848,"✗ "&amp;Liens!F848&amp;" (introuvable)"))</f>
        <v>✓ agitation</v>
      </c>
      <c r="H853" s="35" t="str">
        <f>IF(Liens!G848="","",IF(COUNTIF(Mots!A:A,Liens!G848)&gt;0,"✓ "&amp;Liens!G848,"✗ "&amp;Liens!G848&amp;" (introuvable)"))</f>
        <v/>
      </c>
      <c r="I853" s="35" t="str">
        <f>IF(Liens!H848="","",IF(COUNTIF(Mots!A:A,Liens!H848)&gt;0,"✓ "&amp;Liens!H848,"✗ "&amp;Liens!H848&amp;" (introuvable)"))</f>
        <v/>
      </c>
    </row>
    <row r="854" spans="1:9" x14ac:dyDescent="0.3">
      <c r="A854">
        <f t="shared" si="10"/>
        <v>849</v>
      </c>
      <c r="B854" s="35" t="str">
        <f>IF(Liens!A849="","",IF(COUNTIF(Mots!A:A,Liens!A849)&gt;0,"✓ "&amp;Liens!A849,"✗ "&amp;Liens!A849&amp;" (introuvable)"))</f>
        <v>✓ transparent</v>
      </c>
      <c r="C854" s="35" t="str">
        <f>IF(Liens!B849="","",IF(COUNTIF(Mots!A:A,Liens!B849)&gt;0,"✓ "&amp;Liens!B849,"✗ "&amp;Liens!B849&amp;" (introuvable)"))</f>
        <v>✓ e_verre</v>
      </c>
      <c r="D854" s="35" t="str">
        <f>IF(Liens!C849="","",IF(COUNTIF(Mots!A:A,Liens!C849)&gt;0,"✓ "&amp;Liens!C849,"✗ "&amp;Liens!C849&amp;" (introuvable)"))</f>
        <v>✓ lumiere</v>
      </c>
      <c r="E854" s="35" t="str">
        <f>IF(Liens!D849="","",IF(COUNTIF(Mots!A:A,Liens!D849)&gt;0,"✓ "&amp;Liens!D849,"✗ "&amp;Liens!D849&amp;" (introuvable)"))</f>
        <v>✓ oeil</v>
      </c>
      <c r="F854" s="35" t="str">
        <f>IF(Liens!E849="","",IF(COUNTIF(Mots!A:A,Liens!E849)&gt;0,"✓ "&amp;Liens!E849,"✗ "&amp;Liens!E849&amp;" (introuvable)"))</f>
        <v>✓ v_voir</v>
      </c>
      <c r="G854" s="35" t="str">
        <f>IF(Liens!F849="","",IF(COUNTIF(Mots!A:A,Liens!F849)&gt;0,"✓ "&amp;Liens!F849,"✗ "&amp;Liens!F849&amp;" (introuvable)"))</f>
        <v>✓ air</v>
      </c>
      <c r="H854" s="35" t="str">
        <f>IF(Liens!G849="","",IF(COUNTIF(Mots!A:A,Liens!G849)&gt;0,"✓ "&amp;Liens!G849,"✗ "&amp;Liens!G849&amp;" (introuvable)"))</f>
        <v>✓ verre</v>
      </c>
      <c r="I854" s="35" t="str">
        <f>IF(Liens!H849="","",IF(COUNTIF(Mots!A:A,Liens!H849)&gt;0,"✓ "&amp;Liens!H849,"✗ "&amp;Liens!H849&amp;" (introuvable)"))</f>
        <v/>
      </c>
    </row>
    <row r="855" spans="1:9" x14ac:dyDescent="0.3">
      <c r="A855">
        <f t="shared" si="10"/>
        <v>850</v>
      </c>
      <c r="B855" s="35" t="str">
        <f>IF(Liens!A850="","",IF(COUNTIF(Mots!A:A,Liens!A850)&gt;0,"✓ "&amp;Liens!A850,"✗ "&amp;Liens!A850&amp;" (introuvable)"))</f>
        <v>✓ travail</v>
      </c>
      <c r="C855" s="35" t="str">
        <f>IF(Liens!B850="","",IF(COUNTIF(Mots!A:A,Liens!B850)&gt;0,"✓ "&amp;Liens!B850,"✗ "&amp;Liens!B850&amp;" (introuvable)"))</f>
        <v>✓ v_travailler</v>
      </c>
      <c r="D855" s="35" t="str">
        <f>IF(Liens!C850="","",IF(COUNTIF(Mots!A:A,Liens!C850)&gt;0,"✓ "&amp;Liens!C850,"✗ "&amp;Liens!C850&amp;" (introuvable)"))</f>
        <v>✓ installateur_sanitaire</v>
      </c>
      <c r="E855" s="35" t="str">
        <f>IF(Liens!D850="","",IF(COUNTIF(Mots!A:A,Liens!D850)&gt;0,"✓ "&amp;Liens!D850,"✗ "&amp;Liens!D850&amp;" (introuvable)"))</f>
        <v>✓ maitre</v>
      </c>
      <c r="F855" s="35" t="str">
        <f>IF(Liens!E850="","",IF(COUNTIF(Mots!A:A,Liens!E850)&gt;0,"✓ "&amp;Liens!E850,"✗ "&amp;Liens!E850&amp;" (introuvable)"))</f>
        <v>✓ policier</v>
      </c>
      <c r="G855" s="35" t="str">
        <f>IF(Liens!F850="","",IF(COUNTIF(Mots!A:A,Liens!F850)&gt;0,"✓ "&amp;Liens!F850,"✗ "&amp;Liens!F850&amp;" (introuvable)"))</f>
        <v>✓ charpentier</v>
      </c>
      <c r="H855" s="35" t="str">
        <f>IF(Liens!G850="","",IF(COUNTIF(Mots!A:A,Liens!G850)&gt;0,"✓ "&amp;Liens!G850,"✗ "&amp;Liens!G850&amp;" (introuvable)"))</f>
        <v>✓ mecanicien</v>
      </c>
      <c r="I855" s="35" t="str">
        <f>IF(Liens!H850="","",IF(COUNTIF(Mots!A:A,Liens!H850)&gt;0,"✓ "&amp;Liens!H850,"✗ "&amp;Liens!H850&amp;" (introuvable)"))</f>
        <v>✓ dessinateur</v>
      </c>
    </row>
    <row r="856" spans="1:9" x14ac:dyDescent="0.3">
      <c r="A856">
        <f t="shared" si="10"/>
        <v>851</v>
      </c>
      <c r="B856" s="35" t="str">
        <f>IF(Liens!A851="","",IF(COUNTIF(Mots!A:A,Liens!A851)&gt;0,"✓ "&amp;Liens!A851,"✗ "&amp;Liens!A851&amp;" (introuvable)"))</f>
        <v>✓ tres</v>
      </c>
      <c r="C856" s="35" t="str">
        <f>IF(Liens!B851="","",IF(COUNTIF(Mots!A:A,Liens!B851)&gt;0,"✓ "&amp;Liens!B851,"✗ "&amp;Liens!B851&amp;" (introuvable)"))</f>
        <v>✓ a_chaud_froid</v>
      </c>
      <c r="D856" s="35" t="str">
        <f>IF(Liens!C851="","",IF(COUNTIF(Mots!A:A,Liens!C851)&gt;0,"✓ "&amp;Liens!C851,"✗ "&amp;Liens!C851&amp;" (introuvable)"))</f>
        <v>✓ a_grand_petit</v>
      </c>
      <c r="E856" s="35" t="str">
        <f>IF(Liens!D851="","",IF(COUNTIF(Mots!A:A,Liens!D851)&gt;0,"✓ "&amp;Liens!D851,"✗ "&amp;Liens!D851&amp;" (introuvable)"))</f>
        <v>✓ a_haut_bas</v>
      </c>
      <c r="F856" s="35" t="str">
        <f>IF(Liens!E851="","",IF(COUNTIF(Mots!A:A,Liens!E851)&gt;0,"✓ "&amp;Liens!E851,"✗ "&amp;Liens!E851&amp;" (introuvable)"))</f>
        <v>✓ a_lourd_leger</v>
      </c>
      <c r="G856" s="35" t="str">
        <f>IF(Liens!F851="","",IF(COUNTIF(Mots!A:A,Liens!F851)&gt;0,"✓ "&amp;Liens!F851,"✗ "&amp;Liens!F851&amp;" (introuvable)"))</f>
        <v>✓ a_long_court</v>
      </c>
      <c r="H856" s="35" t="str">
        <f>IF(Liens!G851="","",IF(COUNTIF(Mots!A:A,Liens!G851)&gt;0,"✓ "&amp;Liens!G851,"✗ "&amp;Liens!G851&amp;" (introuvable)"))</f>
        <v>✓ a_bon_mauvais</v>
      </c>
      <c r="I856" s="35" t="str">
        <f>IF(Liens!H851="","",IF(COUNTIF(Mots!A:A,Liens!H851)&gt;0,"✓ "&amp;Liens!H851,"✗ "&amp;Liens!H851&amp;" (introuvable)"))</f>
        <v>✓ a_cher_bon_marche</v>
      </c>
    </row>
    <row r="857" spans="1:9" x14ac:dyDescent="0.3">
      <c r="A857">
        <f t="shared" si="10"/>
        <v>852</v>
      </c>
      <c r="B857" s="35" t="str">
        <f>IF(Liens!A852="","",IF(COUNTIF(Mots!A:A,Liens!A852)&gt;0,"✓ "&amp;Liens!A852,"✗ "&amp;Liens!A852&amp;" (introuvable)"))</f>
        <v>✓ tristesse</v>
      </c>
      <c r="C857" s="35" t="str">
        <f>IF(Liens!B852="","",IF(COUNTIF(Mots!A:A,Liens!B852)&gt;0,"✓ "&amp;Liens!B852,"✗ "&amp;Liens!B852&amp;" (introuvable)"))</f>
        <v>✓ emotion</v>
      </c>
      <c r="D857" s="35" t="str">
        <f>IF(Liens!C852="","",IF(COUNTIF(Mots!A:A,Liens!C852)&gt;0,"✓ "&amp;Liens!C852,"✗ "&amp;Liens!C852&amp;" (introuvable)"))</f>
        <v>✓ peine</v>
      </c>
      <c r="E857" s="35" t="str">
        <f>IF(Liens!D852="","",IF(COUNTIF(Mots!A:A,Liens!D852)&gt;0,"✓ "&amp;Liens!D852,"✗ "&amp;Liens!D852&amp;" (introuvable)"))</f>
        <v>✓ larme</v>
      </c>
      <c r="F857" s="35" t="str">
        <f>IF(Liens!E852="","",IF(COUNTIF(Mots!A:A,Liens!E852)&gt;0,"✓ "&amp;Liens!E852,"✗ "&amp;Liens!E852&amp;" (introuvable)"))</f>
        <v/>
      </c>
      <c r="G857" s="35" t="str">
        <f>IF(Liens!F852="","",IF(COUNTIF(Mots!A:A,Liens!F852)&gt;0,"✓ "&amp;Liens!F852,"✗ "&amp;Liens!F852&amp;" (introuvable)"))</f>
        <v/>
      </c>
      <c r="H857" s="35" t="str">
        <f>IF(Liens!G852="","",IF(COUNTIF(Mots!A:A,Liens!G852)&gt;0,"✓ "&amp;Liens!G852,"✗ "&amp;Liens!G852&amp;" (introuvable)"))</f>
        <v/>
      </c>
      <c r="I857" s="35" t="str">
        <f>IF(Liens!H852="","",IF(COUNTIF(Mots!A:A,Liens!H852)&gt;0,"✓ "&amp;Liens!H852,"✗ "&amp;Liens!H852&amp;" (introuvable)"))</f>
        <v/>
      </c>
    </row>
    <row r="858" spans="1:9" x14ac:dyDescent="0.3">
      <c r="A858">
        <f t="shared" si="10"/>
        <v>853</v>
      </c>
      <c r="B858" s="35" t="str">
        <f>IF(Liens!A853="","",IF(COUNTIF(Mots!A:A,Liens!A853)&gt;0,"✓ "&amp;Liens!A853,"✗ "&amp;Liens!A853&amp;" (introuvable)"))</f>
        <v>✓ trompe</v>
      </c>
      <c r="C858" s="35" t="str">
        <f>IF(Liens!B853="","",IF(COUNTIF(Mots!A:A,Liens!B853)&gt;0,"✓ "&amp;Liens!B853,"✗ "&amp;Liens!B853&amp;" (introuvable)"))</f>
        <v>✓ elephant</v>
      </c>
      <c r="D858" s="35" t="str">
        <f>IF(Liens!C853="","",IF(COUNTIF(Mots!A:A,Liens!C853)&gt;0,"✓ "&amp;Liens!C853,"✗ "&amp;Liens!C853&amp;" (introuvable)"))</f>
        <v>✓ nez</v>
      </c>
      <c r="E858" s="35" t="str">
        <f>IF(Liens!D853="","",IF(COUNTIF(Mots!A:A,Liens!D853)&gt;0,"✓ "&amp;Liens!D853,"✗ "&amp;Liens!D853&amp;" (introuvable)"))</f>
        <v/>
      </c>
      <c r="F858" s="35" t="str">
        <f>IF(Liens!E853="","",IF(COUNTIF(Mots!A:A,Liens!E853)&gt;0,"✓ "&amp;Liens!E853,"✗ "&amp;Liens!E853&amp;" (introuvable)"))</f>
        <v/>
      </c>
      <c r="G858" s="35" t="str">
        <f>IF(Liens!F853="","",IF(COUNTIF(Mots!A:A,Liens!F853)&gt;0,"✓ "&amp;Liens!F853,"✗ "&amp;Liens!F853&amp;" (introuvable)"))</f>
        <v/>
      </c>
      <c r="H858" s="35" t="str">
        <f>IF(Liens!G853="","",IF(COUNTIF(Mots!A:A,Liens!G853)&gt;0,"✓ "&amp;Liens!G853,"✗ "&amp;Liens!G853&amp;" (introuvable)"))</f>
        <v/>
      </c>
      <c r="I858" s="35" t="str">
        <f>IF(Liens!H853="","",IF(COUNTIF(Mots!A:A,Liens!H853)&gt;0,"✓ "&amp;Liens!H853,"✗ "&amp;Liens!H853&amp;" (introuvable)"))</f>
        <v/>
      </c>
    </row>
    <row r="859" spans="1:9" x14ac:dyDescent="0.3">
      <c r="A859">
        <f t="shared" si="10"/>
        <v>854</v>
      </c>
      <c r="B859" s="35" t="str">
        <f>IF(Liens!A854="","",IF(COUNTIF(Mots!A:A,Liens!A854)&gt;0,"✓ "&amp;Liens!A854,"✗ "&amp;Liens!A854&amp;" (introuvable)"))</f>
        <v>✓ tronc_arbre</v>
      </c>
      <c r="C859" s="35" t="str">
        <f>IF(Liens!B854="","",IF(COUNTIF(Mots!A:A,Liens!B854)&gt;0,"✓ "&amp;Liens!B854,"✗ "&amp;Liens!B854&amp;" (introuvable)"))</f>
        <v>✓ arbre</v>
      </c>
      <c r="D859" s="35" t="str">
        <f>IF(Liens!C854="","",IF(COUNTIF(Mots!A:A,Liens!C854)&gt;0,"✓ "&amp;Liens!C854,"✗ "&amp;Liens!C854&amp;" (introuvable)"))</f>
        <v>✓ branche</v>
      </c>
      <c r="E859" s="35" t="str">
        <f>IF(Liens!D854="","",IF(COUNTIF(Mots!A:A,Liens!D854)&gt;0,"✓ "&amp;Liens!D854,"✗ "&amp;Liens!D854&amp;" (introuvable)"))</f>
        <v>✓ bois</v>
      </c>
      <c r="F859" s="35" t="str">
        <f>IF(Liens!E854="","",IF(COUNTIF(Mots!A:A,Liens!E854)&gt;0,"✓ "&amp;Liens!E854,"✗ "&amp;Liens!E854&amp;" (introuvable)"))</f>
        <v>✓ feu</v>
      </c>
      <c r="G859" s="35" t="str">
        <f>IF(Liens!F854="","",IF(COUNTIF(Mots!A:A,Liens!F854)&gt;0,"✓ "&amp;Liens!F854,"✗ "&amp;Liens!F854&amp;" (introuvable)"))</f>
        <v>✓ fourneau_bois</v>
      </c>
      <c r="H859" s="35" t="str">
        <f>IF(Liens!G854="","",IF(COUNTIF(Mots!A:A,Liens!G854)&gt;0,"✓ "&amp;Liens!G854,"✗ "&amp;Liens!G854&amp;" (introuvable)"))</f>
        <v/>
      </c>
      <c r="I859" s="35" t="str">
        <f>IF(Liens!H854="","",IF(COUNTIF(Mots!A:A,Liens!H854)&gt;0,"✓ "&amp;Liens!H854,"✗ "&amp;Liens!H854&amp;" (introuvable)"))</f>
        <v/>
      </c>
    </row>
    <row r="860" spans="1:9" x14ac:dyDescent="0.3">
      <c r="A860">
        <f t="shared" si="10"/>
        <v>855</v>
      </c>
      <c r="B860" s="35" t="str">
        <f>IF(Liens!A855="","",IF(COUNTIF(Mots!A:A,Liens!A855)&gt;0,"✓ "&amp;Liens!A855,"✗ "&amp;Liens!A855&amp;" (introuvable)"))</f>
        <v>✓ trop</v>
      </c>
      <c r="C860" s="35" t="str">
        <f>IF(Liens!B855="","",IF(COUNTIF(Mots!A:A,Liens!B855)&gt;0,"✓ "&amp;Liens!B855,"✗ "&amp;Liens!B855&amp;" (introuvable)"))</f>
        <v>✓ quantite</v>
      </c>
      <c r="D860" s="35" t="str">
        <f>IF(Liens!C855="","",IF(COUNTIF(Mots!A:A,Liens!C855)&gt;0,"✓ "&amp;Liens!C855,"✗ "&amp;Liens!C855&amp;" (introuvable)"))</f>
        <v>✓ a_vide_plein</v>
      </c>
      <c r="E860" s="35" t="str">
        <f>IF(Liens!D855="","",IF(COUNTIF(Mots!A:A,Liens!D855)&gt;0,"✓ "&amp;Liens!D855,"✗ "&amp;Liens!D855&amp;" (introuvable)"))</f>
        <v>✓ assez</v>
      </c>
      <c r="F860" s="35" t="str">
        <f>IF(Liens!E855="","",IF(COUNTIF(Mots!A:A,Liens!E855)&gt;0,"✓ "&amp;Liens!E855,"✗ "&amp;Liens!E855&amp;" (introuvable)"))</f>
        <v/>
      </c>
      <c r="G860" s="35" t="str">
        <f>IF(Liens!F855="","",IF(COUNTIF(Mots!A:A,Liens!F855)&gt;0,"✓ "&amp;Liens!F855,"✗ "&amp;Liens!F855&amp;" (introuvable)"))</f>
        <v/>
      </c>
      <c r="H860" s="35" t="str">
        <f>IF(Liens!G855="","",IF(COUNTIF(Mots!A:A,Liens!G855)&gt;0,"✓ "&amp;Liens!G855,"✗ "&amp;Liens!G855&amp;" (introuvable)"))</f>
        <v/>
      </c>
      <c r="I860" s="35" t="str">
        <f>IF(Liens!H855="","",IF(COUNTIF(Mots!A:A,Liens!H855)&gt;0,"✓ "&amp;Liens!H855,"✗ "&amp;Liens!H855&amp;" (introuvable)"))</f>
        <v/>
      </c>
    </row>
    <row r="861" spans="1:9" x14ac:dyDescent="0.3">
      <c r="A861">
        <f t="shared" si="10"/>
        <v>856</v>
      </c>
      <c r="B861" s="35" t="str">
        <f>IF(Liens!A856="","",IF(COUNTIF(Mots!A:A,Liens!A856)&gt;0,"✓ "&amp;Liens!A856,"✗ "&amp;Liens!A856&amp;" (introuvable)"))</f>
        <v>✓ trottoir</v>
      </c>
      <c r="C861" s="35" t="str">
        <f>IF(Liens!B856="","",IF(COUNTIF(Mots!A:A,Liens!B856)&gt;0,"✓ "&amp;Liens!B856,"✗ "&amp;Liens!B856&amp;" (introuvable)"))</f>
        <v>✓ rue</v>
      </c>
      <c r="D861" s="35" t="str">
        <f>IF(Liens!C856="","",IF(COUNTIF(Mots!A:A,Liens!C856)&gt;0,"✓ "&amp;Liens!C856,"✗ "&amp;Liens!C856&amp;" (introuvable)"))</f>
        <v>✓ v_marcher</v>
      </c>
      <c r="E861" s="35" t="str">
        <f>IF(Liens!D856="","",IF(COUNTIF(Mots!A:A,Liens!D856)&gt;0,"✓ "&amp;Liens!D856,"✗ "&amp;Liens!D856&amp;" (introuvable)"))</f>
        <v>✓ route</v>
      </c>
      <c r="F861" s="35" t="str">
        <f>IF(Liens!E856="","",IF(COUNTIF(Mots!A:A,Liens!E856)&gt;0,"✓ "&amp;Liens!E856,"✗ "&amp;Liens!E856&amp;" (introuvable)"))</f>
        <v>✓ voiture</v>
      </c>
      <c r="G861" s="35" t="str">
        <f>IF(Liens!F856="","",IF(COUNTIF(Mots!A:A,Liens!F856)&gt;0,"✓ "&amp;Liens!F856,"✗ "&amp;Liens!F856&amp;" (introuvable)"))</f>
        <v/>
      </c>
      <c r="H861" s="35" t="str">
        <f>IF(Liens!G856="","",IF(COUNTIF(Mots!A:A,Liens!G856)&gt;0,"✓ "&amp;Liens!G856,"✗ "&amp;Liens!G856&amp;" (introuvable)"))</f>
        <v/>
      </c>
      <c r="I861" s="35" t="str">
        <f>IF(Liens!H856="","",IF(COUNTIF(Mots!A:A,Liens!H856)&gt;0,"✓ "&amp;Liens!H856,"✗ "&amp;Liens!H856&amp;" (introuvable)"))</f>
        <v/>
      </c>
    </row>
    <row r="862" spans="1:9" x14ac:dyDescent="0.3">
      <c r="A862">
        <f t="shared" si="10"/>
        <v>857</v>
      </c>
      <c r="B862" s="35" t="str">
        <f>IF(Liens!A857="","",IF(COUNTIF(Mots!A:A,Liens!A857)&gt;0,"✓ "&amp;Liens!A857,"✗ "&amp;Liens!A857&amp;" (introuvable)"))</f>
        <v>✓ trou</v>
      </c>
      <c r="C862" s="35" t="str">
        <f>IF(Liens!B857="","",IF(COUNTIF(Mots!A:A,Liens!B857)&gt;0,"✓ "&amp;Liens!B857,"✗ "&amp;Liens!B857&amp;" (introuvable)"))</f>
        <v>✓ creux</v>
      </c>
      <c r="D862" s="35" t="str">
        <f>IF(Liens!C857="","",IF(COUNTIF(Mots!A:A,Liens!C857)&gt;0,"✓ "&amp;Liens!C857,"✗ "&amp;Liens!C857&amp;" (introuvable)"))</f>
        <v/>
      </c>
      <c r="E862" s="35" t="str">
        <f>IF(Liens!D857="","",IF(COUNTIF(Mots!A:A,Liens!D857)&gt;0,"✓ "&amp;Liens!D857,"✗ "&amp;Liens!D857&amp;" (introuvable)"))</f>
        <v/>
      </c>
      <c r="F862" s="35" t="str">
        <f>IF(Liens!E857="","",IF(COUNTIF(Mots!A:A,Liens!E857)&gt;0,"✓ "&amp;Liens!E857,"✗ "&amp;Liens!E857&amp;" (introuvable)"))</f>
        <v/>
      </c>
      <c r="G862" s="35" t="str">
        <f>IF(Liens!F857="","",IF(COUNTIF(Mots!A:A,Liens!F857)&gt;0,"✓ "&amp;Liens!F857,"✗ "&amp;Liens!F857&amp;" (introuvable)"))</f>
        <v/>
      </c>
      <c r="H862" s="35" t="str">
        <f>IF(Liens!G857="","",IF(COUNTIF(Mots!A:A,Liens!G857)&gt;0,"✓ "&amp;Liens!G857,"✗ "&amp;Liens!G857&amp;" (introuvable)"))</f>
        <v/>
      </c>
      <c r="I862" s="35" t="str">
        <f>IF(Liens!H857="","",IF(COUNTIF(Mots!A:A,Liens!H857)&gt;0,"✓ "&amp;Liens!H857,"✗ "&amp;Liens!H857&amp;" (introuvable)"))</f>
        <v/>
      </c>
    </row>
    <row r="863" spans="1:9" x14ac:dyDescent="0.3">
      <c r="A863">
        <f t="shared" si="10"/>
        <v>858</v>
      </c>
      <c r="B863" s="35" t="str">
        <f>IF(Liens!A858="","",IF(COUNTIF(Mots!A:A,Liens!A858)&gt;0,"✓ "&amp;Liens!A858,"✗ "&amp;Liens!A858&amp;" (introuvable)"))</f>
        <v>✓ trousseau</v>
      </c>
      <c r="C863" s="35" t="str">
        <f>IF(Liens!B858="","",IF(COUNTIF(Mots!A:A,Liens!B858)&gt;0,"✓ "&amp;Liens!B858,"✗ "&amp;Liens!B858&amp;" (introuvable)"))</f>
        <v>✓ cle</v>
      </c>
      <c r="D863" s="35" t="str">
        <f>IF(Liens!C858="","",IF(COUNTIF(Mots!A:A,Liens!C858)&gt;0,"✓ "&amp;Liens!C858,"✗ "&amp;Liens!C858&amp;" (introuvable)"))</f>
        <v/>
      </c>
      <c r="E863" s="35" t="str">
        <f>IF(Liens!D858="","",IF(COUNTIF(Mots!A:A,Liens!D858)&gt;0,"✓ "&amp;Liens!D858,"✗ "&amp;Liens!D858&amp;" (introuvable)"))</f>
        <v/>
      </c>
      <c r="F863" s="35" t="str">
        <f>IF(Liens!E858="","",IF(COUNTIF(Mots!A:A,Liens!E858)&gt;0,"✓ "&amp;Liens!E858,"✗ "&amp;Liens!E858&amp;" (introuvable)"))</f>
        <v/>
      </c>
      <c r="G863" s="35" t="str">
        <f>IF(Liens!F858="","",IF(COUNTIF(Mots!A:A,Liens!F858)&gt;0,"✓ "&amp;Liens!F858,"✗ "&amp;Liens!F858&amp;" (introuvable)"))</f>
        <v/>
      </c>
      <c r="H863" s="35" t="str">
        <f>IF(Liens!G858="","",IF(COUNTIF(Mots!A:A,Liens!G858)&gt;0,"✓ "&amp;Liens!G858,"✗ "&amp;Liens!G858&amp;" (introuvable)"))</f>
        <v/>
      </c>
      <c r="I863" s="35" t="str">
        <f>IF(Liens!H858="","",IF(COUNTIF(Mots!A:A,Liens!H858)&gt;0,"✓ "&amp;Liens!H858,"✗ "&amp;Liens!H858&amp;" (introuvable)"))</f>
        <v/>
      </c>
    </row>
    <row r="864" spans="1:9" x14ac:dyDescent="0.3">
      <c r="A864">
        <f t="shared" si="10"/>
        <v>859</v>
      </c>
      <c r="B864" s="35" t="str">
        <f>IF(Liens!A859="","",IF(COUNTIF(Mots!A:A,Liens!A859)&gt;0,"✓ "&amp;Liens!A859,"✗ "&amp;Liens!A859&amp;" (introuvable)"))</f>
        <v>✓ tube</v>
      </c>
      <c r="C864" s="35" t="str">
        <f>IF(Liens!B859="","",IF(COUNTIF(Mots!A:A,Liens!B859)&gt;0,"✓ "&amp;Liens!B859,"✗ "&amp;Liens!B859&amp;" (introuvable)"))</f>
        <v>✓ liquide</v>
      </c>
      <c r="D864" s="35" t="str">
        <f>IF(Liens!C859="","",IF(COUNTIF(Mots!A:A,Liens!C859)&gt;0,"✓ "&amp;Liens!C859,"✗ "&amp;Liens!C859&amp;" (introuvable)"))</f>
        <v>✓ creux</v>
      </c>
      <c r="E864" s="35" t="str">
        <f>IF(Liens!D859="","",IF(COUNTIF(Mots!A:A,Liens!D859)&gt;0,"✓ "&amp;Liens!D859,"✗ "&amp;Liens!D859&amp;" (introuvable)"))</f>
        <v>✓ tuyau</v>
      </c>
      <c r="F864" s="35" t="str">
        <f>IF(Liens!E859="","",IF(COUNTIF(Mots!A:A,Liens!E859)&gt;0,"✓ "&amp;Liens!E859,"✗ "&amp;Liens!E859&amp;" (introuvable)"))</f>
        <v/>
      </c>
      <c r="G864" s="35" t="str">
        <f>IF(Liens!F859="","",IF(COUNTIF(Mots!A:A,Liens!F859)&gt;0,"✓ "&amp;Liens!F859,"✗ "&amp;Liens!F859&amp;" (introuvable)"))</f>
        <v/>
      </c>
      <c r="H864" s="35" t="str">
        <f>IF(Liens!G859="","",IF(COUNTIF(Mots!A:A,Liens!G859)&gt;0,"✓ "&amp;Liens!G859,"✗ "&amp;Liens!G859&amp;" (introuvable)"))</f>
        <v/>
      </c>
      <c r="I864" s="35" t="str">
        <f>IF(Liens!H859="","",IF(COUNTIF(Mots!A:A,Liens!H859)&gt;0,"✓ "&amp;Liens!H859,"✗ "&amp;Liens!H859&amp;" (introuvable)"))</f>
        <v/>
      </c>
    </row>
    <row r="865" spans="1:9" x14ac:dyDescent="0.3">
      <c r="A865">
        <f t="shared" si="10"/>
        <v>860</v>
      </c>
      <c r="B865" s="35" t="str">
        <f>IF(Liens!A860="","",IF(COUNTIF(Mots!A:A,Liens!A860)&gt;0,"✓ "&amp;Liens!A860,"✗ "&amp;Liens!A860&amp;" (introuvable)"))</f>
        <v>✓ tuyau</v>
      </c>
      <c r="C865" s="35" t="str">
        <f>IF(Liens!B860="","",IF(COUNTIF(Mots!A:A,Liens!B860)&gt;0,"✓ "&amp;Liens!B860,"✗ "&amp;Liens!B860&amp;" (introuvable)"))</f>
        <v>✓ liquide</v>
      </c>
      <c r="D865" s="35" t="str">
        <f>IF(Liens!C860="","",IF(COUNTIF(Mots!A:A,Liens!C860)&gt;0,"✓ "&amp;Liens!C860,"✗ "&amp;Liens!C860&amp;" (introuvable)"))</f>
        <v>✓ creux</v>
      </c>
      <c r="E865" s="35" t="str">
        <f>IF(Liens!D860="","",IF(COUNTIF(Mots!A:A,Liens!D860)&gt;0,"✓ "&amp;Liens!D860,"✗ "&amp;Liens!D860&amp;" (introuvable)"))</f>
        <v>✓ tube</v>
      </c>
      <c r="F865" s="35" t="str">
        <f>IF(Liens!E860="","",IF(COUNTIF(Mots!A:A,Liens!E860)&gt;0,"✓ "&amp;Liens!E860,"✗ "&amp;Liens!E860&amp;" (introuvable)"))</f>
        <v/>
      </c>
      <c r="G865" s="35" t="str">
        <f>IF(Liens!F860="","",IF(COUNTIF(Mots!A:A,Liens!F860)&gt;0,"✓ "&amp;Liens!F860,"✗ "&amp;Liens!F860&amp;" (introuvable)"))</f>
        <v/>
      </c>
      <c r="H865" s="35" t="str">
        <f>IF(Liens!G860="","",IF(COUNTIF(Mots!A:A,Liens!G860)&gt;0,"✓ "&amp;Liens!G860,"✗ "&amp;Liens!G860&amp;" (introuvable)"))</f>
        <v/>
      </c>
      <c r="I865" s="35" t="str">
        <f>IF(Liens!H860="","",IF(COUNTIF(Mots!A:A,Liens!H860)&gt;0,"✓ "&amp;Liens!H860,"✗ "&amp;Liens!H860&amp;" (introuvable)"))</f>
        <v/>
      </c>
    </row>
    <row r="866" spans="1:9" x14ac:dyDescent="0.3">
      <c r="A866">
        <f t="shared" si="10"/>
        <v>861</v>
      </c>
      <c r="B866" s="35" t="str">
        <f>IF(Liens!A861="","",IF(COUNTIF(Mots!A:A,Liens!A861)&gt;0,"✓ "&amp;Liens!A861,"✗ "&amp;Liens!A861&amp;" (introuvable)"))</f>
        <v>✓ type</v>
      </c>
      <c r="C866" s="35" t="str">
        <f>IF(Liens!B861="","",IF(COUNTIF(Mots!A:A,Liens!B861)&gt;0,"✓ "&amp;Liens!B861,"✗ "&amp;Liens!B861&amp;" (introuvable)"))</f>
        <v>✓ sorte</v>
      </c>
      <c r="D866" s="35" t="str">
        <f>IF(Liens!C861="","",IF(COUNTIF(Mots!A:A,Liens!C861)&gt;0,"✓ "&amp;Liens!C861,"✗ "&amp;Liens!C861&amp;" (introuvable)"))</f>
        <v>✓ categorie</v>
      </c>
      <c r="E866" s="35" t="str">
        <f>IF(Liens!D861="","",IF(COUNTIF(Mots!A:A,Liens!D861)&gt;0,"✓ "&amp;Liens!D861,"✗ "&amp;Liens!D861&amp;" (introuvable)"))</f>
        <v/>
      </c>
      <c r="F866" s="35" t="str">
        <f>IF(Liens!E861="","",IF(COUNTIF(Mots!A:A,Liens!E861)&gt;0,"✓ "&amp;Liens!E861,"✗ "&amp;Liens!E861&amp;" (introuvable)"))</f>
        <v/>
      </c>
      <c r="G866" s="35" t="str">
        <f>IF(Liens!F861="","",IF(COUNTIF(Mots!A:A,Liens!F861)&gt;0,"✓ "&amp;Liens!F861,"✗ "&amp;Liens!F861&amp;" (introuvable)"))</f>
        <v/>
      </c>
      <c r="H866" s="35" t="str">
        <f>IF(Liens!G861="","",IF(COUNTIF(Mots!A:A,Liens!G861)&gt;0,"✓ "&amp;Liens!G861,"✗ "&amp;Liens!G861&amp;" (introuvable)"))</f>
        <v/>
      </c>
      <c r="I866" s="35" t="str">
        <f>IF(Liens!H861="","",IF(COUNTIF(Mots!A:A,Liens!H861)&gt;0,"✓ "&amp;Liens!H861,"✗ "&amp;Liens!H861&amp;" (introuvable)"))</f>
        <v/>
      </c>
    </row>
    <row r="867" spans="1:9" x14ac:dyDescent="0.3">
      <c r="A867">
        <f t="shared" si="10"/>
        <v>862</v>
      </c>
      <c r="B867" s="35" t="str">
        <f>IF(Liens!A862="","",IF(COUNTIF(Mots!A:A,Liens!A862)&gt;0,"✓ "&amp;Liens!A862,"✗ "&amp;Liens!A862&amp;" (introuvable)"))</f>
        <v>✓ uniforme</v>
      </c>
      <c r="C867" s="35" t="str">
        <f>IF(Liens!B862="","",IF(COUNTIF(Mots!A:A,Liens!B862)&gt;0,"✓ "&amp;Liens!B862,"✗ "&amp;Liens!B862&amp;" (introuvable)"))</f>
        <v>✓ vetement</v>
      </c>
      <c r="D867" s="35" t="str">
        <f>IF(Liens!C862="","",IF(COUNTIF(Mots!A:A,Liens!C862)&gt;0,"✓ "&amp;Liens!C862,"✗ "&amp;Liens!C862&amp;" (introuvable)"))</f>
        <v>✓ membre</v>
      </c>
      <c r="E867" s="35" t="str">
        <f>IF(Liens!D862="","",IF(COUNTIF(Mots!A:A,Liens!D862)&gt;0,"✓ "&amp;Liens!D862,"✗ "&amp;Liens!D862&amp;" (introuvable)"))</f>
        <v>✓ groupe</v>
      </c>
      <c r="F867" s="35" t="str">
        <f>IF(Liens!E862="","",IF(COUNTIF(Mots!A:A,Liens!E862)&gt;0,"✓ "&amp;Liens!E862,"✗ "&amp;Liens!E862&amp;" (introuvable)"))</f>
        <v/>
      </c>
      <c r="G867" s="35" t="str">
        <f>IF(Liens!F862="","",IF(COUNTIF(Mots!A:A,Liens!F862)&gt;0,"✓ "&amp;Liens!F862,"✗ "&amp;Liens!F862&amp;" (introuvable)"))</f>
        <v/>
      </c>
      <c r="H867" s="35" t="str">
        <f>IF(Liens!G862="","",IF(COUNTIF(Mots!A:A,Liens!G862)&gt;0,"✓ "&amp;Liens!G862,"✗ "&amp;Liens!G862&amp;" (introuvable)"))</f>
        <v/>
      </c>
      <c r="I867" s="35" t="str">
        <f>IF(Liens!H862="","",IF(COUNTIF(Mots!A:A,Liens!H862)&gt;0,"✓ "&amp;Liens!H862,"✗ "&amp;Liens!H862&amp;" (introuvable)"))</f>
        <v/>
      </c>
    </row>
    <row r="868" spans="1:9" x14ac:dyDescent="0.3">
      <c r="A868">
        <f t="shared" si="10"/>
        <v>863</v>
      </c>
      <c r="B868" s="35" t="str">
        <f>IF(Liens!A863="","",IF(COUNTIF(Mots!A:A,Liens!A863)&gt;0,"✓ "&amp;Liens!A863,"✗ "&amp;Liens!A863&amp;" (introuvable)"))</f>
        <v>✓ unite</v>
      </c>
      <c r="C868" s="35" t="str">
        <f>IF(Liens!B863="","",IF(COUNTIF(Mots!A:A,Liens!B863)&gt;0,"✓ "&amp;Liens!B863,"✗ "&amp;Liens!B863&amp;" (introuvable)"))</f>
        <v>✓ quantite</v>
      </c>
      <c r="D868" s="35" t="str">
        <f>IF(Liens!C863="","",IF(COUNTIF(Mots!A:A,Liens!C863)&gt;0,"✓ "&amp;Liens!C863,"✗ "&amp;Liens!C863&amp;" (introuvable)"))</f>
        <v>✓ pot_ou_mesure</v>
      </c>
      <c r="E868" s="35" t="str">
        <f>IF(Liens!D863="","",IF(COUNTIF(Mots!A:A,Liens!D863)&gt;0,"✓ "&amp;Liens!D863,"✗ "&amp;Liens!D863&amp;" (introuvable)"))</f>
        <v>✓ nombre</v>
      </c>
      <c r="F868" s="35" t="str">
        <f>IF(Liens!E863="","",IF(COUNTIF(Mots!A:A,Liens!E863)&gt;0,"✓ "&amp;Liens!E863,"✗ "&amp;Liens!E863&amp;" (introuvable)"))</f>
        <v/>
      </c>
      <c r="G868" s="35" t="str">
        <f>IF(Liens!F863="","",IF(COUNTIF(Mots!A:A,Liens!F863)&gt;0,"✓ "&amp;Liens!F863,"✗ "&amp;Liens!F863&amp;" (introuvable)"))</f>
        <v/>
      </c>
      <c r="H868" s="35" t="str">
        <f>IF(Liens!G863="","",IF(COUNTIF(Mots!A:A,Liens!G863)&gt;0,"✓ "&amp;Liens!G863,"✗ "&amp;Liens!G863&amp;" (introuvable)"))</f>
        <v/>
      </c>
      <c r="I868" s="35" t="str">
        <f>IF(Liens!H863="","",IF(COUNTIF(Mots!A:A,Liens!H863)&gt;0,"✓ "&amp;Liens!H863,"✗ "&amp;Liens!H863&amp;" (introuvable)"))</f>
        <v/>
      </c>
    </row>
    <row r="869" spans="1:9" x14ac:dyDescent="0.3">
      <c r="A869">
        <f t="shared" si="10"/>
        <v>864</v>
      </c>
      <c r="B869" s="35" t="str">
        <f>IF(Liens!A864="","",IF(COUNTIF(Mots!A:A,Liens!A864)&gt;0,"✓ "&amp;Liens!A864,"✗ "&amp;Liens!A864&amp;" (introuvable)"))</f>
        <v>✓ usage</v>
      </c>
      <c r="C869" s="35" t="str">
        <f>IF(Liens!B864="","",IF(COUNTIF(Mots!A:A,Liens!B864)&gt;0,"✓ "&amp;Liens!B864,"✗ "&amp;Liens!B864&amp;" (introuvable)"))</f>
        <v/>
      </c>
      <c r="D869" s="35" t="str">
        <f>IF(Liens!C864="","",IF(COUNTIF(Mots!A:A,Liens!C864)&gt;0,"✓ "&amp;Liens!C864,"✗ "&amp;Liens!C864&amp;" (introuvable)"))</f>
        <v/>
      </c>
      <c r="E869" s="35" t="str">
        <f>IF(Liens!D864="","",IF(COUNTIF(Mots!A:A,Liens!D864)&gt;0,"✓ "&amp;Liens!D864,"✗ "&amp;Liens!D864&amp;" (introuvable)"))</f>
        <v/>
      </c>
      <c r="F869" s="35" t="str">
        <f>IF(Liens!E864="","",IF(COUNTIF(Mots!A:A,Liens!E864)&gt;0,"✓ "&amp;Liens!E864,"✗ "&amp;Liens!E864&amp;" (introuvable)"))</f>
        <v/>
      </c>
      <c r="G869" s="35" t="str">
        <f>IF(Liens!F864="","",IF(COUNTIF(Mots!A:A,Liens!F864)&gt;0,"✓ "&amp;Liens!F864,"✗ "&amp;Liens!F864&amp;" (introuvable)"))</f>
        <v/>
      </c>
      <c r="H869" s="35" t="str">
        <f>IF(Liens!G864="","",IF(COUNTIF(Mots!A:A,Liens!G864)&gt;0,"✓ "&amp;Liens!G864,"✗ "&amp;Liens!G864&amp;" (introuvable)"))</f>
        <v/>
      </c>
      <c r="I869" s="35" t="str">
        <f>IF(Liens!H864="","",IF(COUNTIF(Mots!A:A,Liens!H864)&gt;0,"✓ "&amp;Liens!H864,"✗ "&amp;Liens!H864&amp;" (introuvable)"))</f>
        <v/>
      </c>
    </row>
    <row r="870" spans="1:9" x14ac:dyDescent="0.3">
      <c r="A870">
        <f t="shared" si="10"/>
        <v>865</v>
      </c>
      <c r="B870" s="35" t="str">
        <f>IF(Liens!A865="","",IF(COUNTIF(Mots!A:A,Liens!A865)&gt;0,"✓ "&amp;Liens!A865,"✗ "&amp;Liens!A865&amp;" (introuvable)"))</f>
        <v>✓ usine</v>
      </c>
      <c r="C870" s="35" t="str">
        <f>IF(Liens!B865="","",IF(COUNTIF(Mots!A:A,Liens!B865)&gt;0,"✓ "&amp;Liens!B865,"✗ "&amp;Liens!B865&amp;" (introuvable)"))</f>
        <v>✓ batiment</v>
      </c>
      <c r="D870" s="35" t="str">
        <f>IF(Liens!C865="","",IF(COUNTIF(Mots!A:A,Liens!C865)&gt;0,"✓ "&amp;Liens!C865,"✗ "&amp;Liens!C865&amp;" (introuvable)"))</f>
        <v>✓ voiture</v>
      </c>
      <c r="E870" s="35" t="str">
        <f>IF(Liens!D865="","",IF(COUNTIF(Mots!A:A,Liens!D865)&gt;0,"✓ "&amp;Liens!D865,"✗ "&amp;Liens!D865&amp;" (introuvable)"))</f>
        <v/>
      </c>
      <c r="F870" s="35" t="str">
        <f>IF(Liens!E865="","",IF(COUNTIF(Mots!A:A,Liens!E865)&gt;0,"✓ "&amp;Liens!E865,"✗ "&amp;Liens!E865&amp;" (introuvable)"))</f>
        <v/>
      </c>
      <c r="G870" s="35" t="str">
        <f>IF(Liens!F865="","",IF(COUNTIF(Mots!A:A,Liens!F865)&gt;0,"✓ "&amp;Liens!F865,"✗ "&amp;Liens!F865&amp;" (introuvable)"))</f>
        <v/>
      </c>
      <c r="H870" s="35" t="str">
        <f>IF(Liens!G865="","",IF(COUNTIF(Mots!A:A,Liens!G865)&gt;0,"✓ "&amp;Liens!G865,"✗ "&amp;Liens!G865&amp;" (introuvable)"))</f>
        <v/>
      </c>
      <c r="I870" s="35" t="str">
        <f>IF(Liens!H865="","",IF(COUNTIF(Mots!A:A,Liens!H865)&gt;0,"✓ "&amp;Liens!H865,"✗ "&amp;Liens!H865&amp;" (introuvable)"))</f>
        <v/>
      </c>
    </row>
    <row r="871" spans="1:9" x14ac:dyDescent="0.3">
      <c r="A871">
        <f t="shared" si="10"/>
        <v>866</v>
      </c>
      <c r="B871" s="35" t="str">
        <f>IF(Liens!A866="","",IF(COUNTIF(Mots!A:A,Liens!A866)&gt;0,"✓ "&amp;Liens!A866,"✗ "&amp;Liens!A866&amp;" (introuvable)"))</f>
        <v>✓ v_accepter</v>
      </c>
      <c r="C871" s="35" t="str">
        <f>IF(Liens!B866="","",IF(COUNTIF(Mots!A:A,Liens!B866)&gt;0,"✓ "&amp;Liens!B866,"✗ "&amp;Liens!B866&amp;" (introuvable)"))</f>
        <v>✓ accord</v>
      </c>
      <c r="D871" s="35" t="str">
        <f>IF(Liens!C866="","",IF(COUNTIF(Mots!A:A,Liens!C866)&gt;0,"✓ "&amp;Liens!C866,"✗ "&amp;Liens!C866&amp;" (introuvable)"))</f>
        <v>✓ v_choisir</v>
      </c>
      <c r="E871" s="35" t="str">
        <f>IF(Liens!D866="","",IF(COUNTIF(Mots!A:A,Liens!D866)&gt;0,"✓ "&amp;Liens!D866,"✗ "&amp;Liens!D866&amp;" (introuvable)"))</f>
        <v>✓ v_decider</v>
      </c>
      <c r="F871" s="35" t="str">
        <f>IF(Liens!E866="","",IF(COUNTIF(Mots!A:A,Liens!E866)&gt;0,"✓ "&amp;Liens!E866,"✗ "&amp;Liens!E866&amp;" (introuvable)"))</f>
        <v>✓ a_equitable</v>
      </c>
      <c r="G871" s="35" t="str">
        <f>IF(Liens!F866="","",IF(COUNTIF(Mots!A:A,Liens!F866)&gt;0,"✓ "&amp;Liens!F866,"✗ "&amp;Liens!F866&amp;" (introuvable)"))</f>
        <v>✓ bien</v>
      </c>
      <c r="H871" s="35" t="str">
        <f>IF(Liens!G866="","",IF(COUNTIF(Mots!A:A,Liens!G866)&gt;0,"✓ "&amp;Liens!G866,"✗ "&amp;Liens!G866&amp;" (introuvable)"))</f>
        <v>✓ carte_debit</v>
      </c>
      <c r="I871" s="35" t="str">
        <f>IF(Liens!H866="","",IF(COUNTIF(Mots!A:A,Liens!H866)&gt;0,"✓ "&amp;Liens!H866,"✗ "&amp;Liens!H866&amp;" (introuvable)"))</f>
        <v/>
      </c>
    </row>
    <row r="872" spans="1:9" x14ac:dyDescent="0.3">
      <c r="A872">
        <f t="shared" si="10"/>
        <v>867</v>
      </c>
      <c r="B872" s="35" t="str">
        <f>IF(Liens!A867="","",IF(COUNTIF(Mots!A:A,Liens!A867)&gt;0,"✓ "&amp;Liens!A867,"✗ "&amp;Liens!A867&amp;" (introuvable)"))</f>
        <v>✓ v_acheter</v>
      </c>
      <c r="C872" s="35" t="str">
        <f>IF(Liens!B867="","",IF(COUNTIF(Mots!A:A,Liens!B867)&gt;0,"✓ "&amp;Liens!B867,"✗ "&amp;Liens!B867&amp;" (introuvable)"))</f>
        <v>✓ nourriture</v>
      </c>
      <c r="D872" s="35" t="str">
        <f>IF(Liens!C867="","",IF(COUNTIF(Mots!A:A,Liens!C867)&gt;0,"✓ "&amp;Liens!C867,"✗ "&amp;Liens!C867&amp;" (introuvable)"))</f>
        <v>✓ chose</v>
      </c>
      <c r="E872" s="35" t="str">
        <f>IF(Liens!D867="","",IF(COUNTIF(Mots!A:A,Liens!D867)&gt;0,"✓ "&amp;Liens!D867,"✗ "&amp;Liens!D867&amp;" (introuvable)"))</f>
        <v>✓ carte_debit</v>
      </c>
      <c r="F872" s="35" t="str">
        <f>IF(Liens!E867="","",IF(COUNTIF(Mots!A:A,Liens!E867)&gt;0,"✓ "&amp;Liens!E867,"✗ "&amp;Liens!E867&amp;" (introuvable)"))</f>
        <v>✓ argent</v>
      </c>
      <c r="G872" s="35" t="str">
        <f>IF(Liens!F867="","",IF(COUNTIF(Mots!A:A,Liens!F867)&gt;0,"✓ "&amp;Liens!F867,"✗ "&amp;Liens!F867&amp;" (introuvable)"))</f>
        <v>✓ magasin</v>
      </c>
      <c r="H872" s="35" t="str">
        <f>IF(Liens!G867="","",IF(COUNTIF(Mots!A:A,Liens!G867)&gt;0,"✓ "&amp;Liens!G867,"✗ "&amp;Liens!G867&amp;" (introuvable)"))</f>
        <v>✓ pharmacie</v>
      </c>
      <c r="I872" s="35" t="str">
        <f>IF(Liens!H867="","",IF(COUNTIF(Mots!A:A,Liens!H867)&gt;0,"✓ "&amp;Liens!H867,"✗ "&amp;Liens!H867&amp;" (introuvable)"))</f>
        <v>✓ boutique</v>
      </c>
    </row>
    <row r="873" spans="1:9" x14ac:dyDescent="0.3">
      <c r="A873">
        <f t="shared" si="10"/>
        <v>868</v>
      </c>
      <c r="B873" s="35" t="str">
        <f>IF(Liens!A868="","",IF(COUNTIF(Mots!A:A,Liens!A868)&gt;0,"✓ "&amp;Liens!A868,"✗ "&amp;Liens!A868&amp;" (introuvable)"))</f>
        <v>✓ v_aider</v>
      </c>
      <c r="C873" s="35" t="str">
        <f>IF(Liens!B868="","",IF(COUNTIF(Mots!A:A,Liens!B868)&gt;0,"✓ "&amp;Liens!B868,"✗ "&amp;Liens!B868&amp;" (introuvable)"))</f>
        <v>✓ aide</v>
      </c>
      <c r="D873" s="35" t="str">
        <f>IF(Liens!C868="","",IF(COUNTIF(Mots!A:A,Liens!C868)&gt;0,"✓ "&amp;Liens!C868,"✗ "&amp;Liens!C868&amp;" (introuvable)"))</f>
        <v>✓ personne</v>
      </c>
      <c r="E873" s="35" t="str">
        <f>IF(Liens!D868="","",IF(COUNTIF(Mots!A:A,Liens!D868)&gt;0,"✓ "&amp;Liens!D868,"✗ "&amp;Liens!D868&amp;" (introuvable)"))</f>
        <v>✓ a_heureux</v>
      </c>
      <c r="F873" s="35" t="str">
        <f>IF(Liens!E868="","",IF(COUNTIF(Mots!A:A,Liens!E868)&gt;0,"✓ "&amp;Liens!E868,"✗ "&amp;Liens!E868&amp;" (introuvable)"))</f>
        <v>✓ joie</v>
      </c>
      <c r="G873" s="35" t="str">
        <f>IF(Liens!F868="","",IF(COUNTIF(Mots!A:A,Liens!F868)&gt;0,"✓ "&amp;Liens!F868,"✗ "&amp;Liens!F868&amp;" (introuvable)"))</f>
        <v/>
      </c>
      <c r="H873" s="35" t="str">
        <f>IF(Liens!G868="","",IF(COUNTIF(Mots!A:A,Liens!G868)&gt;0,"✓ "&amp;Liens!G868,"✗ "&amp;Liens!G868&amp;" (introuvable)"))</f>
        <v/>
      </c>
      <c r="I873" s="35" t="str">
        <f>IF(Liens!H868="","",IF(COUNTIF(Mots!A:A,Liens!H868)&gt;0,"✓ "&amp;Liens!H868,"✗ "&amp;Liens!H868&amp;" (introuvable)"))</f>
        <v/>
      </c>
    </row>
    <row r="874" spans="1:9" x14ac:dyDescent="0.3">
      <c r="A874">
        <f t="shared" si="10"/>
        <v>869</v>
      </c>
      <c r="B874" s="35" t="str">
        <f>IF(Liens!A869="","",IF(COUNTIF(Mots!A:A,Liens!A869)&gt;0,"✓ "&amp;Liens!A869,"✗ "&amp;Liens!A869&amp;" (introuvable)"))</f>
        <v>✓ v_aimer</v>
      </c>
      <c r="C874" s="35" t="str">
        <f>IF(Liens!B869="","",IF(COUNTIF(Mots!A:A,Liens!B869)&gt;0,"✓ "&amp;Liens!B869,"✗ "&amp;Liens!B869&amp;" (introuvable)"))</f>
        <v>✓ personne</v>
      </c>
      <c r="D874" s="35" t="str">
        <f>IF(Liens!C869="","",IF(COUNTIF(Mots!A:A,Liens!C869)&gt;0,"✓ "&amp;Liens!C869,"✗ "&amp;Liens!C869&amp;" (introuvable)"))</f>
        <v>✓ mes_enfants</v>
      </c>
      <c r="E874" s="35" t="str">
        <f>IF(Liens!D869="","",IF(COUNTIF(Mots!A:A,Liens!D869)&gt;0,"✓ "&amp;Liens!D869,"✗ "&amp;Liens!D869&amp;" (introuvable)"))</f>
        <v>✓ mari_et_femme</v>
      </c>
      <c r="F874" s="35" t="str">
        <f>IF(Liens!E869="","",IF(COUNTIF(Mots!A:A,Liens!E869)&gt;0,"✓ "&amp;Liens!E869,"✗ "&amp;Liens!E869&amp;" (introuvable)"))</f>
        <v>✓ mere</v>
      </c>
      <c r="G874" s="35" t="str">
        <f>IF(Liens!F869="","",IF(COUNTIF(Mots!A:A,Liens!F869)&gt;0,"✓ "&amp;Liens!F869,"✗ "&amp;Liens!F869&amp;" (introuvable)"))</f>
        <v>✓ pere</v>
      </c>
      <c r="H874" s="35" t="str">
        <f>IF(Liens!G869="","",IF(COUNTIF(Mots!A:A,Liens!G869)&gt;0,"✓ "&amp;Liens!G869,"✗ "&amp;Liens!G869&amp;" (introuvable)"))</f>
        <v>✓ a_heureux</v>
      </c>
      <c r="I874" s="35" t="str">
        <f>IF(Liens!H869="","",IF(COUNTIF(Mots!A:A,Liens!H869)&gt;0,"✓ "&amp;Liens!H869,"✗ "&amp;Liens!H869&amp;" (introuvable)"))</f>
        <v/>
      </c>
    </row>
    <row r="875" spans="1:9" x14ac:dyDescent="0.3">
      <c r="A875">
        <f t="shared" si="10"/>
        <v>870</v>
      </c>
      <c r="B875" s="35" t="str">
        <f>IF(Liens!A870="","",IF(COUNTIF(Mots!A:A,Liens!A870)&gt;0,"✓ "&amp;Liens!A870,"✗ "&amp;Liens!A870&amp;" (introuvable)"))</f>
        <v>✓ v_aller</v>
      </c>
      <c r="C875" s="35" t="str">
        <f>IF(Liens!B870="","",IF(COUNTIF(Mots!A:A,Liens!B870)&gt;0,"✓ "&amp;Liens!B870,"✗ "&amp;Liens!B870&amp;" (introuvable)"))</f>
        <v>✓ endroit</v>
      </c>
      <c r="D875" s="35" t="str">
        <f>IF(Liens!C870="","",IF(COUNTIF(Mots!A:A,Liens!C870)&gt;0,"✓ "&amp;Liens!C870,"✗ "&amp;Liens!C870&amp;" (introuvable)"))</f>
        <v>✓ voiture</v>
      </c>
      <c r="E875" s="35" t="str">
        <f>IF(Liens!D870="","",IF(COUNTIF(Mots!A:A,Liens!D870)&gt;0,"✓ "&amp;Liens!D870,"✗ "&amp;Liens!D870&amp;" (introuvable)"))</f>
        <v>✓ pied</v>
      </c>
      <c r="F875" s="35" t="str">
        <f>IF(Liens!E870="","",IF(COUNTIF(Mots!A:A,Liens!E870)&gt;0,"✓ "&amp;Liens!E870,"✗ "&amp;Liens!E870&amp;" (introuvable)"))</f>
        <v>✓ velo</v>
      </c>
      <c r="G875" s="35" t="str">
        <f>IF(Liens!F870="","",IF(COUNTIF(Mots!A:A,Liens!F870)&gt;0,"✓ "&amp;Liens!F870,"✗ "&amp;Liens!F870&amp;" (introuvable)"))</f>
        <v>✓ train</v>
      </c>
      <c r="H875" s="35" t="str">
        <f>IF(Liens!G870="","",IF(COUNTIF(Mots!A:A,Liens!G870)&gt;0,"✓ "&amp;Liens!G870,"✗ "&amp;Liens!G870&amp;" (introuvable)"))</f>
        <v/>
      </c>
      <c r="I875" s="35" t="str">
        <f>IF(Liens!H870="","",IF(COUNTIF(Mots!A:A,Liens!H870)&gt;0,"✓ "&amp;Liens!H870,"✗ "&amp;Liens!H870&amp;" (introuvable)"))</f>
        <v/>
      </c>
    </row>
    <row r="876" spans="1:9" x14ac:dyDescent="0.3">
      <c r="A876">
        <f t="shared" si="10"/>
        <v>871</v>
      </c>
      <c r="B876" s="35" t="str">
        <f>IF(Liens!A871="","",IF(COUNTIF(Mots!A:A,Liens!A871)&gt;0,"✓ "&amp;Liens!A871,"✗ "&amp;Liens!A871&amp;" (introuvable)"))</f>
        <v>✓ v_annoncer</v>
      </c>
      <c r="C876" s="35" t="str">
        <f>IF(Liens!B871="","",IF(COUNTIF(Mots!A:A,Liens!B871)&gt;0,"✓ "&amp;Liens!B871,"✗ "&amp;Liens!B871&amp;" (introuvable)"))</f>
        <v>✓ information</v>
      </c>
      <c r="D876" s="35" t="str">
        <f>IF(Liens!C871="","",IF(COUNTIF(Mots!A:A,Liens!C871)&gt;0,"✓ "&amp;Liens!C871,"✗ "&amp;Liens!C871&amp;" (introuvable)"))</f>
        <v>✓ nouvelle</v>
      </c>
      <c r="E876" s="35" t="str">
        <f>IF(Liens!D871="","",IF(COUNTIF(Mots!A:A,Liens!D871)&gt;0,"✓ "&amp;Liens!D871,"✗ "&amp;Liens!D871&amp;" (introuvable)"))</f>
        <v>✓ v_dire</v>
      </c>
      <c r="F876" s="35" t="str">
        <f>IF(Liens!E871="","",IF(COUNTIF(Mots!A:A,Liens!E871)&gt;0,"✓ "&amp;Liens!E871,"✗ "&amp;Liens!E871&amp;" (introuvable)"))</f>
        <v>✓ v_ecouter</v>
      </c>
      <c r="G876" s="35" t="str">
        <f>IF(Liens!F871="","",IF(COUNTIF(Mots!A:A,Liens!F871)&gt;0,"✓ "&amp;Liens!F871,"✗ "&amp;Liens!F871&amp;" (introuvable)"))</f>
        <v>✓ v_entendre</v>
      </c>
      <c r="H876" s="35" t="str">
        <f>IF(Liens!G871="","",IF(COUNTIF(Mots!A:A,Liens!G871)&gt;0,"✓ "&amp;Liens!G871,"✗ "&amp;Liens!G871&amp;" (introuvable)"))</f>
        <v>✓ consigne</v>
      </c>
      <c r="I876" s="35" t="str">
        <f>IF(Liens!H871="","",IF(COUNTIF(Mots!A:A,Liens!H871)&gt;0,"✓ "&amp;Liens!H871,"✗ "&amp;Liens!H871&amp;" (introuvable)"))</f>
        <v/>
      </c>
    </row>
    <row r="877" spans="1:9" x14ac:dyDescent="0.3">
      <c r="A877">
        <f t="shared" si="10"/>
        <v>872</v>
      </c>
      <c r="B877" s="35" t="str">
        <f>IF(Liens!A872="","",IF(COUNTIF(Mots!A:A,Liens!A872)&gt;0,"✓ "&amp;Liens!A872,"✗ "&amp;Liens!A872&amp;" (introuvable)"))</f>
        <v>✓ v_appeler</v>
      </c>
      <c r="C877" s="35" t="str">
        <f>IF(Liens!B872="","",IF(COUNTIF(Mots!A:A,Liens!B872)&gt;0,"✓ "&amp;Liens!B872,"✗ "&amp;Liens!B872&amp;" (introuvable)"))</f>
        <v>✓ voix</v>
      </c>
      <c r="D877" s="35" t="str">
        <f>IF(Liens!C872="","",IF(COUNTIF(Mots!A:A,Liens!C872)&gt;0,"✓ "&amp;Liens!C872,"✗ "&amp;Liens!C872&amp;" (introuvable)"))</f>
        <v>✓ son</v>
      </c>
      <c r="E877" s="35" t="str">
        <f>IF(Liens!D872="","",IF(COUNTIF(Mots!A:A,Liens!D872)&gt;0,"✓ "&amp;Liens!D872,"✗ "&amp;Liens!D872&amp;" (introuvable)"))</f>
        <v>✓ oreille</v>
      </c>
      <c r="F877" s="35" t="str">
        <f>IF(Liens!E872="","",IF(COUNTIF(Mots!A:A,Liens!E872)&gt;0,"✓ "&amp;Liens!E872,"✗ "&amp;Liens!E872&amp;" (introuvable)"))</f>
        <v>✓ v_parler</v>
      </c>
      <c r="G877" s="35" t="str">
        <f>IF(Liens!F872="","",IF(COUNTIF(Mots!A:A,Liens!F872)&gt;0,"✓ "&amp;Liens!F872,"✗ "&amp;Liens!F872&amp;" (introuvable)"))</f>
        <v>✓ v_crier</v>
      </c>
      <c r="H877" s="35" t="str">
        <f>IF(Liens!G872="","",IF(COUNTIF(Mots!A:A,Liens!G872)&gt;0,"✓ "&amp;Liens!G872,"✗ "&amp;Liens!G872&amp;" (introuvable)"))</f>
        <v>✓ smartphone</v>
      </c>
      <c r="I877" s="35" t="str">
        <f>IF(Liens!H872="","",IF(COUNTIF(Mots!A:A,Liens!H872)&gt;0,"✓ "&amp;Liens!H872,"✗ "&amp;Liens!H872&amp;" (introuvable)"))</f>
        <v/>
      </c>
    </row>
    <row r="878" spans="1:9" x14ac:dyDescent="0.3">
      <c r="A878">
        <f t="shared" si="10"/>
        <v>873</v>
      </c>
      <c r="B878" s="35" t="str">
        <f>IF(Liens!A873="","",IF(COUNTIF(Mots!A:A,Liens!A873)&gt;0,"✓ "&amp;Liens!A873,"✗ "&amp;Liens!A873&amp;" (introuvable)"))</f>
        <v>✓ v_apprendre</v>
      </c>
      <c r="C878" s="35" t="str">
        <f>IF(Liens!B873="","",IF(COUNTIF(Mots!A:A,Liens!B873)&gt;0,"✓ "&amp;Liens!B873,"✗ "&amp;Liens!B873&amp;" (introuvable)"))</f>
        <v>✓ tete</v>
      </c>
      <c r="D878" s="35" t="str">
        <f>IF(Liens!C873="","",IF(COUNTIF(Mots!A:A,Liens!C873)&gt;0,"✓ "&amp;Liens!C873,"✗ "&amp;Liens!C873&amp;" (introuvable)"))</f>
        <v>✓ cerveau</v>
      </c>
      <c r="E878" s="35" t="str">
        <f>IF(Liens!D873="","",IF(COUNTIF(Mots!A:A,Liens!D873)&gt;0,"✓ "&amp;Liens!D873,"✗ "&amp;Liens!D873&amp;" (introuvable)"))</f>
        <v>✓ v_lire</v>
      </c>
      <c r="F878" s="35" t="str">
        <f>IF(Liens!E873="","",IF(COUNTIF(Mots!A:A,Liens!E873)&gt;0,"✓ "&amp;Liens!E873,"✗ "&amp;Liens!E873&amp;" (introuvable)"))</f>
        <v>✓ v_ecrire</v>
      </c>
      <c r="G878" s="35" t="str">
        <f>IF(Liens!F873="","",IF(COUNTIF(Mots!A:A,Liens!F873)&gt;0,"✓ "&amp;Liens!F873,"✗ "&amp;Liens!F873&amp;" (introuvable)"))</f>
        <v>✓ v_jouer</v>
      </c>
      <c r="H878" s="35" t="str">
        <f>IF(Liens!G873="","",IF(COUNTIF(Mots!A:A,Liens!G873)&gt;0,"✓ "&amp;Liens!G873,"✗ "&amp;Liens!G873&amp;" (introuvable)"))</f>
        <v>✓ v_nager</v>
      </c>
      <c r="I878" s="35" t="str">
        <f>IF(Liens!H873="","",IF(COUNTIF(Mots!A:A,Liens!H873)&gt;0,"✓ "&amp;Liens!H873,"✗ "&amp;Liens!H873&amp;" (introuvable)"))</f>
        <v>✓ v_conduire</v>
      </c>
    </row>
    <row r="879" spans="1:9" x14ac:dyDescent="0.3">
      <c r="A879">
        <f t="shared" si="10"/>
        <v>874</v>
      </c>
      <c r="B879" s="35" t="str">
        <f>IF(Liens!A874="","",IF(COUNTIF(Mots!A:A,Liens!A874)&gt;0,"✓ "&amp;Liens!A874,"✗ "&amp;Liens!A874&amp;" (introuvable)"))</f>
        <v>✓ v_attendre</v>
      </c>
      <c r="C879" s="35" t="str">
        <f>IF(Liens!B874="","",IF(COUNTIF(Mots!A:A,Liens!B874)&gt;0,"✓ "&amp;Liens!B874,"✗ "&amp;Liens!B874&amp;" (introuvable)"))</f>
        <v>✓ patience</v>
      </c>
      <c r="D879" s="35" t="str">
        <f>IF(Liens!C874="","",IF(COUNTIF(Mots!A:A,Liens!C874)&gt;0,"✓ "&amp;Liens!C874,"✗ "&amp;Liens!C874&amp;" (introuvable)"))</f>
        <v>✓ heure</v>
      </c>
      <c r="E879" s="35" t="str">
        <f>IF(Liens!D874="","",IF(COUNTIF(Mots!A:A,Liens!D874)&gt;0,"✓ "&amp;Liens!D874,"✗ "&amp;Liens!D874&amp;" (introuvable)"))</f>
        <v>✓ minute</v>
      </c>
      <c r="F879" s="35" t="str">
        <f>IF(Liens!E874="","",IF(COUNTIF(Mots!A:A,Liens!E874)&gt;0,"✓ "&amp;Liens!E874,"✗ "&amp;Liens!E874&amp;" (introuvable)"))</f>
        <v>✓ medecin</v>
      </c>
      <c r="G879" s="35" t="str">
        <f>IF(Liens!F874="","",IF(COUNTIF(Mots!A:A,Liens!F874)&gt;0,"✓ "&amp;Liens!F874,"✗ "&amp;Liens!F874&amp;" (introuvable)"))</f>
        <v>✓ hopital_sion</v>
      </c>
      <c r="H879" s="35" t="str">
        <f>IF(Liens!G874="","",IF(COUNTIF(Mots!A:A,Liens!G874)&gt;0,"✓ "&amp;Liens!G874,"✗ "&amp;Liens!G874&amp;" (introuvable)"))</f>
        <v>✓ hopital_sierre</v>
      </c>
      <c r="I879" s="35" t="str">
        <f>IF(Liens!H874="","",IF(COUNTIF(Mots!A:A,Liens!H874)&gt;0,"✓ "&amp;Liens!H874,"✗ "&amp;Liens!H874&amp;" (introuvable)"))</f>
        <v/>
      </c>
    </row>
    <row r="880" spans="1:9" x14ac:dyDescent="0.3">
      <c r="A880">
        <f t="shared" si="10"/>
        <v>875</v>
      </c>
      <c r="B880" s="35" t="str">
        <f>IF(Liens!A875="","",IF(COUNTIF(Mots!A:A,Liens!A875)&gt;0,"✓ "&amp;Liens!A875,"✗ "&amp;Liens!A875&amp;" (introuvable)"))</f>
        <v>✓ v_avoir</v>
      </c>
      <c r="C880" s="35" t="str">
        <f>IF(Liens!B875="","",IF(COUNTIF(Mots!A:A,Liens!B875)&gt;0,"✓ "&amp;Liens!B875,"✗ "&amp;Liens!B875&amp;" (introuvable)"))</f>
        <v>✓ chose</v>
      </c>
      <c r="D880" s="35" t="str">
        <f>IF(Liens!C875="","",IF(COUNTIF(Mots!A:A,Liens!C875)&gt;0,"✓ "&amp;Liens!C875,"✗ "&amp;Liens!C875&amp;" (introuvable)"))</f>
        <v>✓ affaires</v>
      </c>
      <c r="E880" s="35" t="str">
        <f>IF(Liens!D875="","",IF(COUNTIF(Mots!A:A,Liens!D875)&gt;0,"✓ "&amp;Liens!D875,"✗ "&amp;Liens!D875&amp;" (introuvable)"))</f>
        <v>✓ chalet</v>
      </c>
      <c r="F880" s="35" t="str">
        <f>IF(Liens!E875="","",IF(COUNTIF(Mots!A:A,Liens!E875)&gt;0,"✓ "&amp;Liens!E875,"✗ "&amp;Liens!E875&amp;" (introuvable)"))</f>
        <v>✓ appartement</v>
      </c>
      <c r="G880" s="35" t="str">
        <f>IF(Liens!F875="","",IF(COUNTIF(Mots!A:A,Liens!F875)&gt;0,"✓ "&amp;Liens!F875,"✗ "&amp;Liens!F875&amp;" (introuvable)"))</f>
        <v>✓ dacia_duster</v>
      </c>
      <c r="H880" s="35" t="str">
        <f>IF(Liens!G875="","",IF(COUNTIF(Mots!A:A,Liens!G875)&gt;0,"✓ "&amp;Liens!G875,"✗ "&amp;Liens!G875&amp;" (introuvable)"))</f>
        <v>✓ mes_enfants</v>
      </c>
      <c r="I880" s="35" t="str">
        <f>IF(Liens!H875="","",IF(COUNTIF(Mots!A:A,Liens!H875)&gt;0,"✓ "&amp;Liens!H875,"✗ "&amp;Liens!H875&amp;" (introuvable)"))</f>
        <v>✓ famille</v>
      </c>
    </row>
    <row r="881" spans="1:9" x14ac:dyDescent="0.3">
      <c r="A881">
        <f t="shared" si="10"/>
        <v>876</v>
      </c>
      <c r="B881" s="35" t="str">
        <f>IF(Liens!A876="","",IF(COUNTIF(Mots!A:A,Liens!A876)&gt;0,"✓ "&amp;Liens!A876,"✗ "&amp;Liens!A876&amp;" (introuvable)"))</f>
        <v>✓ v_avouer</v>
      </c>
      <c r="C881" s="35" t="str">
        <f>IF(Liens!B876="","",IF(COUNTIF(Mots!A:A,Liens!B876)&gt;0,"✓ "&amp;Liens!B876,"✗ "&amp;Liens!B876&amp;" (introuvable)"))</f>
        <v>✓ v_dire</v>
      </c>
      <c r="D881" s="35" t="str">
        <f>IF(Liens!C876="","",IF(COUNTIF(Mots!A:A,Liens!C876)&gt;0,"✓ "&amp;Liens!C876,"✗ "&amp;Liens!C876&amp;" (introuvable)"))</f>
        <v>✓ verite</v>
      </c>
      <c r="E881" s="35" t="str">
        <f>IF(Liens!D876="","",IF(COUNTIF(Mots!A:A,Liens!D876)&gt;0,"✓ "&amp;Liens!D876,"✗ "&amp;Liens!D876&amp;" (introuvable)"))</f>
        <v>✓ v_mentir</v>
      </c>
      <c r="F881" s="35" t="str">
        <f>IF(Liens!E876="","",IF(COUNTIF(Mots!A:A,Liens!E876)&gt;0,"✓ "&amp;Liens!E876,"✗ "&amp;Liens!E876&amp;" (introuvable)"))</f>
        <v>✓ a_casse</v>
      </c>
      <c r="G881" s="35" t="str">
        <f>IF(Liens!F876="","",IF(COUNTIF(Mots!A:A,Liens!F876)&gt;0,"✓ "&amp;Liens!F876,"✗ "&amp;Liens!F876&amp;" (introuvable)"))</f>
        <v/>
      </c>
      <c r="H881" s="35" t="str">
        <f>IF(Liens!G876="","",IF(COUNTIF(Mots!A:A,Liens!G876)&gt;0,"✓ "&amp;Liens!G876,"✗ "&amp;Liens!G876&amp;" (introuvable)"))</f>
        <v/>
      </c>
      <c r="I881" s="35" t="str">
        <f>IF(Liens!H876="","",IF(COUNTIF(Mots!A:A,Liens!H876)&gt;0,"✓ "&amp;Liens!H876,"✗ "&amp;Liens!H876&amp;" (introuvable)"))</f>
        <v/>
      </c>
    </row>
    <row r="882" spans="1:9" x14ac:dyDescent="0.3">
      <c r="A882">
        <f t="shared" si="10"/>
        <v>877</v>
      </c>
      <c r="B882" s="35" t="str">
        <f>IF(Liens!A877="","",IF(COUNTIF(Mots!A:A,Liens!A877)&gt;0,"✓ "&amp;Liens!A877,"✗ "&amp;Liens!A877&amp;" (introuvable)"))</f>
        <v>✓ v_boire</v>
      </c>
      <c r="C882" s="35" t="str">
        <f>IF(Liens!B877="","",IF(COUNTIF(Mots!A:A,Liens!B877)&gt;0,"✓ "&amp;Liens!B877,"✗ "&amp;Liens!B877&amp;" (introuvable)"))</f>
        <v>✓ liquide</v>
      </c>
      <c r="D882" s="35" t="str">
        <f>IF(Liens!C877="","",IF(COUNTIF(Mots!A:A,Liens!C877)&gt;0,"✓ "&amp;Liens!C877,"✗ "&amp;Liens!C877&amp;" (introuvable)"))</f>
        <v>✓ bouche</v>
      </c>
      <c r="E882" s="35" t="str">
        <f>IF(Liens!D877="","",IF(COUNTIF(Mots!A:A,Liens!D877)&gt;0,"✓ "&amp;Liens!D877,"✗ "&amp;Liens!D877&amp;" (introuvable)"))</f>
        <v>✓ gorge</v>
      </c>
      <c r="F882" s="35" t="str">
        <f>IF(Liens!E877="","",IF(COUNTIF(Mots!A:A,Liens!E877)&gt;0,"✓ "&amp;Liens!E877,"✗ "&amp;Liens!E877&amp;" (introuvable)"))</f>
        <v>✓ estomac</v>
      </c>
      <c r="G882" s="35" t="str">
        <f>IF(Liens!F877="","",IF(COUNTIF(Mots!A:A,Liens!F877)&gt;0,"✓ "&amp;Liens!F877,"✗ "&amp;Liens!F877&amp;" (introuvable)"))</f>
        <v>✓ eau</v>
      </c>
      <c r="H882" s="35" t="str">
        <f>IF(Liens!G877="","",IF(COUNTIF(Mots!A:A,Liens!G877)&gt;0,"✓ "&amp;Liens!G877,"✗ "&amp;Liens!G877&amp;" (introuvable)"))</f>
        <v>✓ coca_cola</v>
      </c>
      <c r="I882" s="35" t="str">
        <f>IF(Liens!H877="","",IF(COUNTIF(Mots!A:A,Liens!H877)&gt;0,"✓ "&amp;Liens!H877,"✗ "&amp;Liens!H877&amp;" (introuvable)"))</f>
        <v>✓ jus_dorange</v>
      </c>
    </row>
    <row r="883" spans="1:9" x14ac:dyDescent="0.3">
      <c r="A883">
        <f t="shared" si="10"/>
        <v>878</v>
      </c>
      <c r="B883" s="35" t="str">
        <f>IF(Liens!A878="","",IF(COUNTIF(Mots!A:A,Liens!A878)&gt;0,"✓ "&amp;Liens!A878,"✗ "&amp;Liens!A878&amp;" (introuvable)"))</f>
        <v>✓ v_cacher</v>
      </c>
      <c r="C883" s="35" t="str">
        <f>IF(Liens!B878="","",IF(COUNTIF(Mots!A:A,Liens!B878)&gt;0,"✓ "&amp;Liens!B878,"✗ "&amp;Liens!B878&amp;" (introuvable)"))</f>
        <v>✓ v_chercher</v>
      </c>
      <c r="D883" s="35" t="str">
        <f>IF(Liens!C878="","",IF(COUNTIF(Mots!A:A,Liens!C878)&gt;0,"✓ "&amp;Liens!C878,"✗ "&amp;Liens!C878&amp;" (introuvable)"))</f>
        <v>✓ v_trouver</v>
      </c>
      <c r="E883" s="35" t="str">
        <f>IF(Liens!D878="","",IF(COUNTIF(Mots!A:A,Liens!D878)&gt;0,"✓ "&amp;Liens!D878,"✗ "&amp;Liens!D878&amp;" (introuvable)"))</f>
        <v/>
      </c>
      <c r="F883" s="35" t="str">
        <f>IF(Liens!E878="","",IF(COUNTIF(Mots!A:A,Liens!E878)&gt;0,"✓ "&amp;Liens!E878,"✗ "&amp;Liens!E878&amp;" (introuvable)"))</f>
        <v/>
      </c>
      <c r="G883" s="35" t="str">
        <f>IF(Liens!F878="","",IF(COUNTIF(Mots!A:A,Liens!F878)&gt;0,"✓ "&amp;Liens!F878,"✗ "&amp;Liens!F878&amp;" (introuvable)"))</f>
        <v/>
      </c>
      <c r="H883" s="35" t="str">
        <f>IF(Liens!G878="","",IF(COUNTIF(Mots!A:A,Liens!G878)&gt;0,"✓ "&amp;Liens!G878,"✗ "&amp;Liens!G878&amp;" (introuvable)"))</f>
        <v/>
      </c>
      <c r="I883" s="35" t="str">
        <f>IF(Liens!H878="","",IF(COUNTIF(Mots!A:A,Liens!H878)&gt;0,"✓ "&amp;Liens!H878,"✗ "&amp;Liens!H878&amp;" (introuvable)"))</f>
        <v/>
      </c>
    </row>
    <row r="884" spans="1:9" x14ac:dyDescent="0.3">
      <c r="A884">
        <f t="shared" si="10"/>
        <v>879</v>
      </c>
      <c r="B884" s="35" t="str">
        <f>IF(Liens!A879="","",IF(COUNTIF(Mots!A:A,Liens!A879)&gt;0,"✓ "&amp;Liens!A879,"✗ "&amp;Liens!A879&amp;" (introuvable)"))</f>
        <v>✓ v_casser</v>
      </c>
      <c r="C884" s="35" t="str">
        <f>IF(Liens!B879="","",IF(COUNTIF(Mots!A:A,Liens!B879)&gt;0,"✓ "&amp;Liens!B879,"✗ "&amp;Liens!B879&amp;" (introuvable)"))</f>
        <v>✓ a_casse</v>
      </c>
      <c r="D884" s="35" t="str">
        <f>IF(Liens!C879="","",IF(COUNTIF(Mots!A:A,Liens!C879)&gt;0,"✓ "&amp;Liens!C879,"✗ "&amp;Liens!C879&amp;" (introuvable)"))</f>
        <v>✓ v_reparer</v>
      </c>
      <c r="E884" s="35" t="str">
        <f>IF(Liens!D879="","",IF(COUNTIF(Mots!A:A,Liens!D879)&gt;0,"✓ "&amp;Liens!D879,"✗ "&amp;Liens!D879&amp;" (introuvable)"))</f>
        <v>✓ mecanicien</v>
      </c>
      <c r="F884" s="35" t="str">
        <f>IF(Liens!E879="","",IF(COUNTIF(Mots!A:A,Liens!E879)&gt;0,"✓ "&amp;Liens!E879,"✗ "&amp;Liens!E879&amp;" (introuvable)"))</f>
        <v>✓ reparation</v>
      </c>
      <c r="G884" s="35" t="str">
        <f>IF(Liens!F879="","",IF(COUNTIF(Mots!A:A,Liens!F879)&gt;0,"✓ "&amp;Liens!F879,"✗ "&amp;Liens!F879&amp;" (introuvable)"))</f>
        <v>✓ v_changer</v>
      </c>
      <c r="H884" s="35" t="str">
        <f>IF(Liens!G879="","",IF(COUNTIF(Mots!A:A,Liens!G879)&gt;0,"✓ "&amp;Liens!G879,"✗ "&amp;Liens!G879&amp;" (introuvable)"))</f>
        <v/>
      </c>
      <c r="I884" s="35" t="str">
        <f>IF(Liens!H879="","",IF(COUNTIF(Mots!A:A,Liens!H879)&gt;0,"✓ "&amp;Liens!H879,"✗ "&amp;Liens!H879&amp;" (introuvable)"))</f>
        <v/>
      </c>
    </row>
    <row r="885" spans="1:9" x14ac:dyDescent="0.3">
      <c r="A885">
        <f t="shared" si="10"/>
        <v>880</v>
      </c>
      <c r="B885" s="35" t="str">
        <f>IF(Liens!A880="","",IF(COUNTIF(Mots!A:A,Liens!A880)&gt;0,"✓ "&amp;Liens!A880,"✗ "&amp;Liens!A880&amp;" (introuvable)"))</f>
        <v>✓ v_changer</v>
      </c>
      <c r="C885" s="35" t="str">
        <f>IF(Liens!B880="","",IF(COUNTIF(Mots!A:A,Liens!B880)&gt;0,"✓ "&amp;Liens!B880,"✗ "&amp;Liens!B880&amp;" (introuvable)"))</f>
        <v>✓ ampoule</v>
      </c>
      <c r="D885" s="35" t="str">
        <f>IF(Liens!C880="","",IF(COUNTIF(Mots!A:A,Liens!C880)&gt;0,"✓ "&amp;Liens!C880,"✗ "&amp;Liens!C880&amp;" (introuvable)"))</f>
        <v>✓ pneu</v>
      </c>
      <c r="E885" s="35" t="str">
        <f>IF(Liens!D880="","",IF(COUNTIF(Mots!A:A,Liens!D880)&gt;0,"✓ "&amp;Liens!D880,"✗ "&amp;Liens!D880&amp;" (introuvable)"))</f>
        <v>✓ linge</v>
      </c>
      <c r="F885" s="35" t="str">
        <f>IF(Liens!E880="","",IF(COUNTIF(Mots!A:A,Liens!E880)&gt;0,"✓ "&amp;Liens!E880,"✗ "&amp;Liens!E880&amp;" (introuvable)"))</f>
        <v>✓ lit</v>
      </c>
      <c r="G885" s="35" t="str">
        <f>IF(Liens!F880="","",IF(COUNTIF(Mots!A:A,Liens!F880)&gt;0,"✓ "&amp;Liens!F880,"✗ "&amp;Liens!F880&amp;" (introuvable)"))</f>
        <v>✓ bas</v>
      </c>
      <c r="H885" s="35" t="str">
        <f>IF(Liens!G880="","",IF(COUNTIF(Mots!A:A,Liens!G880)&gt;0,"✓ "&amp;Liens!G880,"✗ "&amp;Liens!G880&amp;" (introuvable)"))</f>
        <v>✓ pantalon</v>
      </c>
      <c r="I885" s="35" t="str">
        <f>IF(Liens!H880="","",IF(COUNTIF(Mots!A:A,Liens!H880)&gt;0,"✓ "&amp;Liens!H880,"✗ "&amp;Liens!H880&amp;" (introuvable)"))</f>
        <v>✓ chemise</v>
      </c>
    </row>
    <row r="886" spans="1:9" x14ac:dyDescent="0.3">
      <c r="A886">
        <f t="shared" si="10"/>
        <v>881</v>
      </c>
      <c r="B886" s="35" t="str">
        <f>IF(Liens!A881="","",IF(COUNTIF(Mots!A:A,Liens!A881)&gt;0,"✓ "&amp;Liens!A881,"✗ "&amp;Liens!A881&amp;" (introuvable)"))</f>
        <v>✓ v_chanter</v>
      </c>
      <c r="C886" s="35" t="str">
        <f>IF(Liens!B881="","",IF(COUNTIF(Mots!A:A,Liens!B881)&gt;0,"✓ "&amp;Liens!B881,"✗ "&amp;Liens!B881&amp;" (introuvable)"))</f>
        <v>✓ voix</v>
      </c>
      <c r="D886" s="35" t="str">
        <f>IF(Liens!C881="","",IF(COUNTIF(Mots!A:A,Liens!C881)&gt;0,"✓ "&amp;Liens!C881,"✗ "&amp;Liens!C881&amp;" (introuvable)"))</f>
        <v>✓ bouche</v>
      </c>
      <c r="E886" s="35" t="str">
        <f>IF(Liens!D881="","",IF(COUNTIF(Mots!A:A,Liens!D881)&gt;0,"✓ "&amp;Liens!D881,"✗ "&amp;Liens!D881&amp;" (introuvable)"))</f>
        <v>✓ oreille</v>
      </c>
      <c r="F886" s="35" t="str">
        <f>IF(Liens!E881="","",IF(COUNTIF(Mots!A:A,Liens!E881)&gt;0,"✓ "&amp;Liens!E881,"✗ "&amp;Liens!E881&amp;" (introuvable)"))</f>
        <v>✓ v_ecouter</v>
      </c>
      <c r="G886" s="35" t="str">
        <f>IF(Liens!F881="","",IF(COUNTIF(Mots!A:A,Liens!F881)&gt;0,"✓ "&amp;Liens!F881,"✗ "&amp;Liens!F881&amp;" (introuvable)"))</f>
        <v>✓ souffle</v>
      </c>
      <c r="H886" s="35" t="str">
        <f>IF(Liens!G881="","",IF(COUNTIF(Mots!A:A,Liens!G881)&gt;0,"✓ "&amp;Liens!G881,"✗ "&amp;Liens!G881&amp;" (introuvable)"))</f>
        <v>✓ rythme</v>
      </c>
      <c r="I886" s="35" t="str">
        <f>IF(Liens!H881="","",IF(COUNTIF(Mots!A:A,Liens!H881)&gt;0,"✓ "&amp;Liens!H881,"✗ "&amp;Liens!H881&amp;" (introuvable)"))</f>
        <v>✓ chorale</v>
      </c>
    </row>
    <row r="887" spans="1:9" x14ac:dyDescent="0.3">
      <c r="A887">
        <f t="shared" si="10"/>
        <v>882</v>
      </c>
      <c r="B887" s="35" t="str">
        <f>IF(Liens!A882="","",IF(COUNTIF(Mots!A:A,Liens!A882)&gt;0,"✓ "&amp;Liens!A882,"✗ "&amp;Liens!A882&amp;" (introuvable)"))</f>
        <v>✓ v_chercher</v>
      </c>
      <c r="C887" s="35" t="str">
        <f>IF(Liens!B882="","",IF(COUNTIF(Mots!A:A,Liens!B882)&gt;0,"✓ "&amp;Liens!B882,"✗ "&amp;Liens!B882&amp;" (introuvable)"))</f>
        <v>✓ personne</v>
      </c>
      <c r="D887" s="35" t="str">
        <f>IF(Liens!C882="","",IF(COUNTIF(Mots!A:A,Liens!C882)&gt;0,"✓ "&amp;Liens!C882,"✗ "&amp;Liens!C882&amp;" (introuvable)"))</f>
        <v>✓ chose</v>
      </c>
      <c r="E887" s="35" t="str">
        <f>IF(Liens!D882="","",IF(COUNTIF(Mots!A:A,Liens!D882)&gt;0,"✓ "&amp;Liens!D882,"✗ "&amp;Liens!D882&amp;" (introuvable)"))</f>
        <v>✓ v_regarder</v>
      </c>
      <c r="F887" s="35" t="str">
        <f>IF(Liens!E882="","",IF(COUNTIF(Mots!A:A,Liens!E882)&gt;0,"✓ "&amp;Liens!E882,"✗ "&amp;Liens!E882&amp;" (introuvable)"))</f>
        <v>✓ v_trouver</v>
      </c>
      <c r="G887" s="35" t="str">
        <f>IF(Liens!F882="","",IF(COUNTIF(Mots!A:A,Liens!F882)&gt;0,"✓ "&amp;Liens!F882,"✗ "&amp;Liens!F882&amp;" (introuvable)"))</f>
        <v/>
      </c>
      <c r="H887" s="35" t="str">
        <f>IF(Liens!G882="","",IF(COUNTIF(Mots!A:A,Liens!G882)&gt;0,"✓ "&amp;Liens!G882,"✗ "&amp;Liens!G882&amp;" (introuvable)"))</f>
        <v/>
      </c>
      <c r="I887" s="35" t="str">
        <f>IF(Liens!H882="","",IF(COUNTIF(Mots!A:A,Liens!H882)&gt;0,"✓ "&amp;Liens!H882,"✗ "&amp;Liens!H882&amp;" (introuvable)"))</f>
        <v/>
      </c>
    </row>
    <row r="888" spans="1:9" x14ac:dyDescent="0.3">
      <c r="A888">
        <f t="shared" si="10"/>
        <v>883</v>
      </c>
      <c r="B888" s="35" t="str">
        <f>IF(Liens!A883="","",IF(COUNTIF(Mots!A:A,Liens!A883)&gt;0,"✓ "&amp;Liens!A883,"✗ "&amp;Liens!A883&amp;" (introuvable)"))</f>
        <v>✓ v_choisir</v>
      </c>
      <c r="C888" s="35" t="str">
        <f>IF(Liens!B883="","",IF(COUNTIF(Mots!A:A,Liens!B883)&gt;0,"✓ "&amp;Liens!B883,"✗ "&amp;Liens!B883&amp;" (introuvable)"))</f>
        <v>✓ v_pouvoir</v>
      </c>
      <c r="D888" s="35" t="str">
        <f>IF(Liens!C883="","",IF(COUNTIF(Mots!A:A,Liens!C883)&gt;0,"✓ "&amp;Liens!C883,"✗ "&amp;Liens!C883&amp;" (introuvable)"))</f>
        <v>✓ possibilite</v>
      </c>
      <c r="E888" s="35" t="str">
        <f>IF(Liens!D883="","",IF(COUNTIF(Mots!A:A,Liens!D883)&gt;0,"✓ "&amp;Liens!D883,"✗ "&amp;Liens!D883&amp;" (introuvable)"))</f>
        <v>✓ souhait</v>
      </c>
      <c r="F888" s="35" t="str">
        <f>IF(Liens!E883="","",IF(COUNTIF(Mots!A:A,Liens!E883)&gt;0,"✓ "&amp;Liens!E883,"✗ "&amp;Liens!E883&amp;" (introuvable)"))</f>
        <v>✓ desir</v>
      </c>
      <c r="G888" s="35" t="str">
        <f>IF(Liens!F883="","",IF(COUNTIF(Mots!A:A,Liens!F883)&gt;0,"✓ "&amp;Liens!F883,"✗ "&amp;Liens!F883&amp;" (introuvable)"))</f>
        <v>✓ v_vouloir</v>
      </c>
      <c r="H888" s="35" t="str">
        <f>IF(Liens!G883="","",IF(COUNTIF(Mots!A:A,Liens!G883)&gt;0,"✓ "&amp;Liens!G883,"✗ "&amp;Liens!G883&amp;" (introuvable)"))</f>
        <v/>
      </c>
      <c r="I888" s="35" t="str">
        <f>IF(Liens!H883="","",IF(COUNTIF(Mots!A:A,Liens!H883)&gt;0,"✓ "&amp;Liens!H883,"✗ "&amp;Liens!H883&amp;" (introuvable)"))</f>
        <v/>
      </c>
    </row>
    <row r="889" spans="1:9" x14ac:dyDescent="0.3">
      <c r="A889">
        <f t="shared" si="10"/>
        <v>884</v>
      </c>
      <c r="B889" s="35" t="str">
        <f>IF(Liens!A884="","",IF(COUNTIF(Mots!A:A,Liens!A884)&gt;0,"✓ "&amp;Liens!A884,"✗ "&amp;Liens!A884&amp;" (introuvable)"))</f>
        <v>✓ v_chuchoter</v>
      </c>
      <c r="C889" s="35" t="str">
        <f>IF(Liens!B884="","",IF(COUNTIF(Mots!A:A,Liens!B884)&gt;0,"✓ "&amp;Liens!B884,"✗ "&amp;Liens!B884&amp;" (introuvable)"))</f>
        <v>✓ voix</v>
      </c>
      <c r="D889" s="35" t="str">
        <f>IF(Liens!C884="","",IF(COUNTIF(Mots!A:A,Liens!C884)&gt;0,"✓ "&amp;Liens!C884,"✗ "&amp;Liens!C884&amp;" (introuvable)"))</f>
        <v>✓ v_parler</v>
      </c>
      <c r="E889" s="35" t="str">
        <f>IF(Liens!D884="","",IF(COUNTIF(Mots!A:A,Liens!D884)&gt;0,"✓ "&amp;Liens!D884,"✗ "&amp;Liens!D884&amp;" (introuvable)"))</f>
        <v>✓ doucement</v>
      </c>
      <c r="F889" s="35" t="str">
        <f>IF(Liens!E884="","",IF(COUNTIF(Mots!A:A,Liens!E884)&gt;0,"✓ "&amp;Liens!E884,"✗ "&amp;Liens!E884&amp;" (introuvable)"))</f>
        <v>✓ v_ecouter</v>
      </c>
      <c r="G889" s="35" t="str">
        <f>IF(Liens!F884="","",IF(COUNTIF(Mots!A:A,Liens!F884)&gt;0,"✓ "&amp;Liens!F884,"✗ "&amp;Liens!F884&amp;" (introuvable)"))</f>
        <v>✓ secret</v>
      </c>
      <c r="H889" s="35" t="str">
        <f>IF(Liens!G884="","",IF(COUNTIF(Mots!A:A,Liens!G884)&gt;0,"✓ "&amp;Liens!G884,"✗ "&amp;Liens!G884&amp;" (introuvable)"))</f>
        <v/>
      </c>
      <c r="I889" s="35" t="str">
        <f>IF(Liens!H884="","",IF(COUNTIF(Mots!A:A,Liens!H884)&gt;0,"✓ "&amp;Liens!H884,"✗ "&amp;Liens!H884&amp;" (introuvable)"))</f>
        <v/>
      </c>
    </row>
    <row r="890" spans="1:9" x14ac:dyDescent="0.3">
      <c r="A890">
        <f t="shared" si="10"/>
        <v>885</v>
      </c>
      <c r="B890" s="35" t="str">
        <f>IF(Liens!A885="","",IF(COUNTIF(Mots!A:A,Liens!A885)&gt;0,"✓ "&amp;Liens!A885,"✗ "&amp;Liens!A885&amp;" (introuvable)"))</f>
        <v>✓ v_commencer</v>
      </c>
      <c r="C890" s="35" t="str">
        <f>IF(Liens!B885="","",IF(COUNTIF(Mots!A:A,Liens!B885)&gt;0,"✓ "&amp;Liens!B885,"✗ "&amp;Liens!B885&amp;" (introuvable)"))</f>
        <v>✓ v_lire</v>
      </c>
      <c r="D890" s="35" t="str">
        <f>IF(Liens!C885="","",IF(COUNTIF(Mots!A:A,Liens!C885)&gt;0,"✓ "&amp;Liens!C885,"✗ "&amp;Liens!C885&amp;" (introuvable)"))</f>
        <v>✓ v_apprendre</v>
      </c>
      <c r="E890" s="35" t="str">
        <f>IF(Liens!D885="","",IF(COUNTIF(Mots!A:A,Liens!D885)&gt;0,"✓ "&amp;Liens!D885,"✗ "&amp;Liens!D885&amp;" (introuvable)"))</f>
        <v>✓ v_manger</v>
      </c>
      <c r="F890" s="35" t="str">
        <f>IF(Liens!E885="","",IF(COUNTIF(Mots!A:A,Liens!E885)&gt;0,"✓ "&amp;Liens!E885,"✗ "&amp;Liens!E885&amp;" (introuvable)"))</f>
        <v>✓ v_jouer</v>
      </c>
      <c r="G890" s="35" t="str">
        <f>IF(Liens!F885="","",IF(COUNTIF(Mots!A:A,Liens!F885)&gt;0,"✓ "&amp;Liens!F885,"✗ "&amp;Liens!F885&amp;" (introuvable)"))</f>
        <v>✓ v_danser</v>
      </c>
      <c r="H890" s="35" t="str">
        <f>IF(Liens!G885="","",IF(COUNTIF(Mots!A:A,Liens!G885)&gt;0,"✓ "&amp;Liens!G885,"✗ "&amp;Liens!G885&amp;" (introuvable)"))</f>
        <v>✓ v_marcher</v>
      </c>
      <c r="I890" s="35" t="str">
        <f>IF(Liens!H885="","",IF(COUNTIF(Mots!A:A,Liens!H885)&gt;0,"✓ "&amp;Liens!H885,"✗ "&amp;Liens!H885&amp;" (introuvable)"))</f>
        <v>✓ duree</v>
      </c>
    </row>
    <row r="891" spans="1:9" x14ac:dyDescent="0.3">
      <c r="A891">
        <f t="shared" si="10"/>
        <v>886</v>
      </c>
      <c r="B891" s="35" t="str">
        <f>IF(Liens!A886="","",IF(COUNTIF(Mots!A:A,Liens!A886)&gt;0,"✓ "&amp;Liens!A886,"✗ "&amp;Liens!A886&amp;" (introuvable)"))</f>
        <v>✓ v_comparer</v>
      </c>
      <c r="C891" s="35" t="str">
        <f>IF(Liens!B886="","",IF(COUNTIF(Mots!A:A,Liens!B886)&gt;0,"✓ "&amp;Liens!B886,"✗ "&amp;Liens!B886&amp;" (introuvable)"))</f>
        <v>✓ difference</v>
      </c>
      <c r="D891" s="35" t="str">
        <f>IF(Liens!C886="","",IF(COUNTIF(Mots!A:A,Liens!C886)&gt;0,"✓ "&amp;Liens!C886,"✗ "&amp;Liens!C886&amp;" (introuvable)"))</f>
        <v>✓ a_pareil</v>
      </c>
      <c r="E891" s="35" t="str">
        <f>IF(Liens!D886="","",IF(COUNTIF(Mots!A:A,Liens!D886)&gt;0,"✓ "&amp;Liens!D886,"✗ "&amp;Liens!D886&amp;" (introuvable)"))</f>
        <v/>
      </c>
      <c r="F891" s="35" t="str">
        <f>IF(Liens!E886="","",IF(COUNTIF(Mots!A:A,Liens!E886)&gt;0,"✓ "&amp;Liens!E886,"✗ "&amp;Liens!E886&amp;" (introuvable)"))</f>
        <v/>
      </c>
      <c r="G891" s="35" t="str">
        <f>IF(Liens!F886="","",IF(COUNTIF(Mots!A:A,Liens!F886)&gt;0,"✓ "&amp;Liens!F886,"✗ "&amp;Liens!F886&amp;" (introuvable)"))</f>
        <v/>
      </c>
      <c r="H891" s="35" t="str">
        <f>IF(Liens!G886="","",IF(COUNTIF(Mots!A:A,Liens!G886)&gt;0,"✓ "&amp;Liens!G886,"✗ "&amp;Liens!G886&amp;" (introuvable)"))</f>
        <v/>
      </c>
      <c r="I891" s="35" t="str">
        <f>IF(Liens!H886="","",IF(COUNTIF(Mots!A:A,Liens!H886)&gt;0,"✓ "&amp;Liens!H886,"✗ "&amp;Liens!H886&amp;" (introuvable)"))</f>
        <v/>
      </c>
    </row>
    <row r="892" spans="1:9" x14ac:dyDescent="0.3">
      <c r="A892">
        <f t="shared" si="10"/>
        <v>887</v>
      </c>
      <c r="B892" s="35" t="str">
        <f>IF(Liens!A887="","",IF(COUNTIF(Mots!A:A,Liens!A887)&gt;0,"✓ "&amp;Liens!A887,"✗ "&amp;Liens!A887&amp;" (introuvable)"))</f>
        <v>✓ v_comprendre</v>
      </c>
      <c r="C892" s="35" t="str">
        <f>IF(Liens!B887="","",IF(COUNTIF(Mots!A:A,Liens!B887)&gt;0,"✓ "&amp;Liens!B887,"✗ "&amp;Liens!B887&amp;" (introuvable)"))</f>
        <v>✓ v_ecouter</v>
      </c>
      <c r="D892" s="35" t="str">
        <f>IF(Liens!C887="","",IF(COUNTIF(Mots!A:A,Liens!C887)&gt;0,"✓ "&amp;Liens!C887,"✗ "&amp;Liens!C887&amp;" (introuvable)"))</f>
        <v>✓ cerveau</v>
      </c>
      <c r="E892" s="35" t="str">
        <f>IF(Liens!D887="","",IF(COUNTIF(Mots!A:A,Liens!D887)&gt;0,"✓ "&amp;Liens!D887,"✗ "&amp;Liens!D887&amp;" (introuvable)"))</f>
        <v>✓ v_reflechir</v>
      </c>
      <c r="F892" s="35" t="str">
        <f>IF(Liens!E887="","",IF(COUNTIF(Mots!A:A,Liens!E887)&gt;0,"✓ "&amp;Liens!E887,"✗ "&amp;Liens!E887&amp;" (introuvable)"))</f>
        <v>✓ idee</v>
      </c>
      <c r="G892" s="35" t="str">
        <f>IF(Liens!F887="","",IF(COUNTIF(Mots!A:A,Liens!F887)&gt;0,"✓ "&amp;Liens!F887,"✗ "&amp;Liens!F887&amp;" (introuvable)"))</f>
        <v>✓ pensee</v>
      </c>
      <c r="H892" s="35" t="str">
        <f>IF(Liens!G887="","",IF(COUNTIF(Mots!A:A,Liens!G887)&gt;0,"✓ "&amp;Liens!G887,"✗ "&amp;Liens!G887&amp;" (introuvable)"))</f>
        <v>✓ oreille</v>
      </c>
      <c r="I892" s="35" t="str">
        <f>IF(Liens!H887="","",IF(COUNTIF(Mots!A:A,Liens!H887)&gt;0,"✓ "&amp;Liens!H887,"✗ "&amp;Liens!H887&amp;" (introuvable)"))</f>
        <v/>
      </c>
    </row>
    <row r="893" spans="1:9" x14ac:dyDescent="0.3">
      <c r="A893">
        <f t="shared" si="10"/>
        <v>888</v>
      </c>
      <c r="B893" s="35" t="str">
        <f>IF(Liens!A888="","",IF(COUNTIF(Mots!A:A,Liens!A888)&gt;0,"✓ "&amp;Liens!A888,"✗ "&amp;Liens!A888&amp;" (introuvable)"))</f>
        <v>✓ v_compter</v>
      </c>
      <c r="C893" s="35" t="str">
        <f>IF(Liens!B888="","",IF(COUNTIF(Mots!A:A,Liens!B888)&gt;0,"✓ "&amp;Liens!B888,"✗ "&amp;Liens!B888&amp;" (introuvable)"))</f>
        <v>✓ nombre</v>
      </c>
      <c r="D893" s="35" t="str">
        <f>IF(Liens!C888="","",IF(COUNTIF(Mots!A:A,Liens!C888)&gt;0,"✓ "&amp;Liens!C888,"✗ "&amp;Liens!C888&amp;" (introuvable)"))</f>
        <v>✓ calcul</v>
      </c>
      <c r="E893" s="35" t="str">
        <f>IF(Liens!D888="","",IF(COUNTIF(Mots!A:A,Liens!D888)&gt;0,"✓ "&amp;Liens!D888,"✗ "&amp;Liens!D888&amp;" (introuvable)"))</f>
        <v>✓ calculatrice</v>
      </c>
      <c r="F893" s="35" t="str">
        <f>IF(Liens!E888="","",IF(COUNTIF(Mots!A:A,Liens!E888)&gt;0,"✓ "&amp;Liens!E888,"✗ "&amp;Liens!E888&amp;" (introuvable)"))</f>
        <v>✓ somme</v>
      </c>
      <c r="G893" s="35" t="str">
        <f>IF(Liens!F888="","",IF(COUNTIF(Mots!A:A,Liens!F888)&gt;0,"✓ "&amp;Liens!F888,"✗ "&amp;Liens!F888&amp;" (introuvable)"))</f>
        <v>✓ resultat</v>
      </c>
      <c r="H893" s="35" t="str">
        <f>IF(Liens!G888="","",IF(COUNTIF(Mots!A:A,Liens!G888)&gt;0,"✓ "&amp;Liens!G888,"✗ "&amp;Liens!G888&amp;" (introuvable)"))</f>
        <v/>
      </c>
      <c r="I893" s="35" t="str">
        <f>IF(Liens!H888="","",IF(COUNTIF(Mots!A:A,Liens!H888)&gt;0,"✓ "&amp;Liens!H888,"✗ "&amp;Liens!H888&amp;" (introuvable)"))</f>
        <v/>
      </c>
    </row>
    <row r="894" spans="1:9" x14ac:dyDescent="0.3">
      <c r="A894">
        <f t="shared" si="10"/>
        <v>889</v>
      </c>
      <c r="B894" s="35" t="str">
        <f>IF(Liens!A889="","",IF(COUNTIF(Mots!A:A,Liens!A889)&gt;0,"✓ "&amp;Liens!A889,"✗ "&amp;Liens!A889&amp;" (introuvable)"))</f>
        <v>✓ v_connaitre</v>
      </c>
      <c r="C894" s="35" t="str">
        <f>IF(Liens!B889="","",IF(COUNTIF(Mots!A:A,Liens!B889)&gt;0,"✓ "&amp;Liens!B889,"✗ "&amp;Liens!B889&amp;" (introuvable)"))</f>
        <v>✓ v_savoir</v>
      </c>
      <c r="D894" s="35" t="str">
        <f>IF(Liens!C889="","",IF(COUNTIF(Mots!A:A,Liens!C889)&gt;0,"✓ "&amp;Liens!C889,"✗ "&amp;Liens!C889&amp;" (introuvable)"))</f>
        <v>✓ reponse</v>
      </c>
      <c r="E894" s="35" t="str">
        <f>IF(Liens!D889="","",IF(COUNTIF(Mots!A:A,Liens!D889)&gt;0,"✓ "&amp;Liens!D889,"✗ "&amp;Liens!D889&amp;" (introuvable)"))</f>
        <v>✓ chemin</v>
      </c>
      <c r="F894" s="35" t="str">
        <f>IF(Liens!E889="","",IF(COUNTIF(Mots!A:A,Liens!E889)&gt;0,"✓ "&amp;Liens!E889,"✗ "&amp;Liens!E889&amp;" (introuvable)"))</f>
        <v/>
      </c>
      <c r="G894" s="35" t="str">
        <f>IF(Liens!F889="","",IF(COUNTIF(Mots!A:A,Liens!F889)&gt;0,"✓ "&amp;Liens!F889,"✗ "&amp;Liens!F889&amp;" (introuvable)"))</f>
        <v/>
      </c>
      <c r="H894" s="35" t="str">
        <f>IF(Liens!G889="","",IF(COUNTIF(Mots!A:A,Liens!G889)&gt;0,"✓ "&amp;Liens!G889,"✗ "&amp;Liens!G889&amp;" (introuvable)"))</f>
        <v/>
      </c>
      <c r="I894" s="35" t="str">
        <f>IF(Liens!H889="","",IF(COUNTIF(Mots!A:A,Liens!H889)&gt;0,"✓ "&amp;Liens!H889,"✗ "&amp;Liens!H889&amp;" (introuvable)"))</f>
        <v/>
      </c>
    </row>
    <row r="895" spans="1:9" x14ac:dyDescent="0.3">
      <c r="A895">
        <f t="shared" si="10"/>
        <v>890</v>
      </c>
      <c r="B895" s="35" t="str">
        <f>IF(Liens!A890="","",IF(COUNTIF(Mots!A:A,Liens!A890)&gt;0,"✓ "&amp;Liens!A890,"✗ "&amp;Liens!A890&amp;" (introuvable)"))</f>
        <v>✓ v_conseiller</v>
      </c>
      <c r="C895" s="35" t="str">
        <f>IF(Liens!B890="","",IF(COUNTIF(Mots!A:A,Liens!B890)&gt;0,"✓ "&amp;Liens!B890,"✗ "&amp;Liens!B890&amp;" (introuvable)"))</f>
        <v>✓ banque_migros</v>
      </c>
      <c r="D895" s="35" t="str">
        <f>IF(Liens!C890="","",IF(COUNTIF(Mots!A:A,Liens!C890)&gt;0,"✓ "&amp;Liens!C890,"✗ "&amp;Liens!C890&amp;" (introuvable)"))</f>
        <v>✓ banque_raiffeisen</v>
      </c>
      <c r="E895" s="35" t="str">
        <f>IF(Liens!D890="","",IF(COUNTIF(Mots!A:A,Liens!D890)&gt;0,"✓ "&amp;Liens!D890,"✗ "&amp;Liens!D890&amp;" (introuvable)"))</f>
        <v>✓ assurance_Helvetia</v>
      </c>
      <c r="F895" s="35" t="str">
        <f>IF(Liens!E890="","",IF(COUNTIF(Mots!A:A,Liens!E890)&gt;0,"✓ "&amp;Liens!E890,"✗ "&amp;Liens!E890&amp;" (introuvable)"))</f>
        <v>✓ assurance_mobiliere</v>
      </c>
      <c r="G895" s="35" t="str">
        <f>IF(Liens!F890="","",IF(COUNTIF(Mots!A:A,Liens!F890)&gt;0,"✓ "&amp;Liens!F890,"✗ "&amp;Liens!F890&amp;" (introuvable)"))</f>
        <v/>
      </c>
      <c r="H895" s="35" t="str">
        <f>IF(Liens!G890="","",IF(COUNTIF(Mots!A:A,Liens!G890)&gt;0,"✓ "&amp;Liens!G890,"✗ "&amp;Liens!G890&amp;" (introuvable)"))</f>
        <v/>
      </c>
      <c r="I895" s="35" t="str">
        <f>IF(Liens!H890="","",IF(COUNTIF(Mots!A:A,Liens!H890)&gt;0,"✓ "&amp;Liens!H890,"✗ "&amp;Liens!H890&amp;" (introuvable)"))</f>
        <v/>
      </c>
    </row>
    <row r="896" spans="1:9" x14ac:dyDescent="0.3">
      <c r="A896">
        <f t="shared" si="10"/>
        <v>891</v>
      </c>
      <c r="B896" s="35" t="str">
        <f>IF(Liens!A891="","",IF(COUNTIF(Mots!A:A,Liens!A891)&gt;0,"✓ "&amp;Liens!A891,"✗ "&amp;Liens!A891&amp;" (introuvable)"))</f>
        <v>✓ v_couper</v>
      </c>
      <c r="C896" s="35" t="str">
        <f>IF(Liens!B891="","",IF(COUNTIF(Mots!A:A,Liens!B891)&gt;0,"✓ "&amp;Liens!B891,"✗ "&amp;Liens!B891&amp;" (introuvable)"))</f>
        <v>✓ morceau</v>
      </c>
      <c r="D896" s="35" t="str">
        <f>IF(Liens!C891="","",IF(COUNTIF(Mots!A:A,Liens!C891)&gt;0,"✓ "&amp;Liens!C891,"✗ "&amp;Liens!C891&amp;" (introuvable)"))</f>
        <v>✓ couteau</v>
      </c>
      <c r="E896" s="35" t="str">
        <f>IF(Liens!D891="","",IF(COUNTIF(Mots!A:A,Liens!D891)&gt;0,"✓ "&amp;Liens!D891,"✗ "&amp;Liens!D891&amp;" (introuvable)"))</f>
        <v>✓ ciseaux</v>
      </c>
      <c r="F896" s="35" t="str">
        <f>IF(Liens!E891="","",IF(COUNTIF(Mots!A:A,Liens!E891)&gt;0,"✓ "&amp;Liens!E891,"✗ "&amp;Liens!E891&amp;" (introuvable)"))</f>
        <v/>
      </c>
      <c r="G896" s="35" t="str">
        <f>IF(Liens!F891="","",IF(COUNTIF(Mots!A:A,Liens!F891)&gt;0,"✓ "&amp;Liens!F891,"✗ "&amp;Liens!F891&amp;" (introuvable)"))</f>
        <v/>
      </c>
      <c r="H896" s="35" t="str">
        <f>IF(Liens!G891="","",IF(COUNTIF(Mots!A:A,Liens!G891)&gt;0,"✓ "&amp;Liens!G891,"✗ "&amp;Liens!G891&amp;" (introuvable)"))</f>
        <v/>
      </c>
      <c r="I896" s="35" t="str">
        <f>IF(Liens!H891="","",IF(COUNTIF(Mots!A:A,Liens!H891)&gt;0,"✓ "&amp;Liens!H891,"✗ "&amp;Liens!H891&amp;" (introuvable)"))</f>
        <v/>
      </c>
    </row>
    <row r="897" spans="1:9" x14ac:dyDescent="0.3">
      <c r="A897">
        <f t="shared" si="10"/>
        <v>892</v>
      </c>
      <c r="B897" s="35" t="str">
        <f>IF(Liens!A892="","",IF(COUNTIF(Mots!A:A,Liens!A892)&gt;0,"✓ "&amp;Liens!A892,"✗ "&amp;Liens!A892&amp;" (introuvable)"))</f>
        <v>✓ v_courir</v>
      </c>
      <c r="C897" s="35" t="str">
        <f>IF(Liens!B892="","",IF(COUNTIF(Mots!A:A,Liens!B892)&gt;0,"✓ "&amp;Liens!B892,"✗ "&amp;Liens!B892&amp;" (introuvable)"))</f>
        <v>✓ pied</v>
      </c>
      <c r="D897" s="35" t="str">
        <f>IF(Liens!C892="","",IF(COUNTIF(Mots!A:A,Liens!C892)&gt;0,"✓ "&amp;Liens!C892,"✗ "&amp;Liens!C892&amp;" (introuvable)"))</f>
        <v>✓ jambe</v>
      </c>
      <c r="E897" s="35" t="str">
        <f>IF(Liens!D892="","",IF(COUNTIF(Mots!A:A,Liens!D892)&gt;0,"✓ "&amp;Liens!D892,"✗ "&amp;Liens!D892&amp;" (introuvable)"))</f>
        <v>✓ v_aller</v>
      </c>
      <c r="F897" s="35" t="str">
        <f>IF(Liens!E892="","",IF(COUNTIF(Mots!A:A,Liens!E892)&gt;0,"✓ "&amp;Liens!E892,"✗ "&amp;Liens!E892&amp;" (introuvable)"))</f>
        <v>✓ randonnee</v>
      </c>
      <c r="G897" s="35" t="str">
        <f>IF(Liens!F892="","",IF(COUNTIF(Mots!A:A,Liens!F892)&gt;0,"✓ "&amp;Liens!F892,"✗ "&amp;Liens!F892&amp;" (introuvable)"))</f>
        <v>✓ souliers</v>
      </c>
      <c r="H897" s="35" t="str">
        <f>IF(Liens!G892="","",IF(COUNTIF(Mots!A:A,Liens!G892)&gt;0,"✓ "&amp;Liens!G892,"✗ "&amp;Liens!G892&amp;" (introuvable)"))</f>
        <v>✓ bas</v>
      </c>
      <c r="I897" s="35" t="str">
        <f>IF(Liens!H892="","",IF(COUNTIF(Mots!A:A,Liens!H892)&gt;0,"✓ "&amp;Liens!H892,"✗ "&amp;Liens!H892&amp;" (introuvable)"))</f>
        <v>✓ lacet</v>
      </c>
    </row>
    <row r="898" spans="1:9" x14ac:dyDescent="0.3">
      <c r="A898">
        <f t="shared" si="10"/>
        <v>893</v>
      </c>
      <c r="B898" s="35" t="str">
        <f>IF(Liens!A893="","",IF(COUNTIF(Mots!A:A,Liens!A893)&gt;0,"✓ "&amp;Liens!A893,"✗ "&amp;Liens!A893&amp;" (introuvable)"))</f>
        <v>✓ v_crier</v>
      </c>
      <c r="C898" s="35" t="str">
        <f>IF(Liens!B893="","",IF(COUNTIF(Mots!A:A,Liens!B893)&gt;0,"✓ "&amp;Liens!B893,"✗ "&amp;Liens!B893&amp;" (introuvable)"))</f>
        <v>✓ voix</v>
      </c>
      <c r="D898" s="35" t="str">
        <f>IF(Liens!C893="","",IF(COUNTIF(Mots!A:A,Liens!C893)&gt;0,"✓ "&amp;Liens!C893,"✗ "&amp;Liens!C893&amp;" (introuvable)"))</f>
        <v>✓ bouche</v>
      </c>
      <c r="E898" s="35" t="str">
        <f>IF(Liens!D893="","",IF(COUNTIF(Mots!A:A,Liens!D893)&gt;0,"✓ "&amp;Liens!D893,"✗ "&amp;Liens!D893&amp;" (introuvable)"))</f>
        <v>✓ v_parler</v>
      </c>
      <c r="F898" s="35" t="str">
        <f>IF(Liens!E893="","",IF(COUNTIF(Mots!A:A,Liens!E893)&gt;0,"✓ "&amp;Liens!E893,"✗ "&amp;Liens!E893&amp;" (introuvable)"))</f>
        <v>✓ son</v>
      </c>
      <c r="G898" s="35" t="str">
        <f>IF(Liens!F893="","",IF(COUNTIF(Mots!A:A,Liens!F893)&gt;0,"✓ "&amp;Liens!F893,"✗ "&amp;Liens!F893&amp;" (introuvable)"))</f>
        <v>✓ colere</v>
      </c>
      <c r="H898" s="35" t="str">
        <f>IF(Liens!G893="","",IF(COUNTIF(Mots!A:A,Liens!G893)&gt;0,"✓ "&amp;Liens!G893,"✗ "&amp;Liens!G893&amp;" (introuvable)"))</f>
        <v>✓ a_calme_agite</v>
      </c>
      <c r="I898" s="35" t="str">
        <f>IF(Liens!H893="","",IF(COUNTIF(Mots!A:A,Liens!H893)&gt;0,"✓ "&amp;Liens!H893,"✗ "&amp;Liens!H893&amp;" (introuvable)"))</f>
        <v>✓ oreille</v>
      </c>
    </row>
    <row r="899" spans="1:9" x14ac:dyDescent="0.3">
      <c r="A899">
        <f t="shared" si="10"/>
        <v>894</v>
      </c>
      <c r="B899" s="35" t="str">
        <f>IF(Liens!A894="","",IF(COUNTIF(Mots!A:A,Liens!A894)&gt;0,"✓ "&amp;Liens!A894,"✗ "&amp;Liens!A894&amp;" (introuvable)"))</f>
        <v>✓ v_croire</v>
      </c>
      <c r="C899" s="35" t="str">
        <f>IF(Liens!B894="","",IF(COUNTIF(Mots!A:A,Liens!B894)&gt;0,"✓ "&amp;Liens!B894,"✗ "&amp;Liens!B894&amp;" (introuvable)"))</f>
        <v>✓ v_reflechir</v>
      </c>
      <c r="D899" s="35" t="str">
        <f>IF(Liens!C894="","",IF(COUNTIF(Mots!A:A,Liens!C894)&gt;0,"✓ "&amp;Liens!C894,"✗ "&amp;Liens!C894&amp;" (introuvable)"))</f>
        <v>✓ idee</v>
      </c>
      <c r="E899" s="35" t="str">
        <f>IF(Liens!D894="","",IF(COUNTIF(Mots!A:A,Liens!D894)&gt;0,"✓ "&amp;Liens!D894,"✗ "&amp;Liens!D894&amp;" (introuvable)"))</f>
        <v>✓ pensee</v>
      </c>
      <c r="F899" s="35" t="str">
        <f>IF(Liens!E894="","",IF(COUNTIF(Mots!A:A,Liens!E894)&gt;0,"✓ "&amp;Liens!E894,"✗ "&amp;Liens!E894&amp;" (introuvable)"))</f>
        <v>✓ cerveau</v>
      </c>
      <c r="G899" s="35" t="str">
        <f>IF(Liens!F894="","",IF(COUNTIF(Mots!A:A,Liens!F894)&gt;0,"✓ "&amp;Liens!F894,"✗ "&amp;Liens!F894&amp;" (introuvable)"))</f>
        <v/>
      </c>
      <c r="H899" s="35" t="str">
        <f>IF(Liens!G894="","",IF(COUNTIF(Mots!A:A,Liens!G894)&gt;0,"✓ "&amp;Liens!G894,"✗ "&amp;Liens!G894&amp;" (introuvable)"))</f>
        <v/>
      </c>
      <c r="I899" s="35" t="str">
        <f>IF(Liens!H894="","",IF(COUNTIF(Mots!A:A,Liens!H894)&gt;0,"✓ "&amp;Liens!H894,"✗ "&amp;Liens!H894&amp;" (introuvable)"))</f>
        <v/>
      </c>
    </row>
    <row r="900" spans="1:9" x14ac:dyDescent="0.3">
      <c r="A900">
        <f t="shared" si="10"/>
        <v>895</v>
      </c>
      <c r="B900" s="35" t="str">
        <f>IF(Liens!A895="","",IF(COUNTIF(Mots!A:A,Liens!A895)&gt;0,"✓ "&amp;Liens!A895,"✗ "&amp;Liens!A895&amp;" (introuvable)"))</f>
        <v>✓ v_cuire</v>
      </c>
      <c r="C900" s="35" t="str">
        <f>IF(Liens!B895="","",IF(COUNTIF(Mots!A:A,Liens!B895)&gt;0,"✓ "&amp;Liens!B895,"✗ "&amp;Liens!B895&amp;" (introuvable)"))</f>
        <v>✓ casserole</v>
      </c>
      <c r="D900" s="35" t="str">
        <f>IF(Liens!C895="","",IF(COUNTIF(Mots!A:A,Liens!C895)&gt;0,"✓ "&amp;Liens!C895,"✗ "&amp;Liens!C895&amp;" (introuvable)"))</f>
        <v>✓ marmite</v>
      </c>
      <c r="E900" s="35" t="str">
        <f>IF(Liens!D895="","",IF(COUNTIF(Mots!A:A,Liens!D895)&gt;0,"✓ "&amp;Liens!D895,"✗ "&amp;Liens!D895&amp;" (introuvable)"))</f>
        <v>✓ eau</v>
      </c>
      <c r="F900" s="35" t="str">
        <f>IF(Liens!E895="","",IF(COUNTIF(Mots!A:A,Liens!E895)&gt;0,"✓ "&amp;Liens!E895,"✗ "&amp;Liens!E895&amp;" (introuvable)"))</f>
        <v>✓ pates</v>
      </c>
      <c r="G900" s="35" t="str">
        <f>IF(Liens!F895="","",IF(COUNTIF(Mots!A:A,Liens!F895)&gt;0,"✓ "&amp;Liens!F895,"✗ "&amp;Liens!F895&amp;" (introuvable)"))</f>
        <v>✓ pomme_de_terre</v>
      </c>
      <c r="H900" s="35" t="str">
        <f>IF(Liens!G895="","",IF(COUNTIF(Mots!A:A,Liens!G895)&gt;0,"✓ "&amp;Liens!G895,"✗ "&amp;Liens!G895&amp;" (introuvable)"))</f>
        <v>✓ riz</v>
      </c>
      <c r="I900" s="35" t="str">
        <f>IF(Liens!H895="","",IF(COUNTIF(Mots!A:A,Liens!H895)&gt;0,"✓ "&amp;Liens!H895,"✗ "&amp;Liens!H895&amp;" (introuvable)"))</f>
        <v>✓ legume</v>
      </c>
    </row>
    <row r="901" spans="1:9" x14ac:dyDescent="0.3">
      <c r="A901">
        <f t="shared" si="10"/>
        <v>896</v>
      </c>
      <c r="B901" s="35" t="str">
        <f>IF(Liens!A896="","",IF(COUNTIF(Mots!A:A,Liens!A896)&gt;0,"✓ "&amp;Liens!A896,"✗ "&amp;Liens!A896&amp;" (introuvable)"))</f>
        <v>✓ v_danser</v>
      </c>
      <c r="C901" s="35" t="str">
        <f>IF(Liens!B896="","",IF(COUNTIF(Mots!A:A,Liens!B896)&gt;0,"✓ "&amp;Liens!B896,"✗ "&amp;Liens!B896&amp;" (introuvable)"))</f>
        <v>✓ son</v>
      </c>
      <c r="D901" s="35" t="str">
        <f>IF(Liens!C896="","",IF(COUNTIF(Mots!A:A,Liens!C896)&gt;0,"✓ "&amp;Liens!C896,"✗ "&amp;Liens!C896&amp;" (introuvable)"))</f>
        <v>✓ rythme</v>
      </c>
      <c r="E901" s="35" t="str">
        <f>IF(Liens!D896="","",IF(COUNTIF(Mots!A:A,Liens!D896)&gt;0,"✓ "&amp;Liens!D896,"✗ "&amp;Liens!D896&amp;" (introuvable)"))</f>
        <v>✓ melodie</v>
      </c>
      <c r="F901" s="35" t="str">
        <f>IF(Liens!E896="","",IF(COUNTIF(Mots!A:A,Liens!E896)&gt;0,"✓ "&amp;Liens!E896,"✗ "&amp;Liens!E896&amp;" (introuvable)"))</f>
        <v>✓ musique</v>
      </c>
      <c r="G901" s="35" t="str">
        <f>IF(Liens!F896="","",IF(COUNTIF(Mots!A:A,Liens!F896)&gt;0,"✓ "&amp;Liens!F896,"✗ "&amp;Liens!F896&amp;" (introuvable)"))</f>
        <v>✓ v_regarder</v>
      </c>
      <c r="H901" s="35" t="str">
        <f>IF(Liens!G896="","",IF(COUNTIF(Mots!A:A,Liens!G896)&gt;0,"✓ "&amp;Liens!G896,"✗ "&amp;Liens!G896&amp;" (introuvable)"))</f>
        <v>✓ corps_humain</v>
      </c>
      <c r="I901" s="35" t="str">
        <f>IF(Liens!H896="","",IF(COUNTIF(Mots!A:A,Liens!H896)&gt;0,"✓ "&amp;Liens!H896,"✗ "&amp;Liens!H896&amp;" (introuvable)"))</f>
        <v/>
      </c>
    </row>
    <row r="902" spans="1:9" x14ac:dyDescent="0.3">
      <c r="A902">
        <f t="shared" si="10"/>
        <v>897</v>
      </c>
      <c r="B902" s="35" t="str">
        <f>IF(Liens!A897="","",IF(COUNTIF(Mots!A:A,Liens!A897)&gt;0,"✓ "&amp;Liens!A897,"✗ "&amp;Liens!A897&amp;" (introuvable)"))</f>
        <v>✓ v_decider</v>
      </c>
      <c r="C902" s="35" t="str">
        <f>IF(Liens!B897="","",IF(COUNTIF(Mots!A:A,Liens!B897)&gt;0,"✓ "&amp;Liens!B897,"✗ "&amp;Liens!B897&amp;" (introuvable)"))</f>
        <v>✓ v_choisir</v>
      </c>
      <c r="D902" s="35" t="str">
        <f>IF(Liens!C897="","",IF(COUNTIF(Mots!A:A,Liens!C897)&gt;0,"✓ "&amp;Liens!C897,"✗ "&amp;Liens!C897&amp;" (introuvable)"))</f>
        <v>✓ possibilite</v>
      </c>
      <c r="E902" s="35" t="str">
        <f>IF(Liens!D897="","",IF(COUNTIF(Mots!A:A,Liens!D897)&gt;0,"✓ "&amp;Liens!D897,"✗ "&amp;Liens!D897&amp;" (introuvable)"))</f>
        <v>✓ v_pouvoir</v>
      </c>
      <c r="F902" s="35" t="str">
        <f>IF(Liens!E897="","",IF(COUNTIF(Mots!A:A,Liens!E897)&gt;0,"✓ "&amp;Liens!E897,"✗ "&amp;Liens!E897&amp;" (introuvable)"))</f>
        <v>✓ v_vouloir</v>
      </c>
      <c r="G902" s="35" t="str">
        <f>IF(Liens!F897="","",IF(COUNTIF(Mots!A:A,Liens!F897)&gt;0,"✓ "&amp;Liens!F897,"✗ "&amp;Liens!F897&amp;" (introuvable)"))</f>
        <v/>
      </c>
      <c r="H902" s="35" t="str">
        <f>IF(Liens!G897="","",IF(COUNTIF(Mots!A:A,Liens!G897)&gt;0,"✓ "&amp;Liens!G897,"✗ "&amp;Liens!G897&amp;" (introuvable)"))</f>
        <v/>
      </c>
      <c r="I902" s="35" t="str">
        <f>IF(Liens!H897="","",IF(COUNTIF(Mots!A:A,Liens!H897)&gt;0,"✓ "&amp;Liens!H897,"✗ "&amp;Liens!H897&amp;" (introuvable)"))</f>
        <v/>
      </c>
    </row>
    <row r="903" spans="1:9" x14ac:dyDescent="0.3">
      <c r="A903">
        <f t="shared" si="10"/>
        <v>898</v>
      </c>
      <c r="B903" s="35" t="str">
        <f>IF(Liens!A898="","",IF(COUNTIF(Mots!A:A,Liens!A898)&gt;0,"✓ "&amp;Liens!A898,"✗ "&amp;Liens!A898&amp;" (introuvable)"))</f>
        <v>✓ v_demander</v>
      </c>
      <c r="C903" s="35" t="str">
        <f>IF(Liens!B898="","",IF(COUNTIF(Mots!A:A,Liens!B898)&gt;0,"✓ "&amp;Liens!B898,"✗ "&amp;Liens!B898&amp;" (introuvable)"))</f>
        <v>✓ question</v>
      </c>
      <c r="D903" s="35" t="str">
        <f>IF(Liens!C898="","",IF(COUNTIF(Mots!A:A,Liens!C898)&gt;0,"✓ "&amp;Liens!C898,"✗ "&amp;Liens!C898&amp;" (introuvable)"))</f>
        <v>✓ ecole</v>
      </c>
      <c r="E903" s="35" t="str">
        <f>IF(Liens!D898="","",IF(COUNTIF(Mots!A:A,Liens!D898)&gt;0,"✓ "&amp;Liens!D898,"✗ "&amp;Liens!D898&amp;" (introuvable)"))</f>
        <v>✓ v_parler</v>
      </c>
      <c r="F903" s="35" t="str">
        <f>IF(Liens!E898="","",IF(COUNTIF(Mots!A:A,Liens!E898)&gt;0,"✓ "&amp;Liens!E898,"✗ "&amp;Liens!E898&amp;" (introuvable)"))</f>
        <v>✓ v_ecouter</v>
      </c>
      <c r="G903" s="35" t="str">
        <f>IF(Liens!F898="","",IF(COUNTIF(Mots!A:A,Liens!F898)&gt;0,"✓ "&amp;Liens!F898,"✗ "&amp;Liens!F898&amp;" (introuvable)"))</f>
        <v>✓ reponse</v>
      </c>
      <c r="H903" s="35" t="str">
        <f>IF(Liens!G898="","",IF(COUNTIF(Mots!A:A,Liens!G898)&gt;0,"✓ "&amp;Liens!G898,"✗ "&amp;Liens!G898&amp;" (introuvable)"))</f>
        <v/>
      </c>
      <c r="I903" s="35" t="str">
        <f>IF(Liens!H898="","",IF(COUNTIF(Mots!A:A,Liens!H898)&gt;0,"✓ "&amp;Liens!H898,"✗ "&amp;Liens!H898&amp;" (introuvable)"))</f>
        <v/>
      </c>
    </row>
    <row r="904" spans="1:9" x14ac:dyDescent="0.3">
      <c r="A904">
        <f t="shared" si="10"/>
        <v>899</v>
      </c>
      <c r="B904" s="35" t="str">
        <f>IF(Liens!A899="","",IF(COUNTIF(Mots!A:A,Liens!A899)&gt;0,"✓ "&amp;Liens!A899,"✗ "&amp;Liens!A899&amp;" (introuvable)"))</f>
        <v>✓ v_descendre</v>
      </c>
      <c r="C904" s="35" t="str">
        <f>IF(Liens!B899="","",IF(COUNTIF(Mots!A:A,Liens!B899)&gt;0,"✓ "&amp;Liens!B899,"✗ "&amp;Liens!B899&amp;" (introuvable)"))</f>
        <v>✓ a_haut_bas</v>
      </c>
      <c r="D904" s="35" t="str">
        <f>IF(Liens!C899="","",IF(COUNTIF(Mots!A:A,Liens!C899)&gt;0,"✓ "&amp;Liens!C899,"✗ "&amp;Liens!C899&amp;" (introuvable)"))</f>
        <v>✓ escalier</v>
      </c>
      <c r="E904" s="35" t="str">
        <f>IF(Liens!D899="","",IF(COUNTIF(Mots!A:A,Liens!D899)&gt;0,"✓ "&amp;Liens!D899,"✗ "&amp;Liens!D899&amp;" (introuvable)"))</f>
        <v>✓ echelle</v>
      </c>
      <c r="F904" s="35" t="str">
        <f>IF(Liens!E899="","",IF(COUNTIF(Mots!A:A,Liens!E899)&gt;0,"✓ "&amp;Liens!E899,"✗ "&amp;Liens!E899&amp;" (introuvable)"))</f>
        <v/>
      </c>
      <c r="G904" s="35" t="str">
        <f>IF(Liens!F899="","",IF(COUNTIF(Mots!A:A,Liens!F899)&gt;0,"✓ "&amp;Liens!F899,"✗ "&amp;Liens!F899&amp;" (introuvable)"))</f>
        <v/>
      </c>
      <c r="H904" s="35" t="str">
        <f>IF(Liens!G899="","",IF(COUNTIF(Mots!A:A,Liens!G899)&gt;0,"✓ "&amp;Liens!G899,"✗ "&amp;Liens!G899&amp;" (introuvable)"))</f>
        <v/>
      </c>
      <c r="I904" s="35" t="str">
        <f>IF(Liens!H899="","",IF(COUNTIF(Mots!A:A,Liens!H899)&gt;0,"✓ "&amp;Liens!H899,"✗ "&amp;Liens!H899&amp;" (introuvable)"))</f>
        <v/>
      </c>
    </row>
    <row r="905" spans="1:9" x14ac:dyDescent="0.3">
      <c r="A905">
        <f t="shared" si="10"/>
        <v>900</v>
      </c>
      <c r="B905" s="35" t="str">
        <f>IF(Liens!A900="","",IF(COUNTIF(Mots!A:A,Liens!A900)&gt;0,"✓ "&amp;Liens!A900,"✗ "&amp;Liens!A900&amp;" (introuvable)"))</f>
        <v>✓ v_deviner</v>
      </c>
      <c r="C905" s="35" t="str">
        <f>IF(Liens!B900="","",IF(COUNTIF(Mots!A:A,Liens!B900)&gt;0,"✓ "&amp;Liens!B900,"✗ "&amp;Liens!B900&amp;" (introuvable)"))</f>
        <v>✓ v_reflechir</v>
      </c>
      <c r="D905" s="35" t="str">
        <f>IF(Liens!C900="","",IF(COUNTIF(Mots!A:A,Liens!C900)&gt;0,"✓ "&amp;Liens!C900,"✗ "&amp;Liens!C900&amp;" (introuvable)"))</f>
        <v>✓ idee</v>
      </c>
      <c r="E905" s="35" t="str">
        <f>IF(Liens!D900="","",IF(COUNTIF(Mots!A:A,Liens!D900)&gt;0,"✓ "&amp;Liens!D900,"✗ "&amp;Liens!D900&amp;" (introuvable)"))</f>
        <v>✓ pensee</v>
      </c>
      <c r="F905" s="35" t="str">
        <f>IF(Liens!E900="","",IF(COUNTIF(Mots!A:A,Liens!E900)&gt;0,"✓ "&amp;Liens!E900,"✗ "&amp;Liens!E900&amp;" (introuvable)"))</f>
        <v>✓ cerveau</v>
      </c>
      <c r="G905" s="35" t="str">
        <f>IF(Liens!F900="","",IF(COUNTIF(Mots!A:A,Liens!F900)&gt;0,"✓ "&amp;Liens!F900,"✗ "&amp;Liens!F900&amp;" (introuvable)"))</f>
        <v>✓ v_imaginer</v>
      </c>
      <c r="H905" s="35" t="str">
        <f>IF(Liens!G900="","",IF(COUNTIF(Mots!A:A,Liens!G900)&gt;0,"✓ "&amp;Liens!G900,"✗ "&amp;Liens!G900&amp;" (introuvable)"))</f>
        <v>✓ v_trouver</v>
      </c>
      <c r="I905" s="35" t="str">
        <f>IF(Liens!H900="","",IF(COUNTIF(Mots!A:A,Liens!H900)&gt;0,"✓ "&amp;Liens!H900,"✗ "&amp;Liens!H900&amp;" (introuvable)"))</f>
        <v/>
      </c>
    </row>
    <row r="906" spans="1:9" x14ac:dyDescent="0.3">
      <c r="A906">
        <f t="shared" si="10"/>
        <v>901</v>
      </c>
      <c r="B906" s="35" t="str">
        <f>IF(Liens!A901="","",IF(COUNTIF(Mots!A:A,Liens!A901)&gt;0,"✓ "&amp;Liens!A901,"✗ "&amp;Liens!A901&amp;" (introuvable)"))</f>
        <v>✓ v_dire</v>
      </c>
      <c r="C906" s="35" t="str">
        <f>IF(Liens!B901="","",IF(COUNTIF(Mots!A:A,Liens!B901)&gt;0,"✓ "&amp;Liens!B901,"✗ "&amp;Liens!B901&amp;" (introuvable)"))</f>
        <v>✓ bouche</v>
      </c>
      <c r="D906" s="35" t="str">
        <f>IF(Liens!C901="","",IF(COUNTIF(Mots!A:A,Liens!C901)&gt;0,"✓ "&amp;Liens!C901,"✗ "&amp;Liens!C901&amp;" (introuvable)"))</f>
        <v>✓ son</v>
      </c>
      <c r="E906" s="35" t="str">
        <f>IF(Liens!D901="","",IF(COUNTIF(Mots!A:A,Liens!D901)&gt;0,"✓ "&amp;Liens!D901,"✗ "&amp;Liens!D901&amp;" (introuvable)"))</f>
        <v>✓ v_parler</v>
      </c>
      <c r="F906" s="35" t="str">
        <f>IF(Liens!E901="","",IF(COUNTIF(Mots!A:A,Liens!E901)&gt;0,"✓ "&amp;Liens!E901,"✗ "&amp;Liens!E901&amp;" (introuvable)"))</f>
        <v/>
      </c>
      <c r="G906" s="35" t="str">
        <f>IF(Liens!F901="","",IF(COUNTIF(Mots!A:A,Liens!F901)&gt;0,"✓ "&amp;Liens!F901,"✗ "&amp;Liens!F901&amp;" (introuvable)"))</f>
        <v/>
      </c>
      <c r="H906" s="35" t="str">
        <f>IF(Liens!G901="","",IF(COUNTIF(Mots!A:A,Liens!G901)&gt;0,"✓ "&amp;Liens!G901,"✗ "&amp;Liens!G901&amp;" (introuvable)"))</f>
        <v/>
      </c>
      <c r="I906" s="35" t="str">
        <f>IF(Liens!H901="","",IF(COUNTIF(Mots!A:A,Liens!H901)&gt;0,"✓ "&amp;Liens!H901,"✗ "&amp;Liens!H901&amp;" (introuvable)"))</f>
        <v/>
      </c>
    </row>
    <row r="907" spans="1:9" x14ac:dyDescent="0.3">
      <c r="A907">
        <f t="shared" si="10"/>
        <v>902</v>
      </c>
      <c r="B907" s="35" t="str">
        <f>IF(Liens!A902="","",IF(COUNTIF(Mots!A:A,Liens!A902)&gt;0,"✓ "&amp;Liens!A902,"✗ "&amp;Liens!A902&amp;" (introuvable)"))</f>
        <v>✓ v_donner</v>
      </c>
      <c r="C907" s="35" t="str">
        <f>IF(Liens!B902="","",IF(COUNTIF(Mots!A:A,Liens!B902)&gt;0,"✓ "&amp;Liens!B902,"✗ "&amp;Liens!B902&amp;" (introuvable)"))</f>
        <v>✓ chose</v>
      </c>
      <c r="D907" s="35" t="str">
        <f>IF(Liens!C902="","",IF(COUNTIF(Mots!A:A,Liens!C902)&gt;0,"✓ "&amp;Liens!C902,"✗ "&amp;Liens!C902&amp;" (introuvable)"))</f>
        <v>✓ main</v>
      </c>
      <c r="E907" s="35" t="str">
        <f>IF(Liens!D902="","",IF(COUNTIF(Mots!A:A,Liens!D902)&gt;0,"✓ "&amp;Liens!D902,"✗ "&amp;Liens!D902&amp;" (introuvable)"))</f>
        <v>✓ cle</v>
      </c>
      <c r="F907" s="35" t="str">
        <f>IF(Liens!E902="","",IF(COUNTIF(Mots!A:A,Liens!E902)&gt;0,"✓ "&amp;Liens!E902,"✗ "&amp;Liens!E902&amp;" (introuvable)"))</f>
        <v>✓ possibilite</v>
      </c>
      <c r="G907" s="35" t="str">
        <f>IF(Liens!F902="","",IF(COUNTIF(Mots!A:A,Liens!F902)&gt;0,"✓ "&amp;Liens!F902,"✗ "&amp;Liens!F902&amp;" (introuvable)"))</f>
        <v>✓ v_manger</v>
      </c>
      <c r="H907" s="35" t="str">
        <f>IF(Liens!G902="","",IF(COUNTIF(Mots!A:A,Liens!G902)&gt;0,"✓ "&amp;Liens!G902,"✗ "&amp;Liens!G902&amp;" (introuvable)"))</f>
        <v>✓ v_boire</v>
      </c>
      <c r="I907" s="35" t="str">
        <f>IF(Liens!H902="","",IF(COUNTIF(Mots!A:A,Liens!H902)&gt;0,"✓ "&amp;Liens!H902,"✗ "&amp;Liens!H902&amp;" (introuvable)"))</f>
        <v>✓ v_aider</v>
      </c>
    </row>
    <row r="908" spans="1:9" x14ac:dyDescent="0.3">
      <c r="A908">
        <f t="shared" si="10"/>
        <v>903</v>
      </c>
      <c r="B908" s="35" t="str">
        <f>IF(Liens!A903="","",IF(COUNTIF(Mots!A:A,Liens!A903)&gt;0,"✓ "&amp;Liens!A903,"✗ "&amp;Liens!A903&amp;" (introuvable)"))</f>
        <v>✓ v_dormir</v>
      </c>
      <c r="C908" s="35" t="str">
        <f>IF(Liens!B903="","",IF(COUNTIF(Mots!A:A,Liens!B903)&gt;0,"✓ "&amp;Liens!B903,"✗ "&amp;Liens!B903&amp;" (introuvable)"))</f>
        <v>✓ nuit</v>
      </c>
      <c r="D908" s="35" t="str">
        <f>IF(Liens!C903="","",IF(COUNTIF(Mots!A:A,Liens!C903)&gt;0,"✓ "&amp;Liens!C903,"✗ "&amp;Liens!C903&amp;" (introuvable)"))</f>
        <v>✓ chambre</v>
      </c>
      <c r="E908" s="35" t="str">
        <f>IF(Liens!D903="","",IF(COUNTIF(Mots!A:A,Liens!D903)&gt;0,"✓ "&amp;Liens!D903,"✗ "&amp;Liens!D903&amp;" (introuvable)"))</f>
        <v>✓ lit</v>
      </c>
      <c r="F908" s="35" t="str">
        <f>IF(Liens!E903="","",IF(COUNTIF(Mots!A:A,Liens!E903)&gt;0,"✓ "&amp;Liens!E903,"✗ "&amp;Liens!E903&amp;" (introuvable)"))</f>
        <v>✓ matelas</v>
      </c>
      <c r="G908" s="35" t="str">
        <f>IF(Liens!F903="","",IF(COUNTIF(Mots!A:A,Liens!F903)&gt;0,"✓ "&amp;Liens!F903,"✗ "&amp;Liens!F903&amp;" (introuvable)"))</f>
        <v>✓ duvet</v>
      </c>
      <c r="H908" s="35" t="str">
        <f>IF(Liens!G903="","",IF(COUNTIF(Mots!A:A,Liens!G903)&gt;0,"✓ "&amp;Liens!G903,"✗ "&amp;Liens!G903&amp;" (introuvable)"))</f>
        <v>✓ oreiller</v>
      </c>
      <c r="I908" s="35" t="str">
        <f>IF(Liens!H903="","",IF(COUNTIF(Mots!A:A,Liens!H903)&gt;0,"✓ "&amp;Liens!H903,"✗ "&amp;Liens!H903&amp;" (introuvable)"))</f>
        <v>✓ rideau</v>
      </c>
    </row>
    <row r="909" spans="1:9" x14ac:dyDescent="0.3">
      <c r="A909">
        <f t="shared" si="10"/>
        <v>904</v>
      </c>
      <c r="B909" s="35" t="str">
        <f>IF(Liens!A904="","",IF(COUNTIF(Mots!A:A,Liens!A904)&gt;0,"✓ "&amp;Liens!A904,"✗ "&amp;Liens!A904&amp;" (introuvable)"))</f>
        <v>✓ v_douter</v>
      </c>
      <c r="C909" s="35" t="str">
        <f>IF(Liens!B904="","",IF(COUNTIF(Mots!A:A,Liens!B904)&gt;0,"✓ "&amp;Liens!B904,"✗ "&amp;Liens!B904&amp;" (introuvable)"))</f>
        <v>✓ v_choisir</v>
      </c>
      <c r="D909" s="35" t="str">
        <f>IF(Liens!C904="","",IF(COUNTIF(Mots!A:A,Liens!C904)&gt;0,"✓ "&amp;Liens!C904,"✗ "&amp;Liens!C904&amp;" (introuvable)"))</f>
        <v>✓ possibilite</v>
      </c>
      <c r="E909" s="35" t="str">
        <f>IF(Liens!D904="","",IF(COUNTIF(Mots!A:A,Liens!D904)&gt;0,"✓ "&amp;Liens!D904,"✗ "&amp;Liens!D904&amp;" (introuvable)"))</f>
        <v>✓ v_connaitre</v>
      </c>
      <c r="F909" s="35" t="str">
        <f>IF(Liens!E904="","",IF(COUNTIF(Mots!A:A,Liens!E904)&gt;0,"✓ "&amp;Liens!E904,"✗ "&amp;Liens!E904&amp;" (introuvable)"))</f>
        <v/>
      </c>
      <c r="G909" s="35" t="str">
        <f>IF(Liens!F904="","",IF(COUNTIF(Mots!A:A,Liens!F904)&gt;0,"✓ "&amp;Liens!F904,"✗ "&amp;Liens!F904&amp;" (introuvable)"))</f>
        <v/>
      </c>
      <c r="H909" s="35" t="str">
        <f>IF(Liens!G904="","",IF(COUNTIF(Mots!A:A,Liens!G904)&gt;0,"✓ "&amp;Liens!G904,"✗ "&amp;Liens!G904&amp;" (introuvable)"))</f>
        <v/>
      </c>
      <c r="I909" s="35" t="str">
        <f>IF(Liens!H904="","",IF(COUNTIF(Mots!A:A,Liens!H904)&gt;0,"✓ "&amp;Liens!H904,"✗ "&amp;Liens!H904&amp;" (introuvable)"))</f>
        <v/>
      </c>
    </row>
    <row r="910" spans="1:9" x14ac:dyDescent="0.3">
      <c r="A910">
        <f t="shared" si="10"/>
        <v>905</v>
      </c>
      <c r="B910" s="35" t="str">
        <f>IF(Liens!A905="","",IF(COUNTIF(Mots!A:A,Liens!A905)&gt;0,"✓ "&amp;Liens!A905,"✗ "&amp;Liens!A905&amp;" (introuvable)"))</f>
        <v>✓ v_ecouter</v>
      </c>
      <c r="C910" s="35" t="str">
        <f>IF(Liens!B905="","",IF(COUNTIF(Mots!A:A,Liens!B905)&gt;0,"✓ "&amp;Liens!B905,"✗ "&amp;Liens!B905&amp;" (introuvable)"))</f>
        <v>✓ oreille</v>
      </c>
      <c r="D910" s="35" t="str">
        <f>IF(Liens!C905="","",IF(COUNTIF(Mots!A:A,Liens!C905)&gt;0,"✓ "&amp;Liens!C905,"✗ "&amp;Liens!C905&amp;" (introuvable)"))</f>
        <v>✓ son</v>
      </c>
      <c r="E910" s="35" t="str">
        <f>IF(Liens!D905="","",IF(COUNTIF(Mots!A:A,Liens!D905)&gt;0,"✓ "&amp;Liens!D905,"✗ "&amp;Liens!D905&amp;" (introuvable)"))</f>
        <v>✓ bruit</v>
      </c>
      <c r="F910" s="35" t="str">
        <f>IF(Liens!E905="","",IF(COUNTIF(Mots!A:A,Liens!E905)&gt;0,"✓ "&amp;Liens!E905,"✗ "&amp;Liens!E905&amp;" (introuvable)"))</f>
        <v>✓ v_parler</v>
      </c>
      <c r="G910" s="35" t="str">
        <f>IF(Liens!F905="","",IF(COUNTIF(Mots!A:A,Liens!F905)&gt;0,"✓ "&amp;Liens!F905,"✗ "&amp;Liens!F905&amp;" (introuvable)"))</f>
        <v/>
      </c>
      <c r="H910" s="35" t="str">
        <f>IF(Liens!G905="","",IF(COUNTIF(Mots!A:A,Liens!G905)&gt;0,"✓ "&amp;Liens!G905,"✗ "&amp;Liens!G905&amp;" (introuvable)"))</f>
        <v/>
      </c>
      <c r="I910" s="35" t="str">
        <f>IF(Liens!H905="","",IF(COUNTIF(Mots!A:A,Liens!H905)&gt;0,"✓ "&amp;Liens!H905,"✗ "&amp;Liens!H905&amp;" (introuvable)"))</f>
        <v/>
      </c>
    </row>
    <row r="911" spans="1:9" x14ac:dyDescent="0.3">
      <c r="A911">
        <f t="shared" ref="A911:A974" si="11">A910+1</f>
        <v>906</v>
      </c>
      <c r="B911" s="35" t="str">
        <f>IF(Liens!A906="","",IF(COUNTIF(Mots!A:A,Liens!A906)&gt;0,"✓ "&amp;Liens!A906,"✗ "&amp;Liens!A906&amp;" (introuvable)"))</f>
        <v>✓ v_ecrire</v>
      </c>
      <c r="C911" s="35" t="str">
        <f>IF(Liens!B906="","",IF(COUNTIF(Mots!A:A,Liens!B906)&gt;0,"✓ "&amp;Liens!B906,"✗ "&amp;Liens!B906&amp;" (introuvable)"))</f>
        <v>✓ crayon</v>
      </c>
      <c r="D911" s="35" t="str">
        <f>IF(Liens!C906="","",IF(COUNTIF(Mots!A:A,Liens!C906)&gt;0,"✓ "&amp;Liens!C906,"✗ "&amp;Liens!C906&amp;" (introuvable)"))</f>
        <v>✓ stylo</v>
      </c>
      <c r="E911" s="35" t="str">
        <f>IF(Liens!D906="","",IF(COUNTIF(Mots!A:A,Liens!D906)&gt;0,"✓ "&amp;Liens!D906,"✗ "&amp;Liens!D906&amp;" (introuvable)"))</f>
        <v>✓ papier</v>
      </c>
      <c r="F911" s="35" t="str">
        <f>IF(Liens!E906="","",IF(COUNTIF(Mots!A:A,Liens!E906)&gt;0,"✓ "&amp;Liens!E906,"✗ "&amp;Liens!E906&amp;" (introuvable)"))</f>
        <v>✓ main</v>
      </c>
      <c r="G911" s="35" t="str">
        <f>IF(Liens!F906="","",IF(COUNTIF(Mots!A:A,Liens!F906)&gt;0,"✓ "&amp;Liens!F906,"✗ "&amp;Liens!F906&amp;" (introuvable)"))</f>
        <v>✓ doigt</v>
      </c>
      <c r="H911" s="35" t="str">
        <f>IF(Liens!G906="","",IF(COUNTIF(Mots!A:A,Liens!G906)&gt;0,"✓ "&amp;Liens!G906,"✗ "&amp;Liens!G906&amp;" (introuvable)"))</f>
        <v>✓ ordinateur</v>
      </c>
      <c r="I911" s="35" t="str">
        <f>IF(Liens!H906="","",IF(COUNTIF(Mots!A:A,Liens!H906)&gt;0,"✓ "&amp;Liens!H906,"✗ "&amp;Liens!H906&amp;" (introuvable)"))</f>
        <v>✓ clavier_ordinateur</v>
      </c>
    </row>
    <row r="912" spans="1:9" x14ac:dyDescent="0.3">
      <c r="A912">
        <f t="shared" si="11"/>
        <v>907</v>
      </c>
      <c r="B912" s="35" t="str">
        <f>IF(Liens!A907="","",IF(COUNTIF(Mots!A:A,Liens!A907)&gt;0,"✓ "&amp;Liens!A907,"✗ "&amp;Liens!A907&amp;" (introuvable)"))</f>
        <v>✓ v_entendre</v>
      </c>
      <c r="C912" s="35" t="str">
        <f>IF(Liens!B907="","",IF(COUNTIF(Mots!A:A,Liens!B907)&gt;0,"✓ "&amp;Liens!B907,"✗ "&amp;Liens!B907&amp;" (introuvable)"))</f>
        <v>✓ oreille</v>
      </c>
      <c r="D912" s="35" t="str">
        <f>IF(Liens!C907="","",IF(COUNTIF(Mots!A:A,Liens!C907)&gt;0,"✓ "&amp;Liens!C907,"✗ "&amp;Liens!C907&amp;" (introuvable)"))</f>
        <v>✓ son</v>
      </c>
      <c r="E912" s="35" t="str">
        <f>IF(Liens!D907="","",IF(COUNTIF(Mots!A:A,Liens!D907)&gt;0,"✓ "&amp;Liens!D907,"✗ "&amp;Liens!D907&amp;" (introuvable)"))</f>
        <v>✓ bruit</v>
      </c>
      <c r="F912" s="35" t="str">
        <f>IF(Liens!E907="","",IF(COUNTIF(Mots!A:A,Liens!E907)&gt;0,"✓ "&amp;Liens!E907,"✗ "&amp;Liens!E907&amp;" (introuvable)"))</f>
        <v>✓ v_ecouter</v>
      </c>
      <c r="G912" s="35" t="str">
        <f>IF(Liens!F907="","",IF(COUNTIF(Mots!A:A,Liens!F907)&gt;0,"✓ "&amp;Liens!F907,"✗ "&amp;Liens!F907&amp;" (introuvable)"))</f>
        <v>✓ v_parler</v>
      </c>
      <c r="H912" s="35" t="str">
        <f>IF(Liens!G907="","",IF(COUNTIF(Mots!A:A,Liens!G907)&gt;0,"✓ "&amp;Liens!G907,"✗ "&amp;Liens!G907&amp;" (introuvable)"))</f>
        <v/>
      </c>
      <c r="I912" s="35" t="str">
        <f>IF(Liens!H907="","",IF(COUNTIF(Mots!A:A,Liens!H907)&gt;0,"✓ "&amp;Liens!H907,"✗ "&amp;Liens!H907&amp;" (introuvable)"))</f>
        <v/>
      </c>
    </row>
    <row r="913" spans="1:9" x14ac:dyDescent="0.3">
      <c r="A913">
        <f t="shared" si="11"/>
        <v>908</v>
      </c>
      <c r="B913" s="35" t="str">
        <f>IF(Liens!A908="","",IF(COUNTIF(Mots!A:A,Liens!A908)&gt;0,"✓ "&amp;Liens!A908,"✗ "&amp;Liens!A908&amp;" (introuvable)"))</f>
        <v>✓ v_entrer</v>
      </c>
      <c r="C913" s="35" t="str">
        <f>IF(Liens!B908="","",IF(COUNTIF(Mots!A:A,Liens!B908)&gt;0,"✓ "&amp;Liens!B908,"✗ "&amp;Liens!B908&amp;" (introuvable)"))</f>
        <v>✓ maison</v>
      </c>
      <c r="D913" s="35" t="str">
        <f>IF(Liens!C908="","",IF(COUNTIF(Mots!A:A,Liens!C908)&gt;0,"✓ "&amp;Liens!C908,"✗ "&amp;Liens!C908&amp;" (introuvable)"))</f>
        <v>✓ voiture</v>
      </c>
      <c r="E913" s="35" t="str">
        <f>IF(Liens!D908="","",IF(COUNTIF(Mots!A:A,Liens!D908)&gt;0,"✓ "&amp;Liens!D908,"✗ "&amp;Liens!D908&amp;" (introuvable)"))</f>
        <v>✓ porte</v>
      </c>
      <c r="F913" s="35" t="str">
        <f>IF(Liens!E908="","",IF(COUNTIF(Mots!A:A,Liens!E908)&gt;0,"✓ "&amp;Liens!E908,"✗ "&amp;Liens!E908&amp;" (introuvable)"))</f>
        <v>✓ fenetre</v>
      </c>
      <c r="G913" s="35" t="str">
        <f>IF(Liens!F908="","",IF(COUNTIF(Mots!A:A,Liens!F908)&gt;0,"✓ "&amp;Liens!F908,"✗ "&amp;Liens!F908&amp;" (introuvable)"))</f>
        <v>✓ cuisine</v>
      </c>
      <c r="H913" s="35" t="str">
        <f>IF(Liens!G908="","",IF(COUNTIF(Mots!A:A,Liens!G908)&gt;0,"✓ "&amp;Liens!G908,"✗ "&amp;Liens!G908&amp;" (introuvable)"))</f>
        <v>✓ salon</v>
      </c>
      <c r="I913" s="35" t="str">
        <f>IF(Liens!H908="","",IF(COUNTIF(Mots!A:A,Liens!H908)&gt;0,"✓ "&amp;Liens!H908,"✗ "&amp;Liens!H908&amp;" (introuvable)"))</f>
        <v>✓ chambre</v>
      </c>
    </row>
    <row r="914" spans="1:9" x14ac:dyDescent="0.3">
      <c r="A914">
        <f t="shared" si="11"/>
        <v>909</v>
      </c>
      <c r="B914" s="35" t="str">
        <f>IF(Liens!A909="","",IF(COUNTIF(Mots!A:A,Liens!A909)&gt;0,"✓ "&amp;Liens!A909,"✗ "&amp;Liens!A909&amp;" (introuvable)"))</f>
        <v>✓ v_essayer</v>
      </c>
      <c r="C914" s="35" t="str">
        <f>IF(Liens!B909="","",IF(COUNTIF(Mots!A:A,Liens!B909)&gt;0,"✓ "&amp;Liens!B909,"✗ "&amp;Liens!B909&amp;" (introuvable)"))</f>
        <v>✓ effort</v>
      </c>
      <c r="D914" s="35" t="str">
        <f>IF(Liens!C909="","",IF(COUNTIF(Mots!A:A,Liens!C909)&gt;0,"✓ "&amp;Liens!C909,"✗ "&amp;Liens!C909&amp;" (introuvable)"))</f>
        <v>✓ habit</v>
      </c>
      <c r="E914" s="35" t="str">
        <f>IF(Liens!D909="","",IF(COUNTIF(Mots!A:A,Liens!D909)&gt;0,"✓ "&amp;Liens!D909,"✗ "&amp;Liens!D909&amp;" (introuvable)"))</f>
        <v>✓ vetement</v>
      </c>
      <c r="F914" s="35" t="str">
        <f>IF(Liens!E909="","",IF(COUNTIF(Mots!A:A,Liens!E909)&gt;0,"✓ "&amp;Liens!E909,"✗ "&amp;Liens!E909&amp;" (introuvable)"))</f>
        <v>✓ bien</v>
      </c>
      <c r="G914" s="35" t="str">
        <f>IF(Liens!F909="","",IF(COUNTIF(Mots!A:A,Liens!F909)&gt;0,"✓ "&amp;Liens!F909,"✗ "&amp;Liens!F909&amp;" (introuvable)"))</f>
        <v>✓ robe</v>
      </c>
      <c r="H914" s="35" t="str">
        <f>IF(Liens!G909="","",IF(COUNTIF(Mots!A:A,Liens!G909)&gt;0,"✓ "&amp;Liens!G909,"✗ "&amp;Liens!G909&amp;" (introuvable)"))</f>
        <v>✓ jupe</v>
      </c>
      <c r="I914" s="35" t="str">
        <f>IF(Liens!H909="","",IF(COUNTIF(Mots!A:A,Liens!H909)&gt;0,"✓ "&amp;Liens!H909,"✗ "&amp;Liens!H909&amp;" (introuvable)"))</f>
        <v>✓ pullover</v>
      </c>
    </row>
    <row r="915" spans="1:9" x14ac:dyDescent="0.3">
      <c r="A915">
        <f t="shared" si="11"/>
        <v>910</v>
      </c>
      <c r="B915" s="35" t="str">
        <f>IF(Liens!A910="","",IF(COUNTIF(Mots!A:A,Liens!A910)&gt;0,"✓ "&amp;Liens!A910,"✗ "&amp;Liens!A910&amp;" (introuvable)"))</f>
        <v>✓ v_expliquer</v>
      </c>
      <c r="C915" s="35" t="str">
        <f>IF(Liens!B910="","",IF(COUNTIF(Mots!A:A,Liens!B910)&gt;0,"✓ "&amp;Liens!B910,"✗ "&amp;Liens!B910&amp;" (introuvable)"))</f>
        <v>✓ v_comprendre</v>
      </c>
      <c r="D915" s="35" t="str">
        <f>IF(Liens!C910="","",IF(COUNTIF(Mots!A:A,Liens!C910)&gt;0,"✓ "&amp;Liens!C910,"✗ "&amp;Liens!C910&amp;" (introuvable)"))</f>
        <v>✓ calcul</v>
      </c>
      <c r="E915" s="35" t="str">
        <f>IF(Liens!D910="","",IF(COUNTIF(Mots!A:A,Liens!D910)&gt;0,"✓ "&amp;Liens!D910,"✗ "&amp;Liens!D910&amp;" (introuvable)"))</f>
        <v>✓ total</v>
      </c>
      <c r="F915" s="35" t="str">
        <f>IF(Liens!E910="","",IF(COUNTIF(Mots!A:A,Liens!E910)&gt;0,"✓ "&amp;Liens!E910,"✗ "&amp;Liens!E910&amp;" (introuvable)"))</f>
        <v>✓ ecole</v>
      </c>
      <c r="G915" s="35" t="str">
        <f>IF(Liens!F910="","",IF(COUNTIF(Mots!A:A,Liens!F910)&gt;0,"✓ "&amp;Liens!F910,"✗ "&amp;Liens!F910&amp;" (introuvable)"))</f>
        <v>✓ somme</v>
      </c>
      <c r="H915" s="35" t="str">
        <f>IF(Liens!G910="","",IF(COUNTIF(Mots!A:A,Liens!G910)&gt;0,"✓ "&amp;Liens!G910,"✗ "&amp;Liens!G910&amp;" (introuvable)"))</f>
        <v>✓ v_montrer</v>
      </c>
      <c r="I915" s="35" t="str">
        <f>IF(Liens!H910="","",IF(COUNTIF(Mots!A:A,Liens!H910)&gt;0,"✓ "&amp;Liens!H910,"✗ "&amp;Liens!H910&amp;" (introuvable)"))</f>
        <v/>
      </c>
    </row>
    <row r="916" spans="1:9" x14ac:dyDescent="0.3">
      <c r="A916">
        <f t="shared" si="11"/>
        <v>911</v>
      </c>
      <c r="B916" s="35" t="str">
        <f>IF(Liens!A911="","",IF(COUNTIF(Mots!A:A,Liens!A911)&gt;0,"✓ "&amp;Liens!A911,"✗ "&amp;Liens!A911&amp;" (introuvable)"))</f>
        <v>✓ v_faire</v>
      </c>
      <c r="C916" s="35" t="str">
        <f>IF(Liens!B911="","",IF(COUNTIF(Mots!A:A,Liens!B911)&gt;0,"✓ "&amp;Liens!B911,"✗ "&amp;Liens!B911&amp;" (introuvable)"))</f>
        <v>✓ faire_les_vitres</v>
      </c>
      <c r="D916" s="35" t="str">
        <f>IF(Liens!C911="","",IF(COUNTIF(Mots!A:A,Liens!C911)&gt;0,"✓ "&amp;Liens!C911,"✗ "&amp;Liens!C911&amp;" (introuvable)"))</f>
        <v>✓ v_boire</v>
      </c>
      <c r="E916" s="35" t="str">
        <f>IF(Liens!D911="","",IF(COUNTIF(Mots!A:A,Liens!D911)&gt;0,"✓ "&amp;Liens!D911,"✗ "&amp;Liens!D911&amp;" (introuvable)"))</f>
        <v>✓ v_manger</v>
      </c>
      <c r="F916" s="35" t="str">
        <f>IF(Liens!E911="","",IF(COUNTIF(Mots!A:A,Liens!E911)&gt;0,"✓ "&amp;Liens!E911,"✗ "&amp;Liens!E911&amp;" (introuvable)"))</f>
        <v>✓ v_aller</v>
      </c>
      <c r="G916" s="35" t="str">
        <f>IF(Liens!F911="","",IF(COUNTIF(Mots!A:A,Liens!F911)&gt;0,"✓ "&amp;Liens!F911,"✗ "&amp;Liens!F911&amp;" (introuvable)"))</f>
        <v>✓ v_marcher</v>
      </c>
      <c r="H916" s="35" t="str">
        <f>IF(Liens!G911="","",IF(COUNTIF(Mots!A:A,Liens!G911)&gt;0,"✓ "&amp;Liens!G911,"✗ "&amp;Liens!G911&amp;" (introuvable)"))</f>
        <v>✓ v_courir</v>
      </c>
      <c r="I916" s="35" t="str">
        <f>IF(Liens!H911="","",IF(COUNTIF(Mots!A:A,Liens!H911)&gt;0,"✓ "&amp;Liens!H911,"✗ "&amp;Liens!H911&amp;" (introuvable)"))</f>
        <v>✓ randonnee</v>
      </c>
    </row>
    <row r="917" spans="1:9" x14ac:dyDescent="0.3">
      <c r="A917">
        <f t="shared" si="11"/>
        <v>912</v>
      </c>
      <c r="B917" s="35" t="str">
        <f>IF(Liens!A912="","",IF(COUNTIF(Mots!A:A,Liens!A912)&gt;0,"✓ "&amp;Liens!A912,"✗ "&amp;Liens!A912&amp;" (introuvable)"))</f>
        <v>✓ v_feliciter</v>
      </c>
      <c r="C917" s="35" t="str">
        <f>IF(Liens!B912="","",IF(COUNTIF(Mots!A:A,Liens!B912)&gt;0,"✓ "&amp;Liens!B912,"✗ "&amp;Liens!B912&amp;" (introuvable)"))</f>
        <v>✓ champion</v>
      </c>
      <c r="D917" s="35" t="str">
        <f>IF(Liens!C912="","",IF(COUNTIF(Mots!A:A,Liens!C912)&gt;0,"✓ "&amp;Liens!C912,"✗ "&amp;Liens!C912&amp;" (introuvable)"))</f>
        <v>✓ concert</v>
      </c>
      <c r="E917" s="35" t="str">
        <f>IF(Liens!D912="","",IF(COUNTIF(Mots!A:A,Liens!D912)&gt;0,"✓ "&amp;Liens!D912,"✗ "&amp;Liens!D912&amp;" (introuvable)"))</f>
        <v>✓ musique</v>
      </c>
      <c r="F917" s="35" t="str">
        <f>IF(Liens!E912="","",IF(COUNTIF(Mots!A:A,Liens!E912)&gt;0,"✓ "&amp;Liens!E912,"✗ "&amp;Liens!E912&amp;" (introuvable)"))</f>
        <v>✓ concours</v>
      </c>
      <c r="G917" s="35" t="str">
        <f>IF(Liens!F912="","",IF(COUNTIF(Mots!A:A,Liens!F912)&gt;0,"✓ "&amp;Liens!F912,"✗ "&amp;Liens!F912&amp;" (introuvable)"))</f>
        <v>✓ v_gagner</v>
      </c>
      <c r="H917" s="35" t="str">
        <f>IF(Liens!G912="","",IF(COUNTIF(Mots!A:A,Liens!G912)&gt;0,"✓ "&amp;Liens!G912,"✗ "&amp;Liens!G912&amp;" (introuvable)"))</f>
        <v>✓ prix_coupe</v>
      </c>
      <c r="I917" s="35" t="str">
        <f>IF(Liens!H912="","",IF(COUNTIF(Mots!A:A,Liens!H912)&gt;0,"✓ "&amp;Liens!H912,"✗ "&amp;Liens!H912&amp;" (introuvable)"))</f>
        <v/>
      </c>
    </row>
    <row r="918" spans="1:9" x14ac:dyDescent="0.3">
      <c r="A918">
        <f t="shared" si="11"/>
        <v>913</v>
      </c>
      <c r="B918" s="35" t="str">
        <f>IF(Liens!A913="","",IF(COUNTIF(Mots!A:A,Liens!A913)&gt;0,"✓ "&amp;Liens!A913,"✗ "&amp;Liens!A913&amp;" (introuvable)"))</f>
        <v>✓ v_fermer</v>
      </c>
      <c r="C918" s="35" t="str">
        <f>IF(Liens!B913="","",IF(COUNTIF(Mots!A:A,Liens!B913)&gt;0,"✓ "&amp;Liens!B913,"✗ "&amp;Liens!B913&amp;" (introuvable)"))</f>
        <v>✓ porte</v>
      </c>
      <c r="D918" s="35" t="str">
        <f>IF(Liens!C913="","",IF(COUNTIF(Mots!A:A,Liens!C913)&gt;0,"✓ "&amp;Liens!C913,"✗ "&amp;Liens!C913&amp;" (introuvable)"))</f>
        <v>✓ fenetre</v>
      </c>
      <c r="E918" s="35" t="str">
        <f>IF(Liens!D913="","",IF(COUNTIF(Mots!A:A,Liens!D913)&gt;0,"✓ "&amp;Liens!D913,"✗ "&amp;Liens!D913&amp;" (introuvable)"))</f>
        <v>✓ robinet</v>
      </c>
      <c r="F918" s="35" t="str">
        <f>IF(Liens!E913="","",IF(COUNTIF(Mots!A:A,Liens!E913)&gt;0,"✓ "&amp;Liens!E913,"✗ "&amp;Liens!E913&amp;" (introuvable)"))</f>
        <v>✓ main</v>
      </c>
      <c r="G918" s="35" t="str">
        <f>IF(Liens!F913="","",IF(COUNTIF(Mots!A:A,Liens!F913)&gt;0,"✓ "&amp;Liens!F913,"✗ "&amp;Liens!F913&amp;" (introuvable)"))</f>
        <v>✓ doigt</v>
      </c>
      <c r="H918" s="35" t="str">
        <f>IF(Liens!G913="","",IF(COUNTIF(Mots!A:A,Liens!G913)&gt;0,"✓ "&amp;Liens!G913,"✗ "&amp;Liens!G913&amp;" (introuvable)"))</f>
        <v/>
      </c>
      <c r="I918" s="35" t="str">
        <f>IF(Liens!H913="","",IF(COUNTIF(Mots!A:A,Liens!H913)&gt;0,"✓ "&amp;Liens!H913,"✗ "&amp;Liens!H913&amp;" (introuvable)"))</f>
        <v/>
      </c>
    </row>
    <row r="919" spans="1:9" x14ac:dyDescent="0.3">
      <c r="A919">
        <f t="shared" si="11"/>
        <v>914</v>
      </c>
      <c r="B919" s="35" t="str">
        <f>IF(Liens!A914="","",IF(COUNTIF(Mots!A:A,Liens!A914)&gt;0,"✓ "&amp;Liens!A914,"✗ "&amp;Liens!A914&amp;" (introuvable)"))</f>
        <v>✓ v_finir</v>
      </c>
      <c r="C919" s="35" t="str">
        <f>IF(Liens!B914="","",IF(COUNTIF(Mots!A:A,Liens!B914)&gt;0,"✓ "&amp;Liens!B914,"✗ "&amp;Liens!B914&amp;" (introuvable)"))</f>
        <v>✓ fin</v>
      </c>
      <c r="D919" s="35" t="str">
        <f>IF(Liens!C914="","",IF(COUNTIF(Mots!A:A,Liens!C914)&gt;0,"✓ "&amp;Liens!C914,"✗ "&amp;Liens!C914&amp;" (introuvable)"))</f>
        <v>✓ v_lire</v>
      </c>
      <c r="E919" s="35" t="str">
        <f>IF(Liens!D914="","",IF(COUNTIF(Mots!A:A,Liens!D914)&gt;0,"✓ "&amp;Liens!D914,"✗ "&amp;Liens!D914&amp;" (introuvable)"))</f>
        <v>✓ v_manger</v>
      </c>
      <c r="F919" s="35" t="str">
        <f>IF(Liens!E914="","",IF(COUNTIF(Mots!A:A,Liens!E914)&gt;0,"✓ "&amp;Liens!E914,"✗ "&amp;Liens!E914&amp;" (introuvable)"))</f>
        <v>✓ v_jouer</v>
      </c>
      <c r="G919" s="35" t="str">
        <f>IF(Liens!F914="","",IF(COUNTIF(Mots!A:A,Liens!F914)&gt;0,"✓ "&amp;Liens!F914,"✗ "&amp;Liens!F914&amp;" (introuvable)"))</f>
        <v>✓ v_danser</v>
      </c>
      <c r="H919" s="35" t="str">
        <f>IF(Liens!G914="","",IF(COUNTIF(Mots!A:A,Liens!G914)&gt;0,"✓ "&amp;Liens!G914,"✗ "&amp;Liens!G914&amp;" (introuvable)"))</f>
        <v>✓ randonnee</v>
      </c>
      <c r="I919" s="35" t="str">
        <f>IF(Liens!H914="","",IF(COUNTIF(Mots!A:A,Liens!H914)&gt;0,"✓ "&amp;Liens!H914,"✗ "&amp;Liens!H914&amp;" (introuvable)"))</f>
        <v>✓ promenade</v>
      </c>
    </row>
    <row r="920" spans="1:9" x14ac:dyDescent="0.3">
      <c r="A920">
        <f t="shared" si="11"/>
        <v>915</v>
      </c>
      <c r="B920" s="35" t="str">
        <f>IF(Liens!A915="","",IF(COUNTIF(Mots!A:A,Liens!A915)&gt;0,"✓ "&amp;Liens!A915,"✗ "&amp;Liens!A915&amp;" (introuvable)"))</f>
        <v>✓ v_frapper</v>
      </c>
      <c r="C920" s="35" t="str">
        <f>IF(Liens!B915="","",IF(COUNTIF(Mots!A:A,Liens!B915)&gt;0,"✓ "&amp;Liens!B915,"✗ "&amp;Liens!B915&amp;" (introuvable)"))</f>
        <v>✓ coup</v>
      </c>
      <c r="D920" s="35" t="str">
        <f>IF(Liens!C915="","",IF(COUNTIF(Mots!A:A,Liens!C915)&gt;0,"✓ "&amp;Liens!C915,"✗ "&amp;Liens!C915&amp;" (introuvable)"))</f>
        <v>✓ main</v>
      </c>
      <c r="E920" s="35" t="str">
        <f>IF(Liens!D915="","",IF(COUNTIF(Mots!A:A,Liens!D915)&gt;0,"✓ "&amp;Liens!D915,"✗ "&amp;Liens!D915&amp;" (introuvable)"))</f>
        <v>✓ bagarre</v>
      </c>
      <c r="F920" s="35" t="str">
        <f>IF(Liens!E915="","",IF(COUNTIF(Mots!A:A,Liens!E915)&gt;0,"✓ "&amp;Liens!E915,"✗ "&amp;Liens!E915&amp;" (introuvable)"))</f>
        <v>✓ dispute</v>
      </c>
      <c r="G920" s="35" t="str">
        <f>IF(Liens!F915="","",IF(COUNTIF(Mots!A:A,Liens!F915)&gt;0,"✓ "&amp;Liens!F915,"✗ "&amp;Liens!F915&amp;" (introuvable)"))</f>
        <v>✓ danger</v>
      </c>
      <c r="H920" s="35" t="str">
        <f>IF(Liens!G915="","",IF(COUNTIF(Mots!A:A,Liens!G915)&gt;0,"✓ "&amp;Liens!G915,"✗ "&amp;Liens!G915&amp;" (introuvable)"))</f>
        <v>✓ blessure</v>
      </c>
      <c r="I920" s="35" t="str">
        <f>IF(Liens!H915="","",IF(COUNTIF(Mots!A:A,Liens!H915)&gt;0,"✓ "&amp;Liens!H915,"✗ "&amp;Liens!H915&amp;" (introuvable)"))</f>
        <v>✓ policier</v>
      </c>
    </row>
    <row r="921" spans="1:9" x14ac:dyDescent="0.3">
      <c r="A921">
        <f t="shared" si="11"/>
        <v>916</v>
      </c>
      <c r="B921" s="35" t="str">
        <f>IF(Liens!A916="","",IF(COUNTIF(Mots!A:A,Liens!A916)&gt;0,"✓ "&amp;Liens!A916,"✗ "&amp;Liens!A916&amp;" (introuvable)"))</f>
        <v>✓ v_gagner</v>
      </c>
      <c r="C921" s="35" t="str">
        <f>IF(Liens!B916="","",IF(COUNTIF(Mots!A:A,Liens!B916)&gt;0,"✓ "&amp;Liens!B916,"✗ "&amp;Liens!B916&amp;" (introuvable)"))</f>
        <v>✓ concours</v>
      </c>
      <c r="D921" s="35" t="str">
        <f>IF(Liens!C916="","",IF(COUNTIF(Mots!A:A,Liens!C916)&gt;0,"✓ "&amp;Liens!C916,"✗ "&amp;Liens!C916&amp;" (introuvable)"))</f>
        <v>✓ sport</v>
      </c>
      <c r="E921" s="35" t="str">
        <f>IF(Liens!D916="","",IF(COUNTIF(Mots!A:A,Liens!D916)&gt;0,"✓ "&amp;Liens!D916,"✗ "&amp;Liens!D916&amp;" (introuvable)"))</f>
        <v>✓ vainqueur</v>
      </c>
      <c r="F921" s="35" t="str">
        <f>IF(Liens!E916="","",IF(COUNTIF(Mots!A:A,Liens!E916)&gt;0,"✓ "&amp;Liens!E916,"✗ "&amp;Liens!E916&amp;" (introuvable)"))</f>
        <v>✓ prix_coupe</v>
      </c>
      <c r="G921" s="35" t="str">
        <f>IF(Liens!F916="","",IF(COUNTIF(Mots!A:A,Liens!F916)&gt;0,"✓ "&amp;Liens!F916,"✗ "&amp;Liens!F916&amp;" (introuvable)"))</f>
        <v/>
      </c>
      <c r="H921" s="35" t="str">
        <f>IF(Liens!G916="","",IF(COUNTIF(Mots!A:A,Liens!G916)&gt;0,"✓ "&amp;Liens!G916,"✗ "&amp;Liens!G916&amp;" (introuvable)"))</f>
        <v/>
      </c>
      <c r="I921" s="35" t="str">
        <f>IF(Liens!H916="","",IF(COUNTIF(Mots!A:A,Liens!H916)&gt;0,"✓ "&amp;Liens!H916,"✗ "&amp;Liens!H916&amp;" (introuvable)"))</f>
        <v/>
      </c>
    </row>
    <row r="922" spans="1:9" x14ac:dyDescent="0.3">
      <c r="A922">
        <f t="shared" si="11"/>
        <v>917</v>
      </c>
      <c r="B922" s="35" t="str">
        <f>IF(Liens!A917="","",IF(COUNTIF(Mots!A:A,Liens!A917)&gt;0,"✓ "&amp;Liens!A917,"✗ "&amp;Liens!A917&amp;" (introuvable)"))</f>
        <v>✓ v_gouter</v>
      </c>
      <c r="C922" s="35" t="str">
        <f>IF(Liens!B917="","",IF(COUNTIF(Mots!A:A,Liens!B917)&gt;0,"✓ "&amp;Liens!B917,"✗ "&amp;Liens!B917&amp;" (introuvable)"))</f>
        <v>✓ gout</v>
      </c>
      <c r="D922" s="35" t="str">
        <f>IF(Liens!C917="","",IF(COUNTIF(Mots!A:A,Liens!C917)&gt;0,"✓ "&amp;Liens!C917,"✗ "&amp;Liens!C917&amp;" (introuvable)"))</f>
        <v/>
      </c>
      <c r="E922" s="35" t="str">
        <f>IF(Liens!D917="","",IF(COUNTIF(Mots!A:A,Liens!D917)&gt;0,"✓ "&amp;Liens!D917,"✗ "&amp;Liens!D917&amp;" (introuvable)"))</f>
        <v/>
      </c>
      <c r="F922" s="35" t="str">
        <f>IF(Liens!E917="","",IF(COUNTIF(Mots!A:A,Liens!E917)&gt;0,"✓ "&amp;Liens!E917,"✗ "&amp;Liens!E917&amp;" (introuvable)"))</f>
        <v/>
      </c>
      <c r="G922" s="35" t="str">
        <f>IF(Liens!F917="","",IF(COUNTIF(Mots!A:A,Liens!F917)&gt;0,"✓ "&amp;Liens!F917,"✗ "&amp;Liens!F917&amp;" (introuvable)"))</f>
        <v/>
      </c>
      <c r="H922" s="35" t="str">
        <f>IF(Liens!G917="","",IF(COUNTIF(Mots!A:A,Liens!G917)&gt;0,"✓ "&amp;Liens!G917,"✗ "&amp;Liens!G917&amp;" (introuvable)"))</f>
        <v/>
      </c>
      <c r="I922" s="35" t="str">
        <f>IF(Liens!H917="","",IF(COUNTIF(Mots!A:A,Liens!H917)&gt;0,"✓ "&amp;Liens!H917,"✗ "&amp;Liens!H917&amp;" (introuvable)"))</f>
        <v/>
      </c>
    </row>
    <row r="923" spans="1:9" x14ac:dyDescent="0.3">
      <c r="A923">
        <f t="shared" si="11"/>
        <v>918</v>
      </c>
      <c r="B923" s="35" t="str">
        <f>IF(Liens!A918="","",IF(COUNTIF(Mots!A:A,Liens!A918)&gt;0,"✓ "&amp;Liens!A918,"✗ "&amp;Liens!A918&amp;" (introuvable)"))</f>
        <v>✓ v_imaginer</v>
      </c>
      <c r="C923" s="35" t="str">
        <f>IF(Liens!B918="","",IF(COUNTIF(Mots!A:A,Liens!B918)&gt;0,"✓ "&amp;Liens!B918,"✗ "&amp;Liens!B918&amp;" (introuvable)"))</f>
        <v>✓ cerveau</v>
      </c>
      <c r="D923" s="35" t="str">
        <f>IF(Liens!C918="","",IF(COUNTIF(Mots!A:A,Liens!C918)&gt;0,"✓ "&amp;Liens!C918,"✗ "&amp;Liens!C918&amp;" (introuvable)"))</f>
        <v>✓ v_penser</v>
      </c>
      <c r="E923" s="35" t="str">
        <f>IF(Liens!D918="","",IF(COUNTIF(Mots!A:A,Liens!D918)&gt;0,"✓ "&amp;Liens!D918,"✗ "&amp;Liens!D918&amp;" (introuvable)"))</f>
        <v>✓ v_reflechir</v>
      </c>
      <c r="F923" s="35" t="str">
        <f>IF(Liens!E918="","",IF(COUNTIF(Mots!A:A,Liens!E918)&gt;0,"✓ "&amp;Liens!E918,"✗ "&amp;Liens!E918&amp;" (introuvable)"))</f>
        <v>✓ idee</v>
      </c>
      <c r="G923" s="35" t="str">
        <f>IF(Liens!F918="","",IF(COUNTIF(Mots!A:A,Liens!F918)&gt;0,"✓ "&amp;Liens!F918,"✗ "&amp;Liens!F918&amp;" (introuvable)"))</f>
        <v>✓ image</v>
      </c>
      <c r="H923" s="35" t="str">
        <f>IF(Liens!G918="","",IF(COUNTIF(Mots!A:A,Liens!G918)&gt;0,"✓ "&amp;Liens!G918,"✗ "&amp;Liens!G918&amp;" (introuvable)"))</f>
        <v>✓ reve</v>
      </c>
      <c r="I923" s="35" t="str">
        <f>IF(Liens!H918="","",IF(COUNTIF(Mots!A:A,Liens!H918)&gt;0,"✓ "&amp;Liens!H918,"✗ "&amp;Liens!H918&amp;" (introuvable)"))</f>
        <v/>
      </c>
    </row>
    <row r="924" spans="1:9" x14ac:dyDescent="0.3">
      <c r="A924">
        <f t="shared" si="11"/>
        <v>919</v>
      </c>
      <c r="B924" s="35" t="str">
        <f>IF(Liens!A919="","",IF(COUNTIF(Mots!A:A,Liens!A919)&gt;0,"✓ "&amp;Liens!A919,"✗ "&amp;Liens!A919&amp;" (introuvable)"))</f>
        <v>✓ v_jeter</v>
      </c>
      <c r="C924" s="35" t="str">
        <f>IF(Liens!B919="","",IF(COUNTIF(Mots!A:A,Liens!B919)&gt;0,"✓ "&amp;Liens!B919,"✗ "&amp;Liens!B919&amp;" (introuvable)"))</f>
        <v>✓ objet</v>
      </c>
      <c r="D924" s="35" t="str">
        <f>IF(Liens!C919="","",IF(COUNTIF(Mots!A:A,Liens!C919)&gt;0,"✓ "&amp;Liens!C919,"✗ "&amp;Liens!C919&amp;" (introuvable)"))</f>
        <v>✓ balle</v>
      </c>
      <c r="E924" s="35" t="str">
        <f>IF(Liens!D919="","",IF(COUNTIF(Mots!A:A,Liens!D919)&gt;0,"✓ "&amp;Liens!D919,"✗ "&amp;Liens!D919&amp;" (introuvable)"))</f>
        <v>✓ ballon</v>
      </c>
      <c r="F924" s="35" t="str">
        <f>IF(Liens!E919="","",IF(COUNTIF(Mots!A:A,Liens!E919)&gt;0,"✓ "&amp;Liens!E919,"✗ "&amp;Liens!E919&amp;" (introuvable)"))</f>
        <v>✓ cle</v>
      </c>
      <c r="G924" s="35" t="str">
        <f>IF(Liens!F919="","",IF(COUNTIF(Mots!A:A,Liens!F919)&gt;0,"✓ "&amp;Liens!F919,"✗ "&amp;Liens!F919&amp;" (introuvable)"))</f>
        <v>✓ poubelle</v>
      </c>
      <c r="H924" s="35" t="str">
        <f>IF(Liens!G919="","",IF(COUNTIF(Mots!A:A,Liens!G919)&gt;0,"✓ "&amp;Liens!G919,"✗ "&amp;Liens!G919&amp;" (introuvable)"))</f>
        <v>✓ v_lancer</v>
      </c>
      <c r="I924" s="35" t="str">
        <f>IF(Liens!H919="","",IF(COUNTIF(Mots!A:A,Liens!H919)&gt;0,"✓ "&amp;Liens!H919,"✗ "&amp;Liens!H919&amp;" (introuvable)"))</f>
        <v/>
      </c>
    </row>
    <row r="925" spans="1:9" x14ac:dyDescent="0.3">
      <c r="A925">
        <f t="shared" si="11"/>
        <v>920</v>
      </c>
      <c r="B925" s="35" t="str">
        <f>IF(Liens!A920="","",IF(COUNTIF(Mots!A:A,Liens!A920)&gt;0,"✓ "&amp;Liens!A920,"✗ "&amp;Liens!A920&amp;" (introuvable)"))</f>
        <v>✓ v_jouer</v>
      </c>
      <c r="C925" s="35" t="str">
        <f>IF(Liens!B920="","",IF(COUNTIF(Mots!A:A,Liens!B920)&gt;0,"✓ "&amp;Liens!B920,"✗ "&amp;Liens!B920&amp;" (introuvable)"))</f>
        <v>✓ cornet</v>
      </c>
      <c r="D925" s="35" t="str">
        <f>IF(Liens!C920="","",IF(COUNTIF(Mots!A:A,Liens!C920)&gt;0,"✓ "&amp;Liens!C920,"✗ "&amp;Liens!C920&amp;" (introuvable)"))</f>
        <v>✓ levre</v>
      </c>
      <c r="E925" s="35" t="str">
        <f>IF(Liens!D920="","",IF(COUNTIF(Mots!A:A,Liens!D920)&gt;0,"✓ "&amp;Liens!D920,"✗ "&amp;Liens!D920&amp;" (introuvable)"))</f>
        <v>✓ oreille</v>
      </c>
      <c r="F925" s="35" t="str">
        <f>IF(Liens!E920="","",IF(COUNTIF(Mots!A:A,Liens!E920)&gt;0,"✓ "&amp;Liens!E920,"✗ "&amp;Liens!E920&amp;" (introuvable)"))</f>
        <v>✓ souffle</v>
      </c>
      <c r="G925" s="35" t="str">
        <f>IF(Liens!F920="","",IF(COUNTIF(Mots!A:A,Liens!F920)&gt;0,"✓ "&amp;Liens!F920,"✗ "&amp;Liens!F920&amp;" (introuvable)"))</f>
        <v>✓ melodie</v>
      </c>
      <c r="H925" s="35" t="str">
        <f>IF(Liens!G920="","",IF(COUNTIF(Mots!A:A,Liens!G920)&gt;0,"✓ "&amp;Liens!G920,"✗ "&amp;Liens!G920&amp;" (introuvable)"))</f>
        <v>✓ rythme</v>
      </c>
      <c r="I925" s="35" t="str">
        <f>IF(Liens!H920="","",IF(COUNTIF(Mots!A:A,Liens!H920)&gt;0,"✓ "&amp;Liens!H920,"✗ "&amp;Liens!H920&amp;" (introuvable)"))</f>
        <v>✓ jeu</v>
      </c>
    </row>
    <row r="926" spans="1:9" x14ac:dyDescent="0.3">
      <c r="A926">
        <f t="shared" si="11"/>
        <v>921</v>
      </c>
      <c r="B926" s="35" t="str">
        <f>IF(Liens!A921="","",IF(COUNTIF(Mots!A:A,Liens!A921)&gt;0,"✓ "&amp;Liens!A921,"✗ "&amp;Liens!A921&amp;" (introuvable)"))</f>
        <v>✓ v_lancer</v>
      </c>
      <c r="C926" s="35" t="str">
        <f>IF(Liens!B921="","",IF(COUNTIF(Mots!A:A,Liens!B921)&gt;0,"✓ "&amp;Liens!B921,"✗ "&amp;Liens!B921&amp;" (introuvable)"))</f>
        <v>✓ v_jeter</v>
      </c>
      <c r="D926" s="35" t="str">
        <f>IF(Liens!C921="","",IF(COUNTIF(Mots!A:A,Liens!C921)&gt;0,"✓ "&amp;Liens!C921,"✗ "&amp;Liens!C921&amp;" (introuvable)"))</f>
        <v>✓ balle</v>
      </c>
      <c r="E926" s="35" t="str">
        <f>IF(Liens!D921="","",IF(COUNTIF(Mots!A:A,Liens!D921)&gt;0,"✓ "&amp;Liens!D921,"✗ "&amp;Liens!D921&amp;" (introuvable)"))</f>
        <v>✓ ballon</v>
      </c>
      <c r="F926" s="35" t="str">
        <f>IF(Liens!E921="","",IF(COUNTIF(Mots!A:A,Liens!E921)&gt;0,"✓ "&amp;Liens!E921,"✗ "&amp;Liens!E921&amp;" (introuvable)"))</f>
        <v>✓ pierre</v>
      </c>
      <c r="G926" s="35" t="str">
        <f>IF(Liens!F921="","",IF(COUNTIF(Mots!A:A,Liens!F921)&gt;0,"✓ "&amp;Liens!F921,"✗ "&amp;Liens!F921&amp;" (introuvable)"))</f>
        <v>✓ loin</v>
      </c>
      <c r="H926" s="35" t="str">
        <f>IF(Liens!G921="","",IF(COUNTIF(Mots!A:A,Liens!G921)&gt;0,"✓ "&amp;Liens!G921,"✗ "&amp;Liens!G921&amp;" (introuvable)"))</f>
        <v>✓ effort</v>
      </c>
      <c r="I926" s="35" t="str">
        <f>IF(Liens!H921="","",IF(COUNTIF(Mots!A:A,Liens!H921)&gt;0,"✓ "&amp;Liens!H921,"✗ "&amp;Liens!H921&amp;" (introuvable)"))</f>
        <v>✓ muscle</v>
      </c>
    </row>
    <row r="927" spans="1:9" x14ac:dyDescent="0.3">
      <c r="A927">
        <f t="shared" si="11"/>
        <v>922</v>
      </c>
      <c r="B927" s="35" t="str">
        <f>IF(Liens!A922="","",IF(COUNTIF(Mots!A:A,Liens!A922)&gt;0,"✓ "&amp;Liens!A922,"✗ "&amp;Liens!A922&amp;" (introuvable)"))</f>
        <v>✓ v_laver</v>
      </c>
      <c r="C927" s="35" t="str">
        <f>IF(Liens!B922="","",IF(COUNTIF(Mots!A:A,Liens!B922)&gt;0,"✓ "&amp;Liens!B922,"✗ "&amp;Liens!B922&amp;" (introuvable)"))</f>
        <v>✓ savon</v>
      </c>
      <c r="D927" s="35" t="str">
        <f>IF(Liens!C922="","",IF(COUNTIF(Mots!A:A,Liens!C922)&gt;0,"✓ "&amp;Liens!C922,"✗ "&amp;Liens!C922&amp;" (introuvable)"))</f>
        <v>✓ lavabo</v>
      </c>
      <c r="E927" s="35" t="str">
        <f>IF(Liens!D922="","",IF(COUNTIF(Mots!A:A,Liens!D922)&gt;0,"✓ "&amp;Liens!D922,"✗ "&amp;Liens!D922&amp;" (introuvable)"))</f>
        <v>✓ evier_ou_plonge</v>
      </c>
      <c r="F927" s="35" t="str">
        <f>IF(Liens!E922="","",IF(COUNTIF(Mots!A:A,Liens!E922)&gt;0,"✓ "&amp;Liens!E922,"✗ "&amp;Liens!E922&amp;" (introuvable)"))</f>
        <v>✓ eponge</v>
      </c>
      <c r="G927" s="35" t="str">
        <f>IF(Liens!F922="","",IF(COUNTIF(Mots!A:A,Liens!F922)&gt;0,"✓ "&amp;Liens!F922,"✗ "&amp;Liens!F922&amp;" (introuvable)"))</f>
        <v>✓ produit_vaisselle</v>
      </c>
      <c r="H927" s="35" t="str">
        <f>IF(Liens!G922="","",IF(COUNTIF(Mots!A:A,Liens!G922)&gt;0,"✓ "&amp;Liens!G922,"✗ "&amp;Liens!G922&amp;" (introuvable)"))</f>
        <v>✓ lave_vaisselle</v>
      </c>
      <c r="I927" s="35" t="str">
        <f>IF(Liens!H922="","",IF(COUNTIF(Mots!A:A,Liens!H922)&gt;0,"✓ "&amp;Liens!H922,"✗ "&amp;Liens!H922&amp;" (introuvable)"))</f>
        <v>✓ lave_linge</v>
      </c>
    </row>
    <row r="928" spans="1:9" x14ac:dyDescent="0.3">
      <c r="A928">
        <f t="shared" si="11"/>
        <v>923</v>
      </c>
      <c r="B928" s="35" t="str">
        <f>IF(Liens!A923="","",IF(COUNTIF(Mots!A:A,Liens!A923)&gt;0,"✓ "&amp;Liens!A923,"✗ "&amp;Liens!A923&amp;" (introuvable)"))</f>
        <v>✓ v_lever</v>
      </c>
      <c r="C928" s="35" t="str">
        <f>IF(Liens!B923="","",IF(COUNTIF(Mots!A:A,Liens!B923)&gt;0,"✓ "&amp;Liens!B923,"✗ "&amp;Liens!B923&amp;" (introuvable)"))</f>
        <v>✓ bras</v>
      </c>
      <c r="D928" s="35" t="str">
        <f>IF(Liens!C923="","",IF(COUNTIF(Mots!A:A,Liens!C923)&gt;0,"✓ "&amp;Liens!C923,"✗ "&amp;Liens!C923&amp;" (introuvable)"))</f>
        <v>✓ jambe</v>
      </c>
      <c r="E928" s="35" t="str">
        <f>IF(Liens!D923="","",IF(COUNTIF(Mots!A:A,Liens!D923)&gt;0,"✓ "&amp;Liens!D923,"✗ "&amp;Liens!D923&amp;" (introuvable)"))</f>
        <v>✓ chaise</v>
      </c>
      <c r="F928" s="35" t="str">
        <f>IF(Liens!E923="","",IF(COUNTIF(Mots!A:A,Liens!E923)&gt;0,"✓ "&amp;Liens!E923,"✗ "&amp;Liens!E923&amp;" (introuvable)"))</f>
        <v>✓ cornet</v>
      </c>
      <c r="G928" s="35" t="str">
        <f>IF(Liens!F923="","",IF(COUNTIF(Mots!A:A,Liens!F923)&gt;0,"✓ "&amp;Liens!F923,"✗ "&amp;Liens!F923&amp;" (introuvable)"))</f>
        <v>✓ baguette</v>
      </c>
      <c r="H928" s="35" t="str">
        <f>IF(Liens!G923="","",IF(COUNTIF(Mots!A:A,Liens!G923)&gt;0,"✓ "&amp;Liens!G923,"✗ "&amp;Liens!G923&amp;" (introuvable)"))</f>
        <v/>
      </c>
      <c r="I928" s="35" t="str">
        <f>IF(Liens!H923="","",IF(COUNTIF(Mots!A:A,Liens!H923)&gt;0,"✓ "&amp;Liens!H923,"✗ "&amp;Liens!H923&amp;" (introuvable)"))</f>
        <v/>
      </c>
    </row>
    <row r="929" spans="1:9" x14ac:dyDescent="0.3">
      <c r="A929">
        <f t="shared" si="11"/>
        <v>924</v>
      </c>
      <c r="B929" s="35" t="str">
        <f>IF(Liens!A924="","",IF(COUNTIF(Mots!A:A,Liens!A924)&gt;0,"✓ "&amp;Liens!A924,"✗ "&amp;Liens!A924&amp;" (introuvable)"))</f>
        <v>✓ v_lire</v>
      </c>
      <c r="C929" s="35" t="str">
        <f>IF(Liens!B924="","",IF(COUNTIF(Mots!A:A,Liens!B924)&gt;0,"✓ "&amp;Liens!B924,"✗ "&amp;Liens!B924&amp;" (introuvable)"))</f>
        <v>✓ oeil</v>
      </c>
      <c r="D929" s="35" t="str">
        <f>IF(Liens!C924="","",IF(COUNTIF(Mots!A:A,Liens!C924)&gt;0,"✓ "&amp;Liens!C924,"✗ "&amp;Liens!C924&amp;" (introuvable)"))</f>
        <v>✓ livre</v>
      </c>
      <c r="E929" s="35" t="str">
        <f>IF(Liens!D924="","",IF(COUNTIF(Mots!A:A,Liens!D924)&gt;0,"✓ "&amp;Liens!D924,"✗ "&amp;Liens!D924&amp;" (introuvable)"))</f>
        <v>✓ page</v>
      </c>
      <c r="F929" s="35" t="str">
        <f>IF(Liens!E924="","",IF(COUNTIF(Mots!A:A,Liens!E924)&gt;0,"✓ "&amp;Liens!E924,"✗ "&amp;Liens!E924&amp;" (introuvable)"))</f>
        <v>✓ bibliotheque</v>
      </c>
      <c r="G929" s="35" t="str">
        <f>IF(Liens!F924="","",IF(COUNTIF(Mots!A:A,Liens!F924)&gt;0,"✓ "&amp;Liens!F924,"✗ "&amp;Liens!F924&amp;" (introuvable)"))</f>
        <v>✓ nouvelle</v>
      </c>
      <c r="H929" s="35" t="str">
        <f>IF(Liens!G924="","",IF(COUNTIF(Mots!A:A,Liens!G924)&gt;0,"✓ "&amp;Liens!G924,"✗ "&amp;Liens!G924&amp;" (introuvable)"))</f>
        <v>✓ lunettes</v>
      </c>
      <c r="I929" s="35" t="str">
        <f>IF(Liens!H924="","",IF(COUNTIF(Mots!A:A,Liens!H924)&gt;0,"✓ "&amp;Liens!H924,"✗ "&amp;Liens!H924&amp;" (introuvable)"))</f>
        <v/>
      </c>
    </row>
    <row r="930" spans="1:9" x14ac:dyDescent="0.3">
      <c r="A930">
        <f t="shared" si="11"/>
        <v>925</v>
      </c>
      <c r="B930" s="35" t="str">
        <f>IF(Liens!A925="","",IF(COUNTIF(Mots!A:A,Liens!A925)&gt;0,"✓ "&amp;Liens!A925,"✗ "&amp;Liens!A925&amp;" (introuvable)"))</f>
        <v>✓ v_manger</v>
      </c>
      <c r="C930" s="35" t="str">
        <f>IF(Liens!B925="","",IF(COUNTIF(Mots!A:A,Liens!B925)&gt;0,"✓ "&amp;Liens!B925,"✗ "&amp;Liens!B925&amp;" (introuvable)"))</f>
        <v>✓ bouche</v>
      </c>
      <c r="D930" s="35" t="str">
        <f>IF(Liens!C925="","",IF(COUNTIF(Mots!A:A,Liens!C925)&gt;0,"✓ "&amp;Liens!C925,"✗ "&amp;Liens!C925&amp;" (introuvable)"))</f>
        <v>✓ dent</v>
      </c>
      <c r="E930" s="35" t="str">
        <f>IF(Liens!D925="","",IF(COUNTIF(Mots!A:A,Liens!D925)&gt;0,"✓ "&amp;Liens!D925,"✗ "&amp;Liens!D925&amp;" (introuvable)"))</f>
        <v>✓ fruit</v>
      </c>
      <c r="F930" s="35" t="str">
        <f>IF(Liens!E925="","",IF(COUNTIF(Mots!A:A,Liens!E925)&gt;0,"✓ "&amp;Liens!E925,"✗ "&amp;Liens!E925&amp;" (introuvable)"))</f>
        <v>✓ legume</v>
      </c>
      <c r="G930" s="35" t="str">
        <f>IF(Liens!F925="","",IF(COUNTIF(Mots!A:A,Liens!F925)&gt;0,"✓ "&amp;Liens!F925,"✗ "&amp;Liens!F925&amp;" (introuvable)"))</f>
        <v>✓ viande</v>
      </c>
      <c r="H930" s="35" t="str">
        <f>IF(Liens!G925="","",IF(COUNTIF(Mots!A:A,Liens!G925)&gt;0,"✓ "&amp;Liens!G925,"✗ "&amp;Liens!G925&amp;" (introuvable)"))</f>
        <v>✓ gateau</v>
      </c>
      <c r="I930" s="35" t="str">
        <f>IF(Liens!H925="","",IF(COUNTIF(Mots!A:A,Liens!H925)&gt;0,"✓ "&amp;Liens!H925,"✗ "&amp;Liens!H925&amp;" (introuvable)"))</f>
        <v>✓ v_avaler</v>
      </c>
    </row>
    <row r="931" spans="1:9" x14ac:dyDescent="0.3">
      <c r="A931">
        <f t="shared" si="11"/>
        <v>926</v>
      </c>
      <c r="B931" s="35" t="str">
        <f>IF(Liens!A926="","",IF(COUNTIF(Mots!A:A,Liens!A926)&gt;0,"✓ "&amp;Liens!A926,"✗ "&amp;Liens!A926&amp;" (introuvable)"))</f>
        <v>✓ v_marcher</v>
      </c>
      <c r="C931" s="35" t="str">
        <f>IF(Liens!B926="","",IF(COUNTIF(Mots!A:A,Liens!B926)&gt;0,"✓ "&amp;Liens!B926,"✗ "&amp;Liens!B926&amp;" (introuvable)"))</f>
        <v>✓ pied</v>
      </c>
      <c r="D931" s="35" t="str">
        <f>IF(Liens!C926="","",IF(COUNTIF(Mots!A:A,Liens!C926)&gt;0,"✓ "&amp;Liens!C926,"✗ "&amp;Liens!C926&amp;" (introuvable)"))</f>
        <v>✓ jambe</v>
      </c>
      <c r="E931" s="35" t="str">
        <f>IF(Liens!D926="","",IF(COUNTIF(Mots!A:A,Liens!D926)&gt;0,"✓ "&amp;Liens!D926,"✗ "&amp;Liens!D926&amp;" (introuvable)"))</f>
        <v>✓ v_aller</v>
      </c>
      <c r="F931" s="35" t="str">
        <f>IF(Liens!E926="","",IF(COUNTIF(Mots!A:A,Liens!E926)&gt;0,"✓ "&amp;Liens!E926,"✗ "&amp;Liens!E926&amp;" (introuvable)"))</f>
        <v>✓ promenade</v>
      </c>
      <c r="G931" s="35" t="str">
        <f>IF(Liens!F926="","",IF(COUNTIF(Mots!A:A,Liens!F926)&gt;0,"✓ "&amp;Liens!F926,"✗ "&amp;Liens!F926&amp;" (introuvable)"))</f>
        <v>✓ randonnee</v>
      </c>
      <c r="H931" s="35" t="str">
        <f>IF(Liens!G926="","",IF(COUNTIF(Mots!A:A,Liens!G926)&gt;0,"✓ "&amp;Liens!G926,"✗ "&amp;Liens!G926&amp;" (introuvable)"))</f>
        <v>✓ v_courir</v>
      </c>
      <c r="I931" s="35" t="str">
        <f>IF(Liens!H926="","",IF(COUNTIF(Mots!A:A,Liens!H926)&gt;0,"✓ "&amp;Liens!H926,"✗ "&amp;Liens!H926&amp;" (introuvable)"))</f>
        <v>✓ souliers</v>
      </c>
    </row>
    <row r="932" spans="1:9" x14ac:dyDescent="0.3">
      <c r="A932">
        <f t="shared" si="11"/>
        <v>927</v>
      </c>
      <c r="B932" s="35" t="str">
        <f>IF(Liens!A927="","",IF(COUNTIF(Mots!A:A,Liens!A927)&gt;0,"✓ "&amp;Liens!A927,"✗ "&amp;Liens!A927&amp;" (introuvable)"))</f>
        <v>✓ v_mentir</v>
      </c>
      <c r="C932" s="35" t="str">
        <f>IF(Liens!B927="","",IF(COUNTIF(Mots!A:A,Liens!B927)&gt;0,"✓ "&amp;Liens!B927,"✗ "&amp;Liens!B927&amp;" (introuvable)"))</f>
        <v>✓ mensonge</v>
      </c>
      <c r="D932" s="35" t="str">
        <f>IF(Liens!C927="","",IF(COUNTIF(Mots!A:A,Liens!C927)&gt;0,"✓ "&amp;Liens!C927,"✗ "&amp;Liens!C927&amp;" (introuvable)"))</f>
        <v>✓ verite</v>
      </c>
      <c r="E932" s="35" t="str">
        <f>IF(Liens!D927="","",IF(COUNTIF(Mots!A:A,Liens!D927)&gt;0,"✓ "&amp;Liens!D927,"✗ "&amp;Liens!D927&amp;" (introuvable)"))</f>
        <v>✓ v_dire</v>
      </c>
      <c r="F932" s="35" t="str">
        <f>IF(Liens!E927="","",IF(COUNTIF(Mots!A:A,Liens!E927)&gt;0,"✓ "&amp;Liens!E927,"✗ "&amp;Liens!E927&amp;" (introuvable)"))</f>
        <v/>
      </c>
      <c r="G932" s="35" t="str">
        <f>IF(Liens!F927="","",IF(COUNTIF(Mots!A:A,Liens!F927)&gt;0,"✓ "&amp;Liens!F927,"✗ "&amp;Liens!F927&amp;" (introuvable)"))</f>
        <v/>
      </c>
      <c r="H932" s="35" t="str">
        <f>IF(Liens!G927="","",IF(COUNTIF(Mots!A:A,Liens!G927)&gt;0,"✓ "&amp;Liens!G927,"✗ "&amp;Liens!G927&amp;" (introuvable)"))</f>
        <v/>
      </c>
      <c r="I932" s="35" t="str">
        <f>IF(Liens!H927="","",IF(COUNTIF(Mots!A:A,Liens!H927)&gt;0,"✓ "&amp;Liens!H927,"✗ "&amp;Liens!H927&amp;" (introuvable)"))</f>
        <v/>
      </c>
    </row>
    <row r="933" spans="1:9" x14ac:dyDescent="0.3">
      <c r="A933">
        <f t="shared" si="11"/>
        <v>928</v>
      </c>
      <c r="B933" s="35" t="str">
        <f>IF(Liens!A928="","",IF(COUNTIF(Mots!A:A,Liens!A928)&gt;0,"✓ "&amp;Liens!A928,"✗ "&amp;Liens!A928&amp;" (introuvable)"))</f>
        <v>✓ v_monter</v>
      </c>
      <c r="C933" s="35" t="str">
        <f>IF(Liens!B928="","",IF(COUNTIF(Mots!A:A,Liens!B928)&gt;0,"✓ "&amp;Liens!B928,"✗ "&amp;Liens!B928&amp;" (introuvable)"))</f>
        <v>✓ a_haut_bas</v>
      </c>
      <c r="D933" s="35" t="str">
        <f>IF(Liens!C928="","",IF(COUNTIF(Mots!A:A,Liens!C928)&gt;0,"✓ "&amp;Liens!C928,"✗ "&amp;Liens!C928&amp;" (introuvable)"))</f>
        <v>✓ escalier</v>
      </c>
      <c r="E933" s="35" t="str">
        <f>IF(Liens!D928="","",IF(COUNTIF(Mots!A:A,Liens!D928)&gt;0,"✓ "&amp;Liens!D928,"✗ "&amp;Liens!D928&amp;" (introuvable)"))</f>
        <v>✓ echelle</v>
      </c>
      <c r="F933" s="35" t="str">
        <f>IF(Liens!E928="","",IF(COUNTIF(Mots!A:A,Liens!E928)&gt;0,"✓ "&amp;Liens!E928,"✗ "&amp;Liens!E928&amp;" (introuvable)"))</f>
        <v/>
      </c>
      <c r="G933" s="35" t="str">
        <f>IF(Liens!F928="","",IF(COUNTIF(Mots!A:A,Liens!F928)&gt;0,"✓ "&amp;Liens!F928,"✗ "&amp;Liens!F928&amp;" (introuvable)"))</f>
        <v/>
      </c>
      <c r="H933" s="35" t="str">
        <f>IF(Liens!G928="","",IF(COUNTIF(Mots!A:A,Liens!G928)&gt;0,"✓ "&amp;Liens!G928,"✗ "&amp;Liens!G928&amp;" (introuvable)"))</f>
        <v/>
      </c>
      <c r="I933" s="35" t="str">
        <f>IF(Liens!H928="","",IF(COUNTIF(Mots!A:A,Liens!H928)&gt;0,"✓ "&amp;Liens!H928,"✗ "&amp;Liens!H928&amp;" (introuvable)"))</f>
        <v/>
      </c>
    </row>
    <row r="934" spans="1:9" x14ac:dyDescent="0.3">
      <c r="A934">
        <f t="shared" si="11"/>
        <v>929</v>
      </c>
      <c r="B934" s="35" t="str">
        <f>IF(Liens!A929="","",IF(COUNTIF(Mots!A:A,Liens!A929)&gt;0,"✓ "&amp;Liens!A929,"✗ "&amp;Liens!A929&amp;" (introuvable)"))</f>
        <v>✓ v_montrer</v>
      </c>
      <c r="C934" s="35" t="str">
        <f>IF(Liens!B929="","",IF(COUNTIF(Mots!A:A,Liens!B929)&gt;0,"✓ "&amp;Liens!B929,"✗ "&amp;Liens!B929&amp;" (introuvable)"))</f>
        <v>✓ doigt</v>
      </c>
      <c r="D934" s="35" t="str">
        <f>IF(Liens!C929="","",IF(COUNTIF(Mots!A:A,Liens!C929)&gt;0,"✓ "&amp;Liens!C929,"✗ "&amp;Liens!C929&amp;" (introuvable)"))</f>
        <v>✓ v_regarder</v>
      </c>
      <c r="E934" s="35" t="str">
        <f>IF(Liens!D929="","",IF(COUNTIF(Mots!A:A,Liens!D929)&gt;0,"✓ "&amp;Liens!D929,"✗ "&amp;Liens!D929&amp;" (introuvable)"))</f>
        <v>✓ v_voir</v>
      </c>
      <c r="F934" s="35" t="str">
        <f>IF(Liens!E929="","",IF(COUNTIF(Mots!A:A,Liens!E929)&gt;0,"✓ "&amp;Liens!E929,"✗ "&amp;Liens!E929&amp;" (introuvable)"))</f>
        <v/>
      </c>
      <c r="G934" s="35" t="str">
        <f>IF(Liens!F929="","",IF(COUNTIF(Mots!A:A,Liens!F929)&gt;0,"✓ "&amp;Liens!F929,"✗ "&amp;Liens!F929&amp;" (introuvable)"))</f>
        <v/>
      </c>
      <c r="H934" s="35" t="str">
        <f>IF(Liens!G929="","",IF(COUNTIF(Mots!A:A,Liens!G929)&gt;0,"✓ "&amp;Liens!G929,"✗ "&amp;Liens!G929&amp;" (introuvable)"))</f>
        <v/>
      </c>
      <c r="I934" s="35" t="str">
        <f>IF(Liens!H929="","",IF(COUNTIF(Mots!A:A,Liens!H929)&gt;0,"✓ "&amp;Liens!H929,"✗ "&amp;Liens!H929&amp;" (introuvable)"))</f>
        <v/>
      </c>
    </row>
    <row r="935" spans="1:9" x14ac:dyDescent="0.3">
      <c r="A935">
        <f t="shared" si="11"/>
        <v>930</v>
      </c>
      <c r="B935" s="35" t="str">
        <f>IF(Liens!A930="","",IF(COUNTIF(Mots!A:A,Liens!A930)&gt;0,"✓ "&amp;Liens!A930,"✗ "&amp;Liens!A930&amp;" (introuvable)"))</f>
        <v>✓ v_nager</v>
      </c>
      <c r="C935" s="35" t="str">
        <f>IF(Liens!B930="","",IF(COUNTIF(Mots!A:A,Liens!B930)&gt;0,"✓ "&amp;Liens!B930,"✗ "&amp;Liens!B930&amp;" (introuvable)"))</f>
        <v>✓ piscine</v>
      </c>
      <c r="D935" s="35" t="str">
        <f>IF(Liens!C930="","",IF(COUNTIF(Mots!A:A,Liens!C930)&gt;0,"✓ "&amp;Liens!C930,"✗ "&amp;Liens!C930&amp;" (introuvable)"))</f>
        <v>✓ sport</v>
      </c>
      <c r="E935" s="35" t="str">
        <f>IF(Liens!D930="","",IF(COUNTIF(Mots!A:A,Liens!D930)&gt;0,"✓ "&amp;Liens!D930,"✗ "&amp;Liens!D930&amp;" (introuvable)"))</f>
        <v>✓ bras</v>
      </c>
      <c r="F935" s="35" t="str">
        <f>IF(Liens!E930="","",IF(COUNTIF(Mots!A:A,Liens!E930)&gt;0,"✓ "&amp;Liens!E930,"✗ "&amp;Liens!E930&amp;" (introuvable)"))</f>
        <v>✓ jambe</v>
      </c>
      <c r="G935" s="35" t="str">
        <f>IF(Liens!F930="","",IF(COUNTIF(Mots!A:A,Liens!F930)&gt;0,"✓ "&amp;Liens!F930,"✗ "&amp;Liens!F930&amp;" (introuvable)"))</f>
        <v>✓ lac</v>
      </c>
      <c r="H935" s="35" t="str">
        <f>IF(Liens!G930="","",IF(COUNTIF(Mots!A:A,Liens!G930)&gt;0,"✓ "&amp;Liens!G930,"✗ "&amp;Liens!G930&amp;" (introuvable)"))</f>
        <v>✓ mer</v>
      </c>
      <c r="I935" s="35" t="str">
        <f>IF(Liens!H930="","",IF(COUNTIF(Mots!A:A,Liens!H930)&gt;0,"✓ "&amp;Liens!H930,"✗ "&amp;Liens!H930&amp;" (introuvable)"))</f>
        <v>✓ eau</v>
      </c>
    </row>
    <row r="936" spans="1:9" x14ac:dyDescent="0.3">
      <c r="A936">
        <f t="shared" si="11"/>
        <v>931</v>
      </c>
      <c r="B936" s="35" t="str">
        <f>IF(Liens!A931="","",IF(COUNTIF(Mots!A:A,Liens!A931)&gt;0,"✓ "&amp;Liens!A931,"✗ "&amp;Liens!A931&amp;" (introuvable)"))</f>
        <v>✓ v_nettoyer</v>
      </c>
      <c r="C936" s="35" t="str">
        <f>IF(Liens!B931="","",IF(COUNTIF(Mots!A:A,Liens!B931)&gt;0,"✓ "&amp;Liens!B931,"✗ "&amp;Liens!B931&amp;" (introuvable)"))</f>
        <v>✓ salete</v>
      </c>
      <c r="D936" s="35" t="str">
        <f>IF(Liens!C931="","",IF(COUNTIF(Mots!A:A,Liens!C931)&gt;0,"✓ "&amp;Liens!C931,"✗ "&amp;Liens!C931&amp;" (introuvable)"))</f>
        <v>✓ chiffon</v>
      </c>
      <c r="E936" s="35" t="str">
        <f>IF(Liens!D931="","",IF(COUNTIF(Mots!A:A,Liens!D931)&gt;0,"✓ "&amp;Liens!D931,"✗ "&amp;Liens!D931&amp;" (introuvable)"))</f>
        <v>✓ seau</v>
      </c>
      <c r="F936" s="35" t="str">
        <f>IF(Liens!E931="","",IF(COUNTIF(Mots!A:A,Liens!E931)&gt;0,"✓ "&amp;Liens!E931,"✗ "&amp;Liens!E931&amp;" (introuvable)"))</f>
        <v>✓ a_propre_sale</v>
      </c>
      <c r="G936" s="35" t="str">
        <f>IF(Liens!F931="","",IF(COUNTIF(Mots!A:A,Liens!F931)&gt;0,"✓ "&amp;Liens!F931,"✗ "&amp;Liens!F931&amp;" (introuvable)"))</f>
        <v>✓ v_laver</v>
      </c>
      <c r="H936" s="35" t="str">
        <f>IF(Liens!G931="","",IF(COUNTIF(Mots!A:A,Liens!G931)&gt;0,"✓ "&amp;Liens!G931,"✗ "&amp;Liens!G931&amp;" (introuvable)"))</f>
        <v>✓ v_recurrer</v>
      </c>
      <c r="I936" s="35" t="str">
        <f>IF(Liens!H931="","",IF(COUNTIF(Mots!A:A,Liens!H931)&gt;0,"✓ "&amp;Liens!H931,"✗ "&amp;Liens!H931&amp;" (introuvable)"))</f>
        <v>✓ produit_vaisselle</v>
      </c>
    </row>
    <row r="937" spans="1:9" x14ac:dyDescent="0.3">
      <c r="A937">
        <f t="shared" si="11"/>
        <v>932</v>
      </c>
      <c r="B937" s="35" t="str">
        <f>IF(Liens!A932="","",IF(COUNTIF(Mots!A:A,Liens!A932)&gt;0,"✓ "&amp;Liens!A932,"✗ "&amp;Liens!A932&amp;" (introuvable)"))</f>
        <v>✓ v_ordonner</v>
      </c>
      <c r="C937" s="35" t="str">
        <f>IF(Liens!B932="","",IF(COUNTIF(Mots!A:A,Liens!B932)&gt;0,"✓ "&amp;Liens!B932,"✗ "&amp;Liens!B932&amp;" (introuvable)"))</f>
        <v>✓ v_dire</v>
      </c>
      <c r="D937" s="35" t="str">
        <f>IF(Liens!C932="","",IF(COUNTIF(Mots!A:A,Liens!C932)&gt;0,"✓ "&amp;Liens!C932,"✗ "&amp;Liens!C932&amp;" (introuvable)"))</f>
        <v>✓ v_demander</v>
      </c>
      <c r="E937" s="35" t="str">
        <f>IF(Liens!D932="","",IF(COUNTIF(Mots!A:A,Liens!D932)&gt;0,"✓ "&amp;Liens!D932,"✗ "&amp;Liens!D932&amp;" (introuvable)"))</f>
        <v/>
      </c>
      <c r="F937" s="35" t="str">
        <f>IF(Liens!E932="","",IF(COUNTIF(Mots!A:A,Liens!E932)&gt;0,"✓ "&amp;Liens!E932,"✗ "&amp;Liens!E932&amp;" (introuvable)"))</f>
        <v/>
      </c>
      <c r="G937" s="35" t="str">
        <f>IF(Liens!F932="","",IF(COUNTIF(Mots!A:A,Liens!F932)&gt;0,"✓ "&amp;Liens!F932,"✗ "&amp;Liens!F932&amp;" (introuvable)"))</f>
        <v/>
      </c>
      <c r="H937" s="35" t="str">
        <f>IF(Liens!G932="","",IF(COUNTIF(Mots!A:A,Liens!G932)&gt;0,"✓ "&amp;Liens!G932,"✗ "&amp;Liens!G932&amp;" (introuvable)"))</f>
        <v/>
      </c>
      <c r="I937" s="35" t="str">
        <f>IF(Liens!H932="","",IF(COUNTIF(Mots!A:A,Liens!H932)&gt;0,"✓ "&amp;Liens!H932,"✗ "&amp;Liens!H932&amp;" (introuvable)"))</f>
        <v/>
      </c>
    </row>
    <row r="938" spans="1:9" x14ac:dyDescent="0.3">
      <c r="A938">
        <f t="shared" si="11"/>
        <v>933</v>
      </c>
      <c r="B938" s="35" t="str">
        <f>IF(Liens!A933="","",IF(COUNTIF(Mots!A:A,Liens!A933)&gt;0,"✓ "&amp;Liens!A933,"✗ "&amp;Liens!A933&amp;" (introuvable)"))</f>
        <v>✓ v_oublier</v>
      </c>
      <c r="C938" s="35" t="str">
        <f>IF(Liens!B933="","",IF(COUNTIF(Mots!A:A,Liens!B933)&gt;0,"✓ "&amp;Liens!B933,"✗ "&amp;Liens!B933&amp;" (introuvable)"))</f>
        <v>✓ v_penser</v>
      </c>
      <c r="D938" s="35" t="str">
        <f>IF(Liens!C933="","",IF(COUNTIF(Mots!A:A,Liens!C933)&gt;0,"✓ "&amp;Liens!C933,"✗ "&amp;Liens!C933&amp;" (introuvable)"))</f>
        <v>✓ pensee</v>
      </c>
      <c r="E938" s="35" t="str">
        <f>IF(Liens!D933="","",IF(COUNTIF(Mots!A:A,Liens!D933)&gt;0,"✓ "&amp;Liens!D933,"✗ "&amp;Liens!D933&amp;" (introuvable)"))</f>
        <v>✓ idee</v>
      </c>
      <c r="F938" s="35" t="str">
        <f>IF(Liens!E933="","",IF(COUNTIF(Mots!A:A,Liens!E933)&gt;0,"✓ "&amp;Liens!E933,"✗ "&amp;Liens!E933&amp;" (introuvable)"))</f>
        <v>✓ cerveau</v>
      </c>
      <c r="G938" s="35" t="str">
        <f>IF(Liens!F933="","",IF(COUNTIF(Mots!A:A,Liens!F933)&gt;0,"✓ "&amp;Liens!F933,"✗ "&amp;Liens!F933&amp;" (introuvable)"))</f>
        <v/>
      </c>
      <c r="H938" s="35" t="str">
        <f>IF(Liens!G933="","",IF(COUNTIF(Mots!A:A,Liens!G933)&gt;0,"✓ "&amp;Liens!G933,"✗ "&amp;Liens!G933&amp;" (introuvable)"))</f>
        <v/>
      </c>
      <c r="I938" s="35" t="str">
        <f>IF(Liens!H933="","",IF(COUNTIF(Mots!A:A,Liens!H933)&gt;0,"✓ "&amp;Liens!H933,"✗ "&amp;Liens!H933&amp;" (introuvable)"))</f>
        <v/>
      </c>
    </row>
    <row r="939" spans="1:9" x14ac:dyDescent="0.3">
      <c r="A939">
        <f t="shared" si="11"/>
        <v>934</v>
      </c>
      <c r="B939" s="35" t="str">
        <f>IF(Liens!A934="","",IF(COUNTIF(Mots!A:A,Liens!A934)&gt;0,"✓ "&amp;Liens!A934,"✗ "&amp;Liens!A934&amp;" (introuvable)"))</f>
        <v>✓ v_ouvrir</v>
      </c>
      <c r="C939" s="35" t="str">
        <f>IF(Liens!B934="","",IF(COUNTIF(Mots!A:A,Liens!B934)&gt;0,"✓ "&amp;Liens!B934,"✗ "&amp;Liens!B934&amp;" (introuvable)"))</f>
        <v>✓ porte</v>
      </c>
      <c r="D939" s="35" t="str">
        <f>IF(Liens!C934="","",IF(COUNTIF(Mots!A:A,Liens!C934)&gt;0,"✓ "&amp;Liens!C934,"✗ "&amp;Liens!C934&amp;" (introuvable)"))</f>
        <v>✓ fenetre</v>
      </c>
      <c r="E939" s="35" t="str">
        <f>IF(Liens!D934="","",IF(COUNTIF(Mots!A:A,Liens!D934)&gt;0,"✓ "&amp;Liens!D934,"✗ "&amp;Liens!D934&amp;" (introuvable)"))</f>
        <v>✓ robinet</v>
      </c>
      <c r="F939" s="35" t="str">
        <f>IF(Liens!E934="","",IF(COUNTIF(Mots!A:A,Liens!E934)&gt;0,"✓ "&amp;Liens!E934,"✗ "&amp;Liens!E934&amp;" (introuvable)"))</f>
        <v>✓ bouteille</v>
      </c>
      <c r="G939" s="35" t="str">
        <f>IF(Liens!F934="","",IF(COUNTIF(Mots!A:A,Liens!F934)&gt;0,"✓ "&amp;Liens!F934,"✗ "&amp;Liens!F934&amp;" (introuvable)"))</f>
        <v>✓ bocal</v>
      </c>
      <c r="H939" s="35" t="str">
        <f>IF(Liens!G934="","",IF(COUNTIF(Mots!A:A,Liens!G934)&gt;0,"✓ "&amp;Liens!G934,"✗ "&amp;Liens!G934&amp;" (introuvable)"))</f>
        <v>✓ enveloppe</v>
      </c>
      <c r="I939" s="35" t="str">
        <f>IF(Liens!H934="","",IF(COUNTIF(Mots!A:A,Liens!H934)&gt;0,"✓ "&amp;Liens!H934,"✗ "&amp;Liens!H934&amp;" (introuvable)"))</f>
        <v>✓ courrier</v>
      </c>
    </row>
    <row r="940" spans="1:9" x14ac:dyDescent="0.3">
      <c r="A940">
        <f t="shared" si="11"/>
        <v>935</v>
      </c>
      <c r="B940" s="35" t="str">
        <f>IF(Liens!A935="","",IF(COUNTIF(Mots!A:A,Liens!A935)&gt;0,"✓ "&amp;Liens!A935,"✗ "&amp;Liens!A935&amp;" (introuvable)"))</f>
        <v>✓ v_parler</v>
      </c>
      <c r="C940" s="35" t="str">
        <f>IF(Liens!B935="","",IF(COUNTIF(Mots!A:A,Liens!B935)&gt;0,"✓ "&amp;Liens!B935,"✗ "&amp;Liens!B935&amp;" (introuvable)"))</f>
        <v>✓ voix</v>
      </c>
      <c r="D940" s="35" t="str">
        <f>IF(Liens!C935="","",IF(COUNTIF(Mots!A:A,Liens!C935)&gt;0,"✓ "&amp;Liens!C935,"✗ "&amp;Liens!C935&amp;" (introuvable)"))</f>
        <v>✓ bouche</v>
      </c>
      <c r="E940" s="35" t="str">
        <f>IF(Liens!D935="","",IF(COUNTIF(Mots!A:A,Liens!D935)&gt;0,"✓ "&amp;Liens!D935,"✗ "&amp;Liens!D935&amp;" (introuvable)"))</f>
        <v>✓ langue</v>
      </c>
      <c r="F940" s="35" t="str">
        <f>IF(Liens!E935="","",IF(COUNTIF(Mots!A:A,Liens!E935)&gt;0,"✓ "&amp;Liens!E935,"✗ "&amp;Liens!E935&amp;" (introuvable)"))</f>
        <v>✓ gorge</v>
      </c>
      <c r="G940" s="35" t="str">
        <f>IF(Liens!F935="","",IF(COUNTIF(Mots!A:A,Liens!F935)&gt;0,"✓ "&amp;Liens!F935,"✗ "&amp;Liens!F935&amp;" (introuvable)"))</f>
        <v>✓ v_ecouter</v>
      </c>
      <c r="H940" s="35" t="str">
        <f>IF(Liens!G935="","",IF(COUNTIF(Mots!A:A,Liens!G935)&gt;0,"✓ "&amp;Liens!G935,"✗ "&amp;Liens!G935&amp;" (introuvable)"))</f>
        <v>✓ v_entendre</v>
      </c>
      <c r="I940" s="35" t="str">
        <f>IF(Liens!H935="","",IF(COUNTIF(Mots!A:A,Liens!H935)&gt;0,"✓ "&amp;Liens!H935,"✗ "&amp;Liens!H935&amp;" (introuvable)"))</f>
        <v>✓ son</v>
      </c>
    </row>
    <row r="941" spans="1:9" x14ac:dyDescent="0.3">
      <c r="A941">
        <f t="shared" si="11"/>
        <v>936</v>
      </c>
      <c r="B941" s="35" t="str">
        <f>IF(Liens!A936="","",IF(COUNTIF(Mots!A:A,Liens!A936)&gt;0,"✓ "&amp;Liens!A936,"✗ "&amp;Liens!A936&amp;" (introuvable)"))</f>
        <v>✓ v_partager</v>
      </c>
      <c r="C941" s="35" t="str">
        <f>IF(Liens!B936="","",IF(COUNTIF(Mots!A:A,Liens!B936)&gt;0,"✓ "&amp;Liens!B936,"✗ "&amp;Liens!B936&amp;" (introuvable)"))</f>
        <v>✓ ami</v>
      </c>
      <c r="D941" s="35" t="str">
        <f>IF(Liens!C936="","",IF(COUNTIF(Mots!A:A,Liens!C936)&gt;0,"✓ "&amp;Liens!C936,"✗ "&amp;Liens!C936&amp;" (introuvable)"))</f>
        <v>✓ sandwich</v>
      </c>
      <c r="E941" s="35" t="str">
        <f>IF(Liens!D936="","",IF(COUNTIF(Mots!A:A,Liens!D936)&gt;0,"✓ "&amp;Liens!D936,"✗ "&amp;Liens!D936&amp;" (introuvable)"))</f>
        <v>✓ emotion</v>
      </c>
      <c r="F941" s="35" t="str">
        <f>IF(Liens!E936="","",IF(COUNTIF(Mots!A:A,Liens!E936)&gt;0,"✓ "&amp;Liens!E936,"✗ "&amp;Liens!E936&amp;" (introuvable)"))</f>
        <v>✓ randonnee</v>
      </c>
      <c r="G941" s="35" t="str">
        <f>IF(Liens!F936="","",IF(COUNTIF(Mots!A:A,Liens!F936)&gt;0,"✓ "&amp;Liens!F936,"✗ "&amp;Liens!F936&amp;" (introuvable)"))</f>
        <v>✓ souvenir</v>
      </c>
      <c r="H941" s="35" t="str">
        <f>IF(Liens!G936="","",IF(COUNTIF(Mots!A:A,Liens!G936)&gt;0,"✓ "&amp;Liens!G936,"✗ "&amp;Liens!G936&amp;" (introuvable)"))</f>
        <v>✓ v_se_souvenir</v>
      </c>
      <c r="I941" s="35" t="str">
        <f>IF(Liens!H936="","",IF(COUNTIF(Mots!A:A,Liens!H936)&gt;0,"✓ "&amp;Liens!H936,"✗ "&amp;Liens!H936&amp;" (introuvable)"))</f>
        <v/>
      </c>
    </row>
    <row r="942" spans="1:9" x14ac:dyDescent="0.3">
      <c r="A942">
        <f t="shared" si="11"/>
        <v>937</v>
      </c>
      <c r="B942" s="35" t="str">
        <f>IF(Liens!A937="","",IF(COUNTIF(Mots!A:A,Liens!A937)&gt;0,"✓ "&amp;Liens!A937,"✗ "&amp;Liens!A937&amp;" (introuvable)"))</f>
        <v>✓ v_partir</v>
      </c>
      <c r="C942" s="35" t="str">
        <f>IF(Liens!B937="","",IF(COUNTIF(Mots!A:A,Liens!B937)&gt;0,"✓ "&amp;Liens!B937,"✗ "&amp;Liens!B937&amp;" (introuvable)"))</f>
        <v>✓ v_aller</v>
      </c>
      <c r="D942" s="35" t="str">
        <f>IF(Liens!C937="","",IF(COUNTIF(Mots!A:A,Liens!C937)&gt;0,"✓ "&amp;Liens!C937,"✗ "&amp;Liens!C937&amp;" (introuvable)"))</f>
        <v>✓ voiture</v>
      </c>
      <c r="E942" s="35" t="str">
        <f>IF(Liens!D937="","",IF(COUNTIF(Mots!A:A,Liens!D937)&gt;0,"✓ "&amp;Liens!D937,"✗ "&amp;Liens!D937&amp;" (introuvable)"))</f>
        <v>✓ train</v>
      </c>
      <c r="F942" s="35" t="str">
        <f>IF(Liens!E937="","",IF(COUNTIF(Mots!A:A,Liens!E937)&gt;0,"✓ "&amp;Liens!E937,"✗ "&amp;Liens!E937&amp;" (introuvable)"))</f>
        <v>✓ car_postal</v>
      </c>
      <c r="G942" s="35" t="str">
        <f>IF(Liens!F937="","",IF(COUNTIF(Mots!A:A,Liens!F937)&gt;0,"✓ "&amp;Liens!F937,"✗ "&amp;Liens!F937&amp;" (introuvable)"))</f>
        <v>✓ route</v>
      </c>
      <c r="H942" s="35" t="str">
        <f>IF(Liens!G937="","",IF(COUNTIF(Mots!A:A,Liens!G937)&gt;0,"✓ "&amp;Liens!G937,"✗ "&amp;Liens!G937&amp;" (introuvable)"))</f>
        <v>✓ avion</v>
      </c>
      <c r="I942" s="35" t="str">
        <f>IF(Liens!H937="","",IF(COUNTIF(Mots!A:A,Liens!H937)&gt;0,"✓ "&amp;Liens!H937,"✗ "&amp;Liens!H937&amp;" (introuvable)"))</f>
        <v>✓ vacances</v>
      </c>
    </row>
    <row r="943" spans="1:9" x14ac:dyDescent="0.3">
      <c r="A943">
        <f t="shared" si="11"/>
        <v>938</v>
      </c>
      <c r="B943" s="35" t="str">
        <f>IF(Liens!A938="","",IF(COUNTIF(Mots!A:A,Liens!A938)&gt;0,"✓ "&amp;Liens!A938,"✗ "&amp;Liens!A938&amp;" (introuvable)"))</f>
        <v>✓ v_payer</v>
      </c>
      <c r="C943" s="35" t="str">
        <f>IF(Liens!B938="","",IF(COUNTIF(Mots!A:A,Liens!B938)&gt;0,"✓ "&amp;Liens!B938,"✗ "&amp;Liens!B938&amp;" (introuvable)"))</f>
        <v>✓ carte_debit</v>
      </c>
      <c r="D943" s="35" t="str">
        <f>IF(Liens!C938="","",IF(COUNTIF(Mots!A:A,Liens!C938)&gt;0,"✓ "&amp;Liens!C938,"✗ "&amp;Liens!C938&amp;" (introuvable)"))</f>
        <v>✓ argent</v>
      </c>
      <c r="E943" s="35" t="str">
        <f>IF(Liens!D938="","",IF(COUNTIF(Mots!A:A,Liens!D938)&gt;0,"✓ "&amp;Liens!D938,"✗ "&amp;Liens!D938&amp;" (introuvable)"))</f>
        <v>✓ v_acheter</v>
      </c>
      <c r="F943" s="35" t="str">
        <f>IF(Liens!E938="","",IF(COUNTIF(Mots!A:A,Liens!E938)&gt;0,"✓ "&amp;Liens!E938,"✗ "&amp;Liens!E938&amp;" (introuvable)"))</f>
        <v>✓ nourriture</v>
      </c>
      <c r="G943" s="35" t="str">
        <f>IF(Liens!F938="","",IF(COUNTIF(Mots!A:A,Liens!F938)&gt;0,"✓ "&amp;Liens!F938,"✗ "&amp;Liens!F938&amp;" (introuvable)"))</f>
        <v>✓ vetement</v>
      </c>
      <c r="H943" s="35" t="str">
        <f>IF(Liens!G938="","",IF(COUNTIF(Mots!A:A,Liens!G938)&gt;0,"✓ "&amp;Liens!G938,"✗ "&amp;Liens!G938&amp;" (introuvable)"))</f>
        <v>✓ habit</v>
      </c>
      <c r="I943" s="35" t="str">
        <f>IF(Liens!H938="","",IF(COUNTIF(Mots!A:A,Liens!H938)&gt;0,"✓ "&amp;Liens!H938,"✗ "&amp;Liens!H938&amp;" (introuvable)"))</f>
        <v>✓ souliers</v>
      </c>
    </row>
    <row r="944" spans="1:9" x14ac:dyDescent="0.3">
      <c r="A944">
        <f t="shared" si="11"/>
        <v>939</v>
      </c>
      <c r="B944" s="35" t="str">
        <f>IF(Liens!A939="","",IF(COUNTIF(Mots!A:A,Liens!A939)&gt;0,"✓ "&amp;Liens!A939,"✗ "&amp;Liens!A939&amp;" (introuvable)"))</f>
        <v>✓ v_penser</v>
      </c>
      <c r="C944" s="35" t="str">
        <f>IF(Liens!B939="","",IF(COUNTIF(Mots!A:A,Liens!B939)&gt;0,"✓ "&amp;Liens!B939,"✗ "&amp;Liens!B939&amp;" (introuvable)"))</f>
        <v>✓ tete</v>
      </c>
      <c r="D944" s="35" t="str">
        <f>IF(Liens!C939="","",IF(COUNTIF(Mots!A:A,Liens!C939)&gt;0,"✓ "&amp;Liens!C939,"✗ "&amp;Liens!C939&amp;" (introuvable)"))</f>
        <v>✓ cerveau</v>
      </c>
      <c r="E944" s="35" t="str">
        <f>IF(Liens!D939="","",IF(COUNTIF(Mots!A:A,Liens!D939)&gt;0,"✓ "&amp;Liens!D939,"✗ "&amp;Liens!D939&amp;" (introuvable)"))</f>
        <v>✓ medicament</v>
      </c>
      <c r="F944" s="35" t="str">
        <f>IF(Liens!E939="","",IF(COUNTIF(Mots!A:A,Liens!E939)&gt;0,"✓ "&amp;Liens!E939,"✗ "&amp;Liens!E939&amp;" (introuvable)"))</f>
        <v>✓ v_manger</v>
      </c>
      <c r="G944" s="35" t="str">
        <f>IF(Liens!F939="","",IF(COUNTIF(Mots!A:A,Liens!F939)&gt;0,"✓ "&amp;Liens!F939,"✗ "&amp;Liens!F939&amp;" (introuvable)"))</f>
        <v>✓ v_boire</v>
      </c>
      <c r="H944" s="35" t="str">
        <f>IF(Liens!G939="","",IF(COUNTIF(Mots!A:A,Liens!G939)&gt;0,"✓ "&amp;Liens!G939,"✗ "&amp;Liens!G939&amp;" (introuvable)"))</f>
        <v>✓ v_lire</v>
      </c>
      <c r="I944" s="35" t="str">
        <f>IF(Liens!H939="","",IF(COUNTIF(Mots!A:A,Liens!H939)&gt;0,"✓ "&amp;Liens!H939,"✗ "&amp;Liens!H939&amp;" (introuvable)"))</f>
        <v>✓ v_apprendre</v>
      </c>
    </row>
    <row r="945" spans="1:9" x14ac:dyDescent="0.3">
      <c r="A945">
        <f t="shared" si="11"/>
        <v>940</v>
      </c>
      <c r="B945" s="35" t="str">
        <f>IF(Liens!A940="","",IF(COUNTIF(Mots!A:A,Liens!A940)&gt;0,"✓ "&amp;Liens!A940,"✗ "&amp;Liens!A940&amp;" (introuvable)"))</f>
        <v>✓ v_perdre</v>
      </c>
      <c r="C945" s="35" t="str">
        <f>IF(Liens!B940="","",IF(COUNTIF(Mots!A:A,Liens!B940)&gt;0,"✓ "&amp;Liens!B940,"✗ "&amp;Liens!B940&amp;" (introuvable)"))</f>
        <v>✓ chose</v>
      </c>
      <c r="D945" s="35" t="str">
        <f>IF(Liens!C940="","",IF(COUNTIF(Mots!A:A,Liens!C940)&gt;0,"✓ "&amp;Liens!C940,"✗ "&amp;Liens!C940&amp;" (introuvable)"))</f>
        <v>✓ cle</v>
      </c>
      <c r="E945" s="35" t="str">
        <f>IF(Liens!D940="","",IF(COUNTIF(Mots!A:A,Liens!D940)&gt;0,"✓ "&amp;Liens!D940,"✗ "&amp;Liens!D940&amp;" (introuvable)"))</f>
        <v>✓ porte_monnaie</v>
      </c>
      <c r="F945" s="35" t="str">
        <f>IF(Liens!E940="","",IF(COUNTIF(Mots!A:A,Liens!E940)&gt;0,"✓ "&amp;Liens!E940,"✗ "&amp;Liens!E940&amp;" (introuvable)"))</f>
        <v>✓ carte_debit</v>
      </c>
      <c r="G945" s="35" t="str">
        <f>IF(Liens!F940="","",IF(COUNTIF(Mots!A:A,Liens!F940)&gt;0,"✓ "&amp;Liens!F940,"✗ "&amp;Liens!F940&amp;" (introuvable)"))</f>
        <v>✓ smartphone</v>
      </c>
      <c r="H945" s="35" t="str">
        <f>IF(Liens!G940="","",IF(COUNTIF(Mots!A:A,Liens!G940)&gt;0,"✓ "&amp;Liens!G940,"✗ "&amp;Liens!G940&amp;" (introuvable)"))</f>
        <v>✓ veste</v>
      </c>
      <c r="I945" s="35" t="str">
        <f>IF(Liens!H940="","",IF(COUNTIF(Mots!A:A,Liens!H940)&gt;0,"✓ "&amp;Liens!H940,"✗ "&amp;Liens!H940&amp;" (introuvable)"))</f>
        <v>✓ pullover</v>
      </c>
    </row>
    <row r="946" spans="1:9" x14ac:dyDescent="0.3">
      <c r="A946">
        <f t="shared" si="11"/>
        <v>941</v>
      </c>
      <c r="B946" s="35" t="str">
        <f>IF(Liens!A941="","",IF(COUNTIF(Mots!A:A,Liens!A941)&gt;0,"✓ "&amp;Liens!A941,"✗ "&amp;Liens!A941&amp;" (introuvable)"))</f>
        <v>✓ v_plaindre</v>
      </c>
      <c r="C946" s="35" t="str">
        <f>IF(Liens!B941="","",IF(COUNTIF(Mots!A:A,Liens!B941)&gt;0,"✓ "&amp;Liens!B941,"✗ "&amp;Liens!B941&amp;" (introuvable)"))</f>
        <v>✓ peine</v>
      </c>
      <c r="D946" s="35" t="str">
        <f>IF(Liens!C941="","",IF(COUNTIF(Mots!A:A,Liens!C941)&gt;0,"✓ "&amp;Liens!C941,"✗ "&amp;Liens!C941&amp;" (introuvable)"))</f>
        <v>✓ v_dire</v>
      </c>
      <c r="E946" s="35" t="str">
        <f>IF(Liens!D941="","",IF(COUNTIF(Mots!A:A,Liens!D941)&gt;0,"✓ "&amp;Liens!D941,"✗ "&amp;Liens!D941&amp;" (introuvable)"))</f>
        <v>✓ pitie</v>
      </c>
      <c r="F946" s="35" t="str">
        <f>IF(Liens!E941="","",IF(COUNTIF(Mots!A:A,Liens!E941)&gt;0,"✓ "&amp;Liens!E941,"✗ "&amp;Liens!E941&amp;" (introuvable)"))</f>
        <v>✓ v_aider</v>
      </c>
      <c r="G946" s="35" t="str">
        <f>IF(Liens!F941="","",IF(COUNTIF(Mots!A:A,Liens!F941)&gt;0,"✓ "&amp;Liens!F941,"✗ "&amp;Liens!F941&amp;" (introuvable)"))</f>
        <v/>
      </c>
      <c r="H946" s="35" t="str">
        <f>IF(Liens!G941="","",IF(COUNTIF(Mots!A:A,Liens!G941)&gt;0,"✓ "&amp;Liens!G941,"✗ "&amp;Liens!G941&amp;" (introuvable)"))</f>
        <v/>
      </c>
      <c r="I946" s="35" t="str">
        <f>IF(Liens!H941="","",IF(COUNTIF(Mots!A:A,Liens!H941)&gt;0,"✓ "&amp;Liens!H941,"✗ "&amp;Liens!H941&amp;" (introuvable)"))</f>
        <v/>
      </c>
    </row>
    <row r="947" spans="1:9" x14ac:dyDescent="0.3">
      <c r="A947">
        <f t="shared" si="11"/>
        <v>942</v>
      </c>
      <c r="B947" s="35" t="str">
        <f>IF(Liens!A942="","",IF(COUNTIF(Mots!A:A,Liens!A942)&gt;0,"✓ "&amp;Liens!A942,"✗ "&amp;Liens!A942&amp;" (introuvable)"))</f>
        <v>✓ v_pleurer</v>
      </c>
      <c r="C947" s="35" t="str">
        <f>IF(Liens!B942="","",IF(COUNTIF(Mots!A:A,Liens!B942)&gt;0,"✓ "&amp;Liens!B942,"✗ "&amp;Liens!B942&amp;" (introuvable)"))</f>
        <v>✓ larme</v>
      </c>
      <c r="D947" s="35" t="str">
        <f>IF(Liens!C942="","",IF(COUNTIF(Mots!A:A,Liens!C942)&gt;0,"✓ "&amp;Liens!C942,"✗ "&amp;Liens!C942&amp;" (introuvable)"))</f>
        <v>✓ visage</v>
      </c>
      <c r="E947" s="35" t="str">
        <f>IF(Liens!D942="","",IF(COUNTIF(Mots!A:A,Liens!D942)&gt;0,"✓ "&amp;Liens!D942,"✗ "&amp;Liens!D942&amp;" (introuvable)"))</f>
        <v>✓ a_content_triste</v>
      </c>
      <c r="F947" s="35" t="str">
        <f>IF(Liens!E942="","",IF(COUNTIF(Mots!A:A,Liens!E942)&gt;0,"✓ "&amp;Liens!E942,"✗ "&amp;Liens!E942&amp;" (introuvable)"))</f>
        <v>✓ tristesse</v>
      </c>
      <c r="G947" s="35" t="str">
        <f>IF(Liens!F942="","",IF(COUNTIF(Mots!A:A,Liens!F942)&gt;0,"✓ "&amp;Liens!F942,"✗ "&amp;Liens!F942&amp;" (introuvable)"))</f>
        <v>✓ solitude</v>
      </c>
      <c r="H947" s="35" t="str">
        <f>IF(Liens!G942="","",IF(COUNTIF(Mots!A:A,Liens!G942)&gt;0,"✓ "&amp;Liens!G942,"✗ "&amp;Liens!G942&amp;" (introuvable)"))</f>
        <v/>
      </c>
      <c r="I947" s="35" t="str">
        <f>IF(Liens!H942="","",IF(COUNTIF(Mots!A:A,Liens!H942)&gt;0,"✓ "&amp;Liens!H942,"✗ "&amp;Liens!H942&amp;" (introuvable)"))</f>
        <v/>
      </c>
    </row>
    <row r="948" spans="1:9" x14ac:dyDescent="0.3">
      <c r="A948">
        <f t="shared" si="11"/>
        <v>943</v>
      </c>
      <c r="B948" s="35" t="str">
        <f>IF(Liens!A943="","",IF(COUNTIF(Mots!A:A,Liens!A943)&gt;0,"✓ "&amp;Liens!A943,"✗ "&amp;Liens!A943&amp;" (introuvable)"))</f>
        <v>✓ v_porter</v>
      </c>
      <c r="C948" s="35" t="str">
        <f>IF(Liens!B943="","",IF(COUNTIF(Mots!A:A,Liens!B943)&gt;0,"✓ "&amp;Liens!B943,"✗ "&amp;Liens!B943&amp;" (introuvable)"))</f>
        <v>✓ bras</v>
      </c>
      <c r="D948" s="35" t="str">
        <f>IF(Liens!C943="","",IF(COUNTIF(Mots!A:A,Liens!C943)&gt;0,"✓ "&amp;Liens!C943,"✗ "&amp;Liens!C943&amp;" (introuvable)"))</f>
        <v>✓ dos</v>
      </c>
      <c r="E948" s="35" t="str">
        <f>IF(Liens!D943="","",IF(COUNTIF(Mots!A:A,Liens!D943)&gt;0,"✓ "&amp;Liens!D943,"✗ "&amp;Liens!D943&amp;" (introuvable)"))</f>
        <v>✓ force</v>
      </c>
      <c r="F948" s="35" t="str">
        <f>IF(Liens!E943="","",IF(COUNTIF(Mots!A:A,Liens!E943)&gt;0,"✓ "&amp;Liens!E943,"✗ "&amp;Liens!E943&amp;" (introuvable)"))</f>
        <v>✓ sac_a_dos</v>
      </c>
      <c r="G948" s="35" t="str">
        <f>IF(Liens!F943="","",IF(COUNTIF(Mots!A:A,Liens!F943)&gt;0,"✓ "&amp;Liens!F943,"✗ "&amp;Liens!F943&amp;" (introuvable)"))</f>
        <v>✓ enfants</v>
      </c>
      <c r="H948" s="35" t="str">
        <f>IF(Liens!G943="","",IF(COUNTIF(Mots!A:A,Liens!G943)&gt;0,"✓ "&amp;Liens!G943,"✗ "&amp;Liens!G943&amp;" (introuvable)"))</f>
        <v/>
      </c>
      <c r="I948" s="35" t="str">
        <f>IF(Liens!H943="","",IF(COUNTIF(Mots!A:A,Liens!H943)&gt;0,"✓ "&amp;Liens!H943,"✗ "&amp;Liens!H943&amp;" (introuvable)"))</f>
        <v/>
      </c>
    </row>
    <row r="949" spans="1:9" x14ac:dyDescent="0.3">
      <c r="A949">
        <f t="shared" si="11"/>
        <v>944</v>
      </c>
      <c r="B949" s="35" t="str">
        <f>IF(Liens!A944="","",IF(COUNTIF(Mots!A:A,Liens!A944)&gt;0,"✓ "&amp;Liens!A944,"✗ "&amp;Liens!A944&amp;" (introuvable)"))</f>
        <v>✓ v_poser</v>
      </c>
      <c r="C949" s="35" t="str">
        <f>IF(Liens!B944="","",IF(COUNTIF(Mots!A:A,Liens!B944)&gt;0,"✓ "&amp;Liens!B944,"✗ "&amp;Liens!B944&amp;" (introuvable)"))</f>
        <v>✓ sol</v>
      </c>
      <c r="D949" s="35" t="str">
        <f>IF(Liens!C944="","",IF(COUNTIF(Mots!A:A,Liens!C944)&gt;0,"✓ "&amp;Liens!C944,"✗ "&amp;Liens!C944&amp;" (introuvable)"))</f>
        <v>✓ main</v>
      </c>
      <c r="E949" s="35" t="str">
        <f>IF(Liens!D944="","",IF(COUNTIF(Mots!A:A,Liens!D944)&gt;0,"✓ "&amp;Liens!D944,"✗ "&amp;Liens!D944&amp;" (introuvable)"))</f>
        <v>✓ question</v>
      </c>
      <c r="F949" s="35" t="str">
        <f>IF(Liens!E944="","",IF(COUNTIF(Mots!A:A,Liens!E944)&gt;0,"✓ "&amp;Liens!E944,"✗ "&amp;Liens!E944&amp;" (introuvable)"))</f>
        <v/>
      </c>
      <c r="G949" s="35" t="str">
        <f>IF(Liens!F944="","",IF(COUNTIF(Mots!A:A,Liens!F944)&gt;0,"✓ "&amp;Liens!F944,"✗ "&amp;Liens!F944&amp;" (introuvable)"))</f>
        <v/>
      </c>
      <c r="H949" s="35" t="str">
        <f>IF(Liens!G944="","",IF(COUNTIF(Mots!A:A,Liens!G944)&gt;0,"✓ "&amp;Liens!G944,"✗ "&amp;Liens!G944&amp;" (introuvable)"))</f>
        <v/>
      </c>
      <c r="I949" s="35" t="str">
        <f>IF(Liens!H944="","",IF(COUNTIF(Mots!A:A,Liens!H944)&gt;0,"✓ "&amp;Liens!H944,"✗ "&amp;Liens!H944&amp;" (introuvable)"))</f>
        <v/>
      </c>
    </row>
    <row r="950" spans="1:9" x14ac:dyDescent="0.3">
      <c r="A950">
        <f t="shared" si="11"/>
        <v>945</v>
      </c>
      <c r="B950" s="35" t="str">
        <f>IF(Liens!A945="","",IF(COUNTIF(Mots!A:A,Liens!A945)&gt;0,"✓ "&amp;Liens!A945,"✗ "&amp;Liens!A945&amp;" (introuvable)"))</f>
        <v>✓ v_pousser</v>
      </c>
      <c r="C950" s="35" t="str">
        <f>IF(Liens!B945="","",IF(COUNTIF(Mots!A:A,Liens!B945)&gt;0,"✓ "&amp;Liens!B945,"✗ "&amp;Liens!B945&amp;" (introuvable)"))</f>
        <v>✓ panne</v>
      </c>
      <c r="D950" s="35" t="str">
        <f>IF(Liens!C945="","",IF(COUNTIF(Mots!A:A,Liens!C945)&gt;0,"✓ "&amp;Liens!C945,"✗ "&amp;Liens!C945&amp;" (introuvable)"))</f>
        <v>✓ v_reparer</v>
      </c>
      <c r="E950" s="35" t="str">
        <f>IF(Liens!D945="","",IF(COUNTIF(Mots!A:A,Liens!D945)&gt;0,"✓ "&amp;Liens!D945,"✗ "&amp;Liens!D945&amp;" (introuvable)"))</f>
        <v>✓ mecanicien</v>
      </c>
      <c r="F950" s="35" t="str">
        <f>IF(Liens!E945="","",IF(COUNTIF(Mots!A:A,Liens!E945)&gt;0,"✓ "&amp;Liens!E945,"✗ "&amp;Liens!E945&amp;" (introuvable)"))</f>
        <v>✓ plante</v>
      </c>
      <c r="G950" s="35" t="str">
        <f>IF(Liens!F945="","",IF(COUNTIF(Mots!A:A,Liens!F945)&gt;0,"✓ "&amp;Liens!F945,"✗ "&amp;Liens!F945&amp;" (introuvable)"))</f>
        <v>✓ e_terre</v>
      </c>
      <c r="H950" s="35" t="str">
        <f>IF(Liens!G945="","",IF(COUNTIF(Mots!A:A,Liens!G945)&gt;0,"✓ "&amp;Liens!G945,"✗ "&amp;Liens!G945&amp;" (introuvable)"))</f>
        <v>✓ soleil</v>
      </c>
      <c r="I950" s="35" t="str">
        <f>IF(Liens!H945="","",IF(COUNTIF(Mots!A:A,Liens!H945)&gt;0,"✓ "&amp;Liens!H945,"✗ "&amp;Liens!H945&amp;" (introuvable)"))</f>
        <v>✓ eau</v>
      </c>
    </row>
    <row r="951" spans="1:9" x14ac:dyDescent="0.3">
      <c r="A951">
        <f t="shared" si="11"/>
        <v>946</v>
      </c>
      <c r="B951" s="35" t="str">
        <f>IF(Liens!A946="","",IF(COUNTIF(Mots!A:A,Liens!A946)&gt;0,"✓ "&amp;Liens!A946,"✗ "&amp;Liens!A946&amp;" (introuvable)"))</f>
        <v>✓ v_pouvoir</v>
      </c>
      <c r="C951" s="35" t="str">
        <f>IF(Liens!B946="","",IF(COUNTIF(Mots!A:A,Liens!B946)&gt;0,"✓ "&amp;Liens!B946,"✗ "&amp;Liens!B946&amp;" (introuvable)"))</f>
        <v>✓ possibilite</v>
      </c>
      <c r="D951" s="35" t="str">
        <f>IF(Liens!C946="","",IF(COUNTIF(Mots!A:A,Liens!C946)&gt;0,"✓ "&amp;Liens!C946,"✗ "&amp;Liens!C946&amp;" (introuvable)"))</f>
        <v>✓ droit</v>
      </c>
      <c r="E951" s="35" t="str">
        <f>IF(Liens!D946="","",IF(COUNTIF(Mots!A:A,Liens!D946)&gt;0,"✓ "&amp;Liens!D946,"✗ "&amp;Liens!D946&amp;" (introuvable)"))</f>
        <v>✓ v_choisir</v>
      </c>
      <c r="F951" s="35" t="str">
        <f>IF(Liens!E946="","",IF(COUNTIF(Mots!A:A,Liens!E946)&gt;0,"✓ "&amp;Liens!E946,"✗ "&amp;Liens!E946&amp;" (introuvable)"))</f>
        <v>✓ v_decider</v>
      </c>
      <c r="G951" s="35" t="str">
        <f>IF(Liens!F946="","",IF(COUNTIF(Mots!A:A,Liens!F946)&gt;0,"✓ "&amp;Liens!F946,"✗ "&amp;Liens!F946&amp;" (introuvable)"))</f>
        <v/>
      </c>
      <c r="H951" s="35" t="str">
        <f>IF(Liens!G946="","",IF(COUNTIF(Mots!A:A,Liens!G946)&gt;0,"✓ "&amp;Liens!G946,"✗ "&amp;Liens!G946&amp;" (introuvable)"))</f>
        <v/>
      </c>
      <c r="I951" s="35" t="str">
        <f>IF(Liens!H946="","",IF(COUNTIF(Mots!A:A,Liens!H946)&gt;0,"✓ "&amp;Liens!H946,"✗ "&amp;Liens!H946&amp;" (introuvable)"))</f>
        <v/>
      </c>
    </row>
    <row r="952" spans="1:9" x14ac:dyDescent="0.3">
      <c r="A952">
        <f t="shared" si="11"/>
        <v>947</v>
      </c>
      <c r="B952" s="35" t="str">
        <f>IF(Liens!A947="","",IF(COUNTIF(Mots!A:A,Liens!A947)&gt;0,"✓ "&amp;Liens!A947,"✗ "&amp;Liens!A947&amp;" (introuvable)"))</f>
        <v>✓ v_prendre</v>
      </c>
      <c r="C952" s="35" t="str">
        <f>IF(Liens!B947="","",IF(COUNTIF(Mots!A:A,Liens!B947)&gt;0,"✓ "&amp;Liens!B947,"✗ "&amp;Liens!B947&amp;" (introuvable)"))</f>
        <v>✓ chose</v>
      </c>
      <c r="D952" s="35" t="str">
        <f>IF(Liens!C947="","",IF(COUNTIF(Mots!A:A,Liens!C947)&gt;0,"✓ "&amp;Liens!C947,"✗ "&amp;Liens!C947&amp;" (introuvable)"))</f>
        <v>✓ main</v>
      </c>
      <c r="E952" s="35" t="str">
        <f>IF(Liens!D947="","",IF(COUNTIF(Mots!A:A,Liens!D947)&gt;0,"✓ "&amp;Liens!D947,"✗ "&amp;Liens!D947&amp;" (introuvable)"))</f>
        <v>✓ doigt</v>
      </c>
      <c r="F952" s="35" t="str">
        <f>IF(Liens!E947="","",IF(COUNTIF(Mots!A:A,Liens!E947)&gt;0,"✓ "&amp;Liens!E947,"✗ "&amp;Liens!E947&amp;" (introuvable)"))</f>
        <v>✓ sac</v>
      </c>
      <c r="G952" s="35" t="str">
        <f>IF(Liens!F947="","",IF(COUNTIF(Mots!A:A,Liens!F947)&gt;0,"✓ "&amp;Liens!F947,"✗ "&amp;Liens!F947&amp;" (introuvable)"))</f>
        <v>✓ voiture</v>
      </c>
      <c r="H952" s="35" t="str">
        <f>IF(Liens!G947="","",IF(COUNTIF(Mots!A:A,Liens!G947)&gt;0,"✓ "&amp;Liens!G947,"✗ "&amp;Liens!G947&amp;" (introuvable)"))</f>
        <v>✓ train</v>
      </c>
      <c r="I952" s="35" t="str">
        <f>IF(Liens!H947="","",IF(COUNTIF(Mots!A:A,Liens!H947)&gt;0,"✓ "&amp;Liens!H947,"✗ "&amp;Liens!H947&amp;" (introuvable)"))</f>
        <v>✓ car_postal</v>
      </c>
    </row>
    <row r="953" spans="1:9" x14ac:dyDescent="0.3">
      <c r="A953">
        <f t="shared" si="11"/>
        <v>948</v>
      </c>
      <c r="B953" s="35" t="str">
        <f>IF(Liens!A948="","",IF(COUNTIF(Mots!A:A,Liens!A948)&gt;0,"✓ "&amp;Liens!A948,"✗ "&amp;Liens!A948&amp;" (introuvable)"))</f>
        <v>✓ v_preparer</v>
      </c>
      <c r="C953" s="35" t="str">
        <f>IF(Liens!B948="","",IF(COUNTIF(Mots!A:A,Liens!B948)&gt;0,"✓ "&amp;Liens!B948,"✗ "&amp;Liens!B948&amp;" (introuvable)"))</f>
        <v>✓ pret</v>
      </c>
      <c r="D953" s="35" t="str">
        <f>IF(Liens!C948="","",IF(COUNTIF(Mots!A:A,Liens!C948)&gt;0,"✓ "&amp;Liens!C948,"✗ "&amp;Liens!C948&amp;" (introuvable)"))</f>
        <v>✓ repas</v>
      </c>
      <c r="E953" s="35" t="str">
        <f>IF(Liens!D948="","",IF(COUNTIF(Mots!A:A,Liens!D948)&gt;0,"✓ "&amp;Liens!D948,"✗ "&amp;Liens!D948&amp;" (introuvable)"))</f>
        <v>✓ voyage</v>
      </c>
      <c r="F953" s="35" t="str">
        <f>IF(Liens!E948="","",IF(COUNTIF(Mots!A:A,Liens!E948)&gt;0,"✓ "&amp;Liens!E948,"✗ "&amp;Liens!E948&amp;" (introuvable)"))</f>
        <v>✓ vacances</v>
      </c>
      <c r="G953" s="35" t="str">
        <f>IF(Liens!F948="","",IF(COUNTIF(Mots!A:A,Liens!F948)&gt;0,"✓ "&amp;Liens!F948,"✗ "&amp;Liens!F948&amp;" (introuvable)"))</f>
        <v/>
      </c>
      <c r="H953" s="35" t="str">
        <f>IF(Liens!G948="","",IF(COUNTIF(Mots!A:A,Liens!G948)&gt;0,"✓ "&amp;Liens!G948,"✗ "&amp;Liens!G948&amp;" (introuvable)"))</f>
        <v/>
      </c>
      <c r="I953" s="35" t="str">
        <f>IF(Liens!H948="","",IF(COUNTIF(Mots!A:A,Liens!H948)&gt;0,"✓ "&amp;Liens!H948,"✗ "&amp;Liens!H948&amp;" (introuvable)"))</f>
        <v/>
      </c>
    </row>
    <row r="954" spans="1:9" x14ac:dyDescent="0.3">
      <c r="A954">
        <f t="shared" si="11"/>
        <v>949</v>
      </c>
      <c r="B954" s="35" t="str">
        <f>IF(Liens!A949="","",IF(COUNTIF(Mots!A:A,Liens!A949)&gt;0,"✓ "&amp;Liens!A949,"✗ "&amp;Liens!A949&amp;" (introuvable)"))</f>
        <v>✓ v_prevenir</v>
      </c>
      <c r="C954" s="35" t="str">
        <f>IF(Liens!B949="","",IF(COUNTIF(Mots!A:A,Liens!B949)&gt;0,"✓ "&amp;Liens!B949,"✗ "&amp;Liens!B949&amp;" (introuvable)"))</f>
        <v>✓ v_annoncer</v>
      </c>
      <c r="D954" s="35" t="str">
        <f>IF(Liens!C949="","",IF(COUNTIF(Mots!A:A,Liens!C949)&gt;0,"✓ "&amp;Liens!C949,"✗ "&amp;Liens!C949&amp;" (introuvable)"))</f>
        <v>✓ information</v>
      </c>
      <c r="E954" s="35" t="str">
        <f>IF(Liens!D949="","",IF(COUNTIF(Mots!A:A,Liens!D949)&gt;0,"✓ "&amp;Liens!D949,"✗ "&amp;Liens!D949&amp;" (introuvable)"))</f>
        <v>✓ danger</v>
      </c>
      <c r="F954" s="35" t="str">
        <f>IF(Liens!E949="","",IF(COUNTIF(Mots!A:A,Liens!E949)&gt;0,"✓ "&amp;Liens!E949,"✗ "&amp;Liens!E949&amp;" (introuvable)"))</f>
        <v>✓ v_dire</v>
      </c>
      <c r="G954" s="35" t="str">
        <f>IF(Liens!F949="","",IF(COUNTIF(Mots!A:A,Liens!F949)&gt;0,"✓ "&amp;Liens!F949,"✗ "&amp;Liens!F949&amp;" (introuvable)"))</f>
        <v/>
      </c>
      <c r="H954" s="35" t="str">
        <f>IF(Liens!G949="","",IF(COUNTIF(Mots!A:A,Liens!G949)&gt;0,"✓ "&amp;Liens!G949,"✗ "&amp;Liens!G949&amp;" (introuvable)"))</f>
        <v/>
      </c>
      <c r="I954" s="35" t="str">
        <f>IF(Liens!H949="","",IF(COUNTIF(Mots!A:A,Liens!H949)&gt;0,"✓ "&amp;Liens!H949,"✗ "&amp;Liens!H949&amp;" (introuvable)"))</f>
        <v/>
      </c>
    </row>
    <row r="955" spans="1:9" x14ac:dyDescent="0.3">
      <c r="A955">
        <f t="shared" si="11"/>
        <v>950</v>
      </c>
      <c r="B955" s="35" t="str">
        <f>IF(Liens!A950="","",IF(COUNTIF(Mots!A:A,Liens!A950)&gt;0,"✓ "&amp;Liens!A950,"✗ "&amp;Liens!A950&amp;" (introuvable)"))</f>
        <v>✓ v_promettre</v>
      </c>
      <c r="C955" s="35" t="str">
        <f>IF(Liens!B950="","",IF(COUNTIF(Mots!A:A,Liens!B950)&gt;0,"✓ "&amp;Liens!B950,"✗ "&amp;Liens!B950&amp;" (introuvable)"))</f>
        <v>✓ promesse</v>
      </c>
      <c r="D955" s="35" t="str">
        <f>IF(Liens!C950="","",IF(COUNTIF(Mots!A:A,Liens!C950)&gt;0,"✓ "&amp;Liens!C950,"✗ "&amp;Liens!C950&amp;" (introuvable)"))</f>
        <v>✓ mari_et_femme</v>
      </c>
      <c r="E955" s="35" t="str">
        <f>IF(Liens!D950="","",IF(COUNTIF(Mots!A:A,Liens!D950)&gt;0,"✓ "&amp;Liens!D950,"✗ "&amp;Liens!D950&amp;" (introuvable)"))</f>
        <v>✓ confiance</v>
      </c>
      <c r="F955" s="35" t="str">
        <f>IF(Liens!E950="","",IF(COUNTIF(Mots!A:A,Liens!E950)&gt;0,"✓ "&amp;Liens!E950,"✗ "&amp;Liens!E950&amp;" (introuvable)"))</f>
        <v>✓ ami</v>
      </c>
      <c r="G955" s="35" t="str">
        <f>IF(Liens!F950="","",IF(COUNTIF(Mots!A:A,Liens!F950)&gt;0,"✓ "&amp;Liens!F950,"✗ "&amp;Liens!F950&amp;" (introuvable)"))</f>
        <v/>
      </c>
      <c r="H955" s="35" t="str">
        <f>IF(Liens!G950="","",IF(COUNTIF(Mots!A:A,Liens!G950)&gt;0,"✓ "&amp;Liens!G950,"✗ "&amp;Liens!G950&amp;" (introuvable)"))</f>
        <v/>
      </c>
      <c r="I955" s="35" t="str">
        <f>IF(Liens!H950="","",IF(COUNTIF(Mots!A:A,Liens!H950)&gt;0,"✓ "&amp;Liens!H950,"✗ "&amp;Liens!H950&amp;" (introuvable)"))</f>
        <v/>
      </c>
    </row>
    <row r="956" spans="1:9" x14ac:dyDescent="0.3">
      <c r="A956">
        <f t="shared" si="11"/>
        <v>951</v>
      </c>
      <c r="B956" s="35" t="str">
        <f>IF(Liens!A951="","",IF(COUNTIF(Mots!A:A,Liens!A951)&gt;0,"✓ "&amp;Liens!A951,"✗ "&amp;Liens!A951&amp;" (introuvable)"))</f>
        <v>✓ v_raconter</v>
      </c>
      <c r="C956" s="35" t="str">
        <f>IF(Liens!B951="","",IF(COUNTIF(Mots!A:A,Liens!B951)&gt;0,"✓ "&amp;Liens!B951,"✗ "&amp;Liens!B951&amp;" (introuvable)"))</f>
        <v>✓ histoire</v>
      </c>
      <c r="D956" s="35" t="str">
        <f>IF(Liens!C951="","",IF(COUNTIF(Mots!A:A,Liens!C951)&gt;0,"✓ "&amp;Liens!C951,"✗ "&amp;Liens!C951&amp;" (introuvable)"))</f>
        <v>✓ recit</v>
      </c>
      <c r="E956" s="35" t="str">
        <f>IF(Liens!D951="","",IF(COUNTIF(Mots!A:A,Liens!D951)&gt;0,"✓ "&amp;Liens!D951,"✗ "&amp;Liens!D951&amp;" (introuvable)"))</f>
        <v>✓ v_parler</v>
      </c>
      <c r="F956" s="35" t="str">
        <f>IF(Liens!E951="","",IF(COUNTIF(Mots!A:A,Liens!E951)&gt;0,"✓ "&amp;Liens!E951,"✗ "&amp;Liens!E951&amp;" (introuvable)"))</f>
        <v>✓ livre</v>
      </c>
      <c r="G956" s="35" t="str">
        <f>IF(Liens!F951="","",IF(COUNTIF(Mots!A:A,Liens!F951)&gt;0,"✓ "&amp;Liens!F951,"✗ "&amp;Liens!F951&amp;" (introuvable)"))</f>
        <v>✓ v_ecouter</v>
      </c>
      <c r="H956" s="35" t="str">
        <f>IF(Liens!G951="","",IF(COUNTIF(Mots!A:A,Liens!G951)&gt;0,"✓ "&amp;Liens!G951,"✗ "&amp;Liens!G951&amp;" (introuvable)"))</f>
        <v>✓ voix</v>
      </c>
      <c r="I956" s="35" t="str">
        <f>IF(Liens!H951="","",IF(COUNTIF(Mots!A:A,Liens!H951)&gt;0,"✓ "&amp;Liens!H951,"✗ "&amp;Liens!H951&amp;" (introuvable)"))</f>
        <v>✓ son</v>
      </c>
    </row>
    <row r="957" spans="1:9" x14ac:dyDescent="0.3">
      <c r="A957">
        <f t="shared" si="11"/>
        <v>952</v>
      </c>
      <c r="B957" s="35" t="str">
        <f>IF(Liens!A952="","",IF(COUNTIF(Mots!A:A,Liens!A952)&gt;0,"✓ "&amp;Liens!A952,"✗ "&amp;Liens!A952&amp;" (introuvable)"))</f>
        <v>✓ v_ramasser</v>
      </c>
      <c r="C957" s="35" t="str">
        <f>IF(Liens!B952="","",IF(COUNTIF(Mots!A:A,Liens!B952)&gt;0,"✓ "&amp;Liens!B952,"✗ "&amp;Liens!B952&amp;" (introuvable)"))</f>
        <v>✓ e_terre</v>
      </c>
      <c r="D957" s="35" t="str">
        <f>IF(Liens!C952="","",IF(COUNTIF(Mots!A:A,Liens!C952)&gt;0,"✓ "&amp;Liens!C952,"✗ "&amp;Liens!C952&amp;" (introuvable)"))</f>
        <v>✓ main</v>
      </c>
      <c r="E957" s="35" t="str">
        <f>IF(Liens!D952="","",IF(COUNTIF(Mots!A:A,Liens!D952)&gt;0,"✓ "&amp;Liens!D952,"✗ "&amp;Liens!D952&amp;" (introuvable)"))</f>
        <v/>
      </c>
      <c r="F957" s="35" t="str">
        <f>IF(Liens!E952="","",IF(COUNTIF(Mots!A:A,Liens!E952)&gt;0,"✓ "&amp;Liens!E952,"✗ "&amp;Liens!E952&amp;" (introuvable)"))</f>
        <v/>
      </c>
      <c r="G957" s="35" t="str">
        <f>IF(Liens!F952="","",IF(COUNTIF(Mots!A:A,Liens!F952)&gt;0,"✓ "&amp;Liens!F952,"✗ "&amp;Liens!F952&amp;" (introuvable)"))</f>
        <v/>
      </c>
      <c r="H957" s="35" t="str">
        <f>IF(Liens!G952="","",IF(COUNTIF(Mots!A:A,Liens!G952)&gt;0,"✓ "&amp;Liens!G952,"✗ "&amp;Liens!G952&amp;" (introuvable)"))</f>
        <v/>
      </c>
      <c r="I957" s="35" t="str">
        <f>IF(Liens!H952="","",IF(COUNTIF(Mots!A:A,Liens!H952)&gt;0,"✓ "&amp;Liens!H952,"✗ "&amp;Liens!H952&amp;" (introuvable)"))</f>
        <v/>
      </c>
    </row>
    <row r="958" spans="1:9" x14ac:dyDescent="0.3">
      <c r="A958">
        <f t="shared" si="11"/>
        <v>953</v>
      </c>
      <c r="B958" s="35" t="str">
        <f>IF(Liens!A953="","",IF(COUNTIF(Mots!A:A,Liens!A953)&gt;0,"✓ "&amp;Liens!A953,"✗ "&amp;Liens!A953&amp;" (introuvable)"))</f>
        <v>✓ v_ranger</v>
      </c>
      <c r="C958" s="35" t="str">
        <f>IF(Liens!B953="","",IF(COUNTIF(Mots!A:A,Liens!B953)&gt;0,"✓ "&amp;Liens!B953,"✗ "&amp;Liens!B953&amp;" (introuvable)"))</f>
        <v>✓ habit</v>
      </c>
      <c r="D958" s="35" t="str">
        <f>IF(Liens!C953="","",IF(COUNTIF(Mots!A:A,Liens!C953)&gt;0,"✓ "&amp;Liens!C953,"✗ "&amp;Liens!C953&amp;" (introuvable)"))</f>
        <v>✓ vetement</v>
      </c>
      <c r="E958" s="35" t="str">
        <f>IF(Liens!D953="","",IF(COUNTIF(Mots!A:A,Liens!D953)&gt;0,"✓ "&amp;Liens!D953,"✗ "&amp;Liens!D953&amp;" (introuvable)"))</f>
        <v>✓ armoire</v>
      </c>
      <c r="F958" s="35" t="str">
        <f>IF(Liens!E953="","",IF(COUNTIF(Mots!A:A,Liens!E953)&gt;0,"✓ "&amp;Liens!E953,"✗ "&amp;Liens!E953&amp;" (introuvable)"))</f>
        <v>✓ livre</v>
      </c>
      <c r="G958" s="35" t="str">
        <f>IF(Liens!F953="","",IF(COUNTIF(Mots!A:A,Liens!F953)&gt;0,"✓ "&amp;Liens!F953,"✗ "&amp;Liens!F953&amp;" (introuvable)"))</f>
        <v>✓ etagere</v>
      </c>
      <c r="H958" s="35" t="str">
        <f>IF(Liens!G953="","",IF(COUNTIF(Mots!A:A,Liens!G953)&gt;0,"✓ "&amp;Liens!G953,"✗ "&amp;Liens!G953&amp;" (introuvable)"))</f>
        <v/>
      </c>
      <c r="I958" s="35" t="str">
        <f>IF(Liens!H953="","",IF(COUNTIF(Mots!A:A,Liens!H953)&gt;0,"✓ "&amp;Liens!H953,"✗ "&amp;Liens!H953&amp;" (introuvable)"))</f>
        <v/>
      </c>
    </row>
    <row r="959" spans="1:9" x14ac:dyDescent="0.3">
      <c r="A959">
        <f t="shared" si="11"/>
        <v>954</v>
      </c>
      <c r="B959" s="35" t="str">
        <f>IF(Liens!A954="","",IF(COUNTIF(Mots!A:A,Liens!A954)&gt;0,"✓ "&amp;Liens!A954,"✗ "&amp;Liens!A954&amp;" (introuvable)"))</f>
        <v>✓ v_rappeler</v>
      </c>
      <c r="C959" s="35" t="str">
        <f>IF(Liens!B954="","",IF(COUNTIF(Mots!A:A,Liens!B954)&gt;0,"✓ "&amp;Liens!B954,"✗ "&amp;Liens!B954&amp;" (introuvable)"))</f>
        <v>✓ smartphone</v>
      </c>
      <c r="D959" s="35" t="str">
        <f>IF(Liens!C954="","",IF(COUNTIF(Mots!A:A,Liens!C954)&gt;0,"✓ "&amp;Liens!C954,"✗ "&amp;Liens!C954&amp;" (introuvable)"))</f>
        <v>✓ v_se_souvenir</v>
      </c>
      <c r="E959" s="35" t="str">
        <f>IF(Liens!D954="","",IF(COUNTIF(Mots!A:A,Liens!D954)&gt;0,"✓ "&amp;Liens!D954,"✗ "&amp;Liens!D954&amp;" (introuvable)"))</f>
        <v/>
      </c>
      <c r="F959" s="35" t="str">
        <f>IF(Liens!E954="","",IF(COUNTIF(Mots!A:A,Liens!E954)&gt;0,"✓ "&amp;Liens!E954,"✗ "&amp;Liens!E954&amp;" (introuvable)"))</f>
        <v/>
      </c>
      <c r="G959" s="35" t="str">
        <f>IF(Liens!F954="","",IF(COUNTIF(Mots!A:A,Liens!F954)&gt;0,"✓ "&amp;Liens!F954,"✗ "&amp;Liens!F954&amp;" (introuvable)"))</f>
        <v/>
      </c>
      <c r="H959" s="35" t="str">
        <f>IF(Liens!G954="","",IF(COUNTIF(Mots!A:A,Liens!G954)&gt;0,"✓ "&amp;Liens!G954,"✗ "&amp;Liens!G954&amp;" (introuvable)"))</f>
        <v/>
      </c>
      <c r="I959" s="35" t="str">
        <f>IF(Liens!H954="","",IF(COUNTIF(Mots!A:A,Liens!H954)&gt;0,"✓ "&amp;Liens!H954,"✗ "&amp;Liens!H954&amp;" (introuvable)"))</f>
        <v/>
      </c>
    </row>
    <row r="960" spans="1:9" x14ac:dyDescent="0.3">
      <c r="A960">
        <f t="shared" si="11"/>
        <v>955</v>
      </c>
      <c r="B960" s="35" t="str">
        <f>IF(Liens!A955="","",IF(COUNTIF(Mots!A:A,Liens!A955)&gt;0,"✓ "&amp;Liens!A955,"✗ "&amp;Liens!A955&amp;" (introuvable)"))</f>
        <v>✓ v_reflechir</v>
      </c>
      <c r="C960" s="35" t="str">
        <f>IF(Liens!B955="","",IF(COUNTIF(Mots!A:A,Liens!B955)&gt;0,"✓ "&amp;Liens!B955,"✗ "&amp;Liens!B955&amp;" (introuvable)"))</f>
        <v>✓ v_penser</v>
      </c>
      <c r="D960" s="35" t="str">
        <f>IF(Liens!C955="","",IF(COUNTIF(Mots!A:A,Liens!C955)&gt;0,"✓ "&amp;Liens!C955,"✗ "&amp;Liens!C955&amp;" (introuvable)"))</f>
        <v>✓ pensee</v>
      </c>
      <c r="E960" s="35" t="str">
        <f>IF(Liens!D955="","",IF(COUNTIF(Mots!A:A,Liens!D955)&gt;0,"✓ "&amp;Liens!D955,"✗ "&amp;Liens!D955&amp;" (introuvable)"))</f>
        <v>✓ idee</v>
      </c>
      <c r="F960" s="35" t="str">
        <f>IF(Liens!E955="","",IF(COUNTIF(Mots!A:A,Liens!E955)&gt;0,"✓ "&amp;Liens!E955,"✗ "&amp;Liens!E955&amp;" (introuvable)"))</f>
        <v>✓ cerveau</v>
      </c>
      <c r="G960" s="35" t="str">
        <f>IF(Liens!F955="","",IF(COUNTIF(Mots!A:A,Liens!F955)&gt;0,"✓ "&amp;Liens!F955,"✗ "&amp;Liens!F955&amp;" (introuvable)"))</f>
        <v>✓ v_imaginer</v>
      </c>
      <c r="H960" s="35" t="str">
        <f>IF(Liens!G955="","",IF(COUNTIF(Mots!A:A,Liens!G955)&gt;0,"✓ "&amp;Liens!G955,"✗ "&amp;Liens!G955&amp;" (introuvable)"))</f>
        <v>✓ probleme</v>
      </c>
      <c r="I960" s="35" t="str">
        <f>IF(Liens!H955="","",IF(COUNTIF(Mots!A:A,Liens!H955)&gt;0,"✓ "&amp;Liens!H955,"✗ "&amp;Liens!H955&amp;" (introuvable)"))</f>
        <v/>
      </c>
    </row>
    <row r="961" spans="1:9" x14ac:dyDescent="0.3">
      <c r="A961">
        <f t="shared" si="11"/>
        <v>956</v>
      </c>
      <c r="B961" s="35" t="str">
        <f>IF(Liens!A956="","",IF(COUNTIF(Mots!A:A,Liens!A956)&gt;0,"✓ "&amp;Liens!A956,"✗ "&amp;Liens!A956&amp;" (introuvable)"))</f>
        <v>✓ v_refuser</v>
      </c>
      <c r="C961" s="35" t="str">
        <f>IF(Liens!B956="","",IF(COUNTIF(Mots!A:A,Liens!B956)&gt;0,"✓ "&amp;Liens!B956,"✗ "&amp;Liens!B956&amp;" (introuvable)"))</f>
        <v>✓ v_choisir</v>
      </c>
      <c r="D961" s="35" t="str">
        <f>IF(Liens!C956="","",IF(COUNTIF(Mots!A:A,Liens!C956)&gt;0,"✓ "&amp;Liens!C956,"✗ "&amp;Liens!C956&amp;" (introuvable)"))</f>
        <v/>
      </c>
      <c r="E961" s="35" t="str">
        <f>IF(Liens!D956="","",IF(COUNTIF(Mots!A:A,Liens!D956)&gt;0,"✓ "&amp;Liens!D956,"✗ "&amp;Liens!D956&amp;" (introuvable)"))</f>
        <v/>
      </c>
      <c r="F961" s="35" t="str">
        <f>IF(Liens!E956="","",IF(COUNTIF(Mots!A:A,Liens!E956)&gt;0,"✓ "&amp;Liens!E956,"✗ "&amp;Liens!E956&amp;" (introuvable)"))</f>
        <v/>
      </c>
      <c r="G961" s="35" t="str">
        <f>IF(Liens!F956="","",IF(COUNTIF(Mots!A:A,Liens!F956)&gt;0,"✓ "&amp;Liens!F956,"✗ "&amp;Liens!F956&amp;" (introuvable)"))</f>
        <v/>
      </c>
      <c r="H961" s="35" t="str">
        <f>IF(Liens!G956="","",IF(COUNTIF(Mots!A:A,Liens!G956)&gt;0,"✓ "&amp;Liens!G956,"✗ "&amp;Liens!G956&amp;" (introuvable)"))</f>
        <v/>
      </c>
      <c r="I961" s="35" t="str">
        <f>IF(Liens!H956="","",IF(COUNTIF(Mots!A:A,Liens!H956)&gt;0,"✓ "&amp;Liens!H956,"✗ "&amp;Liens!H956&amp;" (introuvable)"))</f>
        <v/>
      </c>
    </row>
    <row r="962" spans="1:9" x14ac:dyDescent="0.3">
      <c r="A962">
        <f t="shared" si="11"/>
        <v>957</v>
      </c>
      <c r="B962" s="35" t="str">
        <f>IF(Liens!A957="","",IF(COUNTIF(Mots!A:A,Liens!A957)&gt;0,"✓ "&amp;Liens!A957,"✗ "&amp;Liens!A957&amp;" (introuvable)"))</f>
        <v>✓ v_regarder</v>
      </c>
      <c r="C962" s="35" t="str">
        <f>IF(Liens!B957="","",IF(COUNTIF(Mots!A:A,Liens!B957)&gt;0,"✓ "&amp;Liens!B957,"✗ "&amp;Liens!B957&amp;" (introuvable)"))</f>
        <v>✓ oeil</v>
      </c>
      <c r="D962" s="35" t="str">
        <f>IF(Liens!C957="","",IF(COUNTIF(Mots!A:A,Liens!C957)&gt;0,"✓ "&amp;Liens!C957,"✗ "&amp;Liens!C957&amp;" (introuvable)"))</f>
        <v>✓ o_jumelles</v>
      </c>
      <c r="E962" s="35" t="str">
        <f>IF(Liens!D957="","",IF(COUNTIF(Mots!A:A,Liens!D957)&gt;0,"✓ "&amp;Liens!D957,"✗ "&amp;Liens!D957&amp;" (introuvable)"))</f>
        <v>✓ image</v>
      </c>
      <c r="F962" s="35" t="str">
        <f>IF(Liens!E957="","",IF(COUNTIF(Mots!A:A,Liens!E957)&gt;0,"✓ "&amp;Liens!E957,"✗ "&amp;Liens!E957&amp;" (introuvable)"))</f>
        <v>✓ v_voir</v>
      </c>
      <c r="G962" s="35" t="str">
        <f>IF(Liens!F957="","",IF(COUNTIF(Mots!A:A,Liens!F957)&gt;0,"✓ "&amp;Liens!F957,"✗ "&amp;Liens!F957&amp;" (introuvable)"))</f>
        <v/>
      </c>
      <c r="H962" s="35" t="str">
        <f>IF(Liens!G957="","",IF(COUNTIF(Mots!A:A,Liens!G957)&gt;0,"✓ "&amp;Liens!G957,"✗ "&amp;Liens!G957&amp;" (introuvable)"))</f>
        <v/>
      </c>
      <c r="I962" s="35" t="str">
        <f>IF(Liens!H957="","",IF(COUNTIF(Mots!A:A,Liens!H957)&gt;0,"✓ "&amp;Liens!H957,"✗ "&amp;Liens!H957&amp;" (introuvable)"))</f>
        <v/>
      </c>
    </row>
    <row r="963" spans="1:9" x14ac:dyDescent="0.3">
      <c r="A963">
        <f t="shared" si="11"/>
        <v>958</v>
      </c>
      <c r="B963" s="35" t="str">
        <f>IF(Liens!A958="","",IF(COUNTIF(Mots!A:A,Liens!A958)&gt;0,"✓ "&amp;Liens!A958,"✗ "&amp;Liens!A958&amp;" (introuvable)"))</f>
        <v>✓ v_remarquer</v>
      </c>
      <c r="C963" s="35" t="str">
        <f>IF(Liens!B958="","",IF(COUNTIF(Mots!A:A,Liens!B958)&gt;0,"✓ "&amp;Liens!B958,"✗ "&amp;Liens!B958&amp;" (introuvable)"))</f>
        <v>✓ v_voir</v>
      </c>
      <c r="D963" s="35" t="str">
        <f>IF(Liens!C958="","",IF(COUNTIF(Mots!A:A,Liens!C958)&gt;0,"✓ "&amp;Liens!C958,"✗ "&amp;Liens!C958&amp;" (introuvable)"))</f>
        <v>✓ v_regarder</v>
      </c>
      <c r="E963" s="35" t="str">
        <f>IF(Liens!D958="","",IF(COUNTIF(Mots!A:A,Liens!D958)&gt;0,"✓ "&amp;Liens!D958,"✗ "&amp;Liens!D958&amp;" (introuvable)"))</f>
        <v>✓ oeil</v>
      </c>
      <c r="F963" s="35" t="str">
        <f>IF(Liens!E958="","",IF(COUNTIF(Mots!A:A,Liens!E958)&gt;0,"✓ "&amp;Liens!E958,"✗ "&amp;Liens!E958&amp;" (introuvable)"))</f>
        <v/>
      </c>
      <c r="G963" s="35" t="str">
        <f>IF(Liens!F958="","",IF(COUNTIF(Mots!A:A,Liens!F958)&gt;0,"✓ "&amp;Liens!F958,"✗ "&amp;Liens!F958&amp;" (introuvable)"))</f>
        <v/>
      </c>
      <c r="H963" s="35" t="str">
        <f>IF(Liens!G958="","",IF(COUNTIF(Mots!A:A,Liens!G958)&gt;0,"✓ "&amp;Liens!G958,"✗ "&amp;Liens!G958&amp;" (introuvable)"))</f>
        <v/>
      </c>
      <c r="I963" s="35" t="str">
        <f>IF(Liens!H958="","",IF(COUNTIF(Mots!A:A,Liens!H958)&gt;0,"✓ "&amp;Liens!H958,"✗ "&amp;Liens!H958&amp;" (introuvable)"))</f>
        <v/>
      </c>
    </row>
    <row r="964" spans="1:9" x14ac:dyDescent="0.3">
      <c r="A964">
        <f t="shared" si="11"/>
        <v>959</v>
      </c>
      <c r="B964" s="35" t="str">
        <f>IF(Liens!A959="","",IF(COUNTIF(Mots!A:A,Liens!A959)&gt;0,"✓ "&amp;Liens!A959,"✗ "&amp;Liens!A959&amp;" (introuvable)"))</f>
        <v>✓ v_remercier</v>
      </c>
      <c r="C964" s="35" t="str">
        <f>IF(Liens!B959="","",IF(COUNTIF(Mots!A:A,Liens!B959)&gt;0,"✓ "&amp;Liens!B959,"✗ "&amp;Liens!B959&amp;" (introuvable)"))</f>
        <v>✓ gratitude</v>
      </c>
      <c r="D964" s="35" t="str">
        <f>IF(Liens!C959="","",IF(COUNTIF(Mots!A:A,Liens!C959)&gt;0,"✓ "&amp;Liens!C959,"✗ "&amp;Liens!C959&amp;" (introuvable)"))</f>
        <v>✓ service</v>
      </c>
      <c r="E964" s="35" t="str">
        <f>IF(Liens!D959="","",IF(COUNTIF(Mots!A:A,Liens!D959)&gt;0,"✓ "&amp;Liens!D959,"✗ "&amp;Liens!D959&amp;" (introuvable)"))</f>
        <v>✓ joie</v>
      </c>
      <c r="F964" s="35" t="str">
        <f>IF(Liens!E959="","",IF(COUNTIF(Mots!A:A,Liens!E959)&gt;0,"✓ "&amp;Liens!E959,"✗ "&amp;Liens!E959&amp;" (introuvable)"))</f>
        <v>✓ cadeau</v>
      </c>
      <c r="G964" s="35" t="str">
        <f>IF(Liens!F959="","",IF(COUNTIF(Mots!A:A,Liens!F959)&gt;0,"✓ "&amp;Liens!F959,"✗ "&amp;Liens!F959&amp;" (introuvable)"))</f>
        <v>✓ aide</v>
      </c>
      <c r="H964" s="35" t="str">
        <f>IF(Liens!G959="","",IF(COUNTIF(Mots!A:A,Liens!G959)&gt;0,"✓ "&amp;Liens!G959,"✗ "&amp;Liens!G959&amp;" (introuvable)"))</f>
        <v/>
      </c>
      <c r="I964" s="35" t="str">
        <f>IF(Liens!H959="","",IF(COUNTIF(Mots!A:A,Liens!H959)&gt;0,"✓ "&amp;Liens!H959,"✗ "&amp;Liens!H959&amp;" (introuvable)"))</f>
        <v/>
      </c>
    </row>
    <row r="965" spans="1:9" x14ac:dyDescent="0.3">
      <c r="A965">
        <f t="shared" si="11"/>
        <v>960</v>
      </c>
      <c r="B965" s="35" t="str">
        <f>IF(Liens!A960="","",IF(COUNTIF(Mots!A:A,Liens!A960)&gt;0,"✓ "&amp;Liens!A960,"✗ "&amp;Liens!A960&amp;" (introuvable)"))</f>
        <v>✓ v_reparer</v>
      </c>
      <c r="C965" s="35" t="str">
        <f>IF(Liens!B960="","",IF(COUNTIF(Mots!A:A,Liens!B960)&gt;0,"✓ "&amp;Liens!B960,"✗ "&amp;Liens!B960&amp;" (introuvable)"))</f>
        <v>✓ mecanicien</v>
      </c>
      <c r="D965" s="35" t="str">
        <f>IF(Liens!C960="","",IF(COUNTIF(Mots!A:A,Liens!C960)&gt;0,"✓ "&amp;Liens!C960,"✗ "&amp;Liens!C960&amp;" (introuvable)"))</f>
        <v>✓ bricolage</v>
      </c>
      <c r="E965" s="35" t="str">
        <f>IF(Liens!D960="","",IF(COUNTIF(Mots!A:A,Liens!D960)&gt;0,"✓ "&amp;Liens!D960,"✗ "&amp;Liens!D960&amp;" (introuvable)"))</f>
        <v>✓ voiture</v>
      </c>
      <c r="F965" s="35" t="str">
        <f>IF(Liens!E960="","",IF(COUNTIF(Mots!A:A,Liens!E960)&gt;0,"✓ "&amp;Liens!E960,"✗ "&amp;Liens!E960&amp;" (introuvable)"))</f>
        <v>✓ velo</v>
      </c>
      <c r="G965" s="35" t="str">
        <f>IF(Liens!F960="","",IF(COUNTIF(Mots!A:A,Liens!F960)&gt;0,"✓ "&amp;Liens!F960,"✗ "&amp;Liens!F960&amp;" (introuvable)"))</f>
        <v>✓ tracteur</v>
      </c>
      <c r="H965" s="35" t="str">
        <f>IF(Liens!G960="","",IF(COUNTIF(Mots!A:A,Liens!G960)&gt;0,"✓ "&amp;Liens!G960,"✗ "&amp;Liens!G960&amp;" (introuvable)"))</f>
        <v>✓ reparation</v>
      </c>
      <c r="I965" s="35" t="str">
        <f>IF(Liens!H960="","",IF(COUNTIF(Mots!A:A,Liens!H960)&gt;0,"✓ "&amp;Liens!H960,"✗ "&amp;Liens!H960&amp;" (introuvable)"))</f>
        <v/>
      </c>
    </row>
    <row r="966" spans="1:9" x14ac:dyDescent="0.3">
      <c r="A966">
        <f t="shared" si="11"/>
        <v>961</v>
      </c>
      <c r="B966" s="35" t="str">
        <f>IF(Liens!A961="","",IF(COUNTIF(Mots!A:A,Liens!A961)&gt;0,"✓ "&amp;Liens!A961,"✗ "&amp;Liens!A961&amp;" (introuvable)"))</f>
        <v>✓ v_repeter</v>
      </c>
      <c r="C966" s="35" t="str">
        <f>IF(Liens!B961="","",IF(COUNTIF(Mots!A:A,Liens!B961)&gt;0,"✓ "&amp;Liens!B961,"✗ "&amp;Liens!B961&amp;" (introuvable)"))</f>
        <v>✓ encore</v>
      </c>
      <c r="D966" s="35" t="str">
        <f>IF(Liens!C961="","",IF(COUNTIF(Mots!A:A,Liens!C961)&gt;0,"✓ "&amp;Liens!C961,"✗ "&amp;Liens!C961&amp;" (introuvable)"))</f>
        <v>✓ v_dire</v>
      </c>
      <c r="E966" s="35" t="str">
        <f>IF(Liens!D961="","",IF(COUNTIF(Mots!A:A,Liens!D961)&gt;0,"✓ "&amp;Liens!D961,"✗ "&amp;Liens!D961&amp;" (introuvable)"))</f>
        <v>✓ v_ecrire</v>
      </c>
      <c r="F966" s="35" t="str">
        <f>IF(Liens!E961="","",IF(COUNTIF(Mots!A:A,Liens!E961)&gt;0,"✓ "&amp;Liens!E961,"✗ "&amp;Liens!E961&amp;" (introuvable)"))</f>
        <v>✓ quantite</v>
      </c>
      <c r="G966" s="35" t="str">
        <f>IF(Liens!F961="","",IF(COUNTIF(Mots!A:A,Liens!F961)&gt;0,"✓ "&amp;Liens!F961,"✗ "&amp;Liens!F961&amp;" (introuvable)"))</f>
        <v>✓ v_crier</v>
      </c>
      <c r="H966" s="35" t="str">
        <f>IF(Liens!G961="","",IF(COUNTIF(Mots!A:A,Liens!G961)&gt;0,"✓ "&amp;Liens!G961,"✗ "&amp;Liens!G961&amp;" (introuvable)"))</f>
        <v>✓ voix</v>
      </c>
      <c r="I966" s="35" t="str">
        <f>IF(Liens!H961="","",IF(COUNTIF(Mots!A:A,Liens!H961)&gt;0,"✓ "&amp;Liens!H961,"✗ "&amp;Liens!H961&amp;" (introuvable)"))</f>
        <v>✓ son</v>
      </c>
    </row>
    <row r="967" spans="1:9" x14ac:dyDescent="0.3">
      <c r="A967">
        <f t="shared" si="11"/>
        <v>962</v>
      </c>
      <c r="B967" s="35" t="str">
        <f>IF(Liens!A962="","",IF(COUNTIF(Mots!A:A,Liens!A962)&gt;0,"✓ "&amp;Liens!A962,"✗ "&amp;Liens!A962&amp;" (introuvable)"))</f>
        <v>✓ v_repondre</v>
      </c>
      <c r="C967" s="35" t="str">
        <f>IF(Liens!B962="","",IF(COUNTIF(Mots!A:A,Liens!B962)&gt;0,"✓ "&amp;Liens!B962,"✗ "&amp;Liens!B962&amp;" (introuvable)"))</f>
        <v>✓ smartphone</v>
      </c>
      <c r="D967" s="35" t="str">
        <f>IF(Liens!C962="","",IF(COUNTIF(Mots!A:A,Liens!C962)&gt;0,"✓ "&amp;Liens!C962,"✗ "&amp;Liens!C962&amp;" (introuvable)"))</f>
        <v>✓ question</v>
      </c>
      <c r="E967" s="35" t="str">
        <f>IF(Liens!D962="","",IF(COUNTIF(Mots!A:A,Liens!D962)&gt;0,"✓ "&amp;Liens!D962,"✗ "&amp;Liens!D962&amp;" (introuvable)"))</f>
        <v>✓ v_savoir</v>
      </c>
      <c r="F967" s="35" t="str">
        <f>IF(Liens!E962="","",IF(COUNTIF(Mots!A:A,Liens!E962)&gt;0,"✓ "&amp;Liens!E962,"✗ "&amp;Liens!E962&amp;" (introuvable)"))</f>
        <v>✓ v_pouvoir</v>
      </c>
      <c r="G967" s="35" t="str">
        <f>IF(Liens!F962="","",IF(COUNTIF(Mots!A:A,Liens!F962)&gt;0,"✓ "&amp;Liens!F962,"✗ "&amp;Liens!F962&amp;" (introuvable)"))</f>
        <v>✓ v_vouloir</v>
      </c>
      <c r="H967" s="35" t="str">
        <f>IF(Liens!G962="","",IF(COUNTIF(Mots!A:A,Liens!G962)&gt;0,"✓ "&amp;Liens!G962,"✗ "&amp;Liens!G962&amp;" (introuvable)"))</f>
        <v/>
      </c>
      <c r="I967" s="35" t="str">
        <f>IF(Liens!H962="","",IF(COUNTIF(Mots!A:A,Liens!H962)&gt;0,"✓ "&amp;Liens!H962,"✗ "&amp;Liens!H962&amp;" (introuvable)"))</f>
        <v/>
      </c>
    </row>
    <row r="968" spans="1:9" x14ac:dyDescent="0.3">
      <c r="A968">
        <f t="shared" si="11"/>
        <v>963</v>
      </c>
      <c r="B968" s="35" t="str">
        <f>IF(Liens!A963="","",IF(COUNTIF(Mots!A:A,Liens!A963)&gt;0,"✓ "&amp;Liens!A963,"✗ "&amp;Liens!A963&amp;" (introuvable)"))</f>
        <v>✓ v_rester</v>
      </c>
      <c r="C968" s="35" t="str">
        <f>IF(Liens!B963="","",IF(COUNTIF(Mots!A:A,Liens!B963)&gt;0,"✓ "&amp;Liens!B963,"✗ "&amp;Liens!B963&amp;" (introuvable)"))</f>
        <v>✓ maison</v>
      </c>
      <c r="D968" s="35" t="str">
        <f>IF(Liens!C963="","",IF(COUNTIF(Mots!A:A,Liens!C963)&gt;0,"✓ "&amp;Liens!C963,"✗ "&amp;Liens!C963&amp;" (introuvable)"))</f>
        <v>✓ tranquille</v>
      </c>
      <c r="E968" s="35" t="str">
        <f>IF(Liens!D963="","",IF(COUNTIF(Mots!A:A,Liens!D963)&gt;0,"✓ "&amp;Liens!D963,"✗ "&amp;Liens!D963&amp;" (introuvable)"))</f>
        <v>✓ v_lire</v>
      </c>
      <c r="F968" s="35" t="str">
        <f>IF(Liens!E963="","",IF(COUNTIF(Mots!A:A,Liens!E963)&gt;0,"✓ "&amp;Liens!E963,"✗ "&amp;Liens!E963&amp;" (introuvable)"))</f>
        <v>✓ repos</v>
      </c>
      <c r="G968" s="35" t="str">
        <f>IF(Liens!F963="","",IF(COUNTIF(Mots!A:A,Liens!F963)&gt;0,"✓ "&amp;Liens!F963,"✗ "&amp;Liens!F963&amp;" (introuvable)"))</f>
        <v>✓ v_dormir</v>
      </c>
      <c r="H968" s="35" t="str">
        <f>IF(Liens!G963="","",IF(COUNTIF(Mots!A:A,Liens!G963)&gt;0,"✓ "&amp;Liens!G963,"✗ "&amp;Liens!G963&amp;" (introuvable)"))</f>
        <v/>
      </c>
      <c r="I968" s="35" t="str">
        <f>IF(Liens!H963="","",IF(COUNTIF(Mots!A:A,Liens!H963)&gt;0,"✓ "&amp;Liens!H963,"✗ "&amp;Liens!H963&amp;" (introuvable)"))</f>
        <v/>
      </c>
    </row>
    <row r="969" spans="1:9" x14ac:dyDescent="0.3">
      <c r="A969">
        <f t="shared" si="11"/>
        <v>964</v>
      </c>
      <c r="B969" s="35" t="str">
        <f>IF(Liens!A964="","",IF(COUNTIF(Mots!A:A,Liens!A964)&gt;0,"✓ "&amp;Liens!A964,"✗ "&amp;Liens!A964&amp;" (introuvable)"))</f>
        <v>✓ v_reussir</v>
      </c>
      <c r="C969" s="35" t="str">
        <f>IF(Liens!B964="","",IF(COUNTIF(Mots!A:A,Liens!B964)&gt;0,"✓ "&amp;Liens!B964,"✗ "&amp;Liens!B964&amp;" (introuvable)"))</f>
        <v>✓ concours</v>
      </c>
      <c r="D969" s="35" t="str">
        <f>IF(Liens!C964="","",IF(COUNTIF(Mots!A:A,Liens!C964)&gt;0,"✓ "&amp;Liens!C964,"✗ "&amp;Liens!C964&amp;" (introuvable)"))</f>
        <v>✓ v_gagner</v>
      </c>
      <c r="E969" s="35" t="str">
        <f>IF(Liens!D964="","",IF(COUNTIF(Mots!A:A,Liens!D964)&gt;0,"✓ "&amp;Liens!D964,"✗ "&amp;Liens!D964&amp;" (introuvable)"))</f>
        <v>✓ vainqueur</v>
      </c>
      <c r="F969" s="35" t="str">
        <f>IF(Liens!E964="","",IF(COUNTIF(Mots!A:A,Liens!E964)&gt;0,"✓ "&amp;Liens!E964,"✗ "&amp;Liens!E964&amp;" (introuvable)"))</f>
        <v/>
      </c>
      <c r="G969" s="35" t="str">
        <f>IF(Liens!F964="","",IF(COUNTIF(Mots!A:A,Liens!F964)&gt;0,"✓ "&amp;Liens!F964,"✗ "&amp;Liens!F964&amp;" (introuvable)"))</f>
        <v/>
      </c>
      <c r="H969" s="35" t="str">
        <f>IF(Liens!G964="","",IF(COUNTIF(Mots!A:A,Liens!G964)&gt;0,"✓ "&amp;Liens!G964,"✗ "&amp;Liens!G964&amp;" (introuvable)"))</f>
        <v/>
      </c>
      <c r="I969" s="35" t="str">
        <f>IF(Liens!H964="","",IF(COUNTIF(Mots!A:A,Liens!H964)&gt;0,"✓ "&amp;Liens!H964,"✗ "&amp;Liens!H964&amp;" (introuvable)"))</f>
        <v/>
      </c>
    </row>
    <row r="970" spans="1:9" x14ac:dyDescent="0.3">
      <c r="A970">
        <f t="shared" si="11"/>
        <v>965</v>
      </c>
      <c r="B970" s="35" t="str">
        <f>IF(Liens!A965="","",IF(COUNTIF(Mots!A:A,Liens!A965)&gt;0,"✓ "&amp;Liens!A965,"✗ "&amp;Liens!A965&amp;" (introuvable)"))</f>
        <v>✓ v_rire</v>
      </c>
      <c r="C970" s="35" t="str">
        <f>IF(Liens!B965="","",IF(COUNTIF(Mots!A:A,Liens!B965)&gt;0,"✓ "&amp;Liens!B965,"✗ "&amp;Liens!B965&amp;" (introuvable)"))</f>
        <v>✓ joie</v>
      </c>
      <c r="D970" s="35" t="str">
        <f>IF(Liens!C965="","",IF(COUNTIF(Mots!A:A,Liens!C965)&gt;0,"✓ "&amp;Liens!C965,"✗ "&amp;Liens!C965&amp;" (introuvable)"))</f>
        <v>✓ a_heureux</v>
      </c>
      <c r="E970" s="35" t="str">
        <f>IF(Liens!D965="","",IF(COUNTIF(Mots!A:A,Liens!D965)&gt;0,"✓ "&amp;Liens!D965,"✗ "&amp;Liens!D965&amp;" (introuvable)"))</f>
        <v>✓ a_content_triste</v>
      </c>
      <c r="F970" s="35" t="str">
        <f>IF(Liens!E965="","",IF(COUNTIF(Mots!A:A,Liens!E965)&gt;0,"✓ "&amp;Liens!E965,"✗ "&amp;Liens!E965&amp;" (introuvable)"))</f>
        <v>✓ visage</v>
      </c>
      <c r="G970" s="35" t="str">
        <f>IF(Liens!F965="","",IF(COUNTIF(Mots!A:A,Liens!F965)&gt;0,"✓ "&amp;Liens!F965,"✗ "&amp;Liens!F965&amp;" (introuvable)"))</f>
        <v>✓ bouche</v>
      </c>
      <c r="H970" s="35" t="str">
        <f>IF(Liens!G965="","",IF(COUNTIF(Mots!A:A,Liens!G965)&gt;0,"✓ "&amp;Liens!G965,"✗ "&amp;Liens!G965&amp;" (introuvable)"))</f>
        <v>✓ levre</v>
      </c>
      <c r="I970" s="35" t="str">
        <f>IF(Liens!H965="","",IF(COUNTIF(Mots!A:A,Liens!H965)&gt;0,"✓ "&amp;Liens!H965,"✗ "&amp;Liens!H965&amp;" (introuvable)"))</f>
        <v/>
      </c>
    </row>
    <row r="971" spans="1:9" x14ac:dyDescent="0.3">
      <c r="A971">
        <f t="shared" si="11"/>
        <v>966</v>
      </c>
      <c r="B971" s="35" t="str">
        <f>IF(Liens!A966="","",IF(COUNTIF(Mots!A:A,Liens!A966)&gt;0,"✓ "&amp;Liens!A966,"✗ "&amp;Liens!A966&amp;" (introuvable)"))</f>
        <v>✓ v_saluer</v>
      </c>
      <c r="C971" s="35" t="str">
        <f>IF(Liens!B966="","",IF(COUNTIF(Mots!A:A,Liens!B966)&gt;0,"✓ "&amp;Liens!B966,"✗ "&amp;Liens!B966&amp;" (introuvable)"))</f>
        <v>✓ geste</v>
      </c>
      <c r="D971" s="35" t="str">
        <f>IF(Liens!C966="","",IF(COUNTIF(Mots!A:A,Liens!C966)&gt;0,"✓ "&amp;Liens!C966,"✗ "&amp;Liens!C966&amp;" (introuvable)"))</f>
        <v>✓ main</v>
      </c>
      <c r="E971" s="35" t="str">
        <f>IF(Liens!D966="","",IF(COUNTIF(Mots!A:A,Liens!D966)&gt;0,"✓ "&amp;Liens!D966,"✗ "&amp;Liens!D966&amp;" (introuvable)"))</f>
        <v>✓ v_serrer</v>
      </c>
      <c r="F971" s="35" t="str">
        <f>IF(Liens!E966="","",IF(COUNTIF(Mots!A:A,Liens!E966)&gt;0,"✓ "&amp;Liens!E966,"✗ "&amp;Liens!E966&amp;" (introuvable)"))</f>
        <v/>
      </c>
      <c r="G971" s="35" t="str">
        <f>IF(Liens!F966="","",IF(COUNTIF(Mots!A:A,Liens!F966)&gt;0,"✓ "&amp;Liens!F966,"✗ "&amp;Liens!F966&amp;" (introuvable)"))</f>
        <v/>
      </c>
      <c r="H971" s="35" t="str">
        <f>IF(Liens!G966="","",IF(COUNTIF(Mots!A:A,Liens!G966)&gt;0,"✓ "&amp;Liens!G966,"✗ "&amp;Liens!G966&amp;" (introuvable)"))</f>
        <v/>
      </c>
      <c r="I971" s="35" t="str">
        <f>IF(Liens!H966="","",IF(COUNTIF(Mots!A:A,Liens!H966)&gt;0,"✓ "&amp;Liens!H966,"✗ "&amp;Liens!H966&amp;" (introuvable)"))</f>
        <v/>
      </c>
    </row>
    <row r="972" spans="1:9" x14ac:dyDescent="0.3">
      <c r="A972">
        <f t="shared" si="11"/>
        <v>967</v>
      </c>
      <c r="B972" s="35" t="str">
        <f>IF(Liens!A967="","",IF(COUNTIF(Mots!A:A,Liens!A967)&gt;0,"✓ "&amp;Liens!A967,"✗ "&amp;Liens!A967&amp;" (introuvable)"))</f>
        <v>✓ v_sauter</v>
      </c>
      <c r="C972" s="35" t="str">
        <f>IF(Liens!B967="","",IF(COUNTIF(Mots!A:A,Liens!B967)&gt;0,"✓ "&amp;Liens!B967,"✗ "&amp;Liens!B967&amp;" (introuvable)"))</f>
        <v>✓ sol</v>
      </c>
      <c r="D972" s="35" t="str">
        <f>IF(Liens!C967="","",IF(COUNTIF(Mots!A:A,Liens!C967)&gt;0,"✓ "&amp;Liens!C967,"✗ "&amp;Liens!C967&amp;" (introuvable)"))</f>
        <v>✓ jambe</v>
      </c>
      <c r="E972" s="35" t="str">
        <f>IF(Liens!D967="","",IF(COUNTIF(Mots!A:A,Liens!D967)&gt;0,"✓ "&amp;Liens!D967,"✗ "&amp;Liens!D967&amp;" (introuvable)"))</f>
        <v>✓ pied</v>
      </c>
      <c r="F972" s="35" t="str">
        <f>IF(Liens!E967="","",IF(COUNTIF(Mots!A:A,Liens!E967)&gt;0,"✓ "&amp;Liens!E967,"✗ "&amp;Liens!E967&amp;" (introuvable)"))</f>
        <v/>
      </c>
      <c r="G972" s="35" t="str">
        <f>IF(Liens!F967="","",IF(COUNTIF(Mots!A:A,Liens!F967)&gt;0,"✓ "&amp;Liens!F967,"✗ "&amp;Liens!F967&amp;" (introuvable)"))</f>
        <v/>
      </c>
      <c r="H972" s="35" t="str">
        <f>IF(Liens!G967="","",IF(COUNTIF(Mots!A:A,Liens!G967)&gt;0,"✓ "&amp;Liens!G967,"✗ "&amp;Liens!G967&amp;" (introuvable)"))</f>
        <v/>
      </c>
      <c r="I972" s="35" t="str">
        <f>IF(Liens!H967="","",IF(COUNTIF(Mots!A:A,Liens!H967)&gt;0,"✓ "&amp;Liens!H967,"✗ "&amp;Liens!H967&amp;" (introuvable)"))</f>
        <v/>
      </c>
    </row>
    <row r="973" spans="1:9" x14ac:dyDescent="0.3">
      <c r="A973">
        <f t="shared" si="11"/>
        <v>968</v>
      </c>
      <c r="B973" s="35" t="str">
        <f>IF(Liens!A968="","",IF(COUNTIF(Mots!A:A,Liens!A968)&gt;0,"✓ "&amp;Liens!A968,"✗ "&amp;Liens!A968&amp;" (introuvable)"))</f>
        <v>✓ v_savoir</v>
      </c>
      <c r="C973" s="35" t="str">
        <f>IF(Liens!B968="","",IF(COUNTIF(Mots!A:A,Liens!B968)&gt;0,"✓ "&amp;Liens!B968,"✗ "&amp;Liens!B968&amp;" (introuvable)"))</f>
        <v>✓ cerveau</v>
      </c>
      <c r="D973" s="35" t="str">
        <f>IF(Liens!C968="","",IF(COUNTIF(Mots!A:A,Liens!C968)&gt;0,"✓ "&amp;Liens!C968,"✗ "&amp;Liens!C968&amp;" (introuvable)"))</f>
        <v>✓ v_apprendre</v>
      </c>
      <c r="E973" s="35" t="str">
        <f>IF(Liens!D968="","",IF(COUNTIF(Mots!A:A,Liens!D968)&gt;0,"✓ "&amp;Liens!D968,"✗ "&amp;Liens!D968&amp;" (introuvable)"))</f>
        <v>✓ v_jouer</v>
      </c>
      <c r="F973" s="35" t="str">
        <f>IF(Liens!E968="","",IF(COUNTIF(Mots!A:A,Liens!E968)&gt;0,"✓ "&amp;Liens!E968,"✗ "&amp;Liens!E968&amp;" (introuvable)"))</f>
        <v>✓ v_chanter</v>
      </c>
      <c r="G973" s="35" t="str">
        <f>IF(Liens!F968="","",IF(COUNTIF(Mots!A:A,Liens!F968)&gt;0,"✓ "&amp;Liens!F968,"✗ "&amp;Liens!F968&amp;" (introuvable)"))</f>
        <v>✓ v_nager</v>
      </c>
      <c r="H973" s="35" t="str">
        <f>IF(Liens!G968="","",IF(COUNTIF(Mots!A:A,Liens!G968)&gt;0,"✓ "&amp;Liens!G968,"✗ "&amp;Liens!G968&amp;" (introuvable)"))</f>
        <v>✓ v_danser</v>
      </c>
      <c r="I973" s="35" t="str">
        <f>IF(Liens!H968="","",IF(COUNTIF(Mots!A:A,Liens!H968)&gt;0,"✓ "&amp;Liens!H968,"✗ "&amp;Liens!H968&amp;" (introuvable)"))</f>
        <v/>
      </c>
    </row>
    <row r="974" spans="1:9" x14ac:dyDescent="0.3">
      <c r="A974">
        <f t="shared" si="11"/>
        <v>969</v>
      </c>
      <c r="B974" s="35" t="str">
        <f>IF(Liens!A969="","",IF(COUNTIF(Mots!A:A,Liens!A969)&gt;0,"✓ "&amp;Liens!A969,"✗ "&amp;Liens!A969&amp;" (introuvable)"))</f>
        <v>✓ v_se_souvenir</v>
      </c>
      <c r="C974" s="35" t="str">
        <f>IF(Liens!B969="","",IF(COUNTIF(Mots!A:A,Liens!B969)&gt;0,"✓ "&amp;Liens!B969,"✗ "&amp;Liens!B969&amp;" (introuvable)"))</f>
        <v>✓ souvenir</v>
      </c>
      <c r="D974" s="35" t="str">
        <f>IF(Liens!C969="","",IF(COUNTIF(Mots!A:A,Liens!C969)&gt;0,"✓ "&amp;Liens!C969,"✗ "&amp;Liens!C969&amp;" (introuvable)"))</f>
        <v>✓ memoire</v>
      </c>
      <c r="E974" s="35" t="str">
        <f>IF(Liens!D969="","",IF(COUNTIF(Mots!A:A,Liens!D969)&gt;0,"✓ "&amp;Liens!D969,"✗ "&amp;Liens!D969&amp;" (introuvable)"))</f>
        <v>✓ v_rappeler</v>
      </c>
      <c r="F974" s="35" t="str">
        <f>IF(Liens!E969="","",IF(COUNTIF(Mots!A:A,Liens!E969)&gt;0,"✓ "&amp;Liens!E969,"✗ "&amp;Liens!E969&amp;" (introuvable)"))</f>
        <v>✓ image</v>
      </c>
      <c r="G974" s="35" t="str">
        <f>IF(Liens!F969="","",IF(COUNTIF(Mots!A:A,Liens!F969)&gt;0,"✓ "&amp;Liens!F969,"✗ "&amp;Liens!F969&amp;" (introuvable)"))</f>
        <v>✓ photo</v>
      </c>
      <c r="H974" s="35" t="str">
        <f>IF(Liens!G969="","",IF(COUNTIF(Mots!A:A,Liens!G969)&gt;0,"✓ "&amp;Liens!G969,"✗ "&amp;Liens!G969&amp;" (introuvable)"))</f>
        <v>✓ smartphone</v>
      </c>
      <c r="I974" s="35" t="str">
        <f>IF(Liens!H969="","",IF(COUNTIF(Mots!A:A,Liens!H969)&gt;0,"✓ "&amp;Liens!H969,"✗ "&amp;Liens!H969&amp;" (introuvable)"))</f>
        <v>✓ appareil_photo</v>
      </c>
    </row>
    <row r="975" spans="1:9" x14ac:dyDescent="0.3">
      <c r="A975">
        <f t="shared" ref="A975:A1038" si="12">A974+1</f>
        <v>970</v>
      </c>
      <c r="B975" s="35" t="str">
        <f>IF(Liens!A970="","",IF(COUNTIF(Mots!A:A,Liens!A970)&gt;0,"✓ "&amp;Liens!A970,"✗ "&amp;Liens!A970&amp;" (introuvable)"))</f>
        <v>✓ v_sentir</v>
      </c>
      <c r="C975" s="35" t="str">
        <f>IF(Liens!B970="","",IF(COUNTIF(Mots!A:A,Liens!B970)&gt;0,"✓ "&amp;Liens!B970,"✗ "&amp;Liens!B970&amp;" (introuvable)"))</f>
        <v>✓ odeur</v>
      </c>
      <c r="D975" s="35" t="str">
        <f>IF(Liens!C970="","",IF(COUNTIF(Mots!A:A,Liens!C970)&gt;0,"✓ "&amp;Liens!C970,"✗ "&amp;Liens!C970&amp;" (introuvable)"))</f>
        <v>✓ nez</v>
      </c>
      <c r="E975" s="35" t="str">
        <f>IF(Liens!D970="","",IF(COUNTIF(Mots!A:A,Liens!D970)&gt;0,"✓ "&amp;Liens!D970,"✗ "&amp;Liens!D970&amp;" (introuvable)"))</f>
        <v/>
      </c>
      <c r="F975" s="35" t="str">
        <f>IF(Liens!E970="","",IF(COUNTIF(Mots!A:A,Liens!E970)&gt;0,"✓ "&amp;Liens!E970,"✗ "&amp;Liens!E970&amp;" (introuvable)"))</f>
        <v/>
      </c>
      <c r="G975" s="35" t="str">
        <f>IF(Liens!F970="","",IF(COUNTIF(Mots!A:A,Liens!F970)&gt;0,"✓ "&amp;Liens!F970,"✗ "&amp;Liens!F970&amp;" (introuvable)"))</f>
        <v/>
      </c>
      <c r="H975" s="35" t="str">
        <f>IF(Liens!G970="","",IF(COUNTIF(Mots!A:A,Liens!G970)&gt;0,"✓ "&amp;Liens!G970,"✗ "&amp;Liens!G970&amp;" (introuvable)"))</f>
        <v/>
      </c>
      <c r="I975" s="35" t="str">
        <f>IF(Liens!H970="","",IF(COUNTIF(Mots!A:A,Liens!H970)&gt;0,"✓ "&amp;Liens!H970,"✗ "&amp;Liens!H970&amp;" (introuvable)"))</f>
        <v/>
      </c>
    </row>
    <row r="976" spans="1:9" x14ac:dyDescent="0.3">
      <c r="A976">
        <f t="shared" si="12"/>
        <v>971</v>
      </c>
      <c r="B976" s="35" t="str">
        <f>IF(Liens!A971="","",IF(COUNTIF(Mots!A:A,Liens!A971)&gt;0,"✓ "&amp;Liens!A971,"✗ "&amp;Liens!A971&amp;" (introuvable)"))</f>
        <v>✓ v_serrer</v>
      </c>
      <c r="C976" s="35" t="str">
        <f>IF(Liens!B971="","",IF(COUNTIF(Mots!A:A,Liens!B971)&gt;0,"✓ "&amp;Liens!B971,"✗ "&amp;Liens!B971&amp;" (introuvable)"))</f>
        <v>✓ main</v>
      </c>
      <c r="D976" s="35" t="str">
        <f>IF(Liens!C971="","",IF(COUNTIF(Mots!A:A,Liens!C971)&gt;0,"✓ "&amp;Liens!C971,"✗ "&amp;Liens!C971&amp;" (introuvable)"))</f>
        <v>✓ bras</v>
      </c>
      <c r="E976" s="35" t="str">
        <f>IF(Liens!D971="","",IF(COUNTIF(Mots!A:A,Liens!D971)&gt;0,"✓ "&amp;Liens!D971,"✗ "&amp;Liens!D971&amp;" (introuvable)"))</f>
        <v>✓ pince</v>
      </c>
      <c r="F976" s="35" t="str">
        <f>IF(Liens!E971="","",IF(COUNTIF(Mots!A:A,Liens!E971)&gt;0,"✓ "&amp;Liens!E971,"✗ "&amp;Liens!E971&amp;" (introuvable)"))</f>
        <v/>
      </c>
      <c r="G976" s="35" t="str">
        <f>IF(Liens!F971="","",IF(COUNTIF(Mots!A:A,Liens!F971)&gt;0,"✓ "&amp;Liens!F971,"✗ "&amp;Liens!F971&amp;" (introuvable)"))</f>
        <v/>
      </c>
      <c r="H976" s="35" t="str">
        <f>IF(Liens!G971="","",IF(COUNTIF(Mots!A:A,Liens!G971)&gt;0,"✓ "&amp;Liens!G971,"✗ "&amp;Liens!G971&amp;" (introuvable)"))</f>
        <v/>
      </c>
      <c r="I976" s="35" t="str">
        <f>IF(Liens!H971="","",IF(COUNTIF(Mots!A:A,Liens!H971)&gt;0,"✓ "&amp;Liens!H971,"✗ "&amp;Liens!H971&amp;" (introuvable)"))</f>
        <v/>
      </c>
    </row>
    <row r="977" spans="1:9" x14ac:dyDescent="0.3">
      <c r="A977">
        <f t="shared" si="12"/>
        <v>972</v>
      </c>
      <c r="B977" s="35" t="str">
        <f>IF(Liens!A972="","",IF(COUNTIF(Mots!A:A,Liens!A972)&gt;0,"✓ "&amp;Liens!A972,"✗ "&amp;Liens!A972&amp;" (introuvable)"))</f>
        <v>✓ v_soigner</v>
      </c>
      <c r="C977" s="35" t="str">
        <f>IF(Liens!B972="","",IF(COUNTIF(Mots!A:A,Liens!B972)&gt;0,"✓ "&amp;Liens!B972,"✗ "&amp;Liens!B972&amp;" (introuvable)"))</f>
        <v>✓ blessure</v>
      </c>
      <c r="D977" s="35" t="str">
        <f>IF(Liens!C972="","",IF(COUNTIF(Mots!A:A,Liens!C972)&gt;0,"✓ "&amp;Liens!C972,"✗ "&amp;Liens!C972&amp;" (introuvable)"))</f>
        <v>✓ medecin</v>
      </c>
      <c r="E977" s="35" t="str">
        <f>IF(Liens!D972="","",IF(COUNTIF(Mots!A:A,Liens!D972)&gt;0,"✓ "&amp;Liens!D972,"✗ "&amp;Liens!D972&amp;" (introuvable)"))</f>
        <v>✓ infirmier</v>
      </c>
      <c r="F977" s="35" t="str">
        <f>IF(Liens!E972="","",IF(COUNTIF(Mots!A:A,Liens!E972)&gt;0,"✓ "&amp;Liens!E972,"✗ "&amp;Liens!E972&amp;" (introuvable)"))</f>
        <v>✓ bandage</v>
      </c>
      <c r="G977" s="35" t="str">
        <f>IF(Liens!F972="","",IF(COUNTIF(Mots!A:A,Liens!F972)&gt;0,"✓ "&amp;Liens!F972,"✗ "&amp;Liens!F972&amp;" (introuvable)"))</f>
        <v>✓ bras</v>
      </c>
      <c r="H977" s="35" t="str">
        <f>IF(Liens!G972="","",IF(COUNTIF(Mots!A:A,Liens!G972)&gt;0,"✓ "&amp;Liens!G972,"✗ "&amp;Liens!G972&amp;" (introuvable)"))</f>
        <v>✓ ambulance</v>
      </c>
      <c r="I977" s="35" t="str">
        <f>IF(Liens!H972="","",IF(COUNTIF(Mots!A:A,Liens!H972)&gt;0,"✓ "&amp;Liens!H972,"✗ "&amp;Liens!H972&amp;" (introuvable)"))</f>
        <v>✓ hopital_sion</v>
      </c>
    </row>
    <row r="978" spans="1:9" x14ac:dyDescent="0.3">
      <c r="A978">
        <f t="shared" si="12"/>
        <v>973</v>
      </c>
      <c r="B978" s="35" t="str">
        <f>IF(Liens!A973="","",IF(COUNTIF(Mots!A:A,Liens!A973)&gt;0,"✓ "&amp;Liens!A973,"✗ "&amp;Liens!A973&amp;" (introuvable)"))</f>
        <v>✓ v_sortir</v>
      </c>
      <c r="C978" s="35" t="str">
        <f>IF(Liens!B973="","",IF(COUNTIF(Mots!A:A,Liens!B973)&gt;0,"✓ "&amp;Liens!B973,"✗ "&amp;Liens!B973&amp;" (introuvable)"))</f>
        <v>✓ maison</v>
      </c>
      <c r="D978" s="35" t="str">
        <f>IF(Liens!C973="","",IF(COUNTIF(Mots!A:A,Liens!C973)&gt;0,"✓ "&amp;Liens!C973,"✗ "&amp;Liens!C973&amp;" (introuvable)"))</f>
        <v>✓ voiture</v>
      </c>
      <c r="E978" s="35" t="str">
        <f>IF(Liens!D973="","",IF(COUNTIF(Mots!A:A,Liens!D973)&gt;0,"✓ "&amp;Liens!D973,"✗ "&amp;Liens!D973&amp;" (introuvable)"))</f>
        <v>✓ porte</v>
      </c>
      <c r="F978" s="35" t="str">
        <f>IF(Liens!E973="","",IF(COUNTIF(Mots!A:A,Liens!E973)&gt;0,"✓ "&amp;Liens!E973,"✗ "&amp;Liens!E973&amp;" (introuvable)"))</f>
        <v>✓ fenetre</v>
      </c>
      <c r="G978" s="35" t="str">
        <f>IF(Liens!F973="","",IF(COUNTIF(Mots!A:A,Liens!F973)&gt;0,"✓ "&amp;Liens!F973,"✗ "&amp;Liens!F973&amp;" (introuvable)"))</f>
        <v>✓ cuisine</v>
      </c>
      <c r="H978" s="35" t="str">
        <f>IF(Liens!G973="","",IF(COUNTIF(Mots!A:A,Liens!G973)&gt;0,"✓ "&amp;Liens!G973,"✗ "&amp;Liens!G973&amp;" (introuvable)"))</f>
        <v>✓ salon</v>
      </c>
      <c r="I978" s="35" t="str">
        <f>IF(Liens!H973="","",IF(COUNTIF(Mots!A:A,Liens!H973)&gt;0,"✓ "&amp;Liens!H973,"✗ "&amp;Liens!H973&amp;" (introuvable)"))</f>
        <v>✓ chambre</v>
      </c>
    </row>
    <row r="979" spans="1:9" x14ac:dyDescent="0.3">
      <c r="A979">
        <f t="shared" si="12"/>
        <v>974</v>
      </c>
      <c r="B979" s="35" t="str">
        <f>IF(Liens!A974="","",IF(COUNTIF(Mots!A:A,Liens!A974)&gt;0,"✓ "&amp;Liens!A974,"✗ "&amp;Liens!A974&amp;" (introuvable)"))</f>
        <v>✓ v_supplier</v>
      </c>
      <c r="C979" s="35" t="str">
        <f>IF(Liens!B974="","",IF(COUNTIF(Mots!A:A,Liens!B974)&gt;0,"✓ "&amp;Liens!B974,"✗ "&amp;Liens!B974&amp;" (introuvable)"))</f>
        <v>✓ v_demander</v>
      </c>
      <c r="D979" s="35" t="str">
        <f>IF(Liens!C974="","",IF(COUNTIF(Mots!A:A,Liens!C974)&gt;0,"✓ "&amp;Liens!C974,"✗ "&amp;Liens!C974&amp;" (introuvable)"))</f>
        <v>✓ besoin</v>
      </c>
      <c r="E979" s="35" t="str">
        <f>IF(Liens!D974="","",IF(COUNTIF(Mots!A:A,Liens!D974)&gt;0,"✓ "&amp;Liens!D974,"✗ "&amp;Liens!D974&amp;" (introuvable)"))</f>
        <v>✓ aide</v>
      </c>
      <c r="F979" s="35" t="str">
        <f>IF(Liens!E974="","",IF(COUNTIF(Mots!A:A,Liens!E974)&gt;0,"✓ "&amp;Liens!E974,"✗ "&amp;Liens!E974&amp;" (introuvable)"))</f>
        <v>✓ service</v>
      </c>
      <c r="G979" s="35" t="str">
        <f>IF(Liens!F974="","",IF(COUNTIF(Mots!A:A,Liens!F974)&gt;0,"✓ "&amp;Liens!F974,"✗ "&amp;Liens!F974&amp;" (introuvable)"))</f>
        <v/>
      </c>
      <c r="H979" s="35" t="str">
        <f>IF(Liens!G974="","",IF(COUNTIF(Mots!A:A,Liens!G974)&gt;0,"✓ "&amp;Liens!G974,"✗ "&amp;Liens!G974&amp;" (introuvable)"))</f>
        <v/>
      </c>
      <c r="I979" s="35" t="str">
        <f>IF(Liens!H974="","",IF(COUNTIF(Mots!A:A,Liens!H974)&gt;0,"✓ "&amp;Liens!H974,"✗ "&amp;Liens!H974&amp;" (introuvable)"))</f>
        <v/>
      </c>
    </row>
    <row r="980" spans="1:9" x14ac:dyDescent="0.3">
      <c r="A980">
        <f t="shared" si="12"/>
        <v>975</v>
      </c>
      <c r="B980" s="35" t="str">
        <f>IF(Liens!A975="","",IF(COUNTIF(Mots!A:A,Liens!A975)&gt;0,"✓ "&amp;Liens!A975,"✗ "&amp;Liens!A975&amp;" (introuvable)"))</f>
        <v>✓ v_tenir</v>
      </c>
      <c r="C980" s="35" t="str">
        <f>IF(Liens!B975="","",IF(COUNTIF(Mots!A:A,Liens!B975)&gt;0,"✓ "&amp;Liens!B975,"✗ "&amp;Liens!B975&amp;" (introuvable)"))</f>
        <v>✓ main</v>
      </c>
      <c r="D980" s="35" t="str">
        <f>IF(Liens!C975="","",IF(COUNTIF(Mots!A:A,Liens!C975)&gt;0,"✓ "&amp;Liens!C975,"✗ "&amp;Liens!C975&amp;" (introuvable)"))</f>
        <v>✓ bras</v>
      </c>
      <c r="E980" s="35" t="str">
        <f>IF(Liens!D975="","",IF(COUNTIF(Mots!A:A,Liens!D975)&gt;0,"✓ "&amp;Liens!D975,"✗ "&amp;Liens!D975&amp;" (introuvable)"))</f>
        <v/>
      </c>
      <c r="F980" s="35" t="str">
        <f>IF(Liens!E975="","",IF(COUNTIF(Mots!A:A,Liens!E975)&gt;0,"✓ "&amp;Liens!E975,"✗ "&amp;Liens!E975&amp;" (introuvable)"))</f>
        <v/>
      </c>
      <c r="G980" s="35" t="str">
        <f>IF(Liens!F975="","",IF(COUNTIF(Mots!A:A,Liens!F975)&gt;0,"✓ "&amp;Liens!F975,"✗ "&amp;Liens!F975&amp;" (introuvable)"))</f>
        <v/>
      </c>
      <c r="H980" s="35" t="str">
        <f>IF(Liens!G975="","",IF(COUNTIF(Mots!A:A,Liens!G975)&gt;0,"✓ "&amp;Liens!G975,"✗ "&amp;Liens!G975&amp;" (introuvable)"))</f>
        <v/>
      </c>
      <c r="I980" s="35" t="str">
        <f>IF(Liens!H975="","",IF(COUNTIF(Mots!A:A,Liens!H975)&gt;0,"✓ "&amp;Liens!H975,"✗ "&amp;Liens!H975&amp;" (introuvable)"))</f>
        <v/>
      </c>
    </row>
    <row r="981" spans="1:9" x14ac:dyDescent="0.3">
      <c r="A981">
        <f t="shared" si="12"/>
        <v>976</v>
      </c>
      <c r="B981" s="35" t="str">
        <f>IF(Liens!A976="","",IF(COUNTIF(Mots!A:A,Liens!A976)&gt;0,"✓ "&amp;Liens!A976,"✗ "&amp;Liens!A976&amp;" (introuvable)"))</f>
        <v>✓ v_tirer</v>
      </c>
      <c r="C981" s="35" t="str">
        <f>IF(Liens!B976="","",IF(COUNTIF(Mots!A:A,Liens!B976)&gt;0,"✓ "&amp;Liens!B976,"✗ "&amp;Liens!B976&amp;" (introuvable)"))</f>
        <v>✓ main</v>
      </c>
      <c r="D981" s="35" t="str">
        <f>IF(Liens!C976="","",IF(COUNTIF(Mots!A:A,Liens!C976)&gt;0,"✓ "&amp;Liens!C976,"✗ "&amp;Liens!C976&amp;" (introuvable)"))</f>
        <v>✓ rideau</v>
      </c>
      <c r="E981" s="35" t="str">
        <f>IF(Liens!D976="","",IF(COUNTIF(Mots!A:A,Liens!D976)&gt;0,"✓ "&amp;Liens!D976,"✗ "&amp;Liens!D976&amp;" (introuvable)"))</f>
        <v>✓ bouquetin</v>
      </c>
      <c r="F981" s="35" t="str">
        <f>IF(Liens!E976="","",IF(COUNTIF(Mots!A:A,Liens!E976)&gt;0,"✓ "&amp;Liens!E976,"✗ "&amp;Liens!E976&amp;" (introuvable)"))</f>
        <v>✓ chamois</v>
      </c>
      <c r="G981" s="35" t="str">
        <f>IF(Liens!F976="","",IF(COUNTIF(Mots!A:A,Liens!F976)&gt;0,"✓ "&amp;Liens!F976,"✗ "&amp;Liens!F976&amp;" (introuvable)"))</f>
        <v>✓ cerf</v>
      </c>
      <c r="H981" s="35" t="str">
        <f>IF(Liens!G976="","",IF(COUNTIF(Mots!A:A,Liens!G976)&gt;0,"✓ "&amp;Liens!G976,"✗ "&amp;Liens!G976&amp;" (introuvable)"))</f>
        <v/>
      </c>
      <c r="I981" s="35" t="str">
        <f>IF(Liens!H976="","",IF(COUNTIF(Mots!A:A,Liens!H976)&gt;0,"✓ "&amp;Liens!H976,"✗ "&amp;Liens!H976&amp;" (introuvable)"))</f>
        <v/>
      </c>
    </row>
    <row r="982" spans="1:9" x14ac:dyDescent="0.3">
      <c r="A982">
        <f t="shared" si="12"/>
        <v>977</v>
      </c>
      <c r="B982" s="35" t="str">
        <f>IF(Liens!A977="","",IF(COUNTIF(Mots!A:A,Liens!A977)&gt;0,"✓ "&amp;Liens!A977,"✗ "&amp;Liens!A977&amp;" (introuvable)"))</f>
        <v>✓ v_tomber</v>
      </c>
      <c r="C982" s="35" t="str">
        <f>IF(Liens!B977="","",IF(COUNTIF(Mots!A:A,Liens!B977)&gt;0,"✓ "&amp;Liens!B977,"✗ "&amp;Liens!B977&amp;" (introuvable)"))</f>
        <v>✓ main</v>
      </c>
      <c r="D982" s="35" t="str">
        <f>IF(Liens!C977="","",IF(COUNTIF(Mots!A:A,Liens!C977)&gt;0,"✓ "&amp;Liens!C977,"✗ "&amp;Liens!C977&amp;" (introuvable)"))</f>
        <v>✓ jambe</v>
      </c>
      <c r="E982" s="35" t="str">
        <f>IF(Liens!D977="","",IF(COUNTIF(Mots!A:A,Liens!D977)&gt;0,"✓ "&amp;Liens!D977,"✗ "&amp;Liens!D977&amp;" (introuvable)"))</f>
        <v>✓ blessure</v>
      </c>
      <c r="F982" s="35" t="str">
        <f>IF(Liens!E977="","",IF(COUNTIF(Mots!A:A,Liens!E977)&gt;0,"✓ "&amp;Liens!E977,"✗ "&amp;Liens!E977&amp;" (introuvable)"))</f>
        <v>✓ pansement</v>
      </c>
      <c r="G982" s="35" t="str">
        <f>IF(Liens!F977="","",IF(COUNTIF(Mots!A:A,Liens!F977)&gt;0,"✓ "&amp;Liens!F977,"✗ "&amp;Liens!F977&amp;" (introuvable)"))</f>
        <v/>
      </c>
      <c r="H982" s="35" t="str">
        <f>IF(Liens!G977="","",IF(COUNTIF(Mots!A:A,Liens!G977)&gt;0,"✓ "&amp;Liens!G977,"✗ "&amp;Liens!G977&amp;" (introuvable)"))</f>
        <v/>
      </c>
      <c r="I982" s="35" t="str">
        <f>IF(Liens!H977="","",IF(COUNTIF(Mots!A:A,Liens!H977)&gt;0,"✓ "&amp;Liens!H977,"✗ "&amp;Liens!H977&amp;" (introuvable)"))</f>
        <v/>
      </c>
    </row>
    <row r="983" spans="1:9" x14ac:dyDescent="0.3">
      <c r="A983">
        <f t="shared" si="12"/>
        <v>978</v>
      </c>
      <c r="B983" s="35" t="str">
        <f>IF(Liens!A978="","",IF(COUNTIF(Mots!A:A,Liens!A978)&gt;0,"✓ "&amp;Liens!A978,"✗ "&amp;Liens!A978&amp;" (introuvable)"))</f>
        <v>✓ v_toucher</v>
      </c>
      <c r="C983" s="35" t="str">
        <f>IF(Liens!B978="","",IF(COUNTIF(Mots!A:A,Liens!B978)&gt;0,"✓ "&amp;Liens!B978,"✗ "&amp;Liens!B978&amp;" (introuvable)"))</f>
        <v>✓ main</v>
      </c>
      <c r="D983" s="35" t="str">
        <f>IF(Liens!C978="","",IF(COUNTIF(Mots!A:A,Liens!C978)&gt;0,"✓ "&amp;Liens!C978,"✗ "&amp;Liens!C978&amp;" (introuvable)"))</f>
        <v>✓ doigt</v>
      </c>
      <c r="E983" s="35" t="str">
        <f>IF(Liens!D978="","",IF(COUNTIF(Mots!A:A,Liens!D978)&gt;0,"✓ "&amp;Liens!D978,"✗ "&amp;Liens!D978&amp;" (introuvable)"))</f>
        <v>✓ tendresse</v>
      </c>
      <c r="F983" s="35" t="str">
        <f>IF(Liens!E978="","",IF(COUNTIF(Mots!A:A,Liens!E978)&gt;0,"✓ "&amp;Liens!E978,"✗ "&amp;Liens!E978&amp;" (introuvable)"))</f>
        <v>✓ emotion</v>
      </c>
      <c r="G983" s="35" t="str">
        <f>IF(Liens!F978="","",IF(COUNTIF(Mots!A:A,Liens!F978)&gt;0,"✓ "&amp;Liens!F978,"✗ "&amp;Liens!F978&amp;" (introuvable)"))</f>
        <v/>
      </c>
      <c r="H983" s="35" t="str">
        <f>IF(Liens!G978="","",IF(COUNTIF(Mots!A:A,Liens!G978)&gt;0,"✓ "&amp;Liens!G978,"✗ "&amp;Liens!G978&amp;" (introuvable)"))</f>
        <v/>
      </c>
      <c r="I983" s="35" t="str">
        <f>IF(Liens!H978="","",IF(COUNTIF(Mots!A:A,Liens!H978)&gt;0,"✓ "&amp;Liens!H978,"✗ "&amp;Liens!H978&amp;" (introuvable)"))</f>
        <v/>
      </c>
    </row>
    <row r="984" spans="1:9" x14ac:dyDescent="0.3">
      <c r="A984">
        <f t="shared" si="12"/>
        <v>979</v>
      </c>
      <c r="B984" s="35" t="str">
        <f>IF(Liens!A979="","",IF(COUNTIF(Mots!A:A,Liens!A979)&gt;0,"✓ "&amp;Liens!A979,"✗ "&amp;Liens!A979&amp;" (introuvable)"))</f>
        <v>✓ v_travailler</v>
      </c>
      <c r="C984" s="35" t="str">
        <f>IF(Liens!B979="","",IF(COUNTIF(Mots!A:A,Liens!B979)&gt;0,"✓ "&amp;Liens!B979,"✗ "&amp;Liens!B979&amp;" (introuvable)"))</f>
        <v>✓ effort</v>
      </c>
      <c r="D984" s="35" t="str">
        <f>IF(Liens!C979="","",IF(COUNTIF(Mots!A:A,Liens!C979)&gt;0,"✓ "&amp;Liens!C979,"✗ "&amp;Liens!C979&amp;" (introuvable)"))</f>
        <v>✓ tache</v>
      </c>
      <c r="E984" s="35" t="str">
        <f>IF(Liens!D979="","",IF(COUNTIF(Mots!A:A,Liens!D979)&gt;0,"✓ "&amp;Liens!D979,"✗ "&amp;Liens!D979&amp;" (introuvable)"))</f>
        <v>✓ salaire</v>
      </c>
      <c r="F984" s="35" t="str">
        <f>IF(Liens!E979="","",IF(COUNTIF(Mots!A:A,Liens!E979)&gt;0,"✓ "&amp;Liens!E979,"✗ "&amp;Liens!E979&amp;" (introuvable)"))</f>
        <v>✓ bureau_piece</v>
      </c>
      <c r="G984" s="35" t="str">
        <f>IF(Liens!F979="","",IF(COUNTIF(Mots!A:A,Liens!F979)&gt;0,"✓ "&amp;Liens!F979,"✗ "&amp;Liens!F979&amp;" (introuvable)"))</f>
        <v>✓ police_ge</v>
      </c>
      <c r="H984" s="35" t="str">
        <f>IF(Liens!G979="","",IF(COUNTIF(Mots!A:A,Liens!G979)&gt;0,"✓ "&amp;Liens!G979,"✗ "&amp;Liens!G979&amp;" (introuvable)"))</f>
        <v>✓ bureau_metier</v>
      </c>
      <c r="I984" s="35" t="str">
        <f>IF(Liens!H979="","",IF(COUNTIF(Mots!A:A,Liens!H979)&gt;0,"✓ "&amp;Liens!H979,"✗ "&amp;Liens!H979&amp;" (introuvable)"))</f>
        <v>✓ admin_conthey</v>
      </c>
    </row>
    <row r="985" spans="1:9" x14ac:dyDescent="0.3">
      <c r="A985">
        <f t="shared" si="12"/>
        <v>980</v>
      </c>
      <c r="B985" s="35" t="str">
        <f>IF(Liens!A980="","",IF(COUNTIF(Mots!A:A,Liens!A980)&gt;0,"✓ "&amp;Liens!A980,"✗ "&amp;Liens!A980&amp;" (introuvable)"))</f>
        <v>✓ v_trouver</v>
      </c>
      <c r="C985" s="35" t="str">
        <f>IF(Liens!B980="","",IF(COUNTIF(Mots!A:A,Liens!B980)&gt;0,"✓ "&amp;Liens!B980,"✗ "&amp;Liens!B980&amp;" (introuvable)"))</f>
        <v>✓ personne</v>
      </c>
      <c r="D985" s="35" t="str">
        <f>IF(Liens!C980="","",IF(COUNTIF(Mots!A:A,Liens!C980)&gt;0,"✓ "&amp;Liens!C980,"✗ "&amp;Liens!C980&amp;" (introuvable)"))</f>
        <v>✓ chose</v>
      </c>
      <c r="E985" s="35" t="str">
        <f>IF(Liens!D980="","",IF(COUNTIF(Mots!A:A,Liens!D980)&gt;0,"✓ "&amp;Liens!D980,"✗ "&amp;Liens!D980&amp;" (introuvable)"))</f>
        <v>✓ v_chercher</v>
      </c>
      <c r="F985" s="35" t="str">
        <f>IF(Liens!E980="","",IF(COUNTIF(Mots!A:A,Liens!E980)&gt;0,"✓ "&amp;Liens!E980,"✗ "&amp;Liens!E980&amp;" (introuvable)"))</f>
        <v>✓ v_regarder</v>
      </c>
      <c r="G985" s="35" t="str">
        <f>IF(Liens!F980="","",IF(COUNTIF(Mots!A:A,Liens!F980)&gt;0,"✓ "&amp;Liens!F980,"✗ "&amp;Liens!F980&amp;" (introuvable)"))</f>
        <v/>
      </c>
      <c r="H985" s="35" t="str">
        <f>IF(Liens!G980="","",IF(COUNTIF(Mots!A:A,Liens!G980)&gt;0,"✓ "&amp;Liens!G980,"✗ "&amp;Liens!G980&amp;" (introuvable)"))</f>
        <v/>
      </c>
      <c r="I985" s="35" t="str">
        <f>IF(Liens!H980="","",IF(COUNTIF(Mots!A:A,Liens!H980)&gt;0,"✓ "&amp;Liens!H980,"✗ "&amp;Liens!H980&amp;" (introuvable)"))</f>
        <v/>
      </c>
    </row>
    <row r="986" spans="1:9" x14ac:dyDescent="0.3">
      <c r="A986">
        <f t="shared" si="12"/>
        <v>981</v>
      </c>
      <c r="B986" s="35" t="str">
        <f>IF(Liens!A981="","",IF(COUNTIF(Mots!A:A,Liens!A981)&gt;0,"✓ "&amp;Liens!A981,"✗ "&amp;Liens!A981&amp;" (introuvable)"))</f>
        <v>✓ v_vendre</v>
      </c>
      <c r="C986" s="35" t="str">
        <f>IF(Liens!B981="","",IF(COUNTIF(Mots!A:A,Liens!B981)&gt;0,"✓ "&amp;Liens!B981,"✗ "&amp;Liens!B981&amp;" (introuvable)"))</f>
        <v>✓ chose</v>
      </c>
      <c r="D986" s="35" t="str">
        <f>IF(Liens!C981="","",IF(COUNTIF(Mots!A:A,Liens!C981)&gt;0,"✓ "&amp;Liens!C981,"✗ "&amp;Liens!C981&amp;" (introuvable)"))</f>
        <v>✓ vendeur</v>
      </c>
      <c r="E986" s="35" t="str">
        <f>IF(Liens!D981="","",IF(COUNTIF(Mots!A:A,Liens!D981)&gt;0,"✓ "&amp;Liens!D981,"✗ "&amp;Liens!D981&amp;" (introuvable)"))</f>
        <v>✓ argent</v>
      </c>
      <c r="F986" s="35" t="str">
        <f>IF(Liens!E981="","",IF(COUNTIF(Mots!A:A,Liens!E981)&gt;0,"✓ "&amp;Liens!E981,"✗ "&amp;Liens!E981&amp;" (introuvable)"))</f>
        <v>✓ marche_lieu</v>
      </c>
      <c r="G986" s="35" t="str">
        <f>IF(Liens!F981="","",IF(COUNTIF(Mots!A:A,Liens!F981)&gt;0,"✓ "&amp;Liens!F981,"✗ "&amp;Liens!F981&amp;" (introuvable)"))</f>
        <v>✓ magasin</v>
      </c>
      <c r="H986" s="35" t="str">
        <f>IF(Liens!G981="","",IF(COUNTIF(Mots!A:A,Liens!G981)&gt;0,"✓ "&amp;Liens!G981,"✗ "&amp;Liens!G981&amp;" (introuvable)"))</f>
        <v>✓ boutique</v>
      </c>
      <c r="I986" s="35" t="str">
        <f>IF(Liens!H981="","",IF(COUNTIF(Mots!A:A,Liens!H981)&gt;0,"✓ "&amp;Liens!H981,"✗ "&amp;Liens!H981&amp;" (introuvable)"))</f>
        <v>✓ affaires</v>
      </c>
    </row>
    <row r="987" spans="1:9" x14ac:dyDescent="0.3">
      <c r="A987">
        <f t="shared" si="12"/>
        <v>982</v>
      </c>
      <c r="B987" s="35" t="str">
        <f>IF(Liens!A982="","",IF(COUNTIF(Mots!A:A,Liens!A982)&gt;0,"✓ "&amp;Liens!A982,"✗ "&amp;Liens!A982&amp;" (introuvable)"))</f>
        <v>✓ v_venir</v>
      </c>
      <c r="C987" s="35" t="str">
        <f>IF(Liens!B982="","",IF(COUNTIF(Mots!A:A,Liens!B982)&gt;0,"✓ "&amp;Liens!B982,"✗ "&amp;Liens!B982&amp;" (introuvable)"))</f>
        <v>✓ maison</v>
      </c>
      <c r="D987" s="35" t="str">
        <f>IF(Liens!C982="","",IF(COUNTIF(Mots!A:A,Liens!C982)&gt;0,"✓ "&amp;Liens!C982,"✗ "&amp;Liens!C982&amp;" (introuvable)"))</f>
        <v>✓ repetition</v>
      </c>
      <c r="E987" s="35" t="str">
        <f>IF(Liens!D982="","",IF(COUNTIF(Mots!A:A,Liens!D982)&gt;0,"✓ "&amp;Liens!D982,"✗ "&amp;Liens!D982&amp;" (introuvable)"))</f>
        <v>✓ concert</v>
      </c>
      <c r="F987" s="35" t="str">
        <f>IF(Liens!E982="","",IF(COUNTIF(Mots!A:A,Liens!E982)&gt;0,"✓ "&amp;Liens!E982,"✗ "&amp;Liens!E982&amp;" (introuvable)"))</f>
        <v>✓ v_marcher</v>
      </c>
      <c r="G987" s="35" t="str">
        <f>IF(Liens!F982="","",IF(COUNTIF(Mots!A:A,Liens!F982)&gt;0,"✓ "&amp;Liens!F982,"✗ "&amp;Liens!F982&amp;" (introuvable)"))</f>
        <v>✓ promenade</v>
      </c>
      <c r="H987" s="35" t="str">
        <f>IF(Liens!G982="","",IF(COUNTIF(Mots!A:A,Liens!G982)&gt;0,"✓ "&amp;Liens!G982,"✗ "&amp;Liens!G982&amp;" (introuvable)"))</f>
        <v>✓ randonnee</v>
      </c>
      <c r="I987" s="35" t="str">
        <f>IF(Liens!H982="","",IF(COUNTIF(Mots!A:A,Liens!H982)&gt;0,"✓ "&amp;Liens!H982,"✗ "&amp;Liens!H982&amp;" (introuvable)"))</f>
        <v>✓ v_manger</v>
      </c>
    </row>
    <row r="988" spans="1:9" x14ac:dyDescent="0.3">
      <c r="A988">
        <f t="shared" si="12"/>
        <v>983</v>
      </c>
      <c r="B988" s="35" t="str">
        <f>IF(Liens!A983="","",IF(COUNTIF(Mots!A:A,Liens!A983)&gt;0,"✓ "&amp;Liens!A983,"✗ "&amp;Liens!A983&amp;" (introuvable)"))</f>
        <v>✓ v_voir</v>
      </c>
      <c r="C988" s="35" t="str">
        <f>IF(Liens!B983="","",IF(COUNTIF(Mots!A:A,Liens!B983)&gt;0,"✓ "&amp;Liens!B983,"✗ "&amp;Liens!B983&amp;" (introuvable)"))</f>
        <v>✓ oeil</v>
      </c>
      <c r="D988" s="35" t="str">
        <f>IF(Liens!C983="","",IF(COUNTIF(Mots!A:A,Liens!C983)&gt;0,"✓ "&amp;Liens!C983,"✗ "&amp;Liens!C983&amp;" (introuvable)"))</f>
        <v>✓ lunettes</v>
      </c>
      <c r="E988" s="35" t="str">
        <f>IF(Liens!D983="","",IF(COUNTIF(Mots!A:A,Liens!D983)&gt;0,"✓ "&amp;Liens!D983,"✗ "&amp;Liens!D983&amp;" (introuvable)"))</f>
        <v>✓ o_jumelles</v>
      </c>
      <c r="F988" s="35" t="str">
        <f>IF(Liens!E983="","",IF(COUNTIF(Mots!A:A,Liens!E983)&gt;0,"✓ "&amp;Liens!E983,"✗ "&amp;Liens!E983&amp;" (introuvable)"))</f>
        <v>✓ personne</v>
      </c>
      <c r="G988" s="35" t="str">
        <f>IF(Liens!F983="","",IF(COUNTIF(Mots!A:A,Liens!F983)&gt;0,"✓ "&amp;Liens!F983,"✗ "&amp;Liens!F983&amp;" (introuvable)"))</f>
        <v>✓ animal</v>
      </c>
      <c r="H988" s="35" t="str">
        <f>IF(Liens!G983="","",IF(COUNTIF(Mots!A:A,Liens!G983)&gt;0,"✓ "&amp;Liens!G983,"✗ "&amp;Liens!G983&amp;" (introuvable)"))</f>
        <v>✓ batiment</v>
      </c>
      <c r="I988" s="35" t="str">
        <f>IF(Liens!H983="","",IF(COUNTIF(Mots!A:A,Liens!H983)&gt;0,"✓ "&amp;Liens!H983,"✗ "&amp;Liens!H983&amp;" (introuvable)"))</f>
        <v>✓ nature</v>
      </c>
    </row>
    <row r="989" spans="1:9" x14ac:dyDescent="0.3">
      <c r="A989">
        <f t="shared" si="12"/>
        <v>984</v>
      </c>
      <c r="B989" s="35" t="str">
        <f>IF(Liens!A984="","",IF(COUNTIF(Mots!A:A,Liens!A984)&gt;0,"✓ "&amp;Liens!A984,"✗ "&amp;Liens!A984&amp;" (introuvable)"))</f>
        <v>✓ v_voler</v>
      </c>
      <c r="C989" s="35" t="str">
        <f>IF(Liens!B984="","",IF(COUNTIF(Mots!A:A,Liens!B984)&gt;0,"✓ "&amp;Liens!B984,"✗ "&amp;Liens!B984&amp;" (introuvable)"))</f>
        <v>✓ oiseau</v>
      </c>
      <c r="D989" s="35" t="str">
        <f>IF(Liens!C984="","",IF(COUNTIF(Mots!A:A,Liens!C984)&gt;0,"✓ "&amp;Liens!C984,"✗ "&amp;Liens!C984&amp;" (introuvable)"))</f>
        <v>✓ air</v>
      </c>
      <c r="E989" s="35" t="str">
        <f>IF(Liens!D984="","",IF(COUNTIF(Mots!A:A,Liens!D984)&gt;0,"✓ "&amp;Liens!D984,"✗ "&amp;Liens!D984&amp;" (introuvable)"))</f>
        <v>✓ ciel</v>
      </c>
      <c r="F989" s="35" t="str">
        <f>IF(Liens!E984="","",IF(COUNTIF(Mots!A:A,Liens!E984)&gt;0,"✓ "&amp;Liens!E984,"✗ "&amp;Liens!E984&amp;" (introuvable)"))</f>
        <v>✓ avion</v>
      </c>
      <c r="G989" s="35" t="str">
        <f>IF(Liens!F984="","",IF(COUNTIF(Mots!A:A,Liens!F984)&gt;0,"✓ "&amp;Liens!F984,"✗ "&amp;Liens!F984&amp;" (introuvable)"))</f>
        <v>✓ papillon</v>
      </c>
      <c r="H989" s="35" t="str">
        <f>IF(Liens!G984="","",IF(COUNTIF(Mots!A:A,Liens!G984)&gt;0,"✓ "&amp;Liens!G984,"✗ "&amp;Liens!G984&amp;" (introuvable)"))</f>
        <v>✓ guepe</v>
      </c>
      <c r="I989" s="35" t="str">
        <f>IF(Liens!H984="","",IF(COUNTIF(Mots!A:A,Liens!H984)&gt;0,"✓ "&amp;Liens!H984,"✗ "&amp;Liens!H984&amp;" (introuvable)"))</f>
        <v>✓ abeille</v>
      </c>
    </row>
    <row r="990" spans="1:9" x14ac:dyDescent="0.3">
      <c r="A990">
        <f t="shared" si="12"/>
        <v>985</v>
      </c>
      <c r="B990" s="35" t="str">
        <f>IF(Liens!A985="","",IF(COUNTIF(Mots!A:A,Liens!A985)&gt;0,"✓ "&amp;Liens!A985,"✗ "&amp;Liens!A985&amp;" (introuvable)"))</f>
        <v>✓ v_vouloir</v>
      </c>
      <c r="C990" s="35" t="str">
        <f>IF(Liens!B985="","",IF(COUNTIF(Mots!A:A,Liens!B985)&gt;0,"✓ "&amp;Liens!B985,"✗ "&amp;Liens!B985&amp;" (introuvable)"))</f>
        <v>✓ envie</v>
      </c>
      <c r="D990" s="35" t="str">
        <f>IF(Liens!C985="","",IF(COUNTIF(Mots!A:A,Liens!C985)&gt;0,"✓ "&amp;Liens!C985,"✗ "&amp;Liens!C985&amp;" (introuvable)"))</f>
        <v>✓ desir</v>
      </c>
      <c r="E990" s="35" t="str">
        <f>IF(Liens!D985="","",IF(COUNTIF(Mots!A:A,Liens!D985)&gt;0,"✓ "&amp;Liens!D985,"✗ "&amp;Liens!D985&amp;" (introuvable)"))</f>
        <v>✓ v_decider</v>
      </c>
      <c r="F990" s="35" t="str">
        <f>IF(Liens!E985="","",IF(COUNTIF(Mots!A:A,Liens!E985)&gt;0,"✓ "&amp;Liens!E985,"✗ "&amp;Liens!E985&amp;" (introuvable)"))</f>
        <v>✓ v_aller</v>
      </c>
      <c r="G990" s="35" t="str">
        <f>IF(Liens!F985="","",IF(COUNTIF(Mots!A:A,Liens!F985)&gt;0,"✓ "&amp;Liens!F985,"✗ "&amp;Liens!F985&amp;" (introuvable)"))</f>
        <v>✓ v_manger</v>
      </c>
      <c r="H990" s="35" t="str">
        <f>IF(Liens!G985="","",IF(COUNTIF(Mots!A:A,Liens!G985)&gt;0,"✓ "&amp;Liens!G985,"✗ "&amp;Liens!G985&amp;" (introuvable)"))</f>
        <v>✓ v_boire</v>
      </c>
      <c r="I990" s="35" t="str">
        <f>IF(Liens!H985="","",IF(COUNTIF(Mots!A:A,Liens!H985)&gt;0,"✓ "&amp;Liens!H985,"✗ "&amp;Liens!H985&amp;" (introuvable)"))</f>
        <v>✓ v_jouer</v>
      </c>
    </row>
    <row r="991" spans="1:9" x14ac:dyDescent="0.3">
      <c r="A991">
        <f t="shared" si="12"/>
        <v>986</v>
      </c>
      <c r="B991" s="35" t="str">
        <f>IF(Liens!A986="","",IF(COUNTIF(Mots!A:A,Liens!A986)&gt;0,"✓ "&amp;Liens!A986,"✗ "&amp;Liens!A986&amp;" (introuvable)"))</f>
        <v>✓ vacances</v>
      </c>
      <c r="C991" s="35" t="str">
        <f>IF(Liens!B986="","",IF(COUNTIF(Mots!A:A,Liens!B986)&gt;0,"✓ "&amp;Liens!B986,"✗ "&amp;Liens!B986&amp;" (introuvable)"))</f>
        <v>✓ voyage</v>
      </c>
      <c r="D991" s="35" t="str">
        <f>IF(Liens!C986="","",IF(COUNTIF(Mots!A:A,Liens!C986)&gt;0,"✓ "&amp;Liens!C986,"✗ "&amp;Liens!C986&amp;" (introuvable)"))</f>
        <v>✓ repos</v>
      </c>
      <c r="E991" s="35" t="str">
        <f>IF(Liens!D986="","",IF(COUNTIF(Mots!A:A,Liens!D986)&gt;0,"✓ "&amp;Liens!D986,"✗ "&amp;Liens!D986&amp;" (introuvable)"))</f>
        <v>✓ loisir</v>
      </c>
      <c r="F991" s="35" t="str">
        <f>IF(Liens!E986="","",IF(COUNTIF(Mots!A:A,Liens!E986)&gt;0,"✓ "&amp;Liens!E986,"✗ "&amp;Liens!E986&amp;" (introuvable)"))</f>
        <v>✓ avion</v>
      </c>
      <c r="G991" s="35" t="str">
        <f>IF(Liens!F986="","",IF(COUNTIF(Mots!A:A,Liens!F986)&gt;0,"✓ "&amp;Liens!F986,"✗ "&amp;Liens!F986&amp;" (introuvable)"))</f>
        <v>✓ bateau</v>
      </c>
      <c r="H991" s="35" t="str">
        <f>IF(Liens!G986="","",IF(COUNTIF(Mots!A:A,Liens!G986)&gt;0,"✓ "&amp;Liens!G986,"✗ "&amp;Liens!G986&amp;" (introuvable)"))</f>
        <v>✓ aeroport</v>
      </c>
      <c r="I991" s="35" t="str">
        <f>IF(Liens!H986="","",IF(COUNTIF(Mots!A:A,Liens!H986)&gt;0,"✓ "&amp;Liens!H986,"✗ "&amp;Liens!H986&amp;" (introuvable)"))</f>
        <v>✓ ile</v>
      </c>
    </row>
    <row r="992" spans="1:9" x14ac:dyDescent="0.3">
      <c r="A992">
        <f t="shared" si="12"/>
        <v>987</v>
      </c>
      <c r="B992" s="35" t="str">
        <f>IF(Liens!A987="","",IF(COUNTIF(Mots!A:A,Liens!A987)&gt;0,"✓ "&amp;Liens!A987,"✗ "&amp;Liens!A987&amp;" (introuvable)"))</f>
        <v>✓ vaccin</v>
      </c>
      <c r="C992" s="35" t="str">
        <f>IF(Liens!B987="","",IF(COUNTIF(Mots!A:A,Liens!B987)&gt;0,"✓ "&amp;Liens!B987,"✗ "&amp;Liens!B987&amp;" (introuvable)"))</f>
        <v>✓ piqure</v>
      </c>
      <c r="D992" s="35" t="str">
        <f>IF(Liens!C987="","",IF(COUNTIF(Mots!A:A,Liens!C987)&gt;0,"✓ "&amp;Liens!C987,"✗ "&amp;Liens!C987&amp;" (introuvable)"))</f>
        <v>✓ medecin</v>
      </c>
      <c r="E992" s="35" t="str">
        <f>IF(Liens!D987="","",IF(COUNTIF(Mots!A:A,Liens!D987)&gt;0,"✓ "&amp;Liens!D987,"✗ "&amp;Liens!D987&amp;" (introuvable)"))</f>
        <v>✓ maladie</v>
      </c>
      <c r="F992" s="35" t="str">
        <f>IF(Liens!E987="","",IF(COUNTIF(Mots!A:A,Liens!E987)&gt;0,"✓ "&amp;Liens!E987,"✗ "&amp;Liens!E987&amp;" (introuvable)"))</f>
        <v>✓ v_soigner</v>
      </c>
      <c r="G992" s="35" t="str">
        <f>IF(Liens!F987="","",IF(COUNTIF(Mots!A:A,Liens!F987)&gt;0,"✓ "&amp;Liens!F987,"✗ "&amp;Liens!F987&amp;" (introuvable)"))</f>
        <v>✓ guerison</v>
      </c>
      <c r="H992" s="35" t="str">
        <f>IF(Liens!G987="","",IF(COUNTIF(Mots!A:A,Liens!G987)&gt;0,"✓ "&amp;Liens!G987,"✗ "&amp;Liens!G987&amp;" (introuvable)"))</f>
        <v/>
      </c>
      <c r="I992" s="35" t="str">
        <f>IF(Liens!H987="","",IF(COUNTIF(Mots!A:A,Liens!H987)&gt;0,"✓ "&amp;Liens!H987,"✗ "&amp;Liens!H987&amp;" (introuvable)"))</f>
        <v/>
      </c>
    </row>
    <row r="993" spans="1:9" x14ac:dyDescent="0.3">
      <c r="A993">
        <f t="shared" si="12"/>
        <v>988</v>
      </c>
      <c r="B993" s="35" t="str">
        <f>IF(Liens!A988="","",IF(COUNTIF(Mots!A:A,Liens!A988)&gt;0,"✓ "&amp;Liens!A988,"✗ "&amp;Liens!A988&amp;" (introuvable)"))</f>
        <v>✓ vache</v>
      </c>
      <c r="C993" s="35" t="str">
        <f>IF(Liens!B988="","",IF(COUNTIF(Mots!A:A,Liens!B988)&gt;0,"✓ "&amp;Liens!B988,"✗ "&amp;Liens!B988&amp;" (introuvable)"))</f>
        <v>✓ animal</v>
      </c>
      <c r="D993" s="35" t="str">
        <f>IF(Liens!C988="","",IF(COUNTIF(Mots!A:A,Liens!C988)&gt;0,"✓ "&amp;Liens!C988,"✗ "&amp;Liens!C988&amp;" (introuvable)"))</f>
        <v>✓ ferme</v>
      </c>
      <c r="E993" s="35" t="str">
        <f>IF(Liens!D988="","",IF(COUNTIF(Mots!A:A,Liens!D988)&gt;0,"✓ "&amp;Liens!D988,"✗ "&amp;Liens!D988&amp;" (introuvable)"))</f>
        <v>✓ herbe</v>
      </c>
      <c r="F993" s="35" t="str">
        <f>IF(Liens!E988="","",IF(COUNTIF(Mots!A:A,Liens!E988)&gt;0,"✓ "&amp;Liens!E988,"✗ "&amp;Liens!E988&amp;" (introuvable)"))</f>
        <v>✓ lait</v>
      </c>
      <c r="G993" s="35" t="str">
        <f>IF(Liens!F988="","",IF(COUNTIF(Mots!A:A,Liens!F988)&gt;0,"✓ "&amp;Liens!F988,"✗ "&amp;Liens!F988&amp;" (introuvable)"))</f>
        <v>✓ fromage</v>
      </c>
      <c r="H993" s="35" t="str">
        <f>IF(Liens!G988="","",IF(COUNTIF(Mots!A:A,Liens!G988)&gt;0,"✓ "&amp;Liens!G988,"✗ "&amp;Liens!G988&amp;" (introuvable)"))</f>
        <v>✓ beurre</v>
      </c>
      <c r="I993" s="35" t="str">
        <f>IF(Liens!H988="","",IF(COUNTIF(Mots!A:A,Liens!H988)&gt;0,"✓ "&amp;Liens!H988,"✗ "&amp;Liens!H988&amp;" (introuvable)"))</f>
        <v>✓ steack_de_boeuf_frites</v>
      </c>
    </row>
    <row r="994" spans="1:9" x14ac:dyDescent="0.3">
      <c r="A994">
        <f t="shared" si="12"/>
        <v>989</v>
      </c>
      <c r="B994" s="35" t="str">
        <f>IF(Liens!A989="","",IF(COUNTIF(Mots!A:A,Liens!A989)&gt;0,"✓ "&amp;Liens!A989,"✗ "&amp;Liens!A989&amp;" (introuvable)"))</f>
        <v>✓ vague</v>
      </c>
      <c r="C994" s="35" t="str">
        <f>IF(Liens!B989="","",IF(COUNTIF(Mots!A:A,Liens!B989)&gt;0,"✓ "&amp;Liens!B989,"✗ "&amp;Liens!B989&amp;" (introuvable)"))</f>
        <v>✓ maree</v>
      </c>
      <c r="D994" s="35" t="str">
        <f>IF(Liens!C989="","",IF(COUNTIF(Mots!A:A,Liens!C989)&gt;0,"✓ "&amp;Liens!C989,"✗ "&amp;Liens!C989&amp;" (introuvable)"))</f>
        <v>✓ eau</v>
      </c>
      <c r="E994" s="35" t="str">
        <f>IF(Liens!D989="","",IF(COUNTIF(Mots!A:A,Liens!D989)&gt;0,"✓ "&amp;Liens!D989,"✗ "&amp;Liens!D989&amp;" (introuvable)"))</f>
        <v>✓ mer</v>
      </c>
      <c r="F994" s="35" t="str">
        <f>IF(Liens!E989="","",IF(COUNTIF(Mots!A:A,Liens!E989)&gt;0,"✓ "&amp;Liens!E989,"✗ "&amp;Liens!E989&amp;" (introuvable)"))</f>
        <v>✓ lac</v>
      </c>
      <c r="G994" s="35" t="str">
        <f>IF(Liens!F989="","",IF(COUNTIF(Mots!A:A,Liens!F989)&gt;0,"✓ "&amp;Liens!F989,"✗ "&amp;Liens!F989&amp;" (introuvable)"))</f>
        <v>✓ p_lune</v>
      </c>
      <c r="H994" s="35" t="str">
        <f>IF(Liens!G989="","",IF(COUNTIF(Mots!A:A,Liens!G989)&gt;0,"✓ "&amp;Liens!G989,"✗ "&amp;Liens!G989&amp;" (introuvable)"))</f>
        <v>✓ mouvement</v>
      </c>
      <c r="I994" s="35" t="str">
        <f>IF(Liens!H989="","",IF(COUNTIF(Mots!A:A,Liens!H989)&gt;0,"✓ "&amp;Liens!H989,"✗ "&amp;Liens!H989&amp;" (introuvable)"))</f>
        <v/>
      </c>
    </row>
    <row r="995" spans="1:9" x14ac:dyDescent="0.3">
      <c r="A995">
        <f t="shared" si="12"/>
        <v>990</v>
      </c>
      <c r="B995" s="35" t="str">
        <f>IF(Liens!A990="","",IF(COUNTIF(Mots!A:A,Liens!A990)&gt;0,"✓ "&amp;Liens!A990,"✗ "&amp;Liens!A990&amp;" (introuvable)"))</f>
        <v>✓ vainqueur</v>
      </c>
      <c r="C995" s="35" t="str">
        <f>IF(Liens!B990="","",IF(COUNTIF(Mots!A:A,Liens!B990)&gt;0,"✓ "&amp;Liens!B990,"✗ "&amp;Liens!B990&amp;" (introuvable)"))</f>
        <v>✓ champion</v>
      </c>
      <c r="D995" s="35" t="str">
        <f>IF(Liens!C990="","",IF(COUNTIF(Mots!A:A,Liens!C990)&gt;0,"✓ "&amp;Liens!C990,"✗ "&amp;Liens!C990&amp;" (introuvable)"))</f>
        <v>✓ v_gagner</v>
      </c>
      <c r="E995" s="35" t="str">
        <f>IF(Liens!D990="","",IF(COUNTIF(Mots!A:A,Liens!D990)&gt;0,"✓ "&amp;Liens!D990,"✗ "&amp;Liens!D990&amp;" (introuvable)"))</f>
        <v>✓ concours</v>
      </c>
      <c r="F995" s="35" t="str">
        <f>IF(Liens!E990="","",IF(COUNTIF(Mots!A:A,Liens!E990)&gt;0,"✓ "&amp;Liens!E990,"✗ "&amp;Liens!E990&amp;" (introuvable)"))</f>
        <v>✓ sport</v>
      </c>
      <c r="G995" s="35" t="str">
        <f>IF(Liens!F990="","",IF(COUNTIF(Mots!A:A,Liens!F990)&gt;0,"✓ "&amp;Liens!F990,"✗ "&amp;Liens!F990&amp;" (introuvable)"))</f>
        <v/>
      </c>
      <c r="H995" s="35" t="str">
        <f>IF(Liens!G990="","",IF(COUNTIF(Mots!A:A,Liens!G990)&gt;0,"✓ "&amp;Liens!G990,"✗ "&amp;Liens!G990&amp;" (introuvable)"))</f>
        <v/>
      </c>
      <c r="I995" s="35" t="str">
        <f>IF(Liens!H990="","",IF(COUNTIF(Mots!A:A,Liens!H990)&gt;0,"✓ "&amp;Liens!H990,"✗ "&amp;Liens!H990&amp;" (introuvable)"))</f>
        <v/>
      </c>
    </row>
    <row r="996" spans="1:9" x14ac:dyDescent="0.3">
      <c r="A996">
        <f t="shared" si="12"/>
        <v>991</v>
      </c>
      <c r="B996" s="35" t="str">
        <f>IF(Liens!A991="","",IF(COUNTIF(Mots!A:A,Liens!A991)&gt;0,"✓ "&amp;Liens!A991,"✗ "&amp;Liens!A991&amp;" (introuvable)"))</f>
        <v>✓ vaisselle</v>
      </c>
      <c r="C996" s="35" t="str">
        <f>IF(Liens!B991="","",IF(COUNTIF(Mots!A:A,Liens!B991)&gt;0,"✓ "&amp;Liens!B991,"✗ "&amp;Liens!B991&amp;" (introuvable)"))</f>
        <v>✓ assiette</v>
      </c>
      <c r="D996" s="35" t="str">
        <f>IF(Liens!C991="","",IF(COUNTIF(Mots!A:A,Liens!C991)&gt;0,"✓ "&amp;Liens!C991,"✗ "&amp;Liens!C991&amp;" (introuvable)"))</f>
        <v>✓ couteau</v>
      </c>
      <c r="E996" s="35" t="str">
        <f>IF(Liens!D991="","",IF(COUNTIF(Mots!A:A,Liens!D991)&gt;0,"✓ "&amp;Liens!D991,"✗ "&amp;Liens!D991&amp;" (introuvable)"))</f>
        <v>✓ fourchette</v>
      </c>
      <c r="F996" s="35" t="str">
        <f>IF(Liens!E991="","",IF(COUNTIF(Mots!A:A,Liens!E991)&gt;0,"✓ "&amp;Liens!E991,"✗ "&amp;Liens!E991&amp;" (introuvable)"))</f>
        <v>✓ cuillere</v>
      </c>
      <c r="G996" s="35" t="str">
        <f>IF(Liens!F991="","",IF(COUNTIF(Mots!A:A,Liens!F991)&gt;0,"✓ "&amp;Liens!F991,"✗ "&amp;Liens!F991&amp;" (introuvable)"))</f>
        <v>✓ tasse</v>
      </c>
      <c r="H996" s="35" t="str">
        <f>IF(Liens!G991="","",IF(COUNTIF(Mots!A:A,Liens!G991)&gt;0,"✓ "&amp;Liens!G991,"✗ "&amp;Liens!G991&amp;" (introuvable)"))</f>
        <v>✓ verre</v>
      </c>
      <c r="I996" s="35" t="str">
        <f>IF(Liens!H991="","",IF(COUNTIF(Mots!A:A,Liens!H991)&gt;0,"✓ "&amp;Liens!H991,"✗ "&amp;Liens!H991&amp;" (introuvable)"))</f>
        <v>✓ plat</v>
      </c>
    </row>
    <row r="997" spans="1:9" x14ac:dyDescent="0.3">
      <c r="A997">
        <f t="shared" si="12"/>
        <v>992</v>
      </c>
      <c r="B997" s="35" t="str">
        <f>IF(Liens!A992="","",IF(COUNTIF(Mots!A:A,Liens!A992)&gt;0,"✓ "&amp;Liens!A992,"✗ "&amp;Liens!A992&amp;" (introuvable)"))</f>
        <v>✓ valise</v>
      </c>
      <c r="C997" s="35" t="str">
        <f>IF(Liens!B992="","",IF(COUNTIF(Mots!A:A,Liens!B992)&gt;0,"✓ "&amp;Liens!B992,"✗ "&amp;Liens!B992&amp;" (introuvable)"))</f>
        <v>✓ voyage</v>
      </c>
      <c r="D997" s="35" t="str">
        <f>IF(Liens!C992="","",IF(COUNTIF(Mots!A:A,Liens!C992)&gt;0,"✓ "&amp;Liens!C992,"✗ "&amp;Liens!C992&amp;" (introuvable)"))</f>
        <v>✓ hotel</v>
      </c>
      <c r="E997" s="35" t="str">
        <f>IF(Liens!D992="","",IF(COUNTIF(Mots!A:A,Liens!D992)&gt;0,"✓ "&amp;Liens!D992,"✗ "&amp;Liens!D992&amp;" (introuvable)"))</f>
        <v>✓ aeroport</v>
      </c>
      <c r="F997" s="35" t="str">
        <f>IF(Liens!E992="","",IF(COUNTIF(Mots!A:A,Liens!E992)&gt;0,"✓ "&amp;Liens!E992,"✗ "&amp;Liens!E992&amp;" (introuvable)"))</f>
        <v>✓ vacances</v>
      </c>
      <c r="G997" s="35" t="str">
        <f>IF(Liens!F992="","",IF(COUNTIF(Mots!A:A,Liens!F992)&gt;0,"✓ "&amp;Liens!F992,"✗ "&amp;Liens!F992&amp;" (introuvable)"))</f>
        <v>✓ vetement</v>
      </c>
      <c r="H997" s="35" t="str">
        <f>IF(Liens!G992="","",IF(COUNTIF(Mots!A:A,Liens!G992)&gt;0,"✓ "&amp;Liens!G992,"✗ "&amp;Liens!G992&amp;" (introuvable)"))</f>
        <v>✓ brosse_a_dents</v>
      </c>
      <c r="I997" s="35" t="str">
        <f>IF(Liens!H992="","",IF(COUNTIF(Mots!A:A,Liens!H992)&gt;0,"✓ "&amp;Liens!H992,"✗ "&amp;Liens!H992&amp;" (introuvable)"))</f>
        <v>✓ rasoir</v>
      </c>
    </row>
    <row r="998" spans="1:9" x14ac:dyDescent="0.3">
      <c r="A998">
        <f t="shared" si="12"/>
        <v>993</v>
      </c>
      <c r="B998" s="35" t="str">
        <f>IF(Liens!A993="","",IF(COUNTIF(Mots!A:A,Liens!A993)&gt;0,"✓ "&amp;Liens!A993,"✗ "&amp;Liens!A993&amp;" (introuvable)"))</f>
        <v>✓ vallee</v>
      </c>
      <c r="C998" s="35" t="str">
        <f>IF(Liens!B993="","",IF(COUNTIF(Mots!A:A,Liens!B993)&gt;0,"✓ "&amp;Liens!B993,"✗ "&amp;Liens!B993&amp;" (introuvable)"))</f>
        <v>✓ a_haut_bas</v>
      </c>
      <c r="D998" s="35" t="str">
        <f>IF(Liens!C993="","",IF(COUNTIF(Mots!A:A,Liens!C993)&gt;0,"✓ "&amp;Liens!C993,"✗ "&amp;Liens!C993&amp;" (introuvable)"))</f>
        <v>✓ montagne</v>
      </c>
      <c r="E998" s="35" t="str">
        <f>IF(Liens!D993="","",IF(COUNTIF(Mots!A:A,Liens!D993)&gt;0,"✓ "&amp;Liens!D993,"✗ "&amp;Liens!D993&amp;" (introuvable)"))</f>
        <v>✓ riviere</v>
      </c>
      <c r="F998" s="35" t="str">
        <f>IF(Liens!E993="","",IF(COUNTIF(Mots!A:A,Liens!E993)&gt;0,"✓ "&amp;Liens!E993,"✗ "&amp;Liens!E993&amp;" (introuvable)"))</f>
        <v/>
      </c>
      <c r="G998" s="35" t="str">
        <f>IF(Liens!F993="","",IF(COUNTIF(Mots!A:A,Liens!F993)&gt;0,"✓ "&amp;Liens!F993,"✗ "&amp;Liens!F993&amp;" (introuvable)"))</f>
        <v/>
      </c>
      <c r="H998" s="35" t="str">
        <f>IF(Liens!G993="","",IF(COUNTIF(Mots!A:A,Liens!G993)&gt;0,"✓ "&amp;Liens!G993,"✗ "&amp;Liens!G993&amp;" (introuvable)"))</f>
        <v/>
      </c>
      <c r="I998" s="35" t="str">
        <f>IF(Liens!H993="","",IF(COUNTIF(Mots!A:A,Liens!H993)&gt;0,"✓ "&amp;Liens!H993,"✗ "&amp;Liens!H993&amp;" (introuvable)"))</f>
        <v/>
      </c>
    </row>
    <row r="999" spans="1:9" x14ac:dyDescent="0.3">
      <c r="A999">
        <f t="shared" si="12"/>
        <v>994</v>
      </c>
      <c r="B999" s="35" t="str">
        <f>IF(Liens!A994="","",IF(COUNTIF(Mots!A:A,Liens!A994)&gt;0,"✓ "&amp;Liens!A994,"✗ "&amp;Liens!A994&amp;" (introuvable)"))</f>
        <v>✓ velo</v>
      </c>
      <c r="C999" s="35" t="str">
        <f>IF(Liens!B994="","",IF(COUNTIF(Mots!A:A,Liens!B994)&gt;0,"✓ "&amp;Liens!B994,"✗ "&amp;Liens!B994&amp;" (introuvable)"))</f>
        <v>✓ roue</v>
      </c>
      <c r="D999" s="35" t="str">
        <f>IF(Liens!C994="","",IF(COUNTIF(Mots!A:A,Liens!C994)&gt;0,"✓ "&amp;Liens!C994,"✗ "&amp;Liens!C994&amp;" (introuvable)"))</f>
        <v>✓ loisir</v>
      </c>
      <c r="E999" s="35" t="str">
        <f>IF(Liens!D994="","",IF(COUNTIF(Mots!A:A,Liens!D994)&gt;0,"✓ "&amp;Liens!D994,"✗ "&amp;Liens!D994&amp;" (introuvable)"))</f>
        <v>✓ jambe</v>
      </c>
      <c r="F999" s="35" t="str">
        <f>IF(Liens!E994="","",IF(COUNTIF(Mots!A:A,Liens!E994)&gt;0,"✓ "&amp;Liens!E994,"✗ "&amp;Liens!E994&amp;" (introuvable)"))</f>
        <v/>
      </c>
      <c r="G999" s="35" t="str">
        <f>IF(Liens!F994="","",IF(COUNTIF(Mots!A:A,Liens!F994)&gt;0,"✓ "&amp;Liens!F994,"✗ "&amp;Liens!F994&amp;" (introuvable)"))</f>
        <v/>
      </c>
      <c r="H999" s="35" t="str">
        <f>IF(Liens!G994="","",IF(COUNTIF(Mots!A:A,Liens!G994)&gt;0,"✓ "&amp;Liens!G994,"✗ "&amp;Liens!G994&amp;" (introuvable)"))</f>
        <v/>
      </c>
      <c r="I999" s="35" t="str">
        <f>IF(Liens!H994="","",IF(COUNTIF(Mots!A:A,Liens!H994)&gt;0,"✓ "&amp;Liens!H994,"✗ "&amp;Liens!H994&amp;" (introuvable)"))</f>
        <v/>
      </c>
    </row>
    <row r="1000" spans="1:9" x14ac:dyDescent="0.3">
      <c r="A1000">
        <f t="shared" si="12"/>
        <v>995</v>
      </c>
      <c r="B1000" s="35" t="str">
        <f>IF(Liens!A995="","",IF(COUNTIF(Mots!A:A,Liens!A995)&gt;0,"✓ "&amp;Liens!A995,"✗ "&amp;Liens!A995&amp;" (introuvable)"))</f>
        <v>✓ velours</v>
      </c>
      <c r="C1000" s="35" t="str">
        <f>IF(Liens!B995="","",IF(COUNTIF(Mots!A:A,Liens!B995)&gt;0,"✓ "&amp;Liens!B995,"✗ "&amp;Liens!B995&amp;" (introuvable)"))</f>
        <v>✓ tissu</v>
      </c>
      <c r="D1000" s="35" t="str">
        <f>IF(Liens!C995="","",IF(COUNTIF(Mots!A:A,Liens!C995)&gt;0,"✓ "&amp;Liens!C995,"✗ "&amp;Liens!C995&amp;" (introuvable)"))</f>
        <v>✓ pantalon</v>
      </c>
      <c r="E1000" s="35" t="str">
        <f>IF(Liens!D995="","",IF(COUNTIF(Mots!A:A,Liens!D995)&gt;0,"✓ "&amp;Liens!D995,"✗ "&amp;Liens!D995&amp;" (introuvable)"))</f>
        <v>✓ canape</v>
      </c>
      <c r="F1000" s="35" t="str">
        <f>IF(Liens!E995="","",IF(COUNTIF(Mots!A:A,Liens!E995)&gt;0,"✓ "&amp;Liens!E995,"✗ "&amp;Liens!E995&amp;" (introuvable)"))</f>
        <v/>
      </c>
      <c r="G1000" s="35" t="str">
        <f>IF(Liens!F995="","",IF(COUNTIF(Mots!A:A,Liens!F995)&gt;0,"✓ "&amp;Liens!F995,"✗ "&amp;Liens!F995&amp;" (introuvable)"))</f>
        <v/>
      </c>
      <c r="H1000" s="35" t="str">
        <f>IF(Liens!G995="","",IF(COUNTIF(Mots!A:A,Liens!G995)&gt;0,"✓ "&amp;Liens!G995,"✗ "&amp;Liens!G995&amp;" (introuvable)"))</f>
        <v/>
      </c>
      <c r="I1000" s="35" t="str">
        <f>IF(Liens!H995="","",IF(COUNTIF(Mots!A:A,Liens!H995)&gt;0,"✓ "&amp;Liens!H995,"✗ "&amp;Liens!H995&amp;" (introuvable)"))</f>
        <v/>
      </c>
    </row>
    <row r="1001" spans="1:9" x14ac:dyDescent="0.3">
      <c r="A1001">
        <f t="shared" si="12"/>
        <v>996</v>
      </c>
      <c r="B1001" s="35" t="str">
        <f>IF(Liens!A996="","",IF(COUNTIF(Mots!A:A,Liens!A996)&gt;0,"✓ "&amp;Liens!A996,"✗ "&amp;Liens!A996&amp;" (introuvable)"))</f>
        <v>✓ veloute</v>
      </c>
      <c r="C1001" s="35" t="str">
        <f>IF(Liens!B996="","",IF(COUNTIF(Mots!A:A,Liens!B996)&gt;0,"✓ "&amp;Liens!B996,"✗ "&amp;Liens!B996&amp;" (introuvable)"))</f>
        <v>✓ soupe</v>
      </c>
      <c r="D1001" s="35" t="str">
        <f>IF(Liens!C996="","",IF(COUNTIF(Mots!A:A,Liens!C996)&gt;0,"✓ "&amp;Liens!C996,"✗ "&amp;Liens!C996&amp;" (introuvable)"))</f>
        <v/>
      </c>
      <c r="E1001" s="35" t="str">
        <f>IF(Liens!D996="","",IF(COUNTIF(Mots!A:A,Liens!D996)&gt;0,"✓ "&amp;Liens!D996,"✗ "&amp;Liens!D996&amp;" (introuvable)"))</f>
        <v/>
      </c>
      <c r="F1001" s="35" t="str">
        <f>IF(Liens!E996="","",IF(COUNTIF(Mots!A:A,Liens!E996)&gt;0,"✓ "&amp;Liens!E996,"✗ "&amp;Liens!E996&amp;" (introuvable)"))</f>
        <v/>
      </c>
      <c r="G1001" s="35" t="str">
        <f>IF(Liens!F996="","",IF(COUNTIF(Mots!A:A,Liens!F996)&gt;0,"✓ "&amp;Liens!F996,"✗ "&amp;Liens!F996&amp;" (introuvable)"))</f>
        <v/>
      </c>
      <c r="H1001" s="35" t="str">
        <f>IF(Liens!G996="","",IF(COUNTIF(Mots!A:A,Liens!G996)&gt;0,"✓ "&amp;Liens!G996,"✗ "&amp;Liens!G996&amp;" (introuvable)"))</f>
        <v/>
      </c>
      <c r="I1001" s="35" t="str">
        <f>IF(Liens!H996="","",IF(COUNTIF(Mots!A:A,Liens!H996)&gt;0,"✓ "&amp;Liens!H996,"✗ "&amp;Liens!H996&amp;" (introuvable)"))</f>
        <v/>
      </c>
    </row>
    <row r="1002" spans="1:9" x14ac:dyDescent="0.3">
      <c r="A1002">
        <f t="shared" si="12"/>
        <v>997</v>
      </c>
      <c r="B1002" s="35" t="str">
        <f>IF(Liens!A997="","",IF(COUNTIF(Mots!A:A,Liens!A997)&gt;0,"✓ "&amp;Liens!A997,"✗ "&amp;Liens!A997&amp;" (introuvable)"))</f>
        <v>✓ vendeur</v>
      </c>
      <c r="C1002" s="35" t="str">
        <f>IF(Liens!B997="","",IF(COUNTIF(Mots!A:A,Liens!B997)&gt;0,"✓ "&amp;Liens!B997,"✗ "&amp;Liens!B997&amp;" (introuvable)"))</f>
        <v>✓ personne</v>
      </c>
      <c r="D1002" s="35" t="str">
        <f>IF(Liens!C997="","",IF(COUNTIF(Mots!A:A,Liens!C997)&gt;0,"✓ "&amp;Liens!C997,"✗ "&amp;Liens!C997&amp;" (introuvable)"))</f>
        <v>✓ magasin</v>
      </c>
      <c r="E1002" s="35" t="str">
        <f>IF(Liens!D997="","",IF(COUNTIF(Mots!A:A,Liens!D997)&gt;0,"✓ "&amp;Liens!D997,"✗ "&amp;Liens!D997&amp;" (introuvable)"))</f>
        <v>✓ boutique</v>
      </c>
      <c r="F1002" s="35" t="str">
        <f>IF(Liens!E997="","",IF(COUNTIF(Mots!A:A,Liens!E997)&gt;0,"✓ "&amp;Liens!E997,"✗ "&amp;Liens!E997&amp;" (introuvable)"))</f>
        <v>✓ marche_lieu</v>
      </c>
      <c r="G1002" s="35" t="str">
        <f>IF(Liens!F997="","",IF(COUNTIF(Mots!A:A,Liens!F997)&gt;0,"✓ "&amp;Liens!F997,"✗ "&amp;Liens!F997&amp;" (introuvable)"))</f>
        <v>✓ argent</v>
      </c>
      <c r="H1002" s="35" t="str">
        <f>IF(Liens!G997="","",IF(COUNTIF(Mots!A:A,Liens!G997)&gt;0,"✓ "&amp;Liens!G997,"✗ "&amp;Liens!G997&amp;" (introuvable)"))</f>
        <v>✓ v_vendre</v>
      </c>
      <c r="I1002" s="35" t="str">
        <f>IF(Liens!H997="","",IF(COUNTIF(Mots!A:A,Liens!H997)&gt;0,"✓ "&amp;Liens!H997,"✗ "&amp;Liens!H997&amp;" (introuvable)"))</f>
        <v/>
      </c>
    </row>
    <row r="1003" spans="1:9" x14ac:dyDescent="0.3">
      <c r="A1003">
        <f t="shared" si="12"/>
        <v>998</v>
      </c>
      <c r="B1003" s="35" t="str">
        <f>IF(Liens!A998="","",IF(COUNTIF(Mots!A:A,Liens!A998)&gt;0,"✓ "&amp;Liens!A998,"✗ "&amp;Liens!A998&amp;" (introuvable)"))</f>
        <v>✓ vent</v>
      </c>
      <c r="C1003" s="35" t="str">
        <f>IF(Liens!B998="","",IF(COUNTIF(Mots!A:A,Liens!B998)&gt;0,"✓ "&amp;Liens!B998,"✗ "&amp;Liens!B998&amp;" (introuvable)"))</f>
        <v>✓ air</v>
      </c>
      <c r="D1003" s="35" t="str">
        <f>IF(Liens!C998="","",IF(COUNTIF(Mots!A:A,Liens!C998)&gt;0,"✓ "&amp;Liens!C998,"✗ "&amp;Liens!C998&amp;" (introuvable)"))</f>
        <v>✓ orage</v>
      </c>
      <c r="E1003" s="35" t="str">
        <f>IF(Liens!D998="","",IF(COUNTIF(Mots!A:A,Liens!D998)&gt;0,"✓ "&amp;Liens!D998,"✗ "&amp;Liens!D998&amp;" (introuvable)"))</f>
        <v>✓ nuage</v>
      </c>
      <c r="F1003" s="35" t="str">
        <f>IF(Liens!E998="","",IF(COUNTIF(Mots!A:A,Liens!E998)&gt;0,"✓ "&amp;Liens!E998,"✗ "&amp;Liens!E998&amp;" (introuvable)"))</f>
        <v>✓ pluie</v>
      </c>
      <c r="G1003" s="35" t="str">
        <f>IF(Liens!F998="","",IF(COUNTIF(Mots!A:A,Liens!F998)&gt;0,"✓ "&amp;Liens!F998,"✗ "&amp;Liens!F998&amp;" (introuvable)"))</f>
        <v>✓ parapluie</v>
      </c>
      <c r="H1003" s="35" t="str">
        <f>IF(Liens!G998="","",IF(COUNTIF(Mots!A:A,Liens!G998)&gt;0,"✓ "&amp;Liens!G998,"✗ "&amp;Liens!G998&amp;" (introuvable)"))</f>
        <v/>
      </c>
      <c r="I1003" s="35" t="str">
        <f>IF(Liens!H998="","",IF(COUNTIF(Mots!A:A,Liens!H998)&gt;0,"✓ "&amp;Liens!H998,"✗ "&amp;Liens!H998&amp;" (introuvable)"))</f>
        <v/>
      </c>
    </row>
    <row r="1004" spans="1:9" x14ac:dyDescent="0.3">
      <c r="A1004">
        <f t="shared" si="12"/>
        <v>999</v>
      </c>
      <c r="B1004" s="35" t="str">
        <f>IF(Liens!A999="","",IF(COUNTIF(Mots!A:A,Liens!A999)&gt;0,"✓ "&amp;Liens!A999,"✗ "&amp;Liens!A999&amp;" (introuvable)"))</f>
        <v>✓ vente</v>
      </c>
      <c r="C1004" s="35" t="str">
        <f>IF(Liens!B999="","",IF(COUNTIF(Mots!A:A,Liens!B999)&gt;0,"✓ "&amp;Liens!B999,"✗ "&amp;Liens!B999&amp;" (introuvable)"))</f>
        <v>✓ v_vendre</v>
      </c>
      <c r="D1004" s="35" t="str">
        <f>IF(Liens!C999="","",IF(COUNTIF(Mots!A:A,Liens!C999)&gt;0,"✓ "&amp;Liens!C999,"✗ "&amp;Liens!C999&amp;" (introuvable)"))</f>
        <v>✓ vendeur</v>
      </c>
      <c r="E1004" s="35" t="str">
        <f>IF(Liens!D999="","",IF(COUNTIF(Mots!A:A,Liens!D999)&gt;0,"✓ "&amp;Liens!D999,"✗ "&amp;Liens!D999&amp;" (introuvable)"))</f>
        <v>✓ magasin</v>
      </c>
      <c r="F1004" s="35" t="str">
        <f>IF(Liens!E999="","",IF(COUNTIF(Mots!A:A,Liens!E999)&gt;0,"✓ "&amp;Liens!E999,"✗ "&amp;Liens!E999&amp;" (introuvable)"))</f>
        <v>✓ boutique</v>
      </c>
      <c r="G1004" s="35" t="str">
        <f>IF(Liens!F999="","",IF(COUNTIF(Mots!A:A,Liens!F999)&gt;0,"✓ "&amp;Liens!F999,"✗ "&amp;Liens!F999&amp;" (introuvable)"))</f>
        <v>✓ commerce</v>
      </c>
      <c r="H1004" s="35" t="str">
        <f>IF(Liens!G999="","",IF(COUNTIF(Mots!A:A,Liens!G999)&gt;0,"✓ "&amp;Liens!G999,"✗ "&amp;Liens!G999&amp;" (introuvable)"))</f>
        <v>✓ v_acheter</v>
      </c>
      <c r="I1004" s="35" t="str">
        <f>IF(Liens!H999="","",IF(COUNTIF(Mots!A:A,Liens!H999)&gt;0,"✓ "&amp;Liens!H999,"✗ "&amp;Liens!H999&amp;" (introuvable)"))</f>
        <v>✓ argent</v>
      </c>
    </row>
    <row r="1005" spans="1:9" x14ac:dyDescent="0.3">
      <c r="A1005">
        <f t="shared" si="12"/>
        <v>1000</v>
      </c>
      <c r="B1005" s="35" t="str">
        <f>IF(Liens!A1000="","",IF(COUNTIF(Mots!A:A,Liens!A1000)&gt;0,"✓ "&amp;Liens!A1000,"✗ "&amp;Liens!A1000&amp;" (introuvable)"))</f>
        <v>✓ ventre</v>
      </c>
      <c r="C1005" s="35" t="str">
        <f>IF(Liens!B1000="","",IF(COUNTIF(Mots!A:A,Liens!B1000)&gt;0,"✓ "&amp;Liens!B1000,"✗ "&amp;Liens!B1000&amp;" (introuvable)"))</f>
        <v>✓ corps_humain</v>
      </c>
      <c r="D1005" s="35" t="str">
        <f>IF(Liens!C1000="","",IF(COUNTIF(Mots!A:A,Liens!C1000)&gt;0,"✓ "&amp;Liens!C1000,"✗ "&amp;Liens!C1000&amp;" (introuvable)"))</f>
        <v>✓ torse</v>
      </c>
      <c r="E1005" s="35" t="str">
        <f>IF(Liens!D1000="","",IF(COUNTIF(Mots!A:A,Liens!D1000)&gt;0,"✓ "&amp;Liens!D1000,"✗ "&amp;Liens!D1000&amp;" (introuvable)"))</f>
        <v/>
      </c>
      <c r="F1005" s="35" t="str">
        <f>IF(Liens!E1000="","",IF(COUNTIF(Mots!A:A,Liens!E1000)&gt;0,"✓ "&amp;Liens!E1000,"✗ "&amp;Liens!E1000&amp;" (introuvable)"))</f>
        <v/>
      </c>
      <c r="G1005" s="35" t="str">
        <f>IF(Liens!F1000="","",IF(COUNTIF(Mots!A:A,Liens!F1000)&gt;0,"✓ "&amp;Liens!F1000,"✗ "&amp;Liens!F1000&amp;" (introuvable)"))</f>
        <v/>
      </c>
      <c r="H1005" s="35" t="str">
        <f>IF(Liens!G1000="","",IF(COUNTIF(Mots!A:A,Liens!G1000)&gt;0,"✓ "&amp;Liens!G1000,"✗ "&amp;Liens!G1000&amp;" (introuvable)"))</f>
        <v/>
      </c>
      <c r="I1005" s="35" t="str">
        <f>IF(Liens!H1000="","",IF(COUNTIF(Mots!A:A,Liens!H1000)&gt;0,"✓ "&amp;Liens!H1000,"✗ "&amp;Liens!H1000&amp;" (introuvable)"))</f>
        <v/>
      </c>
    </row>
    <row r="1006" spans="1:9" x14ac:dyDescent="0.3">
      <c r="A1006">
        <f t="shared" si="12"/>
        <v>1001</v>
      </c>
      <c r="B1006" s="35" t="str">
        <f>IF(Liens!A1001="","",IF(COUNTIF(Mots!A:A,Liens!A1001)&gt;0,"✓ "&amp;Liens!A1001,"✗ "&amp;Liens!A1001&amp;" (introuvable)"))</f>
        <v>✓ verite</v>
      </c>
      <c r="C1006" s="35" t="str">
        <f>IF(Liens!B1001="","",IF(COUNTIF(Mots!A:A,Liens!B1001)&gt;0,"✓ "&amp;Liens!B1001,"✗ "&amp;Liens!B1001&amp;" (introuvable)"))</f>
        <v>✓ a_vrai_faux</v>
      </c>
      <c r="D1006" s="35" t="str">
        <f>IF(Liens!C1001="","",IF(COUNTIF(Mots!A:A,Liens!C1001)&gt;0,"✓ "&amp;Liens!C1001,"✗ "&amp;Liens!C1001&amp;" (introuvable)"))</f>
        <v>✓ v_dire</v>
      </c>
      <c r="E1006" s="35" t="str">
        <f>IF(Liens!D1001="","",IF(COUNTIF(Mots!A:A,Liens!D1001)&gt;0,"✓ "&amp;Liens!D1001,"✗ "&amp;Liens!D1001&amp;" (introuvable)"))</f>
        <v>✓ mensonge</v>
      </c>
      <c r="F1006" s="35" t="str">
        <f>IF(Liens!E1001="","",IF(COUNTIF(Mots!A:A,Liens!E1001)&gt;0,"✓ "&amp;Liens!E1001,"✗ "&amp;Liens!E1001&amp;" (introuvable)"))</f>
        <v>✓ v_mentir</v>
      </c>
      <c r="G1006" s="35" t="str">
        <f>IF(Liens!F1001="","",IF(COUNTIF(Mots!A:A,Liens!F1001)&gt;0,"✓ "&amp;Liens!F1001,"✗ "&amp;Liens!F1001&amp;" (introuvable)"))</f>
        <v/>
      </c>
      <c r="H1006" s="35" t="str">
        <f>IF(Liens!G1001="","",IF(COUNTIF(Mots!A:A,Liens!G1001)&gt;0,"✓ "&amp;Liens!G1001,"✗ "&amp;Liens!G1001&amp;" (introuvable)"))</f>
        <v/>
      </c>
      <c r="I1006" s="35" t="str">
        <f>IF(Liens!H1001="","",IF(COUNTIF(Mots!A:A,Liens!H1001)&gt;0,"✓ "&amp;Liens!H1001,"✗ "&amp;Liens!H1001&amp;" (introuvable)"))</f>
        <v/>
      </c>
    </row>
    <row r="1007" spans="1:9" x14ac:dyDescent="0.3">
      <c r="A1007">
        <f t="shared" si="12"/>
        <v>1002</v>
      </c>
      <c r="B1007" s="35" t="str">
        <f>IF(Liens!A1002="","",IF(COUNTIF(Mots!A:A,Liens!A1002)&gt;0,"✓ "&amp;Liens!A1002,"✗ "&amp;Liens!A1002&amp;" (introuvable)"))</f>
        <v>✓ verre</v>
      </c>
      <c r="C1007" s="35" t="str">
        <f>IF(Liens!B1002="","",IF(COUNTIF(Mots!A:A,Liens!B1002)&gt;0,"✓ "&amp;Liens!B1002,"✗ "&amp;Liens!B1002&amp;" (introuvable)"))</f>
        <v>✓ recipient</v>
      </c>
      <c r="D1007" s="35" t="str">
        <f>IF(Liens!C1002="","",IF(COUNTIF(Mots!A:A,Liens!C1002)&gt;0,"✓ "&amp;Liens!C1002,"✗ "&amp;Liens!C1002&amp;" (introuvable)"))</f>
        <v>✓ liquide</v>
      </c>
      <c r="E1007" s="35" t="str">
        <f>IF(Liens!D1002="","",IF(COUNTIF(Mots!A:A,Liens!D1002)&gt;0,"✓ "&amp;Liens!D1002,"✗ "&amp;Liens!D1002&amp;" (introuvable)"))</f>
        <v>✓ v_boire</v>
      </c>
      <c r="F1007" s="35" t="str">
        <f>IF(Liens!E1002="","",IF(COUNTIF(Mots!A:A,Liens!E1002)&gt;0,"✓ "&amp;Liens!E1002,"✗ "&amp;Liens!E1002&amp;" (introuvable)"))</f>
        <v>✓ bouche</v>
      </c>
      <c r="G1007" s="35" t="str">
        <f>IF(Liens!F1002="","",IF(COUNTIF(Mots!A:A,Liens!F1002)&gt;0,"✓ "&amp;Liens!F1002,"✗ "&amp;Liens!F1002&amp;" (introuvable)"))</f>
        <v/>
      </c>
      <c r="H1007" s="35" t="str">
        <f>IF(Liens!G1002="","",IF(COUNTIF(Mots!A:A,Liens!G1002)&gt;0,"✓ "&amp;Liens!G1002,"✗ "&amp;Liens!G1002&amp;" (introuvable)"))</f>
        <v/>
      </c>
      <c r="I1007" s="35" t="str">
        <f>IF(Liens!H1002="","",IF(COUNTIF(Mots!A:A,Liens!H1002)&gt;0,"✓ "&amp;Liens!H1002,"✗ "&amp;Liens!H1002&amp;" (introuvable)"))</f>
        <v/>
      </c>
    </row>
    <row r="1008" spans="1:9" x14ac:dyDescent="0.3">
      <c r="A1008">
        <f t="shared" si="12"/>
        <v>1003</v>
      </c>
      <c r="B1008" s="35" t="str">
        <f>IF(Liens!A1003="","",IF(COUNTIF(Mots!A:A,Liens!A1003)&gt;0,"✓ "&amp;Liens!A1003,"✗ "&amp;Liens!A1003&amp;" (introuvable)"))</f>
        <v>✓ veste</v>
      </c>
      <c r="C1008" s="35" t="str">
        <f>IF(Liens!B1003="","",IF(COUNTIF(Mots!A:A,Liens!B1003)&gt;0,"✓ "&amp;Liens!B1003,"✗ "&amp;Liens!B1003&amp;" (introuvable)"))</f>
        <v>✓ vetement</v>
      </c>
      <c r="D1008" s="35" t="str">
        <f>IF(Liens!C1003="","",IF(COUNTIF(Mots!A:A,Liens!C1003)&gt;0,"✓ "&amp;Liens!C1003,"✗ "&amp;Liens!C1003&amp;" (introuvable)"))</f>
        <v>✓ habit</v>
      </c>
      <c r="E1008" s="35" t="str">
        <f>IF(Liens!D1003="","",IF(COUNTIF(Mots!A:A,Liens!D1003)&gt;0,"✓ "&amp;Liens!D1003,"✗ "&amp;Liens!D1003&amp;" (introuvable)"))</f>
        <v>✓ torse</v>
      </c>
      <c r="F1008" s="35" t="str">
        <f>IF(Liens!E1003="","",IF(COUNTIF(Mots!A:A,Liens!E1003)&gt;0,"✓ "&amp;Liens!E1003,"✗ "&amp;Liens!E1003&amp;" (introuvable)"))</f>
        <v>✓ bras</v>
      </c>
      <c r="G1008" s="35" t="str">
        <f>IF(Liens!F1003="","",IF(COUNTIF(Mots!A:A,Liens!F1003)&gt;0,"✓ "&amp;Liens!F1003,"✗ "&amp;Liens!F1003&amp;" (introuvable)"))</f>
        <v>✓ automne</v>
      </c>
      <c r="H1008" s="35" t="str">
        <f>IF(Liens!G1003="","",IF(COUNTIF(Mots!A:A,Liens!G1003)&gt;0,"✓ "&amp;Liens!G1003,"✗ "&amp;Liens!G1003&amp;" (introuvable)"))</f>
        <v>✓ hiver</v>
      </c>
      <c r="I1008" s="35" t="str">
        <f>IF(Liens!H1003="","",IF(COUNTIF(Mots!A:A,Liens!H1003)&gt;0,"✓ "&amp;Liens!H1003,"✗ "&amp;Liens!H1003&amp;" (introuvable)"))</f>
        <v/>
      </c>
    </row>
    <row r="1009" spans="1:9" x14ac:dyDescent="0.3">
      <c r="A1009">
        <f t="shared" si="12"/>
        <v>1004</v>
      </c>
      <c r="B1009" s="35" t="str">
        <f>IF(Liens!A1004="","",IF(COUNTIF(Mots!A:A,Liens!A1004)&gt;0,"✓ "&amp;Liens!A1004,"✗ "&amp;Liens!A1004&amp;" (introuvable)"))</f>
        <v>✓ viande</v>
      </c>
      <c r="C1009" s="35" t="str">
        <f>IF(Liens!B1004="","",IF(COUNTIF(Mots!A:A,Liens!B1004)&gt;0,"✓ "&amp;Liens!B1004,"✗ "&amp;Liens!B1004&amp;" (introuvable)"))</f>
        <v>✓ vache</v>
      </c>
      <c r="D1009" s="35" t="str">
        <f>IF(Liens!C1004="","",IF(COUNTIF(Mots!A:A,Liens!C1004)&gt;0,"✓ "&amp;Liens!C1004,"✗ "&amp;Liens!C1004&amp;" (introuvable)"))</f>
        <v>✓ cochon</v>
      </c>
      <c r="E1009" s="35" t="str">
        <f>IF(Liens!D1004="","",IF(COUNTIF(Mots!A:A,Liens!D1004)&gt;0,"✓ "&amp;Liens!D1004,"✗ "&amp;Liens!D1004&amp;" (introuvable)"))</f>
        <v>✓ poule</v>
      </c>
      <c r="F1009" s="35" t="str">
        <f>IF(Liens!E1004="","",IF(COUNTIF(Mots!A:A,Liens!E1004)&gt;0,"✓ "&amp;Liens!E1004,"✗ "&amp;Liens!E1004&amp;" (introuvable)"))</f>
        <v>✓ chair</v>
      </c>
      <c r="G1009" s="35" t="str">
        <f>IF(Liens!F1004="","",IF(COUNTIF(Mots!A:A,Liens!F1004)&gt;0,"✓ "&amp;Liens!F1004,"✗ "&amp;Liens!F1004&amp;" (introuvable)"))</f>
        <v>✓ v_manger</v>
      </c>
      <c r="H1009" s="35" t="str">
        <f>IF(Liens!G1004="","",IF(COUNTIF(Mots!A:A,Liens!G1004)&gt;0,"✓ "&amp;Liens!G1004,"✗ "&amp;Liens!G1004&amp;" (introuvable)"))</f>
        <v>✓ v_cuire</v>
      </c>
      <c r="I1009" s="35" t="str">
        <f>IF(Liens!H1004="","",IF(COUNTIF(Mots!A:A,Liens!H1004)&gt;0,"✓ "&amp;Liens!H1004,"✗ "&amp;Liens!H1004&amp;" (introuvable)"))</f>
        <v>✓ v_griller</v>
      </c>
    </row>
    <row r="1010" spans="1:9" x14ac:dyDescent="0.3">
      <c r="A1010">
        <f t="shared" si="12"/>
        <v>1005</v>
      </c>
      <c r="B1010" s="35" t="str">
        <f>IF(Liens!A1005="","",IF(COUNTIF(Mots!A:A,Liens!A1005)&gt;0,"✓ "&amp;Liens!A1005,"✗ "&amp;Liens!A1005&amp;" (introuvable)"))</f>
        <v>✓ victime</v>
      </c>
      <c r="C1010" s="35" t="str">
        <f>IF(Liens!B1005="","",IF(COUNTIF(Mots!A:A,Liens!B1005)&gt;0,"✓ "&amp;Liens!B1005,"✗ "&amp;Liens!B1005&amp;" (introuvable)"))</f>
        <v>✓ personne</v>
      </c>
      <c r="D1010" s="35" t="str">
        <f>IF(Liens!C1005="","",IF(COUNTIF(Mots!A:A,Liens!C1005)&gt;0,"✓ "&amp;Liens!C1005,"✗ "&amp;Liens!C1005&amp;" (introuvable)"))</f>
        <v>✓ accident</v>
      </c>
      <c r="E1010" s="35" t="str">
        <f>IF(Liens!D1005="","",IF(COUNTIF(Mots!A:A,Liens!D1005)&gt;0,"✓ "&amp;Liens!D1005,"✗ "&amp;Liens!D1005&amp;" (introuvable)"))</f>
        <v>✓ bagarre</v>
      </c>
      <c r="F1010" s="35" t="str">
        <f>IF(Liens!E1005="","",IF(COUNTIF(Mots!A:A,Liens!E1005)&gt;0,"✓ "&amp;Liens!E1005,"✗ "&amp;Liens!E1005&amp;" (introuvable)"))</f>
        <v>✓ dispute</v>
      </c>
      <c r="G1010" s="35" t="str">
        <f>IF(Liens!F1005="","",IF(COUNTIF(Mots!A:A,Liens!F1005)&gt;0,"✓ "&amp;Liens!F1005,"✗ "&amp;Liens!F1005&amp;" (introuvable)"))</f>
        <v>✓ a_mal_douloureux</v>
      </c>
      <c r="H1010" s="35" t="str">
        <f>IF(Liens!G1005="","",IF(COUNTIF(Mots!A:A,Liens!G1005)&gt;0,"✓ "&amp;Liens!G1005,"✗ "&amp;Liens!G1005&amp;" (introuvable)"))</f>
        <v>✓ blessure</v>
      </c>
      <c r="I1010" s="35" t="str">
        <f>IF(Liens!H1005="","",IF(COUNTIF(Mots!A:A,Liens!H1005)&gt;0,"✓ "&amp;Liens!H1005,"✗ "&amp;Liens!H1005&amp;" (introuvable)"))</f>
        <v>✓ v_soigner</v>
      </c>
    </row>
    <row r="1011" spans="1:9" x14ac:dyDescent="0.3">
      <c r="A1011">
        <f t="shared" si="12"/>
        <v>1006</v>
      </c>
      <c r="B1011" s="35" t="str">
        <f>IF(Liens!A1006="","",IF(COUNTIF(Mots!A:A,Liens!A1006)&gt;0,"✓ "&amp;Liens!A1006,"✗ "&amp;Liens!A1006&amp;" (introuvable)"))</f>
        <v>✓ vie</v>
      </c>
      <c r="C1011" s="35" t="str">
        <f>IF(Liens!B1006="","",IF(COUNTIF(Mots!A:A,Liens!B1006)&gt;0,"✓ "&amp;Liens!B1006,"✗ "&amp;Liens!B1006&amp;" (introuvable)"))</f>
        <v>✓ personne</v>
      </c>
      <c r="D1011" s="35" t="str">
        <f>IF(Liens!C1006="","",IF(COUNTIF(Mots!A:A,Liens!C1006)&gt;0,"✓ "&amp;Liens!C1006,"✗ "&amp;Liens!C1006&amp;" (introuvable)"))</f>
        <v>✓ animal</v>
      </c>
      <c r="E1011" s="35" t="str">
        <f>IF(Liens!D1006="","",IF(COUNTIF(Mots!A:A,Liens!D1006)&gt;0,"✓ "&amp;Liens!D1006,"✗ "&amp;Liens!D1006&amp;" (introuvable)"))</f>
        <v>✓ vivant</v>
      </c>
      <c r="F1011" s="35" t="str">
        <f>IF(Liens!E1006="","",IF(COUNTIF(Mots!A:A,Liens!E1006)&gt;0,"✓ "&amp;Liens!E1006,"✗ "&amp;Liens!E1006&amp;" (introuvable)"))</f>
        <v>✓ duree</v>
      </c>
      <c r="G1011" s="35" t="str">
        <f>IF(Liens!F1006="","",IF(COUNTIF(Mots!A:A,Liens!F1006)&gt;0,"✓ "&amp;Liens!F1006,"✗ "&amp;Liens!F1006&amp;" (introuvable)"))</f>
        <v>✓ annee</v>
      </c>
      <c r="H1011" s="35" t="str">
        <f>IF(Liens!G1006="","",IF(COUNTIF(Mots!A:A,Liens!G1006)&gt;0,"✓ "&amp;Liens!G1006,"✗ "&amp;Liens!G1006&amp;" (introuvable)"))</f>
        <v>✓ aventure</v>
      </c>
      <c r="I1011" s="35" t="str">
        <f>IF(Liens!H1006="","",IF(COUNTIF(Mots!A:A,Liens!H1006)&gt;0,"✓ "&amp;Liens!H1006,"✗ "&amp;Liens!H1006&amp;" (introuvable)"))</f>
        <v>✓ mes_enfants</v>
      </c>
    </row>
    <row r="1012" spans="1:9" x14ac:dyDescent="0.3">
      <c r="A1012">
        <f t="shared" si="12"/>
        <v>1007</v>
      </c>
      <c r="B1012" s="35" t="str">
        <f>IF(Liens!A1007="","",IF(COUNTIF(Mots!A:A,Liens!A1007)&gt;0,"✓ "&amp;Liens!A1007,"✗ "&amp;Liens!A1007&amp;" (introuvable)"))</f>
        <v>✓ village</v>
      </c>
      <c r="C1012" s="35" t="str">
        <f>IF(Liens!B1007="","",IF(COUNTIF(Mots!A:A,Liens!B1007)&gt;0,"✓ "&amp;Liens!B1007,"✗ "&amp;Liens!B1007&amp;" (introuvable)"))</f>
        <v>✓ maison</v>
      </c>
      <c r="D1012" s="35" t="str">
        <f>IF(Liens!C1007="","",IF(COUNTIF(Mots!A:A,Liens!C1007)&gt;0,"✓ "&amp;Liens!C1007,"✗ "&amp;Liens!C1007&amp;" (introuvable)"))</f>
        <v>✓ chalet</v>
      </c>
      <c r="E1012" s="35" t="str">
        <f>IF(Liens!D1007="","",IF(COUNTIF(Mots!A:A,Liens!D1007)&gt;0,"✓ "&amp;Liens!D1007,"✗ "&amp;Liens!D1007&amp;" (introuvable)"))</f>
        <v>✓ chalet</v>
      </c>
      <c r="F1012" s="35" t="str">
        <f>IF(Liens!E1007="","",IF(COUNTIF(Mots!A:A,Liens!E1007)&gt;0,"✓ "&amp;Liens!E1007,"✗ "&amp;Liens!E1007&amp;" (introuvable)"))</f>
        <v>✓ rue</v>
      </c>
      <c r="G1012" s="35" t="str">
        <f>IF(Liens!F1007="","",IF(COUNTIF(Mots!A:A,Liens!F1007)&gt;0,"✓ "&amp;Liens!F1007,"✗ "&amp;Liens!F1007&amp;" (introuvable)"))</f>
        <v>✓ v_habiter</v>
      </c>
      <c r="H1012" s="35" t="str">
        <f>IF(Liens!G1007="","",IF(COUNTIF(Mots!A:A,Liens!G1007)&gt;0,"✓ "&amp;Liens!G1007,"✗ "&amp;Liens!G1007&amp;" (introuvable)"))</f>
        <v/>
      </c>
      <c r="I1012" s="35" t="str">
        <f>IF(Liens!H1007="","",IF(COUNTIF(Mots!A:A,Liens!H1007)&gt;0,"✓ "&amp;Liens!H1007,"✗ "&amp;Liens!H1007&amp;" (introuvable)"))</f>
        <v/>
      </c>
    </row>
    <row r="1013" spans="1:9" x14ac:dyDescent="0.3">
      <c r="A1013">
        <f t="shared" si="12"/>
        <v>1008</v>
      </c>
      <c r="B1013" s="35" t="str">
        <f>IF(Liens!A1008="","",IF(COUNTIF(Mots!A:A,Liens!A1008)&gt;0,"✓ "&amp;Liens!A1008,"✗ "&amp;Liens!A1008&amp;" (introuvable)"))</f>
        <v>✓ ville</v>
      </c>
      <c r="C1013" s="35" t="str">
        <f>IF(Liens!B1008="","",IF(COUNTIF(Mots!A:A,Liens!B1008)&gt;0,"✓ "&amp;Liens!B1008,"✗ "&amp;Liens!B1008&amp;" (introuvable)"))</f>
        <v>✓ rue</v>
      </c>
      <c r="D1013" s="35" t="str">
        <f>IF(Liens!C1008="","",IF(COUNTIF(Mots!A:A,Liens!C1008)&gt;0,"✓ "&amp;Liens!C1008,"✗ "&amp;Liens!C1008&amp;" (introuvable)"))</f>
        <v>✓ immeuble</v>
      </c>
      <c r="E1013" s="35" t="str">
        <f>IF(Liens!D1008="","",IF(COUNTIF(Mots!A:A,Liens!D1008)&gt;0,"✓ "&amp;Liens!D1008,"✗ "&amp;Liens!D1008&amp;" (introuvable)"))</f>
        <v>✓ voiture</v>
      </c>
      <c r="F1013" s="35" t="str">
        <f>IF(Liens!E1008="","",IF(COUNTIF(Mots!A:A,Liens!E1008)&gt;0,"✓ "&amp;Liens!E1008,"✗ "&amp;Liens!E1008&amp;" (introuvable)"))</f>
        <v/>
      </c>
      <c r="G1013" s="35" t="str">
        <f>IF(Liens!F1008="","",IF(COUNTIF(Mots!A:A,Liens!F1008)&gt;0,"✓ "&amp;Liens!F1008,"✗ "&amp;Liens!F1008&amp;" (introuvable)"))</f>
        <v/>
      </c>
      <c r="H1013" s="35" t="str">
        <f>IF(Liens!G1008="","",IF(COUNTIF(Mots!A:A,Liens!G1008)&gt;0,"✓ "&amp;Liens!G1008,"✗ "&amp;Liens!G1008&amp;" (introuvable)"))</f>
        <v/>
      </c>
      <c r="I1013" s="35" t="str">
        <f>IF(Liens!H1008="","",IF(COUNTIF(Mots!A:A,Liens!H1008)&gt;0,"✓ "&amp;Liens!H1008,"✗ "&amp;Liens!H1008&amp;" (introuvable)"))</f>
        <v/>
      </c>
    </row>
    <row r="1014" spans="1:9" x14ac:dyDescent="0.3">
      <c r="A1014">
        <f t="shared" si="12"/>
        <v>1009</v>
      </c>
      <c r="B1014" s="35" t="str">
        <f>IF(Liens!A1009="","",IF(COUNTIF(Mots!A:A,Liens!A1009)&gt;0,"✓ "&amp;Liens!A1009,"✗ "&amp;Liens!A1009&amp;" (introuvable)"))</f>
        <v>✓ virement</v>
      </c>
      <c r="C1014" s="35" t="str">
        <f>IF(Liens!B1009="","",IF(COUNTIF(Mots!A:A,Liens!B1009)&gt;0,"✓ "&amp;Liens!B1009,"✗ "&amp;Liens!B1009&amp;" (introuvable)"))</f>
        <v>✓ compte</v>
      </c>
      <c r="D1014" s="35" t="str">
        <f>IF(Liens!C1009="","",IF(COUNTIF(Mots!A:A,Liens!C1009)&gt;0,"✓ "&amp;Liens!C1009,"✗ "&amp;Liens!C1009&amp;" (introuvable)"))</f>
        <v>✓ v_payer</v>
      </c>
      <c r="E1014" s="35" t="str">
        <f>IF(Liens!D1009="","",IF(COUNTIF(Mots!A:A,Liens!D1009)&gt;0,"✓ "&amp;Liens!D1009,"✗ "&amp;Liens!D1009&amp;" (introuvable)"))</f>
        <v>✓ facture</v>
      </c>
      <c r="F1014" s="35" t="str">
        <f>IF(Liens!E1009="","",IF(COUNTIF(Mots!A:A,Liens!E1009)&gt;0,"✓ "&amp;Liens!E1009,"✗ "&amp;Liens!E1009&amp;" (introuvable)"))</f>
        <v/>
      </c>
      <c r="G1014" s="35" t="str">
        <f>IF(Liens!F1009="","",IF(COUNTIF(Mots!A:A,Liens!F1009)&gt;0,"✓ "&amp;Liens!F1009,"✗ "&amp;Liens!F1009&amp;" (introuvable)"))</f>
        <v/>
      </c>
      <c r="H1014" s="35" t="str">
        <f>IF(Liens!G1009="","",IF(COUNTIF(Mots!A:A,Liens!G1009)&gt;0,"✓ "&amp;Liens!G1009,"✗ "&amp;Liens!G1009&amp;" (introuvable)"))</f>
        <v/>
      </c>
      <c r="I1014" s="35" t="str">
        <f>IF(Liens!H1009="","",IF(COUNTIF(Mots!A:A,Liens!H1009)&gt;0,"✓ "&amp;Liens!H1009,"✗ "&amp;Liens!H1009&amp;" (introuvable)"))</f>
        <v/>
      </c>
    </row>
    <row r="1015" spans="1:9" x14ac:dyDescent="0.3">
      <c r="A1015">
        <f t="shared" si="12"/>
        <v>1010</v>
      </c>
      <c r="B1015" s="35" t="str">
        <f>IF(Liens!A1010="","",IF(COUNTIF(Mots!A:A,Liens!A1010)&gt;0,"✓ "&amp;Liens!A1010,"✗ "&amp;Liens!A1010&amp;" (introuvable)"))</f>
        <v>✓ vis</v>
      </c>
      <c r="C1015" s="35" t="str">
        <f>IF(Liens!B1010="","",IF(COUNTIF(Mots!A:A,Liens!B1010)&gt;0,"✓ "&amp;Liens!B1010,"✗ "&amp;Liens!B1010&amp;" (introuvable)"))</f>
        <v>✓ metal</v>
      </c>
      <c r="D1015" s="35" t="str">
        <f>IF(Liens!C1010="","",IF(COUNTIF(Mots!A:A,Liens!C1010)&gt;0,"✓ "&amp;Liens!C1010,"✗ "&amp;Liens!C1010&amp;" (introuvable)"))</f>
        <v>✓ tournevis</v>
      </c>
      <c r="E1015" s="35" t="str">
        <f>IF(Liens!D1010="","",IF(COUNTIF(Mots!A:A,Liens!D1010)&gt;0,"✓ "&amp;Liens!D1010,"✗ "&amp;Liens!D1010&amp;" (introuvable)"))</f>
        <v/>
      </c>
      <c r="F1015" s="35" t="str">
        <f>IF(Liens!E1010="","",IF(COUNTIF(Mots!A:A,Liens!E1010)&gt;0,"✓ "&amp;Liens!E1010,"✗ "&amp;Liens!E1010&amp;" (introuvable)"))</f>
        <v/>
      </c>
      <c r="G1015" s="35" t="str">
        <f>IF(Liens!F1010="","",IF(COUNTIF(Mots!A:A,Liens!F1010)&gt;0,"✓ "&amp;Liens!F1010,"✗ "&amp;Liens!F1010&amp;" (introuvable)"))</f>
        <v/>
      </c>
      <c r="H1015" s="35" t="str">
        <f>IF(Liens!G1010="","",IF(COUNTIF(Mots!A:A,Liens!G1010)&gt;0,"✓ "&amp;Liens!G1010,"✗ "&amp;Liens!G1010&amp;" (introuvable)"))</f>
        <v/>
      </c>
      <c r="I1015" s="35" t="str">
        <f>IF(Liens!H1010="","",IF(COUNTIF(Mots!A:A,Liens!H1010)&gt;0,"✓ "&amp;Liens!H1010,"✗ "&amp;Liens!H1010&amp;" (introuvable)"))</f>
        <v/>
      </c>
    </row>
    <row r="1016" spans="1:9" x14ac:dyDescent="0.3">
      <c r="A1016">
        <f t="shared" si="12"/>
        <v>1011</v>
      </c>
      <c r="B1016" s="35" t="str">
        <f>IF(Liens!A1011="","",IF(COUNTIF(Mots!A:A,Liens!A1011)&gt;0,"✓ "&amp;Liens!A1011,"✗ "&amp;Liens!A1011&amp;" (introuvable)"))</f>
        <v>✓ visite</v>
      </c>
      <c r="C1016" s="35" t="str">
        <f>IF(Liens!B1011="","",IF(COUNTIF(Mots!A:A,Liens!B1011)&gt;0,"✓ "&amp;Liens!B1011,"✗ "&amp;Liens!B1011&amp;" (introuvable)"))</f>
        <v>✓ ami</v>
      </c>
      <c r="D1016" s="35" t="str">
        <f>IF(Liens!C1011="","",IF(COUNTIF(Mots!A:A,Liens!C1011)&gt;0,"✓ "&amp;Liens!C1011,"✗ "&amp;Liens!C1011&amp;" (introuvable)"))</f>
        <v>✓ invite</v>
      </c>
      <c r="E1016" s="35" t="str">
        <f>IF(Liens!D1011="","",IF(COUNTIF(Mots!A:A,Liens!D1011)&gt;0,"✓ "&amp;Liens!D1011,"✗ "&amp;Liens!D1011&amp;" (introuvable)"))</f>
        <v>✓ v_voir</v>
      </c>
      <c r="F1016" s="35" t="str">
        <f>IF(Liens!E1011="","",IF(COUNTIF(Mots!A:A,Liens!E1011)&gt;0,"✓ "&amp;Liens!E1011,"✗ "&amp;Liens!E1011&amp;" (introuvable)"))</f>
        <v/>
      </c>
      <c r="G1016" s="35" t="str">
        <f>IF(Liens!F1011="","",IF(COUNTIF(Mots!A:A,Liens!F1011)&gt;0,"✓ "&amp;Liens!F1011,"✗ "&amp;Liens!F1011&amp;" (introuvable)"))</f>
        <v/>
      </c>
      <c r="H1016" s="35" t="str">
        <f>IF(Liens!G1011="","",IF(COUNTIF(Mots!A:A,Liens!G1011)&gt;0,"✓ "&amp;Liens!G1011,"✗ "&amp;Liens!G1011&amp;" (introuvable)"))</f>
        <v/>
      </c>
      <c r="I1016" s="35" t="str">
        <f>IF(Liens!H1011="","",IF(COUNTIF(Mots!A:A,Liens!H1011)&gt;0,"✓ "&amp;Liens!H1011,"✗ "&amp;Liens!H1011&amp;" (introuvable)"))</f>
        <v/>
      </c>
    </row>
    <row r="1017" spans="1:9" x14ac:dyDescent="0.3">
      <c r="A1017">
        <f t="shared" si="12"/>
        <v>1012</v>
      </c>
      <c r="B1017" s="35" t="str">
        <f>IF(Liens!A1012="","",IF(COUNTIF(Mots!A:A,Liens!A1012)&gt;0,"✓ "&amp;Liens!A1012,"✗ "&amp;Liens!A1012&amp;" (introuvable)"))</f>
        <v>✓ a_vite</v>
      </c>
      <c r="C1017" s="35" t="str">
        <f>IF(Liens!B1012="","",IF(COUNTIF(Mots!A:A,Liens!B1012)&gt;0,"✓ "&amp;Liens!B1012,"✗ "&amp;Liens!B1012&amp;" (introuvable)"))</f>
        <v>✓ vitesse</v>
      </c>
      <c r="D1017" s="35" t="str">
        <f>IF(Liens!C1012="","",IF(COUNTIF(Mots!A:A,Liens!C1012)&gt;0,"✓ "&amp;Liens!C1012,"✗ "&amp;Liens!C1012&amp;" (introuvable)"))</f>
        <v>✓ a_rapide_lent</v>
      </c>
      <c r="E1017" s="35" t="str">
        <f>IF(Liens!D1012="","",IF(COUNTIF(Mots!A:A,Liens!D1012)&gt;0,"✓ "&amp;Liens!D1012,"✗ "&amp;Liens!D1012&amp;" (introuvable)"))</f>
        <v>✓ voiture</v>
      </c>
      <c r="F1017" s="35" t="str">
        <f>IF(Liens!E1012="","",IF(COUNTIF(Mots!A:A,Liens!E1012)&gt;0,"✓ "&amp;Liens!E1012,"✗ "&amp;Liens!E1012&amp;" (introuvable)"))</f>
        <v>✓ train</v>
      </c>
      <c r="G1017" s="35" t="str">
        <f>IF(Liens!F1012="","",IF(COUNTIF(Mots!A:A,Liens!F1012)&gt;0,"✓ "&amp;Liens!F1012,"✗ "&amp;Liens!F1012&amp;" (introuvable)"))</f>
        <v>✓ avion</v>
      </c>
      <c r="H1017" s="35" t="str">
        <f>IF(Liens!G1012="","",IF(COUNTIF(Mots!A:A,Liens!G1012)&gt;0,"✓ "&amp;Liens!G1012,"✗ "&amp;Liens!G1012&amp;" (introuvable)"))</f>
        <v>✓ moto</v>
      </c>
      <c r="I1017" s="35" t="str">
        <f>IF(Liens!H1012="","",IF(COUNTIF(Mots!A:A,Liens!H1012)&gt;0,"✓ "&amp;Liens!H1012,"✗ "&amp;Liens!H1012&amp;" (introuvable)"))</f>
        <v>✓ v_courir</v>
      </c>
    </row>
    <row r="1018" spans="1:9" x14ac:dyDescent="0.3">
      <c r="A1018">
        <f t="shared" si="12"/>
        <v>1013</v>
      </c>
      <c r="B1018" s="35" t="str">
        <f>IF(Liens!A1013="","",IF(COUNTIF(Mots!A:A,Liens!A1013)&gt;0,"✓ "&amp;Liens!A1013,"✗ "&amp;Liens!A1013&amp;" (introuvable)"))</f>
        <v>✓ vitesse</v>
      </c>
      <c r="C1018" s="35" t="str">
        <f>IF(Liens!B1013="","",IF(COUNTIF(Mots!A:A,Liens!B1013)&gt;0,"✓ "&amp;Liens!B1013,"✗ "&amp;Liens!B1013&amp;" (introuvable)"))</f>
        <v>✓ rapidite</v>
      </c>
      <c r="D1018" s="35" t="str">
        <f>IF(Liens!C1013="","",IF(COUNTIF(Mots!A:A,Liens!C1013)&gt;0,"✓ "&amp;Liens!C1013,"✗ "&amp;Liens!C1013&amp;" (introuvable)"))</f>
        <v>✓ a_rapide_lent</v>
      </c>
      <c r="E1018" s="35" t="str">
        <f>IF(Liens!D1013="","",IF(COUNTIF(Mots!A:A,Liens!D1013)&gt;0,"✓ "&amp;Liens!D1013,"✗ "&amp;Liens!D1013&amp;" (introuvable)"))</f>
        <v>✓ avion</v>
      </c>
      <c r="F1018" s="35" t="str">
        <f>IF(Liens!E1013="","",IF(COUNTIF(Mots!A:A,Liens!E1013)&gt;0,"✓ "&amp;Liens!E1013,"✗ "&amp;Liens!E1013&amp;" (introuvable)"))</f>
        <v>✓ train</v>
      </c>
      <c r="G1018" s="35" t="str">
        <f>IF(Liens!F1013="","",IF(COUNTIF(Mots!A:A,Liens!F1013)&gt;0,"✓ "&amp;Liens!F1013,"✗ "&amp;Liens!F1013&amp;" (introuvable)"))</f>
        <v>✓ voiture</v>
      </c>
      <c r="H1018" s="35" t="str">
        <f>IF(Liens!G1013="","",IF(COUNTIF(Mots!A:A,Liens!G1013)&gt;0,"✓ "&amp;Liens!G1013,"✗ "&amp;Liens!G1013&amp;" (introuvable)"))</f>
        <v/>
      </c>
      <c r="I1018" s="35" t="str">
        <f>IF(Liens!H1013="","",IF(COUNTIF(Mots!A:A,Liens!H1013)&gt;0,"✓ "&amp;Liens!H1013,"✗ "&amp;Liens!H1013&amp;" (introuvable)"))</f>
        <v/>
      </c>
    </row>
    <row r="1019" spans="1:9" x14ac:dyDescent="0.3">
      <c r="A1019">
        <f t="shared" si="12"/>
        <v>1014</v>
      </c>
      <c r="B1019" s="35" t="str">
        <f>IF(Liens!A1014="","",IF(COUNTIF(Mots!A:A,Liens!A1014)&gt;0,"✓ "&amp;Liens!A1014,"✗ "&amp;Liens!A1014&amp;" (introuvable)"))</f>
        <v>✓ vivant</v>
      </c>
      <c r="C1019" s="35" t="str">
        <f>IF(Liens!B1014="","",IF(COUNTIF(Mots!A:A,Liens!B1014)&gt;0,"✓ "&amp;Liens!B1014,"✗ "&amp;Liens!B1014&amp;" (introuvable)"))</f>
        <v>✓ vie</v>
      </c>
      <c r="D1019" s="35" t="str">
        <f>IF(Liens!C1014="","",IF(COUNTIF(Mots!A:A,Liens!C1014)&gt;0,"✓ "&amp;Liens!C1014,"✗ "&amp;Liens!C1014&amp;" (introuvable)"))</f>
        <v>✓ personne</v>
      </c>
      <c r="E1019" s="35" t="str">
        <f>IF(Liens!D1014="","",IF(COUNTIF(Mots!A:A,Liens!D1014)&gt;0,"✓ "&amp;Liens!D1014,"✗ "&amp;Liens!D1014&amp;" (introuvable)"))</f>
        <v>✓ animal</v>
      </c>
      <c r="F1019" s="35" t="str">
        <f>IF(Liens!E1014="","",IF(COUNTIF(Mots!A:A,Liens!E1014)&gt;0,"✓ "&amp;Liens!E1014,"✗ "&amp;Liens!E1014&amp;" (introuvable)"))</f>
        <v>✓ insecte</v>
      </c>
      <c r="G1019" s="35" t="str">
        <f>IF(Liens!F1014="","",IF(COUNTIF(Mots!A:A,Liens!F1014)&gt;0,"✓ "&amp;Liens!F1014,"✗ "&amp;Liens!F1014&amp;" (introuvable)"))</f>
        <v>✓ plante</v>
      </c>
      <c r="H1019" s="35" t="str">
        <f>IF(Liens!G1014="","",IF(COUNTIF(Mots!A:A,Liens!G1014)&gt;0,"✓ "&amp;Liens!G1014,"✗ "&amp;Liens!G1014&amp;" (introuvable)"))</f>
        <v>✓ fleur</v>
      </c>
      <c r="I1019" s="35" t="str">
        <f>IF(Liens!H1014="","",IF(COUNTIF(Mots!A:A,Liens!H1014)&gt;0,"✓ "&amp;Liens!H1014,"✗ "&amp;Liens!H1014&amp;" (introuvable)"))</f>
        <v/>
      </c>
    </row>
    <row r="1020" spans="1:9" x14ac:dyDescent="0.3">
      <c r="A1020">
        <f t="shared" si="12"/>
        <v>1015</v>
      </c>
      <c r="B1020" s="35" t="str">
        <f>IF(Liens!A1015="","",IF(COUNTIF(Mots!A:A,Liens!A1015)&gt;0,"✓ "&amp;Liens!A1015,"✗ "&amp;Liens!A1015&amp;" (introuvable)"))</f>
        <v>✓ voisin</v>
      </c>
      <c r="C1020" s="35" t="str">
        <f>IF(Liens!B1015="","",IF(COUNTIF(Mots!A:A,Liens!B1015)&gt;0,"✓ "&amp;Liens!B1015,"✗ "&amp;Liens!B1015&amp;" (introuvable)"))</f>
        <v>✓ homme</v>
      </c>
      <c r="D1020" s="35" t="str">
        <f>IF(Liens!C1015="","",IF(COUNTIF(Mots!A:A,Liens!C1015)&gt;0,"✓ "&amp;Liens!C1015,"✗ "&amp;Liens!C1015&amp;" (introuvable)"))</f>
        <v>✓ femme</v>
      </c>
      <c r="E1020" s="35" t="str">
        <f>IF(Liens!D1015="","",IF(COUNTIF(Mots!A:A,Liens!D1015)&gt;0,"✓ "&amp;Liens!D1015,"✗ "&amp;Liens!D1015&amp;" (introuvable)"))</f>
        <v>✓ v_habiter</v>
      </c>
      <c r="F1020" s="35" t="str">
        <f>IF(Liens!E1015="","",IF(COUNTIF(Mots!A:A,Liens!E1015)&gt;0,"✓ "&amp;Liens!E1015,"✗ "&amp;Liens!E1015&amp;" (introuvable)"))</f>
        <v/>
      </c>
      <c r="G1020" s="35" t="str">
        <f>IF(Liens!F1015="","",IF(COUNTIF(Mots!A:A,Liens!F1015)&gt;0,"✓ "&amp;Liens!F1015,"✗ "&amp;Liens!F1015&amp;" (introuvable)"))</f>
        <v/>
      </c>
      <c r="H1020" s="35" t="str">
        <f>IF(Liens!G1015="","",IF(COUNTIF(Mots!A:A,Liens!G1015)&gt;0,"✓ "&amp;Liens!G1015,"✗ "&amp;Liens!G1015&amp;" (introuvable)"))</f>
        <v/>
      </c>
      <c r="I1020" s="35" t="str">
        <f>IF(Liens!H1015="","",IF(COUNTIF(Mots!A:A,Liens!H1015)&gt;0,"✓ "&amp;Liens!H1015,"✗ "&amp;Liens!H1015&amp;" (introuvable)"))</f>
        <v/>
      </c>
    </row>
    <row r="1021" spans="1:9" x14ac:dyDescent="0.3">
      <c r="A1021">
        <f t="shared" si="12"/>
        <v>1016</v>
      </c>
      <c r="B1021" s="35" t="str">
        <f>IF(Liens!A1016="","",IF(COUNTIF(Mots!A:A,Liens!A1016)&gt;0,"✓ "&amp;Liens!A1016,"✗ "&amp;Liens!A1016&amp;" (introuvable)"))</f>
        <v>✓ voiture</v>
      </c>
      <c r="C1021" s="35" t="str">
        <f>IF(Liens!B1016="","",IF(COUNTIF(Mots!A:A,Liens!B1016)&gt;0,"✓ "&amp;Liens!B1016,"✗ "&amp;Liens!B1016&amp;" (introuvable)"))</f>
        <v>✓ v_conduire</v>
      </c>
      <c r="D1021" s="35" t="str">
        <f>IF(Liens!C1016="","",IF(COUNTIF(Mots!A:A,Liens!C1016)&gt;0,"✓ "&amp;Liens!C1016,"✗ "&amp;Liens!C1016&amp;" (introuvable)"))</f>
        <v>✓ route</v>
      </c>
      <c r="E1021" s="35" t="str">
        <f>IF(Liens!D1016="","",IF(COUNTIF(Mots!A:A,Liens!D1016)&gt;0,"✓ "&amp;Liens!D1016,"✗ "&amp;Liens!D1016&amp;" (introuvable)"))</f>
        <v>✓ essence</v>
      </c>
      <c r="F1021" s="35" t="str">
        <f>IF(Liens!E1016="","",IF(COUNTIF(Mots!A:A,Liens!E1016)&gt;0,"✓ "&amp;Liens!E1016,"✗ "&amp;Liens!E1016&amp;" (introuvable)"))</f>
        <v>✓ pneu</v>
      </c>
      <c r="G1021" s="35" t="str">
        <f>IF(Liens!F1016="","",IF(COUNTIF(Mots!A:A,Liens!F1016)&gt;0,"✓ "&amp;Liens!F1016,"✗ "&amp;Liens!F1016&amp;" (introuvable)"))</f>
        <v>✓ v_aller</v>
      </c>
      <c r="H1021" s="35" t="str">
        <f>IF(Liens!G1016="","",IF(COUNTIF(Mots!A:A,Liens!G1016)&gt;0,"✓ "&amp;Liens!G1016,"✗ "&amp;Liens!G1016&amp;" (introuvable)"))</f>
        <v/>
      </c>
      <c r="I1021" s="35" t="str">
        <f>IF(Liens!H1016="","",IF(COUNTIF(Mots!A:A,Liens!H1016)&gt;0,"✓ "&amp;Liens!H1016,"✗ "&amp;Liens!H1016&amp;" (introuvable)"))</f>
        <v/>
      </c>
    </row>
    <row r="1022" spans="1:9" x14ac:dyDescent="0.3">
      <c r="A1022">
        <f t="shared" si="12"/>
        <v>1017</v>
      </c>
      <c r="B1022" s="35" t="str">
        <f>IF(Liens!A1017="","",IF(COUNTIF(Mots!A:A,Liens!A1017)&gt;0,"✓ "&amp;Liens!A1017,"✗ "&amp;Liens!A1017&amp;" (introuvable)"))</f>
        <v>✓ voix</v>
      </c>
      <c r="C1022" s="35" t="str">
        <f>IF(Liens!B1017="","",IF(COUNTIF(Mots!A:A,Liens!B1017)&gt;0,"✓ "&amp;Liens!B1017,"✗ "&amp;Liens!B1017&amp;" (introuvable)"))</f>
        <v>✓ corps_humain</v>
      </c>
      <c r="D1022" s="35" t="str">
        <f>IF(Liens!C1017="","",IF(COUNTIF(Mots!A:A,Liens!C1017)&gt;0,"✓ "&amp;Liens!C1017,"✗ "&amp;Liens!C1017&amp;" (introuvable)"))</f>
        <v>✓ tete</v>
      </c>
      <c r="E1022" s="35" t="str">
        <f>IF(Liens!D1017="","",IF(COUNTIF(Mots!A:A,Liens!D1017)&gt;0,"✓ "&amp;Liens!D1017,"✗ "&amp;Liens!D1017&amp;" (introuvable)"))</f>
        <v>✓ bouche</v>
      </c>
      <c r="F1022" s="35" t="str">
        <f>IF(Liens!E1017="","",IF(COUNTIF(Mots!A:A,Liens!E1017)&gt;0,"✓ "&amp;Liens!E1017,"✗ "&amp;Liens!E1017&amp;" (introuvable)"))</f>
        <v>✓ cou</v>
      </c>
      <c r="G1022" s="35" t="str">
        <f>IF(Liens!F1017="","",IF(COUNTIF(Mots!A:A,Liens!F1017)&gt;0,"✓ "&amp;Liens!F1017,"✗ "&amp;Liens!F1017&amp;" (introuvable)"))</f>
        <v>✓ son</v>
      </c>
      <c r="H1022" s="35" t="str">
        <f>IF(Liens!G1017="","",IF(COUNTIF(Mots!A:A,Liens!G1017)&gt;0,"✓ "&amp;Liens!G1017,"✗ "&amp;Liens!G1017&amp;" (introuvable)"))</f>
        <v>✓ v_parler</v>
      </c>
      <c r="I1022" s="35" t="str">
        <f>IF(Liens!H1017="","",IF(COUNTIF(Mots!A:A,Liens!H1017)&gt;0,"✓ "&amp;Liens!H1017,"✗ "&amp;Liens!H1017&amp;" (introuvable)"))</f>
        <v>✓ v_chanter</v>
      </c>
    </row>
    <row r="1023" spans="1:9" x14ac:dyDescent="0.3">
      <c r="A1023">
        <f t="shared" si="12"/>
        <v>1018</v>
      </c>
      <c r="B1023" s="35" t="str">
        <f>IF(Liens!A1018="","",IF(COUNTIF(Mots!A:A,Liens!A1018)&gt;0,"✓ "&amp;Liens!A1018,"✗ "&amp;Liens!A1018&amp;" (introuvable)"))</f>
        <v>✓ vol</v>
      </c>
      <c r="C1023" s="35" t="str">
        <f>IF(Liens!B1018="","",IF(COUNTIF(Mots!A:A,Liens!B1018)&gt;0,"✓ "&amp;Liens!B1018,"✗ "&amp;Liens!B1018&amp;" (introuvable)"))</f>
        <v>✓ argent</v>
      </c>
      <c r="D1023" s="35" t="str">
        <f>IF(Liens!C1018="","",IF(COUNTIF(Mots!A:A,Liens!C1018)&gt;0,"✓ "&amp;Liens!C1018,"✗ "&amp;Liens!C1018&amp;" (introuvable)"))</f>
        <v>✓ television</v>
      </c>
      <c r="E1023" s="35" t="str">
        <f>IF(Liens!D1018="","",IF(COUNTIF(Mots!A:A,Liens!D1018)&gt;0,"✓ "&amp;Liens!D1018,"✗ "&amp;Liens!D1018&amp;" (introuvable)"))</f>
        <v>✓ ordinateur</v>
      </c>
      <c r="F1023" s="35" t="str">
        <f>IF(Liens!E1018="","",IF(COUNTIF(Mots!A:A,Liens!E1018)&gt;0,"✓ "&amp;Liens!E1018,"✗ "&amp;Liens!E1018&amp;" (introuvable)"))</f>
        <v>✓ smartphone</v>
      </c>
      <c r="G1023" s="35" t="str">
        <f>IF(Liens!F1018="","",IF(COUNTIF(Mots!A:A,Liens!F1018)&gt;0,"✓ "&amp;Liens!F1018,"✗ "&amp;Liens!F1018&amp;" (introuvable)"))</f>
        <v>✓ v_prendre</v>
      </c>
      <c r="H1023" s="35" t="str">
        <f>IF(Liens!G1018="","",IF(COUNTIF(Mots!A:A,Liens!G1018)&gt;0,"✓ "&amp;Liens!G1018,"✗ "&amp;Liens!G1018&amp;" (introuvable)"))</f>
        <v/>
      </c>
      <c r="I1023" s="35" t="str">
        <f>IF(Liens!H1018="","",IF(COUNTIF(Mots!A:A,Liens!H1018)&gt;0,"✓ "&amp;Liens!H1018,"✗ "&amp;Liens!H1018&amp;" (introuvable)"))</f>
        <v/>
      </c>
    </row>
    <row r="1024" spans="1:9" x14ac:dyDescent="0.3">
      <c r="A1024">
        <f t="shared" si="12"/>
        <v>1019</v>
      </c>
      <c r="B1024" s="35" t="str">
        <f>IF(Liens!A1019="","",IF(COUNTIF(Mots!A:A,Liens!A1019)&gt;0,"✓ "&amp;Liens!A1019,"✗ "&amp;Liens!A1019&amp;" (introuvable)"))</f>
        <v>✓ volant</v>
      </c>
      <c r="C1024" s="35" t="str">
        <f>IF(Liens!B1019="","",IF(COUNTIF(Mots!A:A,Liens!B1019)&gt;0,"✓ "&amp;Liens!B1019,"✗ "&amp;Liens!B1019&amp;" (introuvable)"))</f>
        <v>✓ voiture</v>
      </c>
      <c r="D1024" s="35" t="str">
        <f>IF(Liens!C1019="","",IF(COUNTIF(Mots!A:A,Liens!C1019)&gt;0,"✓ "&amp;Liens!C1019,"✗ "&amp;Liens!C1019&amp;" (introuvable)"))</f>
        <v>✓ v_conduire</v>
      </c>
      <c r="E1024" s="35" t="str">
        <f>IF(Liens!D1019="","",IF(COUNTIF(Mots!A:A,Liens!D1019)&gt;0,"✓ "&amp;Liens!D1019,"✗ "&amp;Liens!D1019&amp;" (introuvable)"))</f>
        <v>✓ v_aller</v>
      </c>
      <c r="F1024" s="35" t="str">
        <f>IF(Liens!E1019="","",IF(COUNTIF(Mots!A:A,Liens!E1019)&gt;0,"✓ "&amp;Liens!E1019,"✗ "&amp;Liens!E1019&amp;" (introuvable)"))</f>
        <v>✓ route</v>
      </c>
      <c r="G1024" s="35" t="str">
        <f>IF(Liens!F1019="","",IF(COUNTIF(Mots!A:A,Liens!F1019)&gt;0,"✓ "&amp;Liens!F1019,"✗ "&amp;Liens!F1019&amp;" (introuvable)"))</f>
        <v>✓ virage</v>
      </c>
      <c r="H1024" s="35" t="str">
        <f>IF(Liens!G1019="","",IF(COUNTIF(Mots!A:A,Liens!G1019)&gt;0,"✓ "&amp;Liens!G1019,"✗ "&amp;Liens!G1019&amp;" (introuvable)"))</f>
        <v/>
      </c>
      <c r="I1024" s="35" t="str">
        <f>IF(Liens!H1019="","",IF(COUNTIF(Mots!A:A,Liens!H1019)&gt;0,"✓ "&amp;Liens!H1019,"✗ "&amp;Liens!H1019&amp;" (introuvable)"))</f>
        <v/>
      </c>
    </row>
    <row r="1025" spans="1:9" x14ac:dyDescent="0.3">
      <c r="A1025">
        <f t="shared" si="12"/>
        <v>1020</v>
      </c>
      <c r="B1025" s="35" t="str">
        <f>IF(Liens!A1020="","",IF(COUNTIF(Mots!A:A,Liens!A1020)&gt;0,"✓ "&amp;Liens!A1020,"✗ "&amp;Liens!A1020&amp;" (introuvable)"))</f>
        <v>✓ volume</v>
      </c>
      <c r="C1025" s="35" t="str">
        <f>IF(Liens!B1020="","",IF(COUNTIF(Mots!A:A,Liens!B1020)&gt;0,"✓ "&amp;Liens!B1020,"✗ "&amp;Liens!B1020&amp;" (introuvable)"))</f>
        <v>✓ son</v>
      </c>
      <c r="D1025" s="35" t="str">
        <f>IF(Liens!C1020="","",IF(COUNTIF(Mots!A:A,Liens!C1020)&gt;0,"✓ "&amp;Liens!C1020,"✗ "&amp;Liens!C1020&amp;" (introuvable)"))</f>
        <v>✓ bruit</v>
      </c>
      <c r="E1025" s="35" t="str">
        <f>IF(Liens!D1020="","",IF(COUNTIF(Mots!A:A,Liens!D1020)&gt;0,"✓ "&amp;Liens!D1020,"✗ "&amp;Liens!D1020&amp;" (introuvable)"))</f>
        <v>✓ v_entendre</v>
      </c>
      <c r="F1025" s="35" t="str">
        <f>IF(Liens!E1020="","",IF(COUNTIF(Mots!A:A,Liens!E1020)&gt;0,"✓ "&amp;Liens!E1020,"✗ "&amp;Liens!E1020&amp;" (introuvable)"))</f>
        <v>✓ oreille</v>
      </c>
      <c r="G1025" s="35" t="str">
        <f>IF(Liens!F1020="","",IF(COUNTIF(Mots!A:A,Liens!F1020)&gt;0,"✓ "&amp;Liens!F1020,"✗ "&amp;Liens!F1020&amp;" (introuvable)"))</f>
        <v>✓ cube</v>
      </c>
      <c r="H1025" s="35" t="str">
        <f>IF(Liens!G1020="","",IF(COUNTIF(Mots!A:A,Liens!G1020)&gt;0,"✓ "&amp;Liens!G1020,"✗ "&amp;Liens!G1020&amp;" (introuvable)"))</f>
        <v>✓ piscine</v>
      </c>
      <c r="I1025" s="35" t="str">
        <f>IF(Liens!H1020="","",IF(COUNTIF(Mots!A:A,Liens!H1020)&gt;0,"✓ "&amp;Liens!H1020,"✗ "&amp;Liens!H1020&amp;" (introuvable)"))</f>
        <v/>
      </c>
    </row>
    <row r="1026" spans="1:9" x14ac:dyDescent="0.3">
      <c r="A1026">
        <f t="shared" si="12"/>
        <v>1021</v>
      </c>
      <c r="B1026" s="35" t="str">
        <f>IF(Liens!A1021="","",IF(COUNTIF(Mots!A:A,Liens!A1021)&gt;0,"✓ "&amp;Liens!A1021,"✗ "&amp;Liens!A1021&amp;" (introuvable)"))</f>
        <v>✓ voyage</v>
      </c>
      <c r="C1026" s="35" t="str">
        <f>IF(Liens!B1021="","",IF(COUNTIF(Mots!A:A,Liens!B1021)&gt;0,"✓ "&amp;Liens!B1021,"✗ "&amp;Liens!B1021&amp;" (introuvable)"))</f>
        <v>✓ vacances</v>
      </c>
      <c r="D1026" s="35" t="str">
        <f>IF(Liens!C1021="","",IF(COUNTIF(Mots!A:A,Liens!C1021)&gt;0,"✓ "&amp;Liens!C1021,"✗ "&amp;Liens!C1021&amp;" (introuvable)"))</f>
        <v>✓ avion</v>
      </c>
      <c r="E1026" s="35" t="str">
        <f>IF(Liens!D1021="","",IF(COUNTIF(Mots!A:A,Liens!D1021)&gt;0,"✓ "&amp;Liens!D1021,"✗ "&amp;Liens!D1021&amp;" (introuvable)"))</f>
        <v>✓ bateau</v>
      </c>
      <c r="F1026" s="35" t="str">
        <f>IF(Liens!E1021="","",IF(COUNTIF(Mots!A:A,Liens!E1021)&gt;0,"✓ "&amp;Liens!E1021,"✗ "&amp;Liens!E1021&amp;" (introuvable)"))</f>
        <v>✓ train</v>
      </c>
      <c r="G1026" s="35" t="str">
        <f>IF(Liens!F1021="","",IF(COUNTIF(Mots!A:A,Liens!F1021)&gt;0,"✓ "&amp;Liens!F1021,"✗ "&amp;Liens!F1021&amp;" (introuvable)"))</f>
        <v>✓ valise</v>
      </c>
      <c r="H1026" s="35" t="str">
        <f>IF(Liens!G1021="","",IF(COUNTIF(Mots!A:A,Liens!G1021)&gt;0,"✓ "&amp;Liens!G1021,"✗ "&amp;Liens!G1021&amp;" (introuvable)"))</f>
        <v>✓ bagage</v>
      </c>
      <c r="I1026" s="35" t="str">
        <f>IF(Liens!H1021="","",IF(COUNTIF(Mots!A:A,Liens!H1021)&gt;0,"✓ "&amp;Liens!H1021,"✗ "&amp;Liens!H1021&amp;" (introuvable)"))</f>
        <v/>
      </c>
    </row>
    <row r="1027" spans="1:9" x14ac:dyDescent="0.3">
      <c r="A1027">
        <f t="shared" si="12"/>
        <v>1022</v>
      </c>
      <c r="B1027" s="35" t="str">
        <f>IF(Liens!A1022="","",IF(COUNTIF(Mots!A:A,Liens!A1022)&gt;0,"✓ "&amp;Liens!A1022,"✗ "&amp;Liens!A1022&amp;" (introuvable)"))</f>
        <v>✓ yogurt</v>
      </c>
      <c r="C1027" s="35" t="str">
        <f>IF(Liens!B1022="","",IF(COUNTIF(Mots!A:A,Liens!B1022)&gt;0,"✓ "&amp;Liens!B1022,"✗ "&amp;Liens!B1022&amp;" (introuvable)"))</f>
        <v>✓ cuillere</v>
      </c>
      <c r="D1027" s="35" t="str">
        <f>IF(Liens!C1022="","",IF(COUNTIF(Mots!A:A,Liens!C1022)&gt;0,"✓ "&amp;Liens!C1022,"✗ "&amp;Liens!C1022&amp;" (introuvable)"))</f>
        <v>✓ frigo</v>
      </c>
      <c r="E1027" s="35" t="str">
        <f>IF(Liens!D1022="","",IF(COUNTIF(Mots!A:A,Liens!D1022)&gt;0,"✓ "&amp;Liens!D1022,"✗ "&amp;Liens!D1022&amp;" (introuvable)"))</f>
        <v>✓ dejeuner</v>
      </c>
      <c r="F1027" s="35" t="str">
        <f>IF(Liens!E1022="","",IF(COUNTIF(Mots!A:A,Liens!E1022)&gt;0,"✓ "&amp;Liens!E1022,"✗ "&amp;Liens!E1022&amp;" (introuvable)"))</f>
        <v>✓ v_manger</v>
      </c>
      <c r="G1027" s="35" t="str">
        <f>IF(Liens!F1022="","",IF(COUNTIF(Mots!A:A,Liens!F1022)&gt;0,"✓ "&amp;Liens!F1022,"✗ "&amp;Liens!F1022&amp;" (introuvable)"))</f>
        <v/>
      </c>
      <c r="H1027" s="35" t="str">
        <f>IF(Liens!G1022="","",IF(COUNTIF(Mots!A:A,Liens!G1022)&gt;0,"✓ "&amp;Liens!G1022,"✗ "&amp;Liens!G1022&amp;" (introuvable)"))</f>
        <v/>
      </c>
      <c r="I1027" s="35" t="str">
        <f>IF(Liens!H1022="","",IF(COUNTIF(Mots!A:A,Liens!H1022)&gt;0,"✓ "&amp;Liens!H1022,"✗ "&amp;Liens!H1022&amp;" (introuvable)"))</f>
        <v/>
      </c>
    </row>
    <row r="1028" spans="1:9" x14ac:dyDescent="0.3">
      <c r="A1028">
        <f t="shared" si="12"/>
        <v>1023</v>
      </c>
      <c r="B1028" s="35" t="str">
        <f>IF(Liens!A1023="","",IF(COUNTIF(Mots!A:A,Liens!A1023)&gt;0,"✓ "&amp;Liens!A1023,"✗ "&amp;Liens!A1023&amp;" (introuvable)"))</f>
        <v>✓ zero</v>
      </c>
      <c r="C1028" s="35" t="str">
        <f>IF(Liens!B1023="","",IF(COUNTIF(Mots!A:A,Liens!B1023)&gt;0,"✓ "&amp;Liens!B1023,"✗ "&amp;Liens!B1023&amp;" (introuvable)"))</f>
        <v/>
      </c>
      <c r="D1028" s="35" t="str">
        <f>IF(Liens!C1023="","",IF(COUNTIF(Mots!A:A,Liens!C1023)&gt;0,"✓ "&amp;Liens!C1023,"✗ "&amp;Liens!C1023&amp;" (introuvable)"))</f>
        <v/>
      </c>
      <c r="E1028" s="35" t="str">
        <f>IF(Liens!D1023="","",IF(COUNTIF(Mots!A:A,Liens!D1023)&gt;0,"✓ "&amp;Liens!D1023,"✗ "&amp;Liens!D1023&amp;" (introuvable)"))</f>
        <v/>
      </c>
      <c r="F1028" s="35" t="str">
        <f>IF(Liens!E1023="","",IF(COUNTIF(Mots!A:A,Liens!E1023)&gt;0,"✓ "&amp;Liens!E1023,"✗ "&amp;Liens!E1023&amp;" (introuvable)"))</f>
        <v/>
      </c>
      <c r="G1028" s="35" t="str">
        <f>IF(Liens!F1023="","",IF(COUNTIF(Mots!A:A,Liens!F1023)&gt;0,"✓ "&amp;Liens!F1023,"✗ "&amp;Liens!F1023&amp;" (introuvable)"))</f>
        <v/>
      </c>
      <c r="H1028" s="35" t="str">
        <f>IF(Liens!G1023="","",IF(COUNTIF(Mots!A:A,Liens!G1023)&gt;0,"✓ "&amp;Liens!G1023,"✗ "&amp;Liens!G1023&amp;" (introuvable)"))</f>
        <v/>
      </c>
      <c r="I1028" s="35" t="str">
        <f>IF(Liens!H1023="","",IF(COUNTIF(Mots!A:A,Liens!H1023)&gt;0,"✓ "&amp;Liens!H1023,"✗ "&amp;Liens!H1023&amp;" (introuvable)"))</f>
        <v/>
      </c>
    </row>
    <row r="1029" spans="1:9" x14ac:dyDescent="0.3">
      <c r="A1029">
        <f t="shared" si="12"/>
        <v>1024</v>
      </c>
      <c r="B1029" s="35" t="str">
        <f>IF(Liens!A1024="","",IF(COUNTIF(Mots!A:A,Liens!A1024)&gt;0,"✓ "&amp;Liens!A1024,"✗ "&amp;Liens!A1024&amp;" (introuvable)"))</f>
        <v>✓ zone</v>
      </c>
      <c r="C1029" s="35" t="str">
        <f>IF(Liens!B1024="","",IF(COUNTIF(Mots!A:A,Liens!B1024)&gt;0,"✓ "&amp;Liens!B1024,"✗ "&amp;Liens!B1024&amp;" (introuvable)"))</f>
        <v>✓ quartier</v>
      </c>
      <c r="D1029" s="35" t="str">
        <f>IF(Liens!C1024="","",IF(COUNTIF(Mots!A:A,Liens!C1024)&gt;0,"✓ "&amp;Liens!C1024,"✗ "&amp;Liens!C1024&amp;" (introuvable)"))</f>
        <v>✓ espace</v>
      </c>
      <c r="E1029" s="35" t="str">
        <f>IF(Liens!D1024="","",IF(COUNTIF(Mots!A:A,Liens!D1024)&gt;0,"✓ "&amp;Liens!D1024,"✗ "&amp;Liens!D1024&amp;" (introuvable)"))</f>
        <v>✓ secteur</v>
      </c>
      <c r="F1029" s="35" t="str">
        <f>IF(Liens!E1024="","",IF(COUNTIF(Mots!A:A,Liens!E1024)&gt;0,"✓ "&amp;Liens!E1024,"✗ "&amp;Liens!E1024&amp;" (introuvable)"))</f>
        <v/>
      </c>
      <c r="G1029" s="35" t="str">
        <f>IF(Liens!F1024="","",IF(COUNTIF(Mots!A:A,Liens!F1024)&gt;0,"✓ "&amp;Liens!F1024,"✗ "&amp;Liens!F1024&amp;" (introuvable)"))</f>
        <v/>
      </c>
      <c r="H1029" s="35" t="str">
        <f>IF(Liens!G1024="","",IF(COUNTIF(Mots!A:A,Liens!G1024)&gt;0,"✓ "&amp;Liens!G1024,"✗ "&amp;Liens!G1024&amp;" (introuvable)"))</f>
        <v/>
      </c>
      <c r="I1029" s="35" t="str">
        <f>IF(Liens!H1024="","",IF(COUNTIF(Mots!A:A,Liens!H1024)&gt;0,"✓ "&amp;Liens!H1024,"✗ "&amp;Liens!H1024&amp;" (introuvable)"))</f>
        <v/>
      </c>
    </row>
    <row r="1030" spans="1:9" x14ac:dyDescent="0.3">
      <c r="A1030">
        <f t="shared" si="12"/>
        <v>1025</v>
      </c>
      <c r="B1030" s="35" t="str">
        <f>IF(Liens!A1025="","",IF(COUNTIF(Mots!A:A,Liens!A1025)&gt;0,"✓ "&amp;Liens!A1025,"✗ "&amp;Liens!A1025&amp;" (introuvable)"))</f>
        <v>✓ evier_ou_plonge</v>
      </c>
      <c r="C1030" s="35" t="str">
        <f>IF(Liens!B1025="","",IF(COUNTIF(Mots!A:A,Liens!B1025)&gt;0,"✓ "&amp;Liens!B1025,"✗ "&amp;Liens!B1025&amp;" (introuvable)"))</f>
        <v>✓ eau</v>
      </c>
      <c r="D1030" s="35" t="str">
        <f>IF(Liens!C1025="","",IF(COUNTIF(Mots!A:A,Liens!C1025)&gt;0,"✓ "&amp;Liens!C1025,"✗ "&amp;Liens!C1025&amp;" (introuvable)"))</f>
        <v>✓ v_laver</v>
      </c>
      <c r="E1030" s="35" t="str">
        <f>IF(Liens!D1025="","",IF(COUNTIF(Mots!A:A,Liens!D1025)&gt;0,"✓ "&amp;Liens!D1025,"✗ "&amp;Liens!D1025&amp;" (introuvable)"))</f>
        <v>✓ robinet</v>
      </c>
      <c r="F1030" s="35" t="str">
        <f>IF(Liens!E1025="","",IF(COUNTIF(Mots!A:A,Liens!E1025)&gt;0,"✓ "&amp;Liens!E1025,"✗ "&amp;Liens!E1025&amp;" (introuvable)"))</f>
        <v>✓ eponge</v>
      </c>
      <c r="G1030" s="35" t="str">
        <f>IF(Liens!F1025="","",IF(COUNTIF(Mots!A:A,Liens!F1025)&gt;0,"✓ "&amp;Liens!F1025,"✗ "&amp;Liens!F1025&amp;" (introuvable)"))</f>
        <v>✓ chiffon</v>
      </c>
      <c r="H1030" s="35" t="str">
        <f>IF(Liens!G1025="","",IF(COUNTIF(Mots!A:A,Liens!G1025)&gt;0,"✓ "&amp;Liens!G1025,"✗ "&amp;Liens!G1025&amp;" (introuvable)"))</f>
        <v>✓ vaisselle</v>
      </c>
      <c r="I1030" s="35" t="str">
        <f>IF(Liens!H1025="","",IF(COUNTIF(Mots!A:A,Liens!H1025)&gt;0,"✓ "&amp;Liens!H1025,"✗ "&amp;Liens!H1025&amp;" (introuvable)"))</f>
        <v>✓ v_essuyer</v>
      </c>
    </row>
    <row r="1031" spans="1:9" x14ac:dyDescent="0.3">
      <c r="A1031">
        <f t="shared" si="12"/>
        <v>1026</v>
      </c>
      <c r="B1031" s="35" t="str">
        <f>IF(Liens!A1026="","",IF(COUNTIF(Mots!A:A,Liens!A1026)&gt;0,"✓ "&amp;Liens!A1026,"✗ "&amp;Liens!A1026&amp;" (introuvable)"))</f>
        <v>✓ v_respirer</v>
      </c>
      <c r="C1031" s="35" t="str">
        <f>IF(Liens!B1026="","",IF(COUNTIF(Mots!A:A,Liens!B1026)&gt;0,"✓ "&amp;Liens!B1026,"✗ "&amp;Liens!B1026&amp;" (introuvable)"))</f>
        <v>✓ air</v>
      </c>
      <c r="D1031" s="35" t="str">
        <f>IF(Liens!C1026="","",IF(COUNTIF(Mots!A:A,Liens!C1026)&gt;0,"✓ "&amp;Liens!C1026,"✗ "&amp;Liens!C1026&amp;" (introuvable)"))</f>
        <v>✓ bouche</v>
      </c>
      <c r="E1031" s="35" t="str">
        <f>IF(Liens!D1026="","",IF(COUNTIF(Mots!A:A,Liens!D1026)&gt;0,"✓ "&amp;Liens!D1026,"✗ "&amp;Liens!D1026&amp;" (introuvable)"))</f>
        <v>✓ nez</v>
      </c>
      <c r="F1031" s="35" t="str">
        <f>IF(Liens!E1026="","",IF(COUNTIF(Mots!A:A,Liens!E1026)&gt;0,"✓ "&amp;Liens!E1026,"✗ "&amp;Liens!E1026&amp;" (introuvable)"))</f>
        <v>✓ v_jouer</v>
      </c>
      <c r="G1031" s="35" t="str">
        <f>IF(Liens!F1026="","",IF(COUNTIF(Mots!A:A,Liens!F1026)&gt;0,"✓ "&amp;Liens!F1026,"✗ "&amp;Liens!F1026&amp;" (introuvable)"))</f>
        <v>✓ v_chanter</v>
      </c>
      <c r="H1031" s="35" t="str">
        <f>IF(Liens!G1026="","",IF(COUNTIF(Mots!A:A,Liens!G1026)&gt;0,"✓ "&amp;Liens!G1026,"✗ "&amp;Liens!G1026&amp;" (introuvable)"))</f>
        <v>✓ v_crier</v>
      </c>
      <c r="I1031" s="35" t="str">
        <f>IF(Liens!H1026="","",IF(COUNTIF(Mots!A:A,Liens!H1026)&gt;0,"✓ "&amp;Liens!H1026,"✗ "&amp;Liens!H1026&amp;" (introuvable)"))</f>
        <v/>
      </c>
    </row>
    <row r="1032" spans="1:9" x14ac:dyDescent="0.3">
      <c r="A1032">
        <f t="shared" si="12"/>
        <v>1027</v>
      </c>
      <c r="B1032" s="35" t="str">
        <f>IF(Liens!A1027="","",IF(COUNTIF(Mots!A:A,Liens!A1027)&gt;0,"✓ "&amp;Liens!A1027,"✗ "&amp;Liens!A1027&amp;" (introuvable)"))</f>
        <v>✓ souliers</v>
      </c>
      <c r="C1032" s="35" t="str">
        <f>IF(Liens!B1027="","",IF(COUNTIF(Mots!A:A,Liens!B1027)&gt;0,"✓ "&amp;Liens!B1027,"✗ "&amp;Liens!B1027&amp;" (introuvable)"))</f>
        <v>✓ pied</v>
      </c>
      <c r="D1032" s="35" t="str">
        <f>IF(Liens!C1027="","",IF(COUNTIF(Mots!A:A,Liens!C1027)&gt;0,"✓ "&amp;Liens!C1027,"✗ "&amp;Liens!C1027&amp;" (introuvable)"))</f>
        <v>✓ lacet</v>
      </c>
      <c r="E1032" s="35" t="str">
        <f>IF(Liens!D1027="","",IF(COUNTIF(Mots!A:A,Liens!D1027)&gt;0,"✓ "&amp;Liens!D1027,"✗ "&amp;Liens!D1027&amp;" (introuvable)"))</f>
        <v>✓ semelle</v>
      </c>
      <c r="F1032" s="35" t="str">
        <f>IF(Liens!E1027="","",IF(COUNTIF(Mots!A:A,Liens!E1027)&gt;0,"✓ "&amp;Liens!E1027,"✗ "&amp;Liens!E1027&amp;" (introuvable)"))</f>
        <v>✓ bas</v>
      </c>
      <c r="G1032" s="35" t="str">
        <f>IF(Liens!F1027="","",IF(COUNTIF(Mots!A:A,Liens!F1027)&gt;0,"✓ "&amp;Liens!F1027,"✗ "&amp;Liens!F1027&amp;" (introuvable)"))</f>
        <v>✓ v_marcher</v>
      </c>
      <c r="H1032" s="35" t="str">
        <f>IF(Liens!G1027="","",IF(COUNTIF(Mots!A:A,Liens!G1027)&gt;0,"✓ "&amp;Liens!G1027,"✗ "&amp;Liens!G1027&amp;" (introuvable)"))</f>
        <v>✓ v_courir</v>
      </c>
      <c r="I1032" s="35" t="str">
        <f>IF(Liens!H1027="","",IF(COUNTIF(Mots!A:A,Liens!H1027)&gt;0,"✓ "&amp;Liens!H1027,"✗ "&amp;Liens!H1027&amp;" (introuvable)"))</f>
        <v>✓ randonnee</v>
      </c>
    </row>
    <row r="1033" spans="1:9" x14ac:dyDescent="0.3">
      <c r="A1033">
        <f t="shared" si="12"/>
        <v>1028</v>
      </c>
      <c r="B1033" s="35" t="str">
        <f>IF(Liens!A1028="","",IF(COUNTIF(Mots!A:A,Liens!A1028)&gt;0,"✓ "&amp;Liens!A1028,"✗ "&amp;Liens!A1028&amp;" (introuvable)"))</f>
        <v>✓ lacet</v>
      </c>
      <c r="C1033" s="35" t="str">
        <f>IF(Liens!B1028="","",IF(COUNTIF(Mots!A:A,Liens!B1028)&gt;0,"✓ "&amp;Liens!B1028,"✗ "&amp;Liens!B1028&amp;" (introuvable)"))</f>
        <v>✓ souliers</v>
      </c>
      <c r="D1033" s="35" t="str">
        <f>IF(Liens!C1028="","",IF(COUNTIF(Mots!A:A,Liens!C1028)&gt;0,"✓ "&amp;Liens!C1028,"✗ "&amp;Liens!C1028&amp;" (introuvable)"))</f>
        <v/>
      </c>
      <c r="E1033" s="35" t="str">
        <f>IF(Liens!D1028="","",IF(COUNTIF(Mots!A:A,Liens!D1028)&gt;0,"✓ "&amp;Liens!D1028,"✗ "&amp;Liens!D1028&amp;" (introuvable)"))</f>
        <v/>
      </c>
      <c r="F1033" s="35" t="str">
        <f>IF(Liens!E1028="","",IF(COUNTIF(Mots!A:A,Liens!E1028)&gt;0,"✓ "&amp;Liens!E1028,"✗ "&amp;Liens!E1028&amp;" (introuvable)"))</f>
        <v/>
      </c>
      <c r="G1033" s="35" t="str">
        <f>IF(Liens!F1028="","",IF(COUNTIF(Mots!A:A,Liens!F1028)&gt;0,"✓ "&amp;Liens!F1028,"✗ "&amp;Liens!F1028&amp;" (introuvable)"))</f>
        <v/>
      </c>
      <c r="H1033" s="35" t="str">
        <f>IF(Liens!G1028="","",IF(COUNTIF(Mots!A:A,Liens!G1028)&gt;0,"✓ "&amp;Liens!G1028,"✗ "&amp;Liens!G1028&amp;" (introuvable)"))</f>
        <v/>
      </c>
      <c r="I1033" s="35" t="str">
        <f>IF(Liens!H1028="","",IF(COUNTIF(Mots!A:A,Liens!H1028)&gt;0,"✓ "&amp;Liens!H1028,"✗ "&amp;Liens!H1028&amp;" (introuvable)"))</f>
        <v/>
      </c>
    </row>
    <row r="1034" spans="1:9" x14ac:dyDescent="0.3">
      <c r="A1034">
        <f t="shared" si="12"/>
        <v>1029</v>
      </c>
      <c r="B1034" s="35" t="str">
        <f>IF(Liens!A1029="","",IF(COUNTIF(Mots!A:A,Liens!A1029)&gt;0,"✓ "&amp;Liens!A1029,"✗ "&amp;Liens!A1029&amp;" (introuvable)"))</f>
        <v>✓ ordinateur</v>
      </c>
      <c r="C1034" s="35" t="str">
        <f>IF(Liens!B1029="","",IF(COUNTIF(Mots!A:A,Liens!B1029)&gt;0,"✓ "&amp;Liens!B1029,"✗ "&amp;Liens!B1029&amp;" (introuvable)"))</f>
        <v>✓ bureau_piece</v>
      </c>
      <c r="D1034" s="35" t="str">
        <f>IF(Liens!C1029="","",IF(COUNTIF(Mots!A:A,Liens!C1029)&gt;0,"✓ "&amp;Liens!C1029,"✗ "&amp;Liens!C1029&amp;" (introuvable)"))</f>
        <v>✓ imprimante</v>
      </c>
      <c r="E1034" s="35" t="str">
        <f>IF(Liens!D1029="","",IF(COUNTIF(Mots!A:A,Liens!D1029)&gt;0,"✓ "&amp;Liens!D1029,"✗ "&amp;Liens!D1029&amp;" (introuvable)"))</f>
        <v>✓ m_bureau</v>
      </c>
      <c r="F1034" s="35" t="str">
        <f>IF(Liens!E1029="","",IF(COUNTIF(Mots!A:A,Liens!E1029)&gt;0,"✓ "&amp;Liens!E1029,"✗ "&amp;Liens!E1029&amp;" (introuvable)"))</f>
        <v>✓ lettre</v>
      </c>
      <c r="G1034" s="35" t="str">
        <f>IF(Liens!F1029="","",IF(COUNTIF(Mots!A:A,Liens!F1029)&gt;0,"✓ "&amp;Liens!F1029,"✗ "&amp;Liens!F1029&amp;" (introuvable)"))</f>
        <v>✓ facture</v>
      </c>
      <c r="H1034" s="35" t="str">
        <f>IF(Liens!G1029="","",IF(COUNTIF(Mots!A:A,Liens!G1029)&gt;0,"✓ "&amp;Liens!G1029,"✗ "&amp;Liens!G1029&amp;" (introuvable)"))</f>
        <v>✓ chaise</v>
      </c>
      <c r="I1034" s="35" t="str">
        <f>IF(Liens!H1029="","",IF(COUNTIF(Mots!A:A,Liens!H1029)&gt;0,"✓ "&amp;Liens!H1029,"✗ "&amp;Liens!H1029&amp;" (introuvable)"))</f>
        <v/>
      </c>
    </row>
    <row r="1035" spans="1:9" x14ac:dyDescent="0.3">
      <c r="A1035">
        <f t="shared" si="12"/>
        <v>1030</v>
      </c>
      <c r="B1035" s="35" t="str">
        <f>IF(Liens!A1030="","",IF(COUNTIF(Mots!A:A,Liens!A1030)&gt;0,"✓ "&amp;Liens!A1030,"✗ "&amp;Liens!A1030&amp;" (introuvable)"))</f>
        <v>✓ imprimante</v>
      </c>
      <c r="C1035" s="35" t="str">
        <f>IF(Liens!B1030="","",IF(COUNTIF(Mots!A:A,Liens!B1030)&gt;0,"✓ "&amp;Liens!B1030,"✗ "&amp;Liens!B1030&amp;" (introuvable)"))</f>
        <v>✓ ordinateur</v>
      </c>
      <c r="D1035" s="35" t="str">
        <f>IF(Liens!C1030="","",IF(COUNTIF(Mots!A:A,Liens!C1030)&gt;0,"✓ "&amp;Liens!C1030,"✗ "&amp;Liens!C1030&amp;" (introuvable)"))</f>
        <v>✓ lettre</v>
      </c>
      <c r="E1035" s="35" t="str">
        <f>IF(Liens!D1030="","",IF(COUNTIF(Mots!A:A,Liens!D1030)&gt;0,"✓ "&amp;Liens!D1030,"✗ "&amp;Liens!D1030&amp;" (introuvable)"))</f>
        <v>✓ facture</v>
      </c>
      <c r="F1035" s="35" t="str">
        <f>IF(Liens!E1030="","",IF(COUNTIF(Mots!A:A,Liens!E1030)&gt;0,"✓ "&amp;Liens!E1030,"✗ "&amp;Liens!E1030&amp;" (introuvable)"))</f>
        <v>✓ m_bureau</v>
      </c>
      <c r="G1035" s="35" t="str">
        <f>IF(Liens!F1030="","",IF(COUNTIF(Mots!A:A,Liens!F1030)&gt;0,"✓ "&amp;Liens!F1030,"✗ "&amp;Liens!F1030&amp;" (introuvable)"))</f>
        <v>✓ bureau_piece</v>
      </c>
      <c r="H1035" s="35" t="str">
        <f>IF(Liens!G1030="","",IF(COUNTIF(Mots!A:A,Liens!G1030)&gt;0,"✓ "&amp;Liens!G1030,"✗ "&amp;Liens!G1030&amp;" (introuvable)"))</f>
        <v/>
      </c>
      <c r="I1035" s="35" t="str">
        <f>IF(Liens!H1030="","",IF(COUNTIF(Mots!A:A,Liens!H1030)&gt;0,"✓ "&amp;Liens!H1030,"✗ "&amp;Liens!H1030&amp;" (introuvable)"))</f>
        <v/>
      </c>
    </row>
    <row r="1036" spans="1:9" x14ac:dyDescent="0.3">
      <c r="A1036">
        <f t="shared" si="12"/>
        <v>1031</v>
      </c>
      <c r="B1036" s="35" t="str">
        <f>IF(Liens!A1031="","",IF(COUNTIF(Mots!A:A,Liens!A1031)&gt;0,"✓ "&amp;Liens!A1031,"✗ "&amp;Liens!A1031&amp;" (introuvable)"))</f>
        <v/>
      </c>
      <c r="C1036" s="35" t="str">
        <f>IF(Liens!B1031="","",IF(COUNTIF(Mots!A:A,Liens!B1031)&gt;0,"✓ "&amp;Liens!B1031,"✗ "&amp;Liens!B1031&amp;" (introuvable)"))</f>
        <v/>
      </c>
      <c r="D1036" s="35" t="str">
        <f>IF(Liens!C1031="","",IF(COUNTIF(Mots!A:A,Liens!C1031)&gt;0,"✓ "&amp;Liens!C1031,"✗ "&amp;Liens!C1031&amp;" (introuvable)"))</f>
        <v/>
      </c>
      <c r="E1036" s="35" t="str">
        <f>IF(Liens!D1031="","",IF(COUNTIF(Mots!A:A,Liens!D1031)&gt;0,"✓ "&amp;Liens!D1031,"✗ "&amp;Liens!D1031&amp;" (introuvable)"))</f>
        <v/>
      </c>
      <c r="F1036" s="35" t="str">
        <f>IF(Liens!E1031="","",IF(COUNTIF(Mots!A:A,Liens!E1031)&gt;0,"✓ "&amp;Liens!E1031,"✗ "&amp;Liens!E1031&amp;" (introuvable)"))</f>
        <v/>
      </c>
      <c r="G1036" s="35" t="str">
        <f>IF(Liens!F1031="","",IF(COUNTIF(Mots!A:A,Liens!F1031)&gt;0,"✓ "&amp;Liens!F1031,"✗ "&amp;Liens!F1031&amp;" (introuvable)"))</f>
        <v/>
      </c>
      <c r="H1036" s="35" t="str">
        <f>IF(Liens!G1031="","",IF(COUNTIF(Mots!A:A,Liens!G1031)&gt;0,"✓ "&amp;Liens!G1031,"✗ "&amp;Liens!G1031&amp;" (introuvable)"))</f>
        <v/>
      </c>
      <c r="I1036" s="35" t="str">
        <f>IF(Liens!H1031="","",IF(COUNTIF(Mots!A:A,Liens!H1031)&gt;0,"✓ "&amp;Liens!H1031,"✗ "&amp;Liens!H1031&amp;" (introuvable)"))</f>
        <v/>
      </c>
    </row>
    <row r="1037" spans="1:9" x14ac:dyDescent="0.3">
      <c r="A1037">
        <f t="shared" si="12"/>
        <v>1032</v>
      </c>
      <c r="B1037" s="35" t="str">
        <f>IF(Liens!A1032="","",IF(COUNTIF(Mots!A:A,Liens!A1032)&gt;0,"✓ "&amp;Liens!A1032,"✗ "&amp;Liens!A1032&amp;" (introuvable)"))</f>
        <v/>
      </c>
      <c r="C1037" s="35" t="str">
        <f>IF(Liens!B1032="","",IF(COUNTIF(Mots!A:A,Liens!B1032)&gt;0,"✓ "&amp;Liens!B1032,"✗ "&amp;Liens!B1032&amp;" (introuvable)"))</f>
        <v/>
      </c>
      <c r="D1037" s="35" t="str">
        <f>IF(Liens!C1032="","",IF(COUNTIF(Mots!A:A,Liens!C1032)&gt;0,"✓ "&amp;Liens!C1032,"✗ "&amp;Liens!C1032&amp;" (introuvable)"))</f>
        <v/>
      </c>
      <c r="E1037" s="35" t="str">
        <f>IF(Liens!D1032="","",IF(COUNTIF(Mots!A:A,Liens!D1032)&gt;0,"✓ "&amp;Liens!D1032,"✗ "&amp;Liens!D1032&amp;" (introuvable)"))</f>
        <v/>
      </c>
      <c r="F1037" s="35" t="str">
        <f>IF(Liens!E1032="","",IF(COUNTIF(Mots!A:A,Liens!E1032)&gt;0,"✓ "&amp;Liens!E1032,"✗ "&amp;Liens!E1032&amp;" (introuvable)"))</f>
        <v/>
      </c>
      <c r="G1037" s="35" t="str">
        <f>IF(Liens!F1032="","",IF(COUNTIF(Mots!A:A,Liens!F1032)&gt;0,"✓ "&amp;Liens!F1032,"✗ "&amp;Liens!F1032&amp;" (introuvable)"))</f>
        <v/>
      </c>
      <c r="H1037" s="35" t="str">
        <f>IF(Liens!G1032="","",IF(COUNTIF(Mots!A:A,Liens!G1032)&gt;0,"✓ "&amp;Liens!G1032,"✗ "&amp;Liens!G1032&amp;" (introuvable)"))</f>
        <v/>
      </c>
      <c r="I1037" s="35" t="str">
        <f>IF(Liens!H1032="","",IF(COUNTIF(Mots!A:A,Liens!H1032)&gt;0,"✓ "&amp;Liens!H1032,"✗ "&amp;Liens!H1032&amp;" (introuvable)"))</f>
        <v/>
      </c>
    </row>
    <row r="1038" spans="1:9" x14ac:dyDescent="0.3">
      <c r="A1038">
        <f t="shared" si="12"/>
        <v>1033</v>
      </c>
      <c r="B1038" s="35" t="str">
        <f>IF(Liens!A1033="","",IF(COUNTIF(Mots!A:A,Liens!A1033)&gt;0,"✓ "&amp;Liens!A1033,"✗ "&amp;Liens!A1033&amp;" (introuvable)"))</f>
        <v/>
      </c>
      <c r="C1038" s="35" t="str">
        <f>IF(Liens!B1033="","",IF(COUNTIF(Mots!A:A,Liens!B1033)&gt;0,"✓ "&amp;Liens!B1033,"✗ "&amp;Liens!B1033&amp;" (introuvable)"))</f>
        <v/>
      </c>
      <c r="D1038" s="35" t="str">
        <f>IF(Liens!C1033="","",IF(COUNTIF(Mots!A:A,Liens!C1033)&gt;0,"✓ "&amp;Liens!C1033,"✗ "&amp;Liens!C1033&amp;" (introuvable)"))</f>
        <v/>
      </c>
      <c r="E1038" s="35" t="str">
        <f>IF(Liens!D1033="","",IF(COUNTIF(Mots!A:A,Liens!D1033)&gt;0,"✓ "&amp;Liens!D1033,"✗ "&amp;Liens!D1033&amp;" (introuvable)"))</f>
        <v/>
      </c>
      <c r="F1038" s="35" t="str">
        <f>IF(Liens!E1033="","",IF(COUNTIF(Mots!A:A,Liens!E1033)&gt;0,"✓ "&amp;Liens!E1033,"✗ "&amp;Liens!E1033&amp;" (introuvable)"))</f>
        <v/>
      </c>
      <c r="G1038" s="35" t="str">
        <f>IF(Liens!F1033="","",IF(COUNTIF(Mots!A:A,Liens!F1033)&gt;0,"✓ "&amp;Liens!F1033,"✗ "&amp;Liens!F1033&amp;" (introuvable)"))</f>
        <v/>
      </c>
      <c r="H1038" s="35" t="str">
        <f>IF(Liens!G1033="","",IF(COUNTIF(Mots!A:A,Liens!G1033)&gt;0,"✓ "&amp;Liens!G1033,"✗ "&amp;Liens!G1033&amp;" (introuvable)"))</f>
        <v/>
      </c>
      <c r="I1038" s="35" t="str">
        <f>IF(Liens!H1033="","",IF(COUNTIF(Mots!A:A,Liens!H1033)&gt;0,"✓ "&amp;Liens!H1033,"✗ "&amp;Liens!H1033&amp;" (introuvable)"))</f>
        <v/>
      </c>
    </row>
    <row r="1039" spans="1:9" x14ac:dyDescent="0.3">
      <c r="A1039">
        <f t="shared" ref="A1039:A1058" si="13">A1038+1</f>
        <v>1034</v>
      </c>
      <c r="B1039" s="35" t="str">
        <f>IF(Liens!A1034="","",IF(COUNTIF(Mots!A:A,Liens!A1034)&gt;0,"✓ "&amp;Liens!A1034,"✗ "&amp;Liens!A1034&amp;" (introuvable)"))</f>
        <v/>
      </c>
      <c r="C1039" s="35" t="str">
        <f>IF(Liens!B1034="","",IF(COUNTIF(Mots!A:A,Liens!B1034)&gt;0,"✓ "&amp;Liens!B1034,"✗ "&amp;Liens!B1034&amp;" (introuvable)"))</f>
        <v/>
      </c>
      <c r="D1039" s="35" t="str">
        <f>IF(Liens!C1034="","",IF(COUNTIF(Mots!A:A,Liens!C1034)&gt;0,"✓ "&amp;Liens!C1034,"✗ "&amp;Liens!C1034&amp;" (introuvable)"))</f>
        <v/>
      </c>
      <c r="E1039" s="35" t="str">
        <f>IF(Liens!D1034="","",IF(COUNTIF(Mots!A:A,Liens!D1034)&gt;0,"✓ "&amp;Liens!D1034,"✗ "&amp;Liens!D1034&amp;" (introuvable)"))</f>
        <v/>
      </c>
      <c r="F1039" s="35" t="str">
        <f>IF(Liens!E1034="","",IF(COUNTIF(Mots!A:A,Liens!E1034)&gt;0,"✓ "&amp;Liens!E1034,"✗ "&amp;Liens!E1034&amp;" (introuvable)"))</f>
        <v/>
      </c>
      <c r="G1039" s="35" t="str">
        <f>IF(Liens!F1034="","",IF(COUNTIF(Mots!A:A,Liens!F1034)&gt;0,"✓ "&amp;Liens!F1034,"✗ "&amp;Liens!F1034&amp;" (introuvable)"))</f>
        <v/>
      </c>
      <c r="H1039" s="35" t="str">
        <f>IF(Liens!G1034="","",IF(COUNTIF(Mots!A:A,Liens!G1034)&gt;0,"✓ "&amp;Liens!G1034,"✗ "&amp;Liens!G1034&amp;" (introuvable)"))</f>
        <v/>
      </c>
      <c r="I1039" s="35" t="str">
        <f>IF(Liens!H1034="","",IF(COUNTIF(Mots!A:A,Liens!H1034)&gt;0,"✓ "&amp;Liens!H1034,"✗ "&amp;Liens!H1034&amp;" (introuvable)"))</f>
        <v/>
      </c>
    </row>
    <row r="1040" spans="1:9" x14ac:dyDescent="0.3">
      <c r="A1040">
        <f t="shared" si="13"/>
        <v>1035</v>
      </c>
      <c r="B1040" s="35" t="str">
        <f>IF(Liens!A1035="","",IF(COUNTIF(Mots!A:A,Liens!A1035)&gt;0,"✓ "&amp;Liens!A1035,"✗ "&amp;Liens!A1035&amp;" (introuvable)"))</f>
        <v/>
      </c>
      <c r="C1040" s="35" t="str">
        <f>IF(Liens!B1035="","",IF(COUNTIF(Mots!A:A,Liens!B1035)&gt;0,"✓ "&amp;Liens!B1035,"✗ "&amp;Liens!B1035&amp;" (introuvable)"))</f>
        <v/>
      </c>
      <c r="D1040" s="35" t="str">
        <f>IF(Liens!C1035="","",IF(COUNTIF(Mots!A:A,Liens!C1035)&gt;0,"✓ "&amp;Liens!C1035,"✗ "&amp;Liens!C1035&amp;" (introuvable)"))</f>
        <v/>
      </c>
      <c r="E1040" s="35" t="str">
        <f>IF(Liens!D1035="","",IF(COUNTIF(Mots!A:A,Liens!D1035)&gt;0,"✓ "&amp;Liens!D1035,"✗ "&amp;Liens!D1035&amp;" (introuvable)"))</f>
        <v/>
      </c>
      <c r="F1040" s="35" t="str">
        <f>IF(Liens!E1035="","",IF(COUNTIF(Mots!A:A,Liens!E1035)&gt;0,"✓ "&amp;Liens!E1035,"✗ "&amp;Liens!E1035&amp;" (introuvable)"))</f>
        <v/>
      </c>
      <c r="G1040" s="35" t="str">
        <f>IF(Liens!F1035="","",IF(COUNTIF(Mots!A:A,Liens!F1035)&gt;0,"✓ "&amp;Liens!F1035,"✗ "&amp;Liens!F1035&amp;" (introuvable)"))</f>
        <v/>
      </c>
      <c r="H1040" s="35" t="str">
        <f>IF(Liens!G1035="","",IF(COUNTIF(Mots!A:A,Liens!G1035)&gt;0,"✓ "&amp;Liens!G1035,"✗ "&amp;Liens!G1035&amp;" (introuvable)"))</f>
        <v/>
      </c>
      <c r="I1040" s="35" t="str">
        <f>IF(Liens!H1035="","",IF(COUNTIF(Mots!A:A,Liens!H1035)&gt;0,"✓ "&amp;Liens!H1035,"✗ "&amp;Liens!H1035&amp;" (introuvable)"))</f>
        <v/>
      </c>
    </row>
    <row r="1041" spans="1:9" x14ac:dyDescent="0.3">
      <c r="A1041">
        <f t="shared" si="13"/>
        <v>1036</v>
      </c>
      <c r="B1041" s="35" t="str">
        <f>IF(Liens!A1036="","",IF(COUNTIF(Mots!A:A,Liens!A1036)&gt;0,"✓ "&amp;Liens!A1036,"✗ "&amp;Liens!A1036&amp;" (introuvable)"))</f>
        <v/>
      </c>
      <c r="C1041" s="35" t="str">
        <f>IF(Liens!B1036="","",IF(COUNTIF(Mots!A:A,Liens!B1036)&gt;0,"✓ "&amp;Liens!B1036,"✗ "&amp;Liens!B1036&amp;" (introuvable)"))</f>
        <v/>
      </c>
      <c r="D1041" s="35" t="str">
        <f>IF(Liens!C1036="","",IF(COUNTIF(Mots!A:A,Liens!C1036)&gt;0,"✓ "&amp;Liens!C1036,"✗ "&amp;Liens!C1036&amp;" (introuvable)"))</f>
        <v/>
      </c>
      <c r="E1041" s="35" t="str">
        <f>IF(Liens!D1036="","",IF(COUNTIF(Mots!A:A,Liens!D1036)&gt;0,"✓ "&amp;Liens!D1036,"✗ "&amp;Liens!D1036&amp;" (introuvable)"))</f>
        <v/>
      </c>
      <c r="F1041" s="35" t="str">
        <f>IF(Liens!E1036="","",IF(COUNTIF(Mots!A:A,Liens!E1036)&gt;0,"✓ "&amp;Liens!E1036,"✗ "&amp;Liens!E1036&amp;" (introuvable)"))</f>
        <v/>
      </c>
      <c r="G1041" s="35" t="str">
        <f>IF(Liens!F1036="","",IF(COUNTIF(Mots!A:A,Liens!F1036)&gt;0,"✓ "&amp;Liens!F1036,"✗ "&amp;Liens!F1036&amp;" (introuvable)"))</f>
        <v/>
      </c>
      <c r="H1041" s="35" t="str">
        <f>IF(Liens!G1036="","",IF(COUNTIF(Mots!A:A,Liens!G1036)&gt;0,"✓ "&amp;Liens!G1036,"✗ "&amp;Liens!G1036&amp;" (introuvable)"))</f>
        <v/>
      </c>
      <c r="I1041" s="35" t="str">
        <f>IF(Liens!H1036="","",IF(COUNTIF(Mots!A:A,Liens!H1036)&gt;0,"✓ "&amp;Liens!H1036,"✗ "&amp;Liens!H1036&amp;" (introuvable)"))</f>
        <v/>
      </c>
    </row>
    <row r="1042" spans="1:9" x14ac:dyDescent="0.3">
      <c r="A1042">
        <f t="shared" si="13"/>
        <v>1037</v>
      </c>
      <c r="B1042" s="35" t="str">
        <f>IF(Liens!A1037="","",IF(COUNTIF(Mots!A:A,Liens!A1037)&gt;0,"✓ "&amp;Liens!A1037,"✗ "&amp;Liens!A1037&amp;" (introuvable)"))</f>
        <v/>
      </c>
      <c r="C1042" s="35" t="str">
        <f>IF(Liens!B1037="","",IF(COUNTIF(Mots!A:A,Liens!B1037)&gt;0,"✓ "&amp;Liens!B1037,"✗ "&amp;Liens!B1037&amp;" (introuvable)"))</f>
        <v/>
      </c>
      <c r="D1042" s="35" t="str">
        <f>IF(Liens!C1037="","",IF(COUNTIF(Mots!A:A,Liens!C1037)&gt;0,"✓ "&amp;Liens!C1037,"✗ "&amp;Liens!C1037&amp;" (introuvable)"))</f>
        <v/>
      </c>
      <c r="E1042" s="35" t="str">
        <f>IF(Liens!D1037="","",IF(COUNTIF(Mots!A:A,Liens!D1037)&gt;0,"✓ "&amp;Liens!D1037,"✗ "&amp;Liens!D1037&amp;" (introuvable)"))</f>
        <v/>
      </c>
      <c r="F1042" s="35" t="str">
        <f>IF(Liens!E1037="","",IF(COUNTIF(Mots!A:A,Liens!E1037)&gt;0,"✓ "&amp;Liens!E1037,"✗ "&amp;Liens!E1037&amp;" (introuvable)"))</f>
        <v/>
      </c>
      <c r="G1042" s="35" t="str">
        <f>IF(Liens!F1037="","",IF(COUNTIF(Mots!A:A,Liens!F1037)&gt;0,"✓ "&amp;Liens!F1037,"✗ "&amp;Liens!F1037&amp;" (introuvable)"))</f>
        <v/>
      </c>
      <c r="H1042" s="35" t="str">
        <f>IF(Liens!G1037="","",IF(COUNTIF(Mots!A:A,Liens!G1037)&gt;0,"✓ "&amp;Liens!G1037,"✗ "&amp;Liens!G1037&amp;" (introuvable)"))</f>
        <v/>
      </c>
      <c r="I1042" s="35" t="str">
        <f>IF(Liens!H1037="","",IF(COUNTIF(Mots!A:A,Liens!H1037)&gt;0,"✓ "&amp;Liens!H1037,"✗ "&amp;Liens!H1037&amp;" (introuvable)"))</f>
        <v/>
      </c>
    </row>
    <row r="1043" spans="1:9" x14ac:dyDescent="0.3">
      <c r="A1043">
        <f t="shared" si="13"/>
        <v>1038</v>
      </c>
      <c r="B1043" s="35" t="str">
        <f>IF(Liens!A1038="","",IF(COUNTIF(Mots!A:A,Liens!A1038)&gt;0,"✓ "&amp;Liens!A1038,"✗ "&amp;Liens!A1038&amp;" (introuvable)"))</f>
        <v/>
      </c>
      <c r="C1043" s="35" t="str">
        <f>IF(Liens!B1038="","",IF(COUNTIF(Mots!A:A,Liens!B1038)&gt;0,"✓ "&amp;Liens!B1038,"✗ "&amp;Liens!B1038&amp;" (introuvable)"))</f>
        <v/>
      </c>
      <c r="D1043" s="35" t="str">
        <f>IF(Liens!C1038="","",IF(COUNTIF(Mots!A:A,Liens!C1038)&gt;0,"✓ "&amp;Liens!C1038,"✗ "&amp;Liens!C1038&amp;" (introuvable)"))</f>
        <v/>
      </c>
      <c r="E1043" s="35" t="str">
        <f>IF(Liens!D1038="","",IF(COUNTIF(Mots!A:A,Liens!D1038)&gt;0,"✓ "&amp;Liens!D1038,"✗ "&amp;Liens!D1038&amp;" (introuvable)"))</f>
        <v/>
      </c>
      <c r="F1043" s="35" t="str">
        <f>IF(Liens!E1038="","",IF(COUNTIF(Mots!A:A,Liens!E1038)&gt;0,"✓ "&amp;Liens!E1038,"✗ "&amp;Liens!E1038&amp;" (introuvable)"))</f>
        <v/>
      </c>
      <c r="G1043" s="35" t="str">
        <f>IF(Liens!F1038="","",IF(COUNTIF(Mots!A:A,Liens!F1038)&gt;0,"✓ "&amp;Liens!F1038,"✗ "&amp;Liens!F1038&amp;" (introuvable)"))</f>
        <v/>
      </c>
      <c r="H1043" s="35" t="str">
        <f>IF(Liens!G1038="","",IF(COUNTIF(Mots!A:A,Liens!G1038)&gt;0,"✓ "&amp;Liens!G1038,"✗ "&amp;Liens!G1038&amp;" (introuvable)"))</f>
        <v/>
      </c>
      <c r="I1043" s="35" t="str">
        <f>IF(Liens!H1038="","",IF(COUNTIF(Mots!A:A,Liens!H1038)&gt;0,"✓ "&amp;Liens!H1038,"✗ "&amp;Liens!H1038&amp;" (introuvable)"))</f>
        <v/>
      </c>
    </row>
    <row r="1044" spans="1:9" x14ac:dyDescent="0.3">
      <c r="A1044">
        <f t="shared" si="13"/>
        <v>1039</v>
      </c>
      <c r="B1044" s="35" t="str">
        <f>IF(Liens!A1039="","",IF(COUNTIF(Mots!A:A,Liens!A1039)&gt;0,"✓ "&amp;Liens!A1039,"✗ "&amp;Liens!A1039&amp;" (introuvable)"))</f>
        <v/>
      </c>
      <c r="C1044" s="35" t="str">
        <f>IF(Liens!B1039="","",IF(COUNTIF(Mots!A:A,Liens!B1039)&gt;0,"✓ "&amp;Liens!B1039,"✗ "&amp;Liens!B1039&amp;" (introuvable)"))</f>
        <v/>
      </c>
      <c r="D1044" s="35" t="str">
        <f>IF(Liens!C1039="","",IF(COUNTIF(Mots!A:A,Liens!C1039)&gt;0,"✓ "&amp;Liens!C1039,"✗ "&amp;Liens!C1039&amp;" (introuvable)"))</f>
        <v/>
      </c>
      <c r="E1044" s="35" t="str">
        <f>IF(Liens!D1039="","",IF(COUNTIF(Mots!A:A,Liens!D1039)&gt;0,"✓ "&amp;Liens!D1039,"✗ "&amp;Liens!D1039&amp;" (introuvable)"))</f>
        <v/>
      </c>
      <c r="F1044" s="35" t="str">
        <f>IF(Liens!E1039="","",IF(COUNTIF(Mots!A:A,Liens!E1039)&gt;0,"✓ "&amp;Liens!E1039,"✗ "&amp;Liens!E1039&amp;" (introuvable)"))</f>
        <v/>
      </c>
      <c r="G1044" s="35" t="str">
        <f>IF(Liens!F1039="","",IF(COUNTIF(Mots!A:A,Liens!F1039)&gt;0,"✓ "&amp;Liens!F1039,"✗ "&amp;Liens!F1039&amp;" (introuvable)"))</f>
        <v/>
      </c>
      <c r="H1044" s="35" t="str">
        <f>IF(Liens!G1039="","",IF(COUNTIF(Mots!A:A,Liens!G1039)&gt;0,"✓ "&amp;Liens!G1039,"✗ "&amp;Liens!G1039&amp;" (introuvable)"))</f>
        <v/>
      </c>
      <c r="I1044" s="35" t="str">
        <f>IF(Liens!H1039="","",IF(COUNTIF(Mots!A:A,Liens!H1039)&gt;0,"✓ "&amp;Liens!H1039,"✗ "&amp;Liens!H1039&amp;" (introuvable)"))</f>
        <v/>
      </c>
    </row>
    <row r="1045" spans="1:9" x14ac:dyDescent="0.3">
      <c r="A1045">
        <f t="shared" si="13"/>
        <v>1040</v>
      </c>
      <c r="B1045" s="35" t="str">
        <f>IF(Liens!A1040="","",IF(COUNTIF(Mots!A:A,Liens!A1040)&gt;0,"✓ "&amp;Liens!A1040,"✗ "&amp;Liens!A1040&amp;" (introuvable)"))</f>
        <v/>
      </c>
      <c r="C1045" s="35" t="str">
        <f>IF(Liens!B1040="","",IF(COUNTIF(Mots!A:A,Liens!B1040)&gt;0,"✓ "&amp;Liens!B1040,"✗ "&amp;Liens!B1040&amp;" (introuvable)"))</f>
        <v/>
      </c>
      <c r="D1045" s="35" t="str">
        <f>IF(Liens!C1040="","",IF(COUNTIF(Mots!A:A,Liens!C1040)&gt;0,"✓ "&amp;Liens!C1040,"✗ "&amp;Liens!C1040&amp;" (introuvable)"))</f>
        <v/>
      </c>
      <c r="E1045" s="35" t="str">
        <f>IF(Liens!D1040="","",IF(COUNTIF(Mots!A:A,Liens!D1040)&gt;0,"✓ "&amp;Liens!D1040,"✗ "&amp;Liens!D1040&amp;" (introuvable)"))</f>
        <v/>
      </c>
      <c r="F1045" s="35" t="str">
        <f>IF(Liens!E1040="","",IF(COUNTIF(Mots!A:A,Liens!E1040)&gt;0,"✓ "&amp;Liens!E1040,"✗ "&amp;Liens!E1040&amp;" (introuvable)"))</f>
        <v/>
      </c>
      <c r="G1045" s="35" t="str">
        <f>IF(Liens!F1040="","",IF(COUNTIF(Mots!A:A,Liens!F1040)&gt;0,"✓ "&amp;Liens!F1040,"✗ "&amp;Liens!F1040&amp;" (introuvable)"))</f>
        <v/>
      </c>
      <c r="H1045" s="35" t="str">
        <f>IF(Liens!G1040="","",IF(COUNTIF(Mots!A:A,Liens!G1040)&gt;0,"✓ "&amp;Liens!G1040,"✗ "&amp;Liens!G1040&amp;" (introuvable)"))</f>
        <v/>
      </c>
      <c r="I1045" s="35" t="str">
        <f>IF(Liens!H1040="","",IF(COUNTIF(Mots!A:A,Liens!H1040)&gt;0,"✓ "&amp;Liens!H1040,"✗ "&amp;Liens!H1040&amp;" (introuvable)"))</f>
        <v/>
      </c>
    </row>
    <row r="1046" spans="1:9" x14ac:dyDescent="0.3">
      <c r="A1046">
        <f t="shared" si="13"/>
        <v>1041</v>
      </c>
      <c r="B1046" s="35" t="str">
        <f>IF(Liens!A1041="","",IF(COUNTIF(Mots!A:A,Liens!A1041)&gt;0,"✓ "&amp;Liens!A1041,"✗ "&amp;Liens!A1041&amp;" (introuvable)"))</f>
        <v/>
      </c>
      <c r="C1046" s="35" t="str">
        <f>IF(Liens!B1041="","",IF(COUNTIF(Mots!A:A,Liens!B1041)&gt;0,"✓ "&amp;Liens!B1041,"✗ "&amp;Liens!B1041&amp;" (introuvable)"))</f>
        <v/>
      </c>
      <c r="D1046" s="35" t="str">
        <f>IF(Liens!C1041="","",IF(COUNTIF(Mots!A:A,Liens!C1041)&gt;0,"✓ "&amp;Liens!C1041,"✗ "&amp;Liens!C1041&amp;" (introuvable)"))</f>
        <v/>
      </c>
      <c r="E1046" s="35" t="str">
        <f>IF(Liens!D1041="","",IF(COUNTIF(Mots!A:A,Liens!D1041)&gt;0,"✓ "&amp;Liens!D1041,"✗ "&amp;Liens!D1041&amp;" (introuvable)"))</f>
        <v/>
      </c>
      <c r="F1046" s="35" t="str">
        <f>IF(Liens!E1041="","",IF(COUNTIF(Mots!A:A,Liens!E1041)&gt;0,"✓ "&amp;Liens!E1041,"✗ "&amp;Liens!E1041&amp;" (introuvable)"))</f>
        <v/>
      </c>
      <c r="G1046" s="35" t="str">
        <f>IF(Liens!F1041="","",IF(COUNTIF(Mots!A:A,Liens!F1041)&gt;0,"✓ "&amp;Liens!F1041,"✗ "&amp;Liens!F1041&amp;" (introuvable)"))</f>
        <v/>
      </c>
      <c r="H1046" s="35" t="str">
        <f>IF(Liens!G1041="","",IF(COUNTIF(Mots!A:A,Liens!G1041)&gt;0,"✓ "&amp;Liens!G1041,"✗ "&amp;Liens!G1041&amp;" (introuvable)"))</f>
        <v/>
      </c>
      <c r="I1046" s="35" t="str">
        <f>IF(Liens!H1041="","",IF(COUNTIF(Mots!A:A,Liens!H1041)&gt;0,"✓ "&amp;Liens!H1041,"✗ "&amp;Liens!H1041&amp;" (introuvable)"))</f>
        <v/>
      </c>
    </row>
    <row r="1047" spans="1:9" x14ac:dyDescent="0.3">
      <c r="A1047">
        <f t="shared" si="13"/>
        <v>1042</v>
      </c>
      <c r="B1047" s="35" t="str">
        <f>IF(Liens!A1042="","",IF(COUNTIF(Mots!A:A,Liens!A1042)&gt;0,"✓ "&amp;Liens!A1042,"✗ "&amp;Liens!A1042&amp;" (introuvable)"))</f>
        <v/>
      </c>
      <c r="C1047" s="35" t="str">
        <f>IF(Liens!B1042="","",IF(COUNTIF(Mots!A:A,Liens!B1042)&gt;0,"✓ "&amp;Liens!B1042,"✗ "&amp;Liens!B1042&amp;" (introuvable)"))</f>
        <v/>
      </c>
      <c r="D1047" s="35" t="str">
        <f>IF(Liens!C1042="","",IF(COUNTIF(Mots!A:A,Liens!C1042)&gt;0,"✓ "&amp;Liens!C1042,"✗ "&amp;Liens!C1042&amp;" (introuvable)"))</f>
        <v/>
      </c>
      <c r="E1047" s="35" t="str">
        <f>IF(Liens!D1042="","",IF(COUNTIF(Mots!A:A,Liens!D1042)&gt;0,"✓ "&amp;Liens!D1042,"✗ "&amp;Liens!D1042&amp;" (introuvable)"))</f>
        <v/>
      </c>
      <c r="F1047" s="35" t="str">
        <f>IF(Liens!E1042="","",IF(COUNTIF(Mots!A:A,Liens!E1042)&gt;0,"✓ "&amp;Liens!E1042,"✗ "&amp;Liens!E1042&amp;" (introuvable)"))</f>
        <v/>
      </c>
      <c r="G1047" s="35" t="str">
        <f>IF(Liens!F1042="","",IF(COUNTIF(Mots!A:A,Liens!F1042)&gt;0,"✓ "&amp;Liens!F1042,"✗ "&amp;Liens!F1042&amp;" (introuvable)"))</f>
        <v/>
      </c>
      <c r="H1047" s="35" t="str">
        <f>IF(Liens!G1042="","",IF(COUNTIF(Mots!A:A,Liens!G1042)&gt;0,"✓ "&amp;Liens!G1042,"✗ "&amp;Liens!G1042&amp;" (introuvable)"))</f>
        <v/>
      </c>
      <c r="I1047" s="35" t="str">
        <f>IF(Liens!H1042="","",IF(COUNTIF(Mots!A:A,Liens!H1042)&gt;0,"✓ "&amp;Liens!H1042,"✗ "&amp;Liens!H1042&amp;" (introuvable)"))</f>
        <v/>
      </c>
    </row>
    <row r="1048" spans="1:9" x14ac:dyDescent="0.3">
      <c r="A1048">
        <f t="shared" si="13"/>
        <v>1043</v>
      </c>
      <c r="B1048" s="35" t="str">
        <f>IF(Liens!A1043="","",IF(COUNTIF(Mots!A:A,Liens!A1043)&gt;0,"✓ "&amp;Liens!A1043,"✗ "&amp;Liens!A1043&amp;" (introuvable)"))</f>
        <v/>
      </c>
      <c r="C1048" s="35" t="str">
        <f>IF(Liens!B1043="","",IF(COUNTIF(Mots!A:A,Liens!B1043)&gt;0,"✓ "&amp;Liens!B1043,"✗ "&amp;Liens!B1043&amp;" (introuvable)"))</f>
        <v/>
      </c>
      <c r="D1048" s="35" t="str">
        <f>IF(Liens!C1043="","",IF(COUNTIF(Mots!A:A,Liens!C1043)&gt;0,"✓ "&amp;Liens!C1043,"✗ "&amp;Liens!C1043&amp;" (introuvable)"))</f>
        <v/>
      </c>
      <c r="E1048" s="35" t="str">
        <f>IF(Liens!D1043="","",IF(COUNTIF(Mots!A:A,Liens!D1043)&gt;0,"✓ "&amp;Liens!D1043,"✗ "&amp;Liens!D1043&amp;" (introuvable)"))</f>
        <v/>
      </c>
      <c r="F1048" s="35" t="str">
        <f>IF(Liens!E1043="","",IF(COUNTIF(Mots!A:A,Liens!E1043)&gt;0,"✓ "&amp;Liens!E1043,"✗ "&amp;Liens!E1043&amp;" (introuvable)"))</f>
        <v/>
      </c>
      <c r="G1048" s="35" t="str">
        <f>IF(Liens!F1043="","",IF(COUNTIF(Mots!A:A,Liens!F1043)&gt;0,"✓ "&amp;Liens!F1043,"✗ "&amp;Liens!F1043&amp;" (introuvable)"))</f>
        <v/>
      </c>
      <c r="H1048" s="35" t="str">
        <f>IF(Liens!G1043="","",IF(COUNTIF(Mots!A:A,Liens!G1043)&gt;0,"✓ "&amp;Liens!G1043,"✗ "&amp;Liens!G1043&amp;" (introuvable)"))</f>
        <v/>
      </c>
      <c r="I1048" s="35" t="str">
        <f>IF(Liens!H1043="","",IF(COUNTIF(Mots!A:A,Liens!H1043)&gt;0,"✓ "&amp;Liens!H1043,"✗ "&amp;Liens!H1043&amp;" (introuvable)"))</f>
        <v/>
      </c>
    </row>
    <row r="1049" spans="1:9" x14ac:dyDescent="0.3">
      <c r="A1049">
        <f t="shared" si="13"/>
        <v>1044</v>
      </c>
      <c r="B1049" s="35" t="str">
        <f>IF(Liens!A1044="","",IF(COUNTIF(Mots!A:A,Liens!A1044)&gt;0,"✓ "&amp;Liens!A1044,"✗ "&amp;Liens!A1044&amp;" (introuvable)"))</f>
        <v/>
      </c>
      <c r="C1049" s="35" t="str">
        <f>IF(Liens!B1044="","",IF(COUNTIF(Mots!A:A,Liens!B1044)&gt;0,"✓ "&amp;Liens!B1044,"✗ "&amp;Liens!B1044&amp;" (introuvable)"))</f>
        <v/>
      </c>
      <c r="D1049" s="35" t="str">
        <f>IF(Liens!C1044="","",IF(COUNTIF(Mots!A:A,Liens!C1044)&gt;0,"✓ "&amp;Liens!C1044,"✗ "&amp;Liens!C1044&amp;" (introuvable)"))</f>
        <v/>
      </c>
      <c r="E1049" s="35" t="str">
        <f>IF(Liens!D1044="","",IF(COUNTIF(Mots!A:A,Liens!D1044)&gt;0,"✓ "&amp;Liens!D1044,"✗ "&amp;Liens!D1044&amp;" (introuvable)"))</f>
        <v/>
      </c>
      <c r="F1049" s="35" t="str">
        <f>IF(Liens!E1044="","",IF(COUNTIF(Mots!A:A,Liens!E1044)&gt;0,"✓ "&amp;Liens!E1044,"✗ "&amp;Liens!E1044&amp;" (introuvable)"))</f>
        <v/>
      </c>
      <c r="G1049" s="35" t="str">
        <f>IF(Liens!F1044="","",IF(COUNTIF(Mots!A:A,Liens!F1044)&gt;0,"✓ "&amp;Liens!F1044,"✗ "&amp;Liens!F1044&amp;" (introuvable)"))</f>
        <v/>
      </c>
      <c r="H1049" s="35" t="str">
        <f>IF(Liens!G1044="","",IF(COUNTIF(Mots!A:A,Liens!G1044)&gt;0,"✓ "&amp;Liens!G1044,"✗ "&amp;Liens!G1044&amp;" (introuvable)"))</f>
        <v/>
      </c>
      <c r="I1049" s="35" t="str">
        <f>IF(Liens!H1044="","",IF(COUNTIF(Mots!A:A,Liens!H1044)&gt;0,"✓ "&amp;Liens!H1044,"✗ "&amp;Liens!H1044&amp;" (introuvable)"))</f>
        <v/>
      </c>
    </row>
    <row r="1050" spans="1:9" x14ac:dyDescent="0.3">
      <c r="A1050">
        <f t="shared" si="13"/>
        <v>1045</v>
      </c>
      <c r="B1050" s="35" t="str">
        <f>IF(Liens!A1045="","",IF(COUNTIF(Mots!A:A,Liens!A1045)&gt;0,"✓ "&amp;Liens!A1045,"✗ "&amp;Liens!A1045&amp;" (introuvable)"))</f>
        <v/>
      </c>
      <c r="C1050" s="35" t="str">
        <f>IF(Liens!B1045="","",IF(COUNTIF(Mots!A:A,Liens!B1045)&gt;0,"✓ "&amp;Liens!B1045,"✗ "&amp;Liens!B1045&amp;" (introuvable)"))</f>
        <v/>
      </c>
      <c r="D1050" s="35" t="str">
        <f>IF(Liens!C1045="","",IF(COUNTIF(Mots!A:A,Liens!C1045)&gt;0,"✓ "&amp;Liens!C1045,"✗ "&amp;Liens!C1045&amp;" (introuvable)"))</f>
        <v/>
      </c>
      <c r="E1050" s="35" t="str">
        <f>IF(Liens!D1045="","",IF(COUNTIF(Mots!A:A,Liens!D1045)&gt;0,"✓ "&amp;Liens!D1045,"✗ "&amp;Liens!D1045&amp;" (introuvable)"))</f>
        <v/>
      </c>
      <c r="F1050" s="35" t="str">
        <f>IF(Liens!E1045="","",IF(COUNTIF(Mots!A:A,Liens!E1045)&gt;0,"✓ "&amp;Liens!E1045,"✗ "&amp;Liens!E1045&amp;" (introuvable)"))</f>
        <v/>
      </c>
      <c r="G1050" s="35" t="str">
        <f>IF(Liens!F1045="","",IF(COUNTIF(Mots!A:A,Liens!F1045)&gt;0,"✓ "&amp;Liens!F1045,"✗ "&amp;Liens!F1045&amp;" (introuvable)"))</f>
        <v/>
      </c>
      <c r="H1050" s="35" t="str">
        <f>IF(Liens!G1045="","",IF(COUNTIF(Mots!A:A,Liens!G1045)&gt;0,"✓ "&amp;Liens!G1045,"✗ "&amp;Liens!G1045&amp;" (introuvable)"))</f>
        <v/>
      </c>
      <c r="I1050" s="35" t="str">
        <f>IF(Liens!H1045="","",IF(COUNTIF(Mots!A:A,Liens!H1045)&gt;0,"✓ "&amp;Liens!H1045,"✗ "&amp;Liens!H1045&amp;" (introuvable)"))</f>
        <v/>
      </c>
    </row>
    <row r="1051" spans="1:9" x14ac:dyDescent="0.3">
      <c r="A1051">
        <f t="shared" si="13"/>
        <v>1046</v>
      </c>
      <c r="B1051" s="35" t="str">
        <f>IF(Liens!A1046="","",IF(COUNTIF(Mots!A:A,Liens!A1046)&gt;0,"✓ "&amp;Liens!A1046,"✗ "&amp;Liens!A1046&amp;" (introuvable)"))</f>
        <v/>
      </c>
      <c r="C1051" s="35" t="str">
        <f>IF(Liens!B1046="","",IF(COUNTIF(Mots!A:A,Liens!B1046)&gt;0,"✓ "&amp;Liens!B1046,"✗ "&amp;Liens!B1046&amp;" (introuvable)"))</f>
        <v/>
      </c>
      <c r="D1051" s="35" t="str">
        <f>IF(Liens!C1046="","",IF(COUNTIF(Mots!A:A,Liens!C1046)&gt;0,"✓ "&amp;Liens!C1046,"✗ "&amp;Liens!C1046&amp;" (introuvable)"))</f>
        <v/>
      </c>
      <c r="E1051" s="35" t="str">
        <f>IF(Liens!D1046="","",IF(COUNTIF(Mots!A:A,Liens!D1046)&gt;0,"✓ "&amp;Liens!D1046,"✗ "&amp;Liens!D1046&amp;" (introuvable)"))</f>
        <v/>
      </c>
      <c r="F1051" s="35" t="str">
        <f>IF(Liens!E1046="","",IF(COUNTIF(Mots!A:A,Liens!E1046)&gt;0,"✓ "&amp;Liens!E1046,"✗ "&amp;Liens!E1046&amp;" (introuvable)"))</f>
        <v/>
      </c>
      <c r="G1051" s="35" t="str">
        <f>IF(Liens!F1046="","",IF(COUNTIF(Mots!A:A,Liens!F1046)&gt;0,"✓ "&amp;Liens!F1046,"✗ "&amp;Liens!F1046&amp;" (introuvable)"))</f>
        <v/>
      </c>
      <c r="H1051" s="35" t="str">
        <f>IF(Liens!G1046="","",IF(COUNTIF(Mots!A:A,Liens!G1046)&gt;0,"✓ "&amp;Liens!G1046,"✗ "&amp;Liens!G1046&amp;" (introuvable)"))</f>
        <v/>
      </c>
      <c r="I1051" s="35" t="str">
        <f>IF(Liens!H1046="","",IF(COUNTIF(Mots!A:A,Liens!H1046)&gt;0,"✓ "&amp;Liens!H1046,"✗ "&amp;Liens!H1046&amp;" (introuvable)"))</f>
        <v/>
      </c>
    </row>
    <row r="1052" spans="1:9" x14ac:dyDescent="0.3">
      <c r="A1052">
        <f t="shared" si="13"/>
        <v>1047</v>
      </c>
      <c r="B1052" s="35" t="str">
        <f>IF(Liens!A1047="","",IF(COUNTIF(Mots!A:A,Liens!A1047)&gt;0,"✓ "&amp;Liens!A1047,"✗ "&amp;Liens!A1047&amp;" (introuvable)"))</f>
        <v/>
      </c>
      <c r="C1052" s="35" t="str">
        <f>IF(Liens!B1047="","",IF(COUNTIF(Mots!A:A,Liens!B1047)&gt;0,"✓ "&amp;Liens!B1047,"✗ "&amp;Liens!B1047&amp;" (introuvable)"))</f>
        <v/>
      </c>
      <c r="D1052" s="35" t="str">
        <f>IF(Liens!C1047="","",IF(COUNTIF(Mots!A:A,Liens!C1047)&gt;0,"✓ "&amp;Liens!C1047,"✗ "&amp;Liens!C1047&amp;" (introuvable)"))</f>
        <v/>
      </c>
      <c r="E1052" s="35" t="str">
        <f>IF(Liens!D1047="","",IF(COUNTIF(Mots!A:A,Liens!D1047)&gt;0,"✓ "&amp;Liens!D1047,"✗ "&amp;Liens!D1047&amp;" (introuvable)"))</f>
        <v/>
      </c>
      <c r="F1052" s="35" t="str">
        <f>IF(Liens!E1047="","",IF(COUNTIF(Mots!A:A,Liens!E1047)&gt;0,"✓ "&amp;Liens!E1047,"✗ "&amp;Liens!E1047&amp;" (introuvable)"))</f>
        <v/>
      </c>
      <c r="G1052" s="35" t="str">
        <f>IF(Liens!F1047="","",IF(COUNTIF(Mots!A:A,Liens!F1047)&gt;0,"✓ "&amp;Liens!F1047,"✗ "&amp;Liens!F1047&amp;" (introuvable)"))</f>
        <v/>
      </c>
      <c r="H1052" s="35" t="str">
        <f>IF(Liens!G1047="","",IF(COUNTIF(Mots!A:A,Liens!G1047)&gt;0,"✓ "&amp;Liens!G1047,"✗ "&amp;Liens!G1047&amp;" (introuvable)"))</f>
        <v/>
      </c>
      <c r="I1052" s="35" t="str">
        <f>IF(Liens!H1047="","",IF(COUNTIF(Mots!A:A,Liens!H1047)&gt;0,"✓ "&amp;Liens!H1047,"✗ "&amp;Liens!H1047&amp;" (introuvable)"))</f>
        <v/>
      </c>
    </row>
    <row r="1053" spans="1:9" x14ac:dyDescent="0.3">
      <c r="A1053">
        <f t="shared" si="13"/>
        <v>1048</v>
      </c>
      <c r="B1053" s="35" t="str">
        <f>IF(Liens!A1048="","",IF(COUNTIF(Mots!A:A,Liens!A1048)&gt;0,"✓ "&amp;Liens!A1048,"✗ "&amp;Liens!A1048&amp;" (introuvable)"))</f>
        <v/>
      </c>
      <c r="C1053" s="35" t="str">
        <f>IF(Liens!B1048="","",IF(COUNTIF(Mots!A:A,Liens!B1048)&gt;0,"✓ "&amp;Liens!B1048,"✗ "&amp;Liens!B1048&amp;" (introuvable)"))</f>
        <v/>
      </c>
      <c r="D1053" s="35" t="str">
        <f>IF(Liens!C1048="","",IF(COUNTIF(Mots!A:A,Liens!C1048)&gt;0,"✓ "&amp;Liens!C1048,"✗ "&amp;Liens!C1048&amp;" (introuvable)"))</f>
        <v/>
      </c>
      <c r="E1053" s="35" t="str">
        <f>IF(Liens!D1048="","",IF(COUNTIF(Mots!A:A,Liens!D1048)&gt;0,"✓ "&amp;Liens!D1048,"✗ "&amp;Liens!D1048&amp;" (introuvable)"))</f>
        <v/>
      </c>
      <c r="F1053" s="35" t="str">
        <f>IF(Liens!E1048="","",IF(COUNTIF(Mots!A:A,Liens!E1048)&gt;0,"✓ "&amp;Liens!E1048,"✗ "&amp;Liens!E1048&amp;" (introuvable)"))</f>
        <v/>
      </c>
      <c r="G1053" s="35" t="str">
        <f>IF(Liens!F1048="","",IF(COUNTIF(Mots!A:A,Liens!F1048)&gt;0,"✓ "&amp;Liens!F1048,"✗ "&amp;Liens!F1048&amp;" (introuvable)"))</f>
        <v/>
      </c>
      <c r="H1053" s="35" t="str">
        <f>IF(Liens!G1048="","",IF(COUNTIF(Mots!A:A,Liens!G1048)&gt;0,"✓ "&amp;Liens!G1048,"✗ "&amp;Liens!G1048&amp;" (introuvable)"))</f>
        <v/>
      </c>
      <c r="I1053" s="35" t="str">
        <f>IF(Liens!H1048="","",IF(COUNTIF(Mots!A:A,Liens!H1048)&gt;0,"✓ "&amp;Liens!H1048,"✗ "&amp;Liens!H1048&amp;" (introuvable)"))</f>
        <v/>
      </c>
    </row>
    <row r="1054" spans="1:9" x14ac:dyDescent="0.3">
      <c r="A1054">
        <f t="shared" si="13"/>
        <v>1049</v>
      </c>
      <c r="B1054" s="35" t="str">
        <f>IF(Liens!A1049="","",IF(COUNTIF(Mots!A:A,Liens!A1049)&gt;0,"✓ "&amp;Liens!A1049,"✗ "&amp;Liens!A1049&amp;" (introuvable)"))</f>
        <v/>
      </c>
      <c r="C1054" s="35" t="str">
        <f>IF(Liens!B1049="","",IF(COUNTIF(Mots!A:A,Liens!B1049)&gt;0,"✓ "&amp;Liens!B1049,"✗ "&amp;Liens!B1049&amp;" (introuvable)"))</f>
        <v/>
      </c>
      <c r="D1054" s="35" t="str">
        <f>IF(Liens!C1049="","",IF(COUNTIF(Mots!A:A,Liens!C1049)&gt;0,"✓ "&amp;Liens!C1049,"✗ "&amp;Liens!C1049&amp;" (introuvable)"))</f>
        <v/>
      </c>
      <c r="E1054" s="35" t="str">
        <f>IF(Liens!D1049="","",IF(COUNTIF(Mots!A:A,Liens!D1049)&gt;0,"✓ "&amp;Liens!D1049,"✗ "&amp;Liens!D1049&amp;" (introuvable)"))</f>
        <v/>
      </c>
      <c r="F1054" s="35" t="str">
        <f>IF(Liens!E1049="","",IF(COUNTIF(Mots!A:A,Liens!E1049)&gt;0,"✓ "&amp;Liens!E1049,"✗ "&amp;Liens!E1049&amp;" (introuvable)"))</f>
        <v/>
      </c>
      <c r="G1054" s="35" t="str">
        <f>IF(Liens!F1049="","",IF(COUNTIF(Mots!A:A,Liens!F1049)&gt;0,"✓ "&amp;Liens!F1049,"✗ "&amp;Liens!F1049&amp;" (introuvable)"))</f>
        <v/>
      </c>
      <c r="H1054" s="35" t="str">
        <f>IF(Liens!G1049="","",IF(COUNTIF(Mots!A:A,Liens!G1049)&gt;0,"✓ "&amp;Liens!G1049,"✗ "&amp;Liens!G1049&amp;" (introuvable)"))</f>
        <v/>
      </c>
      <c r="I1054" s="35" t="str">
        <f>IF(Liens!H1049="","",IF(COUNTIF(Mots!A:A,Liens!H1049)&gt;0,"✓ "&amp;Liens!H1049,"✗ "&amp;Liens!H1049&amp;" (introuvable)"))</f>
        <v/>
      </c>
    </row>
    <row r="1055" spans="1:9" x14ac:dyDescent="0.3">
      <c r="A1055">
        <f t="shared" si="13"/>
        <v>1050</v>
      </c>
      <c r="B1055" s="35" t="str">
        <f>IF(Liens!A1050="","",IF(COUNTIF(Mots!A:A,Liens!A1050)&gt;0,"✓ "&amp;Liens!A1050,"✗ "&amp;Liens!A1050&amp;" (introuvable)"))</f>
        <v/>
      </c>
      <c r="C1055" s="35" t="str">
        <f>IF(Liens!B1050="","",IF(COUNTIF(Mots!A:A,Liens!B1050)&gt;0,"✓ "&amp;Liens!B1050,"✗ "&amp;Liens!B1050&amp;" (introuvable)"))</f>
        <v/>
      </c>
      <c r="D1055" s="35" t="str">
        <f>IF(Liens!C1050="","",IF(COUNTIF(Mots!A:A,Liens!C1050)&gt;0,"✓ "&amp;Liens!C1050,"✗ "&amp;Liens!C1050&amp;" (introuvable)"))</f>
        <v/>
      </c>
      <c r="E1055" s="35" t="str">
        <f>IF(Liens!D1050="","",IF(COUNTIF(Mots!A:A,Liens!D1050)&gt;0,"✓ "&amp;Liens!D1050,"✗ "&amp;Liens!D1050&amp;" (introuvable)"))</f>
        <v/>
      </c>
      <c r="F1055" s="35" t="str">
        <f>IF(Liens!E1050="","",IF(COUNTIF(Mots!A:A,Liens!E1050)&gt;0,"✓ "&amp;Liens!E1050,"✗ "&amp;Liens!E1050&amp;" (introuvable)"))</f>
        <v/>
      </c>
      <c r="G1055" s="35" t="str">
        <f>IF(Liens!F1050="","",IF(COUNTIF(Mots!A:A,Liens!F1050)&gt;0,"✓ "&amp;Liens!F1050,"✗ "&amp;Liens!F1050&amp;" (introuvable)"))</f>
        <v/>
      </c>
      <c r="H1055" s="35" t="str">
        <f>IF(Liens!G1050="","",IF(COUNTIF(Mots!A:A,Liens!G1050)&gt;0,"✓ "&amp;Liens!G1050,"✗ "&amp;Liens!G1050&amp;" (introuvable)"))</f>
        <v/>
      </c>
      <c r="I1055" s="35" t="str">
        <f>IF(Liens!H1050="","",IF(COUNTIF(Mots!A:A,Liens!H1050)&gt;0,"✓ "&amp;Liens!H1050,"✗ "&amp;Liens!H1050&amp;" (introuvable)"))</f>
        <v/>
      </c>
    </row>
    <row r="1056" spans="1:9" x14ac:dyDescent="0.3">
      <c r="A1056">
        <f t="shared" si="13"/>
        <v>1051</v>
      </c>
      <c r="B1056" s="35" t="str">
        <f>IF(Liens!A1051="","",IF(COUNTIF(Mots!A:A,Liens!A1051)&gt;0,"✓ "&amp;Liens!A1051,"✗ "&amp;Liens!A1051&amp;" (introuvable)"))</f>
        <v/>
      </c>
      <c r="C1056" s="35" t="str">
        <f>IF(Liens!B1051="","",IF(COUNTIF(Mots!A:A,Liens!B1051)&gt;0,"✓ "&amp;Liens!B1051,"✗ "&amp;Liens!B1051&amp;" (introuvable)"))</f>
        <v/>
      </c>
      <c r="D1056" s="35" t="str">
        <f>IF(Liens!C1051="","",IF(COUNTIF(Mots!A:A,Liens!C1051)&gt;0,"✓ "&amp;Liens!C1051,"✗ "&amp;Liens!C1051&amp;" (introuvable)"))</f>
        <v/>
      </c>
      <c r="E1056" s="35" t="str">
        <f>IF(Liens!D1051="","",IF(COUNTIF(Mots!A:A,Liens!D1051)&gt;0,"✓ "&amp;Liens!D1051,"✗ "&amp;Liens!D1051&amp;" (introuvable)"))</f>
        <v/>
      </c>
      <c r="F1056" s="35" t="str">
        <f>IF(Liens!E1051="","",IF(COUNTIF(Mots!A:A,Liens!E1051)&gt;0,"✓ "&amp;Liens!E1051,"✗ "&amp;Liens!E1051&amp;" (introuvable)"))</f>
        <v/>
      </c>
      <c r="G1056" s="35" t="str">
        <f>IF(Liens!F1051="","",IF(COUNTIF(Mots!A:A,Liens!F1051)&gt;0,"✓ "&amp;Liens!F1051,"✗ "&amp;Liens!F1051&amp;" (introuvable)"))</f>
        <v/>
      </c>
      <c r="H1056" s="35" t="str">
        <f>IF(Liens!G1051="","",IF(COUNTIF(Mots!A:A,Liens!G1051)&gt;0,"✓ "&amp;Liens!G1051,"✗ "&amp;Liens!G1051&amp;" (introuvable)"))</f>
        <v/>
      </c>
      <c r="I1056" s="35" t="str">
        <f>IF(Liens!H1051="","",IF(COUNTIF(Mots!A:A,Liens!H1051)&gt;0,"✓ "&amp;Liens!H1051,"✗ "&amp;Liens!H1051&amp;" (introuvable)"))</f>
        <v/>
      </c>
    </row>
    <row r="1057" spans="1:9" x14ac:dyDescent="0.3">
      <c r="A1057">
        <f t="shared" si="13"/>
        <v>1052</v>
      </c>
      <c r="B1057" s="35" t="str">
        <f>IF(Liens!A1052="","",IF(COUNTIF(Mots!A:A,Liens!A1052)&gt;0,"✓ "&amp;Liens!A1052,"✗ "&amp;Liens!A1052&amp;" (introuvable)"))</f>
        <v/>
      </c>
      <c r="C1057" s="35" t="str">
        <f>IF(Liens!B1052="","",IF(COUNTIF(Mots!A:A,Liens!B1052)&gt;0,"✓ "&amp;Liens!B1052,"✗ "&amp;Liens!B1052&amp;" (introuvable)"))</f>
        <v/>
      </c>
      <c r="D1057" s="35" t="str">
        <f>IF(Liens!C1052="","",IF(COUNTIF(Mots!A:A,Liens!C1052)&gt;0,"✓ "&amp;Liens!C1052,"✗ "&amp;Liens!C1052&amp;" (introuvable)"))</f>
        <v/>
      </c>
      <c r="E1057" s="35" t="str">
        <f>IF(Liens!D1052="","",IF(COUNTIF(Mots!A:A,Liens!D1052)&gt;0,"✓ "&amp;Liens!D1052,"✗ "&amp;Liens!D1052&amp;" (introuvable)"))</f>
        <v/>
      </c>
      <c r="F1057" s="35" t="str">
        <f>IF(Liens!E1052="","",IF(COUNTIF(Mots!A:A,Liens!E1052)&gt;0,"✓ "&amp;Liens!E1052,"✗ "&amp;Liens!E1052&amp;" (introuvable)"))</f>
        <v/>
      </c>
      <c r="G1057" s="35" t="str">
        <f>IF(Liens!F1052="","",IF(COUNTIF(Mots!A:A,Liens!F1052)&gt;0,"✓ "&amp;Liens!F1052,"✗ "&amp;Liens!F1052&amp;" (introuvable)"))</f>
        <v/>
      </c>
      <c r="H1057" s="35" t="str">
        <f>IF(Liens!G1052="","",IF(COUNTIF(Mots!A:A,Liens!G1052)&gt;0,"✓ "&amp;Liens!G1052,"✗ "&amp;Liens!G1052&amp;" (introuvable)"))</f>
        <v/>
      </c>
      <c r="I1057" s="35" t="str">
        <f>IF(Liens!H1052="","",IF(COUNTIF(Mots!A:A,Liens!H1052)&gt;0,"✓ "&amp;Liens!H1052,"✗ "&amp;Liens!H1052&amp;" (introuvable)"))</f>
        <v/>
      </c>
    </row>
    <row r="1058" spans="1:9" x14ac:dyDescent="0.3">
      <c r="A1058">
        <f t="shared" si="13"/>
        <v>1053</v>
      </c>
      <c r="B1058" s="35" t="str">
        <f>IF(Liens!A1053="","",IF(COUNTIF(Mots!A:A,Liens!A1053)&gt;0,"✓ "&amp;Liens!A1053,"✗ "&amp;Liens!A1053&amp;" (introuvable)"))</f>
        <v/>
      </c>
      <c r="C1058" s="35" t="str">
        <f>IF(Liens!B1053="","",IF(COUNTIF(Mots!A:A,Liens!B1053)&gt;0,"✓ "&amp;Liens!B1053,"✗ "&amp;Liens!B1053&amp;" (introuvable)"))</f>
        <v/>
      </c>
      <c r="D1058" s="35" t="str">
        <f>IF(Liens!C1053="","",IF(COUNTIF(Mots!A:A,Liens!C1053)&gt;0,"✓ "&amp;Liens!C1053,"✗ "&amp;Liens!C1053&amp;" (introuvable)"))</f>
        <v/>
      </c>
      <c r="E1058" s="35" t="str">
        <f>IF(Liens!D1053="","",IF(COUNTIF(Mots!A:A,Liens!D1053)&gt;0,"✓ "&amp;Liens!D1053,"✗ "&amp;Liens!D1053&amp;" (introuvable)"))</f>
        <v/>
      </c>
      <c r="F1058" s="35" t="str">
        <f>IF(Liens!E1053="","",IF(COUNTIF(Mots!A:A,Liens!E1053)&gt;0,"✓ "&amp;Liens!E1053,"✗ "&amp;Liens!E1053&amp;" (introuvable)"))</f>
        <v/>
      </c>
      <c r="G1058" s="35" t="str">
        <f>IF(Liens!F1053="","",IF(COUNTIF(Mots!A:A,Liens!F1053)&gt;0,"✓ "&amp;Liens!F1053,"✗ "&amp;Liens!F1053&amp;" (introuvable)"))</f>
        <v/>
      </c>
      <c r="H1058" s="35" t="str">
        <f>IF(Liens!G1053="","",IF(COUNTIF(Mots!A:A,Liens!G1053)&gt;0,"✓ "&amp;Liens!G1053,"✗ "&amp;Liens!G1053&amp;" (introuvable)"))</f>
        <v/>
      </c>
      <c r="I1058" s="35" t="str">
        <f>IF(Liens!H1053="","",IF(COUNTIF(Mots!A:A,Liens!H1053)&gt;0,"✓ "&amp;Liens!H1053,"✗ "&amp;Liens!H1053&amp;" (introuvable)"))</f>
        <v/>
      </c>
    </row>
  </sheetData>
  <mergeCells count="2">
    <mergeCell ref="A1:I1"/>
    <mergeCell ref="A4:I4"/>
  </mergeCells>
  <conditionalFormatting sqref="B6:I1058">
    <cfRule type="containsText" dxfId="2" priority="4" operator="containsText" text="✗">
      <formula>NOT(ISERROR(SEARCH("✗",B6)))</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44"/>
  <sheetViews>
    <sheetView workbookViewId="0">
      <pane xSplit="2" ySplit="1" topLeftCell="C702" activePane="bottomRight" state="frozen"/>
      <selection pane="topRight"/>
      <selection pane="bottomLeft"/>
      <selection pane="bottomRight" activeCell="C702" sqref="C702"/>
    </sheetView>
  </sheetViews>
  <sheetFormatPr baseColWidth="10" defaultColWidth="8.796875" defaultRowHeight="17.399999999999999" x14ac:dyDescent="0.4"/>
  <cols>
    <col min="1" max="1" width="24" style="39" customWidth="1"/>
    <col min="2" max="2" width="30" style="39" customWidth="1"/>
    <col min="3" max="5" width="26" style="39" customWidth="1"/>
    <col min="6" max="6" width="13.796875" style="39" bestFit="1" customWidth="1"/>
    <col min="7" max="16384" width="8.796875" style="39"/>
  </cols>
  <sheetData>
    <row r="1" spans="1:6" x14ac:dyDescent="0.4">
      <c r="A1" s="38" t="s">
        <v>7697</v>
      </c>
      <c r="B1" s="38" t="s">
        <v>7698</v>
      </c>
      <c r="C1" s="38" t="s">
        <v>7699</v>
      </c>
      <c r="D1" s="38" t="s">
        <v>7700</v>
      </c>
      <c r="E1" s="38" t="s">
        <v>7701</v>
      </c>
      <c r="F1" s="38" t="s">
        <v>10073</v>
      </c>
    </row>
    <row r="2" spans="1:6" x14ac:dyDescent="0.4">
      <c r="A2" s="40" t="s">
        <v>410</v>
      </c>
      <c r="B2" s="41" t="str">
        <f>IFERROR(INDEX(Mots!$B:$B,MATCH($A2,Mots!$A:$A,0)),"introuvable")</f>
        <v>le sandwich</v>
      </c>
      <c r="C2" s="40" t="s">
        <v>235</v>
      </c>
      <c r="D2" s="39" t="s">
        <v>10122</v>
      </c>
    </row>
    <row r="3" spans="1:6" x14ac:dyDescent="0.4">
      <c r="A3" s="40" t="s">
        <v>416</v>
      </c>
      <c r="B3" s="41" t="str">
        <f>IFERROR(INDEX(Mots!$B:$B,MATCH($A3,Mots!$A:$A,0)),"introuvable")</f>
        <v>la lettre</v>
      </c>
      <c r="C3" s="40" t="s">
        <v>352</v>
      </c>
    </row>
    <row r="4" spans="1:6" x14ac:dyDescent="0.4">
      <c r="A4" s="40" t="s">
        <v>421</v>
      </c>
      <c r="B4" s="41" t="str">
        <f>IFERROR(INDEX(Mots!$B:$B,MATCH($A4,Mots!$A:$A,0)),"introuvable")</f>
        <v>la réunion</v>
      </c>
      <c r="C4" s="40" t="s">
        <v>352</v>
      </c>
    </row>
    <row r="5" spans="1:6" x14ac:dyDescent="0.4">
      <c r="A5" s="40" t="s">
        <v>426</v>
      </c>
      <c r="B5" s="41" t="str">
        <f>IFERROR(INDEX(Mots!$B:$B,MATCH($A5,Mots!$A:$A,0)),"introuvable")</f>
        <v>le bureau (meuble)</v>
      </c>
      <c r="C5" s="40" t="s">
        <v>3223</v>
      </c>
      <c r="D5" s="39" t="s">
        <v>352</v>
      </c>
    </row>
    <row r="6" spans="1:6" x14ac:dyDescent="0.4">
      <c r="A6" s="40" t="s">
        <v>434</v>
      </c>
      <c r="B6" s="41" t="str">
        <f>IFERROR(INDEX(Mots!$B:$B,MATCH($A6,Mots!$A:$A,0)),"introuvable")</f>
        <v>le rapport</v>
      </c>
      <c r="C6" s="40" t="s">
        <v>352</v>
      </c>
    </row>
    <row r="7" spans="1:6" x14ac:dyDescent="0.4">
      <c r="A7" s="40" t="s">
        <v>438</v>
      </c>
      <c r="B7" s="41" t="str">
        <f>IFERROR(INDEX(Mots!$B:$B,MATCH($A7,Mots!$A:$A,0)),"introuvable")</f>
        <v>l'entreprise</v>
      </c>
      <c r="C7" s="40" t="s">
        <v>352</v>
      </c>
    </row>
    <row r="8" spans="1:6" x14ac:dyDescent="0.4">
      <c r="A8" s="40" t="s">
        <v>446</v>
      </c>
      <c r="B8" s="41" t="str">
        <f>IFERROR(INDEX(Mots!$B:$B,MATCH($A8,Mots!$A:$A,0)),"introuvable")</f>
        <v>l'équipe</v>
      </c>
      <c r="C8" s="40" t="s">
        <v>352</v>
      </c>
    </row>
    <row r="9" spans="1:6" x14ac:dyDescent="0.4">
      <c r="A9" s="40" t="s">
        <v>29</v>
      </c>
      <c r="B9" s="41" t="str">
        <f>IFERROR(INDEX(Mots!$B:$B,MATCH($A9,Mots!$A:$A,0)),"introuvable")</f>
        <v>la famille</v>
      </c>
      <c r="C9" s="40" t="s">
        <v>174</v>
      </c>
    </row>
    <row r="10" spans="1:6" x14ac:dyDescent="0.4">
      <c r="A10" s="40" t="s">
        <v>459</v>
      </c>
      <c r="B10" s="41" t="str">
        <f>IFERROR(INDEX(Mots!$B:$B,MATCH($A10,Mots!$A:$A,0)),"introuvable")</f>
        <v>le mari et la femme</v>
      </c>
      <c r="C10" s="40" t="s">
        <v>174</v>
      </c>
    </row>
    <row r="11" spans="1:6" x14ac:dyDescent="0.4">
      <c r="A11" s="40" t="s">
        <v>467</v>
      </c>
      <c r="B11" s="41" t="str">
        <f>IFERROR(INDEX(Mots!$B:$B,MATCH($A11,Mots!$A:$A,0)),"introuvable")</f>
        <v>la mère - la maman</v>
      </c>
      <c r="C11" s="40" t="s">
        <v>174</v>
      </c>
    </row>
    <row r="12" spans="1:6" x14ac:dyDescent="0.4">
      <c r="A12" s="40" t="s">
        <v>470</v>
      </c>
      <c r="B12" s="41" t="str">
        <f>IFERROR(INDEX(Mots!$B:$B,MATCH($A12,Mots!$A:$A,0)),"introuvable")</f>
        <v>le père - le papa</v>
      </c>
      <c r="C12" s="40" t="s">
        <v>174</v>
      </c>
    </row>
    <row r="13" spans="1:6" x14ac:dyDescent="0.4">
      <c r="A13" s="40" t="s">
        <v>473</v>
      </c>
      <c r="B13" s="41" t="str">
        <f>IFERROR(INDEX(Mots!$B:$B,MATCH($A13,Mots!$A:$A,0)),"introuvable")</f>
        <v>les enfants</v>
      </c>
      <c r="C13" s="40" t="s">
        <v>174</v>
      </c>
    </row>
    <row r="14" spans="1:6" x14ac:dyDescent="0.4">
      <c r="A14" s="40" t="s">
        <v>481</v>
      </c>
      <c r="B14" s="41" t="str">
        <f>IFERROR(INDEX(Mots!$B:$B,MATCH($A14,Mots!$A:$A,0)),"introuvable")</f>
        <v>le bébé</v>
      </c>
      <c r="C14" s="40" t="s">
        <v>174</v>
      </c>
    </row>
    <row r="15" spans="1:6" x14ac:dyDescent="0.4">
      <c r="A15" s="40" t="s">
        <v>490</v>
      </c>
      <c r="B15" s="41" t="str">
        <f>IFERROR(INDEX(Mots!$B:$B,MATCH($A15,Mots!$A:$A,0)),"introuvable")</f>
        <v>la fille</v>
      </c>
      <c r="C15" s="40" t="s">
        <v>174</v>
      </c>
    </row>
    <row r="16" spans="1:6" x14ac:dyDescent="0.4">
      <c r="A16" s="40" t="s">
        <v>499</v>
      </c>
      <c r="B16" s="41" t="str">
        <f>IFERROR(INDEX(Mots!$B:$B,MATCH($A16,Mots!$A:$A,0)),"introuvable")</f>
        <v>le fils</v>
      </c>
      <c r="C16" s="40" t="s">
        <v>174</v>
      </c>
    </row>
    <row r="17" spans="1:4" x14ac:dyDescent="0.4">
      <c r="A17" s="40" t="s">
        <v>506</v>
      </c>
      <c r="B17" s="41" t="str">
        <f>IFERROR(INDEX(Mots!$B:$B,MATCH($A17,Mots!$A:$A,0)),"introuvable")</f>
        <v>la grand-mère</v>
      </c>
      <c r="C17" s="40" t="s">
        <v>174</v>
      </c>
    </row>
    <row r="18" spans="1:4" x14ac:dyDescent="0.4">
      <c r="A18" s="40" t="s">
        <v>510</v>
      </c>
      <c r="B18" s="41" t="str">
        <f>IFERROR(INDEX(Mots!$B:$B,MATCH($A18,Mots!$A:$A,0)),"introuvable")</f>
        <v>le grand-père</v>
      </c>
      <c r="C18" s="40" t="s">
        <v>174</v>
      </c>
    </row>
    <row r="19" spans="1:4" x14ac:dyDescent="0.4">
      <c r="A19" s="40" t="s">
        <v>514</v>
      </c>
      <c r="B19" s="41" t="str">
        <f>IFERROR(INDEX(Mots!$B:$B,MATCH($A19,Mots!$A:$A,0)),"introuvable")</f>
        <v>la soeur</v>
      </c>
      <c r="C19" s="40" t="s">
        <v>174</v>
      </c>
    </row>
    <row r="20" spans="1:4" x14ac:dyDescent="0.4">
      <c r="A20" s="40" t="s">
        <v>521</v>
      </c>
      <c r="B20" s="41" t="str">
        <f>IFERROR(INDEX(Mots!$B:$B,MATCH($A20,Mots!$A:$A,0)),"introuvable")</f>
        <v>le frère</v>
      </c>
      <c r="C20" s="40" t="s">
        <v>174</v>
      </c>
    </row>
    <row r="21" spans="1:4" x14ac:dyDescent="0.4">
      <c r="A21" s="40" t="s">
        <v>526</v>
      </c>
      <c r="B21" s="41" t="str">
        <f>IFERROR(INDEX(Mots!$B:$B,MATCH($A21,Mots!$A:$A,0)),"introuvable")</f>
        <v>la tante</v>
      </c>
      <c r="C21" s="40" t="s">
        <v>174</v>
      </c>
    </row>
    <row r="22" spans="1:4" x14ac:dyDescent="0.4">
      <c r="A22" s="40" t="s">
        <v>531</v>
      </c>
      <c r="B22" s="41" t="str">
        <f>IFERROR(INDEX(Mots!$B:$B,MATCH($A22,Mots!$A:$A,0)),"introuvable")</f>
        <v>l'oncle</v>
      </c>
      <c r="C22" s="40" t="s">
        <v>174</v>
      </c>
    </row>
    <row r="23" spans="1:4" x14ac:dyDescent="0.4">
      <c r="A23" s="40" t="s">
        <v>535</v>
      </c>
      <c r="B23" s="41" t="str">
        <f>IFERROR(INDEX(Mots!$B:$B,MATCH($A23,Mots!$A:$A,0)),"introuvable")</f>
        <v>l'homme</v>
      </c>
      <c r="C23" s="40" t="s">
        <v>174</v>
      </c>
    </row>
    <row r="24" spans="1:4" x14ac:dyDescent="0.4">
      <c r="A24" s="40" t="s">
        <v>544</v>
      </c>
      <c r="B24" s="41" t="str">
        <f>IFERROR(INDEX(Mots!$B:$B,MATCH($A24,Mots!$A:$A,0)),"introuvable")</f>
        <v>la femme</v>
      </c>
      <c r="C24" s="40" t="s">
        <v>174</v>
      </c>
    </row>
    <row r="25" spans="1:4" x14ac:dyDescent="0.4">
      <c r="A25" s="40" t="s">
        <v>553</v>
      </c>
      <c r="B25" s="41" t="str">
        <f>IFERROR(INDEX(Mots!$B:$B,MATCH($A25,Mots!$A:$A,0)),"introuvable")</f>
        <v>la pelouse</v>
      </c>
      <c r="C25" s="40" t="s">
        <v>213</v>
      </c>
    </row>
    <row r="26" spans="1:4" x14ac:dyDescent="0.4">
      <c r="A26" s="40" t="s">
        <v>557</v>
      </c>
      <c r="B26" s="41" t="str">
        <f>IFERROR(INDEX(Mots!$B:$B,MATCH($A26,Mots!$A:$A,0)),"introuvable")</f>
        <v>la table de jardin</v>
      </c>
      <c r="C26" s="40" t="s">
        <v>213</v>
      </c>
    </row>
    <row r="27" spans="1:4" x14ac:dyDescent="0.4">
      <c r="A27" s="40" t="s">
        <v>561</v>
      </c>
      <c r="B27" s="41" t="str">
        <f>IFERROR(INDEX(Mots!$B:$B,MATCH($A27,Mots!$A:$A,0)),"introuvable")</f>
        <v>la haie de thujas</v>
      </c>
      <c r="C27" s="40" t="s">
        <v>213</v>
      </c>
    </row>
    <row r="28" spans="1:4" x14ac:dyDescent="0.4">
      <c r="A28" s="40" t="s">
        <v>565</v>
      </c>
      <c r="B28" s="41" t="str">
        <f>IFERROR(INDEX(Mots!$B:$B,MATCH($A28,Mots!$A:$A,0)),"introuvable")</f>
        <v>l'arrosage automatique</v>
      </c>
      <c r="C28" s="40" t="s">
        <v>213</v>
      </c>
    </row>
    <row r="29" spans="1:4" x14ac:dyDescent="0.4">
      <c r="A29" s="40" t="s">
        <v>569</v>
      </c>
      <c r="B29" s="41" t="str">
        <f>IFERROR(INDEX(Mots!$B:$B,MATCH($A29,Mots!$A:$A,0)),"introuvable")</f>
        <v>la tondeuse à gazon</v>
      </c>
      <c r="C29" s="40" t="s">
        <v>213</v>
      </c>
      <c r="D29" s="39" t="s">
        <v>10120</v>
      </c>
    </row>
    <row r="30" spans="1:4" x14ac:dyDescent="0.4">
      <c r="A30" s="40" t="s">
        <v>573</v>
      </c>
      <c r="B30" s="41" t="str">
        <f>IFERROR(INDEX(Mots!$B:$B,MATCH($A30,Mots!$A:$A,0)),"introuvable")</f>
        <v>l'essence pour tondeuse</v>
      </c>
      <c r="C30" s="40" t="s">
        <v>213</v>
      </c>
      <c r="D30" s="39" t="s">
        <v>10120</v>
      </c>
    </row>
    <row r="31" spans="1:4" x14ac:dyDescent="0.4">
      <c r="A31" s="40" t="s">
        <v>577</v>
      </c>
      <c r="B31" s="41" t="str">
        <f>IFERROR(INDEX(Mots!$B:$B,MATCH($A31,Mots!$A:$A,0)),"introuvable")</f>
        <v>la débroussailleuse</v>
      </c>
      <c r="C31" s="40" t="s">
        <v>213</v>
      </c>
      <c r="D31" s="39" t="s">
        <v>10120</v>
      </c>
    </row>
    <row r="32" spans="1:4" x14ac:dyDescent="0.4">
      <c r="A32" s="40" t="s">
        <v>581</v>
      </c>
      <c r="B32" s="41" t="str">
        <f>IFERROR(INDEX(Mots!$B:$B,MATCH($A32,Mots!$A:$A,0)),"introuvable")</f>
        <v>le fil pour la débroussailleuse</v>
      </c>
      <c r="C32" s="40" t="s">
        <v>213</v>
      </c>
      <c r="D32" s="39" t="s">
        <v>10120</v>
      </c>
    </row>
    <row r="33" spans="1:4" x14ac:dyDescent="0.4">
      <c r="A33" s="40" t="s">
        <v>585</v>
      </c>
      <c r="B33" s="41" t="str">
        <f>IFERROR(INDEX(Mots!$B:$B,MATCH($A33,Mots!$A:$A,0)),"introuvable")</f>
        <v>le don d'honneur (argent)</v>
      </c>
      <c r="C33" s="40" t="s">
        <v>156</v>
      </c>
    </row>
    <row r="34" spans="1:4" x14ac:dyDescent="0.4">
      <c r="A34" s="40" t="s">
        <v>9695</v>
      </c>
      <c r="B34" s="41" t="str">
        <f>IFERROR(INDEX(Mots!$B:$B,MATCH($A34,Mots!$A:$A,0)),"introuvable")</f>
        <v>le défilé - le concours de marche</v>
      </c>
      <c r="C34" s="40" t="s">
        <v>156</v>
      </c>
    </row>
    <row r="35" spans="1:4" x14ac:dyDescent="0.4">
      <c r="A35" s="40" t="s">
        <v>591</v>
      </c>
      <c r="B35" s="41" t="str">
        <f>IFERROR(INDEX(Mots!$B:$B,MATCH($A35,Mots!$A:$A,0)),"introuvable")</f>
        <v>l'ASM</v>
      </c>
      <c r="C35" s="40" t="s">
        <v>156</v>
      </c>
    </row>
    <row r="36" spans="1:4" x14ac:dyDescent="0.4">
      <c r="A36" s="40" t="s">
        <v>595</v>
      </c>
      <c r="B36" s="41" t="str">
        <f>IFERROR(INDEX(Mots!$B:$B,MATCH($A36,Mots!$A:$A,0)),"introuvable")</f>
        <v>l'ACMV</v>
      </c>
      <c r="C36" s="40" t="s">
        <v>156</v>
      </c>
    </row>
    <row r="37" spans="1:4" x14ac:dyDescent="0.4">
      <c r="A37" s="40" t="s">
        <v>599</v>
      </c>
      <c r="B37" s="41" t="str">
        <f>IFERROR(INDEX(Mots!$B:$B,MATCH($A37,Mots!$A:$A,0)),"introuvable")</f>
        <v>la FMVC</v>
      </c>
      <c r="C37" s="40" t="s">
        <v>156</v>
      </c>
    </row>
    <row r="38" spans="1:4" x14ac:dyDescent="0.4">
      <c r="A38" s="40" t="s">
        <v>603</v>
      </c>
      <c r="B38" s="41" t="str">
        <f>IFERROR(INDEX(Mots!$B:$B,MATCH($A38,Mots!$A:$A,0)),"introuvable")</f>
        <v>Yvan Maistre</v>
      </c>
      <c r="C38" s="40" t="s">
        <v>156</v>
      </c>
      <c r="D38" s="40" t="s">
        <v>87</v>
      </c>
    </row>
    <row r="39" spans="1:4" x14ac:dyDescent="0.4">
      <c r="A39" s="40" t="s">
        <v>607</v>
      </c>
      <c r="B39" s="41" t="str">
        <f>IFERROR(INDEX(Mots!$B:$B,MATCH($A39,Mots!$A:$A,0)),"introuvable")</f>
        <v>la baguette</v>
      </c>
      <c r="C39" s="40" t="s">
        <v>137</v>
      </c>
      <c r="D39" s="40" t="s">
        <v>147</v>
      </c>
    </row>
    <row r="40" spans="1:4" x14ac:dyDescent="0.4">
      <c r="A40" s="40" t="s">
        <v>611</v>
      </c>
      <c r="B40" s="41" t="str">
        <f>IFERROR(INDEX(Mots!$B:$B,MATCH($A40,Mots!$A:$A,0)),"introuvable")</f>
        <v>la chanson</v>
      </c>
      <c r="C40" s="40" t="s">
        <v>156</v>
      </c>
    </row>
    <row r="41" spans="1:4" x14ac:dyDescent="0.4">
      <c r="A41" s="40" t="s">
        <v>615</v>
      </c>
      <c r="B41" s="41" t="str">
        <f>IFERROR(INDEX(Mots!$B:$B,MATCH($A41,Mots!$A:$A,0)),"introuvable")</f>
        <v>la chorale</v>
      </c>
      <c r="C41" s="40" t="s">
        <v>156</v>
      </c>
    </row>
    <row r="42" spans="1:4" x14ac:dyDescent="0.4">
      <c r="A42" s="40" t="s">
        <v>618</v>
      </c>
      <c r="B42" s="41" t="str">
        <f>IFERROR(INDEX(Mots!$B:$B,MATCH($A42,Mots!$A:$A,0)),"introuvable")</f>
        <v>la danse</v>
      </c>
      <c r="C42" s="40" t="s">
        <v>156</v>
      </c>
    </row>
    <row r="43" spans="1:4" x14ac:dyDescent="0.4">
      <c r="A43" s="40" t="s">
        <v>622</v>
      </c>
      <c r="B43" s="41" t="str">
        <f>IFERROR(INDEX(Mots!$B:$B,MATCH($A43,Mots!$A:$A,0)),"introuvable")</f>
        <v>la mélodie</v>
      </c>
      <c r="C43" s="40" t="s">
        <v>156</v>
      </c>
    </row>
    <row r="44" spans="1:4" x14ac:dyDescent="0.4">
      <c r="A44" s="40" t="s">
        <v>626</v>
      </c>
      <c r="B44" s="41" t="str">
        <f>IFERROR(INDEX(Mots!$B:$B,MATCH($A44,Mots!$A:$A,0)),"introuvable")</f>
        <v>la partition</v>
      </c>
      <c r="C44" s="40" t="s">
        <v>156</v>
      </c>
    </row>
    <row r="45" spans="1:4" x14ac:dyDescent="0.4">
      <c r="A45" s="40" t="s">
        <v>630</v>
      </c>
      <c r="B45" s="41" t="str">
        <f>IFERROR(INDEX(Mots!$B:$B,MATCH($A45,Mots!$A:$A,0)),"introuvable")</f>
        <v>la répétition</v>
      </c>
      <c r="C45" s="40" t="s">
        <v>156</v>
      </c>
    </row>
    <row r="46" spans="1:4" x14ac:dyDescent="0.4">
      <c r="A46" s="40" t="s">
        <v>634</v>
      </c>
      <c r="B46" s="41" t="str">
        <f>IFERROR(INDEX(Mots!$B:$B,MATCH($A46,Mots!$A:$A,0)),"introuvable")</f>
        <v>la scène</v>
      </c>
      <c r="C46" s="40" t="s">
        <v>156</v>
      </c>
    </row>
    <row r="47" spans="1:4" x14ac:dyDescent="0.4">
      <c r="A47" s="40" t="s">
        <v>638</v>
      </c>
      <c r="B47" s="41" t="str">
        <f>IFERROR(INDEX(Mots!$B:$B,MATCH($A47,Mots!$A:$A,0)),"introuvable")</f>
        <v>le directeur</v>
      </c>
      <c r="C47" s="40" t="s">
        <v>156</v>
      </c>
    </row>
    <row r="48" spans="1:4" x14ac:dyDescent="0.4">
      <c r="A48" s="40" t="s">
        <v>642</v>
      </c>
      <c r="B48" s="41" t="str">
        <f>IFERROR(INDEX(Mots!$B:$B,MATCH($A48,Mots!$A:$A,0)),"introuvable")</f>
        <v>le concert</v>
      </c>
      <c r="C48" s="40" t="s">
        <v>156</v>
      </c>
    </row>
    <row r="49" spans="1:3" x14ac:dyDescent="0.4">
      <c r="A49" s="40" t="s">
        <v>666</v>
      </c>
      <c r="B49" s="41" t="str">
        <f>IFERROR(INDEX(Mots!$B:$B,MATCH($A49,Mots!$A:$A,0)),"introuvable")</f>
        <v>le public</v>
      </c>
      <c r="C49" s="40" t="s">
        <v>156</v>
      </c>
    </row>
    <row r="50" spans="1:3" x14ac:dyDescent="0.4">
      <c r="A50" s="40" t="s">
        <v>670</v>
      </c>
      <c r="B50" s="41" t="str">
        <f>IFERROR(INDEX(Mots!$B:$B,MATCH($A50,Mots!$A:$A,0)),"introuvable")</f>
        <v>le son</v>
      </c>
      <c r="C50" s="40" t="s">
        <v>156</v>
      </c>
    </row>
    <row r="51" spans="1:3" x14ac:dyDescent="0.4">
      <c r="A51" s="40" t="s">
        <v>674</v>
      </c>
      <c r="B51" s="41" t="str">
        <f>IFERROR(INDEX(Mots!$B:$B,MATCH($A51,Mots!$A:$A,0)),"introuvable")</f>
        <v>le souffle</v>
      </c>
      <c r="C51" s="40" t="s">
        <v>156</v>
      </c>
    </row>
    <row r="52" spans="1:3" x14ac:dyDescent="0.4">
      <c r="A52" s="40" t="s">
        <v>686</v>
      </c>
      <c r="B52" s="41" t="str">
        <f>IFERROR(INDEX(Mots!$B:$B,MATCH($A52,Mots!$A:$A,0)),"introuvable")</f>
        <v>les applaudissements</v>
      </c>
      <c r="C52" s="40" t="s">
        <v>156</v>
      </c>
    </row>
    <row r="53" spans="1:3" x14ac:dyDescent="0.4">
      <c r="A53" s="40" t="s">
        <v>702</v>
      </c>
      <c r="B53" s="41" t="str">
        <f>IFERROR(INDEX(Mots!$B:$B,MATCH($A53,Mots!$A:$A,0)),"introuvable")</f>
        <v>la cuisine</v>
      </c>
      <c r="C53" s="40" t="s">
        <v>186</v>
      </c>
    </row>
    <row r="54" spans="1:3" x14ac:dyDescent="0.4">
      <c r="A54" s="40" t="s">
        <v>705</v>
      </c>
      <c r="B54" s="41" t="str">
        <f>IFERROR(INDEX(Mots!$B:$B,MATCH($A54,Mots!$A:$A,0)),"introuvable")</f>
        <v>le frigo</v>
      </c>
      <c r="C54" s="40" t="s">
        <v>186</v>
      </c>
    </row>
    <row r="55" spans="1:3" x14ac:dyDescent="0.4">
      <c r="A55" s="40" t="s">
        <v>710</v>
      </c>
      <c r="B55" s="41" t="str">
        <f>IFERROR(INDEX(Mots!$B:$B,MATCH($A55,Mots!$A:$A,0)),"introuvable")</f>
        <v>le lave-vaisselle</v>
      </c>
      <c r="C55" s="40" t="s">
        <v>186</v>
      </c>
    </row>
    <row r="56" spans="1:3" x14ac:dyDescent="0.4">
      <c r="A56" s="40" t="s">
        <v>713</v>
      </c>
      <c r="B56" s="41" t="str">
        <f>IFERROR(INDEX(Mots!$B:$B,MATCH($A56,Mots!$A:$A,0)),"introuvable")</f>
        <v>le four</v>
      </c>
      <c r="C56" s="40" t="s">
        <v>186</v>
      </c>
    </row>
    <row r="57" spans="1:3" x14ac:dyDescent="0.4">
      <c r="A57" s="40" t="s">
        <v>717</v>
      </c>
      <c r="B57" s="41" t="str">
        <f>IFERROR(INDEX(Mots!$B:$B,MATCH($A57,Mots!$A:$A,0)),"introuvable")</f>
        <v>le micro onde</v>
      </c>
      <c r="C57" s="40" t="s">
        <v>186</v>
      </c>
    </row>
    <row r="58" spans="1:3" x14ac:dyDescent="0.4">
      <c r="A58" s="40" t="s">
        <v>724</v>
      </c>
      <c r="B58" s="41" t="str">
        <f>IFERROR(INDEX(Mots!$B:$B,MATCH($A58,Mots!$A:$A,0)),"introuvable")</f>
        <v>la cuisinière vitroceram</v>
      </c>
      <c r="C58" s="40" t="s">
        <v>186</v>
      </c>
    </row>
    <row r="59" spans="1:3" x14ac:dyDescent="0.4">
      <c r="A59" s="40" t="s">
        <v>728</v>
      </c>
      <c r="B59" s="41" t="str">
        <f>IFERROR(INDEX(Mots!$B:$B,MATCH($A59,Mots!$A:$A,0)),"introuvable")</f>
        <v>la machine à café</v>
      </c>
      <c r="C59" s="40" t="s">
        <v>186</v>
      </c>
    </row>
    <row r="60" spans="1:3" x14ac:dyDescent="0.4">
      <c r="A60" s="40" t="s">
        <v>733</v>
      </c>
      <c r="B60" s="41" t="str">
        <f>IFERROR(INDEX(Mots!$B:$B,MATCH($A60,Mots!$A:$A,0)),"introuvable")</f>
        <v>le verre</v>
      </c>
      <c r="C60" s="40" t="s">
        <v>186</v>
      </c>
    </row>
    <row r="61" spans="1:3" x14ac:dyDescent="0.4">
      <c r="A61" s="40" t="s">
        <v>737</v>
      </c>
      <c r="B61" s="41" t="str">
        <f>IFERROR(INDEX(Mots!$B:$B,MATCH($A61,Mots!$A:$A,0)),"introuvable")</f>
        <v>la tasse</v>
      </c>
      <c r="C61" s="40" t="s">
        <v>186</v>
      </c>
    </row>
    <row r="62" spans="1:3" x14ac:dyDescent="0.4">
      <c r="A62" s="40" t="s">
        <v>9642</v>
      </c>
      <c r="B62" s="41" t="str">
        <f>IFERROR(INDEX(Mots!$B:$B,MATCH($A62,Mots!$A:$A,0)),"introuvable")</f>
        <v>la bouteille</v>
      </c>
      <c r="C62" s="40" t="s">
        <v>186</v>
      </c>
    </row>
    <row r="63" spans="1:3" x14ac:dyDescent="0.4">
      <c r="A63" s="40" t="s">
        <v>9483</v>
      </c>
      <c r="B63" s="41" t="str">
        <f>IFERROR(INDEX(Mots!$B:$B,MATCH($A63,Mots!$A:$A,0)),"introuvable")</f>
        <v>le pot ou la mesure</v>
      </c>
      <c r="C63" s="40" t="s">
        <v>186</v>
      </c>
    </row>
    <row r="64" spans="1:3" x14ac:dyDescent="0.4">
      <c r="A64" s="40" t="s">
        <v>746</v>
      </c>
      <c r="B64" s="41" t="str">
        <f>IFERROR(INDEX(Mots!$B:$B,MATCH($A64,Mots!$A:$A,0)),"introuvable")</f>
        <v>l'assiette</v>
      </c>
      <c r="C64" s="40" t="s">
        <v>186</v>
      </c>
    </row>
    <row r="65" spans="1:5" x14ac:dyDescent="0.4">
      <c r="A65" s="40" t="s">
        <v>750</v>
      </c>
      <c r="B65" s="41" t="str">
        <f>IFERROR(INDEX(Mots!$B:$B,MATCH($A65,Mots!$A:$A,0)),"introuvable")</f>
        <v>la fourchette</v>
      </c>
      <c r="C65" s="40" t="s">
        <v>186</v>
      </c>
    </row>
    <row r="66" spans="1:5" x14ac:dyDescent="0.4">
      <c r="A66" s="40" t="s">
        <v>753</v>
      </c>
      <c r="B66" s="41" t="str">
        <f>IFERROR(INDEX(Mots!$B:$B,MATCH($A66,Mots!$A:$A,0)),"introuvable")</f>
        <v>la cuillère</v>
      </c>
      <c r="C66" s="40" t="s">
        <v>186</v>
      </c>
    </row>
    <row r="67" spans="1:5" x14ac:dyDescent="0.4">
      <c r="A67" s="40" t="s">
        <v>756</v>
      </c>
      <c r="B67" s="41" t="str">
        <f>IFERROR(INDEX(Mots!$B:$B,MATCH($A67,Mots!$A:$A,0)),"introuvable")</f>
        <v>le couteau</v>
      </c>
      <c r="C67" s="40" t="s">
        <v>186</v>
      </c>
    </row>
    <row r="68" spans="1:5" x14ac:dyDescent="0.4">
      <c r="A68" s="40" t="s">
        <v>760</v>
      </c>
      <c r="B68" s="41" t="str">
        <f>IFERROR(INDEX(Mots!$B:$B,MATCH($A68,Mots!$A:$A,0)),"introuvable")</f>
        <v>la casserole</v>
      </c>
      <c r="C68" s="40" t="s">
        <v>186</v>
      </c>
    </row>
    <row r="69" spans="1:5" x14ac:dyDescent="0.4">
      <c r="A69" s="40" t="s">
        <v>10047</v>
      </c>
      <c r="B69" s="41" t="str">
        <f>IFERROR(INDEX(Mots!$B:$B,MATCH($A69,Mots!$A:$A,0)),"introuvable")</f>
        <v>la marmite</v>
      </c>
      <c r="C69" s="40" t="s">
        <v>186</v>
      </c>
    </row>
    <row r="70" spans="1:5" x14ac:dyDescent="0.4">
      <c r="A70" s="40" t="s">
        <v>764</v>
      </c>
      <c r="B70" s="41" t="str">
        <f>IFERROR(INDEX(Mots!$B:$B,MATCH($A70,Mots!$A:$A,0)),"introuvable")</f>
        <v>la poêle</v>
      </c>
      <c r="C70" s="40" t="s">
        <v>186</v>
      </c>
    </row>
    <row r="71" spans="1:5" x14ac:dyDescent="0.4">
      <c r="A71" s="40" t="s">
        <v>767</v>
      </c>
      <c r="B71" s="41" t="str">
        <f>IFERROR(INDEX(Mots!$B:$B,MATCH($A71,Mots!$A:$A,0)),"introuvable")</f>
        <v>l'évier ou la plonge</v>
      </c>
      <c r="C71" s="40" t="s">
        <v>186</v>
      </c>
    </row>
    <row r="72" spans="1:5" x14ac:dyDescent="0.4">
      <c r="A72" s="40" t="s">
        <v>771</v>
      </c>
      <c r="B72" s="41" t="str">
        <f>IFERROR(INDEX(Mots!$B:$B,MATCH($A72,Mots!$A:$A,0)),"introuvable")</f>
        <v>le caquelon et le réchaud</v>
      </c>
      <c r="C72" s="40" t="s">
        <v>186</v>
      </c>
    </row>
    <row r="73" spans="1:5" x14ac:dyDescent="0.4">
      <c r="A73" s="40" t="s">
        <v>775</v>
      </c>
      <c r="B73" s="41" t="str">
        <f>IFERROR(INDEX(Mots!$B:$B,MATCH($A73,Mots!$A:$A,0)),"introuvable")</f>
        <v>la grille à raclette</v>
      </c>
      <c r="C73" s="40" t="s">
        <v>186</v>
      </c>
    </row>
    <row r="74" spans="1:5" x14ac:dyDescent="0.4">
      <c r="A74" s="40" t="s">
        <v>779</v>
      </c>
      <c r="B74" s="41" t="str">
        <f>IFERROR(INDEX(Mots!$B:$B,MATCH($A74,Mots!$A:$A,0)),"introuvable")</f>
        <v>le robinet</v>
      </c>
      <c r="C74" s="40" t="s">
        <v>186</v>
      </c>
    </row>
    <row r="75" spans="1:5" x14ac:dyDescent="0.4">
      <c r="A75" s="40" t="s">
        <v>782</v>
      </c>
      <c r="B75" s="41" t="str">
        <f>IFERROR(INDEX(Mots!$B:$B,MATCH($A75,Mots!$A:$A,0)),"introuvable")</f>
        <v>la table</v>
      </c>
      <c r="C75" s="40" t="s">
        <v>186</v>
      </c>
    </row>
    <row r="76" spans="1:5" x14ac:dyDescent="0.4">
      <c r="A76" s="40" t="s">
        <v>786</v>
      </c>
      <c r="B76" s="41" t="str">
        <f>IFERROR(INDEX(Mots!$B:$B,MATCH($A76,Mots!$A:$A,0)),"introuvable")</f>
        <v>la chaise</v>
      </c>
      <c r="C76" s="40" t="s">
        <v>186</v>
      </c>
    </row>
    <row r="77" spans="1:5" x14ac:dyDescent="0.4">
      <c r="A77" s="40" t="s">
        <v>791</v>
      </c>
      <c r="B77" s="41" t="str">
        <f>IFERROR(INDEX(Mots!$B:$B,MATCH($A77,Mots!$A:$A,0)),"introuvable")</f>
        <v>le buffet</v>
      </c>
      <c r="C77" s="40" t="s">
        <v>186</v>
      </c>
    </row>
    <row r="78" spans="1:5" x14ac:dyDescent="0.4">
      <c r="A78" s="40" t="s">
        <v>794</v>
      </c>
      <c r="B78" s="41" t="str">
        <f>IFERROR(INDEX(Mots!$B:$B,MATCH($A78,Mots!$A:$A,0)),"introuvable")</f>
        <v>la vaisselle</v>
      </c>
      <c r="C78" s="40" t="s">
        <v>186</v>
      </c>
    </row>
    <row r="79" spans="1:5" x14ac:dyDescent="0.4">
      <c r="A79" s="40" t="s">
        <v>798</v>
      </c>
      <c r="B79" s="41" t="str">
        <f>IFERROR(INDEX(Mots!$B:$B,MATCH($A79,Mots!$A:$A,0)),"introuvable")</f>
        <v>le dossier</v>
      </c>
      <c r="C79" s="40" t="s">
        <v>3223</v>
      </c>
    </row>
    <row r="80" spans="1:5" x14ac:dyDescent="0.4">
      <c r="A80" s="40" t="s">
        <v>802</v>
      </c>
      <c r="B80" s="41" t="str">
        <f>IFERROR(INDEX(Mots!$B:$B,MATCH($A80,Mots!$A:$A,0)),"introuvable")</f>
        <v>le lave-linge</v>
      </c>
      <c r="C80" s="40" t="s">
        <v>210</v>
      </c>
      <c r="D80" s="40" t="s">
        <v>319</v>
      </c>
      <c r="E80" s="40"/>
    </row>
    <row r="81" spans="1:5" x14ac:dyDescent="0.4">
      <c r="A81" s="40" t="s">
        <v>808</v>
      </c>
      <c r="B81" s="41" t="str">
        <f>IFERROR(INDEX(Mots!$B:$B,MATCH($A81,Mots!$A:$A,0)),"introuvable")</f>
        <v>le sèche-linge</v>
      </c>
      <c r="C81" s="40" t="s">
        <v>210</v>
      </c>
      <c r="D81" s="40" t="s">
        <v>319</v>
      </c>
      <c r="E81" s="40"/>
    </row>
    <row r="82" spans="1:5" x14ac:dyDescent="0.4">
      <c r="A82" s="40" t="s">
        <v>812</v>
      </c>
      <c r="B82" s="41" t="str">
        <f>IFERROR(INDEX(Mots!$B:$B,MATCH($A82,Mots!$A:$A,0)),"introuvable")</f>
        <v>le fer à repasser</v>
      </c>
      <c r="C82" s="40" t="s">
        <v>210</v>
      </c>
      <c r="D82" s="40" t="s">
        <v>319</v>
      </c>
      <c r="E82" s="40"/>
    </row>
    <row r="83" spans="1:5" x14ac:dyDescent="0.4">
      <c r="A83" s="40" t="s">
        <v>817</v>
      </c>
      <c r="B83" s="41" t="str">
        <f>IFERROR(INDEX(Mots!$B:$B,MATCH($A83,Mots!$A:$A,0)),"introuvable")</f>
        <v>le salon</v>
      </c>
      <c r="C83" s="40" t="s">
        <v>191</v>
      </c>
    </row>
    <row r="84" spans="1:5" x14ac:dyDescent="0.4">
      <c r="A84" s="40" t="s">
        <v>820</v>
      </c>
      <c r="B84" s="41" t="str">
        <f>IFERROR(INDEX(Mots!$B:$B,MATCH($A84,Mots!$A:$A,0)),"introuvable")</f>
        <v>le canapé</v>
      </c>
      <c r="C84" s="40" t="s">
        <v>191</v>
      </c>
    </row>
    <row r="85" spans="1:5" x14ac:dyDescent="0.4">
      <c r="A85" s="40" t="s">
        <v>823</v>
      </c>
      <c r="B85" s="41" t="str">
        <f>IFERROR(INDEX(Mots!$B:$B,MATCH($A85,Mots!$A:$A,0)),"introuvable")</f>
        <v>le fauteuil</v>
      </c>
      <c r="C85" s="40" t="s">
        <v>191</v>
      </c>
    </row>
    <row r="86" spans="1:5" x14ac:dyDescent="0.4">
      <c r="A86" s="40" t="s">
        <v>828</v>
      </c>
      <c r="B86" s="41" t="str">
        <f>IFERROR(INDEX(Mots!$B:$B,MATCH($A86,Mots!$A:$A,0)),"introuvable")</f>
        <v>le meuble</v>
      </c>
      <c r="C86" s="40" t="s">
        <v>191</v>
      </c>
    </row>
    <row r="87" spans="1:5" x14ac:dyDescent="0.4">
      <c r="A87" s="40" t="s">
        <v>832</v>
      </c>
      <c r="B87" s="41" t="str">
        <f>IFERROR(INDEX(Mots!$B:$B,MATCH($A87,Mots!$A:$A,0)),"introuvable")</f>
        <v>la télévision</v>
      </c>
      <c r="C87" s="40" t="s">
        <v>191</v>
      </c>
    </row>
    <row r="88" spans="1:5" x14ac:dyDescent="0.4">
      <c r="A88" s="40" t="s">
        <v>835</v>
      </c>
      <c r="B88" s="41" t="str">
        <f>IFERROR(INDEX(Mots!$B:$B,MATCH($A88,Mots!$A:$A,0)),"introuvable")</f>
        <v>la lampe</v>
      </c>
      <c r="C88" s="40" t="s">
        <v>191</v>
      </c>
      <c r="D88" s="40" t="s">
        <v>186</v>
      </c>
      <c r="E88" s="40" t="s">
        <v>196</v>
      </c>
    </row>
    <row r="89" spans="1:5" x14ac:dyDescent="0.4">
      <c r="A89" s="40" t="s">
        <v>839</v>
      </c>
      <c r="B89" s="41" t="str">
        <f>IFERROR(INDEX(Mots!$B:$B,MATCH($A89,Mots!$A:$A,0)),"introuvable")</f>
        <v>la portée et les mesures</v>
      </c>
      <c r="C89" s="40" t="s">
        <v>152</v>
      </c>
    </row>
    <row r="90" spans="1:5" x14ac:dyDescent="0.4">
      <c r="A90" s="40" t="s">
        <v>843</v>
      </c>
      <c r="B90" s="41" t="str">
        <f>IFERROR(INDEX(Mots!$B:$B,MATCH($A90,Mots!$A:$A,0)),"introuvable")</f>
        <v>la clé de sol</v>
      </c>
      <c r="C90" s="40" t="s">
        <v>152</v>
      </c>
    </row>
    <row r="91" spans="1:5" x14ac:dyDescent="0.4">
      <c r="A91" s="40" t="s">
        <v>847</v>
      </c>
      <c r="B91" s="41" t="str">
        <f>IFERROR(INDEX(Mots!$B:$B,MATCH($A91,Mots!$A:$A,0)),"introuvable")</f>
        <v>les figures de notes</v>
      </c>
      <c r="C91" s="40" t="s">
        <v>152</v>
      </c>
    </row>
    <row r="92" spans="1:5" x14ac:dyDescent="0.4">
      <c r="A92" s="40" t="s">
        <v>851</v>
      </c>
      <c r="B92" s="41" t="str">
        <f>IFERROR(INDEX(Mots!$B:$B,MATCH($A92,Mots!$A:$A,0)),"introuvable")</f>
        <v>les altérations</v>
      </c>
      <c r="C92" s="40" t="s">
        <v>152</v>
      </c>
    </row>
    <row r="93" spans="1:5" x14ac:dyDescent="0.4">
      <c r="A93" s="40" t="s">
        <v>855</v>
      </c>
      <c r="B93" s="41" t="str">
        <f>IFERROR(INDEX(Mots!$B:$B,MATCH($A93,Mots!$A:$A,0)),"introuvable")</f>
        <v>les silences</v>
      </c>
      <c r="C93" s="40" t="s">
        <v>152</v>
      </c>
    </row>
    <row r="94" spans="1:5" x14ac:dyDescent="0.4">
      <c r="A94" s="40" t="s">
        <v>859</v>
      </c>
      <c r="B94" s="41" t="str">
        <f>IFERROR(INDEX(Mots!$B:$B,MATCH($A94,Mots!$A:$A,0)),"introuvable")</f>
        <v>les nuances</v>
      </c>
      <c r="C94" s="40" t="s">
        <v>152</v>
      </c>
    </row>
    <row r="95" spans="1:5" x14ac:dyDescent="0.4">
      <c r="A95" s="40" t="s">
        <v>863</v>
      </c>
      <c r="B95" s="41" t="str">
        <f>IFERROR(INDEX(Mots!$B:$B,MATCH($A95,Mots!$A:$A,0)),"introuvable")</f>
        <v>le crescendo et decrescendo</v>
      </c>
      <c r="C95" s="40" t="s">
        <v>152</v>
      </c>
    </row>
    <row r="96" spans="1:5" x14ac:dyDescent="0.4">
      <c r="A96" s="40" t="s">
        <v>867</v>
      </c>
      <c r="B96" s="41" t="str">
        <f>IFERROR(INDEX(Mots!$B:$B,MATCH($A96,Mots!$A:$A,0)),"introuvable")</f>
        <v>la seconde</v>
      </c>
      <c r="C96" s="40" t="s">
        <v>387</v>
      </c>
    </row>
    <row r="97" spans="1:3" x14ac:dyDescent="0.4">
      <c r="A97" s="40" t="s">
        <v>872</v>
      </c>
      <c r="B97" s="41" t="str">
        <f>IFERROR(INDEX(Mots!$B:$B,MATCH($A97,Mots!$A:$A,0)),"introuvable")</f>
        <v>la minute</v>
      </c>
      <c r="C97" s="40" t="s">
        <v>387</v>
      </c>
    </row>
    <row r="98" spans="1:3" x14ac:dyDescent="0.4">
      <c r="A98" s="40" t="s">
        <v>876</v>
      </c>
      <c r="B98" s="41" t="str">
        <f>IFERROR(INDEX(Mots!$B:$B,MATCH($A98,Mots!$A:$A,0)),"introuvable")</f>
        <v>l'heure</v>
      </c>
      <c r="C98" s="40" t="s">
        <v>387</v>
      </c>
    </row>
    <row r="99" spans="1:3" x14ac:dyDescent="0.4">
      <c r="A99" s="40" t="s">
        <v>880</v>
      </c>
      <c r="B99" s="41" t="str">
        <f>IFERROR(INDEX(Mots!$B:$B,MATCH($A99,Mots!$A:$A,0)),"introuvable")</f>
        <v>le jour</v>
      </c>
      <c r="C99" s="40" t="s">
        <v>387</v>
      </c>
    </row>
    <row r="100" spans="1:3" x14ac:dyDescent="0.4">
      <c r="A100" s="40" t="s">
        <v>884</v>
      </c>
      <c r="B100" s="41" t="str">
        <f>IFERROR(INDEX(Mots!$B:$B,MATCH($A100,Mots!$A:$A,0)),"introuvable")</f>
        <v>le matin</v>
      </c>
      <c r="C100" s="40" t="s">
        <v>387</v>
      </c>
    </row>
    <row r="101" spans="1:3" x14ac:dyDescent="0.4">
      <c r="A101" s="40" t="s">
        <v>892</v>
      </c>
      <c r="B101" s="41" t="str">
        <f>IFERROR(INDEX(Mots!$B:$B,MATCH($A101,Mots!$A:$A,0)),"introuvable")</f>
        <v>le soir</v>
      </c>
      <c r="C101" s="40" t="s">
        <v>387</v>
      </c>
    </row>
    <row r="102" spans="1:3" x14ac:dyDescent="0.4">
      <c r="A102" s="40" t="s">
        <v>900</v>
      </c>
      <c r="B102" s="41" t="str">
        <f>IFERROR(INDEX(Mots!$B:$B,MATCH($A102,Mots!$A:$A,0)),"introuvable")</f>
        <v>la nuit</v>
      </c>
      <c r="C102" s="40" t="s">
        <v>387</v>
      </c>
    </row>
    <row r="103" spans="1:3" x14ac:dyDescent="0.4">
      <c r="A103" s="40" t="s">
        <v>904</v>
      </c>
      <c r="B103" s="41" t="str">
        <f>IFERROR(INDEX(Mots!$B:$B,MATCH($A103,Mots!$A:$A,0)),"introuvable")</f>
        <v>la semaine</v>
      </c>
      <c r="C103" s="40" t="s">
        <v>387</v>
      </c>
    </row>
    <row r="104" spans="1:3" x14ac:dyDescent="0.4">
      <c r="A104" s="40" t="s">
        <v>908</v>
      </c>
      <c r="B104" s="41" t="str">
        <f>IFERROR(INDEX(Mots!$B:$B,MATCH($A104,Mots!$A:$A,0)),"introuvable")</f>
        <v>le mois</v>
      </c>
      <c r="C104" s="40" t="s">
        <v>387</v>
      </c>
    </row>
    <row r="105" spans="1:3" x14ac:dyDescent="0.4">
      <c r="A105" s="40" t="s">
        <v>912</v>
      </c>
      <c r="B105" s="41" t="str">
        <f>IFERROR(INDEX(Mots!$B:$B,MATCH($A105,Mots!$A:$A,0)),"introuvable")</f>
        <v>l'année</v>
      </c>
      <c r="C105" s="40" t="s">
        <v>387</v>
      </c>
    </row>
    <row r="106" spans="1:3" x14ac:dyDescent="0.4">
      <c r="A106" s="40" t="s">
        <v>916</v>
      </c>
      <c r="B106" s="41" t="str">
        <f>IFERROR(INDEX(Mots!$B:$B,MATCH($A106,Mots!$A:$A,0)),"introuvable")</f>
        <v>le siècle</v>
      </c>
      <c r="C106" s="40" t="s">
        <v>387</v>
      </c>
    </row>
    <row r="107" spans="1:3" x14ac:dyDescent="0.4">
      <c r="A107" s="40" t="s">
        <v>920</v>
      </c>
      <c r="B107" s="41" t="str">
        <f>IFERROR(INDEX(Mots!$B:$B,MATCH($A107,Mots!$A:$A,0)),"introuvable")</f>
        <v>le printemps</v>
      </c>
      <c r="C107" s="40" t="s">
        <v>387</v>
      </c>
    </row>
    <row r="108" spans="1:3" x14ac:dyDescent="0.4">
      <c r="A108" s="40" t="s">
        <v>924</v>
      </c>
      <c r="B108" s="41" t="str">
        <f>IFERROR(INDEX(Mots!$B:$B,MATCH($A108,Mots!$A:$A,0)),"introuvable")</f>
        <v>l'été</v>
      </c>
      <c r="C108" s="40" t="s">
        <v>387</v>
      </c>
    </row>
    <row r="109" spans="1:3" x14ac:dyDescent="0.4">
      <c r="A109" s="40" t="s">
        <v>928</v>
      </c>
      <c r="B109" s="41" t="str">
        <f>IFERROR(INDEX(Mots!$B:$B,MATCH($A109,Mots!$A:$A,0)),"introuvable")</f>
        <v>l'automne</v>
      </c>
      <c r="C109" s="40" t="s">
        <v>387</v>
      </c>
    </row>
    <row r="110" spans="1:3" x14ac:dyDescent="0.4">
      <c r="A110" s="40" t="s">
        <v>932</v>
      </c>
      <c r="B110" s="41" t="str">
        <f>IFERROR(INDEX(Mots!$B:$B,MATCH($A110,Mots!$A:$A,0)),"introuvable")</f>
        <v>l'hiver</v>
      </c>
      <c r="C110" s="40" t="s">
        <v>387</v>
      </c>
    </row>
    <row r="111" spans="1:3" x14ac:dyDescent="0.4">
      <c r="A111" s="40" t="s">
        <v>936</v>
      </c>
      <c r="B111" s="41" t="str">
        <f>IFERROR(INDEX(Mots!$B:$B,MATCH($A111,Mots!$A:$A,0)),"introuvable")</f>
        <v>la saison</v>
      </c>
      <c r="C111" s="40" t="s">
        <v>387</v>
      </c>
    </row>
    <row r="112" spans="1:3" x14ac:dyDescent="0.4">
      <c r="A112" s="40" t="s">
        <v>940</v>
      </c>
      <c r="B112" s="41" t="str">
        <f>IFERROR(INDEX(Mots!$B:$B,MATCH($A112,Mots!$A:$A,0)),"introuvable")</f>
        <v>la date</v>
      </c>
      <c r="C112" s="40" t="s">
        <v>387</v>
      </c>
    </row>
    <row r="113" spans="1:3" x14ac:dyDescent="0.4">
      <c r="A113" s="40" t="s">
        <v>944</v>
      </c>
      <c r="B113" s="41" t="str">
        <f>IFERROR(INDEX(Mots!$B:$B,MATCH($A113,Mots!$A:$A,0)),"introuvable")</f>
        <v>l'anniversaire</v>
      </c>
      <c r="C113" s="40" t="s">
        <v>387</v>
      </c>
    </row>
    <row r="114" spans="1:3" x14ac:dyDescent="0.4">
      <c r="A114" s="40" t="s">
        <v>948</v>
      </c>
      <c r="B114" s="41" t="str">
        <f>IFERROR(INDEX(Mots!$B:$B,MATCH($A114,Mots!$A:$A,0)),"introuvable")</f>
        <v>aujourd'hui</v>
      </c>
      <c r="C114" s="40" t="s">
        <v>387</v>
      </c>
    </row>
    <row r="115" spans="1:3" x14ac:dyDescent="0.4">
      <c r="A115" s="40" t="s">
        <v>953</v>
      </c>
      <c r="B115" s="41" t="str">
        <f>IFERROR(INDEX(Mots!$B:$B,MATCH($A115,Mots!$A:$A,0)),"introuvable")</f>
        <v>hier</v>
      </c>
      <c r="C115" s="40" t="s">
        <v>387</v>
      </c>
    </row>
    <row r="116" spans="1:3" x14ac:dyDescent="0.4">
      <c r="A116" s="40" t="s">
        <v>955</v>
      </c>
      <c r="B116" s="41" t="str">
        <f>IFERROR(INDEX(Mots!$B:$B,MATCH($A116,Mots!$A:$A,0)),"introuvable")</f>
        <v>demain</v>
      </c>
      <c r="C116" s="40" t="s">
        <v>387</v>
      </c>
    </row>
    <row r="117" spans="1:3" x14ac:dyDescent="0.4">
      <c r="A117" s="40" t="s">
        <v>957</v>
      </c>
      <c r="B117" s="41" t="str">
        <f>IFERROR(INDEX(Mots!$B:$B,MATCH($A117,Mots!$A:$A,0)),"introuvable")</f>
        <v>maintenant</v>
      </c>
      <c r="C117" s="40" t="s">
        <v>387</v>
      </c>
    </row>
    <row r="118" spans="1:3" x14ac:dyDescent="0.4">
      <c r="A118" s="40" t="s">
        <v>960</v>
      </c>
      <c r="B118" s="41" t="str">
        <f>IFERROR(INDEX(Mots!$B:$B,MATCH($A118,Mots!$A:$A,0)),"introuvable")</f>
        <v>le calendrier</v>
      </c>
      <c r="C118" s="40" t="s">
        <v>387</v>
      </c>
    </row>
    <row r="119" spans="1:3" x14ac:dyDescent="0.4">
      <c r="A119" s="40" t="s">
        <v>964</v>
      </c>
      <c r="B119" s="41" t="str">
        <f>IFERROR(INDEX(Mots!$B:$B,MATCH($A119,Mots!$A:$A,0)),"introuvable")</f>
        <v>l'agenda</v>
      </c>
      <c r="C119" s="40" t="s">
        <v>387</v>
      </c>
    </row>
    <row r="120" spans="1:3" x14ac:dyDescent="0.4">
      <c r="A120" s="40" t="s">
        <v>968</v>
      </c>
      <c r="B120" s="41" t="str">
        <f>IFERROR(INDEX(Mots!$B:$B,MATCH($A120,Mots!$A:$A,0)),"introuvable")</f>
        <v>la durée</v>
      </c>
      <c r="C120" s="40" t="s">
        <v>387</v>
      </c>
    </row>
    <row r="121" spans="1:3" x14ac:dyDescent="0.4">
      <c r="A121" s="40" t="s">
        <v>972</v>
      </c>
      <c r="B121" s="41" t="str">
        <f>IFERROR(INDEX(Mots!$B:$B,MATCH($A121,Mots!$A:$A,0)),"introuvable")</f>
        <v>tôt</v>
      </c>
      <c r="C121" s="40" t="s">
        <v>387</v>
      </c>
    </row>
    <row r="122" spans="1:3" x14ac:dyDescent="0.4">
      <c r="A122" s="40" t="s">
        <v>976</v>
      </c>
      <c r="B122" s="41" t="str">
        <f>IFERROR(INDEX(Mots!$B:$B,MATCH($A122,Mots!$A:$A,0)),"introuvable")</f>
        <v>tard</v>
      </c>
      <c r="C122" s="40" t="s">
        <v>387</v>
      </c>
    </row>
    <row r="123" spans="1:3" x14ac:dyDescent="0.4">
      <c r="A123" s="40" t="s">
        <v>979</v>
      </c>
      <c r="B123" s="41" t="str">
        <f>IFERROR(INDEX(Mots!$B:$B,MATCH($A123,Mots!$A:$A,0)),"introuvable")</f>
        <v>toujours</v>
      </c>
      <c r="C123" s="40" t="s">
        <v>387</v>
      </c>
    </row>
    <row r="124" spans="1:3" x14ac:dyDescent="0.4">
      <c r="A124" s="40" t="s">
        <v>982</v>
      </c>
      <c r="B124" s="41" t="str">
        <f>IFERROR(INDEX(Mots!$B:$B,MATCH($A124,Mots!$A:$A,0)),"introuvable")</f>
        <v>jamais</v>
      </c>
      <c r="C124" s="40" t="s">
        <v>387</v>
      </c>
    </row>
    <row r="125" spans="1:3" x14ac:dyDescent="0.4">
      <c r="A125" s="40" t="s">
        <v>985</v>
      </c>
      <c r="B125" s="41" t="str">
        <f>IFERROR(INDEX(Mots!$B:$B,MATCH($A125,Mots!$A:$A,0)),"introuvable")</f>
        <v>souvent</v>
      </c>
      <c r="C125" s="40" t="s">
        <v>387</v>
      </c>
    </row>
    <row r="126" spans="1:3" x14ac:dyDescent="0.4">
      <c r="A126" s="40" t="s">
        <v>988</v>
      </c>
      <c r="B126" s="41" t="str">
        <f>IFERROR(INDEX(Mots!$B:$B,MATCH($A126,Mots!$A:$A,0)),"introuvable")</f>
        <v>parfois</v>
      </c>
      <c r="C126" s="40" t="s">
        <v>387</v>
      </c>
    </row>
    <row r="127" spans="1:3" x14ac:dyDescent="0.4">
      <c r="A127" s="40" t="s">
        <v>991</v>
      </c>
      <c r="B127" s="41" t="str">
        <f>IFERROR(INDEX(Mots!$B:$B,MATCH($A127,Mots!$A:$A,0)),"introuvable")</f>
        <v>la paire</v>
      </c>
      <c r="C127" s="40" t="s">
        <v>387</v>
      </c>
    </row>
    <row r="128" spans="1:3" x14ac:dyDescent="0.4">
      <c r="A128" s="40" t="s">
        <v>995</v>
      </c>
      <c r="B128" s="41" t="str">
        <f>IFERROR(INDEX(Mots!$B:$B,MATCH($A128,Mots!$A:$A,0)),"introuvable")</f>
        <v>la douzaine</v>
      </c>
      <c r="C128" s="40" t="s">
        <v>387</v>
      </c>
    </row>
    <row r="129" spans="1:3" x14ac:dyDescent="0.4">
      <c r="A129" s="40" t="s">
        <v>999</v>
      </c>
      <c r="B129" s="41" t="str">
        <f>IFERROR(INDEX(Mots!$B:$B,MATCH($A129,Mots!$A:$A,0)),"introuvable")</f>
        <v>la centaine</v>
      </c>
      <c r="C129" s="40" t="s">
        <v>387</v>
      </c>
    </row>
    <row r="130" spans="1:3" x14ac:dyDescent="0.4">
      <c r="A130" s="40" t="s">
        <v>1003</v>
      </c>
      <c r="B130" s="41" t="str">
        <f>IFERROR(INDEX(Mots!$B:$B,MATCH($A130,Mots!$A:$A,0)),"introuvable")</f>
        <v>le ventre</v>
      </c>
      <c r="C130" s="40" t="s">
        <v>9524</v>
      </c>
    </row>
    <row r="131" spans="1:3" x14ac:dyDescent="0.4">
      <c r="A131" s="40" t="s">
        <v>1008</v>
      </c>
      <c r="B131" s="41" t="str">
        <f>IFERROR(INDEX(Mots!$B:$B,MATCH($A131,Mots!$A:$A,0)),"introuvable")</f>
        <v>le dos</v>
      </c>
      <c r="C131" s="40" t="s">
        <v>9524</v>
      </c>
    </row>
    <row r="132" spans="1:3" x14ac:dyDescent="0.4">
      <c r="A132" s="40" t="s">
        <v>1013</v>
      </c>
      <c r="B132" s="41" t="str">
        <f>IFERROR(INDEX(Mots!$B:$B,MATCH($A132,Mots!$A:$A,0)),"introuvable")</f>
        <v>le coeur</v>
      </c>
      <c r="C132" s="40" t="s">
        <v>9524</v>
      </c>
    </row>
    <row r="133" spans="1:3" x14ac:dyDescent="0.4">
      <c r="A133" s="40" t="s">
        <v>1017</v>
      </c>
      <c r="B133" s="41" t="str">
        <f>IFERROR(INDEX(Mots!$B:$B,MATCH($A133,Mots!$A:$A,0)),"introuvable")</f>
        <v>la poitrine</v>
      </c>
      <c r="C133" s="40" t="s">
        <v>9524</v>
      </c>
    </row>
    <row r="134" spans="1:3" x14ac:dyDescent="0.4">
      <c r="A134" s="40" t="s">
        <v>1021</v>
      </c>
      <c r="B134" s="41" t="str">
        <f>IFERROR(INDEX(Mots!$B:$B,MATCH($A134,Mots!$A:$A,0)),"introuvable")</f>
        <v>le torse</v>
      </c>
      <c r="C134" s="40" t="s">
        <v>9524</v>
      </c>
    </row>
    <row r="135" spans="1:3" x14ac:dyDescent="0.4">
      <c r="A135" s="40" t="s">
        <v>1025</v>
      </c>
      <c r="B135" s="41" t="str">
        <f>IFERROR(INDEX(Mots!$B:$B,MATCH($A135,Mots!$A:$A,0)),"introuvable")</f>
        <v>l'épaule</v>
      </c>
      <c r="C135" s="40" t="s">
        <v>9524</v>
      </c>
    </row>
    <row r="136" spans="1:3" x14ac:dyDescent="0.4">
      <c r="A136" s="40" t="s">
        <v>1029</v>
      </c>
      <c r="B136" s="41" t="str">
        <f>IFERROR(INDEX(Mots!$B:$B,MATCH($A136,Mots!$A:$A,0)),"introuvable")</f>
        <v>la tête</v>
      </c>
      <c r="C136" s="40" t="s">
        <v>1029</v>
      </c>
    </row>
    <row r="137" spans="1:3" x14ac:dyDescent="0.4">
      <c r="A137" s="40" t="s">
        <v>1032</v>
      </c>
      <c r="B137" s="41" t="str">
        <f>IFERROR(INDEX(Mots!$B:$B,MATCH($A137,Mots!$A:$A,0)),"introuvable")</f>
        <v>les cheveux</v>
      </c>
      <c r="C137" s="40" t="s">
        <v>1029</v>
      </c>
    </row>
    <row r="138" spans="1:3" x14ac:dyDescent="0.4">
      <c r="A138" s="40" t="s">
        <v>1037</v>
      </c>
      <c r="B138" s="41" t="str">
        <f>IFERROR(INDEX(Mots!$B:$B,MATCH($A138,Mots!$A:$A,0)),"introuvable")</f>
        <v>l'oeil</v>
      </c>
      <c r="C138" s="40" t="s">
        <v>1029</v>
      </c>
    </row>
    <row r="139" spans="1:3" x14ac:dyDescent="0.4">
      <c r="A139" s="40" t="s">
        <v>1042</v>
      </c>
      <c r="B139" s="41" t="str">
        <f>IFERROR(INDEX(Mots!$B:$B,MATCH($A139,Mots!$A:$A,0)),"introuvable")</f>
        <v>le nez</v>
      </c>
      <c r="C139" s="40" t="s">
        <v>1029</v>
      </c>
    </row>
    <row r="140" spans="1:3" x14ac:dyDescent="0.4">
      <c r="A140" s="40" t="s">
        <v>1051</v>
      </c>
      <c r="B140" s="41" t="str">
        <f>IFERROR(INDEX(Mots!$B:$B,MATCH($A140,Mots!$A:$A,0)),"introuvable")</f>
        <v>la bouche</v>
      </c>
      <c r="C140" s="40" t="s">
        <v>1029</v>
      </c>
    </row>
    <row r="141" spans="1:3" x14ac:dyDescent="0.4">
      <c r="A141" s="40" t="s">
        <v>1055</v>
      </c>
      <c r="B141" s="41" t="str">
        <f>IFERROR(INDEX(Mots!$B:$B,MATCH($A141,Mots!$A:$A,0)),"introuvable")</f>
        <v>la dent</v>
      </c>
      <c r="C141" s="40" t="s">
        <v>1029</v>
      </c>
    </row>
    <row r="142" spans="1:3" x14ac:dyDescent="0.4">
      <c r="A142" s="40" t="s">
        <v>1060</v>
      </c>
      <c r="B142" s="41" t="str">
        <f>IFERROR(INDEX(Mots!$B:$B,MATCH($A142,Mots!$A:$A,0)),"introuvable")</f>
        <v>l'oreille</v>
      </c>
      <c r="C142" s="40" t="s">
        <v>1029</v>
      </c>
    </row>
    <row r="143" spans="1:3" x14ac:dyDescent="0.4">
      <c r="A143" s="40" t="s">
        <v>1065</v>
      </c>
      <c r="B143" s="41" t="str">
        <f>IFERROR(INDEX(Mots!$B:$B,MATCH($A143,Mots!$A:$A,0)),"introuvable")</f>
        <v>la joue</v>
      </c>
      <c r="C143" s="40" t="s">
        <v>1029</v>
      </c>
    </row>
    <row r="144" spans="1:3" x14ac:dyDescent="0.4">
      <c r="A144" s="40" t="s">
        <v>1069</v>
      </c>
      <c r="B144" s="41" t="str">
        <f>IFERROR(INDEX(Mots!$B:$B,MATCH($A144,Mots!$A:$A,0)),"introuvable")</f>
        <v>la langue</v>
      </c>
      <c r="C144" s="40" t="s">
        <v>1029</v>
      </c>
    </row>
    <row r="145" spans="1:4" x14ac:dyDescent="0.4">
      <c r="A145" s="40" t="s">
        <v>1073</v>
      </c>
      <c r="B145" s="41" t="str">
        <f>IFERROR(INDEX(Mots!$B:$B,MATCH($A145,Mots!$A:$A,0)),"introuvable")</f>
        <v>la lèvre</v>
      </c>
      <c r="C145" s="40" t="s">
        <v>1029</v>
      </c>
    </row>
    <row r="146" spans="1:4" x14ac:dyDescent="0.4">
      <c r="A146" s="40" t="s">
        <v>1077</v>
      </c>
      <c r="B146" s="41" t="str">
        <f>IFERROR(INDEX(Mots!$B:$B,MATCH($A146,Mots!$A:$A,0)),"introuvable")</f>
        <v>le cou</v>
      </c>
      <c r="C146" s="40" t="s">
        <v>1029</v>
      </c>
    </row>
    <row r="147" spans="1:4" x14ac:dyDescent="0.4">
      <c r="A147" s="40" t="s">
        <v>1081</v>
      </c>
      <c r="B147" s="41" t="str">
        <f>IFERROR(INDEX(Mots!$B:$B,MATCH($A147,Mots!$A:$A,0)),"introuvable")</f>
        <v>le front</v>
      </c>
      <c r="C147" s="40" t="s">
        <v>1029</v>
      </c>
    </row>
    <row r="148" spans="1:4" x14ac:dyDescent="0.4">
      <c r="A148" s="40" t="s">
        <v>1085</v>
      </c>
      <c r="B148" s="41" t="str">
        <f>IFERROR(INDEX(Mots!$B:$B,MATCH($A148,Mots!$A:$A,0)),"introuvable")</f>
        <v>la casquette</v>
      </c>
      <c r="C148" s="40" t="s">
        <v>10072</v>
      </c>
      <c r="D148" s="39" t="s">
        <v>10122</v>
      </c>
    </row>
    <row r="149" spans="1:4" x14ac:dyDescent="0.4">
      <c r="A149" s="40" t="s">
        <v>1090</v>
      </c>
      <c r="B149" s="41" t="str">
        <f>IFERROR(INDEX(Mots!$B:$B,MATCH($A149,Mots!$A:$A,0)),"introuvable")</f>
        <v>la ceinture</v>
      </c>
      <c r="C149" s="40" t="s">
        <v>10072</v>
      </c>
    </row>
    <row r="150" spans="1:4" x14ac:dyDescent="0.4">
      <c r="A150" s="40" t="s">
        <v>1094</v>
      </c>
      <c r="B150" s="41" t="str">
        <f>IFERROR(INDEX(Mots!$B:$B,MATCH($A150,Mots!$A:$A,0)),"introuvable")</f>
        <v>le bonnet</v>
      </c>
      <c r="C150" s="40" t="s">
        <v>10072</v>
      </c>
    </row>
    <row r="151" spans="1:4" x14ac:dyDescent="0.4">
      <c r="A151" s="40" t="s">
        <v>1098</v>
      </c>
      <c r="B151" s="41" t="str">
        <f>IFERROR(INDEX(Mots!$B:$B,MATCH($A151,Mots!$A:$A,0)),"introuvable")</f>
        <v>le gant</v>
      </c>
      <c r="C151" s="40" t="s">
        <v>10072</v>
      </c>
    </row>
    <row r="152" spans="1:4" x14ac:dyDescent="0.4">
      <c r="A152" s="40" t="s">
        <v>1106</v>
      </c>
      <c r="B152" s="41" t="str">
        <f>IFERROR(INDEX(Mots!$B:$B,MATCH($A152,Mots!$A:$A,0)),"introuvable")</f>
        <v>l'écharpe</v>
      </c>
      <c r="C152" s="40" t="s">
        <v>10072</v>
      </c>
    </row>
    <row r="153" spans="1:4" x14ac:dyDescent="0.4">
      <c r="A153" s="40" t="s">
        <v>1114</v>
      </c>
      <c r="B153" s="41" t="str">
        <f>IFERROR(INDEX(Mots!$B:$B,MATCH($A153,Mots!$A:$A,0)),"introuvable")</f>
        <v>la sourdine Cup</v>
      </c>
      <c r="C153" s="40" t="s">
        <v>147</v>
      </c>
    </row>
    <row r="154" spans="1:4" x14ac:dyDescent="0.4">
      <c r="A154" s="40" t="s">
        <v>1117</v>
      </c>
      <c r="B154" s="41" t="str">
        <f>IFERROR(INDEX(Mots!$B:$B,MATCH($A154,Mots!$A:$A,0)),"introuvable")</f>
        <v>la sourdine straignt ou metal</v>
      </c>
      <c r="C154" s="40" t="s">
        <v>147</v>
      </c>
    </row>
    <row r="155" spans="1:4" x14ac:dyDescent="0.4">
      <c r="A155" s="40" t="s">
        <v>1120</v>
      </c>
      <c r="B155" s="41" t="str">
        <f>IFERROR(INDEX(Mots!$B:$B,MATCH($A155,Mots!$A:$A,0)),"introuvable")</f>
        <v>l'embouchure</v>
      </c>
      <c r="C155" s="40" t="s">
        <v>147</v>
      </c>
    </row>
    <row r="156" spans="1:4" x14ac:dyDescent="0.4">
      <c r="A156" s="40" t="s">
        <v>1124</v>
      </c>
      <c r="B156" s="41" t="str">
        <f>IFERROR(INDEX(Mots!$B:$B,MATCH($A156,Mots!$A:$A,0)),"introuvable")</f>
        <v>les pistons</v>
      </c>
      <c r="C156" s="40" t="s">
        <v>147</v>
      </c>
    </row>
    <row r="157" spans="1:4" x14ac:dyDescent="0.4">
      <c r="A157" s="40" t="s">
        <v>1127</v>
      </c>
      <c r="B157" s="41" t="str">
        <f>IFERROR(INDEX(Mots!$B:$B,MATCH($A157,Mots!$A:$A,0)),"introuvable")</f>
        <v>la coulisse</v>
      </c>
      <c r="C157" s="40" t="s">
        <v>147</v>
      </c>
    </row>
    <row r="158" spans="1:4" x14ac:dyDescent="0.4">
      <c r="A158" s="40" t="s">
        <v>1131</v>
      </c>
      <c r="B158" s="41" t="str">
        <f>IFERROR(INDEX(Mots!$B:$B,MATCH($A158,Mots!$A:$A,0)),"introuvable")</f>
        <v>le coffre</v>
      </c>
      <c r="C158" s="40" t="s">
        <v>147</v>
      </c>
    </row>
    <row r="159" spans="1:4" x14ac:dyDescent="0.4">
      <c r="A159" s="40" t="s">
        <v>1135</v>
      </c>
      <c r="B159" s="41" t="str">
        <f>IFERROR(INDEX(Mots!$B:$B,MATCH($A159,Mots!$A:$A,0)),"introuvable")</f>
        <v>l'huile</v>
      </c>
      <c r="C159" s="40" t="s">
        <v>147</v>
      </c>
    </row>
    <row r="160" spans="1:4" x14ac:dyDescent="0.4">
      <c r="A160" s="40" t="s">
        <v>1139</v>
      </c>
      <c r="B160" s="41" t="str">
        <f>IFERROR(INDEX(Mots!$B:$B,MATCH($A160,Mots!$A:$A,0)),"introuvable")</f>
        <v>la graisse</v>
      </c>
      <c r="C160" s="40" t="s">
        <v>147</v>
      </c>
    </row>
    <row r="161" spans="1:4" x14ac:dyDescent="0.4">
      <c r="A161" s="40" t="s">
        <v>1143</v>
      </c>
      <c r="B161" s="41" t="str">
        <f>IFERROR(INDEX(Mots!$B:$B,MATCH($A161,Mots!$A:$A,0)),"introuvable")</f>
        <v>les brosses</v>
      </c>
      <c r="C161" s="40" t="s">
        <v>147</v>
      </c>
    </row>
    <row r="162" spans="1:4" x14ac:dyDescent="0.4">
      <c r="A162" s="40" t="s">
        <v>1147</v>
      </c>
      <c r="B162" s="41" t="str">
        <f>IFERROR(INDEX(Mots!$B:$B,MATCH($A162,Mots!$A:$A,0)),"introuvable")</f>
        <v>le pupitre</v>
      </c>
      <c r="C162" s="40" t="s">
        <v>147</v>
      </c>
    </row>
    <row r="163" spans="1:4" x14ac:dyDescent="0.4">
      <c r="A163" s="40" t="s">
        <v>1152</v>
      </c>
      <c r="B163" s="41" t="str">
        <f>IFERROR(INDEX(Mots!$B:$B,MATCH($A163,Mots!$A:$A,0)),"introuvable")</f>
        <v>l'uniforme</v>
      </c>
      <c r="C163" s="40" t="s">
        <v>156</v>
      </c>
    </row>
    <row r="164" spans="1:4" x14ac:dyDescent="0.4">
      <c r="A164" s="40" t="s">
        <v>1157</v>
      </c>
      <c r="B164" s="41" t="str">
        <f>IFERROR(INDEX(Mots!$B:$B,MATCH($A164,Mots!$A:$A,0)),"introuvable")</f>
        <v>des pâtes</v>
      </c>
      <c r="C164" s="40" t="s">
        <v>222</v>
      </c>
      <c r="D164" s="40" t="s">
        <v>117</v>
      </c>
    </row>
    <row r="165" spans="1:4" x14ac:dyDescent="0.4">
      <c r="A165" s="40" t="s">
        <v>1161</v>
      </c>
      <c r="B165" s="41" t="str">
        <f>IFERROR(INDEX(Mots!$B:$B,MATCH($A165,Mots!$A:$A,0)),"introuvable")</f>
        <v>le riz</v>
      </c>
      <c r="C165" s="40" t="s">
        <v>222</v>
      </c>
      <c r="D165" s="40" t="s">
        <v>117</v>
      </c>
    </row>
    <row r="166" spans="1:4" x14ac:dyDescent="0.4">
      <c r="A166" s="40" t="s">
        <v>1166</v>
      </c>
      <c r="B166" s="41" t="str">
        <f>IFERROR(INDEX(Mots!$B:$B,MATCH($A166,Mots!$A:$A,0)),"introuvable")</f>
        <v>Bagheera, le chat d'Emma</v>
      </c>
      <c r="C166" s="40" t="s">
        <v>178</v>
      </c>
    </row>
    <row r="167" spans="1:4" x14ac:dyDescent="0.4">
      <c r="A167" s="40" t="s">
        <v>1170</v>
      </c>
      <c r="B167" s="41" t="str">
        <f>IFERROR(INDEX(Mots!$B:$B,MATCH($A167,Mots!$A:$A,0)),"introuvable")</f>
        <v>Naya, la chienne de Sandrine</v>
      </c>
      <c r="C167" s="40" t="s">
        <v>178</v>
      </c>
    </row>
    <row r="168" spans="1:4" x14ac:dyDescent="0.4">
      <c r="A168" s="40" t="s">
        <v>1175</v>
      </c>
      <c r="B168" s="41" t="str">
        <f>IFERROR(INDEX(Mots!$B:$B,MATCH($A168,Mots!$A:$A,0)),"introuvable")</f>
        <v>la vache</v>
      </c>
      <c r="C168" s="40" t="s">
        <v>278</v>
      </c>
    </row>
    <row r="169" spans="1:4" x14ac:dyDescent="0.4">
      <c r="A169" s="40" t="s">
        <v>1180</v>
      </c>
      <c r="B169" s="41" t="str">
        <f>IFERROR(INDEX(Mots!$B:$B,MATCH($A169,Mots!$A:$A,0)),"introuvable")</f>
        <v>le cochon</v>
      </c>
      <c r="C169" s="40" t="s">
        <v>278</v>
      </c>
    </row>
    <row r="170" spans="1:4" x14ac:dyDescent="0.4">
      <c r="A170" s="40" t="s">
        <v>1185</v>
      </c>
      <c r="B170" s="41" t="str">
        <f>IFERROR(INDEX(Mots!$B:$B,MATCH($A170,Mots!$A:$A,0)),"introuvable")</f>
        <v>le mouton</v>
      </c>
      <c r="C170" s="40" t="s">
        <v>278</v>
      </c>
    </row>
    <row r="171" spans="1:4" x14ac:dyDescent="0.4">
      <c r="A171" s="40" t="s">
        <v>1190</v>
      </c>
      <c r="B171" s="41" t="str">
        <f>IFERROR(INDEX(Mots!$B:$B,MATCH($A171,Mots!$A:$A,0)),"introuvable")</f>
        <v>la poule</v>
      </c>
      <c r="C171" s="40" t="s">
        <v>278</v>
      </c>
    </row>
    <row r="172" spans="1:4" x14ac:dyDescent="0.4">
      <c r="A172" s="40" t="s">
        <v>1195</v>
      </c>
      <c r="B172" s="41" t="str">
        <f>IFERROR(INDEX(Mots!$B:$B,MATCH($A172,Mots!$A:$A,0)),"introuvable")</f>
        <v>la chèvre</v>
      </c>
      <c r="C172" s="40" t="s">
        <v>278</v>
      </c>
    </row>
    <row r="173" spans="1:4" x14ac:dyDescent="0.4">
      <c r="A173" s="40" t="s">
        <v>1204</v>
      </c>
      <c r="B173" s="41" t="str">
        <f>IFERROR(INDEX(Mots!$B:$B,MATCH($A173,Mots!$A:$A,0)),"introuvable")</f>
        <v>le cheval</v>
      </c>
      <c r="C173" s="40" t="s">
        <v>278</v>
      </c>
    </row>
    <row r="174" spans="1:4" x14ac:dyDescent="0.4">
      <c r="A174" s="40" t="s">
        <v>1209</v>
      </c>
      <c r="B174" s="41" t="str">
        <f>IFERROR(INDEX(Mots!$B:$B,MATCH($A174,Mots!$A:$A,0)),"introuvable")</f>
        <v>le bassin</v>
      </c>
      <c r="C174" s="40" t="s">
        <v>278</v>
      </c>
    </row>
    <row r="175" spans="1:4" x14ac:dyDescent="0.4">
      <c r="A175" s="40" t="s">
        <v>1212</v>
      </c>
      <c r="B175" s="41" t="str">
        <f>IFERROR(INDEX(Mots!$B:$B,MATCH($A175,Mots!$A:$A,0)),"introuvable")</f>
        <v>le chat</v>
      </c>
      <c r="C175" s="40" t="s">
        <v>274</v>
      </c>
    </row>
    <row r="176" spans="1:4" x14ac:dyDescent="0.4">
      <c r="A176" s="40" t="s">
        <v>1216</v>
      </c>
      <c r="B176" s="41" t="str">
        <f>IFERROR(INDEX(Mots!$B:$B,MATCH($A176,Mots!$A:$A,0)),"introuvable")</f>
        <v>le chien</v>
      </c>
      <c r="C176" s="40" t="s">
        <v>274</v>
      </c>
    </row>
    <row r="177" spans="1:3" x14ac:dyDescent="0.4">
      <c r="A177" s="40" t="s">
        <v>1220</v>
      </c>
      <c r="B177" s="41" t="str">
        <f>IFERROR(INDEX(Mots!$B:$B,MATCH($A177,Mots!$A:$A,0)),"introuvable")</f>
        <v>le lapin</v>
      </c>
      <c r="C177" s="40" t="s">
        <v>274</v>
      </c>
    </row>
    <row r="178" spans="1:3" x14ac:dyDescent="0.4">
      <c r="A178" s="40" t="s">
        <v>1229</v>
      </c>
      <c r="B178" s="41" t="str">
        <f>IFERROR(INDEX(Mots!$B:$B,MATCH($A178,Mots!$A:$A,0)),"introuvable")</f>
        <v>la souris</v>
      </c>
      <c r="C178" s="40" t="s">
        <v>283</v>
      </c>
    </row>
    <row r="179" spans="1:3" x14ac:dyDescent="0.4">
      <c r="A179" s="40" t="s">
        <v>1238</v>
      </c>
      <c r="B179" s="41" t="str">
        <f>IFERROR(INDEX(Mots!$B:$B,MATCH($A179,Mots!$A:$A,0)),"introuvable")</f>
        <v>l'écureuil</v>
      </c>
      <c r="C179" s="40" t="s">
        <v>283</v>
      </c>
    </row>
    <row r="180" spans="1:3" x14ac:dyDescent="0.4">
      <c r="A180" s="40" t="s">
        <v>1243</v>
      </c>
      <c r="B180" s="41" t="str">
        <f>IFERROR(INDEX(Mots!$B:$B,MATCH($A180,Mots!$A:$A,0)),"introuvable")</f>
        <v>la marmotte</v>
      </c>
      <c r="C180" s="40" t="s">
        <v>283</v>
      </c>
    </row>
    <row r="181" spans="1:3" x14ac:dyDescent="0.4">
      <c r="A181" s="40" t="s">
        <v>1248</v>
      </c>
      <c r="B181" s="41" t="str">
        <f>IFERROR(INDEX(Mots!$B:$B,MATCH($A181,Mots!$A:$A,0)),"introuvable")</f>
        <v>le loup</v>
      </c>
      <c r="C181" s="40" t="s">
        <v>283</v>
      </c>
    </row>
    <row r="182" spans="1:3" x14ac:dyDescent="0.4">
      <c r="A182" s="40" t="s">
        <v>1252</v>
      </c>
      <c r="B182" s="41" t="str">
        <f>IFERROR(INDEX(Mots!$B:$B,MATCH($A182,Mots!$A:$A,0)),"introuvable")</f>
        <v>le chevreuil</v>
      </c>
      <c r="C182" s="40" t="s">
        <v>283</v>
      </c>
    </row>
    <row r="183" spans="1:3" x14ac:dyDescent="0.4">
      <c r="A183" s="40" t="s">
        <v>1257</v>
      </c>
      <c r="B183" s="41" t="str">
        <f>IFERROR(INDEX(Mots!$B:$B,MATCH($A183,Mots!$A:$A,0)),"introuvable")</f>
        <v>le chamois</v>
      </c>
      <c r="C183" s="40" t="s">
        <v>283</v>
      </c>
    </row>
    <row r="184" spans="1:3" x14ac:dyDescent="0.4">
      <c r="A184" s="40" t="s">
        <v>1261</v>
      </c>
      <c r="B184" s="41" t="str">
        <f>IFERROR(INDEX(Mots!$B:$B,MATCH($A184,Mots!$A:$A,0)),"introuvable")</f>
        <v>la biche</v>
      </c>
      <c r="C184" s="40" t="s">
        <v>283</v>
      </c>
    </row>
    <row r="185" spans="1:3" x14ac:dyDescent="0.4">
      <c r="A185" s="40" t="s">
        <v>1265</v>
      </c>
      <c r="B185" s="41" t="str">
        <f>IFERROR(INDEX(Mots!$B:$B,MATCH($A185,Mots!$A:$A,0)),"introuvable")</f>
        <v>le cerf</v>
      </c>
      <c r="C185" s="40" t="s">
        <v>283</v>
      </c>
    </row>
    <row r="186" spans="1:3" x14ac:dyDescent="0.4">
      <c r="A186" s="40" t="s">
        <v>1269</v>
      </c>
      <c r="B186" s="41" t="str">
        <f>IFERROR(INDEX(Mots!$B:$B,MATCH($A186,Mots!$A:$A,0)),"introuvable")</f>
        <v>le bouquetin</v>
      </c>
      <c r="C186" s="40" t="s">
        <v>283</v>
      </c>
    </row>
    <row r="187" spans="1:3" x14ac:dyDescent="0.4">
      <c r="A187" s="40" t="s">
        <v>1274</v>
      </c>
      <c r="B187" s="41" t="str">
        <f>IFERROR(INDEX(Mots!$B:$B,MATCH($A187,Mots!$A:$A,0)),"introuvable")</f>
        <v>le poisson</v>
      </c>
      <c r="C187" s="40" t="s">
        <v>283</v>
      </c>
    </row>
    <row r="188" spans="1:3" x14ac:dyDescent="0.4">
      <c r="A188" s="40" t="s">
        <v>1279</v>
      </c>
      <c r="B188" s="41" t="str">
        <f>IFERROR(INDEX(Mots!$B:$B,MATCH($A188,Mots!$A:$A,0)),"introuvable")</f>
        <v>le serpent</v>
      </c>
      <c r="C188" s="40" t="s">
        <v>283</v>
      </c>
    </row>
    <row r="189" spans="1:3" x14ac:dyDescent="0.4">
      <c r="A189" s="40" t="s">
        <v>1288</v>
      </c>
      <c r="B189" s="41" t="str">
        <f>IFERROR(INDEX(Mots!$B:$B,MATCH($A189,Mots!$A:$A,0)),"introuvable")</f>
        <v>l'éléphant</v>
      </c>
      <c r="C189" s="40" t="s">
        <v>283</v>
      </c>
    </row>
    <row r="190" spans="1:3" x14ac:dyDescent="0.4">
      <c r="A190" s="40" t="s">
        <v>1293</v>
      </c>
      <c r="B190" s="41" t="str">
        <f>IFERROR(INDEX(Mots!$B:$B,MATCH($A190,Mots!$A:$A,0)),"introuvable")</f>
        <v>le lion</v>
      </c>
      <c r="C190" s="40" t="s">
        <v>283</v>
      </c>
    </row>
    <row r="191" spans="1:3" x14ac:dyDescent="0.4">
      <c r="A191" s="40" t="s">
        <v>1298</v>
      </c>
      <c r="B191" s="41" t="str">
        <f>IFERROR(INDEX(Mots!$B:$B,MATCH($A191,Mots!$A:$A,0)),"introuvable")</f>
        <v>le tigre</v>
      </c>
      <c r="C191" s="40" t="s">
        <v>283</v>
      </c>
    </row>
    <row r="192" spans="1:3" x14ac:dyDescent="0.4">
      <c r="A192" s="40" t="s">
        <v>1303</v>
      </c>
      <c r="B192" s="41" t="str">
        <f>IFERROR(INDEX(Mots!$B:$B,MATCH($A192,Mots!$A:$A,0)),"introuvable")</f>
        <v>la fourrure</v>
      </c>
      <c r="C192" s="40" t="s">
        <v>283</v>
      </c>
    </row>
    <row r="193" spans="1:3" x14ac:dyDescent="0.4">
      <c r="A193" s="40" t="s">
        <v>1307</v>
      </c>
      <c r="B193" s="41" t="str">
        <f>IFERROR(INDEX(Mots!$B:$B,MATCH($A193,Mots!$A:$A,0)),"introuvable")</f>
        <v>la grenouille</v>
      </c>
      <c r="C193" s="40" t="s">
        <v>283</v>
      </c>
    </row>
    <row r="194" spans="1:3" x14ac:dyDescent="0.4">
      <c r="A194" s="40" t="s">
        <v>1311</v>
      </c>
      <c r="B194" s="41" t="str">
        <f>IFERROR(INDEX(Mots!$B:$B,MATCH($A194,Mots!$A:$A,0)),"introuvable")</f>
        <v>la trompe</v>
      </c>
      <c r="C194" s="40" t="s">
        <v>283</v>
      </c>
    </row>
    <row r="195" spans="1:3" x14ac:dyDescent="0.4">
      <c r="A195" s="40" t="s">
        <v>1315</v>
      </c>
      <c r="B195" s="41" t="str">
        <f>IFERROR(INDEX(Mots!$B:$B,MATCH($A195,Mots!$A:$A,0)),"introuvable")</f>
        <v>le canard</v>
      </c>
      <c r="C195" s="40" t="s">
        <v>283</v>
      </c>
    </row>
    <row r="196" spans="1:3" x14ac:dyDescent="0.4">
      <c r="A196" s="40" t="s">
        <v>1319</v>
      </c>
      <c r="B196" s="41" t="str">
        <f>IFERROR(INDEX(Mots!$B:$B,MATCH($A196,Mots!$A:$A,0)),"introuvable")</f>
        <v>le fauve</v>
      </c>
      <c r="C196" s="40" t="s">
        <v>283</v>
      </c>
    </row>
    <row r="197" spans="1:3" x14ac:dyDescent="0.4">
      <c r="A197" s="40" t="s">
        <v>1323</v>
      </c>
      <c r="B197" s="41" t="str">
        <f>IFERROR(INDEX(Mots!$B:$B,MATCH($A197,Mots!$A:$A,0)),"introuvable")</f>
        <v>le renard</v>
      </c>
      <c r="C197" s="40" t="s">
        <v>283</v>
      </c>
    </row>
    <row r="198" spans="1:3" x14ac:dyDescent="0.4">
      <c r="A198" s="40" t="s">
        <v>1327</v>
      </c>
      <c r="B198" s="41" t="str">
        <f>IFERROR(INDEX(Mots!$B:$B,MATCH($A198,Mots!$A:$A,0)),"introuvable")</f>
        <v>le singe</v>
      </c>
      <c r="C198" s="40" t="s">
        <v>283</v>
      </c>
    </row>
    <row r="199" spans="1:3" x14ac:dyDescent="0.4">
      <c r="A199" s="40" t="s">
        <v>1331</v>
      </c>
      <c r="B199" s="41" t="str">
        <f>IFERROR(INDEX(Mots!$B:$B,MATCH($A199,Mots!$A:$A,0)),"introuvable")</f>
        <v>l'ours</v>
      </c>
      <c r="C199" s="40" t="s">
        <v>283</v>
      </c>
    </row>
    <row r="200" spans="1:3" x14ac:dyDescent="0.4">
      <c r="A200" s="40" t="s">
        <v>1335</v>
      </c>
      <c r="B200" s="41" t="str">
        <f>IFERROR(INDEX(Mots!$B:$B,MATCH($A200,Mots!$A:$A,0)),"introuvable")</f>
        <v>le sucre</v>
      </c>
      <c r="C200" s="40" t="s">
        <v>242</v>
      </c>
    </row>
    <row r="201" spans="1:3" x14ac:dyDescent="0.4">
      <c r="A201" s="40" t="s">
        <v>1340</v>
      </c>
      <c r="B201" s="41" t="str">
        <f>IFERROR(INDEX(Mots!$B:$B,MATCH($A201,Mots!$A:$A,0)),"introuvable")</f>
        <v>le sel</v>
      </c>
      <c r="C201" s="40" t="s">
        <v>242</v>
      </c>
    </row>
    <row r="202" spans="1:3" x14ac:dyDescent="0.4">
      <c r="A202" s="40" t="s">
        <v>1345</v>
      </c>
      <c r="B202" s="41" t="str">
        <f>IFERROR(INDEX(Mots!$B:$B,MATCH($A202,Mots!$A:$A,0)),"introuvable")</f>
        <v>le poivre</v>
      </c>
      <c r="C202" s="40" t="s">
        <v>242</v>
      </c>
    </row>
    <row r="203" spans="1:3" x14ac:dyDescent="0.4">
      <c r="A203" s="40" t="s">
        <v>1350</v>
      </c>
      <c r="B203" s="41" t="str">
        <f>IFERROR(INDEX(Mots!$B:$B,MATCH($A203,Mots!$A:$A,0)),"introuvable")</f>
        <v>l'arôme Maggy</v>
      </c>
      <c r="C203" s="40" t="s">
        <v>242</v>
      </c>
    </row>
    <row r="204" spans="1:3" x14ac:dyDescent="0.4">
      <c r="A204" s="40" t="s">
        <v>1355</v>
      </c>
      <c r="B204" s="41" t="str">
        <f>IFERROR(INDEX(Mots!$B:$B,MATCH($A204,Mots!$A:$A,0)),"introuvable")</f>
        <v>le curry</v>
      </c>
      <c r="C204" s="40" t="s">
        <v>242</v>
      </c>
    </row>
    <row r="205" spans="1:3" x14ac:dyDescent="0.4">
      <c r="A205" s="40" t="s">
        <v>1360</v>
      </c>
      <c r="B205" s="41" t="str">
        <f>IFERROR(INDEX(Mots!$B:$B,MATCH($A205,Mots!$A:$A,0)),"introuvable")</f>
        <v>Assurance invalidité</v>
      </c>
      <c r="C205" s="40" t="s">
        <v>378</v>
      </c>
    </row>
    <row r="206" spans="1:3" x14ac:dyDescent="0.4">
      <c r="A206" s="40" t="s">
        <v>1364</v>
      </c>
      <c r="B206" s="41" t="str">
        <f>IFERROR(INDEX(Mots!$B:$B,MATCH($A206,Mots!$A:$A,0)),"introuvable")</f>
        <v>Caisse de pensions ORAE</v>
      </c>
      <c r="C206" s="40" t="s">
        <v>378</v>
      </c>
    </row>
    <row r="207" spans="1:3" x14ac:dyDescent="0.4">
      <c r="A207" s="40" t="s">
        <v>1368</v>
      </c>
      <c r="B207" s="41" t="str">
        <f>IFERROR(INDEX(Mots!$B:$B,MATCH($A207,Mots!$A:$A,0)),"introuvable")</f>
        <v>KPT assurance maladie</v>
      </c>
      <c r="C207" s="40" t="s">
        <v>378</v>
      </c>
    </row>
    <row r="208" spans="1:3" x14ac:dyDescent="0.4">
      <c r="A208" s="40" t="s">
        <v>1372</v>
      </c>
      <c r="B208" s="41" t="str">
        <f>IFERROR(INDEX(Mots!$B:$B,MATCH($A208,Mots!$A:$A,0)),"introuvable")</f>
        <v>Banque Migros</v>
      </c>
      <c r="C208" s="40" t="s">
        <v>378</v>
      </c>
    </row>
    <row r="209" spans="1:6" x14ac:dyDescent="0.4">
      <c r="A209" s="40" t="s">
        <v>1376</v>
      </c>
      <c r="B209" s="41" t="str">
        <f>IFERROR(INDEX(Mots!$B:$B,MATCH($A209,Mots!$A:$A,0)),"introuvable")</f>
        <v>Banque Raiffeisen</v>
      </c>
      <c r="C209" s="40" t="s">
        <v>378</v>
      </c>
    </row>
    <row r="210" spans="1:6" x14ac:dyDescent="0.4">
      <c r="A210" s="40" t="s">
        <v>9664</v>
      </c>
      <c r="B210" s="41" t="str">
        <f>IFERROR(INDEX(Mots!$B:$B,MATCH($A210,Mots!$A:$A,0)),"introuvable")</f>
        <v>Assurance La Mobilière</v>
      </c>
      <c r="C210" s="40" t="s">
        <v>378</v>
      </c>
    </row>
    <row r="211" spans="1:6" x14ac:dyDescent="0.4">
      <c r="A211" s="40" t="s">
        <v>1383</v>
      </c>
      <c r="B211" s="41" t="str">
        <f>IFERROR(INDEX(Mots!$B:$B,MATCH($A211,Mots!$A:$A,0)),"introuvable")</f>
        <v>Assurance Helvetia</v>
      </c>
      <c r="C211" s="40" t="s">
        <v>378</v>
      </c>
    </row>
    <row r="212" spans="1:6" x14ac:dyDescent="0.4">
      <c r="A212" s="40" t="s">
        <v>9459</v>
      </c>
      <c r="B212" s="41" t="str">
        <f>IFERROR(INDEX(Mots!$B:$B,MATCH($A212,Mots!$A:$A,0)),"introuvable")</f>
        <v>la carte</v>
      </c>
      <c r="C212" s="40" t="s">
        <v>378</v>
      </c>
      <c r="F212" s="39" t="s">
        <v>12</v>
      </c>
    </row>
    <row r="213" spans="1:6" x14ac:dyDescent="0.4">
      <c r="A213" s="40" t="s">
        <v>1390</v>
      </c>
      <c r="B213" s="41" t="str">
        <f>IFERROR(INDEX(Mots!$B:$B,MATCH($A213,Mots!$A:$A,0)),"introuvable")</f>
        <v>le prêt hypothécaire</v>
      </c>
      <c r="C213" s="40" t="s">
        <v>378</v>
      </c>
    </row>
    <row r="214" spans="1:6" x14ac:dyDescent="0.4">
      <c r="A214" s="40" t="s">
        <v>1394</v>
      </c>
      <c r="B214" s="41" t="str">
        <f>IFERROR(INDEX(Mots!$B:$B,MATCH($A214,Mots!$A:$A,0)),"introuvable")</f>
        <v>le billet de banque</v>
      </c>
      <c r="C214" s="40" t="s">
        <v>378</v>
      </c>
    </row>
    <row r="215" spans="1:6" x14ac:dyDescent="0.4">
      <c r="A215" s="40" t="s">
        <v>1398</v>
      </c>
      <c r="B215" s="41" t="str">
        <f>IFERROR(INDEX(Mots!$B:$B,MATCH($A215,Mots!$A:$A,0)),"introuvable")</f>
        <v>la pièce de monnaie</v>
      </c>
      <c r="C215" s="40" t="s">
        <v>378</v>
      </c>
    </row>
    <row r="216" spans="1:6" x14ac:dyDescent="0.4">
      <c r="A216" s="40" t="s">
        <v>1402</v>
      </c>
      <c r="B216" s="41" t="str">
        <f>IFERROR(INDEX(Mots!$B:$B,MATCH($A216,Mots!$A:$A,0)),"introuvable")</f>
        <v>le code</v>
      </c>
      <c r="C216" s="40" t="s">
        <v>378</v>
      </c>
    </row>
    <row r="217" spans="1:6" x14ac:dyDescent="0.4">
      <c r="A217" s="40" t="s">
        <v>1406</v>
      </c>
      <c r="B217" s="41" t="str">
        <f>IFERROR(INDEX(Mots!$B:$B,MATCH($A217,Mots!$A:$A,0)),"introuvable")</f>
        <v>le compte</v>
      </c>
      <c r="C217" s="40" t="s">
        <v>378</v>
      </c>
    </row>
    <row r="218" spans="1:6" x14ac:dyDescent="0.4">
      <c r="A218" s="40" t="s">
        <v>1410</v>
      </c>
      <c r="B218" s="41" t="str">
        <f>IFERROR(INDEX(Mots!$B:$B,MATCH($A218,Mots!$A:$A,0)),"introuvable")</f>
        <v>le guichet</v>
      </c>
      <c r="C218" s="40" t="s">
        <v>378</v>
      </c>
    </row>
    <row r="219" spans="1:6" x14ac:dyDescent="0.4">
      <c r="A219" s="40" t="s">
        <v>1414</v>
      </c>
      <c r="B219" s="41" t="str">
        <f>IFERROR(INDEX(Mots!$B:$B,MATCH($A219,Mots!$A:$A,0)),"introuvable")</f>
        <v>le retrait</v>
      </c>
      <c r="C219" s="40" t="s">
        <v>378</v>
      </c>
    </row>
    <row r="220" spans="1:6" x14ac:dyDescent="0.4">
      <c r="A220" s="40" t="s">
        <v>1418</v>
      </c>
      <c r="B220" s="41" t="str">
        <f>IFERROR(INDEX(Mots!$B:$B,MATCH($A220,Mots!$A:$A,0)),"introuvable")</f>
        <v>le solde</v>
      </c>
      <c r="C220" s="40" t="s">
        <v>378</v>
      </c>
    </row>
    <row r="221" spans="1:6" x14ac:dyDescent="0.4">
      <c r="A221" s="40" t="s">
        <v>1422</v>
      </c>
      <c r="B221" s="41" t="str">
        <f>IFERROR(INDEX(Mots!$B:$B,MATCH($A221,Mots!$A:$A,0)),"introuvable")</f>
        <v>le virement</v>
      </c>
      <c r="C221" s="40" t="s">
        <v>378</v>
      </c>
    </row>
    <row r="222" spans="1:6" x14ac:dyDescent="0.4">
      <c r="A222" s="40" t="s">
        <v>1430</v>
      </c>
      <c r="B222" s="41" t="str">
        <f>IFERROR(INDEX(Mots!$B:$B,MATCH($A222,Mots!$A:$A,0)),"introuvable")</f>
        <v>l'Administration communale de Conthey</v>
      </c>
      <c r="C222" s="40" t="s">
        <v>10100</v>
      </c>
    </row>
    <row r="223" spans="1:6" x14ac:dyDescent="0.4">
      <c r="A223" s="40" t="s">
        <v>1435</v>
      </c>
      <c r="B223" s="41" t="str">
        <f>IFERROR(INDEX(Mots!$B:$B,MATCH($A223,Mots!$A:$A,0)),"introuvable")</f>
        <v>l'école primaire de Erde</v>
      </c>
      <c r="C223" s="40" t="s">
        <v>10100</v>
      </c>
    </row>
    <row r="224" spans="1:6" x14ac:dyDescent="0.4">
      <c r="A224" s="40" t="s">
        <v>1439</v>
      </c>
      <c r="B224" s="41" t="str">
        <f>IFERROR(INDEX(Mots!$B:$B,MATCH($A224,Mots!$A:$A,0)),"introuvable")</f>
        <v>l'église</v>
      </c>
      <c r="C224" s="40" t="s">
        <v>366</v>
      </c>
    </row>
    <row r="225" spans="1:3" x14ac:dyDescent="0.4">
      <c r="A225" s="40" t="s">
        <v>1444</v>
      </c>
      <c r="B225" s="41" t="str">
        <f>IFERROR(INDEX(Mots!$B:$B,MATCH($A225,Mots!$A:$A,0)),"introuvable")</f>
        <v>Migros Partenaire à Erde</v>
      </c>
      <c r="C225" s="40" t="s">
        <v>10100</v>
      </c>
    </row>
    <row r="226" spans="1:3" x14ac:dyDescent="0.4">
      <c r="A226" s="40" t="s">
        <v>1450</v>
      </c>
      <c r="B226" s="41" t="str">
        <f>IFERROR(INDEX(Mots!$B:$B,MATCH($A226,Mots!$A:$A,0)),"introuvable")</f>
        <v>la station service</v>
      </c>
      <c r="C226" s="40" t="s">
        <v>366</v>
      </c>
    </row>
    <row r="227" spans="1:3" x14ac:dyDescent="0.4">
      <c r="A227" s="40" t="s">
        <v>1454</v>
      </c>
      <c r="B227" s="41" t="str">
        <f>IFERROR(INDEX(Mots!$B:$B,MATCH($A227,Mots!$A:$A,0)),"introuvable")</f>
        <v>le Garage du Nord de Conthey</v>
      </c>
      <c r="C227" s="40" t="s">
        <v>10100</v>
      </c>
    </row>
    <row r="228" spans="1:3" x14ac:dyDescent="0.4">
      <c r="A228" s="40" t="s">
        <v>1458</v>
      </c>
      <c r="B228" s="41" t="str">
        <f>IFERROR(INDEX(Mots!$B:$B,MATCH($A228,Mots!$A:$A,0)),"introuvable")</f>
        <v>la Salle polyvalente de Conthey</v>
      </c>
      <c r="C228" s="40" t="s">
        <v>10100</v>
      </c>
    </row>
    <row r="229" spans="1:3" x14ac:dyDescent="0.4">
      <c r="A229" s="40" t="s">
        <v>1462</v>
      </c>
      <c r="B229" s="41" t="str">
        <f>IFERROR(INDEX(Mots!$B:$B,MATCH($A229,Mots!$A:$A,0)),"introuvable")</f>
        <v>le café des Sapins</v>
      </c>
      <c r="C229" s="40" t="s">
        <v>10100</v>
      </c>
    </row>
    <row r="230" spans="1:3" x14ac:dyDescent="0.4">
      <c r="A230" s="40" t="s">
        <v>1466</v>
      </c>
      <c r="B230" s="41" t="str">
        <f>IFERROR(INDEX(Mots!$B:$B,MATCH($A230,Mots!$A:$A,0)),"introuvable")</f>
        <v>le restaurant Les Rangs à St-Séverin</v>
      </c>
      <c r="C230" s="40" t="s">
        <v>10100</v>
      </c>
    </row>
    <row r="231" spans="1:3" x14ac:dyDescent="0.4">
      <c r="A231" s="40" t="s">
        <v>1470</v>
      </c>
      <c r="B231" s="41" t="str">
        <f>IFERROR(INDEX(Mots!$B:$B,MATCH($A231,Mots!$A:$A,0)),"introuvable")</f>
        <v>l'Hôtel Restaurant du Sanetsch</v>
      </c>
      <c r="C231" s="40" t="s">
        <v>10100</v>
      </c>
    </row>
    <row r="232" spans="1:3" x14ac:dyDescent="0.4">
      <c r="A232" s="40" t="s">
        <v>1474</v>
      </c>
      <c r="B232" s="41" t="str">
        <f>IFERROR(INDEX(Mots!$B:$B,MATCH($A232,Mots!$A:$A,0)),"introuvable")</f>
        <v>l'hôpital de Sion</v>
      </c>
      <c r="C232" s="40" t="s">
        <v>10100</v>
      </c>
    </row>
    <row r="233" spans="1:3" x14ac:dyDescent="0.4">
      <c r="A233" s="40" t="s">
        <v>1478</v>
      </c>
      <c r="B233" s="41" t="str">
        <f>IFERROR(INDEX(Mots!$B:$B,MATCH($A233,Mots!$A:$A,0)),"introuvable")</f>
        <v>l'hôpital de Sierre</v>
      </c>
      <c r="C233" s="40" t="s">
        <v>10100</v>
      </c>
    </row>
    <row r="234" spans="1:3" x14ac:dyDescent="0.4">
      <c r="A234" s="40" t="s">
        <v>1482</v>
      </c>
      <c r="B234" s="41" t="str">
        <f>IFERROR(INDEX(Mots!$B:$B,MATCH($A234,Mots!$A:$A,0)),"introuvable")</f>
        <v>la gare CFF de Sion</v>
      </c>
      <c r="C234" s="40" t="s">
        <v>10100</v>
      </c>
    </row>
    <row r="235" spans="1:3" x14ac:dyDescent="0.4">
      <c r="A235" s="40" t="s">
        <v>1486</v>
      </c>
      <c r="B235" s="41" t="str">
        <f>IFERROR(INDEX(Mots!$B:$B,MATCH($A235,Mots!$A:$A,0)),"introuvable")</f>
        <v>la gare routière de Sion</v>
      </c>
      <c r="C235" s="40" t="s">
        <v>10100</v>
      </c>
    </row>
    <row r="236" spans="1:3" x14ac:dyDescent="0.4">
      <c r="A236" s="40" t="s">
        <v>1490</v>
      </c>
      <c r="B236" s="41" t="str">
        <f>IFERROR(INDEX(Mots!$B:$B,MATCH($A236,Mots!$A:$A,0)),"introuvable")</f>
        <v>la gare</v>
      </c>
      <c r="C236" s="40" t="s">
        <v>366</v>
      </c>
    </row>
    <row r="237" spans="1:3" x14ac:dyDescent="0.4">
      <c r="A237" s="40" t="s">
        <v>1499</v>
      </c>
      <c r="B237" s="41" t="str">
        <f>IFERROR(INDEX(Mots!$B:$B,MATCH($A237,Mots!$A:$A,0)),"introuvable")</f>
        <v>l'aéroport</v>
      </c>
      <c r="C237" s="40" t="s">
        <v>366</v>
      </c>
    </row>
    <row r="238" spans="1:3" x14ac:dyDescent="0.4">
      <c r="A238" s="40" t="s">
        <v>1508</v>
      </c>
      <c r="B238" s="41" t="str">
        <f>IFERROR(INDEX(Mots!$B:$B,MATCH($A238,Mots!$A:$A,0)),"introuvable")</f>
        <v>le musée</v>
      </c>
      <c r="C238" s="40" t="s">
        <v>366</v>
      </c>
    </row>
    <row r="239" spans="1:3" x14ac:dyDescent="0.4">
      <c r="A239" s="40" t="s">
        <v>1513</v>
      </c>
      <c r="B239" s="41" t="str">
        <f>IFERROR(INDEX(Mots!$B:$B,MATCH($A239,Mots!$A:$A,0)),"introuvable")</f>
        <v>une bière limonade</v>
      </c>
      <c r="C239" s="40" t="s">
        <v>101</v>
      </c>
    </row>
    <row r="240" spans="1:3" x14ac:dyDescent="0.4">
      <c r="A240" s="40" t="s">
        <v>1517</v>
      </c>
      <c r="B240" s="41" t="str">
        <f>IFERROR(INDEX(Mots!$B:$B,MATCH($A240,Mots!$A:$A,0)),"introuvable")</f>
        <v>un verre de vin rouge</v>
      </c>
      <c r="C240" s="40" t="s">
        <v>101</v>
      </c>
    </row>
    <row r="241" spans="1:4" x14ac:dyDescent="0.4">
      <c r="A241" s="40" t="s">
        <v>1521</v>
      </c>
      <c r="B241" s="41" t="str">
        <f>IFERROR(INDEX(Mots!$B:$B,MATCH($A241,Mots!$A:$A,0)),"introuvable")</f>
        <v>un verre de vin blanc</v>
      </c>
      <c r="C241" s="40" t="s">
        <v>101</v>
      </c>
    </row>
    <row r="242" spans="1:4" x14ac:dyDescent="0.4">
      <c r="A242" s="40" t="s">
        <v>1525</v>
      </c>
      <c r="B242" s="41" t="str">
        <f>IFERROR(INDEX(Mots!$B:$B,MATCH($A242,Mots!$A:$A,0)),"introuvable")</f>
        <v>une suze henniez</v>
      </c>
      <c r="C242" s="40" t="s">
        <v>101</v>
      </c>
    </row>
    <row r="243" spans="1:4" x14ac:dyDescent="0.4">
      <c r="A243" s="40" t="s">
        <v>1529</v>
      </c>
      <c r="B243" s="41" t="str">
        <f>IFERROR(INDEX(Mots!$B:$B,MATCH($A243,Mots!$A:$A,0)),"introuvable")</f>
        <v>le thé</v>
      </c>
      <c r="C243" s="40" t="s">
        <v>96</v>
      </c>
    </row>
    <row r="244" spans="1:4" x14ac:dyDescent="0.4">
      <c r="A244" s="40" t="s">
        <v>1533</v>
      </c>
      <c r="B244" s="41" t="str">
        <f>IFERROR(INDEX(Mots!$B:$B,MATCH($A244,Mots!$A:$A,0)),"introuvable")</f>
        <v>une eau minérale</v>
      </c>
      <c r="C244" s="40" t="s">
        <v>90</v>
      </c>
    </row>
    <row r="245" spans="1:4" x14ac:dyDescent="0.4">
      <c r="A245" s="40" t="s">
        <v>1537</v>
      </c>
      <c r="B245" s="41" t="str">
        <f>IFERROR(INDEX(Mots!$B:$B,MATCH($A245,Mots!$A:$A,0)),"introuvable")</f>
        <v>un henniez cassis</v>
      </c>
      <c r="C245" s="40" t="s">
        <v>90</v>
      </c>
    </row>
    <row r="246" spans="1:4" x14ac:dyDescent="0.4">
      <c r="A246" s="40" t="s">
        <v>1540</v>
      </c>
      <c r="B246" s="41" t="str">
        <f>IFERROR(INDEX(Mots!$B:$B,MATCH($A246,Mots!$A:$A,0)),"introuvable")</f>
        <v>un Coca Cola</v>
      </c>
      <c r="C246" s="40" t="s">
        <v>90</v>
      </c>
    </row>
    <row r="247" spans="1:4" x14ac:dyDescent="0.4">
      <c r="A247" s="40" t="s">
        <v>1545</v>
      </c>
      <c r="B247" s="41" t="str">
        <f>IFERROR(INDEX(Mots!$B:$B,MATCH($A247,Mots!$A:$A,0)),"introuvable")</f>
        <v>un grapefruit</v>
      </c>
      <c r="C247" s="40" t="s">
        <v>90</v>
      </c>
    </row>
    <row r="248" spans="1:4" x14ac:dyDescent="0.4">
      <c r="A248" s="40" t="s">
        <v>1548</v>
      </c>
      <c r="B248" s="41" t="str">
        <f>IFERROR(INDEX(Mots!$B:$B,MATCH($A248,Mots!$A:$A,0)),"introuvable")</f>
        <v>un jus de pomme</v>
      </c>
      <c r="C248" s="40" t="s">
        <v>90</v>
      </c>
    </row>
    <row r="249" spans="1:4" x14ac:dyDescent="0.4">
      <c r="A249" s="40" t="s">
        <v>1552</v>
      </c>
      <c r="B249" s="41" t="str">
        <f>IFERROR(INDEX(Mots!$B:$B,MATCH($A249,Mots!$A:$A,0)),"introuvable")</f>
        <v>un jus d'orange</v>
      </c>
      <c r="C249" s="40" t="s">
        <v>90</v>
      </c>
    </row>
    <row r="250" spans="1:4" x14ac:dyDescent="0.4">
      <c r="A250" s="40" t="s">
        <v>1555</v>
      </c>
      <c r="B250" s="41" t="str">
        <f>IFERROR(INDEX(Mots!$B:$B,MATCH($A250,Mots!$A:$A,0)),"introuvable")</f>
        <v>un Sprite</v>
      </c>
      <c r="C250" s="40" t="s">
        <v>90</v>
      </c>
    </row>
    <row r="251" spans="1:4" x14ac:dyDescent="0.4">
      <c r="A251" s="40" t="s">
        <v>1558</v>
      </c>
      <c r="B251" s="41" t="str">
        <f>IFERROR(INDEX(Mots!$B:$B,MATCH($A251,Mots!$A:$A,0)),"introuvable")</f>
        <v>le sirop</v>
      </c>
      <c r="C251" s="40" t="s">
        <v>90</v>
      </c>
    </row>
    <row r="252" spans="1:4" x14ac:dyDescent="0.4">
      <c r="A252" s="40" t="s">
        <v>1563</v>
      </c>
      <c r="B252" s="41" t="str">
        <f>IFERROR(INDEX(Mots!$B:$B,MATCH($A252,Mots!$A:$A,0)),"introuvable")</f>
        <v>les baskets</v>
      </c>
      <c r="C252" s="40" t="s">
        <v>309</v>
      </c>
    </row>
    <row r="253" spans="1:4" x14ac:dyDescent="0.4">
      <c r="A253" s="40" t="s">
        <v>1568</v>
      </c>
      <c r="B253" s="41" t="str">
        <f>IFERROR(INDEX(Mots!$B:$B,MATCH($A253,Mots!$A:$A,0)),"introuvable")</f>
        <v>les souliers</v>
      </c>
      <c r="C253" s="40" t="s">
        <v>309</v>
      </c>
      <c r="D253" s="39" t="s">
        <v>10122</v>
      </c>
    </row>
    <row r="254" spans="1:4" x14ac:dyDescent="0.4">
      <c r="A254" s="40" t="s">
        <v>1576</v>
      </c>
      <c r="B254" s="41" t="str">
        <f>IFERROR(INDEX(Mots!$B:$B,MATCH($A254,Mots!$A:$A,0)),"introuvable")</f>
        <v>les bottillons</v>
      </c>
      <c r="C254" s="40" t="s">
        <v>309</v>
      </c>
    </row>
    <row r="255" spans="1:4" x14ac:dyDescent="0.4">
      <c r="A255" s="40" t="s">
        <v>1581</v>
      </c>
      <c r="B255" s="41" t="str">
        <f>IFERROR(INDEX(Mots!$B:$B,MATCH($A255,Mots!$A:$A,0)),"introuvable")</f>
        <v>la viande</v>
      </c>
      <c r="C255" s="40" t="s">
        <v>222</v>
      </c>
    </row>
    <row r="256" spans="1:4" x14ac:dyDescent="0.4">
      <c r="A256" s="40" t="s">
        <v>1585</v>
      </c>
      <c r="B256" s="41" t="str">
        <f>IFERROR(INDEX(Mots!$B:$B,MATCH($A256,Mots!$A:$A,0)),"introuvable")</f>
        <v>le lait</v>
      </c>
      <c r="C256" s="40" t="s">
        <v>222</v>
      </c>
    </row>
    <row r="257" spans="1:3" x14ac:dyDescent="0.4">
      <c r="A257" s="40" t="s">
        <v>1594</v>
      </c>
      <c r="B257" s="41" t="str">
        <f>IFERROR(INDEX(Mots!$B:$B,MATCH($A257,Mots!$A:$A,0)),"introuvable")</f>
        <v>l'huile</v>
      </c>
      <c r="C257" s="40" t="s">
        <v>222</v>
      </c>
    </row>
    <row r="258" spans="1:3" x14ac:dyDescent="0.4">
      <c r="A258" s="40" t="s">
        <v>1598</v>
      </c>
      <c r="B258" s="41" t="str">
        <f>IFERROR(INDEX(Mots!$B:$B,MATCH($A258,Mots!$A:$A,0)),"introuvable")</f>
        <v>l'oeuf</v>
      </c>
      <c r="C258" s="40" t="s">
        <v>222</v>
      </c>
    </row>
    <row r="259" spans="1:3" x14ac:dyDescent="0.4">
      <c r="A259" s="40" t="s">
        <v>1603</v>
      </c>
      <c r="B259" s="41" t="str">
        <f>IFERROR(INDEX(Mots!$B:$B,MATCH($A259,Mots!$A:$A,0)),"introuvable")</f>
        <v>le gâteau</v>
      </c>
      <c r="C259" s="40" t="s">
        <v>5778</v>
      </c>
    </row>
    <row r="260" spans="1:3" x14ac:dyDescent="0.4">
      <c r="A260" s="40" t="s">
        <v>1608</v>
      </c>
      <c r="B260" s="41" t="str">
        <f>IFERROR(INDEX(Mots!$B:$B,MATCH($A260,Mots!$A:$A,0)),"introuvable")</f>
        <v>la forêt</v>
      </c>
      <c r="C260" s="40" t="s">
        <v>342</v>
      </c>
    </row>
    <row r="261" spans="1:3" x14ac:dyDescent="0.4">
      <c r="A261" s="40" t="s">
        <v>1617</v>
      </c>
      <c r="B261" s="41" t="str">
        <f>IFERROR(INDEX(Mots!$B:$B,MATCH($A261,Mots!$A:$A,0)),"introuvable")</f>
        <v>la mer</v>
      </c>
      <c r="C261" s="40" t="s">
        <v>342</v>
      </c>
    </row>
    <row r="262" spans="1:3" x14ac:dyDescent="0.4">
      <c r="A262" s="40" t="s">
        <v>1622</v>
      </c>
      <c r="B262" s="41" t="str">
        <f>IFERROR(INDEX(Mots!$B:$B,MATCH($A262,Mots!$A:$A,0)),"introuvable")</f>
        <v>la montagne</v>
      </c>
      <c r="C262" s="40" t="s">
        <v>342</v>
      </c>
    </row>
    <row r="263" spans="1:3" x14ac:dyDescent="0.4">
      <c r="A263" s="40" t="s">
        <v>1627</v>
      </c>
      <c r="B263" s="41" t="str">
        <f>IFERROR(INDEX(Mots!$B:$B,MATCH($A263,Mots!$A:$A,0)),"introuvable")</f>
        <v>la rivière</v>
      </c>
      <c r="C263" s="40" t="s">
        <v>342</v>
      </c>
    </row>
    <row r="264" spans="1:3" x14ac:dyDescent="0.4">
      <c r="A264" s="40" t="s">
        <v>1630</v>
      </c>
      <c r="B264" s="41" t="str">
        <f>IFERROR(INDEX(Mots!$B:$B,MATCH($A264,Mots!$A:$A,0)),"introuvable")</f>
        <v>le rocher</v>
      </c>
      <c r="C264" s="40" t="s">
        <v>342</v>
      </c>
    </row>
    <row r="265" spans="1:3" x14ac:dyDescent="0.4">
      <c r="A265" s="40" t="s">
        <v>1639</v>
      </c>
      <c r="B265" s="41" t="str">
        <f>IFERROR(INDEX(Mots!$B:$B,MATCH($A265,Mots!$A:$A,0)),"introuvable")</f>
        <v>la lune</v>
      </c>
      <c r="C265" s="40" t="s">
        <v>345</v>
      </c>
    </row>
    <row r="266" spans="1:3" x14ac:dyDescent="0.4">
      <c r="A266" s="40" t="s">
        <v>1648</v>
      </c>
      <c r="B266" s="41" t="str">
        <f>IFERROR(INDEX(Mots!$B:$B,MATCH($A266,Mots!$A:$A,0)),"introuvable")</f>
        <v>la terre</v>
      </c>
      <c r="C266" s="40" t="s">
        <v>345</v>
      </c>
    </row>
    <row r="267" spans="1:3" x14ac:dyDescent="0.4">
      <c r="A267" s="40" t="s">
        <v>1661</v>
      </c>
      <c r="B267" s="41" t="str">
        <f>IFERROR(INDEX(Mots!$B:$B,MATCH($A267,Mots!$A:$A,0)),"introuvable")</f>
        <v>le ciel</v>
      </c>
      <c r="C267" s="40" t="s">
        <v>345</v>
      </c>
    </row>
    <row r="268" spans="1:3" x14ac:dyDescent="0.4">
      <c r="A268" s="40" t="s">
        <v>1665</v>
      </c>
      <c r="B268" s="41" t="str">
        <f>IFERROR(INDEX(Mots!$B:$B,MATCH($A268,Mots!$A:$A,0)),"introuvable")</f>
        <v>le feu</v>
      </c>
      <c r="C268" s="40" t="s">
        <v>345</v>
      </c>
    </row>
    <row r="269" spans="1:3" x14ac:dyDescent="0.4">
      <c r="A269" s="40" t="s">
        <v>1669</v>
      </c>
      <c r="B269" s="41" t="str">
        <f>IFERROR(INDEX(Mots!$B:$B,MATCH($A269,Mots!$A:$A,0)),"introuvable")</f>
        <v>le soleil</v>
      </c>
      <c r="C269" s="40" t="s">
        <v>345</v>
      </c>
    </row>
    <row r="270" spans="1:3" x14ac:dyDescent="0.4">
      <c r="A270" s="40" t="s">
        <v>1678</v>
      </c>
      <c r="B270" s="41" t="str">
        <f>IFERROR(INDEX(Mots!$B:$B,MATCH($A270,Mots!$A:$A,0)),"introuvable")</f>
        <v>l'eau</v>
      </c>
      <c r="C270" s="40" t="s">
        <v>345</v>
      </c>
    </row>
    <row r="271" spans="1:3" x14ac:dyDescent="0.4">
      <c r="A271" s="40" t="s">
        <v>1686</v>
      </c>
      <c r="B271" s="41" t="str">
        <f>IFERROR(INDEX(Mots!$B:$B,MATCH($A271,Mots!$A:$A,0)),"introuvable")</f>
        <v>l'incendie</v>
      </c>
      <c r="C271" s="40" t="s">
        <v>345</v>
      </c>
    </row>
    <row r="272" spans="1:3" x14ac:dyDescent="0.4">
      <c r="A272" s="40" t="s">
        <v>1690</v>
      </c>
      <c r="B272" s="41" t="str">
        <f>IFERROR(INDEX(Mots!$B:$B,MATCH($A272,Mots!$A:$A,0)),"introuvable")</f>
        <v>la colère</v>
      </c>
      <c r="C272" s="40" t="s">
        <v>121</v>
      </c>
    </row>
    <row r="273" spans="1:3" x14ac:dyDescent="0.4">
      <c r="A273" s="40" t="s">
        <v>1697</v>
      </c>
      <c r="B273" s="41" t="str">
        <f>IFERROR(INDEX(Mots!$B:$B,MATCH($A273,Mots!$A:$A,0)),"introuvable")</f>
        <v>la peur</v>
      </c>
      <c r="C273" s="40" t="s">
        <v>121</v>
      </c>
    </row>
    <row r="274" spans="1:3" x14ac:dyDescent="0.4">
      <c r="A274" s="40" t="s">
        <v>1703</v>
      </c>
      <c r="B274" s="41" t="str">
        <f>IFERROR(INDEX(Mots!$B:$B,MATCH($A274,Mots!$A:$A,0)),"introuvable")</f>
        <v>la solitude</v>
      </c>
      <c r="C274" s="40" t="s">
        <v>121</v>
      </c>
    </row>
    <row r="275" spans="1:3" x14ac:dyDescent="0.4">
      <c r="A275" s="40" t="s">
        <v>1711</v>
      </c>
      <c r="B275" s="41" t="str">
        <f>IFERROR(INDEX(Mots!$B:$B,MATCH($A275,Mots!$A:$A,0)),"introuvable")</f>
        <v>la tristesse</v>
      </c>
      <c r="C275" s="40" t="s">
        <v>121</v>
      </c>
    </row>
    <row r="276" spans="1:3" x14ac:dyDescent="0.4">
      <c r="A276" s="40" t="s">
        <v>1718</v>
      </c>
      <c r="B276" s="41" t="str">
        <f>IFERROR(INDEX(Mots!$B:$B,MATCH($A276,Mots!$A:$A,0)),"introuvable")</f>
        <v>la confiance</v>
      </c>
      <c r="C276" s="40" t="s">
        <v>125</v>
      </c>
    </row>
    <row r="277" spans="1:3" x14ac:dyDescent="0.4">
      <c r="A277" s="40" t="s">
        <v>1723</v>
      </c>
      <c r="B277" s="41" t="str">
        <f>IFERROR(INDEX(Mots!$B:$B,MATCH($A277,Mots!$A:$A,0)),"introuvable")</f>
        <v>la fierté</v>
      </c>
      <c r="C277" s="40" t="s">
        <v>125</v>
      </c>
    </row>
    <row r="278" spans="1:3" x14ac:dyDescent="0.4">
      <c r="A278" s="40" t="s">
        <v>1729</v>
      </c>
      <c r="B278" s="41" t="str">
        <f>IFERROR(INDEX(Mots!$B:$B,MATCH($A278,Mots!$A:$A,0)),"introuvable")</f>
        <v>la gratitude</v>
      </c>
      <c r="C278" s="40" t="s">
        <v>125</v>
      </c>
    </row>
    <row r="279" spans="1:3" x14ac:dyDescent="0.4">
      <c r="A279" s="40" t="s">
        <v>1736</v>
      </c>
      <c r="B279" s="41" t="str">
        <f>IFERROR(INDEX(Mots!$B:$B,MATCH($A279,Mots!$A:$A,0)),"introuvable")</f>
        <v>la joie</v>
      </c>
      <c r="C279" s="40" t="s">
        <v>125</v>
      </c>
    </row>
    <row r="280" spans="1:3" x14ac:dyDescent="0.4">
      <c r="A280" s="40" t="s">
        <v>1744</v>
      </c>
      <c r="B280" s="41" t="str">
        <f>IFERROR(INDEX(Mots!$B:$B,MATCH($A280,Mots!$A:$A,0)),"introuvable")</f>
        <v>la surprise</v>
      </c>
      <c r="C280" s="40" t="s">
        <v>125</v>
      </c>
    </row>
    <row r="281" spans="1:3" x14ac:dyDescent="0.4">
      <c r="A281" s="40" t="s">
        <v>1750</v>
      </c>
      <c r="B281" s="41" t="str">
        <f>IFERROR(INDEX(Mots!$B:$B,MATCH($A281,Mots!$A:$A,0)),"introuvable")</f>
        <v>l'amour</v>
      </c>
      <c r="C281" s="40" t="s">
        <v>125</v>
      </c>
    </row>
    <row r="282" spans="1:3" x14ac:dyDescent="0.4">
      <c r="A282" s="40" t="s">
        <v>1758</v>
      </c>
      <c r="B282" s="41" t="str">
        <f>IFERROR(INDEX(Mots!$B:$B,MATCH($A282,Mots!$A:$A,0)),"introuvable")</f>
        <v>le bonheur</v>
      </c>
      <c r="C282" s="40" t="s">
        <v>125</v>
      </c>
    </row>
    <row r="283" spans="1:3" x14ac:dyDescent="0.4">
      <c r="A283" s="40" t="s">
        <v>1764</v>
      </c>
      <c r="B283" s="41" t="str">
        <f>IFERROR(INDEX(Mots!$B:$B,MATCH($A283,Mots!$A:$A,0)),"introuvable")</f>
        <v>le courage</v>
      </c>
      <c r="C283" s="40" t="s">
        <v>125</v>
      </c>
    </row>
    <row r="284" spans="1:3" x14ac:dyDescent="0.4">
      <c r="A284" s="40" t="s">
        <v>1773</v>
      </c>
      <c r="B284" s="41" t="str">
        <f>IFERROR(INDEX(Mots!$B:$B,MATCH($A284,Mots!$A:$A,0)),"introuvable")</f>
        <v>le rêve</v>
      </c>
      <c r="C284" s="40" t="s">
        <v>125</v>
      </c>
    </row>
    <row r="285" spans="1:3" x14ac:dyDescent="0.4">
      <c r="A285" s="40" t="s">
        <v>1778</v>
      </c>
      <c r="B285" s="41" t="str">
        <f>IFERROR(INDEX(Mots!$B:$B,MATCH($A285,Mots!$A:$A,0)),"introuvable")</f>
        <v>l'espoir</v>
      </c>
      <c r="C285" s="40" t="s">
        <v>125</v>
      </c>
    </row>
    <row r="286" spans="1:3" x14ac:dyDescent="0.4">
      <c r="A286" s="40" t="s">
        <v>1785</v>
      </c>
      <c r="B286" s="41" t="str">
        <f>IFERROR(INDEX(Mots!$B:$B,MATCH($A286,Mots!$A:$A,0)),"introuvable")</f>
        <v>l'auberge du Godet</v>
      </c>
      <c r="C286" s="40" t="s">
        <v>338</v>
      </c>
    </row>
    <row r="287" spans="1:3" x14ac:dyDescent="0.4">
      <c r="A287" s="40" t="s">
        <v>1789</v>
      </c>
      <c r="B287" s="41" t="str">
        <f>IFERROR(INDEX(Mots!$B:$B,MATCH($A287,Mots!$A:$A,0)),"introuvable")</f>
        <v>le Refuge du Lac à Derborence</v>
      </c>
      <c r="C287" s="40" t="s">
        <v>338</v>
      </c>
    </row>
    <row r="288" spans="1:3" x14ac:dyDescent="0.4">
      <c r="A288" s="40" t="s">
        <v>1793</v>
      </c>
      <c r="B288" s="41" t="str">
        <f>IFERROR(INDEX(Mots!$B:$B,MATCH($A288,Mots!$A:$A,0)),"introuvable")</f>
        <v>le lac de Derborence</v>
      </c>
      <c r="C288" s="40" t="s">
        <v>338</v>
      </c>
    </row>
    <row r="289" spans="1:3" x14ac:dyDescent="0.4">
      <c r="A289" s="40" t="s">
        <v>1797</v>
      </c>
      <c r="B289" s="41" t="str">
        <f>IFERROR(INDEX(Mots!$B:$B,MATCH($A289,Mots!$A:$A,0)),"introuvable")</f>
        <v>la buvette de Dorbon</v>
      </c>
      <c r="C289" s="40" t="s">
        <v>338</v>
      </c>
    </row>
    <row r="290" spans="1:3" x14ac:dyDescent="0.4">
      <c r="A290" s="40" t="s">
        <v>1801</v>
      </c>
      <c r="B290" s="41" t="str">
        <f>IFERROR(INDEX(Mots!$B:$B,MATCH($A290,Mots!$A:$A,0)),"introuvable")</f>
        <v>l'alpage d'Airoz ou Aïre</v>
      </c>
      <c r="C290" s="40" t="s">
        <v>338</v>
      </c>
    </row>
    <row r="291" spans="1:3" x14ac:dyDescent="0.4">
      <c r="A291" s="40" t="s">
        <v>1805</v>
      </c>
      <c r="B291" s="41" t="str">
        <f>IFERROR(INDEX(Mots!$B:$B,MATCH($A291,Mots!$A:$A,0)),"introuvable")</f>
        <v>l'alpage de Flore</v>
      </c>
      <c r="C291" s="40" t="s">
        <v>338</v>
      </c>
    </row>
    <row r="292" spans="1:3" x14ac:dyDescent="0.4">
      <c r="A292" s="40" t="s">
        <v>1809</v>
      </c>
      <c r="B292" s="41" t="str">
        <f>IFERROR(INDEX(Mots!$B:$B,MATCH($A292,Mots!$A:$A,0)),"introuvable")</f>
        <v>le lac des Trente pas</v>
      </c>
      <c r="C292" s="40" t="s">
        <v>338</v>
      </c>
    </row>
    <row r="293" spans="1:3" x14ac:dyDescent="0.4">
      <c r="A293" s="40" t="s">
        <v>1813</v>
      </c>
      <c r="B293" s="41" t="str">
        <f>IFERROR(INDEX(Mots!$B:$B,MATCH($A293,Mots!$A:$A,0)),"introuvable")</f>
        <v>la croix de la Chia</v>
      </c>
      <c r="C293" s="40" t="s">
        <v>338</v>
      </c>
    </row>
    <row r="294" spans="1:3" x14ac:dyDescent="0.4">
      <c r="A294" s="40" t="s">
        <v>1817</v>
      </c>
      <c r="B294" s="41" t="str">
        <f>IFERROR(INDEX(Mots!$B:$B,MATCH($A294,Mots!$A:$A,0)),"introuvable")</f>
        <v>le Gîte de Lodze</v>
      </c>
      <c r="C294" s="40" t="s">
        <v>338</v>
      </c>
    </row>
    <row r="295" spans="1:3" x14ac:dyDescent="0.4">
      <c r="A295" s="40" t="s">
        <v>1821</v>
      </c>
      <c r="B295" s="41" t="str">
        <f>IFERROR(INDEX(Mots!$B:$B,MATCH($A295,Mots!$A:$A,0)),"introuvable")</f>
        <v>le restaurant de la Grand-Zour</v>
      </c>
      <c r="C295" s="40" t="s">
        <v>338</v>
      </c>
    </row>
    <row r="296" spans="1:3" x14ac:dyDescent="0.4">
      <c r="A296" s="40" t="s">
        <v>1825</v>
      </c>
      <c r="B296" s="41" t="str">
        <f>IFERROR(INDEX(Mots!$B:$B,MATCH($A296,Mots!$A:$A,0)),"introuvable")</f>
        <v>la cabane de Prarochet</v>
      </c>
      <c r="C296" s="40" t="s">
        <v>338</v>
      </c>
    </row>
    <row r="297" spans="1:3" x14ac:dyDescent="0.4">
      <c r="A297" s="40" t="s">
        <v>1829</v>
      </c>
      <c r="B297" s="41" t="str">
        <f>IFERROR(INDEX(Mots!$B:$B,MATCH($A297,Mots!$A:$A,0)),"introuvable")</f>
        <v>le barrage de la Grande Dixence</v>
      </c>
      <c r="C297" s="40" t="s">
        <v>338</v>
      </c>
    </row>
    <row r="298" spans="1:3" x14ac:dyDescent="0.4">
      <c r="A298" s="40" t="s">
        <v>1833</v>
      </c>
      <c r="B298" s="41" t="str">
        <f>IFERROR(INDEX(Mots!$B:$B,MATCH($A298,Mots!$A:$A,0)),"introuvable")</f>
        <v>l'argent</v>
      </c>
      <c r="C298" s="40" t="s">
        <v>357</v>
      </c>
    </row>
    <row r="299" spans="1:3" x14ac:dyDescent="0.4">
      <c r="A299" s="40" t="s">
        <v>1841</v>
      </c>
      <c r="B299" s="41" t="str">
        <f>IFERROR(INDEX(Mots!$B:$B,MATCH($A299,Mots!$A:$A,0)),"introuvable")</f>
        <v>le salaire</v>
      </c>
      <c r="C299" s="40" t="s">
        <v>357</v>
      </c>
    </row>
    <row r="300" spans="1:3" x14ac:dyDescent="0.4">
      <c r="A300" s="40" t="s">
        <v>1846</v>
      </c>
      <c r="B300" s="41" t="str">
        <f>IFERROR(INDEX(Mots!$B:$B,MATCH($A300,Mots!$A:$A,0)),"introuvable")</f>
        <v>le fruit</v>
      </c>
      <c r="C300" s="40" t="s">
        <v>222</v>
      </c>
    </row>
    <row r="301" spans="1:3" x14ac:dyDescent="0.4">
      <c r="A301" s="40" t="s">
        <v>1852</v>
      </c>
      <c r="B301" s="41" t="str">
        <f>IFERROR(INDEX(Mots!$B:$B,MATCH($A301,Mots!$A:$A,0)),"introuvable")</f>
        <v>la pomme</v>
      </c>
      <c r="C301" s="40" t="s">
        <v>231</v>
      </c>
    </row>
    <row r="302" spans="1:3" x14ac:dyDescent="0.4">
      <c r="A302" s="40" t="s">
        <v>1857</v>
      </c>
      <c r="B302" s="41" t="str">
        <f>IFERROR(INDEX(Mots!$B:$B,MATCH($A302,Mots!$A:$A,0)),"introuvable")</f>
        <v>la poire</v>
      </c>
      <c r="C302" s="40" t="s">
        <v>231</v>
      </c>
    </row>
    <row r="303" spans="1:3" x14ac:dyDescent="0.4">
      <c r="A303" s="40" t="s">
        <v>1862</v>
      </c>
      <c r="B303" s="41" t="str">
        <f>IFERROR(INDEX(Mots!$B:$B,MATCH($A303,Mots!$A:$A,0)),"introuvable")</f>
        <v>le pruneau</v>
      </c>
      <c r="C303" s="40" t="s">
        <v>231</v>
      </c>
    </row>
    <row r="304" spans="1:3" x14ac:dyDescent="0.4">
      <c r="A304" s="40" t="s">
        <v>1867</v>
      </c>
      <c r="B304" s="41" t="str">
        <f>IFERROR(INDEX(Mots!$B:$B,MATCH($A304,Mots!$A:$A,0)),"introuvable")</f>
        <v>la cerise</v>
      </c>
      <c r="C304" s="40" t="s">
        <v>231</v>
      </c>
    </row>
    <row r="305" spans="1:3" x14ac:dyDescent="0.4">
      <c r="A305" s="40" t="s">
        <v>1872</v>
      </c>
      <c r="B305" s="41" t="str">
        <f>IFERROR(INDEX(Mots!$B:$B,MATCH($A305,Mots!$A:$A,0)),"introuvable")</f>
        <v>l'abricot</v>
      </c>
      <c r="C305" s="40" t="s">
        <v>231</v>
      </c>
    </row>
    <row r="306" spans="1:3" x14ac:dyDescent="0.4">
      <c r="A306" s="40" t="s">
        <v>1876</v>
      </c>
      <c r="B306" s="41" t="str">
        <f>IFERROR(INDEX(Mots!$B:$B,MATCH($A306,Mots!$A:$A,0)),"introuvable")</f>
        <v>la fraise</v>
      </c>
      <c r="C306" s="40" t="s">
        <v>231</v>
      </c>
    </row>
    <row r="307" spans="1:3" x14ac:dyDescent="0.4">
      <c r="A307" s="40" t="s">
        <v>1880</v>
      </c>
      <c r="B307" s="41" t="str">
        <f>IFERROR(INDEX(Mots!$B:$B,MATCH($A307,Mots!$A:$A,0)),"introuvable")</f>
        <v>la framboise</v>
      </c>
      <c r="C307" s="40" t="s">
        <v>231</v>
      </c>
    </row>
    <row r="308" spans="1:3" x14ac:dyDescent="0.4">
      <c r="A308" s="40" t="s">
        <v>1884</v>
      </c>
      <c r="B308" s="41" t="str">
        <f>IFERROR(INDEX(Mots!$B:$B,MATCH($A308,Mots!$A:$A,0)),"introuvable")</f>
        <v>la banane</v>
      </c>
      <c r="C308" s="40" t="s">
        <v>231</v>
      </c>
    </row>
    <row r="309" spans="1:3" x14ac:dyDescent="0.4">
      <c r="A309" s="40" t="s">
        <v>1889</v>
      </c>
      <c r="B309" s="41" t="str">
        <f>IFERROR(INDEX(Mots!$B:$B,MATCH($A309,Mots!$A:$A,0)),"introuvable")</f>
        <v>l'orange</v>
      </c>
      <c r="C309" s="40" t="s">
        <v>231</v>
      </c>
    </row>
    <row r="310" spans="1:3" x14ac:dyDescent="0.4">
      <c r="A310" s="40" t="s">
        <v>1894</v>
      </c>
      <c r="B310" s="41" t="str">
        <f>IFERROR(INDEX(Mots!$B:$B,MATCH($A310,Mots!$A:$A,0)),"introuvable")</f>
        <v>la mandarine</v>
      </c>
      <c r="C310" s="40" t="s">
        <v>231</v>
      </c>
    </row>
    <row r="311" spans="1:3" x14ac:dyDescent="0.4">
      <c r="A311" s="40" t="s">
        <v>1899</v>
      </c>
      <c r="B311" s="41" t="str">
        <f>IFERROR(INDEX(Mots!$B:$B,MATCH($A311,Mots!$A:$A,0)),"introuvable")</f>
        <v>l'avocat</v>
      </c>
      <c r="C311" s="40" t="s">
        <v>231</v>
      </c>
    </row>
    <row r="312" spans="1:3" x14ac:dyDescent="0.4">
      <c r="A312" s="40" t="s">
        <v>1903</v>
      </c>
      <c r="B312" s="41" t="str">
        <f>IFERROR(INDEX(Mots!$B:$B,MATCH($A312,Mots!$A:$A,0)),"introuvable")</f>
        <v>la noix</v>
      </c>
      <c r="C312" s="40" t="s">
        <v>231</v>
      </c>
    </row>
    <row r="313" spans="1:3" x14ac:dyDescent="0.4">
      <c r="A313" s="40" t="s">
        <v>1907</v>
      </c>
      <c r="B313" s="41" t="str">
        <f>IFERROR(INDEX(Mots!$B:$B,MATCH($A313,Mots!$A:$A,0)),"introuvable")</f>
        <v>la pêche</v>
      </c>
      <c r="C313" s="40" t="s">
        <v>231</v>
      </c>
    </row>
    <row r="314" spans="1:3" x14ac:dyDescent="0.4">
      <c r="A314" s="40" t="s">
        <v>1911</v>
      </c>
      <c r="B314" s="41" t="str">
        <f>IFERROR(INDEX(Mots!$B:$B,MATCH($A314,Mots!$A:$A,0)),"introuvable")</f>
        <v>le raisin</v>
      </c>
      <c r="C314" s="40" t="s">
        <v>231</v>
      </c>
    </row>
    <row r="315" spans="1:3" x14ac:dyDescent="0.4">
      <c r="A315" s="40" t="s">
        <v>1915</v>
      </c>
      <c r="B315" s="41" t="str">
        <f>IFERROR(INDEX(Mots!$B:$B,MATCH($A315,Mots!$A:$A,0)),"introuvable")</f>
        <v>la fourmi</v>
      </c>
      <c r="C315" s="40" t="s">
        <v>293</v>
      </c>
    </row>
    <row r="316" spans="1:3" x14ac:dyDescent="0.4">
      <c r="A316" s="40" t="s">
        <v>1919</v>
      </c>
      <c r="B316" s="41" t="str">
        <f>IFERROR(INDEX(Mots!$B:$B,MATCH($A316,Mots!$A:$A,0)),"introuvable")</f>
        <v>la mouche</v>
      </c>
      <c r="C316" s="40" t="s">
        <v>293</v>
      </c>
    </row>
    <row r="317" spans="1:3" x14ac:dyDescent="0.4">
      <c r="A317" s="40" t="s">
        <v>1923</v>
      </c>
      <c r="B317" s="41" t="str">
        <f>IFERROR(INDEX(Mots!$B:$B,MATCH($A317,Mots!$A:$A,0)),"introuvable")</f>
        <v>la toile</v>
      </c>
      <c r="C317" s="40" t="s">
        <v>293</v>
      </c>
    </row>
    <row r="318" spans="1:3" x14ac:dyDescent="0.4">
      <c r="A318" s="40" t="s">
        <v>1927</v>
      </c>
      <c r="B318" s="41" t="str">
        <f>IFERROR(INDEX(Mots!$B:$B,MATCH($A318,Mots!$A:$A,0)),"introuvable")</f>
        <v>l'abeille</v>
      </c>
      <c r="C318" s="40" t="s">
        <v>293</v>
      </c>
    </row>
    <row r="319" spans="1:3" x14ac:dyDescent="0.4">
      <c r="A319" s="40" t="s">
        <v>1931</v>
      </c>
      <c r="B319" s="41" t="str">
        <f>IFERROR(INDEX(Mots!$B:$B,MATCH($A319,Mots!$A:$A,0)),"introuvable")</f>
        <v>l'araignée</v>
      </c>
      <c r="C319" s="40" t="s">
        <v>293</v>
      </c>
    </row>
    <row r="320" spans="1:3" x14ac:dyDescent="0.4">
      <c r="A320" s="40" t="s">
        <v>1935</v>
      </c>
      <c r="B320" s="41" t="str">
        <f>IFERROR(INDEX(Mots!$B:$B,MATCH($A320,Mots!$A:$A,0)),"introuvable")</f>
        <v>le papillon</v>
      </c>
      <c r="C320" s="40" t="s">
        <v>293</v>
      </c>
    </row>
    <row r="321" spans="1:3" x14ac:dyDescent="0.4">
      <c r="A321" s="40" t="s">
        <v>1939</v>
      </c>
      <c r="B321" s="41" t="str">
        <f>IFERROR(INDEX(Mots!$B:$B,MATCH($A321,Mots!$A:$A,0)),"introuvable")</f>
        <v>l'insecte</v>
      </c>
      <c r="C321" s="40" t="s">
        <v>293</v>
      </c>
    </row>
    <row r="322" spans="1:3" x14ac:dyDescent="0.4">
      <c r="A322" s="40" t="s">
        <v>1942</v>
      </c>
      <c r="B322" s="41" t="str">
        <f>IFERROR(INDEX(Mots!$B:$B,MATCH($A322,Mots!$A:$A,0)),"introuvable")</f>
        <v>la guitare</v>
      </c>
      <c r="C322" s="40" t="s">
        <v>142</v>
      </c>
    </row>
    <row r="323" spans="1:3" x14ac:dyDescent="0.4">
      <c r="A323" s="40" t="s">
        <v>1950</v>
      </c>
      <c r="B323" s="41" t="str">
        <f>IFERROR(INDEX(Mots!$B:$B,MATCH($A323,Mots!$A:$A,0)),"introuvable")</f>
        <v>le piano</v>
      </c>
      <c r="C323" s="40" t="s">
        <v>142</v>
      </c>
    </row>
    <row r="324" spans="1:3" x14ac:dyDescent="0.4">
      <c r="A324" s="40" t="s">
        <v>1954</v>
      </c>
      <c r="B324" s="41" t="str">
        <f>IFERROR(INDEX(Mots!$B:$B,MATCH($A324,Mots!$A:$A,0)),"introuvable")</f>
        <v>la batterie</v>
      </c>
      <c r="C324" s="40" t="s">
        <v>137</v>
      </c>
    </row>
    <row r="325" spans="1:3" x14ac:dyDescent="0.4">
      <c r="A325" s="40" t="s">
        <v>1958</v>
      </c>
      <c r="B325" s="41" t="str">
        <f>IFERROR(INDEX(Mots!$B:$B,MATCH($A325,Mots!$A:$A,0)),"introuvable")</f>
        <v>la grosse caisse</v>
      </c>
      <c r="C325" s="40" t="s">
        <v>137</v>
      </c>
    </row>
    <row r="326" spans="1:3" x14ac:dyDescent="0.4">
      <c r="A326" s="40" t="s">
        <v>1962</v>
      </c>
      <c r="B326" s="41" t="str">
        <f>IFERROR(INDEX(Mots!$B:$B,MATCH($A326,Mots!$A:$A,0)),"introuvable")</f>
        <v>les cymbales</v>
      </c>
      <c r="C326" s="40" t="s">
        <v>137</v>
      </c>
    </row>
    <row r="327" spans="1:3" x14ac:dyDescent="0.4">
      <c r="A327" s="40" t="s">
        <v>1965</v>
      </c>
      <c r="B327" s="41" t="str">
        <f>IFERROR(INDEX(Mots!$B:$B,MATCH($A327,Mots!$A:$A,0)),"introuvable")</f>
        <v>les timbales</v>
      </c>
      <c r="C327" s="40" t="s">
        <v>137</v>
      </c>
    </row>
    <row r="328" spans="1:3" x14ac:dyDescent="0.4">
      <c r="A328" s="40" t="s">
        <v>1968</v>
      </c>
      <c r="B328" s="41" t="str">
        <f>IFERROR(INDEX(Mots!$B:$B,MATCH($A328,Mots!$A:$A,0)),"introuvable")</f>
        <v>le xylophone</v>
      </c>
      <c r="C328" s="40" t="s">
        <v>137</v>
      </c>
    </row>
    <row r="329" spans="1:3" x14ac:dyDescent="0.4">
      <c r="A329" s="40" t="s">
        <v>1971</v>
      </c>
      <c r="B329" s="41" t="str">
        <f>IFERROR(INDEX(Mots!$B:$B,MATCH($A329,Mots!$A:$A,0)),"introuvable")</f>
        <v>le vibraphone</v>
      </c>
      <c r="C329" s="40" t="s">
        <v>137</v>
      </c>
    </row>
    <row r="330" spans="1:3" x14ac:dyDescent="0.4">
      <c r="A330" s="40" t="s">
        <v>1974</v>
      </c>
      <c r="B330" s="41" t="str">
        <f>IFERROR(INDEX(Mots!$B:$B,MATCH($A330,Mots!$A:$A,0)),"introuvable")</f>
        <v>le marimba</v>
      </c>
      <c r="C330" s="40" t="s">
        <v>137</v>
      </c>
    </row>
    <row r="331" spans="1:3" x14ac:dyDescent="0.4">
      <c r="A331" s="40" t="s">
        <v>1977</v>
      </c>
      <c r="B331" s="41" t="str">
        <f>IFERROR(INDEX(Mots!$B:$B,MATCH($A331,Mots!$A:$A,0)),"introuvable")</f>
        <v>le tambour</v>
      </c>
      <c r="C331" s="40" t="s">
        <v>137</v>
      </c>
    </row>
    <row r="332" spans="1:3" x14ac:dyDescent="0.4">
      <c r="A332" s="40" t="s">
        <v>1985</v>
      </c>
      <c r="B332" s="41" t="str">
        <f>IFERROR(INDEX(Mots!$B:$B,MATCH($A332,Mots!$A:$A,0)),"introuvable")</f>
        <v>le cornet</v>
      </c>
      <c r="C332" s="40" t="s">
        <v>10125</v>
      </c>
    </row>
    <row r="333" spans="1:3" x14ac:dyDescent="0.4">
      <c r="A333" s="40" t="s">
        <v>1988</v>
      </c>
      <c r="B333" s="41" t="str">
        <f>IFERROR(INDEX(Mots!$B:$B,MATCH($A333,Mots!$A:$A,0)),"introuvable")</f>
        <v>le bugle</v>
      </c>
      <c r="C333" s="40" t="s">
        <v>10125</v>
      </c>
    </row>
    <row r="334" spans="1:3" x14ac:dyDescent="0.4">
      <c r="A334" s="40" t="s">
        <v>1992</v>
      </c>
      <c r="B334" s="41" t="str">
        <f>IFERROR(INDEX(Mots!$B:$B,MATCH($A334,Mots!$A:$A,0)),"introuvable")</f>
        <v>l'alto</v>
      </c>
      <c r="C334" s="40" t="s">
        <v>10125</v>
      </c>
    </row>
    <row r="335" spans="1:3" x14ac:dyDescent="0.4">
      <c r="A335" s="40" t="s">
        <v>1996</v>
      </c>
      <c r="B335" s="41" t="str">
        <f>IFERROR(INDEX(Mots!$B:$B,MATCH($A335,Mots!$A:$A,0)),"introuvable")</f>
        <v>le baryton</v>
      </c>
      <c r="C335" s="40" t="s">
        <v>10125</v>
      </c>
    </row>
    <row r="336" spans="1:3" x14ac:dyDescent="0.4">
      <c r="A336" s="40" t="s">
        <v>2000</v>
      </c>
      <c r="B336" s="41" t="str">
        <f>IFERROR(INDEX(Mots!$B:$B,MATCH($A336,Mots!$A:$A,0)),"introuvable")</f>
        <v>l'euphonium</v>
      </c>
      <c r="C336" s="40" t="s">
        <v>10125</v>
      </c>
    </row>
    <row r="337" spans="1:3" x14ac:dyDescent="0.4">
      <c r="A337" s="40" t="s">
        <v>2004</v>
      </c>
      <c r="B337" s="41" t="str">
        <f>IFERROR(INDEX(Mots!$B:$B,MATCH($A337,Mots!$A:$A,0)),"introuvable")</f>
        <v>la basse</v>
      </c>
      <c r="C337" s="40" t="s">
        <v>10125</v>
      </c>
    </row>
    <row r="338" spans="1:3" x14ac:dyDescent="0.4">
      <c r="A338" s="40" t="s">
        <v>2008</v>
      </c>
      <c r="B338" s="41" t="str">
        <f>IFERROR(INDEX(Mots!$B:$B,MATCH($A338,Mots!$A:$A,0)),"introuvable")</f>
        <v>le trombone</v>
      </c>
      <c r="C338" s="40" t="s">
        <v>10125</v>
      </c>
    </row>
    <row r="339" spans="1:3" x14ac:dyDescent="0.4">
      <c r="A339" s="40" t="s">
        <v>2012</v>
      </c>
      <c r="B339" s="41" t="str">
        <f>IFERROR(INDEX(Mots!$B:$B,MATCH($A339,Mots!$A:$A,0)),"introuvable")</f>
        <v>le légume</v>
      </c>
      <c r="C339" s="40" t="s">
        <v>222</v>
      </c>
    </row>
    <row r="340" spans="1:3" x14ac:dyDescent="0.4">
      <c r="A340" s="40" t="s">
        <v>9407</v>
      </c>
      <c r="B340" s="41" t="str">
        <f>IFERROR(INDEX(Mots!$B:$B,MATCH($A340,Mots!$A:$A,0)),"introuvable")</f>
        <v>la pomme de terre</v>
      </c>
      <c r="C340" s="40" t="s">
        <v>226</v>
      </c>
    </row>
    <row r="341" spans="1:3" x14ac:dyDescent="0.4">
      <c r="A341" s="40" t="s">
        <v>2020</v>
      </c>
      <c r="B341" s="41" t="str">
        <f>IFERROR(INDEX(Mots!$B:$B,MATCH($A341,Mots!$A:$A,0)),"introuvable")</f>
        <v>la carotte</v>
      </c>
      <c r="C341" s="40" t="s">
        <v>226</v>
      </c>
    </row>
    <row r="342" spans="1:3" x14ac:dyDescent="0.4">
      <c r="A342" s="40" t="s">
        <v>2024</v>
      </c>
      <c r="B342" s="41" t="str">
        <f>IFERROR(INDEX(Mots!$B:$B,MATCH($A342,Mots!$A:$A,0)),"introuvable")</f>
        <v>la tomate</v>
      </c>
      <c r="C342" s="40" t="s">
        <v>226</v>
      </c>
    </row>
    <row r="343" spans="1:3" x14ac:dyDescent="0.4">
      <c r="A343" s="40" t="s">
        <v>2028</v>
      </c>
      <c r="B343" s="41" t="str">
        <f>IFERROR(INDEX(Mots!$B:$B,MATCH($A343,Mots!$A:$A,0)),"introuvable")</f>
        <v>le chou-fleur</v>
      </c>
      <c r="C343" s="40" t="s">
        <v>226</v>
      </c>
    </row>
    <row r="344" spans="1:3" x14ac:dyDescent="0.4">
      <c r="A344" s="40" t="s">
        <v>2032</v>
      </c>
      <c r="B344" s="41" t="str">
        <f>IFERROR(INDEX(Mots!$B:$B,MATCH($A344,Mots!$A:$A,0)),"introuvable")</f>
        <v>le poireau</v>
      </c>
      <c r="C344" s="40" t="s">
        <v>226</v>
      </c>
    </row>
    <row r="345" spans="1:3" x14ac:dyDescent="0.4">
      <c r="A345" s="40" t="s">
        <v>2036</v>
      </c>
      <c r="B345" s="41" t="str">
        <f>IFERROR(INDEX(Mots!$B:$B,MATCH($A345,Mots!$A:$A,0)),"introuvable")</f>
        <v>le brocoli</v>
      </c>
      <c r="C345" s="40" t="s">
        <v>226</v>
      </c>
    </row>
    <row r="346" spans="1:3" x14ac:dyDescent="0.4">
      <c r="A346" s="40" t="s">
        <v>2040</v>
      </c>
      <c r="B346" s="41" t="str">
        <f>IFERROR(INDEX(Mots!$B:$B,MATCH($A346,Mots!$A:$A,0)),"introuvable")</f>
        <v>l'asperge</v>
      </c>
      <c r="C346" s="40" t="s">
        <v>226</v>
      </c>
    </row>
    <row r="347" spans="1:3" x14ac:dyDescent="0.4">
      <c r="A347" s="40" t="s">
        <v>2044</v>
      </c>
      <c r="B347" s="41" t="str">
        <f>IFERROR(INDEX(Mots!$B:$B,MATCH($A347,Mots!$A:$A,0)),"introuvable")</f>
        <v>la courgette</v>
      </c>
      <c r="C347" s="40" t="s">
        <v>226</v>
      </c>
    </row>
    <row r="348" spans="1:3" x14ac:dyDescent="0.4">
      <c r="A348" s="40" t="s">
        <v>2048</v>
      </c>
      <c r="B348" s="41" t="str">
        <f>IFERROR(INDEX(Mots!$B:$B,MATCH($A348,Mots!$A:$A,0)),"introuvable")</f>
        <v>la salade (laitue)</v>
      </c>
      <c r="C348" s="40" t="s">
        <v>226</v>
      </c>
    </row>
    <row r="349" spans="1:3" x14ac:dyDescent="0.4">
      <c r="A349" s="40" t="s">
        <v>2055</v>
      </c>
      <c r="B349" s="41" t="str">
        <f>IFERROR(INDEX(Mots!$B:$B,MATCH($A349,Mots!$A:$A,0)),"introuvable")</f>
        <v>la betterave à salade</v>
      </c>
      <c r="C349" s="40" t="s">
        <v>226</v>
      </c>
    </row>
    <row r="350" spans="1:3" x14ac:dyDescent="0.4">
      <c r="A350" s="40" t="s">
        <v>2059</v>
      </c>
      <c r="B350" s="41" t="str">
        <f>IFERROR(INDEX(Mots!$B:$B,MATCH($A350,Mots!$A:$A,0)),"introuvable")</f>
        <v>le haricot</v>
      </c>
      <c r="C350" s="40" t="s">
        <v>226</v>
      </c>
    </row>
    <row r="351" spans="1:3" x14ac:dyDescent="0.4">
      <c r="A351" s="40" t="s">
        <v>2063</v>
      </c>
      <c r="B351" s="41" t="str">
        <f>IFERROR(INDEX(Mots!$B:$B,MATCH($A351,Mots!$A:$A,0)),"introuvable")</f>
        <v>l'oignon</v>
      </c>
      <c r="C351" s="40" t="s">
        <v>226</v>
      </c>
    </row>
    <row r="352" spans="1:3" x14ac:dyDescent="0.4">
      <c r="A352" s="40" t="s">
        <v>2067</v>
      </c>
      <c r="B352" s="41" t="str">
        <f>IFERROR(INDEX(Mots!$B:$B,MATCH($A352,Mots!$A:$A,0)),"introuvable")</f>
        <v>la ville de Sion</v>
      </c>
      <c r="C352" s="40" t="s">
        <v>10100</v>
      </c>
    </row>
    <row r="353" spans="1:3" x14ac:dyDescent="0.4">
      <c r="A353" s="40" t="s">
        <v>2072</v>
      </c>
      <c r="B353" s="41" t="str">
        <f>IFERROR(INDEX(Mots!$B:$B,MATCH($A353,Mots!$A:$A,0)),"introuvable")</f>
        <v>Vétroz</v>
      </c>
      <c r="C353" s="40" t="s">
        <v>10100</v>
      </c>
    </row>
    <row r="354" spans="1:3" x14ac:dyDescent="0.4">
      <c r="A354" s="40" t="s">
        <v>82</v>
      </c>
      <c r="B354" s="41" t="str">
        <f>IFERROR(INDEX(Mots!$B:$B,MATCH($A354,Mots!$A:$A,0)),"introuvable")</f>
        <v>la ville</v>
      </c>
      <c r="C354" s="40" t="s">
        <v>10127</v>
      </c>
    </row>
    <row r="355" spans="1:3" x14ac:dyDescent="0.4">
      <c r="A355" s="40" t="s">
        <v>2080</v>
      </c>
      <c r="B355" s="41" t="str">
        <f>IFERROR(INDEX(Mots!$B:$B,MATCH($A355,Mots!$A:$A,0)),"introuvable")</f>
        <v>la rue</v>
      </c>
      <c r="C355" s="40" t="s">
        <v>10127</v>
      </c>
    </row>
    <row r="356" spans="1:3" x14ac:dyDescent="0.4">
      <c r="A356" s="40" t="s">
        <v>2089</v>
      </c>
      <c r="B356" s="41" t="str">
        <f>IFERROR(INDEX(Mots!$B:$B,MATCH($A356,Mots!$A:$A,0)),"introuvable")</f>
        <v>le pont</v>
      </c>
      <c r="C356" s="40" t="s">
        <v>10127</v>
      </c>
    </row>
    <row r="357" spans="1:3" x14ac:dyDescent="0.4">
      <c r="A357" s="40" t="s">
        <v>2094</v>
      </c>
      <c r="B357" s="41" t="str">
        <f>IFERROR(INDEX(Mots!$B:$B,MATCH($A357,Mots!$A:$A,0)),"introuvable")</f>
        <v>le tunnel</v>
      </c>
      <c r="C357" s="40" t="s">
        <v>10127</v>
      </c>
    </row>
    <row r="358" spans="1:3" x14ac:dyDescent="0.4">
      <c r="A358" s="40" t="s">
        <v>2098</v>
      </c>
      <c r="B358" s="41" t="str">
        <f>IFERROR(INDEX(Mots!$B:$B,MATCH($A358,Mots!$A:$A,0)),"introuvable")</f>
        <v>le parc</v>
      </c>
      <c r="C358" s="40" t="s">
        <v>10127</v>
      </c>
    </row>
    <row r="359" spans="1:3" x14ac:dyDescent="0.4">
      <c r="A359" s="40" t="s">
        <v>2107</v>
      </c>
      <c r="B359" s="41" t="str">
        <f>IFERROR(INDEX(Mots!$B:$B,MATCH($A359,Mots!$A:$A,0)),"introuvable")</f>
        <v>le Bureau des Métiers</v>
      </c>
      <c r="C359" s="40" t="s">
        <v>10100</v>
      </c>
    </row>
    <row r="360" spans="1:3" x14ac:dyDescent="0.4">
      <c r="A360" s="40" t="s">
        <v>2111</v>
      </c>
      <c r="B360" s="41" t="str">
        <f>IFERROR(INDEX(Mots!$B:$B,MATCH($A360,Mots!$A:$A,0)),"introuvable")</f>
        <v>Hôtel de police à Genève</v>
      </c>
      <c r="C360" s="40" t="s">
        <v>10100</v>
      </c>
    </row>
    <row r="361" spans="1:3" x14ac:dyDescent="0.4">
      <c r="A361" s="40" t="s">
        <v>2115</v>
      </c>
      <c r="B361" s="41" t="str">
        <f>IFERROR(INDEX(Mots!$B:$B,MATCH($A361,Mots!$A:$A,0)),"introuvable")</f>
        <v>le CHUV - Hôpital Universitaire Vaudois</v>
      </c>
      <c r="C361" s="40" t="s">
        <v>10100</v>
      </c>
    </row>
    <row r="362" spans="1:3" x14ac:dyDescent="0.4">
      <c r="A362" s="40" t="s">
        <v>2119</v>
      </c>
      <c r="B362" s="41" t="str">
        <f>IFERROR(INDEX(Mots!$B:$B,MATCH($A362,Mots!$A:$A,0)),"introuvable")</f>
        <v>le doigt</v>
      </c>
      <c r="C362" s="40" t="s">
        <v>329</v>
      </c>
    </row>
    <row r="363" spans="1:3" x14ac:dyDescent="0.4">
      <c r="A363" s="40" t="s">
        <v>2123</v>
      </c>
      <c r="B363" s="41" t="str">
        <f>IFERROR(INDEX(Mots!$B:$B,MATCH($A363,Mots!$A:$A,0)),"introuvable")</f>
        <v>la main</v>
      </c>
      <c r="C363" s="40" t="s">
        <v>329</v>
      </c>
    </row>
    <row r="364" spans="1:3" x14ac:dyDescent="0.4">
      <c r="A364" s="40" t="s">
        <v>2128</v>
      </c>
      <c r="B364" s="41" t="str">
        <f>IFERROR(INDEX(Mots!$B:$B,MATCH($A364,Mots!$A:$A,0)),"introuvable")</f>
        <v>le bras</v>
      </c>
      <c r="C364" s="40" t="s">
        <v>329</v>
      </c>
    </row>
    <row r="365" spans="1:3" x14ac:dyDescent="0.4">
      <c r="A365" s="40" t="s">
        <v>2133</v>
      </c>
      <c r="B365" s="41" t="str">
        <f>IFERROR(INDEX(Mots!$B:$B,MATCH($A365,Mots!$A:$A,0)),"introuvable")</f>
        <v>la jambe</v>
      </c>
      <c r="C365" s="40" t="s">
        <v>329</v>
      </c>
    </row>
    <row r="366" spans="1:3" x14ac:dyDescent="0.4">
      <c r="A366" s="40" t="s">
        <v>2138</v>
      </c>
      <c r="B366" s="41" t="str">
        <f>IFERROR(INDEX(Mots!$B:$B,MATCH($A366,Mots!$A:$A,0)),"introuvable")</f>
        <v>la cuisse</v>
      </c>
      <c r="C366" s="40" t="s">
        <v>329</v>
      </c>
    </row>
    <row r="367" spans="1:3" x14ac:dyDescent="0.4">
      <c r="A367" s="40" t="s">
        <v>2143</v>
      </c>
      <c r="B367" s="41" t="str">
        <f>IFERROR(INDEX(Mots!$B:$B,MATCH($A367,Mots!$A:$A,0)),"introuvable")</f>
        <v>le pied</v>
      </c>
      <c r="C367" s="40" t="s">
        <v>329</v>
      </c>
    </row>
    <row r="368" spans="1:3" x14ac:dyDescent="0.4">
      <c r="A368" s="40" t="s">
        <v>2152</v>
      </c>
      <c r="B368" s="41" t="str">
        <f>IFERROR(INDEX(Mots!$B:$B,MATCH($A368,Mots!$A:$A,0)),"introuvable")</f>
        <v>le coude</v>
      </c>
      <c r="C368" s="40" t="s">
        <v>329</v>
      </c>
    </row>
    <row r="369" spans="1:3" x14ac:dyDescent="0.4">
      <c r="A369" s="40" t="s">
        <v>2156</v>
      </c>
      <c r="B369" s="41" t="str">
        <f>IFERROR(INDEX(Mots!$B:$B,MATCH($A369,Mots!$A:$A,0)),"introuvable")</f>
        <v>le genou</v>
      </c>
      <c r="C369" s="40" t="s">
        <v>329</v>
      </c>
    </row>
    <row r="370" spans="1:3" x14ac:dyDescent="0.4">
      <c r="A370" s="40" t="s">
        <v>2160</v>
      </c>
      <c r="B370" s="41" t="str">
        <f>IFERROR(INDEX(Mots!$B:$B,MATCH($A370,Mots!$A:$A,0)),"introuvable")</f>
        <v>le médecin</v>
      </c>
      <c r="C370" s="40" t="s">
        <v>362</v>
      </c>
    </row>
    <row r="371" spans="1:3" x14ac:dyDescent="0.4">
      <c r="A371" s="40" t="s">
        <v>2169</v>
      </c>
      <c r="B371" s="41" t="str">
        <f>IFERROR(INDEX(Mots!$B:$B,MATCH($A371,Mots!$A:$A,0)),"introuvable")</f>
        <v>la doctoresse</v>
      </c>
      <c r="C371" s="40" t="s">
        <v>362</v>
      </c>
    </row>
    <row r="372" spans="1:3" x14ac:dyDescent="0.4">
      <c r="A372" s="40" t="s">
        <v>2173</v>
      </c>
      <c r="B372" s="41" t="str">
        <f>IFERROR(INDEX(Mots!$B:$B,MATCH($A372,Mots!$A:$A,0)),"introuvable")</f>
        <v>le policier</v>
      </c>
      <c r="C372" s="40" t="s">
        <v>362</v>
      </c>
    </row>
    <row r="373" spans="1:3" x14ac:dyDescent="0.4">
      <c r="A373" s="40" t="s">
        <v>2178</v>
      </c>
      <c r="B373" s="41" t="str">
        <f>IFERROR(INDEX(Mots!$B:$B,MATCH($A373,Mots!$A:$A,0)),"introuvable")</f>
        <v>le charpentier</v>
      </c>
      <c r="C373" s="40" t="s">
        <v>362</v>
      </c>
    </row>
    <row r="374" spans="1:3" x14ac:dyDescent="0.4">
      <c r="A374" s="40" t="s">
        <v>2182</v>
      </c>
      <c r="B374" s="41" t="str">
        <f>IFERROR(INDEX(Mots!$B:$B,MATCH($A374,Mots!$A:$A,0)),"introuvable")</f>
        <v>le maçon</v>
      </c>
      <c r="C374" s="40" t="s">
        <v>362</v>
      </c>
    </row>
    <row r="375" spans="1:3" x14ac:dyDescent="0.4">
      <c r="A375" s="40" t="s">
        <v>2186</v>
      </c>
      <c r="B375" s="41" t="str">
        <f>IFERROR(INDEX(Mots!$B:$B,MATCH($A375,Mots!$A:$A,0)),"introuvable")</f>
        <v>l'installateur sanitaire</v>
      </c>
      <c r="C375" s="40" t="s">
        <v>362</v>
      </c>
    </row>
    <row r="376" spans="1:3" x14ac:dyDescent="0.4">
      <c r="A376" s="40" t="s">
        <v>2190</v>
      </c>
      <c r="B376" s="41" t="str">
        <f>IFERROR(INDEX(Mots!$B:$B,MATCH($A376,Mots!$A:$A,0)),"introuvable")</f>
        <v>le ferblantier</v>
      </c>
      <c r="C376" s="40" t="s">
        <v>362</v>
      </c>
    </row>
    <row r="377" spans="1:3" x14ac:dyDescent="0.4">
      <c r="A377" s="40" t="s">
        <v>2194</v>
      </c>
      <c r="B377" s="41" t="str">
        <f>IFERROR(INDEX(Mots!$B:$B,MATCH($A377,Mots!$A:$A,0)),"introuvable")</f>
        <v>le menuisier</v>
      </c>
      <c r="C377" s="40" t="s">
        <v>362</v>
      </c>
    </row>
    <row r="378" spans="1:3" x14ac:dyDescent="0.4">
      <c r="A378" s="40" t="s">
        <v>2198</v>
      </c>
      <c r="B378" s="41" t="str">
        <f>IFERROR(INDEX(Mots!$B:$B,MATCH($A378,Mots!$A:$A,0)),"introuvable")</f>
        <v>le poseur de cuisine</v>
      </c>
      <c r="C378" s="40" t="s">
        <v>362</v>
      </c>
    </row>
    <row r="379" spans="1:3" x14ac:dyDescent="0.4">
      <c r="A379" s="40" t="s">
        <v>9531</v>
      </c>
      <c r="B379" s="41" t="str">
        <f>IFERROR(INDEX(Mots!$B:$B,MATCH($A379,Mots!$A:$A,0)),"introuvable")</f>
        <v>le mécanicien</v>
      </c>
      <c r="C379" s="40" t="s">
        <v>362</v>
      </c>
    </row>
    <row r="380" spans="1:3" x14ac:dyDescent="0.4">
      <c r="A380" s="40" t="s">
        <v>2204</v>
      </c>
      <c r="B380" s="41" t="str">
        <f>IFERROR(INDEX(Mots!$B:$B,MATCH($A380,Mots!$A:$A,0)),"introuvable")</f>
        <v>le cuisinier</v>
      </c>
      <c r="C380" s="40" t="s">
        <v>362</v>
      </c>
    </row>
    <row r="381" spans="1:3" x14ac:dyDescent="0.4">
      <c r="A381" s="40" t="s">
        <v>2208</v>
      </c>
      <c r="B381" s="41" t="str">
        <f>IFERROR(INDEX(Mots!$B:$B,MATCH($A381,Mots!$A:$A,0)),"introuvable")</f>
        <v>le boulanger</v>
      </c>
      <c r="C381" s="40" t="s">
        <v>362</v>
      </c>
    </row>
    <row r="382" spans="1:3" x14ac:dyDescent="0.4">
      <c r="A382" s="40" t="s">
        <v>2212</v>
      </c>
      <c r="B382" s="41" t="str">
        <f>IFERROR(INDEX(Mots!$B:$B,MATCH($A382,Mots!$A:$A,0)),"introuvable")</f>
        <v>le chauffeur</v>
      </c>
      <c r="C382" s="40" t="s">
        <v>362</v>
      </c>
    </row>
    <row r="383" spans="1:3" x14ac:dyDescent="0.4">
      <c r="A383" s="40" t="s">
        <v>2216</v>
      </c>
      <c r="B383" s="41" t="str">
        <f>IFERROR(INDEX(Mots!$B:$B,MATCH($A383,Mots!$A:$A,0)),"introuvable")</f>
        <v>le dessinateur</v>
      </c>
      <c r="C383" s="40" t="s">
        <v>362</v>
      </c>
    </row>
    <row r="384" spans="1:3" x14ac:dyDescent="0.4">
      <c r="A384" s="40" t="s">
        <v>2220</v>
      </c>
      <c r="B384" s="41" t="str">
        <f>IFERROR(INDEX(Mots!$B:$B,MATCH($A384,Mots!$A:$A,0)),"introuvable")</f>
        <v>le professeur</v>
      </c>
      <c r="C384" s="40" t="s">
        <v>362</v>
      </c>
    </row>
    <row r="385" spans="1:6" x14ac:dyDescent="0.4">
      <c r="A385" s="40" t="s">
        <v>2229</v>
      </c>
      <c r="B385" s="41" t="str">
        <f>IFERROR(INDEX(Mots!$B:$B,MATCH($A385,Mots!$A:$A,0)),"introuvable")</f>
        <v>l'acteur</v>
      </c>
      <c r="C385" s="40" t="s">
        <v>362</v>
      </c>
    </row>
    <row r="386" spans="1:6" x14ac:dyDescent="0.4">
      <c r="A386" s="40" t="s">
        <v>2237</v>
      </c>
      <c r="B386" s="41" t="str">
        <f>IFERROR(INDEX(Mots!$B:$B,MATCH($A386,Mots!$A:$A,0)),"introuvable")</f>
        <v>l'agriculteur</v>
      </c>
      <c r="C386" s="40" t="s">
        <v>362</v>
      </c>
    </row>
    <row r="387" spans="1:6" x14ac:dyDescent="0.4">
      <c r="A387" s="40" t="s">
        <v>2245</v>
      </c>
      <c r="B387" s="41" t="str">
        <f>IFERROR(INDEX(Mots!$B:$B,MATCH($A387,Mots!$A:$A,0)),"introuvable")</f>
        <v>le banquier</v>
      </c>
      <c r="C387" s="40" t="s">
        <v>362</v>
      </c>
    </row>
    <row r="388" spans="1:6" x14ac:dyDescent="0.4">
      <c r="A388" s="40" t="s">
        <v>2252</v>
      </c>
      <c r="B388" s="41" t="str">
        <f>IFERROR(INDEX(Mots!$B:$B,MATCH($A388,Mots!$A:$A,0)),"introuvable")</f>
        <v>le chanteur</v>
      </c>
      <c r="C388" s="40" t="s">
        <v>362</v>
      </c>
    </row>
    <row r="389" spans="1:6" x14ac:dyDescent="0.4">
      <c r="A389" s="40" t="s">
        <v>2260</v>
      </c>
      <c r="B389" s="41" t="str">
        <f>IFERROR(INDEX(Mots!$B:$B,MATCH($A389,Mots!$A:$A,0)),"introuvable")</f>
        <v>le facteur</v>
      </c>
      <c r="C389" s="40" t="s">
        <v>362</v>
      </c>
    </row>
    <row r="390" spans="1:6" x14ac:dyDescent="0.4">
      <c r="A390" s="40" t="s">
        <v>2268</v>
      </c>
      <c r="B390" s="41" t="str">
        <f>IFERROR(INDEX(Mots!$B:$B,MATCH($A390,Mots!$A:$A,0)),"introuvable")</f>
        <v>le peintre</v>
      </c>
      <c r="C390" s="40" t="s">
        <v>362</v>
      </c>
    </row>
    <row r="391" spans="1:6" x14ac:dyDescent="0.4">
      <c r="A391" s="40" t="s">
        <v>2276</v>
      </c>
      <c r="B391" s="41" t="str">
        <f>IFERROR(INDEX(Mots!$B:$B,MATCH($A391,Mots!$A:$A,0)),"introuvable")</f>
        <v>le pompier</v>
      </c>
      <c r="C391" s="40" t="s">
        <v>362</v>
      </c>
    </row>
    <row r="392" spans="1:6" x14ac:dyDescent="0.4">
      <c r="A392" s="40" t="s">
        <v>2284</v>
      </c>
      <c r="B392" s="41" t="str">
        <f>IFERROR(INDEX(Mots!$B:$B,MATCH($A392,Mots!$A:$A,0)),"introuvable")</f>
        <v>le vendeur</v>
      </c>
      <c r="C392" s="40" t="s">
        <v>362</v>
      </c>
    </row>
    <row r="393" spans="1:6" x14ac:dyDescent="0.4">
      <c r="A393" s="40" t="s">
        <v>2288</v>
      </c>
      <c r="B393" s="41" t="str">
        <f>IFERROR(INDEX(Mots!$B:$B,MATCH($A393,Mots!$A:$A,0)),"introuvable")</f>
        <v>l'écrivain</v>
      </c>
      <c r="C393" s="40" t="s">
        <v>362</v>
      </c>
    </row>
    <row r="394" spans="1:6" x14ac:dyDescent="0.4">
      <c r="A394" s="40" t="s">
        <v>2296</v>
      </c>
      <c r="B394" s="41" t="str">
        <f>IFERROR(INDEX(Mots!$B:$B,MATCH($A394,Mots!$A:$A,0)),"introuvable")</f>
        <v>l'infirmier</v>
      </c>
      <c r="C394" s="40" t="s">
        <v>362</v>
      </c>
    </row>
    <row r="395" spans="1:6" x14ac:dyDescent="0.4">
      <c r="A395" s="40" t="s">
        <v>2304</v>
      </c>
      <c r="B395" s="41" t="str">
        <f>IFERROR(INDEX(Mots!$B:$B,MATCH($A395,Mots!$A:$A,0)),"introuvable")</f>
        <v>blanc</v>
      </c>
      <c r="C395" s="40" t="s">
        <v>391</v>
      </c>
    </row>
    <row r="396" spans="1:6" x14ac:dyDescent="0.4">
      <c r="A396" s="40" t="s">
        <v>2309</v>
      </c>
      <c r="B396" s="41" t="str">
        <f>IFERROR(INDEX(Mots!$B:$B,MATCH($A396,Mots!$A:$A,0)),"introuvable")</f>
        <v>bleu</v>
      </c>
      <c r="C396" s="40" t="s">
        <v>391</v>
      </c>
    </row>
    <row r="397" spans="1:6" x14ac:dyDescent="0.4">
      <c r="A397" s="40" t="s">
        <v>2313</v>
      </c>
      <c r="B397" s="41" t="str">
        <f>IFERROR(INDEX(Mots!$B:$B,MATCH($A397,Mots!$A:$A,0)),"introuvable")</f>
        <v>gris</v>
      </c>
      <c r="C397" s="40" t="s">
        <v>391</v>
      </c>
    </row>
    <row r="398" spans="1:6" x14ac:dyDescent="0.4">
      <c r="A398" s="40" t="s">
        <v>2317</v>
      </c>
      <c r="B398" s="41" t="str">
        <f>IFERROR(INDEX(Mots!$B:$B,MATCH($A398,Mots!$A:$A,0)),"introuvable")</f>
        <v>jaune</v>
      </c>
      <c r="C398" s="40" t="s">
        <v>391</v>
      </c>
    </row>
    <row r="399" spans="1:6" x14ac:dyDescent="0.4">
      <c r="A399" s="40" t="s">
        <v>2321</v>
      </c>
      <c r="B399" s="41" t="str">
        <f>IFERROR(INDEX(Mots!$B:$B,MATCH($A399,Mots!$A:$A,0)),"introuvable")</f>
        <v>la clé</v>
      </c>
      <c r="C399" s="40" t="s">
        <v>385</v>
      </c>
      <c r="F399" s="39" t="s">
        <v>12</v>
      </c>
    </row>
    <row r="400" spans="1:6" x14ac:dyDescent="0.4">
      <c r="A400" s="40" t="s">
        <v>2325</v>
      </c>
      <c r="B400" s="41" t="str">
        <f>IFERROR(INDEX(Mots!$B:$B,MATCH($A400,Mots!$A:$A,0)),"introuvable")</f>
        <v>la couleur</v>
      </c>
      <c r="C400" s="40" t="s">
        <v>391</v>
      </c>
    </row>
    <row r="401" spans="1:6" x14ac:dyDescent="0.4">
      <c r="A401" s="40" t="s">
        <v>2329</v>
      </c>
      <c r="B401" s="41" t="str">
        <f>IFERROR(INDEX(Mots!$B:$B,MATCH($A401,Mots!$A:$A,0)),"introuvable")</f>
        <v>le chargeur</v>
      </c>
      <c r="C401" s="40" t="s">
        <v>385</v>
      </c>
      <c r="F401" s="39" t="s">
        <v>12</v>
      </c>
    </row>
    <row r="402" spans="1:6" x14ac:dyDescent="0.4">
      <c r="A402" s="40" t="s">
        <v>2333</v>
      </c>
      <c r="B402" s="41" t="str">
        <f>IFERROR(INDEX(Mots!$B:$B,MATCH($A402,Mots!$A:$A,0)),"introuvable")</f>
        <v>le porte-monnaie</v>
      </c>
      <c r="C402" s="40" t="s">
        <v>385</v>
      </c>
      <c r="F402" s="39" t="s">
        <v>12</v>
      </c>
    </row>
    <row r="403" spans="1:6" x14ac:dyDescent="0.4">
      <c r="A403" s="40" t="s">
        <v>2337</v>
      </c>
      <c r="B403" s="41" t="str">
        <f>IFERROR(INDEX(Mots!$B:$B,MATCH($A403,Mots!$A:$A,0)),"introuvable")</f>
        <v>le téléphone ou l'Iphone</v>
      </c>
      <c r="C403" s="40" t="s">
        <v>385</v>
      </c>
      <c r="F403" s="39" t="s">
        <v>12</v>
      </c>
    </row>
    <row r="404" spans="1:6" x14ac:dyDescent="0.4">
      <c r="A404" s="40" t="s">
        <v>2342</v>
      </c>
      <c r="B404" s="41" t="str">
        <f>IFERROR(INDEX(Mots!$B:$B,MATCH($A404,Mots!$A:$A,0)),"introuvable")</f>
        <v>l'Ipad ou la tablette</v>
      </c>
      <c r="C404" s="40" t="s">
        <v>385</v>
      </c>
      <c r="F404" s="39" t="s">
        <v>12</v>
      </c>
    </row>
    <row r="405" spans="1:6" x14ac:dyDescent="0.4">
      <c r="A405" s="40" t="s">
        <v>2346</v>
      </c>
      <c r="B405" s="41" t="str">
        <f>IFERROR(INDEX(Mots!$B:$B,MATCH($A405,Mots!$A:$A,0)),"introuvable")</f>
        <v>marron</v>
      </c>
      <c r="C405" s="40" t="s">
        <v>391</v>
      </c>
    </row>
    <row r="406" spans="1:6" x14ac:dyDescent="0.4">
      <c r="A406" s="40" t="s">
        <v>2350</v>
      </c>
      <c r="B406" s="41" t="str">
        <f>IFERROR(INDEX(Mots!$B:$B,MATCH($A406,Mots!$A:$A,0)),"introuvable")</f>
        <v>noir</v>
      </c>
      <c r="C406" s="40" t="s">
        <v>391</v>
      </c>
    </row>
    <row r="407" spans="1:6" x14ac:dyDescent="0.4">
      <c r="A407" s="40" t="s">
        <v>2354</v>
      </c>
      <c r="B407" s="41" t="str">
        <f>IFERROR(INDEX(Mots!$B:$B,MATCH($A407,Mots!$A:$A,0)),"introuvable")</f>
        <v>orange</v>
      </c>
      <c r="C407" s="40" t="s">
        <v>391</v>
      </c>
    </row>
    <row r="408" spans="1:6" x14ac:dyDescent="0.4">
      <c r="A408" s="40" t="s">
        <v>2357</v>
      </c>
      <c r="B408" s="41" t="str">
        <f>IFERROR(INDEX(Mots!$B:$B,MATCH($A408,Mots!$A:$A,0)),"introuvable")</f>
        <v>rose</v>
      </c>
      <c r="C408" s="40" t="s">
        <v>391</v>
      </c>
    </row>
    <row r="409" spans="1:6" x14ac:dyDescent="0.4">
      <c r="A409" s="40" t="s">
        <v>2361</v>
      </c>
      <c r="B409" s="41" t="str">
        <f>IFERROR(INDEX(Mots!$B:$B,MATCH($A409,Mots!$A:$A,0)),"introuvable")</f>
        <v>rouge</v>
      </c>
      <c r="C409" s="40" t="s">
        <v>391</v>
      </c>
    </row>
    <row r="410" spans="1:6" x14ac:dyDescent="0.4">
      <c r="A410" s="40" t="s">
        <v>2365</v>
      </c>
      <c r="B410" s="41" t="str">
        <f>IFERROR(INDEX(Mots!$B:$B,MATCH($A410,Mots!$A:$A,0)),"introuvable")</f>
        <v>vert</v>
      </c>
      <c r="C410" s="40" t="s">
        <v>391</v>
      </c>
    </row>
    <row r="411" spans="1:6" x14ac:dyDescent="0.4">
      <c r="A411" s="40" t="s">
        <v>2369</v>
      </c>
      <c r="B411" s="41" t="str">
        <f>IFERROR(INDEX(Mots!$B:$B,MATCH($A411,Mots!$A:$A,0)),"introuvable")</f>
        <v>amer  ↔  acide</v>
      </c>
      <c r="C411" s="40" t="s">
        <v>395</v>
      </c>
    </row>
    <row r="412" spans="1:6" x14ac:dyDescent="0.4">
      <c r="A412" s="40" t="s">
        <v>2373</v>
      </c>
      <c r="B412" s="41" t="str">
        <f>IFERROR(INDEX(Mots!$B:$B,MATCH($A412,Mots!$A:$A,0)),"introuvable")</f>
        <v>beau  ↔  laid</v>
      </c>
      <c r="C412" s="40" t="s">
        <v>395</v>
      </c>
    </row>
    <row r="413" spans="1:6" x14ac:dyDescent="0.4">
      <c r="A413" s="40" t="s">
        <v>2378</v>
      </c>
      <c r="B413" s="41" t="str">
        <f>IFERROR(INDEX(Mots!$B:$B,MATCH($A413,Mots!$A:$A,0)),"introuvable")</f>
        <v>bon  ↔  mauvais</v>
      </c>
      <c r="C413" s="40" t="s">
        <v>395</v>
      </c>
    </row>
    <row r="414" spans="1:6" x14ac:dyDescent="0.4">
      <c r="A414" s="40" t="s">
        <v>2384</v>
      </c>
      <c r="B414" s="41" t="str">
        <f>IFERROR(INDEX(Mots!$B:$B,MATCH($A414,Mots!$A:$A,0)),"introuvable")</f>
        <v>brillant  ↔  terne</v>
      </c>
      <c r="C414" s="40" t="s">
        <v>395</v>
      </c>
    </row>
    <row r="415" spans="1:6" x14ac:dyDescent="0.4">
      <c r="A415" s="40" t="s">
        <v>2388</v>
      </c>
      <c r="B415" s="41" t="str">
        <f>IFERROR(INDEX(Mots!$B:$B,MATCH($A415,Mots!$A:$A,0)),"introuvable")</f>
        <v>calme  ↔  agité (énervé)</v>
      </c>
      <c r="C415" s="40" t="s">
        <v>395</v>
      </c>
    </row>
    <row r="416" spans="1:6" x14ac:dyDescent="0.4">
      <c r="A416" s="40" t="s">
        <v>2394</v>
      </c>
      <c r="B416" s="41" t="str">
        <f>IFERROR(INDEX(Mots!$B:$B,MATCH($A416,Mots!$A:$A,0)),"introuvable")</f>
        <v>chaud  ↔  froid</v>
      </c>
      <c r="C416" s="40" t="s">
        <v>395</v>
      </c>
    </row>
    <row r="417" spans="1:3" x14ac:dyDescent="0.4">
      <c r="A417" s="40" t="s">
        <v>2400</v>
      </c>
      <c r="B417" s="41" t="str">
        <f>IFERROR(INDEX(Mots!$B:$B,MATCH($A417,Mots!$A:$A,0)),"introuvable")</f>
        <v>cher  ↔  bon marché</v>
      </c>
      <c r="C417" s="40" t="s">
        <v>395</v>
      </c>
    </row>
    <row r="418" spans="1:3" x14ac:dyDescent="0.4">
      <c r="A418" s="40" t="s">
        <v>2405</v>
      </c>
      <c r="B418" s="41" t="str">
        <f>IFERROR(INDEX(Mots!$B:$B,MATCH($A418,Mots!$A:$A,0)),"introuvable")</f>
        <v>clair  ↔  sombre</v>
      </c>
      <c r="C418" s="40" t="s">
        <v>395</v>
      </c>
    </row>
    <row r="419" spans="1:3" x14ac:dyDescent="0.4">
      <c r="A419" s="40" t="s">
        <v>2411</v>
      </c>
      <c r="B419" s="41" t="str">
        <f>IFERROR(INDEX(Mots!$B:$B,MATCH($A419,Mots!$A:$A,0)),"introuvable")</f>
        <v>content  ↔  triste</v>
      </c>
      <c r="C419" s="40" t="s">
        <v>395</v>
      </c>
    </row>
    <row r="420" spans="1:3" x14ac:dyDescent="0.4">
      <c r="A420" s="40" t="s">
        <v>2417</v>
      </c>
      <c r="B420" s="41" t="str">
        <f>IFERROR(INDEX(Mots!$B:$B,MATCH($A420,Mots!$A:$A,0)),"introuvable")</f>
        <v>courageux  ↔  peureux</v>
      </c>
      <c r="C420" s="40" t="s">
        <v>395</v>
      </c>
    </row>
    <row r="421" spans="1:3" x14ac:dyDescent="0.4">
      <c r="A421" s="40" t="s">
        <v>2423</v>
      </c>
      <c r="B421" s="41" t="str">
        <f>IFERROR(INDEX(Mots!$B:$B,MATCH($A421,Mots!$A:$A,0)),"introuvable")</f>
        <v>dessus  ↔  dessous</v>
      </c>
      <c r="C421" s="40" t="s">
        <v>395</v>
      </c>
    </row>
    <row r="422" spans="1:3" x14ac:dyDescent="0.4">
      <c r="A422" s="40" t="s">
        <v>2427</v>
      </c>
      <c r="B422" s="41" t="str">
        <f>IFERROR(INDEX(Mots!$B:$B,MATCH($A422,Mots!$A:$A,0)),"introuvable")</f>
        <v>devant  ↔  derrière</v>
      </c>
      <c r="C422" s="40" t="s">
        <v>395</v>
      </c>
    </row>
    <row r="423" spans="1:3" x14ac:dyDescent="0.4">
      <c r="A423" s="40" t="s">
        <v>2431</v>
      </c>
      <c r="B423" s="41" t="str">
        <f>IFERROR(INDEX(Mots!$B:$B,MATCH($A423,Mots!$A:$A,0)),"introuvable")</f>
        <v>drôle  ↔  sérieux</v>
      </c>
      <c r="C423" s="40" t="s">
        <v>395</v>
      </c>
    </row>
    <row r="424" spans="1:3" x14ac:dyDescent="0.4">
      <c r="A424" s="40" t="s">
        <v>2437</v>
      </c>
      <c r="B424" s="41" t="str">
        <f>IFERROR(INDEX(Mots!$B:$B,MATCH($A424,Mots!$A:$A,0)),"introuvable")</f>
        <v>dur  ↔  mou</v>
      </c>
      <c r="C424" s="40" t="s">
        <v>395</v>
      </c>
    </row>
    <row r="425" spans="1:3" x14ac:dyDescent="0.4">
      <c r="A425" s="40" t="s">
        <v>2443</v>
      </c>
      <c r="B425" s="41" t="str">
        <f>IFERROR(INDEX(Mots!$B:$B,MATCH($A425,Mots!$A:$A,0)),"introuvable")</f>
        <v>épais  ↔  fin</v>
      </c>
      <c r="C425" s="40" t="s">
        <v>395</v>
      </c>
    </row>
    <row r="426" spans="1:3" x14ac:dyDescent="0.4">
      <c r="A426" s="40" t="s">
        <v>2449</v>
      </c>
      <c r="B426" s="41" t="str">
        <f>IFERROR(INDEX(Mots!$B:$B,MATCH($A426,Mots!$A:$A,0)),"introuvable")</f>
        <v>facile  ↔  difficile</v>
      </c>
      <c r="C426" s="40" t="s">
        <v>395</v>
      </c>
    </row>
    <row r="427" spans="1:3" x14ac:dyDescent="0.4">
      <c r="A427" s="40" t="s">
        <v>2455</v>
      </c>
      <c r="B427" s="41" t="str">
        <f>IFERROR(INDEX(Mots!$B:$B,MATCH($A427,Mots!$A:$A,0)),"introuvable")</f>
        <v>fermé  ↔  ouvert</v>
      </c>
      <c r="C427" s="40" t="s">
        <v>395</v>
      </c>
    </row>
    <row r="428" spans="1:3" x14ac:dyDescent="0.4">
      <c r="A428" s="40" t="s">
        <v>2461</v>
      </c>
      <c r="B428" s="41" t="str">
        <f>IFERROR(INDEX(Mots!$B:$B,MATCH($A428,Mots!$A:$A,0)),"introuvable")</f>
        <v>fort  ↔  faible</v>
      </c>
      <c r="C428" s="40" t="s">
        <v>395</v>
      </c>
    </row>
    <row r="429" spans="1:3" x14ac:dyDescent="0.4">
      <c r="A429" s="40" t="s">
        <v>2467</v>
      </c>
      <c r="B429" s="41" t="str">
        <f>IFERROR(INDEX(Mots!$B:$B,MATCH($A429,Mots!$A:$A,0)),"introuvable")</f>
        <v>gentil  ↔  méchant</v>
      </c>
      <c r="C429" s="40" t="s">
        <v>395</v>
      </c>
    </row>
    <row r="430" spans="1:3" x14ac:dyDescent="0.4">
      <c r="A430" s="40" t="s">
        <v>2474</v>
      </c>
      <c r="B430" s="41" t="str">
        <f>IFERROR(INDEX(Mots!$B:$B,MATCH($A430,Mots!$A:$A,0)),"introuvable")</f>
        <v>grand  ↔  petit</v>
      </c>
      <c r="C430" s="40" t="s">
        <v>395</v>
      </c>
    </row>
    <row r="431" spans="1:3" x14ac:dyDescent="0.4">
      <c r="A431" s="40" t="s">
        <v>2480</v>
      </c>
      <c r="B431" s="41" t="str">
        <f>IFERROR(INDEX(Mots!$B:$B,MATCH($A431,Mots!$A:$A,0)),"introuvable")</f>
        <v>gros  ↔  mince</v>
      </c>
      <c r="C431" s="40" t="s">
        <v>395</v>
      </c>
    </row>
    <row r="432" spans="1:3" x14ac:dyDescent="0.4">
      <c r="A432" s="40" t="s">
        <v>2485</v>
      </c>
      <c r="B432" s="41" t="str">
        <f>IFERROR(INDEX(Mots!$B:$B,MATCH($A432,Mots!$A:$A,0)),"introuvable")</f>
        <v>haut  ↔  bas</v>
      </c>
      <c r="C432" s="40" t="s">
        <v>395</v>
      </c>
    </row>
    <row r="433" spans="1:3" x14ac:dyDescent="0.4">
      <c r="A433" s="40" t="s">
        <v>2491</v>
      </c>
      <c r="B433" s="41" t="str">
        <f>IFERROR(INDEX(Mots!$B:$B,MATCH($A433,Mots!$A:$A,0)),"introuvable")</f>
        <v>intelligent  ↔  bête</v>
      </c>
      <c r="C433" s="40" t="s">
        <v>395</v>
      </c>
    </row>
    <row r="434" spans="1:3" x14ac:dyDescent="0.4">
      <c r="A434" s="40" t="s">
        <v>2497</v>
      </c>
      <c r="B434" s="41" t="str">
        <f>IFERROR(INDEX(Mots!$B:$B,MATCH($A434,Mots!$A:$A,0)),"introuvable")</f>
        <v>jeune  ↔  vieux</v>
      </c>
      <c r="C434" s="40" t="s">
        <v>395</v>
      </c>
    </row>
    <row r="435" spans="1:3" x14ac:dyDescent="0.4">
      <c r="A435" s="40" t="s">
        <v>2503</v>
      </c>
      <c r="B435" s="41" t="str">
        <f>IFERROR(INDEX(Mots!$B:$B,MATCH($A435,Mots!$A:$A,0)),"introuvable")</f>
        <v>large  ↔  étroit</v>
      </c>
      <c r="C435" s="40" t="s">
        <v>395</v>
      </c>
    </row>
    <row r="436" spans="1:3" x14ac:dyDescent="0.4">
      <c r="A436" s="40" t="s">
        <v>2509</v>
      </c>
      <c r="B436" s="41" t="str">
        <f>IFERROR(INDEX(Mots!$B:$B,MATCH($A436,Mots!$A:$A,0)),"introuvable")</f>
        <v>libre  ↔  occupé</v>
      </c>
      <c r="C436" s="40" t="s">
        <v>395</v>
      </c>
    </row>
    <row r="437" spans="1:3" x14ac:dyDescent="0.4">
      <c r="A437" s="40" t="s">
        <v>2513</v>
      </c>
      <c r="B437" s="41" t="str">
        <f>IFERROR(INDEX(Mots!$B:$B,MATCH($A437,Mots!$A:$A,0)),"introuvable")</f>
        <v>long  ↔  court</v>
      </c>
      <c r="C437" s="40" t="s">
        <v>395</v>
      </c>
    </row>
    <row r="438" spans="1:3" x14ac:dyDescent="0.4">
      <c r="A438" s="40" t="s">
        <v>2519</v>
      </c>
      <c r="B438" s="41" t="str">
        <f>IFERROR(INDEX(Mots!$B:$B,MATCH($A438,Mots!$A:$A,0)),"introuvable")</f>
        <v>lourd  ↔  léger</v>
      </c>
      <c r="C438" s="40" t="s">
        <v>395</v>
      </c>
    </row>
    <row r="439" spans="1:3" x14ac:dyDescent="0.4">
      <c r="A439" s="40" t="s">
        <v>2525</v>
      </c>
      <c r="B439" s="41" t="str">
        <f>IFERROR(INDEX(Mots!$B:$B,MATCH($A439,Mots!$A:$A,0)),"introuvable")</f>
        <v>neuf  ↔  usé</v>
      </c>
      <c r="C439" s="40" t="s">
        <v>395</v>
      </c>
    </row>
    <row r="440" spans="1:3" x14ac:dyDescent="0.4">
      <c r="A440" s="40" t="s">
        <v>2531</v>
      </c>
      <c r="B440" s="41" t="str">
        <f>IFERROR(INDEX(Mots!$B:$B,MATCH($A440,Mots!$A:$A,0)),"introuvable")</f>
        <v>nouveau  ↔  ancien</v>
      </c>
      <c r="C440" s="40" t="s">
        <v>395</v>
      </c>
    </row>
    <row r="441" spans="1:3" x14ac:dyDescent="0.4">
      <c r="A441" s="40" t="s">
        <v>2537</v>
      </c>
      <c r="B441" s="41" t="str">
        <f>IFERROR(INDEX(Mots!$B:$B,MATCH($A441,Mots!$A:$A,0)),"introuvable")</f>
        <v>premier  ↔  dernier</v>
      </c>
      <c r="C441" s="40" t="s">
        <v>395</v>
      </c>
    </row>
    <row r="442" spans="1:3" x14ac:dyDescent="0.4">
      <c r="A442" s="40" t="s">
        <v>2543</v>
      </c>
      <c r="B442" s="41" t="str">
        <f>IFERROR(INDEX(Mots!$B:$B,MATCH($A442,Mots!$A:$A,0)),"introuvable")</f>
        <v>proche  ↔  éloigné</v>
      </c>
      <c r="C442" s="40" t="s">
        <v>395</v>
      </c>
    </row>
    <row r="443" spans="1:3" x14ac:dyDescent="0.4">
      <c r="A443" s="40" t="s">
        <v>2549</v>
      </c>
      <c r="B443" s="41" t="str">
        <f>IFERROR(INDEX(Mots!$B:$B,MATCH($A443,Mots!$A:$A,0)),"introuvable")</f>
        <v>propre  ↔  sale</v>
      </c>
      <c r="C443" s="40" t="s">
        <v>395</v>
      </c>
    </row>
    <row r="444" spans="1:3" x14ac:dyDescent="0.4">
      <c r="A444" s="40" t="s">
        <v>2555</v>
      </c>
      <c r="B444" s="41" t="str">
        <f>IFERROR(INDEX(Mots!$B:$B,MATCH($A444,Mots!$A:$A,0)),"introuvable")</f>
        <v>rapide  ↔  lent</v>
      </c>
      <c r="C444" s="40" t="s">
        <v>395</v>
      </c>
    </row>
    <row r="445" spans="1:3" x14ac:dyDescent="0.4">
      <c r="A445" s="40" t="s">
        <v>2561</v>
      </c>
      <c r="B445" s="41" t="str">
        <f>IFERROR(INDEX(Mots!$B:$B,MATCH($A445,Mots!$A:$A,0)),"introuvable")</f>
        <v>riche  ↔  pauvre</v>
      </c>
      <c r="C445" s="40" t="s">
        <v>395</v>
      </c>
    </row>
    <row r="446" spans="1:3" x14ac:dyDescent="0.4">
      <c r="A446" s="40" t="s">
        <v>2567</v>
      </c>
      <c r="B446" s="41" t="str">
        <f>IFERROR(INDEX(Mots!$B:$B,MATCH($A446,Mots!$A:$A,0)),"introuvable")</f>
        <v>sain  ↔  malade</v>
      </c>
      <c r="C446" s="40" t="s">
        <v>395</v>
      </c>
    </row>
    <row r="447" spans="1:3" x14ac:dyDescent="0.4">
      <c r="A447" s="40" t="s">
        <v>2573</v>
      </c>
      <c r="B447" s="41" t="str">
        <f>IFERROR(INDEX(Mots!$B:$B,MATCH($A447,Mots!$A:$A,0)),"introuvable")</f>
        <v>sec  ↔  mouillé</v>
      </c>
      <c r="C447" s="40" t="s">
        <v>395</v>
      </c>
    </row>
    <row r="448" spans="1:3" x14ac:dyDescent="0.4">
      <c r="A448" s="40" t="s">
        <v>2579</v>
      </c>
      <c r="B448" s="41" t="str">
        <f>IFERROR(INDEX(Mots!$B:$B,MATCH($A448,Mots!$A:$A,0)),"introuvable")</f>
        <v>silencieux  ↔  bruyant</v>
      </c>
      <c r="C448" s="40" t="s">
        <v>395</v>
      </c>
    </row>
    <row r="449" spans="1:3" x14ac:dyDescent="0.4">
      <c r="A449" s="40" t="s">
        <v>2584</v>
      </c>
      <c r="B449" s="41" t="str">
        <f>IFERROR(INDEX(Mots!$B:$B,MATCH($A449,Mots!$A:$A,0)),"introuvable")</f>
        <v>sucré  ↔  salé</v>
      </c>
      <c r="C449" s="40" t="s">
        <v>395</v>
      </c>
    </row>
    <row r="450" spans="1:3" x14ac:dyDescent="0.4">
      <c r="A450" s="40" t="s">
        <v>2588</v>
      </c>
      <c r="B450" s="41" t="str">
        <f>IFERROR(INDEX(Mots!$B:$B,MATCH($A450,Mots!$A:$A,0)),"introuvable")</f>
        <v>vide  ↔  plein</v>
      </c>
      <c r="C450" s="40" t="s">
        <v>395</v>
      </c>
    </row>
    <row r="451" spans="1:3" x14ac:dyDescent="0.4">
      <c r="A451" s="40" t="s">
        <v>2594</v>
      </c>
      <c r="B451" s="41" t="str">
        <f>IFERROR(INDEX(Mots!$B:$B,MATCH($A451,Mots!$A:$A,0)),"introuvable")</f>
        <v>vrai  ↔  faux</v>
      </c>
      <c r="C451" s="40" t="s">
        <v>395</v>
      </c>
    </row>
    <row r="452" spans="1:3" x14ac:dyDescent="0.4">
      <c r="A452" s="40" t="s">
        <v>2600</v>
      </c>
      <c r="B452" s="41" t="str">
        <f>IFERROR(INDEX(Mots!$B:$B,MATCH($A452,Mots!$A:$A,0)),"introuvable")</f>
        <v>carré</v>
      </c>
      <c r="C452" s="40" t="s">
        <v>391</v>
      </c>
    </row>
    <row r="453" spans="1:3" x14ac:dyDescent="0.4">
      <c r="A453" s="40" t="s">
        <v>2604</v>
      </c>
      <c r="B453" s="41" t="str">
        <f>IFERROR(INDEX(Mots!$B:$B,MATCH($A453,Mots!$A:$A,0)),"introuvable")</f>
        <v>triangle</v>
      </c>
      <c r="C453" s="40" t="s">
        <v>391</v>
      </c>
    </row>
    <row r="454" spans="1:3" x14ac:dyDescent="0.4">
      <c r="A454" s="40" t="s">
        <v>2608</v>
      </c>
      <c r="B454" s="41" t="str">
        <f>IFERROR(INDEX(Mots!$B:$B,MATCH($A454,Mots!$A:$A,0)),"introuvable")</f>
        <v>courbe</v>
      </c>
      <c r="C454" s="40" t="s">
        <v>391</v>
      </c>
    </row>
    <row r="455" spans="1:3" x14ac:dyDescent="0.4">
      <c r="A455" s="40" t="s">
        <v>2611</v>
      </c>
      <c r="B455" s="41" t="str">
        <f>IFERROR(INDEX(Mots!$B:$B,MATCH($A455,Mots!$A:$A,0)),"introuvable")</f>
        <v>droit</v>
      </c>
      <c r="C455" s="40" t="s">
        <v>391</v>
      </c>
    </row>
    <row r="456" spans="1:3" x14ac:dyDescent="0.4">
      <c r="A456" s="40" t="s">
        <v>2614</v>
      </c>
      <c r="B456" s="41" t="str">
        <f>IFERROR(INDEX(Mots!$B:$B,MATCH($A456,Mots!$A:$A,0)),"introuvable")</f>
        <v>la hauteur</v>
      </c>
      <c r="C456" s="40" t="s">
        <v>391</v>
      </c>
    </row>
    <row r="457" spans="1:3" x14ac:dyDescent="0.4">
      <c r="A457" s="40" t="s">
        <v>2618</v>
      </c>
      <c r="B457" s="41" t="str">
        <f>IFERROR(INDEX(Mots!$B:$B,MATCH($A457,Mots!$A:$A,0)),"introuvable")</f>
        <v>la largeur</v>
      </c>
      <c r="C457" s="40" t="s">
        <v>391</v>
      </c>
    </row>
    <row r="458" spans="1:3" x14ac:dyDescent="0.4">
      <c r="A458" s="40" t="s">
        <v>2622</v>
      </c>
      <c r="B458" s="41" t="str">
        <f>IFERROR(INDEX(Mots!$B:$B,MATCH($A458,Mots!$A:$A,0)),"introuvable")</f>
        <v>la longueur</v>
      </c>
      <c r="C458" s="40" t="s">
        <v>391</v>
      </c>
    </row>
    <row r="459" spans="1:3" x14ac:dyDescent="0.4">
      <c r="A459" s="40" t="s">
        <v>2626</v>
      </c>
      <c r="B459" s="41" t="str">
        <f>IFERROR(INDEX(Mots!$B:$B,MATCH($A459,Mots!$A:$A,0)),"introuvable")</f>
        <v>le cercle</v>
      </c>
      <c r="C459" s="40" t="s">
        <v>391</v>
      </c>
    </row>
    <row r="460" spans="1:3" x14ac:dyDescent="0.4">
      <c r="A460" s="40" t="s">
        <v>9600</v>
      </c>
      <c r="B460" s="41" t="str">
        <f>IFERROR(INDEX(Mots!$B:$B,MATCH($A460,Mots!$A:$A,0)),"introuvable")</f>
        <v>le rectangle</v>
      </c>
      <c r="C460" s="40" t="s">
        <v>391</v>
      </c>
    </row>
    <row r="461" spans="1:3" x14ac:dyDescent="0.4">
      <c r="A461" s="40" t="s">
        <v>2633</v>
      </c>
      <c r="B461" s="41" t="str">
        <f>IFERROR(INDEX(Mots!$B:$B,MATCH($A461,Mots!$A:$A,0)),"introuvable")</f>
        <v>l'épaisseur</v>
      </c>
      <c r="C461" s="40" t="s">
        <v>391</v>
      </c>
    </row>
    <row r="462" spans="1:3" x14ac:dyDescent="0.4">
      <c r="A462" s="40" t="s">
        <v>2637</v>
      </c>
      <c r="B462" s="41" t="str">
        <f>IFERROR(INDEX(Mots!$B:$B,MATCH($A462,Mots!$A:$A,0)),"introuvable")</f>
        <v>pointu</v>
      </c>
      <c r="C462" s="40" t="s">
        <v>391</v>
      </c>
    </row>
    <row r="463" spans="1:3" x14ac:dyDescent="0.4">
      <c r="A463" s="40" t="s">
        <v>2640</v>
      </c>
      <c r="B463" s="41" t="str">
        <f>IFERROR(INDEX(Mots!$B:$B,MATCH($A463,Mots!$A:$A,0)),"introuvable")</f>
        <v>rond</v>
      </c>
      <c r="C463" s="40" t="s">
        <v>391</v>
      </c>
    </row>
    <row r="464" spans="1:3" x14ac:dyDescent="0.4">
      <c r="A464" s="40" t="s">
        <v>2643</v>
      </c>
      <c r="B464" s="41" t="str">
        <f>IFERROR(INDEX(Mots!$B:$B,MATCH($A464,Mots!$A:$A,0)),"introuvable")</f>
        <v>l'aigle</v>
      </c>
      <c r="C464" s="40" t="s">
        <v>288</v>
      </c>
    </row>
    <row r="465" spans="1:3" x14ac:dyDescent="0.4">
      <c r="A465" s="40" t="s">
        <v>2652</v>
      </c>
      <c r="B465" s="41" t="str">
        <f>IFERROR(INDEX(Mots!$B:$B,MATCH($A465,Mots!$A:$A,0)),"introuvable")</f>
        <v>le gypaète barbu</v>
      </c>
      <c r="C465" s="40" t="s">
        <v>288</v>
      </c>
    </row>
    <row r="466" spans="1:3" x14ac:dyDescent="0.4">
      <c r="A466" s="40" t="s">
        <v>2657</v>
      </c>
      <c r="B466" s="41" t="str">
        <f>IFERROR(INDEX(Mots!$B:$B,MATCH($A466,Mots!$A:$A,0)),"introuvable")</f>
        <v>le moineau</v>
      </c>
      <c r="C466" s="40" t="s">
        <v>288</v>
      </c>
    </row>
    <row r="467" spans="1:3" x14ac:dyDescent="0.4">
      <c r="A467" s="40" t="s">
        <v>2662</v>
      </c>
      <c r="B467" s="41" t="str">
        <f>IFERROR(INDEX(Mots!$B:$B,MATCH($A467,Mots!$A:$A,0)),"introuvable")</f>
        <v>le pigeon</v>
      </c>
      <c r="C467" s="40" t="s">
        <v>288</v>
      </c>
    </row>
    <row r="468" spans="1:3" x14ac:dyDescent="0.4">
      <c r="A468" s="40" t="s">
        <v>2666</v>
      </c>
      <c r="B468" s="41" t="str">
        <f>IFERROR(INDEX(Mots!$B:$B,MATCH($A468,Mots!$A:$A,0)),"introuvable")</f>
        <v>une pizza</v>
      </c>
      <c r="C468" s="40" t="s">
        <v>112</v>
      </c>
    </row>
    <row r="469" spans="1:3" x14ac:dyDescent="0.4">
      <c r="A469" s="40" t="s">
        <v>2675</v>
      </c>
      <c r="B469" s="41" t="str">
        <f>IFERROR(INDEX(Mots!$B:$B,MATCH($A469,Mots!$A:$A,0)),"introuvable")</f>
        <v>les lasagnes</v>
      </c>
      <c r="C469" s="40" t="s">
        <v>112</v>
      </c>
    </row>
    <row r="470" spans="1:3" x14ac:dyDescent="0.4">
      <c r="A470" s="40" t="s">
        <v>2680</v>
      </c>
      <c r="B470" s="41" t="str">
        <f>IFERROR(INDEX(Mots!$B:$B,MATCH($A470,Mots!$A:$A,0)),"introuvable")</f>
        <v>les cornettes</v>
      </c>
      <c r="C470" s="40" t="s">
        <v>112</v>
      </c>
    </row>
    <row r="471" spans="1:3" x14ac:dyDescent="0.4">
      <c r="A471" s="40" t="s">
        <v>2684</v>
      </c>
      <c r="B471" s="41" t="str">
        <f>IFERROR(INDEX(Mots!$B:$B,MATCH($A471,Mots!$A:$A,0)),"introuvable")</f>
        <v>les spaghetti</v>
      </c>
      <c r="C471" s="40" t="s">
        <v>112</v>
      </c>
    </row>
    <row r="472" spans="1:3" x14ac:dyDescent="0.4">
      <c r="A472" s="40" t="s">
        <v>2689</v>
      </c>
      <c r="B472" s="41" t="str">
        <f>IFERROR(INDEX(Mots!$B:$B,MATCH($A472,Mots!$A:$A,0)),"introuvable")</f>
        <v>les pennes</v>
      </c>
      <c r="C472" s="40" t="s">
        <v>112</v>
      </c>
    </row>
    <row r="473" spans="1:3" x14ac:dyDescent="0.4">
      <c r="A473" s="40" t="s">
        <v>2693</v>
      </c>
      <c r="B473" s="41" t="str">
        <f>IFERROR(INDEX(Mots!$B:$B,MATCH($A473,Mots!$A:$A,0)),"introuvable")</f>
        <v>un oeuf au plat</v>
      </c>
      <c r="C473" s="40" t="s">
        <v>10045</v>
      </c>
    </row>
    <row r="474" spans="1:3" x14ac:dyDescent="0.4">
      <c r="A474" s="40" t="s">
        <v>2698</v>
      </c>
      <c r="B474" s="41" t="str">
        <f>IFERROR(INDEX(Mots!$B:$B,MATCH($A474,Mots!$A:$A,0)),"introuvable")</f>
        <v>l'omelette</v>
      </c>
      <c r="C474" s="40" t="s">
        <v>10045</v>
      </c>
    </row>
    <row r="475" spans="1:3" x14ac:dyDescent="0.4">
      <c r="A475" s="40" t="s">
        <v>2702</v>
      </c>
      <c r="B475" s="41" t="str">
        <f>IFERROR(INDEX(Mots!$B:$B,MATCH($A475,Mots!$A:$A,0)),"introuvable")</f>
        <v>la polenta</v>
      </c>
      <c r="C475" s="40" t="s">
        <v>10045</v>
      </c>
    </row>
    <row r="476" spans="1:3" x14ac:dyDescent="0.4">
      <c r="A476" s="40" t="s">
        <v>2706</v>
      </c>
      <c r="B476" s="41" t="str">
        <f>IFERROR(INDEX(Mots!$B:$B,MATCH($A476,Mots!$A:$A,0)),"introuvable")</f>
        <v>la fondue</v>
      </c>
      <c r="C476" s="40" t="s">
        <v>10045</v>
      </c>
    </row>
    <row r="477" spans="1:3" x14ac:dyDescent="0.4">
      <c r="A477" s="40" t="s">
        <v>2710</v>
      </c>
      <c r="B477" s="41" t="str">
        <f>IFERROR(INDEX(Mots!$B:$B,MATCH($A477,Mots!$A:$A,0)),"introuvable")</f>
        <v>la raclette</v>
      </c>
      <c r="C477" s="40" t="s">
        <v>10045</v>
      </c>
    </row>
    <row r="478" spans="1:3" x14ac:dyDescent="0.4">
      <c r="A478" s="40" t="s">
        <v>2714</v>
      </c>
      <c r="B478" s="41" t="str">
        <f>IFERROR(INDEX(Mots!$B:$B,MATCH($A478,Mots!$A:$A,0)),"introuvable")</f>
        <v>la soupe</v>
      </c>
      <c r="C478" s="40" t="s">
        <v>10045</v>
      </c>
    </row>
    <row r="479" spans="1:3" x14ac:dyDescent="0.4">
      <c r="A479" s="40" t="s">
        <v>2719</v>
      </c>
      <c r="B479" s="41" t="str">
        <f>IFERROR(INDEX(Mots!$B:$B,MATCH($A479,Mots!$A:$A,0)),"introuvable")</f>
        <v>des filets de perche</v>
      </c>
      <c r="C479" s="40" t="s">
        <v>10045</v>
      </c>
    </row>
    <row r="480" spans="1:3" x14ac:dyDescent="0.4">
      <c r="A480" s="40" t="s">
        <v>2722</v>
      </c>
      <c r="B480" s="41" t="str">
        <f>IFERROR(INDEX(Mots!$B:$B,MATCH($A480,Mots!$A:$A,0)),"introuvable")</f>
        <v>un filet de truite</v>
      </c>
      <c r="C480" s="40" t="s">
        <v>10045</v>
      </c>
    </row>
    <row r="481" spans="1:4" x14ac:dyDescent="0.4">
      <c r="A481" s="40" t="s">
        <v>2725</v>
      </c>
      <c r="B481" s="41" t="str">
        <f>IFERROR(INDEX(Mots!$B:$B,MATCH($A481,Mots!$A:$A,0)),"introuvable")</f>
        <v>l'ami</v>
      </c>
      <c r="C481" s="40" t="s">
        <v>130</v>
      </c>
    </row>
    <row r="482" spans="1:4" x14ac:dyDescent="0.4">
      <c r="A482" s="40" t="s">
        <v>2730</v>
      </c>
      <c r="B482" s="41" t="str">
        <f>IFERROR(INDEX(Mots!$B:$B,MATCH($A482,Mots!$A:$A,0)),"introuvable")</f>
        <v>la banque</v>
      </c>
      <c r="C482" s="40"/>
    </row>
    <row r="483" spans="1:4" x14ac:dyDescent="0.4">
      <c r="A483" s="40" t="s">
        <v>2737</v>
      </c>
      <c r="B483" s="41" t="str">
        <f>IFERROR(INDEX(Mots!$B:$B,MATCH($A483,Mots!$A:$A,0)),"introuvable")</f>
        <v>le magasin</v>
      </c>
      <c r="C483" s="40" t="s">
        <v>10100</v>
      </c>
      <c r="D483" s="40" t="s">
        <v>366</v>
      </c>
    </row>
    <row r="484" spans="1:4" x14ac:dyDescent="0.4">
      <c r="A484" s="40" t="s">
        <v>9417</v>
      </c>
      <c r="B484" s="41" t="str">
        <f>IFERROR(INDEX(Mots!$B:$B,MATCH($A484,Mots!$A:$A,0)),"introuvable")</f>
        <v>le marché</v>
      </c>
      <c r="C484" s="40"/>
    </row>
    <row r="485" spans="1:4" x14ac:dyDescent="0.4">
      <c r="A485" s="40" t="s">
        <v>2749</v>
      </c>
      <c r="B485" s="41" t="str">
        <f>IFERROR(INDEX(Mots!$B:$B,MATCH($A485,Mots!$A:$A,0)),"introuvable")</f>
        <v>le restaurant</v>
      </c>
      <c r="C485" s="40"/>
    </row>
    <row r="486" spans="1:4" x14ac:dyDescent="0.4">
      <c r="A486" s="40" t="s">
        <v>2758</v>
      </c>
      <c r="B486" s="41" t="str">
        <f>IFERROR(INDEX(Mots!$B:$B,MATCH($A486,Mots!$A:$A,0)),"introuvable")</f>
        <v>l'hôtel</v>
      </c>
      <c r="C486" s="40"/>
    </row>
    <row r="487" spans="1:4" x14ac:dyDescent="0.4">
      <c r="A487" s="40" t="s">
        <v>2767</v>
      </c>
      <c r="B487" s="41" t="str">
        <f>IFERROR(INDEX(Mots!$B:$B,MATCH($A487,Mots!$A:$A,0)),"introuvable")</f>
        <v>la salle de bain</v>
      </c>
      <c r="C487" s="40" t="s">
        <v>201</v>
      </c>
    </row>
    <row r="488" spans="1:4" x14ac:dyDescent="0.4">
      <c r="A488" s="40" t="s">
        <v>2770</v>
      </c>
      <c r="B488" s="41" t="str">
        <f>IFERROR(INDEX(Mots!$B:$B,MATCH($A488,Mots!$A:$A,0)),"introuvable")</f>
        <v>le lavabo</v>
      </c>
      <c r="C488" s="40" t="s">
        <v>201</v>
      </c>
    </row>
    <row r="489" spans="1:4" x14ac:dyDescent="0.4">
      <c r="A489" s="40" t="s">
        <v>2773</v>
      </c>
      <c r="B489" s="41" t="str">
        <f>IFERROR(INDEX(Mots!$B:$B,MATCH($A489,Mots!$A:$A,0)),"introuvable")</f>
        <v>le savon</v>
      </c>
      <c r="C489" s="40" t="s">
        <v>201</v>
      </c>
    </row>
    <row r="490" spans="1:4" x14ac:dyDescent="0.4">
      <c r="A490" s="40" t="s">
        <v>2777</v>
      </c>
      <c r="B490" s="41" t="str">
        <f>IFERROR(INDEX(Mots!$B:$B,MATCH($A490,Mots!$A:$A,0)),"introuvable")</f>
        <v>le miroir</v>
      </c>
      <c r="C490" s="40" t="s">
        <v>201</v>
      </c>
    </row>
    <row r="491" spans="1:4" x14ac:dyDescent="0.4">
      <c r="A491" s="40" t="s">
        <v>2780</v>
      </c>
      <c r="B491" s="41" t="str">
        <f>IFERROR(INDEX(Mots!$B:$B,MATCH($A491,Mots!$A:$A,0)),"introuvable")</f>
        <v>le WC</v>
      </c>
      <c r="C491" s="40" t="s">
        <v>201</v>
      </c>
    </row>
    <row r="492" spans="1:4" x14ac:dyDescent="0.4">
      <c r="A492" s="40" t="s">
        <v>2784</v>
      </c>
      <c r="B492" s="41" t="str">
        <f>IFERROR(INDEX(Mots!$B:$B,MATCH($A492,Mots!$A:$A,0)),"introuvable")</f>
        <v>la douche</v>
      </c>
      <c r="C492" s="40" t="s">
        <v>201</v>
      </c>
    </row>
    <row r="493" spans="1:4" x14ac:dyDescent="0.4">
      <c r="A493" s="40" t="s">
        <v>2788</v>
      </c>
      <c r="B493" s="41" t="str">
        <f>IFERROR(INDEX(Mots!$B:$B,MATCH($A493,Mots!$A:$A,0)),"introuvable")</f>
        <v>la baignoire</v>
      </c>
      <c r="C493" s="40" t="s">
        <v>201</v>
      </c>
    </row>
    <row r="494" spans="1:4" x14ac:dyDescent="0.4">
      <c r="A494" s="40" t="s">
        <v>2791</v>
      </c>
      <c r="B494" s="41" t="str">
        <f>IFERROR(INDEX(Mots!$B:$B,MATCH($A494,Mots!$A:$A,0)),"introuvable")</f>
        <v>le rasoir</v>
      </c>
      <c r="C494" s="40" t="s">
        <v>201</v>
      </c>
    </row>
    <row r="495" spans="1:4" x14ac:dyDescent="0.4">
      <c r="A495" s="40" t="s">
        <v>2795</v>
      </c>
      <c r="B495" s="41" t="str">
        <f>IFERROR(INDEX(Mots!$B:$B,MATCH($A495,Mots!$A:$A,0)),"introuvable")</f>
        <v>le déodorant</v>
      </c>
      <c r="C495" s="40" t="s">
        <v>201</v>
      </c>
    </row>
    <row r="496" spans="1:4" x14ac:dyDescent="0.4">
      <c r="A496" s="40" t="s">
        <v>2798</v>
      </c>
      <c r="B496" s="41" t="str">
        <f>IFERROR(INDEX(Mots!$B:$B,MATCH($A496,Mots!$A:$A,0)),"introuvable")</f>
        <v>le dentifrice</v>
      </c>
      <c r="C496" s="40" t="s">
        <v>201</v>
      </c>
    </row>
    <row r="497" spans="1:3" x14ac:dyDescent="0.4">
      <c r="A497" s="40" t="s">
        <v>2802</v>
      </c>
      <c r="B497" s="41" t="str">
        <f>IFERROR(INDEX(Mots!$B:$B,MATCH($A497,Mots!$A:$A,0)),"introuvable")</f>
        <v>la brosse à dents</v>
      </c>
      <c r="C497" s="40" t="s">
        <v>201</v>
      </c>
    </row>
    <row r="498" spans="1:3" x14ac:dyDescent="0.4">
      <c r="A498" s="40" t="s">
        <v>2805</v>
      </c>
      <c r="B498" s="41" t="str">
        <f>IFERROR(INDEX(Mots!$B:$B,MATCH($A498,Mots!$A:$A,0)),"introuvable")</f>
        <v>la branche d'un arbre</v>
      </c>
      <c r="C498" s="40" t="s">
        <v>348</v>
      </c>
    </row>
    <row r="499" spans="1:3" x14ac:dyDescent="0.4">
      <c r="A499" s="40" t="s">
        <v>2809</v>
      </c>
      <c r="B499" s="41" t="str">
        <f>IFERROR(INDEX(Mots!$B:$B,MATCH($A499,Mots!$A:$A,0)),"introuvable")</f>
        <v>la fleur</v>
      </c>
      <c r="C499" s="40" t="s">
        <v>348</v>
      </c>
    </row>
    <row r="500" spans="1:3" x14ac:dyDescent="0.4">
      <c r="A500" s="40" t="s">
        <v>2816</v>
      </c>
      <c r="B500" s="41" t="str">
        <f>IFERROR(INDEX(Mots!$B:$B,MATCH($A500,Mots!$A:$A,0)),"introuvable")</f>
        <v>la plante</v>
      </c>
      <c r="C500" s="40" t="s">
        <v>348</v>
      </c>
    </row>
    <row r="501" spans="1:3" x14ac:dyDescent="0.4">
      <c r="A501" s="40" t="s">
        <v>2825</v>
      </c>
      <c r="B501" s="41" t="str">
        <f>IFERROR(INDEX(Mots!$B:$B,MATCH($A501,Mots!$A:$A,0)),"introuvable")</f>
        <v>l'arbre</v>
      </c>
      <c r="C501" s="40" t="s">
        <v>348</v>
      </c>
    </row>
    <row r="502" spans="1:3" x14ac:dyDescent="0.4">
      <c r="A502" s="40" t="s">
        <v>9411</v>
      </c>
      <c r="B502" s="41" t="str">
        <f>IFERROR(INDEX(Mots!$B:$B,MATCH($A502,Mots!$A:$A,0)),"introuvable")</f>
        <v>la feuille d'une plante</v>
      </c>
      <c r="C502" s="40" t="s">
        <v>348</v>
      </c>
    </row>
    <row r="503" spans="1:3" x14ac:dyDescent="0.4">
      <c r="A503" s="40" t="s">
        <v>2830</v>
      </c>
      <c r="B503" s="41" t="str">
        <f>IFERROR(INDEX(Mots!$B:$B,MATCH($A503,Mots!$A:$A,0)),"introuvable")</f>
        <v>l'herbe</v>
      </c>
      <c r="C503" s="40" t="s">
        <v>348</v>
      </c>
    </row>
    <row r="504" spans="1:3" x14ac:dyDescent="0.4">
      <c r="A504" s="40" t="s">
        <v>2839</v>
      </c>
      <c r="B504" s="41" t="str">
        <f>IFERROR(INDEX(Mots!$B:$B,MATCH($A504,Mots!$A:$A,0)),"introuvable")</f>
        <v>le vélo</v>
      </c>
      <c r="C504" s="40" t="s">
        <v>264</v>
      </c>
    </row>
    <row r="505" spans="1:3" x14ac:dyDescent="0.4">
      <c r="A505" s="40" t="s">
        <v>2848</v>
      </c>
      <c r="B505" s="41" t="str">
        <f>IFERROR(INDEX(Mots!$B:$B,MATCH($A505,Mots!$A:$A,0)),"introuvable")</f>
        <v>la moto</v>
      </c>
      <c r="C505" s="40" t="s">
        <v>264</v>
      </c>
    </row>
    <row r="506" spans="1:3" x14ac:dyDescent="0.4">
      <c r="A506" s="40" t="s">
        <v>2851</v>
      </c>
      <c r="B506" s="41" t="str">
        <f>IFERROR(INDEX(Mots!$B:$B,MATCH($A506,Mots!$A:$A,0)),"introuvable")</f>
        <v>la voiture</v>
      </c>
      <c r="C506" s="40" t="s">
        <v>264</v>
      </c>
    </row>
    <row r="507" spans="1:3" x14ac:dyDescent="0.4">
      <c r="A507" s="40" t="s">
        <v>2854</v>
      </c>
      <c r="B507" s="41" t="str">
        <f>IFERROR(INDEX(Mots!$B:$B,MATCH($A507,Mots!$A:$A,0)),"introuvable")</f>
        <v>le pickup</v>
      </c>
      <c r="C507" s="40" t="s">
        <v>264</v>
      </c>
    </row>
    <row r="508" spans="1:3" x14ac:dyDescent="0.4">
      <c r="A508" s="40" t="s">
        <v>2857</v>
      </c>
      <c r="B508" s="41" t="str">
        <f>IFERROR(INDEX(Mots!$B:$B,MATCH($A508,Mots!$A:$A,0)),"introuvable")</f>
        <v>le  car postal</v>
      </c>
      <c r="C508" s="40" t="s">
        <v>264</v>
      </c>
    </row>
    <row r="509" spans="1:3" x14ac:dyDescent="0.4">
      <c r="A509" s="40" t="s">
        <v>2861</v>
      </c>
      <c r="B509" s="41" t="str">
        <f>IFERROR(INDEX(Mots!$B:$B,MATCH($A509,Mots!$A:$A,0)),"introuvable")</f>
        <v>le camion</v>
      </c>
      <c r="C509" s="40" t="s">
        <v>264</v>
      </c>
    </row>
    <row r="510" spans="1:3" x14ac:dyDescent="0.4">
      <c r="A510" s="40" t="s">
        <v>2864</v>
      </c>
      <c r="B510" s="41" t="str">
        <f>IFERROR(INDEX(Mots!$B:$B,MATCH($A510,Mots!$A:$A,0)),"introuvable")</f>
        <v>le tracteur</v>
      </c>
      <c r="C510" s="40" t="s">
        <v>264</v>
      </c>
    </row>
    <row r="511" spans="1:3" x14ac:dyDescent="0.4">
      <c r="A511" s="40" t="s">
        <v>2867</v>
      </c>
      <c r="B511" s="41" t="str">
        <f>IFERROR(INDEX(Mots!$B:$B,MATCH($A511,Mots!$A:$A,0)),"introuvable")</f>
        <v>le train</v>
      </c>
      <c r="C511" s="40" t="s">
        <v>264</v>
      </c>
    </row>
    <row r="512" spans="1:3" x14ac:dyDescent="0.4">
      <c r="A512" s="40" t="s">
        <v>2876</v>
      </c>
      <c r="B512" s="41" t="str">
        <f>IFERROR(INDEX(Mots!$B:$B,MATCH($A512,Mots!$A:$A,0)),"introuvable")</f>
        <v>la route</v>
      </c>
      <c r="C512" s="40" t="s">
        <v>264</v>
      </c>
    </row>
    <row r="513" spans="1:4" x14ac:dyDescent="0.4">
      <c r="A513" s="40" t="s">
        <v>2881</v>
      </c>
      <c r="B513" s="41" t="str">
        <f>IFERROR(INDEX(Mots!$B:$B,MATCH($A513,Mots!$A:$A,0)),"introuvable")</f>
        <v>les feux de circulation</v>
      </c>
      <c r="C513" s="40" t="s">
        <v>264</v>
      </c>
    </row>
    <row r="514" spans="1:4" x14ac:dyDescent="0.4">
      <c r="A514" s="40" t="s">
        <v>2889</v>
      </c>
      <c r="B514" s="41" t="str">
        <f>IFERROR(INDEX(Mots!$B:$B,MATCH($A514,Mots!$A:$A,0)),"introuvable")</f>
        <v>l'avion</v>
      </c>
      <c r="C514" s="40" t="s">
        <v>269</v>
      </c>
    </row>
    <row r="515" spans="1:4" x14ac:dyDescent="0.4">
      <c r="A515" s="40" t="s">
        <v>2894</v>
      </c>
      <c r="B515" s="41" t="str">
        <f>IFERROR(INDEX(Mots!$B:$B,MATCH($A515,Mots!$A:$A,0)),"introuvable")</f>
        <v>l'helicoptère</v>
      </c>
      <c r="C515" s="40" t="s">
        <v>269</v>
      </c>
    </row>
    <row r="516" spans="1:4" x14ac:dyDescent="0.4">
      <c r="A516" s="40" t="s">
        <v>2898</v>
      </c>
      <c r="B516" s="41" t="str">
        <f>IFERROR(INDEX(Mots!$B:$B,MATCH($A516,Mots!$A:$A,0)),"introuvable")</f>
        <v>le bateau</v>
      </c>
      <c r="C516" s="40" t="s">
        <v>269</v>
      </c>
    </row>
    <row r="517" spans="1:4" x14ac:dyDescent="0.4">
      <c r="A517" s="40" t="s">
        <v>2906</v>
      </c>
      <c r="B517" s="41" t="str">
        <f>IFERROR(INDEX(Mots!$B:$B,MATCH($A517,Mots!$A:$A,0)),"introuvable")</f>
        <v>du rôti de boeuf</v>
      </c>
      <c r="C517" s="40" t="s">
        <v>10045</v>
      </c>
      <c r="D517" s="39" t="s">
        <v>107</v>
      </c>
    </row>
    <row r="518" spans="1:4" x14ac:dyDescent="0.4">
      <c r="A518" s="40" t="s">
        <v>2908</v>
      </c>
      <c r="B518" s="41" t="str">
        <f>IFERROR(INDEX(Mots!$B:$B,MATCH($A518,Mots!$A:$A,0)),"introuvable")</f>
        <v>le boeuf</v>
      </c>
      <c r="C518" s="40" t="s">
        <v>107</v>
      </c>
    </row>
    <row r="519" spans="1:4" x14ac:dyDescent="0.4">
      <c r="A519" s="40" t="s">
        <v>2912</v>
      </c>
      <c r="B519" s="41" t="str">
        <f>IFERROR(INDEX(Mots!$B:$B,MATCH($A519,Mots!$A:$A,0)),"introuvable")</f>
        <v>un steack de boeuf frites</v>
      </c>
      <c r="C519" s="40" t="s">
        <v>10045</v>
      </c>
    </row>
    <row r="520" spans="1:4" x14ac:dyDescent="0.4">
      <c r="A520" s="40" t="s">
        <v>2915</v>
      </c>
      <c r="B520" s="41" t="str">
        <f>IFERROR(INDEX(Mots!$B:$B,MATCH($A520,Mots!$A:$A,0)),"introuvable")</f>
        <v>le porc</v>
      </c>
      <c r="C520" s="40" t="s">
        <v>107</v>
      </c>
    </row>
    <row r="521" spans="1:4" x14ac:dyDescent="0.4">
      <c r="A521" s="40" t="s">
        <v>2919</v>
      </c>
      <c r="B521" s="41" t="str">
        <f>IFERROR(INDEX(Mots!$B:$B,MATCH($A521,Mots!$A:$A,0)),"introuvable")</f>
        <v>du filet mignon de porc</v>
      </c>
      <c r="C521" s="40" t="s">
        <v>10045</v>
      </c>
    </row>
    <row r="522" spans="1:4" x14ac:dyDescent="0.4">
      <c r="A522" s="40" t="s">
        <v>2923</v>
      </c>
      <c r="B522" s="41" t="str">
        <f>IFERROR(INDEX(Mots!$B:$B,MATCH($A522,Mots!$A:$A,0)),"introuvable")</f>
        <v>du rôti de porc</v>
      </c>
      <c r="C522" s="40" t="s">
        <v>10045</v>
      </c>
    </row>
    <row r="523" spans="1:4" x14ac:dyDescent="0.4">
      <c r="A523" s="40" t="s">
        <v>2925</v>
      </c>
      <c r="B523" s="41" t="str">
        <f>IFERROR(INDEX(Mots!$B:$B,MATCH($A523,Mots!$A:$A,0)),"introuvable")</f>
        <v>une côtelette de porc</v>
      </c>
      <c r="C523" s="40" t="s">
        <v>10045</v>
      </c>
      <c r="D523" s="39" t="s">
        <v>107</v>
      </c>
    </row>
    <row r="524" spans="1:4" x14ac:dyDescent="0.4">
      <c r="A524" s="40" t="s">
        <v>2929</v>
      </c>
      <c r="B524" s="41" t="str">
        <f>IFERROR(INDEX(Mots!$B:$B,MATCH($A524,Mots!$A:$A,0)),"introuvable")</f>
        <v>le poulet</v>
      </c>
      <c r="C524" s="40" t="s">
        <v>107</v>
      </c>
    </row>
    <row r="525" spans="1:4" x14ac:dyDescent="0.4">
      <c r="A525" s="40" t="s">
        <v>2935</v>
      </c>
      <c r="B525" s="41" t="str">
        <f>IFERROR(INDEX(Mots!$B:$B,MATCH($A525,Mots!$A:$A,0)),"introuvable")</f>
        <v>un blanc de poulet</v>
      </c>
      <c r="C525" s="40" t="s">
        <v>10045</v>
      </c>
      <c r="D525" s="39" t="s">
        <v>107</v>
      </c>
    </row>
    <row r="526" spans="1:4" x14ac:dyDescent="0.4">
      <c r="A526" s="40" t="s">
        <v>2939</v>
      </c>
      <c r="B526" s="41" t="str">
        <f>IFERROR(INDEX(Mots!$B:$B,MATCH($A526,Mots!$A:$A,0)),"introuvable")</f>
        <v>une cuisse de poulet</v>
      </c>
      <c r="C526" s="40" t="s">
        <v>10045</v>
      </c>
      <c r="D526" s="39" t="s">
        <v>107</v>
      </c>
    </row>
    <row r="527" spans="1:4" x14ac:dyDescent="0.4">
      <c r="A527" s="40" t="s">
        <v>2943</v>
      </c>
      <c r="B527" s="41" t="str">
        <f>IFERROR(INDEX(Mots!$B:$B,MATCH($A527,Mots!$A:$A,0)),"introuvable")</f>
        <v>du poulet au curry</v>
      </c>
      <c r="C527" s="40" t="s">
        <v>10045</v>
      </c>
    </row>
    <row r="528" spans="1:4" x14ac:dyDescent="0.4">
      <c r="A528" s="40" t="s">
        <v>2946</v>
      </c>
      <c r="B528" s="41" t="str">
        <f>IFERROR(INDEX(Mots!$B:$B,MATCH($A528,Mots!$A:$A,0)),"introuvable")</f>
        <v>Dacia Duster</v>
      </c>
      <c r="C528" s="40" t="s">
        <v>255</v>
      </c>
    </row>
    <row r="529" spans="1:3" x14ac:dyDescent="0.4">
      <c r="A529" s="40" t="s">
        <v>2949</v>
      </c>
      <c r="B529" s="41" t="str">
        <f>IFERROR(INDEX(Mots!$B:$B,MATCH($A529,Mots!$A:$A,0)),"introuvable")</f>
        <v>le pare-brise</v>
      </c>
      <c r="C529" s="40" t="s">
        <v>255</v>
      </c>
    </row>
    <row r="530" spans="1:3" x14ac:dyDescent="0.4">
      <c r="A530" s="40" t="s">
        <v>2953</v>
      </c>
      <c r="B530" s="41" t="str">
        <f>IFERROR(INDEX(Mots!$B:$B,MATCH($A530,Mots!$A:$A,0)),"introuvable")</f>
        <v>les essuie glace</v>
      </c>
      <c r="C530" s="40" t="s">
        <v>255</v>
      </c>
    </row>
    <row r="531" spans="1:3" x14ac:dyDescent="0.4">
      <c r="A531" s="40" t="s">
        <v>2956</v>
      </c>
      <c r="B531" s="41" t="str">
        <f>IFERROR(INDEX(Mots!$B:$B,MATCH($A531,Mots!$A:$A,0)),"introuvable")</f>
        <v>le capot</v>
      </c>
      <c r="C531" s="40" t="s">
        <v>255</v>
      </c>
    </row>
    <row r="532" spans="1:3" x14ac:dyDescent="0.4">
      <c r="A532" s="40" t="s">
        <v>2959</v>
      </c>
      <c r="B532" s="41" t="str">
        <f>IFERROR(INDEX(Mots!$B:$B,MATCH($A532,Mots!$A:$A,0)),"introuvable")</f>
        <v>l'aile</v>
      </c>
      <c r="C532" s="40" t="s">
        <v>255</v>
      </c>
    </row>
    <row r="533" spans="1:3" x14ac:dyDescent="0.4">
      <c r="A533" s="40" t="s">
        <v>2962</v>
      </c>
      <c r="B533" s="41" t="str">
        <f>IFERROR(INDEX(Mots!$B:$B,MATCH($A533,Mots!$A:$A,0)),"introuvable")</f>
        <v>le pare-chocs</v>
      </c>
      <c r="C533" s="40" t="s">
        <v>255</v>
      </c>
    </row>
    <row r="534" spans="1:3" x14ac:dyDescent="0.4">
      <c r="A534" s="40" t="s">
        <v>9653</v>
      </c>
      <c r="B534" s="41" t="str">
        <f>IFERROR(INDEX(Mots!$B:$B,MATCH($A534,Mots!$A:$A,0)),"introuvable")</f>
        <v>la jante</v>
      </c>
      <c r="C534" s="40" t="s">
        <v>255</v>
      </c>
    </row>
    <row r="535" spans="1:3" x14ac:dyDescent="0.4">
      <c r="A535" s="40" t="s">
        <v>9652</v>
      </c>
      <c r="B535" s="41" t="str">
        <f>IFERROR(INDEX(Mots!$B:$B,MATCH($A535,Mots!$A:$A,0)),"introuvable")</f>
        <v>le pneu</v>
      </c>
      <c r="C535" s="40" t="s">
        <v>255</v>
      </c>
    </row>
    <row r="536" spans="1:3" x14ac:dyDescent="0.4">
      <c r="A536" s="40" t="s">
        <v>2970</v>
      </c>
      <c r="B536" s="41" t="str">
        <f>IFERROR(INDEX(Mots!$B:$B,MATCH($A536,Mots!$A:$A,0)),"introuvable")</f>
        <v>la portière</v>
      </c>
      <c r="C536" s="40" t="s">
        <v>255</v>
      </c>
    </row>
    <row r="537" spans="1:3" x14ac:dyDescent="0.4">
      <c r="A537" s="40" t="s">
        <v>2978</v>
      </c>
      <c r="B537" s="41" t="str">
        <f>IFERROR(INDEX(Mots!$B:$B,MATCH($A537,Mots!$A:$A,0)),"introuvable")</f>
        <v>le clignotant</v>
      </c>
      <c r="C537" s="40" t="s">
        <v>255</v>
      </c>
    </row>
    <row r="538" spans="1:3" x14ac:dyDescent="0.4">
      <c r="A538" s="40" t="s">
        <v>2982</v>
      </c>
      <c r="B538" s="41" t="str">
        <f>IFERROR(INDEX(Mots!$B:$B,MATCH($A538,Mots!$A:$A,0)),"introuvable")</f>
        <v>le klaxon</v>
      </c>
      <c r="C538" s="40" t="s">
        <v>255</v>
      </c>
    </row>
    <row r="539" spans="1:3" x14ac:dyDescent="0.4">
      <c r="A539" s="40" t="s">
        <v>2990</v>
      </c>
      <c r="B539" s="41" t="str">
        <f>IFERROR(INDEX(Mots!$B:$B,MATCH($A539,Mots!$A:$A,0)),"introuvable")</f>
        <v>le phare</v>
      </c>
      <c r="C539" s="40" t="s">
        <v>255</v>
      </c>
    </row>
    <row r="540" spans="1:3" x14ac:dyDescent="0.4">
      <c r="A540" s="40" t="s">
        <v>2998</v>
      </c>
      <c r="B540" s="41" t="str">
        <f>IFERROR(INDEX(Mots!$B:$B,MATCH($A540,Mots!$A:$A,0)),"introuvable")</f>
        <v>le rétroviseur</v>
      </c>
      <c r="C540" s="40" t="s">
        <v>255</v>
      </c>
    </row>
    <row r="541" spans="1:3" x14ac:dyDescent="0.4">
      <c r="A541" s="40" t="s">
        <v>3006</v>
      </c>
      <c r="B541" s="41" t="str">
        <f>IFERROR(INDEX(Mots!$B:$B,MATCH($A541,Mots!$A:$A,0)),"introuvable")</f>
        <v>le siège</v>
      </c>
      <c r="C541" s="40" t="s">
        <v>251</v>
      </c>
    </row>
    <row r="542" spans="1:3" x14ac:dyDescent="0.4">
      <c r="A542" s="40" t="s">
        <v>3009</v>
      </c>
      <c r="B542" s="41" t="str">
        <f>IFERROR(INDEX(Mots!$B:$B,MATCH($A542,Mots!$A:$A,0)),"introuvable")</f>
        <v>le volant</v>
      </c>
      <c r="C542" s="40" t="s">
        <v>251</v>
      </c>
    </row>
    <row r="543" spans="1:3" x14ac:dyDescent="0.4">
      <c r="A543" s="40" t="s">
        <v>3018</v>
      </c>
      <c r="B543" s="41" t="str">
        <f>IFERROR(INDEX(Mots!$B:$B,MATCH($A543,Mots!$A:$A,0)),"introuvable")</f>
        <v>le tableau de bord</v>
      </c>
      <c r="C543" s="40" t="s">
        <v>251</v>
      </c>
    </row>
    <row r="544" spans="1:3" x14ac:dyDescent="0.4">
      <c r="A544" s="40" t="s">
        <v>3022</v>
      </c>
      <c r="B544" s="41" t="str">
        <f>IFERROR(INDEX(Mots!$B:$B,MATCH($A544,Mots!$A:$A,0)),"introuvable")</f>
        <v>le coffre</v>
      </c>
      <c r="C544" s="40" t="s">
        <v>251</v>
      </c>
    </row>
    <row r="545" spans="1:3" x14ac:dyDescent="0.4">
      <c r="A545" s="40" t="s">
        <v>3025</v>
      </c>
      <c r="B545" s="41" t="str">
        <f>IFERROR(INDEX(Mots!$B:$B,MATCH($A545,Mots!$A:$A,0)),"introuvable")</f>
        <v>la vitesse</v>
      </c>
      <c r="C545" s="40" t="s">
        <v>259</v>
      </c>
    </row>
    <row r="546" spans="1:3" x14ac:dyDescent="0.4">
      <c r="A546" s="40" t="s">
        <v>3033</v>
      </c>
      <c r="B546" s="41" t="str">
        <f>IFERROR(INDEX(Mots!$B:$B,MATCH($A546,Mots!$A:$A,0)),"introuvable")</f>
        <v>mes enfants</v>
      </c>
      <c r="C546" s="40" t="s">
        <v>159</v>
      </c>
    </row>
    <row r="547" spans="1:3" x14ac:dyDescent="0.4">
      <c r="A547" s="40" t="s">
        <v>3036</v>
      </c>
      <c r="B547" s="41" t="str">
        <f>IFERROR(INDEX(Mots!$B:$B,MATCH($A547,Mots!$A:$A,0)),"introuvable")</f>
        <v>Mathilde</v>
      </c>
      <c r="C547" s="40" t="s">
        <v>159</v>
      </c>
    </row>
    <row r="548" spans="1:3" x14ac:dyDescent="0.4">
      <c r="A548" s="40" t="s">
        <v>3039</v>
      </c>
      <c r="B548" s="41" t="str">
        <f>IFERROR(INDEX(Mots!$B:$B,MATCH($A548,Mots!$A:$A,0)),"introuvable")</f>
        <v>Julien</v>
      </c>
      <c r="C548" s="40" t="s">
        <v>159</v>
      </c>
    </row>
    <row r="549" spans="1:3" x14ac:dyDescent="0.4">
      <c r="A549" s="40" t="s">
        <v>3043</v>
      </c>
      <c r="B549" s="41" t="str">
        <f>IFERROR(INDEX(Mots!$B:$B,MATCH($A549,Mots!$A:$A,0)),"introuvable")</f>
        <v>Emma</v>
      </c>
      <c r="C549" s="40" t="s">
        <v>159</v>
      </c>
    </row>
    <row r="550" spans="1:3" x14ac:dyDescent="0.4">
      <c r="A550" s="40" t="s">
        <v>3047</v>
      </c>
      <c r="B550" s="41" t="str">
        <f>IFERROR(INDEX(Mots!$B:$B,MATCH($A550,Mots!$A:$A,0)),"introuvable")</f>
        <v>Loïc</v>
      </c>
      <c r="C550" s="40" t="s">
        <v>159</v>
      </c>
    </row>
    <row r="551" spans="1:3" x14ac:dyDescent="0.4">
      <c r="A551" s="40" t="s">
        <v>3051</v>
      </c>
      <c r="B551" s="41" t="str">
        <f>IFERROR(INDEX(Mots!$B:$B,MATCH($A551,Mots!$A:$A,0)),"introuvable")</f>
        <v>Emile, le copain de Mathilde</v>
      </c>
      <c r="C551" s="40" t="s">
        <v>159</v>
      </c>
    </row>
    <row r="552" spans="1:3" x14ac:dyDescent="0.4">
      <c r="A552" s="40" t="s">
        <v>3055</v>
      </c>
      <c r="B552" s="41" t="str">
        <f>IFERROR(INDEX(Mots!$B:$B,MATCH($A552,Mots!$A:$A,0)),"introuvable")</f>
        <v>Eva, la copine de Julien</v>
      </c>
      <c r="C552" s="40" t="s">
        <v>159</v>
      </c>
    </row>
    <row r="553" spans="1:3" x14ac:dyDescent="0.4">
      <c r="A553" s="40" t="s">
        <v>3059</v>
      </c>
      <c r="B553" s="41" t="str">
        <f>IFERROR(INDEX(Mots!$B:$B,MATCH($A553,Mots!$A:$A,0)),"introuvable")</f>
        <v>Paul, le copain d'Emma</v>
      </c>
      <c r="C553" s="40" t="s">
        <v>159</v>
      </c>
    </row>
    <row r="554" spans="1:3" x14ac:dyDescent="0.4">
      <c r="A554" s="40" t="s">
        <v>3063</v>
      </c>
      <c r="B554" s="41" t="str">
        <f>IFERROR(INDEX(Mots!$B:$B,MATCH($A554,Mots!$A:$A,0)),"introuvable")</f>
        <v>Claudia</v>
      </c>
      <c r="C554" s="40" t="s">
        <v>167</v>
      </c>
    </row>
    <row r="555" spans="1:3" x14ac:dyDescent="0.4">
      <c r="A555" s="40" t="s">
        <v>3066</v>
      </c>
      <c r="B555" s="41" t="str">
        <f>IFERROR(INDEX(Mots!$B:$B,MATCH($A555,Mots!$A:$A,0)),"introuvable")</f>
        <v>Patrick</v>
      </c>
      <c r="C555" s="40" t="s">
        <v>167</v>
      </c>
    </row>
    <row r="556" spans="1:3" x14ac:dyDescent="0.4">
      <c r="A556" s="40" t="s">
        <v>3070</v>
      </c>
      <c r="B556" s="41" t="str">
        <f>IFERROR(INDEX(Mots!$B:$B,MATCH($A556,Mots!$A:$A,0)),"introuvable")</f>
        <v>Olivier</v>
      </c>
      <c r="C556" s="40" t="s">
        <v>167</v>
      </c>
    </row>
    <row r="557" spans="1:3" x14ac:dyDescent="0.4">
      <c r="A557" s="40" t="s">
        <v>3073</v>
      </c>
      <c r="B557" s="41" t="str">
        <f>IFERROR(INDEX(Mots!$B:$B,MATCH($A557,Mots!$A:$A,0)),"introuvable")</f>
        <v>Barbara</v>
      </c>
      <c r="C557" s="40" t="s">
        <v>167</v>
      </c>
    </row>
    <row r="558" spans="1:3" x14ac:dyDescent="0.4">
      <c r="A558" s="40" t="s">
        <v>3076</v>
      </c>
      <c r="B558" s="41" t="str">
        <f>IFERROR(INDEX(Mots!$B:$B,MATCH($A558,Mots!$A:$A,0)),"introuvable")</f>
        <v>Sandrine</v>
      </c>
      <c r="C558" s="40" t="s">
        <v>167</v>
      </c>
    </row>
    <row r="559" spans="1:3" x14ac:dyDescent="0.4">
      <c r="A559" s="40" t="s">
        <v>3079</v>
      </c>
      <c r="B559" s="41" t="str">
        <f>IFERROR(INDEX(Mots!$B:$B,MATCH($A559,Mots!$A:$A,0)),"introuvable")</f>
        <v>Docteur Nicole Ducrey Crettenand</v>
      </c>
      <c r="C559" s="40" t="s">
        <v>381</v>
      </c>
    </row>
    <row r="560" spans="1:3" x14ac:dyDescent="0.4">
      <c r="A560" s="40" t="s">
        <v>3082</v>
      </c>
      <c r="B560" s="41" t="str">
        <f>IFERROR(INDEX(Mots!$B:$B,MATCH($A560,Mots!$A:$A,0)),"introuvable")</f>
        <v>Professeur Joseph-André Ghika, neurologue</v>
      </c>
      <c r="C560" s="40" t="s">
        <v>381</v>
      </c>
    </row>
    <row r="561" spans="1:3" x14ac:dyDescent="0.4">
      <c r="A561" s="40" t="s">
        <v>3086</v>
      </c>
      <c r="B561" s="41" t="str">
        <f>IFERROR(INDEX(Mots!$B:$B,MATCH($A561,Mots!$A:$A,0)),"introuvable")</f>
        <v>Louane</v>
      </c>
      <c r="C561" s="40" t="s">
        <v>170</v>
      </c>
    </row>
    <row r="562" spans="1:3" x14ac:dyDescent="0.4">
      <c r="A562" s="40" t="s">
        <v>3090</v>
      </c>
      <c r="B562" s="41" t="str">
        <f>IFERROR(INDEX(Mots!$B:$B,MATCH($A562,Mots!$A:$A,0)),"introuvable")</f>
        <v>Melwyn</v>
      </c>
      <c r="C562" s="40" t="s">
        <v>170</v>
      </c>
    </row>
    <row r="563" spans="1:3" x14ac:dyDescent="0.4">
      <c r="A563" s="40" t="s">
        <v>3094</v>
      </c>
      <c r="B563" s="41" t="str">
        <f>IFERROR(INDEX(Mots!$B:$B,MATCH($A563,Mots!$A:$A,0)),"introuvable")</f>
        <v>Jason</v>
      </c>
      <c r="C563" s="40" t="s">
        <v>170</v>
      </c>
    </row>
    <row r="564" spans="1:3" x14ac:dyDescent="0.4">
      <c r="A564" s="40" t="s">
        <v>3098</v>
      </c>
      <c r="B564" s="41" t="str">
        <f>IFERROR(INDEX(Mots!$B:$B,MATCH($A564,Mots!$A:$A,0)),"introuvable")</f>
        <v>Yanis</v>
      </c>
      <c r="C564" s="40" t="s">
        <v>170</v>
      </c>
    </row>
    <row r="565" spans="1:3" x14ac:dyDescent="0.4">
      <c r="A565" s="40" t="s">
        <v>3102</v>
      </c>
      <c r="B565" s="41" t="str">
        <f>IFERROR(INDEX(Mots!$B:$B,MATCH($A565,Mots!$A:$A,0)),"introuvable")</f>
        <v>Alison</v>
      </c>
      <c r="C565" s="40" t="s">
        <v>170</v>
      </c>
    </row>
    <row r="566" spans="1:3" x14ac:dyDescent="0.4">
      <c r="A566" s="40" t="s">
        <v>3106</v>
      </c>
      <c r="B566" s="41" t="str">
        <f>IFERROR(INDEX(Mots!$B:$B,MATCH($A566,Mots!$A:$A,0)),"introuvable")</f>
        <v>Germaine</v>
      </c>
      <c r="C566" s="40" t="s">
        <v>164</v>
      </c>
    </row>
    <row r="567" spans="1:3" x14ac:dyDescent="0.4">
      <c r="A567" s="40" t="s">
        <v>3110</v>
      </c>
      <c r="B567" s="41" t="str">
        <f>IFERROR(INDEX(Mots!$B:$B,MATCH($A567,Mots!$A:$A,0)),"introuvable")</f>
        <v>Noël</v>
      </c>
      <c r="C567" s="40" t="s">
        <v>164</v>
      </c>
    </row>
    <row r="568" spans="1:3" x14ac:dyDescent="0.4">
      <c r="A568" s="40" t="s">
        <v>3114</v>
      </c>
      <c r="B568" s="41" t="str">
        <f>IFERROR(INDEX(Mots!$B:$B,MATCH($A568,Mots!$A:$A,0)),"introuvable")</f>
        <v>la peau</v>
      </c>
      <c r="C568" s="40" t="s">
        <v>335</v>
      </c>
    </row>
    <row r="569" spans="1:3" x14ac:dyDescent="0.4">
      <c r="A569" s="40" t="s">
        <v>3117</v>
      </c>
      <c r="B569" s="41" t="str">
        <f>IFERROR(INDEX(Mots!$B:$B,MATCH($A569,Mots!$A:$A,0)),"introuvable")</f>
        <v>la voix</v>
      </c>
      <c r="C569" s="40" t="s">
        <v>335</v>
      </c>
    </row>
    <row r="570" spans="1:3" x14ac:dyDescent="0.4">
      <c r="A570" s="40" t="s">
        <v>3121</v>
      </c>
      <c r="B570" s="41" t="str">
        <f>IFERROR(INDEX(Mots!$B:$B,MATCH($A570,Mots!$A:$A,0)),"introuvable")</f>
        <v>le cerveau</v>
      </c>
      <c r="C570" s="40" t="s">
        <v>335</v>
      </c>
    </row>
    <row r="571" spans="1:3" x14ac:dyDescent="0.4">
      <c r="A571" s="40" t="s">
        <v>3125</v>
      </c>
      <c r="B571" s="41" t="str">
        <f>IFERROR(INDEX(Mots!$B:$B,MATCH($A571,Mots!$A:$A,0)),"introuvable")</f>
        <v>le muscle</v>
      </c>
      <c r="C571" s="40" t="s">
        <v>335</v>
      </c>
    </row>
    <row r="572" spans="1:3" x14ac:dyDescent="0.4">
      <c r="A572" s="40" t="s">
        <v>3129</v>
      </c>
      <c r="B572" s="41" t="str">
        <f>IFERROR(INDEX(Mots!$B:$B,MATCH($A572,Mots!$A:$A,0)),"introuvable")</f>
        <v>le sang</v>
      </c>
      <c r="C572" s="40" t="s">
        <v>335</v>
      </c>
    </row>
    <row r="573" spans="1:3" x14ac:dyDescent="0.4">
      <c r="A573" s="40" t="s">
        <v>3133</v>
      </c>
      <c r="B573" s="41" t="str">
        <f>IFERROR(INDEX(Mots!$B:$B,MATCH($A573,Mots!$A:$A,0)),"introuvable")</f>
        <v>le squelette</v>
      </c>
      <c r="C573" s="40" t="s">
        <v>335</v>
      </c>
    </row>
    <row r="574" spans="1:3" x14ac:dyDescent="0.4">
      <c r="A574" s="40" t="s">
        <v>3137</v>
      </c>
      <c r="B574" s="41" t="str">
        <f>IFERROR(INDEX(Mots!$B:$B,MATCH($A574,Mots!$A:$A,0)),"introuvable")</f>
        <v>l'estomac</v>
      </c>
      <c r="C574" s="40" t="s">
        <v>335</v>
      </c>
    </row>
    <row r="575" spans="1:3" x14ac:dyDescent="0.4">
      <c r="A575" s="40" t="s">
        <v>3141</v>
      </c>
      <c r="B575" s="41" t="str">
        <f>IFERROR(INDEX(Mots!$B:$B,MATCH($A575,Mots!$A:$A,0)),"introuvable")</f>
        <v>l'ongle</v>
      </c>
      <c r="C575" s="40" t="s">
        <v>335</v>
      </c>
    </row>
    <row r="576" spans="1:3" x14ac:dyDescent="0.4">
      <c r="A576" s="40" t="s">
        <v>3145</v>
      </c>
      <c r="B576" s="41" t="str">
        <f>IFERROR(INDEX(Mots!$B:$B,MATCH($A576,Mots!$A:$A,0)),"introuvable")</f>
        <v>l'os</v>
      </c>
      <c r="C576" s="40" t="s">
        <v>335</v>
      </c>
    </row>
    <row r="577" spans="1:5" x14ac:dyDescent="0.4">
      <c r="A577" s="40" t="s">
        <v>3149</v>
      </c>
      <c r="B577" s="41" t="str">
        <f>IFERROR(INDEX(Mots!$B:$B,MATCH($A577,Mots!$A:$A,0)),"introuvable")</f>
        <v>faire les vitres</v>
      </c>
      <c r="C577" s="40" t="s">
        <v>218</v>
      </c>
    </row>
    <row r="578" spans="1:5" x14ac:dyDescent="0.4">
      <c r="A578" s="40" t="s">
        <v>3152</v>
      </c>
      <c r="B578" s="41" t="str">
        <f>IFERROR(INDEX(Mots!$B:$B,MATCH($A578,Mots!$A:$A,0)),"introuvable")</f>
        <v>la serpillière</v>
      </c>
      <c r="C578" s="40" t="s">
        <v>218</v>
      </c>
    </row>
    <row r="579" spans="1:5" x14ac:dyDescent="0.4">
      <c r="A579" s="40" t="s">
        <v>3156</v>
      </c>
      <c r="B579" s="41" t="str">
        <f>IFERROR(INDEX(Mots!$B:$B,MATCH($A579,Mots!$A:$A,0)),"introuvable")</f>
        <v>l'aspirateur</v>
      </c>
      <c r="C579" s="40" t="s">
        <v>218</v>
      </c>
    </row>
    <row r="580" spans="1:5" x14ac:dyDescent="0.4">
      <c r="A580" s="40" t="s">
        <v>3164</v>
      </c>
      <c r="B580" s="41" t="str">
        <f>IFERROR(INDEX(Mots!$B:$B,MATCH($A580,Mots!$A:$A,0)),"introuvable")</f>
        <v>le chiffon</v>
      </c>
      <c r="C580" s="40" t="s">
        <v>218</v>
      </c>
      <c r="D580" s="40" t="s">
        <v>186</v>
      </c>
      <c r="E580" s="39" t="s">
        <v>201</v>
      </c>
    </row>
    <row r="581" spans="1:5" x14ac:dyDescent="0.4">
      <c r="A581" s="40" t="s">
        <v>3168</v>
      </c>
      <c r="B581" s="41" t="str">
        <f>IFERROR(INDEX(Mots!$B:$B,MATCH($A581,Mots!$A:$A,0)),"introuvable")</f>
        <v>le matériel pour récurrer</v>
      </c>
      <c r="C581" s="40" t="s">
        <v>218</v>
      </c>
    </row>
    <row r="582" spans="1:5" x14ac:dyDescent="0.4">
      <c r="A582" s="40" t="s">
        <v>3173</v>
      </c>
      <c r="B582" s="41" t="str">
        <f>IFERROR(INDEX(Mots!$B:$B,MATCH($A582,Mots!$A:$A,0)),"introuvable")</f>
        <v>le meister proper</v>
      </c>
      <c r="C582" s="40" t="s">
        <v>218</v>
      </c>
    </row>
    <row r="583" spans="1:5" x14ac:dyDescent="0.4">
      <c r="A583" s="40" t="s">
        <v>3177</v>
      </c>
      <c r="B583" s="41" t="str">
        <f>IFERROR(INDEX(Mots!$B:$B,MATCH($A583,Mots!$A:$A,0)),"introuvable")</f>
        <v>l'éponge</v>
      </c>
      <c r="C583" s="40" t="s">
        <v>218</v>
      </c>
      <c r="D583" s="40" t="s">
        <v>186</v>
      </c>
      <c r="E583" s="39" t="s">
        <v>201</v>
      </c>
    </row>
    <row r="584" spans="1:5" x14ac:dyDescent="0.4">
      <c r="A584" s="40" t="s">
        <v>3181</v>
      </c>
      <c r="B584" s="41" t="str">
        <f>IFERROR(INDEX(Mots!$B:$B,MATCH($A584,Mots!$A:$A,0)),"introuvable")</f>
        <v>la chambre</v>
      </c>
      <c r="C584" s="40" t="s">
        <v>196</v>
      </c>
    </row>
    <row r="585" spans="1:5" x14ac:dyDescent="0.4">
      <c r="A585" s="40" t="s">
        <v>3185</v>
      </c>
      <c r="B585" s="41" t="str">
        <f>IFERROR(INDEX(Mots!$B:$B,MATCH($A585,Mots!$A:$A,0)),"introuvable")</f>
        <v>le lit</v>
      </c>
      <c r="C585" s="40" t="s">
        <v>196</v>
      </c>
    </row>
    <row r="586" spans="1:5" x14ac:dyDescent="0.4">
      <c r="A586" s="40" t="s">
        <v>3188</v>
      </c>
      <c r="B586" s="41" t="str">
        <f>IFERROR(INDEX(Mots!$B:$B,MATCH($A586,Mots!$A:$A,0)),"introuvable")</f>
        <v>le matelas</v>
      </c>
      <c r="C586" s="40" t="s">
        <v>196</v>
      </c>
    </row>
    <row r="587" spans="1:5" x14ac:dyDescent="0.4">
      <c r="A587" s="40" t="s">
        <v>3193</v>
      </c>
      <c r="B587" s="41" t="str">
        <f>IFERROR(INDEX(Mots!$B:$B,MATCH($A587,Mots!$A:$A,0)),"introuvable")</f>
        <v>l'oreiller</v>
      </c>
      <c r="C587" s="40" t="s">
        <v>196</v>
      </c>
    </row>
    <row r="588" spans="1:5" x14ac:dyDescent="0.4">
      <c r="A588" s="40" t="s">
        <v>3197</v>
      </c>
      <c r="B588" s="41" t="str">
        <f>IFERROR(INDEX(Mots!$B:$B,MATCH($A588,Mots!$A:$A,0)),"introuvable")</f>
        <v>le duvet</v>
      </c>
      <c r="C588" s="40" t="s">
        <v>196</v>
      </c>
    </row>
    <row r="589" spans="1:5" x14ac:dyDescent="0.4">
      <c r="A589" s="40" t="s">
        <v>3200</v>
      </c>
      <c r="B589" s="41" t="str">
        <f>IFERROR(INDEX(Mots!$B:$B,MATCH($A589,Mots!$A:$A,0)),"introuvable")</f>
        <v>le réveil</v>
      </c>
      <c r="C589" s="40" t="s">
        <v>196</v>
      </c>
    </row>
    <row r="590" spans="1:5" x14ac:dyDescent="0.4">
      <c r="A590" s="40" t="s">
        <v>3205</v>
      </c>
      <c r="B590" s="41" t="str">
        <f>IFERROR(INDEX(Mots!$B:$B,MATCH($A590,Mots!$A:$A,0)),"introuvable")</f>
        <v>l'armoire</v>
      </c>
      <c r="C590" s="40" t="s">
        <v>196</v>
      </c>
    </row>
    <row r="591" spans="1:5" x14ac:dyDescent="0.4">
      <c r="A591" s="40" t="s">
        <v>3208</v>
      </c>
      <c r="B591" s="41" t="str">
        <f>IFERROR(INDEX(Mots!$B:$B,MATCH($A591,Mots!$A:$A,0)),"introuvable")</f>
        <v>la corbeille à linge</v>
      </c>
      <c r="C591" s="40" t="s">
        <v>210</v>
      </c>
    </row>
    <row r="592" spans="1:5" x14ac:dyDescent="0.4">
      <c r="A592" s="40" t="s">
        <v>3211</v>
      </c>
      <c r="B592" s="41" t="str">
        <f>IFERROR(INDEX(Mots!$B:$B,MATCH($A592,Mots!$A:$A,0)),"introuvable")</f>
        <v>le panier à linge</v>
      </c>
      <c r="C592" s="40" t="s">
        <v>210</v>
      </c>
    </row>
    <row r="593" spans="1:4" x14ac:dyDescent="0.4">
      <c r="A593" s="40" t="s">
        <v>3215</v>
      </c>
      <c r="B593" s="41" t="str">
        <f>IFERROR(INDEX(Mots!$B:$B,MATCH($A593,Mots!$A:$A,0)),"introuvable")</f>
        <v>la lessive</v>
      </c>
      <c r="C593" s="40" t="s">
        <v>210</v>
      </c>
    </row>
    <row r="594" spans="1:4" x14ac:dyDescent="0.4">
      <c r="A594" s="40" t="s">
        <v>3219</v>
      </c>
      <c r="B594" s="41" t="str">
        <f>IFERROR(INDEX(Mots!$B:$B,MATCH($A594,Mots!$A:$A,0)),"introuvable")</f>
        <v>le linge</v>
      </c>
      <c r="C594" s="40" t="s">
        <v>210</v>
      </c>
    </row>
    <row r="595" spans="1:4" x14ac:dyDescent="0.4">
      <c r="A595" s="40" t="s">
        <v>3223</v>
      </c>
      <c r="B595" s="41" t="str">
        <f>IFERROR(INDEX(Mots!$B:$B,MATCH($A595,Mots!$A:$A,0)),"introuvable")</f>
        <v>le bureau</v>
      </c>
      <c r="C595" s="40" t="s">
        <v>3223</v>
      </c>
    </row>
    <row r="596" spans="1:4" x14ac:dyDescent="0.4">
      <c r="A596" s="40" t="s">
        <v>3226</v>
      </c>
      <c r="B596" s="41" t="str">
        <f>IFERROR(INDEX(Mots!$B:$B,MATCH($A596,Mots!$A:$A,0)),"introuvable")</f>
        <v>le classeur</v>
      </c>
      <c r="C596" s="40" t="s">
        <v>3223</v>
      </c>
    </row>
    <row r="597" spans="1:4" x14ac:dyDescent="0.4">
      <c r="A597" s="40" t="s">
        <v>3229</v>
      </c>
      <c r="B597" s="41" t="str">
        <f>IFERROR(INDEX(Mots!$B:$B,MATCH($A597,Mots!$A:$A,0)),"introuvable")</f>
        <v>la calculatrice</v>
      </c>
      <c r="C597" s="40" t="s">
        <v>3223</v>
      </c>
    </row>
    <row r="598" spans="1:4" x14ac:dyDescent="0.4">
      <c r="A598" s="40" t="s">
        <v>3233</v>
      </c>
      <c r="B598" s="41" t="str">
        <f>IFERROR(INDEX(Mots!$B:$B,MATCH($A598,Mots!$A:$A,0)),"introuvable")</f>
        <v>l'ordinateur</v>
      </c>
      <c r="C598" s="40" t="s">
        <v>3223</v>
      </c>
      <c r="D598" s="40" t="s">
        <v>352</v>
      </c>
    </row>
    <row r="599" spans="1:4" x14ac:dyDescent="0.4">
      <c r="A599" s="40" t="s">
        <v>3238</v>
      </c>
      <c r="B599" s="41" t="str">
        <f>IFERROR(INDEX(Mots!$B:$B,MATCH($A599,Mots!$A:$A,0)),"introuvable")</f>
        <v>l'essence</v>
      </c>
      <c r="C599" s="40" t="s">
        <v>259</v>
      </c>
    </row>
    <row r="600" spans="1:4" x14ac:dyDescent="0.4">
      <c r="A600" s="40" t="s">
        <v>3242</v>
      </c>
      <c r="B600" s="41" t="str">
        <f>IFERROR(INDEX(Mots!$B:$B,MATCH($A600,Mots!$A:$A,0)),"introuvable")</f>
        <v>la jauge d'huile</v>
      </c>
      <c r="C600" s="40" t="s">
        <v>259</v>
      </c>
    </row>
    <row r="601" spans="1:4" x14ac:dyDescent="0.4">
      <c r="A601" s="40" t="s">
        <v>3245</v>
      </c>
      <c r="B601" s="41" t="str">
        <f>IFERROR(INDEX(Mots!$B:$B,MATCH($A601,Mots!$A:$A,0)),"introuvable")</f>
        <v>l'huile moteur</v>
      </c>
      <c r="C601" s="40" t="s">
        <v>259</v>
      </c>
    </row>
    <row r="602" spans="1:4" x14ac:dyDescent="0.4">
      <c r="A602" s="40" t="s">
        <v>3249</v>
      </c>
      <c r="B602" s="41" t="str">
        <f>IFERROR(INDEX(Mots!$B:$B,MATCH($A602,Mots!$A:$A,0)),"introuvable")</f>
        <v>le liquide lave-glace</v>
      </c>
      <c r="C602" s="40" t="s">
        <v>259</v>
      </c>
    </row>
    <row r="603" spans="1:4" x14ac:dyDescent="0.4">
      <c r="A603" s="40" t="s">
        <v>3254</v>
      </c>
      <c r="B603" s="41" t="str">
        <f>IFERROR(INDEX(Mots!$B:$B,MATCH($A603,Mots!$A:$A,0)),"introuvable")</f>
        <v>l'entonnoir</v>
      </c>
      <c r="C603" s="40" t="s">
        <v>259</v>
      </c>
      <c r="D603" s="40" t="s">
        <v>213</v>
      </c>
    </row>
    <row r="604" spans="1:4" x14ac:dyDescent="0.4">
      <c r="A604" s="40" t="s">
        <v>3258</v>
      </c>
      <c r="B604" s="41" t="str">
        <f>IFERROR(INDEX(Mots!$B:$B,MATCH($A604,Mots!$A:$A,0)),"introuvable")</f>
        <v>la paire de slip</v>
      </c>
      <c r="C604" s="40" t="s">
        <v>303</v>
      </c>
    </row>
    <row r="605" spans="1:4" x14ac:dyDescent="0.4">
      <c r="A605" s="40" t="s">
        <v>3262</v>
      </c>
      <c r="B605" s="41" t="str">
        <f>IFERROR(INDEX(Mots!$B:$B,MATCH($A605,Mots!$A:$A,0)),"introuvable")</f>
        <v>les bas</v>
      </c>
      <c r="C605" s="40" t="s">
        <v>303</v>
      </c>
    </row>
    <row r="606" spans="1:4" x14ac:dyDescent="0.4">
      <c r="A606" s="40" t="s">
        <v>3267</v>
      </c>
      <c r="B606" s="41" t="str">
        <f>IFERROR(INDEX(Mots!$B:$B,MATCH($A606,Mots!$A:$A,0)),"introuvable")</f>
        <v>le pantalon</v>
      </c>
      <c r="C606" s="40" t="s">
        <v>303</v>
      </c>
    </row>
    <row r="607" spans="1:4" x14ac:dyDescent="0.4">
      <c r="A607" s="40" t="s">
        <v>3272</v>
      </c>
      <c r="B607" s="41" t="str">
        <f>IFERROR(INDEX(Mots!$B:$B,MATCH($A607,Mots!$A:$A,0)),"introuvable")</f>
        <v>le jeans (pantalon)</v>
      </c>
      <c r="C607" s="40" t="s">
        <v>303</v>
      </c>
    </row>
    <row r="608" spans="1:4" x14ac:dyDescent="0.4">
      <c r="A608" s="40" t="s">
        <v>3275</v>
      </c>
      <c r="B608" s="41" t="str">
        <f>IFERROR(INDEX(Mots!$B:$B,MATCH($A608,Mots!$A:$A,0)),"introuvable")</f>
        <v>les cuissettes</v>
      </c>
      <c r="C608" s="40" t="s">
        <v>303</v>
      </c>
    </row>
    <row r="609" spans="1:6" x14ac:dyDescent="0.4">
      <c r="A609" s="40" t="s">
        <v>3280</v>
      </c>
      <c r="B609" s="41" t="str">
        <f>IFERROR(INDEX(Mots!$B:$B,MATCH($A609,Mots!$A:$A,0)),"introuvable")</f>
        <v>la jupe</v>
      </c>
      <c r="C609" s="40" t="s">
        <v>303</v>
      </c>
    </row>
    <row r="610" spans="1:6" x14ac:dyDescent="0.4">
      <c r="A610" s="40" t="s">
        <v>3284</v>
      </c>
      <c r="B610" s="41" t="str">
        <f>IFERROR(INDEX(Mots!$B:$B,MATCH($A610,Mots!$A:$A,0)),"introuvable")</f>
        <v>le juste-au-corps</v>
      </c>
      <c r="C610" s="40" t="s">
        <v>298</v>
      </c>
    </row>
    <row r="611" spans="1:6" x14ac:dyDescent="0.4">
      <c r="A611" s="40" t="s">
        <v>3288</v>
      </c>
      <c r="B611" s="41" t="str">
        <f>IFERROR(INDEX(Mots!$B:$B,MATCH($A611,Mots!$A:$A,0)),"introuvable")</f>
        <v>le t-shirt</v>
      </c>
      <c r="C611" s="40" t="s">
        <v>298</v>
      </c>
    </row>
    <row r="612" spans="1:6" x14ac:dyDescent="0.4">
      <c r="A612" s="40" t="s">
        <v>3292</v>
      </c>
      <c r="B612" s="41" t="str">
        <f>IFERROR(INDEX(Mots!$B:$B,MATCH($A612,Mots!$A:$A,0)),"introuvable")</f>
        <v>la chemise</v>
      </c>
      <c r="C612" s="40" t="s">
        <v>298</v>
      </c>
    </row>
    <row r="613" spans="1:6" x14ac:dyDescent="0.4">
      <c r="A613" s="40" t="s">
        <v>3301</v>
      </c>
      <c r="B613" s="41" t="str">
        <f>IFERROR(INDEX(Mots!$B:$B,MATCH($A613,Mots!$A:$A,0)),"introuvable")</f>
        <v>le polo</v>
      </c>
      <c r="C613" s="40" t="s">
        <v>298</v>
      </c>
    </row>
    <row r="614" spans="1:6" x14ac:dyDescent="0.4">
      <c r="A614" s="40" t="s">
        <v>9460</v>
      </c>
      <c r="B614" s="41" t="str">
        <f>IFERROR(INDEX(Mots!$B:$B,MATCH($A614,Mots!$A:$A,0)),"introuvable")</f>
        <v>le pull ou pullover</v>
      </c>
      <c r="C614" s="40" t="s">
        <v>298</v>
      </c>
    </row>
    <row r="615" spans="1:6" x14ac:dyDescent="0.4">
      <c r="A615" s="40" t="s">
        <v>3309</v>
      </c>
      <c r="B615" s="41" t="str">
        <f>IFERROR(INDEX(Mots!$B:$B,MATCH($A615,Mots!$A:$A,0)),"introuvable")</f>
        <v>la veste</v>
      </c>
      <c r="C615" s="40" t="s">
        <v>298</v>
      </c>
      <c r="D615" s="39" t="s">
        <v>10122</v>
      </c>
    </row>
    <row r="616" spans="1:6" x14ac:dyDescent="0.4">
      <c r="A616" s="40" t="s">
        <v>3313</v>
      </c>
      <c r="B616" s="41" t="str">
        <f>IFERROR(INDEX(Mots!$B:$B,MATCH($A616,Mots!$A:$A,0)),"introuvable")</f>
        <v>le pain</v>
      </c>
      <c r="C616" s="40" t="s">
        <v>222</v>
      </c>
    </row>
    <row r="617" spans="1:6" x14ac:dyDescent="0.4">
      <c r="A617" s="40" t="s">
        <v>3317</v>
      </c>
      <c r="B617" s="41" t="str">
        <f>IFERROR(INDEX(Mots!$B:$B,MATCH($A617,Mots!$A:$A,0)),"introuvable")</f>
        <v>le gendarme</v>
      </c>
      <c r="C617" s="40" t="s">
        <v>222</v>
      </c>
    </row>
    <row r="618" spans="1:6" x14ac:dyDescent="0.4">
      <c r="A618" s="40" t="s">
        <v>3322</v>
      </c>
      <c r="B618" s="41" t="str">
        <f>IFERROR(INDEX(Mots!$B:$B,MATCH($A618,Mots!$A:$A,0)),"introuvable")</f>
        <v>la saucisse</v>
      </c>
      <c r="C618" s="40" t="s">
        <v>222</v>
      </c>
    </row>
    <row r="619" spans="1:6" x14ac:dyDescent="0.4">
      <c r="A619" s="40" t="s">
        <v>3326</v>
      </c>
      <c r="B619" s="41" t="str">
        <f>IFERROR(INDEX(Mots!$B:$B,MATCH($A619,Mots!$A:$A,0)),"introuvable")</f>
        <v>le café</v>
      </c>
      <c r="C619" s="40" t="s">
        <v>96</v>
      </c>
      <c r="D619" s="40" t="s">
        <v>96</v>
      </c>
    </row>
    <row r="620" spans="1:6" x14ac:dyDescent="0.4">
      <c r="A620" s="40" t="s">
        <v>3332</v>
      </c>
      <c r="B620" s="41" t="str">
        <f>IFERROR(INDEX(Mots!$B:$B,MATCH($A620,Mots!$A:$A,0)),"introuvable")</f>
        <v>le fromage</v>
      </c>
      <c r="C620" s="40" t="s">
        <v>222</v>
      </c>
      <c r="D620" s="40"/>
    </row>
    <row r="621" spans="1:6" x14ac:dyDescent="0.4">
      <c r="A621" s="40" t="s">
        <v>34</v>
      </c>
      <c r="B621" s="41" t="str">
        <f>IFERROR(INDEX(Mots!$B:$B,MATCH($A621,Mots!$A:$A,0)),"introuvable")</f>
        <v>la maison</v>
      </c>
      <c r="C621" s="40" t="s">
        <v>182</v>
      </c>
      <c r="F621" s="39" t="s">
        <v>366</v>
      </c>
    </row>
    <row r="622" spans="1:6" x14ac:dyDescent="0.4">
      <c r="A622" s="40" t="s">
        <v>3344</v>
      </c>
      <c r="B622" s="41" t="str">
        <f>IFERROR(INDEX(Mots!$B:$B,MATCH($A622,Mots!$A:$A,0)),"introuvable")</f>
        <v>le chalet</v>
      </c>
      <c r="C622" s="40" t="s">
        <v>182</v>
      </c>
      <c r="F622" s="39" t="s">
        <v>366</v>
      </c>
    </row>
    <row r="623" spans="1:6" x14ac:dyDescent="0.4">
      <c r="A623" s="40" t="s">
        <v>3347</v>
      </c>
      <c r="B623" s="41" t="str">
        <f>IFERROR(INDEX(Mots!$B:$B,MATCH($A623,Mots!$A:$A,0)),"introuvable")</f>
        <v>le garage</v>
      </c>
      <c r="C623" s="40" t="s">
        <v>182</v>
      </c>
    </row>
    <row r="624" spans="1:6" x14ac:dyDescent="0.4">
      <c r="A624" s="40" t="s">
        <v>3350</v>
      </c>
      <c r="B624" s="41" t="str">
        <f>IFERROR(INDEX(Mots!$B:$B,MATCH($A624,Mots!$A:$A,0)),"introuvable")</f>
        <v>la porte</v>
      </c>
      <c r="C624" s="40" t="s">
        <v>182</v>
      </c>
      <c r="D624" s="39" t="s">
        <v>196</v>
      </c>
      <c r="E624" s="39" t="s">
        <v>201</v>
      </c>
    </row>
    <row r="625" spans="1:5" x14ac:dyDescent="0.4">
      <c r="A625" s="40" t="s">
        <v>3354</v>
      </c>
      <c r="B625" s="41" t="str">
        <f>IFERROR(INDEX(Mots!$B:$B,MATCH($A625,Mots!$A:$A,0)),"introuvable")</f>
        <v>la fenêtre</v>
      </c>
      <c r="C625" s="40" t="s">
        <v>182</v>
      </c>
      <c r="D625" s="39" t="s">
        <v>196</v>
      </c>
      <c r="E625" s="39" t="s">
        <v>191</v>
      </c>
    </row>
    <row r="626" spans="1:5" x14ac:dyDescent="0.4">
      <c r="A626" s="40" t="s">
        <v>10088</v>
      </c>
      <c r="B626" s="41" t="str">
        <f>IFERROR(INDEX(Mots!$B:$B,MATCH($A626,Mots!$A:$A,0)),"introuvable")</f>
        <v>le store</v>
      </c>
      <c r="C626" s="40" t="s">
        <v>182</v>
      </c>
      <c r="D626" s="39" t="s">
        <v>196</v>
      </c>
      <c r="E626" s="39" t="s">
        <v>191</v>
      </c>
    </row>
    <row r="627" spans="1:5" x14ac:dyDescent="0.4">
      <c r="A627" s="40" t="s">
        <v>3360</v>
      </c>
      <c r="B627" s="41" t="str">
        <f>IFERROR(INDEX(Mots!$B:$B,MATCH($A627,Mots!$A:$A,0)),"introuvable")</f>
        <v>les volets</v>
      </c>
      <c r="C627" s="40" t="s">
        <v>182</v>
      </c>
    </row>
    <row r="628" spans="1:5" x14ac:dyDescent="0.4">
      <c r="A628" s="40" t="s">
        <v>3364</v>
      </c>
      <c r="B628" s="41" t="str">
        <f>IFERROR(INDEX(Mots!$B:$B,MATCH($A628,Mots!$A:$A,0)),"introuvable")</f>
        <v>l'escalier</v>
      </c>
      <c r="C628" s="40" t="s">
        <v>182</v>
      </c>
    </row>
    <row r="629" spans="1:5" x14ac:dyDescent="0.4">
      <c r="A629" s="40" t="s">
        <v>3368</v>
      </c>
      <c r="B629" s="41" t="str">
        <f>IFERROR(INDEX(Mots!$B:$B,MATCH($A629,Mots!$A:$A,0)),"introuvable")</f>
        <v>l'ampoule</v>
      </c>
      <c r="C629" s="40" t="s">
        <v>182</v>
      </c>
      <c r="D629" s="39" t="s">
        <v>10120</v>
      </c>
    </row>
    <row r="630" spans="1:5" x14ac:dyDescent="0.4">
      <c r="A630" s="40" t="s">
        <v>9553</v>
      </c>
      <c r="B630" s="41" t="str">
        <f>IFERROR(INDEX(Mots!$B:$B,MATCH($A630,Mots!$A:$A,0)),"introuvable")</f>
        <v>l'interrupteur</v>
      </c>
      <c r="C630" s="40" t="s">
        <v>182</v>
      </c>
      <c r="D630" s="39" t="s">
        <v>10120</v>
      </c>
    </row>
    <row r="631" spans="1:5" x14ac:dyDescent="0.4">
      <c r="A631" s="40" t="s">
        <v>3371</v>
      </c>
      <c r="B631" s="41" t="str">
        <f>IFERROR(INDEX(Mots!$B:$B,MATCH($A631,Mots!$A:$A,0)),"introuvable")</f>
        <v>les fusibles pour l'électricité</v>
      </c>
      <c r="C631" s="40" t="s">
        <v>182</v>
      </c>
      <c r="D631" s="39" t="s">
        <v>10120</v>
      </c>
    </row>
    <row r="632" spans="1:5" x14ac:dyDescent="0.4">
      <c r="A632" s="40" t="s">
        <v>3374</v>
      </c>
      <c r="B632" s="41" t="str">
        <f>IFERROR(INDEX(Mots!$B:$B,MATCH($A632,Mots!$A:$A,0)),"introuvable")</f>
        <v>le mur</v>
      </c>
      <c r="C632" s="40" t="s">
        <v>182</v>
      </c>
    </row>
    <row r="633" spans="1:5" x14ac:dyDescent="0.4">
      <c r="A633" s="40" t="s">
        <v>3378</v>
      </c>
      <c r="B633" s="41" t="str">
        <f>IFERROR(INDEX(Mots!$B:$B,MATCH($A633,Mots!$A:$A,0)),"introuvable")</f>
        <v>le toit</v>
      </c>
      <c r="C633" s="40" t="s">
        <v>182</v>
      </c>
    </row>
    <row r="634" spans="1:5" x14ac:dyDescent="0.4">
      <c r="A634" s="40" t="s">
        <v>3383</v>
      </c>
      <c r="B634" s="41" t="str">
        <f>IFERROR(INDEX(Mots!$B:$B,MATCH($A634,Mots!$A:$A,0)),"introuvable")</f>
        <v>le chéneau</v>
      </c>
      <c r="C634" s="40" t="s">
        <v>182</v>
      </c>
    </row>
    <row r="635" spans="1:5" x14ac:dyDescent="0.4">
      <c r="A635" s="40" t="s">
        <v>3386</v>
      </c>
      <c r="B635" s="41" t="str">
        <f>IFERROR(INDEX(Mots!$B:$B,MATCH($A635,Mots!$A:$A,0)),"introuvable")</f>
        <v>la barrière</v>
      </c>
      <c r="C635" s="40" t="s">
        <v>182</v>
      </c>
    </row>
    <row r="636" spans="1:5" x14ac:dyDescent="0.4">
      <c r="A636" s="40" t="s">
        <v>3394</v>
      </c>
      <c r="B636" s="41" t="str">
        <f>IFERROR(INDEX(Mots!$B:$B,MATCH($A636,Mots!$A:$A,0)),"introuvable")</f>
        <v>la prise</v>
      </c>
      <c r="C636" s="40" t="s">
        <v>182</v>
      </c>
      <c r="D636" s="39" t="s">
        <v>10120</v>
      </c>
    </row>
    <row r="637" spans="1:5" x14ac:dyDescent="0.4">
      <c r="A637" s="40" t="s">
        <v>3398</v>
      </c>
      <c r="B637" s="41" t="str">
        <f>IFERROR(INDEX(Mots!$B:$B,MATCH($A637,Mots!$A:$A,0)),"introuvable")</f>
        <v>la serrure</v>
      </c>
      <c r="C637" s="40" t="s">
        <v>182</v>
      </c>
      <c r="D637" s="39" t="s">
        <v>10120</v>
      </c>
    </row>
    <row r="638" spans="1:5" x14ac:dyDescent="0.4">
      <c r="A638" s="40" t="s">
        <v>3402</v>
      </c>
      <c r="B638" s="41" t="str">
        <f>IFERROR(INDEX(Mots!$B:$B,MATCH($A638,Mots!$A:$A,0)),"introuvable")</f>
        <v>le fourneau à bois</v>
      </c>
      <c r="C638" s="40" t="s">
        <v>191</v>
      </c>
      <c r="D638" s="39" t="s">
        <v>10120</v>
      </c>
    </row>
    <row r="639" spans="1:5" x14ac:dyDescent="0.4">
      <c r="A639" s="40" t="s">
        <v>3406</v>
      </c>
      <c r="B639" s="41" t="str">
        <f>IFERROR(INDEX(Mots!$B:$B,MATCH($A639,Mots!$A:$A,0)),"introuvable")</f>
        <v>le fourneau à pellets</v>
      </c>
      <c r="C639" s="40" t="s">
        <v>191</v>
      </c>
      <c r="D639" s="39" t="s">
        <v>10120</v>
      </c>
    </row>
    <row r="640" spans="1:5" x14ac:dyDescent="0.4">
      <c r="A640" s="40" t="s">
        <v>3615</v>
      </c>
      <c r="B640" s="41" t="str">
        <f>IFERROR(INDEX(Mots!$B:$B,MATCH($A640,Mots!$A:$A,0)),"introuvable")</f>
        <v>Christophe Germanier</v>
      </c>
      <c r="C640" s="40" t="s">
        <v>87</v>
      </c>
    </row>
    <row r="641" spans="1:4" x14ac:dyDescent="0.4">
      <c r="A641" s="40" t="s">
        <v>3626</v>
      </c>
      <c r="B641" s="41" t="str">
        <f>IFERROR(INDEX(Mots!$B:$B,MATCH($A641,Mots!$A:$A,0)),"introuvable")</f>
        <v>Claudine Fumeaux</v>
      </c>
      <c r="C641" s="40" t="s">
        <v>87</v>
      </c>
    </row>
    <row r="642" spans="1:4" x14ac:dyDescent="0.4">
      <c r="A642" s="40" t="s">
        <v>3754</v>
      </c>
      <c r="B642" s="41" t="str">
        <f>IFERROR(INDEX(Mots!$B:$B,MATCH($A642,Mots!$A:$A,0)),"introuvable")</f>
        <v>Damien Lagger</v>
      </c>
      <c r="C642" s="40" t="s">
        <v>87</v>
      </c>
    </row>
    <row r="643" spans="1:4" x14ac:dyDescent="0.4">
      <c r="A643" s="40" t="s">
        <v>4003</v>
      </c>
      <c r="B643" s="41" t="str">
        <f>IFERROR(INDEX(Mots!$B:$B,MATCH($A643,Mots!$A:$A,0)),"introuvable")</f>
        <v>Gauthier Moulin</v>
      </c>
      <c r="C643" s="40" t="s">
        <v>87</v>
      </c>
    </row>
    <row r="644" spans="1:4" x14ac:dyDescent="0.4">
      <c r="A644" s="40" t="s">
        <v>4343</v>
      </c>
      <c r="B644" s="41" t="str">
        <f>IFERROR(INDEX(Mots!$B:$B,MATCH($A644,Mots!$A:$A,0)),"introuvable")</f>
        <v>la cuve pour le vin</v>
      </c>
      <c r="C644" s="40" t="s">
        <v>87</v>
      </c>
    </row>
    <row r="645" spans="1:4" x14ac:dyDescent="0.4">
      <c r="A645" s="40" t="s">
        <v>4528</v>
      </c>
      <c r="B645" s="41" t="str">
        <f>IFERROR(INDEX(Mots!$B:$B,MATCH($A645,Mots!$A:$A,0)),"introuvable")</f>
        <v>la guèpe</v>
      </c>
      <c r="C645" s="40" t="s">
        <v>293</v>
      </c>
    </row>
    <row r="646" spans="1:4" x14ac:dyDescent="0.4">
      <c r="A646" s="40" t="s">
        <v>458</v>
      </c>
      <c r="B646" s="41" t="str">
        <f>IFERROR(INDEX(Mots!$B:$B,MATCH($A646,Mots!$A:$A,0)),"introuvable")</f>
        <v>la personne</v>
      </c>
      <c r="C646" s="40" t="s">
        <v>87</v>
      </c>
    </row>
    <row r="647" spans="1:4" x14ac:dyDescent="0.4">
      <c r="A647" s="40" t="s">
        <v>4878</v>
      </c>
      <c r="B647" s="41" t="str">
        <f>IFERROR(INDEX(Mots!$B:$B,MATCH($A647,Mots!$A:$A,0)),"introuvable")</f>
        <v>la poche</v>
      </c>
      <c r="C647" s="40" t="s">
        <v>303</v>
      </c>
    </row>
    <row r="648" spans="1:4" x14ac:dyDescent="0.4">
      <c r="A648" s="40" t="s">
        <v>5029</v>
      </c>
      <c r="B648" s="41" t="str">
        <f>IFERROR(INDEX(Mots!$B:$B,MATCH($A648,Mots!$A:$A,0)),"introuvable")</f>
        <v>la robe</v>
      </c>
      <c r="C648" s="40" t="s">
        <v>303</v>
      </c>
    </row>
    <row r="649" spans="1:4" x14ac:dyDescent="0.4">
      <c r="A649" s="40" t="s">
        <v>5076</v>
      </c>
      <c r="B649" s="41" t="str">
        <f>IFERROR(INDEX(Mots!$B:$B,MATCH($A649,Mots!$A:$A,0)),"introuvable")</f>
        <v>la serviette</v>
      </c>
      <c r="C649" s="40" t="s">
        <v>201</v>
      </c>
    </row>
    <row r="650" spans="1:4" x14ac:dyDescent="0.4">
      <c r="A650" s="40" t="s">
        <v>5272</v>
      </c>
      <c r="B650" s="41" t="str">
        <f>IFERROR(INDEX(Mots!$B:$B,MATCH($A650,Mots!$A:$A,0)),"introuvable")</f>
        <v>l'allumette</v>
      </c>
      <c r="C650" s="39" t="s">
        <v>10120</v>
      </c>
      <c r="D650" s="39" t="s">
        <v>191</v>
      </c>
    </row>
    <row r="651" spans="1:4" x14ac:dyDescent="0.4">
      <c r="A651" s="40" t="s">
        <v>5349</v>
      </c>
      <c r="B651" s="41" t="str">
        <f>IFERROR(INDEX(Mots!$B:$B,MATCH($A651,Mots!$A:$A,0)),"introuvable")</f>
        <v>le bagage</v>
      </c>
      <c r="C651" s="39" t="s">
        <v>10120</v>
      </c>
    </row>
    <row r="652" spans="1:4" x14ac:dyDescent="0.4">
      <c r="A652" s="40" t="s">
        <v>5467</v>
      </c>
      <c r="B652" s="41" t="str">
        <f>IFERROR(INDEX(Mots!$B:$B,MATCH($A652,Mots!$A:$A,0)),"introuvable")</f>
        <v>le bouton</v>
      </c>
      <c r="C652" s="40" t="s">
        <v>298</v>
      </c>
    </row>
    <row r="653" spans="1:4" x14ac:dyDescent="0.4">
      <c r="A653" s="40" t="s">
        <v>5604</v>
      </c>
      <c r="B653" s="41" t="str">
        <f>IFERROR(INDEX(Mots!$B:$B,MATCH($A653,Mots!$A:$A,0)),"introuvable")</f>
        <v>le chapeau</v>
      </c>
      <c r="C653" s="40" t="s">
        <v>10072</v>
      </c>
    </row>
    <row r="654" spans="1:4" x14ac:dyDescent="0.4">
      <c r="A654" s="40" t="s">
        <v>5872</v>
      </c>
      <c r="B654" s="41" t="str">
        <f>IFERROR(INDEX(Mots!$B:$B,MATCH($A654,Mots!$A:$A,0)),"introuvable")</f>
        <v>le jardin</v>
      </c>
      <c r="C654" s="40" t="s">
        <v>87</v>
      </c>
    </row>
    <row r="655" spans="1:4" x14ac:dyDescent="0.4">
      <c r="A655" s="40" t="s">
        <v>5937</v>
      </c>
      <c r="B655" s="41" t="str">
        <f>IFERROR(INDEX(Mots!$B:$B,MATCH($A655,Mots!$A:$A,0)),"introuvable")</f>
        <v>le manteau</v>
      </c>
      <c r="C655" s="40" t="s">
        <v>298</v>
      </c>
    </row>
    <row r="656" spans="1:4" x14ac:dyDescent="0.4">
      <c r="A656" s="40" t="s">
        <v>5980</v>
      </c>
      <c r="B656" s="41" t="str">
        <f>IFERROR(INDEX(Mots!$B:$B,MATCH($A656,Mots!$A:$A,0)),"introuvable")</f>
        <v>le miel</v>
      </c>
      <c r="C656" s="40" t="s">
        <v>222</v>
      </c>
    </row>
    <row r="657" spans="1:4" x14ac:dyDescent="0.4">
      <c r="A657" s="40" t="s">
        <v>6178</v>
      </c>
      <c r="B657" s="41" t="str">
        <f>IFERROR(INDEX(Mots!$B:$B,MATCH($A657,Mots!$A:$A,0)),"introuvable")</f>
        <v>le plat</v>
      </c>
      <c r="C657" s="40" t="s">
        <v>186</v>
      </c>
    </row>
    <row r="658" spans="1:4" x14ac:dyDescent="0.4">
      <c r="A658" s="40" t="s">
        <v>6258</v>
      </c>
      <c r="B658" s="41" t="str">
        <f>IFERROR(INDEX(Mots!$B:$B,MATCH($A658,Mots!$A:$A,0)),"introuvable")</f>
        <v>le repas</v>
      </c>
      <c r="C658" s="40" t="s">
        <v>87</v>
      </c>
    </row>
    <row r="659" spans="1:4" x14ac:dyDescent="0.4">
      <c r="A659" s="40" t="s">
        <v>6283</v>
      </c>
      <c r="B659" s="41" t="str">
        <f>IFERROR(INDEX(Mots!$B:$B,MATCH($A659,Mots!$A:$A,0)),"introuvable")</f>
        <v>le rideau</v>
      </c>
      <c r="C659" s="40" t="s">
        <v>196</v>
      </c>
      <c r="D659" s="40" t="s">
        <v>191</v>
      </c>
    </row>
    <row r="660" spans="1:4" x14ac:dyDescent="0.4">
      <c r="A660" s="40" t="s">
        <v>6485</v>
      </c>
      <c r="B660" s="41" t="str">
        <f>IFERROR(INDEX(Mots!$B:$B,MATCH($A660,Mots!$A:$A,0)),"introuvable")</f>
        <v>le tonneau</v>
      </c>
      <c r="C660" s="40" t="s">
        <v>87</v>
      </c>
    </row>
    <row r="661" spans="1:4" x14ac:dyDescent="0.4">
      <c r="A661" s="40" t="s">
        <v>6597</v>
      </c>
      <c r="B661" s="41" t="str">
        <f>IFERROR(INDEX(Mots!$B:$B,MATCH($A661,Mots!$A:$A,0)),"introuvable")</f>
        <v>le voisin</v>
      </c>
      <c r="C661" s="40" t="s">
        <v>87</v>
      </c>
    </row>
    <row r="662" spans="1:4" x14ac:dyDescent="0.4">
      <c r="A662" s="40" t="s">
        <v>6718</v>
      </c>
      <c r="B662" s="41" t="str">
        <f>IFERROR(INDEX(Mots!$B:$B,MATCH($A662,Mots!$A:$A,0)),"introuvable")</f>
        <v>les ciseaux</v>
      </c>
      <c r="C662" s="40" t="s">
        <v>3223</v>
      </c>
      <c r="D662" s="40" t="s">
        <v>186</v>
      </c>
    </row>
    <row r="663" spans="1:4" x14ac:dyDescent="0.4">
      <c r="A663" s="40" t="s">
        <v>6721</v>
      </c>
      <c r="B663" s="41" t="str">
        <f>IFERROR(INDEX(Mots!$B:$B,MATCH($A663,Mots!$A:$A,0)),"introuvable")</f>
        <v>les gens</v>
      </c>
      <c r="C663" s="40" t="s">
        <v>87</v>
      </c>
    </row>
    <row r="664" spans="1:4" x14ac:dyDescent="0.4">
      <c r="A664" s="40" t="s">
        <v>6733</v>
      </c>
      <c r="B664" s="41" t="str">
        <f>IFERROR(INDEX(Mots!$B:$B,MATCH($A664,Mots!$A:$A,0)),"introuvable")</f>
        <v>les lunettes</v>
      </c>
      <c r="C664" s="40" t="s">
        <v>385</v>
      </c>
    </row>
    <row r="665" spans="1:4" x14ac:dyDescent="0.4">
      <c r="A665" s="40" t="s">
        <v>6890</v>
      </c>
      <c r="B665" s="41" t="str">
        <f>IFERROR(INDEX(Mots!$B:$B,MATCH($A665,Mots!$A:$A,0)),"introuvable")</f>
        <v>l'outil</v>
      </c>
      <c r="C665" s="40" t="s">
        <v>10120</v>
      </c>
    </row>
    <row r="666" spans="1:4" x14ac:dyDescent="0.4">
      <c r="A666" s="40" t="s">
        <v>7042</v>
      </c>
      <c r="B666" s="41" t="str">
        <f>IFERROR(INDEX(Mots!$B:$B,MATCH($A666,Mots!$A:$A,0)),"introuvable")</f>
        <v>Philippe Germanier</v>
      </c>
      <c r="C666" s="40" t="s">
        <v>87</v>
      </c>
    </row>
    <row r="667" spans="1:4" x14ac:dyDescent="0.4">
      <c r="A667" s="40" t="s">
        <v>7185</v>
      </c>
      <c r="B667" s="41" t="str">
        <f>IFERROR(INDEX(Mots!$B:$B,MATCH($A667,Mots!$A:$A,0)),"introuvable")</f>
        <v>Régis Evéquoz</v>
      </c>
      <c r="C667" s="40" t="s">
        <v>87</v>
      </c>
    </row>
    <row r="668" spans="1:4" x14ac:dyDescent="0.4">
      <c r="A668" s="40" t="s">
        <v>7330</v>
      </c>
      <c r="B668" s="41" t="str">
        <f>IFERROR(INDEX(Mots!$B:$B,MATCH($A668,Mots!$A:$A,0)),"introuvable")</f>
        <v>Stéphanie Germanier</v>
      </c>
      <c r="C668" s="40" t="s">
        <v>87</v>
      </c>
    </row>
    <row r="669" spans="1:4" x14ac:dyDescent="0.4">
      <c r="A669" s="40" t="s">
        <v>7456</v>
      </c>
      <c r="B669" s="41" t="str">
        <f>IFERROR(INDEX(Mots!$B:$B,MATCH($A669,Mots!$A:$A,0)),"introuvable")</f>
        <v>le yogurt</v>
      </c>
      <c r="C669" s="40" t="s">
        <v>222</v>
      </c>
    </row>
    <row r="670" spans="1:4" x14ac:dyDescent="0.4">
      <c r="A670" s="40" t="s">
        <v>7460</v>
      </c>
      <c r="B670" s="41" t="str">
        <f>IFERROR(INDEX(Mots!$B:$B,MATCH($A670,Mots!$A:$A,0)),"introuvable")</f>
        <v>le vinaigre</v>
      </c>
      <c r="C670" s="40" t="s">
        <v>222</v>
      </c>
    </row>
    <row r="671" spans="1:4" x14ac:dyDescent="0.4">
      <c r="A671" s="40" t="s">
        <v>117</v>
      </c>
      <c r="B671" s="41" t="str">
        <f>IFERROR(INDEX(Mots!$B:$B,MATCH($A671,Mots!$A:$A,0)),"introuvable")</f>
        <v>les accompagnements</v>
      </c>
      <c r="C671" s="40" t="s">
        <v>117</v>
      </c>
    </row>
    <row r="672" spans="1:4" x14ac:dyDescent="0.4">
      <c r="A672" s="40" t="s">
        <v>7468</v>
      </c>
      <c r="B672" s="41" t="str">
        <f>IFERROR(INDEX(Mots!$B:$B,MATCH($A672,Mots!$A:$A,0)),"introuvable")</f>
        <v>le tiramisu</v>
      </c>
      <c r="C672" s="40" t="s">
        <v>5778</v>
      </c>
    </row>
    <row r="673" spans="1:6" x14ac:dyDescent="0.4">
      <c r="A673" s="40" t="s">
        <v>7472</v>
      </c>
      <c r="B673" s="41" t="str">
        <f>IFERROR(INDEX(Mots!$B:$B,MATCH($A673,Mots!$A:$A,0)),"introuvable")</f>
        <v>une coupe aux fraises</v>
      </c>
      <c r="C673" s="40" t="s">
        <v>5778</v>
      </c>
    </row>
    <row r="674" spans="1:6" x14ac:dyDescent="0.4">
      <c r="A674" s="40" t="s">
        <v>7476</v>
      </c>
      <c r="B674" s="41" t="str">
        <f>IFERROR(INDEX(Mots!$B:$B,MATCH($A674,Mots!$A:$A,0)),"introuvable")</f>
        <v>le big mac chez Mc Donald</v>
      </c>
      <c r="C674" s="40" t="s">
        <v>235</v>
      </c>
    </row>
    <row r="675" spans="1:6" x14ac:dyDescent="0.4">
      <c r="A675" s="40" t="s">
        <v>7480</v>
      </c>
      <c r="B675" s="41" t="str">
        <f>IFERROR(INDEX(Mots!$B:$B,MATCH($A675,Mots!$A:$A,0)),"introuvable")</f>
        <v>le carrelage</v>
      </c>
      <c r="C675" s="40" t="s">
        <v>201</v>
      </c>
      <c r="D675" s="40" t="s">
        <v>182</v>
      </c>
    </row>
    <row r="676" spans="1:6" x14ac:dyDescent="0.4">
      <c r="A676" s="40" t="s">
        <v>7484</v>
      </c>
      <c r="B676" s="41" t="str">
        <f>IFERROR(INDEX(Mots!$B:$B,MATCH($A676,Mots!$A:$A,0)),"introuvable")</f>
        <v>la poignée de la porte</v>
      </c>
      <c r="C676" s="40" t="s">
        <v>10120</v>
      </c>
    </row>
    <row r="677" spans="1:6" x14ac:dyDescent="0.4">
      <c r="A677" s="40" t="s">
        <v>7492</v>
      </c>
      <c r="B677" s="41" t="str">
        <f>IFERROR(INDEX(Mots!$B:$B,MATCH($A677,Mots!$A:$A,0)),"introuvable")</f>
        <v>la note</v>
      </c>
      <c r="C677" s="40" t="s">
        <v>152</v>
      </c>
    </row>
    <row r="678" spans="1:6" x14ac:dyDescent="0.4">
      <c r="A678" s="40" t="s">
        <v>7496</v>
      </c>
      <c r="B678" s="41" t="str">
        <f>IFERROR(INDEX(Mots!$B:$B,MATCH($A678,Mots!$A:$A,0)),"introuvable")</f>
        <v>la gamme</v>
      </c>
      <c r="C678" s="40" t="s">
        <v>152</v>
      </c>
    </row>
    <row r="679" spans="1:6" x14ac:dyDescent="0.4">
      <c r="A679" s="40" t="s">
        <v>7500</v>
      </c>
      <c r="B679" s="41" t="str">
        <f>IFERROR(INDEX(Mots!$B:$B,MATCH($A679,Mots!$A:$A,0)),"introuvable")</f>
        <v>le métronome</v>
      </c>
      <c r="C679" s="40" t="s">
        <v>147</v>
      </c>
    </row>
    <row r="680" spans="1:6" x14ac:dyDescent="0.4">
      <c r="A680" s="40" t="s">
        <v>7504</v>
      </c>
      <c r="B680" s="41" t="str">
        <f>IFERROR(INDEX(Mots!$B:$B,MATCH($A680,Mots!$A:$A,0)),"introuvable")</f>
        <v>le levier de vitesse</v>
      </c>
      <c r="C680" s="40" t="s">
        <v>251</v>
      </c>
    </row>
    <row r="681" spans="1:6" x14ac:dyDescent="0.4">
      <c r="A681" s="40" t="s">
        <v>7508</v>
      </c>
      <c r="B681" s="41" t="str">
        <f>IFERROR(INDEX(Mots!$B:$B,MATCH($A681,Mots!$A:$A,0)),"introuvable")</f>
        <v>récurrer</v>
      </c>
      <c r="C681" s="40" t="s">
        <v>218</v>
      </c>
    </row>
    <row r="682" spans="1:6" x14ac:dyDescent="0.4">
      <c r="A682" s="40" t="s">
        <v>7516</v>
      </c>
      <c r="B682" s="41" t="str">
        <f>IFERROR(INDEX(Mots!$B:$B,MATCH($A682,Mots!$A:$A,0)),"introuvable")</f>
        <v>le léopard</v>
      </c>
      <c r="C682" s="40" t="s">
        <v>283</v>
      </c>
    </row>
    <row r="683" spans="1:6" x14ac:dyDescent="0.4">
      <c r="A683" s="40" t="s">
        <v>7522</v>
      </c>
      <c r="B683" s="41" t="str">
        <f>IFERROR(INDEX(Mots!$B:$B,MATCH($A683,Mots!$A:$A,0)),"introuvable")</f>
        <v>le moustique</v>
      </c>
      <c r="C683" s="40" t="s">
        <v>293</v>
      </c>
    </row>
    <row r="684" spans="1:6" x14ac:dyDescent="0.4">
      <c r="A684" s="40" t="s">
        <v>7537</v>
      </c>
      <c r="B684" s="41" t="str">
        <f>IFERROR(INDEX(Mots!$B:$B,MATCH($A684,Mots!$A:$A,0)),"introuvable")</f>
        <v>jambon</v>
      </c>
      <c r="C684" s="40" t="s">
        <v>222</v>
      </c>
    </row>
    <row r="685" spans="1:6" x14ac:dyDescent="0.4">
      <c r="A685" s="40" t="s">
        <v>1656</v>
      </c>
      <c r="B685" s="41" t="str">
        <f>IFERROR(INDEX(Mots!$B:$B,MATCH($A685,Mots!$A:$A,0)),"introuvable")</f>
        <v>la terre</v>
      </c>
      <c r="C685" s="40" t="s">
        <v>345</v>
      </c>
    </row>
    <row r="686" spans="1:6" x14ac:dyDescent="0.4">
      <c r="A686" s="39" t="s">
        <v>10074</v>
      </c>
      <c r="B686" s="41" t="str">
        <f>IFERROR(INDEX(Mots!$B:$B,MATCH($A686,Mots!$A:$A,0)),"introuvable")</f>
        <v>L'imprimante</v>
      </c>
      <c r="C686" s="40" t="s">
        <v>3223</v>
      </c>
      <c r="D686" s="40" t="s">
        <v>352</v>
      </c>
    </row>
    <row r="687" spans="1:6" x14ac:dyDescent="0.4">
      <c r="A687" s="39" t="s">
        <v>6904</v>
      </c>
      <c r="B687" s="41" t="str">
        <f>IFERROR(INDEX(Mots!$B:$B,MATCH($A687,Mots!$A:$A,0)),"introuvable")</f>
        <v>l'usine</v>
      </c>
      <c r="F687" s="39" t="s">
        <v>366</v>
      </c>
    </row>
    <row r="688" spans="1:6" x14ac:dyDescent="0.4">
      <c r="A688" s="39" t="s">
        <v>9729</v>
      </c>
      <c r="B688" s="41" t="str">
        <f>IFERROR(INDEX(Mots!$B:$B,MATCH($A688,Mots!$A:$A,0)),"introuvable")</f>
        <v>Le lacet</v>
      </c>
      <c r="C688" s="39" t="s">
        <v>309</v>
      </c>
    </row>
    <row r="689" spans="1:5" x14ac:dyDescent="0.4">
      <c r="A689" s="39" t="s">
        <v>10108</v>
      </c>
      <c r="B689" s="41" t="str">
        <f>IFERROR(INDEX(Mots!$B:$B,MATCH($A689,Mots!$A:$A,0)),"introuvable")</f>
        <v>La semelle</v>
      </c>
      <c r="C689" s="39" t="s">
        <v>309</v>
      </c>
    </row>
    <row r="690" spans="1:5" x14ac:dyDescent="0.4">
      <c r="A690" s="39" t="s">
        <v>324</v>
      </c>
      <c r="B690" s="41" t="str">
        <f>IFERROR(INDEX(Mots!$B:$B,MATCH($A690,Mots!$A:$A,0)),"introuvable")</f>
        <v>le visage</v>
      </c>
      <c r="C690" s="39" t="s">
        <v>1029</v>
      </c>
    </row>
    <row r="691" spans="1:5" x14ac:dyDescent="0.4">
      <c r="A691" s="39" t="s">
        <v>9723</v>
      </c>
      <c r="B691" s="41" t="str">
        <f>IFERROR(INDEX(Mots!$B:$B,MATCH($A691,Mots!$A:$A,0)),"introuvable")</f>
        <v>l'orteil</v>
      </c>
      <c r="C691" s="39" t="s">
        <v>329</v>
      </c>
    </row>
    <row r="692" spans="1:5" x14ac:dyDescent="0.4">
      <c r="A692" s="39" t="s">
        <v>6473</v>
      </c>
      <c r="B692" s="41" t="str">
        <f>IFERROR(INDEX(Mots!$B:$B,MATCH($A692,Mots!$A:$A,0)),"introuvable")</f>
        <v>le tiroir</v>
      </c>
      <c r="C692" s="39" t="s">
        <v>186</v>
      </c>
      <c r="D692" s="39" t="s">
        <v>10120</v>
      </c>
    </row>
    <row r="693" spans="1:5" x14ac:dyDescent="0.4">
      <c r="A693" s="39" t="s">
        <v>9704</v>
      </c>
      <c r="B693" s="41" t="str">
        <f>IFERROR(INDEX(Mots!$B:$B,MATCH($A693,Mots!$A:$A,0)),"introuvable")</f>
        <v>Le produit à vaisselle</v>
      </c>
      <c r="C693" s="39" t="s">
        <v>186</v>
      </c>
      <c r="D693" s="39" t="s">
        <v>10120</v>
      </c>
    </row>
    <row r="694" spans="1:5" x14ac:dyDescent="0.4">
      <c r="A694" s="39" t="s">
        <v>9643</v>
      </c>
      <c r="B694" s="41" t="str">
        <f>IFERROR(INDEX(Mots!$B:$B,MATCH($A694,Mots!$A:$A,0)),"introuvable")</f>
        <v>le mouchoir</v>
      </c>
      <c r="C694" s="39" t="s">
        <v>201</v>
      </c>
      <c r="D694" s="39" t="s">
        <v>196</v>
      </c>
      <c r="E694" s="39" t="s">
        <v>10122</v>
      </c>
    </row>
    <row r="695" spans="1:5" x14ac:dyDescent="0.4">
      <c r="A695" s="39" t="s">
        <v>9631</v>
      </c>
      <c r="B695" s="41" t="str">
        <f>IFERROR(INDEX(Mots!$B:$B,MATCH($A695,Mots!$A:$A,0)),"introuvable")</f>
        <v>la gourde</v>
      </c>
      <c r="C695" s="39" t="s">
        <v>186</v>
      </c>
      <c r="D695" s="39" t="s">
        <v>10122</v>
      </c>
    </row>
    <row r="696" spans="1:5" x14ac:dyDescent="0.4">
      <c r="A696" s="39" t="s">
        <v>9630</v>
      </c>
      <c r="B696" s="41" t="str">
        <f>IFERROR(INDEX(Mots!$B:$B,MATCH($A696,Mots!$A:$A,0)),"introuvable")</f>
        <v>les bâtons</v>
      </c>
      <c r="C696" s="39" t="s">
        <v>10120</v>
      </c>
      <c r="D696" s="39" t="s">
        <v>10122</v>
      </c>
    </row>
    <row r="697" spans="1:5" x14ac:dyDescent="0.4">
      <c r="A697" s="39" t="s">
        <v>6320</v>
      </c>
      <c r="B697" s="41" t="str">
        <f>IFERROR(INDEX(Mots!$B:$B,MATCH($A697,Mots!$A:$A,0)),"introuvable")</f>
        <v>le sac à dos</v>
      </c>
      <c r="C697" s="39" t="s">
        <v>10120</v>
      </c>
      <c r="D697" s="39" t="s">
        <v>10122</v>
      </c>
    </row>
    <row r="698" spans="1:5" x14ac:dyDescent="0.4">
      <c r="A698" s="39" t="s">
        <v>7650</v>
      </c>
      <c r="B698" s="41" t="str">
        <f>IFERROR(INDEX(Mots!$B:$B,MATCH($A698,Mots!$A:$A,0)),"introuvable")</f>
        <v>le produit ou gel de douche</v>
      </c>
      <c r="C698" s="39" t="s">
        <v>201</v>
      </c>
    </row>
    <row r="699" spans="1:5" x14ac:dyDescent="0.4">
      <c r="A699" s="39" t="s">
        <v>7551</v>
      </c>
      <c r="B699" s="41" t="str">
        <f>IFERROR(INDEX(Mots!$B:$B,MATCH($A699,Mots!$A:$A,0)),"introuvable")</f>
        <v>l'oncle Bernard</v>
      </c>
      <c r="C699" s="40" t="s">
        <v>164</v>
      </c>
    </row>
    <row r="700" spans="1:5" x14ac:dyDescent="0.4">
      <c r="A700" s="39" t="s">
        <v>7555</v>
      </c>
      <c r="B700" s="41" t="str">
        <f>IFERROR(INDEX(Mots!$B:$B,MATCH($A700,Mots!$A:$A,0)),"introuvable")</f>
        <v>l'oncle Marcel</v>
      </c>
      <c r="C700" s="40" t="s">
        <v>164</v>
      </c>
    </row>
    <row r="701" spans="1:5" x14ac:dyDescent="0.4">
      <c r="A701" s="39" t="s">
        <v>7559</v>
      </c>
      <c r="B701" s="41" t="str">
        <f>IFERROR(INDEX(Mots!$B:$B,MATCH($A701,Mots!$A:$A,0)),"introuvable")</f>
        <v>tante Lucienne</v>
      </c>
      <c r="C701" s="40" t="s">
        <v>164</v>
      </c>
    </row>
    <row r="702" spans="1:5" x14ac:dyDescent="0.4">
      <c r="A702" s="39" t="s">
        <v>7563</v>
      </c>
      <c r="B702" s="41" t="str">
        <f>IFERROR(INDEX(Mots!$B:$B,MATCH($A702,Mots!$A:$A,0)),"introuvable")</f>
        <v>tante Edith</v>
      </c>
      <c r="C702" s="40" t="s">
        <v>164</v>
      </c>
    </row>
    <row r="703" spans="1:5" x14ac:dyDescent="0.4">
      <c r="A703" s="39" t="s">
        <v>4017</v>
      </c>
      <c r="B703" s="41" t="str">
        <f>IFERROR(INDEX(Mots!$B:$B,MATCH($A703,Mots!$A:$A,0)),"introuvable")</f>
        <v>grand-maman Léontine</v>
      </c>
      <c r="C703" s="40" t="s">
        <v>164</v>
      </c>
    </row>
    <row r="704" spans="1:5" x14ac:dyDescent="0.4">
      <c r="A704" s="39" t="s">
        <v>7542</v>
      </c>
      <c r="B704" s="41" t="str">
        <f>IFERROR(INDEX(Mots!$B:$B,MATCH($A704,Mots!$A:$A,0)),"introuvable")</f>
        <v>grand-maman Emma</v>
      </c>
      <c r="C704" s="40" t="s">
        <v>164</v>
      </c>
    </row>
    <row r="705" spans="1:6" x14ac:dyDescent="0.4">
      <c r="A705" s="39" t="s">
        <v>7547</v>
      </c>
      <c r="B705" s="41" t="str">
        <f>IFERROR(INDEX(Mots!$B:$B,MATCH($A705,Mots!$A:$A,0)),"introuvable")</f>
        <v>grand-papa Maurice</v>
      </c>
      <c r="C705" s="40" t="s">
        <v>164</v>
      </c>
    </row>
    <row r="706" spans="1:6" x14ac:dyDescent="0.4">
      <c r="A706" s="39" t="s">
        <v>9605</v>
      </c>
      <c r="B706" s="41" t="str">
        <f>IFERROR(INDEX(Mots!$B:$B,MATCH($A706,Mots!$A:$A,0)),"introuvable")</f>
        <v>le noyer</v>
      </c>
      <c r="C706" s="40" t="s">
        <v>348</v>
      </c>
    </row>
    <row r="707" spans="1:6" x14ac:dyDescent="0.4">
      <c r="A707" s="39" t="s">
        <v>9586</v>
      </c>
      <c r="B707" s="41" t="str">
        <f>IFERROR(INDEX(Mots!$B:$B,MATCH($A707,Mots!$A:$A,0)),"introuvable")</f>
        <v>la barbe</v>
      </c>
      <c r="C707" s="39" t="s">
        <v>1029</v>
      </c>
    </row>
    <row r="708" spans="1:6" x14ac:dyDescent="0.4">
      <c r="A708" s="39" t="s">
        <v>9518</v>
      </c>
      <c r="B708" s="41" t="str">
        <f>IFERROR(INDEX(Mots!$B:$B,MATCH($A708,Mots!$A:$A,0)),"introuvable")</f>
        <v>le tronc</v>
      </c>
      <c r="C708" s="40" t="s">
        <v>348</v>
      </c>
    </row>
    <row r="709" spans="1:6" x14ac:dyDescent="0.4">
      <c r="A709" s="39" t="s">
        <v>6497</v>
      </c>
      <c r="B709" s="41" t="str">
        <f>IFERROR(INDEX(Mots!$B:$B,MATCH($A709,Mots!$A:$A,0)),"introuvable")</f>
        <v>le tournevis</v>
      </c>
      <c r="C709" s="39" t="s">
        <v>10120</v>
      </c>
    </row>
    <row r="710" spans="1:6" x14ac:dyDescent="0.4">
      <c r="A710" s="39" t="s">
        <v>6328</v>
      </c>
      <c r="B710" s="41" t="str">
        <f>IFERROR(INDEX(Mots!$B:$B,MATCH($A710,Mots!$A:$A,0)),"introuvable")</f>
        <v>le seau</v>
      </c>
      <c r="C710" s="39" t="s">
        <v>10120</v>
      </c>
    </row>
    <row r="711" spans="1:6" x14ac:dyDescent="0.4">
      <c r="A711" s="39" t="s">
        <v>5957</v>
      </c>
      <c r="B711" s="41" t="str">
        <f>IFERROR(INDEX(Mots!$B:$B,MATCH($A711,Mots!$A:$A,0)),"introuvable")</f>
        <v>le médicament</v>
      </c>
      <c r="C711" s="39" t="s">
        <v>201</v>
      </c>
      <c r="D711" s="39" t="s">
        <v>186</v>
      </c>
    </row>
    <row r="712" spans="1:6" x14ac:dyDescent="0.4">
      <c r="A712" s="39" t="s">
        <v>5941</v>
      </c>
      <c r="B712" s="41" t="str">
        <f>IFERROR(INDEX(Mots!$B:$B,MATCH($A712,Mots!$A:$A,0)),"introuvable")</f>
        <v>le marteau</v>
      </c>
      <c r="C712" s="39" t="s">
        <v>10120</v>
      </c>
    </row>
    <row r="713" spans="1:6" x14ac:dyDescent="0.4">
      <c r="A713" s="39" t="s">
        <v>6457</v>
      </c>
      <c r="B713" s="41" t="str">
        <f>IFERROR(INDEX(Mots!$B:$B,MATCH($A713,Mots!$A:$A,0)),"introuvable")</f>
        <v>le thermomètre</v>
      </c>
      <c r="C713" s="39" t="s">
        <v>201</v>
      </c>
    </row>
    <row r="714" spans="1:6" x14ac:dyDescent="0.4">
      <c r="A714" s="39" t="s">
        <v>6525</v>
      </c>
      <c r="B714" s="41" t="str">
        <f>IFERROR(INDEX(Mots!$B:$B,MATCH($A714,Mots!$A:$A,0)),"introuvable")</f>
        <v>le trousseau</v>
      </c>
      <c r="F714" s="39" t="s">
        <v>12</v>
      </c>
    </row>
    <row r="715" spans="1:6" x14ac:dyDescent="0.4">
      <c r="A715" s="39" t="s">
        <v>646</v>
      </c>
      <c r="B715" s="41" t="str">
        <f>IFERROR(INDEX(Mots!$B:$B,MATCH($A715,Mots!$A:$A,0)),"introuvable")</f>
        <v>le loisir</v>
      </c>
    </row>
    <row r="716" spans="1:6" x14ac:dyDescent="0.4">
      <c r="A716" s="39" t="s">
        <v>653</v>
      </c>
      <c r="B716" s="41" t="str">
        <f>IFERROR(INDEX(Mots!$B:$B,MATCH($A716,Mots!$A:$A,0)),"introuvable")</f>
        <v>le loto</v>
      </c>
    </row>
    <row r="717" spans="1:6" x14ac:dyDescent="0.4">
      <c r="A717" s="39" t="s">
        <v>661</v>
      </c>
      <c r="B717" s="41" t="str">
        <f>IFERROR(INDEX(Mots!$B:$B,MATCH($A717,Mots!$A:$A,0)),"introuvable")</f>
        <v>le membre</v>
      </c>
    </row>
    <row r="718" spans="1:6" x14ac:dyDescent="0.4">
      <c r="A718" s="39" t="s">
        <v>678</v>
      </c>
      <c r="B718" s="41" t="str">
        <f>IFERROR(INDEX(Mots!$B:$B,MATCH($A718,Mots!$A:$A,0)),"introuvable")</f>
        <v>le spectacle</v>
      </c>
    </row>
    <row r="719" spans="1:6" x14ac:dyDescent="0.4">
      <c r="A719" s="39" t="s">
        <v>690</v>
      </c>
      <c r="B719" s="41" t="str">
        <f>IFERROR(INDEX(Mots!$B:$B,MATCH($A719,Mots!$A:$A,0)),"introuvable")</f>
        <v>les paroles</v>
      </c>
    </row>
    <row r="720" spans="1:6" x14ac:dyDescent="0.4">
      <c r="A720" s="39" t="s">
        <v>695</v>
      </c>
      <c r="B720" s="41" t="str">
        <f>IFERROR(INDEX(Mots!$B:$B,MATCH($A720,Mots!$A:$A,0)),"introuvable")</f>
        <v>l'harmonie</v>
      </c>
    </row>
    <row r="721" spans="1:2" x14ac:dyDescent="0.4">
      <c r="A721" s="39" t="s">
        <v>1426</v>
      </c>
      <c r="B721" s="41" t="str">
        <f>IFERROR(INDEX(Mots!$B:$B,MATCH($A721,Mots!$A:$A,0)),"introuvable")</f>
        <v>l'intérêt</v>
      </c>
    </row>
    <row r="722" spans="1:2" x14ac:dyDescent="0.4">
      <c r="A722" s="39" t="s">
        <v>3410</v>
      </c>
      <c r="B722" s="41" t="str">
        <f>IFERROR(INDEX(Mots!$B:$B,MATCH($A722,Mots!$A:$A,0)),"introuvable")</f>
        <v>accepter</v>
      </c>
    </row>
    <row r="723" spans="1:2" x14ac:dyDescent="0.4">
      <c r="A723" s="39" t="s">
        <v>3419</v>
      </c>
      <c r="B723" s="41" t="str">
        <f>IFERROR(INDEX(Mots!$B:$B,MATCH($A723,Mots!$A:$A,0)),"introuvable")</f>
        <v>acheter</v>
      </c>
    </row>
    <row r="724" spans="1:2" x14ac:dyDescent="0.4">
      <c r="A724" s="39" t="s">
        <v>3427</v>
      </c>
      <c r="B724" s="41" t="str">
        <f>IFERROR(INDEX(Mots!$B:$B,MATCH($A724,Mots!$A:$A,0)),"introuvable")</f>
        <v>adulte</v>
      </c>
    </row>
    <row r="725" spans="1:2" x14ac:dyDescent="0.4">
      <c r="A725" s="39" t="s">
        <v>3439</v>
      </c>
      <c r="B725" s="41" t="str">
        <f>IFERROR(INDEX(Mots!$B:$B,MATCH($A725,Mots!$A:$A,0)),"introuvable")</f>
        <v>aider</v>
      </c>
    </row>
    <row r="726" spans="1:2" x14ac:dyDescent="0.4">
      <c r="A726" s="39" t="s">
        <v>3447</v>
      </c>
      <c r="B726" s="41" t="str">
        <f>IFERROR(INDEX(Mots!$B:$B,MATCH($A726,Mots!$A:$A,0)),"introuvable")</f>
        <v>ailleurs</v>
      </c>
    </row>
    <row r="727" spans="1:2" x14ac:dyDescent="0.4">
      <c r="A727" s="39" t="s">
        <v>3452</v>
      </c>
      <c r="B727" s="41" t="str">
        <f>IFERROR(INDEX(Mots!$B:$B,MATCH($A727,Mots!$A:$A,0)),"introuvable")</f>
        <v>aimable</v>
      </c>
    </row>
    <row r="728" spans="1:2" x14ac:dyDescent="0.4">
      <c r="A728" s="39" t="s">
        <v>3455</v>
      </c>
      <c r="B728" s="41" t="str">
        <f>IFERROR(INDEX(Mots!$B:$B,MATCH($A728,Mots!$A:$A,0)),"introuvable")</f>
        <v>aimer</v>
      </c>
    </row>
    <row r="729" spans="1:2" x14ac:dyDescent="0.4">
      <c r="A729" s="39" t="s">
        <v>3463</v>
      </c>
      <c r="B729" s="41" t="str">
        <f>IFERROR(INDEX(Mots!$B:$B,MATCH($A729,Mots!$A:$A,0)),"introuvable")</f>
        <v>aller</v>
      </c>
    </row>
    <row r="730" spans="1:2" x14ac:dyDescent="0.4">
      <c r="A730" s="39" t="s">
        <v>3471</v>
      </c>
      <c r="B730" s="41" t="str">
        <f>IFERROR(INDEX(Mots!$B:$B,MATCH($A730,Mots!$A:$A,0)),"introuvable")</f>
        <v>annoncer</v>
      </c>
    </row>
    <row r="731" spans="1:2" x14ac:dyDescent="0.4">
      <c r="A731" s="39" t="s">
        <v>3478</v>
      </c>
      <c r="B731" s="41" t="str">
        <f>IFERROR(INDEX(Mots!$B:$B,MATCH($A731,Mots!$A:$A,0)),"introuvable")</f>
        <v>appeler</v>
      </c>
    </row>
    <row r="732" spans="1:2" x14ac:dyDescent="0.4">
      <c r="A732" s="39" t="s">
        <v>3486</v>
      </c>
      <c r="B732" s="41" t="str">
        <f>IFERROR(INDEX(Mots!$B:$B,MATCH($A732,Mots!$A:$A,0)),"introuvable")</f>
        <v>apprendre</v>
      </c>
    </row>
    <row r="733" spans="1:2" x14ac:dyDescent="0.4">
      <c r="A733" s="39" t="s">
        <v>3490</v>
      </c>
      <c r="B733" s="41" t="str">
        <f>IFERROR(INDEX(Mots!$B:$B,MATCH($A733,Mots!$A:$A,0)),"introuvable")</f>
        <v>armé</v>
      </c>
    </row>
    <row r="734" spans="1:2" x14ac:dyDescent="0.4">
      <c r="A734" s="39" t="s">
        <v>3498</v>
      </c>
      <c r="B734" s="41" t="str">
        <f>IFERROR(INDEX(Mots!$B:$B,MATCH($A734,Mots!$A:$A,0)),"introuvable")</f>
        <v>arrondi</v>
      </c>
    </row>
    <row r="735" spans="1:2" x14ac:dyDescent="0.4">
      <c r="A735" s="39" t="s">
        <v>3505</v>
      </c>
      <c r="B735" s="41" t="str">
        <f>IFERROR(INDEX(Mots!$B:$B,MATCH($A735,Mots!$A:$A,0)),"introuvable")</f>
        <v>assez</v>
      </c>
    </row>
    <row r="736" spans="1:2" x14ac:dyDescent="0.4">
      <c r="A736" s="39" t="s">
        <v>3509</v>
      </c>
      <c r="B736" s="41" t="str">
        <f>IFERROR(INDEX(Mots!$B:$B,MATCH($A736,Mots!$A:$A,0)),"introuvable")</f>
        <v>attendre</v>
      </c>
    </row>
    <row r="737" spans="1:2" x14ac:dyDescent="0.4">
      <c r="A737" s="39" t="s">
        <v>3516</v>
      </c>
      <c r="B737" s="41" t="str">
        <f>IFERROR(INDEX(Mots!$B:$B,MATCH($A737,Mots!$A:$A,0)),"introuvable")</f>
        <v>aussi</v>
      </c>
    </row>
    <row r="738" spans="1:2" x14ac:dyDescent="0.4">
      <c r="A738" s="39" t="s">
        <v>3520</v>
      </c>
      <c r="B738" s="41" t="str">
        <f>IFERROR(INDEX(Mots!$B:$B,MATCH($A738,Mots!$A:$A,0)),"introuvable")</f>
        <v>autant</v>
      </c>
    </row>
    <row r="739" spans="1:2" x14ac:dyDescent="0.4">
      <c r="A739" s="39" t="s">
        <v>3524</v>
      </c>
      <c r="B739" s="41" t="str">
        <f>IFERROR(INDEX(Mots!$B:$B,MATCH($A739,Mots!$A:$A,0)),"introuvable")</f>
        <v>autour</v>
      </c>
    </row>
    <row r="740" spans="1:2" x14ac:dyDescent="0.4">
      <c r="A740" s="39" t="s">
        <v>3529</v>
      </c>
      <c r="B740" s="41" t="str">
        <f>IFERROR(INDEX(Mots!$B:$B,MATCH($A740,Mots!$A:$A,0)),"introuvable")</f>
        <v>avoir</v>
      </c>
    </row>
    <row r="741" spans="1:2" x14ac:dyDescent="0.4">
      <c r="A741" s="39" t="s">
        <v>3533</v>
      </c>
      <c r="B741" s="41" t="str">
        <f>IFERROR(INDEX(Mots!$B:$B,MATCH($A741,Mots!$A:$A,0)),"introuvable")</f>
        <v>avouer</v>
      </c>
    </row>
    <row r="742" spans="1:2" x14ac:dyDescent="0.4">
      <c r="A742" s="39" t="s">
        <v>3537</v>
      </c>
      <c r="B742" s="41" t="str">
        <f>IFERROR(INDEX(Mots!$B:$B,MATCH($A742,Mots!$A:$A,0)),"introuvable")</f>
        <v>beaucoup</v>
      </c>
    </row>
    <row r="743" spans="1:2" x14ac:dyDescent="0.4">
      <c r="A743" s="39" t="s">
        <v>3541</v>
      </c>
      <c r="B743" s="41" t="str">
        <f>IFERROR(INDEX(Mots!$B:$B,MATCH($A743,Mots!$A:$A,0)),"introuvable")</f>
        <v>bien</v>
      </c>
    </row>
    <row r="744" spans="1:2" x14ac:dyDescent="0.4">
      <c r="A744" s="39" t="s">
        <v>3548</v>
      </c>
      <c r="B744" s="41" t="str">
        <f>IFERROR(INDEX(Mots!$B:$B,MATCH($A744,Mots!$A:$A,0)),"introuvable")</f>
        <v>bientôt</v>
      </c>
    </row>
    <row r="745" spans="1:2" x14ac:dyDescent="0.4">
      <c r="A745" s="39" t="s">
        <v>3553</v>
      </c>
      <c r="B745" s="41" t="str">
        <f>IFERROR(INDEX(Mots!$B:$B,MATCH($A745,Mots!$A:$A,0)),"introuvable")</f>
        <v>boire</v>
      </c>
    </row>
    <row r="746" spans="1:2" x14ac:dyDescent="0.4">
      <c r="A746" s="39" t="s">
        <v>9516</v>
      </c>
      <c r="B746" s="41" t="str">
        <f>IFERROR(INDEX(Mots!$B:$B,MATCH($A746,Mots!$A:$A,0)),"introuvable")</f>
        <v>brun</v>
      </c>
    </row>
    <row r="747" spans="1:2" x14ac:dyDescent="0.4">
      <c r="A747" s="39" t="s">
        <v>3564</v>
      </c>
      <c r="B747" s="41" t="str">
        <f>IFERROR(INDEX(Mots!$B:$B,MATCH($A747,Mots!$A:$A,0)),"introuvable")</f>
        <v>brusquement</v>
      </c>
    </row>
    <row r="748" spans="1:2" x14ac:dyDescent="0.4">
      <c r="A748" s="39" t="s">
        <v>3566</v>
      </c>
      <c r="B748" s="41" t="str">
        <f>IFERROR(INDEX(Mots!$B:$B,MATCH($A748,Mots!$A:$A,0)),"introuvable")</f>
        <v>cacher</v>
      </c>
    </row>
    <row r="749" spans="1:2" x14ac:dyDescent="0.4">
      <c r="A749" s="39" t="s">
        <v>9498</v>
      </c>
      <c r="B749" s="41" t="str">
        <f>IFERROR(INDEX(Mots!$B:$B,MATCH($A749,Mots!$A:$A,0)),"introuvable")</f>
        <v>cassé</v>
      </c>
    </row>
    <row r="750" spans="1:2" x14ac:dyDescent="0.4">
      <c r="A750" s="39" t="s">
        <v>3576</v>
      </c>
      <c r="B750" s="41" t="str">
        <f>IFERROR(INDEX(Mots!$B:$B,MATCH($A750,Mots!$A:$A,0)),"introuvable")</f>
        <v>casser</v>
      </c>
    </row>
    <row r="751" spans="1:2" x14ac:dyDescent="0.4">
      <c r="A751" s="39" t="s">
        <v>3584</v>
      </c>
      <c r="B751" s="41" t="str">
        <f>IFERROR(INDEX(Mots!$B:$B,MATCH($A751,Mots!$A:$A,0)),"introuvable")</f>
        <v>certain</v>
      </c>
    </row>
    <row r="752" spans="1:2" x14ac:dyDescent="0.4">
      <c r="A752" s="39" t="s">
        <v>3587</v>
      </c>
      <c r="B752" s="41" t="str">
        <f>IFERROR(INDEX(Mots!$B:$B,MATCH($A752,Mots!$A:$A,0)),"introuvable")</f>
        <v>changer</v>
      </c>
    </row>
    <row r="753" spans="1:2" x14ac:dyDescent="0.4">
      <c r="A753" s="39" t="s">
        <v>3593</v>
      </c>
      <c r="B753" s="41" t="str">
        <f>IFERROR(INDEX(Mots!$B:$B,MATCH($A753,Mots!$A:$A,0)),"introuvable")</f>
        <v>chanter</v>
      </c>
    </row>
    <row r="754" spans="1:2" x14ac:dyDescent="0.4">
      <c r="A754" s="39" t="s">
        <v>3601</v>
      </c>
      <c r="B754" s="41" t="str">
        <f>IFERROR(INDEX(Mots!$B:$B,MATCH($A754,Mots!$A:$A,0)),"introuvable")</f>
        <v>chercher</v>
      </c>
    </row>
    <row r="755" spans="1:2" x14ac:dyDescent="0.4">
      <c r="A755" s="39" t="s">
        <v>3608</v>
      </c>
      <c r="B755" s="41" t="str">
        <f>IFERROR(INDEX(Mots!$B:$B,MATCH($A755,Mots!$A:$A,0)),"introuvable")</f>
        <v>choisir</v>
      </c>
    </row>
    <row r="756" spans="1:2" x14ac:dyDescent="0.4">
      <c r="A756" s="39" t="s">
        <v>3619</v>
      </c>
      <c r="B756" s="41" t="str">
        <f>IFERROR(INDEX(Mots!$B:$B,MATCH($A756,Mots!$A:$A,0)),"introuvable")</f>
        <v>chuchoter</v>
      </c>
    </row>
    <row r="757" spans="1:2" x14ac:dyDescent="0.4">
      <c r="A757" s="39" t="s">
        <v>3630</v>
      </c>
      <c r="B757" s="41" t="str">
        <f>IFERROR(INDEX(Mots!$B:$B,MATCH($A757,Mots!$A:$A,0)),"introuvable")</f>
        <v>collant</v>
      </c>
    </row>
    <row r="758" spans="1:2" x14ac:dyDescent="0.4">
      <c r="A758" s="39" t="s">
        <v>9484</v>
      </c>
      <c r="B758" s="41" t="str">
        <f>IFERROR(INDEX(Mots!$B:$B,MATCH($A758,Mots!$A:$A,0)),"introuvable")</f>
        <v>colorée</v>
      </c>
    </row>
    <row r="759" spans="1:2" x14ac:dyDescent="0.4">
      <c r="A759" s="39" t="s">
        <v>3639</v>
      </c>
      <c r="B759" s="41" t="str">
        <f>IFERROR(INDEX(Mots!$B:$B,MATCH($A759,Mots!$A:$A,0)),"introuvable")</f>
        <v>commencer</v>
      </c>
    </row>
    <row r="760" spans="1:2" x14ac:dyDescent="0.4">
      <c r="A760" s="39" t="s">
        <v>3646</v>
      </c>
      <c r="B760" s="41" t="str">
        <f>IFERROR(INDEX(Mots!$B:$B,MATCH($A760,Mots!$A:$A,0)),"introuvable")</f>
        <v>comparer</v>
      </c>
    </row>
    <row r="761" spans="1:2" x14ac:dyDescent="0.4">
      <c r="A761" s="39" t="s">
        <v>3653</v>
      </c>
      <c r="B761" s="41" t="str">
        <f>IFERROR(INDEX(Mots!$B:$B,MATCH($A761,Mots!$A:$A,0)),"introuvable")</f>
        <v>complet</v>
      </c>
    </row>
    <row r="762" spans="1:2" x14ac:dyDescent="0.4">
      <c r="A762" s="39" t="s">
        <v>3657</v>
      </c>
      <c r="B762" s="41" t="str">
        <f>IFERROR(INDEX(Mots!$B:$B,MATCH($A762,Mots!$A:$A,0)),"introuvable")</f>
        <v>comprendre</v>
      </c>
    </row>
    <row r="763" spans="1:2" x14ac:dyDescent="0.4">
      <c r="A763" s="39" t="s">
        <v>3663</v>
      </c>
      <c r="B763" s="41" t="str">
        <f>IFERROR(INDEX(Mots!$B:$B,MATCH($A763,Mots!$A:$A,0)),"introuvable")</f>
        <v>compter</v>
      </c>
    </row>
    <row r="764" spans="1:2" x14ac:dyDescent="0.4">
      <c r="A764" s="39" t="s">
        <v>3671</v>
      </c>
      <c r="B764" s="41" t="str">
        <f>IFERROR(INDEX(Mots!$B:$B,MATCH($A764,Mots!$A:$A,0)),"introuvable")</f>
        <v>confortable</v>
      </c>
    </row>
    <row r="765" spans="1:2" x14ac:dyDescent="0.4">
      <c r="A765" s="39" t="s">
        <v>3677</v>
      </c>
      <c r="B765" s="41" t="str">
        <f>IFERROR(INDEX(Mots!$B:$B,MATCH($A765,Mots!$A:$A,0)),"introuvable")</f>
        <v>connaître</v>
      </c>
    </row>
    <row r="766" spans="1:2" x14ac:dyDescent="0.4">
      <c r="A766" s="39" t="s">
        <v>3681</v>
      </c>
      <c r="B766" s="41" t="str">
        <f>IFERROR(INDEX(Mots!$B:$B,MATCH($A766,Mots!$A:$A,0)),"introuvable")</f>
        <v>conseiller</v>
      </c>
    </row>
    <row r="767" spans="1:2" x14ac:dyDescent="0.4">
      <c r="A767" s="39" t="s">
        <v>3685</v>
      </c>
      <c r="B767" s="41" t="str">
        <f>IFERROR(INDEX(Mots!$B:$B,MATCH($A767,Mots!$A:$A,0)),"introuvable")</f>
        <v>contre</v>
      </c>
    </row>
    <row r="768" spans="1:2" x14ac:dyDescent="0.4">
      <c r="A768" s="39" t="s">
        <v>3692</v>
      </c>
      <c r="B768" s="41" t="str">
        <f>IFERROR(INDEX(Mots!$B:$B,MATCH($A768,Mots!$A:$A,0)),"introuvable")</f>
        <v>correct</v>
      </c>
    </row>
    <row r="769" spans="1:2" x14ac:dyDescent="0.4">
      <c r="A769" s="39" t="s">
        <v>3697</v>
      </c>
      <c r="B769" s="41" t="str">
        <f>IFERROR(INDEX(Mots!$B:$B,MATCH($A769,Mots!$A:$A,0)),"introuvable")</f>
        <v>coupant</v>
      </c>
    </row>
    <row r="770" spans="1:2" x14ac:dyDescent="0.4">
      <c r="A770" s="39" t="s">
        <v>3702</v>
      </c>
      <c r="B770" s="41" t="str">
        <f>IFERROR(INDEX(Mots!$B:$B,MATCH($A770,Mots!$A:$A,0)),"introuvable")</f>
        <v>couper</v>
      </c>
    </row>
    <row r="771" spans="1:2" x14ac:dyDescent="0.4">
      <c r="A771" s="39" t="s">
        <v>3710</v>
      </c>
      <c r="B771" s="41" t="str">
        <f>IFERROR(INDEX(Mots!$B:$B,MATCH($A771,Mots!$A:$A,0)),"introuvable")</f>
        <v>courir</v>
      </c>
    </row>
    <row r="772" spans="1:2" x14ac:dyDescent="0.4">
      <c r="A772" s="39" t="s">
        <v>3718</v>
      </c>
      <c r="B772" s="41" t="str">
        <f>IFERROR(INDEX(Mots!$B:$B,MATCH($A772,Mots!$A:$A,0)),"introuvable")</f>
        <v>creux</v>
      </c>
    </row>
    <row r="773" spans="1:2" x14ac:dyDescent="0.4">
      <c r="A773" s="39" t="s">
        <v>3725</v>
      </c>
      <c r="B773" s="41" t="str">
        <f>IFERROR(INDEX(Mots!$B:$B,MATCH($A773,Mots!$A:$A,0)),"introuvable")</f>
        <v>crier</v>
      </c>
    </row>
    <row r="774" spans="1:2" x14ac:dyDescent="0.4">
      <c r="A774" s="39" t="s">
        <v>3733</v>
      </c>
      <c r="B774" s="41" t="str">
        <f>IFERROR(INDEX(Mots!$B:$B,MATCH($A774,Mots!$A:$A,0)),"introuvable")</f>
        <v>croire</v>
      </c>
    </row>
    <row r="775" spans="1:2" x14ac:dyDescent="0.4">
      <c r="A775" s="39" t="s">
        <v>3739</v>
      </c>
      <c r="B775" s="41" t="str">
        <f>IFERROR(INDEX(Mots!$B:$B,MATCH($A775,Mots!$A:$A,0)),"introuvable")</f>
        <v>cuire</v>
      </c>
    </row>
    <row r="776" spans="1:2" x14ac:dyDescent="0.4">
      <c r="A776" s="39" t="s">
        <v>3747</v>
      </c>
      <c r="B776" s="41" t="str">
        <f>IFERROR(INDEX(Mots!$B:$B,MATCH($A776,Mots!$A:$A,0)),"introuvable")</f>
        <v>d'abord</v>
      </c>
    </row>
    <row r="777" spans="1:2" x14ac:dyDescent="0.4">
      <c r="A777" s="39" t="s">
        <v>3758</v>
      </c>
      <c r="B777" s="41" t="str">
        <f>IFERROR(INDEX(Mots!$B:$B,MATCH($A777,Mots!$A:$A,0)),"introuvable")</f>
        <v>dangereux</v>
      </c>
    </row>
    <row r="778" spans="1:2" x14ac:dyDescent="0.4">
      <c r="A778" s="39" t="s">
        <v>3764</v>
      </c>
      <c r="B778" s="41" t="str">
        <f>IFERROR(INDEX(Mots!$B:$B,MATCH($A778,Mots!$A:$A,0)),"introuvable")</f>
        <v>danser</v>
      </c>
    </row>
    <row r="779" spans="1:2" x14ac:dyDescent="0.4">
      <c r="A779" s="39" t="s">
        <v>3772</v>
      </c>
      <c r="B779" s="41" t="str">
        <f>IFERROR(INDEX(Mots!$B:$B,MATCH($A779,Mots!$A:$A,0)),"introuvable")</f>
        <v>décider</v>
      </c>
    </row>
    <row r="780" spans="1:2" x14ac:dyDescent="0.4">
      <c r="A780" s="39" t="s">
        <v>3780</v>
      </c>
      <c r="B780" s="41" t="str">
        <f>IFERROR(INDEX(Mots!$B:$B,MATCH($A780,Mots!$A:$A,0)),"introuvable")</f>
        <v>dedans</v>
      </c>
    </row>
    <row r="781" spans="1:2" x14ac:dyDescent="0.4">
      <c r="A781" s="39" t="s">
        <v>3785</v>
      </c>
      <c r="B781" s="41" t="str">
        <f>IFERROR(INDEX(Mots!$B:$B,MATCH($A781,Mots!$A:$A,0)),"introuvable")</f>
        <v>dehors</v>
      </c>
    </row>
    <row r="782" spans="1:2" x14ac:dyDescent="0.4">
      <c r="A782" s="39" t="s">
        <v>3789</v>
      </c>
      <c r="B782" s="41" t="str">
        <f>IFERROR(INDEX(Mots!$B:$B,MATCH($A782,Mots!$A:$A,0)),"introuvable")</f>
        <v>déjà</v>
      </c>
    </row>
    <row r="783" spans="1:2" x14ac:dyDescent="0.4">
      <c r="A783" s="39" t="s">
        <v>3794</v>
      </c>
      <c r="B783" s="41" t="str">
        <f>IFERROR(INDEX(Mots!$B:$B,MATCH($A783,Mots!$A:$A,0)),"introuvable")</f>
        <v>demander</v>
      </c>
    </row>
    <row r="784" spans="1:2" x14ac:dyDescent="0.4">
      <c r="A784" s="39" t="s">
        <v>3801</v>
      </c>
      <c r="B784" s="41" t="str">
        <f>IFERROR(INDEX(Mots!$B:$B,MATCH($A784,Mots!$A:$A,0)),"introuvable")</f>
        <v>descendre</v>
      </c>
    </row>
    <row r="785" spans="1:2" x14ac:dyDescent="0.4">
      <c r="A785" s="39" t="s">
        <v>3809</v>
      </c>
      <c r="B785" s="41" t="str">
        <f>IFERROR(INDEX(Mots!$B:$B,MATCH($A785,Mots!$A:$A,0)),"introuvable")</f>
        <v>deviner</v>
      </c>
    </row>
    <row r="786" spans="1:2" x14ac:dyDescent="0.4">
      <c r="A786" s="39" t="s">
        <v>9526</v>
      </c>
      <c r="B786" s="41" t="str">
        <f>IFERROR(INDEX(Mots!$B:$B,MATCH($A786,Mots!$A:$A,0)),"introuvable")</f>
        <v>différent</v>
      </c>
    </row>
    <row r="787" spans="1:2" x14ac:dyDescent="0.4">
      <c r="A787" s="39" t="s">
        <v>3818</v>
      </c>
      <c r="B787" s="41" t="str">
        <f>IFERROR(INDEX(Mots!$B:$B,MATCH($A787,Mots!$A:$A,0)),"introuvable")</f>
        <v>dire</v>
      </c>
    </row>
    <row r="788" spans="1:2" x14ac:dyDescent="0.4">
      <c r="A788" s="39" t="s">
        <v>3823</v>
      </c>
      <c r="B788" s="41" t="str">
        <f>IFERROR(INDEX(Mots!$B:$B,MATCH($A788,Mots!$A:$A,0)),"introuvable")</f>
        <v>disponible</v>
      </c>
    </row>
    <row r="789" spans="1:2" x14ac:dyDescent="0.4">
      <c r="A789" s="39" t="s">
        <v>3827</v>
      </c>
      <c r="B789" s="41" t="str">
        <f>IFERROR(INDEX(Mots!$B:$B,MATCH($A789,Mots!$A:$A,0)),"introuvable")</f>
        <v>domestique</v>
      </c>
    </row>
    <row r="790" spans="1:2" x14ac:dyDescent="0.4">
      <c r="A790" s="39" t="s">
        <v>3830</v>
      </c>
      <c r="B790" s="41" t="str">
        <f>IFERROR(INDEX(Mots!$B:$B,MATCH($A790,Mots!$A:$A,0)),"introuvable")</f>
        <v>donner</v>
      </c>
    </row>
    <row r="791" spans="1:2" x14ac:dyDescent="0.4">
      <c r="A791" s="39" t="s">
        <v>3836</v>
      </c>
      <c r="B791" s="41" t="str">
        <f>IFERROR(INDEX(Mots!$B:$B,MATCH($A791,Mots!$A:$A,0)),"introuvable")</f>
        <v>dormir</v>
      </c>
    </row>
    <row r="792" spans="1:2" x14ac:dyDescent="0.4">
      <c r="A792" s="39" t="s">
        <v>3844</v>
      </c>
      <c r="B792" s="41" t="str">
        <f>IFERROR(INDEX(Mots!$B:$B,MATCH($A792,Mots!$A:$A,0)),"introuvable")</f>
        <v>doux - douce</v>
      </c>
    </row>
    <row r="793" spans="1:2" x14ac:dyDescent="0.4">
      <c r="A793" s="39" t="s">
        <v>3851</v>
      </c>
      <c r="B793" s="41" t="str">
        <f>IFERROR(INDEX(Mots!$B:$B,MATCH($A793,Mots!$A:$A,0)),"introuvable")</f>
        <v>doucement</v>
      </c>
    </row>
    <row r="794" spans="1:2" x14ac:dyDescent="0.4">
      <c r="A794" s="39" t="s">
        <v>3857</v>
      </c>
      <c r="B794" s="41" t="str">
        <f>IFERROR(INDEX(Mots!$B:$B,MATCH($A794,Mots!$A:$A,0)),"introuvable")</f>
        <v>douter</v>
      </c>
    </row>
    <row r="795" spans="1:2" x14ac:dyDescent="0.4">
      <c r="A795" s="39" t="s">
        <v>3862</v>
      </c>
      <c r="B795" s="41" t="str">
        <f>IFERROR(INDEX(Mots!$B:$B,MATCH($A795,Mots!$A:$A,0)),"introuvable")</f>
        <v>écouter</v>
      </c>
    </row>
    <row r="796" spans="1:2" x14ac:dyDescent="0.4">
      <c r="A796" s="39" t="s">
        <v>3870</v>
      </c>
      <c r="B796" s="41" t="str">
        <f>IFERROR(INDEX(Mots!$B:$B,MATCH($A796,Mots!$A:$A,0)),"introuvable")</f>
        <v>écrire</v>
      </c>
    </row>
    <row r="797" spans="1:2" x14ac:dyDescent="0.4">
      <c r="A797" s="39" t="s">
        <v>3878</v>
      </c>
      <c r="B797" s="41" t="str">
        <f>IFERROR(INDEX(Mots!$B:$B,MATCH($A797,Mots!$A:$A,0)),"introuvable")</f>
        <v>électrique</v>
      </c>
    </row>
    <row r="798" spans="1:2" x14ac:dyDescent="0.4">
      <c r="A798" s="39" t="s">
        <v>3886</v>
      </c>
      <c r="B798" s="41" t="str">
        <f>IFERROR(INDEX(Mots!$B:$B,MATCH($A798,Mots!$A:$A,0)),"introuvable")</f>
        <v>élevé</v>
      </c>
    </row>
    <row r="799" spans="1:2" x14ac:dyDescent="0.4">
      <c r="A799" s="39" t="s">
        <v>3891</v>
      </c>
      <c r="B799" s="41" t="str">
        <f>IFERROR(INDEX(Mots!$B:$B,MATCH($A799,Mots!$A:$A,0)),"introuvable")</f>
        <v>encore</v>
      </c>
    </row>
    <row r="800" spans="1:2" x14ac:dyDescent="0.4">
      <c r="A800" s="39" t="s">
        <v>3894</v>
      </c>
      <c r="B800" s="41" t="str">
        <f>IFERROR(INDEX(Mots!$B:$B,MATCH($A800,Mots!$A:$A,0)),"introuvable")</f>
        <v>enfin</v>
      </c>
    </row>
    <row r="801" spans="1:2" x14ac:dyDescent="0.4">
      <c r="A801" s="39" t="s">
        <v>3896</v>
      </c>
      <c r="B801" s="41" t="str">
        <f>IFERROR(INDEX(Mots!$B:$B,MATCH($A801,Mots!$A:$A,0)),"introuvable")</f>
        <v>enflammé</v>
      </c>
    </row>
    <row r="802" spans="1:2" x14ac:dyDescent="0.4">
      <c r="A802" s="39" t="s">
        <v>3902</v>
      </c>
      <c r="B802" s="41" t="str">
        <f>IFERROR(INDEX(Mots!$B:$B,MATCH($A802,Mots!$A:$A,0)),"introuvable")</f>
        <v>ensemble</v>
      </c>
    </row>
    <row r="803" spans="1:2" x14ac:dyDescent="0.4">
      <c r="A803" s="39" t="s">
        <v>3906</v>
      </c>
      <c r="B803" s="41" t="str">
        <f>IFERROR(INDEX(Mots!$B:$B,MATCH($A803,Mots!$A:$A,0)),"introuvable")</f>
        <v>ensuite</v>
      </c>
    </row>
    <row r="804" spans="1:2" x14ac:dyDescent="0.4">
      <c r="A804" s="39" t="s">
        <v>3908</v>
      </c>
      <c r="B804" s="41" t="str">
        <f>IFERROR(INDEX(Mots!$B:$B,MATCH($A804,Mots!$A:$A,0)),"introuvable")</f>
        <v>entendre</v>
      </c>
    </row>
    <row r="805" spans="1:2" x14ac:dyDescent="0.4">
      <c r="A805" s="39" t="s">
        <v>3913</v>
      </c>
      <c r="B805" s="41" t="str">
        <f>IFERROR(INDEX(Mots!$B:$B,MATCH($A805,Mots!$A:$A,0)),"introuvable")</f>
        <v>entier</v>
      </c>
    </row>
    <row r="806" spans="1:2" x14ac:dyDescent="0.4">
      <c r="A806" s="39" t="s">
        <v>3916</v>
      </c>
      <c r="B806" s="41" t="str">
        <f>IFERROR(INDEX(Mots!$B:$B,MATCH($A806,Mots!$A:$A,0)),"introuvable")</f>
        <v>entrer</v>
      </c>
    </row>
    <row r="807" spans="1:2" x14ac:dyDescent="0.4">
      <c r="A807" s="39" t="s">
        <v>9596</v>
      </c>
      <c r="B807" s="41" t="str">
        <f>IFERROR(INDEX(Mots!$B:$B,MATCH($A807,Mots!$A:$A,0)),"introuvable")</f>
        <v>environ</v>
      </c>
    </row>
    <row r="808" spans="1:2" x14ac:dyDescent="0.4">
      <c r="A808" s="39" t="s">
        <v>3925</v>
      </c>
      <c r="B808" s="41" t="str">
        <f>IFERROR(INDEX(Mots!$B:$B,MATCH($A808,Mots!$A:$A,0)),"introuvable")</f>
        <v>équitable</v>
      </c>
    </row>
    <row r="809" spans="1:2" x14ac:dyDescent="0.4">
      <c r="A809" s="39" t="s">
        <v>3929</v>
      </c>
      <c r="B809" s="41" t="str">
        <f>IFERROR(INDEX(Mots!$B:$B,MATCH($A809,Mots!$A:$A,0)),"introuvable")</f>
        <v>essayer</v>
      </c>
    </row>
    <row r="810" spans="1:2" x14ac:dyDescent="0.4">
      <c r="A810" s="39" t="s">
        <v>3935</v>
      </c>
      <c r="B810" s="41" t="str">
        <f>IFERROR(INDEX(Mots!$B:$B,MATCH($A810,Mots!$A:$A,0)),"introuvable")</f>
        <v>exact</v>
      </c>
    </row>
    <row r="811" spans="1:2" x14ac:dyDescent="0.4">
      <c r="A811" s="39" t="s">
        <v>3937</v>
      </c>
      <c r="B811" s="41" t="str">
        <f>IFERROR(INDEX(Mots!$B:$B,MATCH($A811,Mots!$A:$A,0)),"introuvable")</f>
        <v>expliquer</v>
      </c>
    </row>
    <row r="812" spans="1:2" x14ac:dyDescent="0.4">
      <c r="A812" s="39" t="s">
        <v>3941</v>
      </c>
      <c r="B812" s="41" t="str">
        <f>IFERROR(INDEX(Mots!$B:$B,MATCH($A812,Mots!$A:$A,0)),"introuvable")</f>
        <v>exprès</v>
      </c>
    </row>
    <row r="813" spans="1:2" x14ac:dyDescent="0.4">
      <c r="A813" s="39" t="s">
        <v>3944</v>
      </c>
      <c r="B813" s="41" t="str">
        <f>IFERROR(INDEX(Mots!$B:$B,MATCH($A813,Mots!$A:$A,0)),"introuvable")</f>
        <v>extérieur</v>
      </c>
    </row>
    <row r="814" spans="1:2" x14ac:dyDescent="0.4">
      <c r="A814" s="39" t="s">
        <v>3947</v>
      </c>
      <c r="B814" s="41" t="str">
        <f>IFERROR(INDEX(Mots!$B:$B,MATCH($A814,Mots!$A:$A,0)),"introuvable")</f>
        <v>faire</v>
      </c>
    </row>
    <row r="815" spans="1:2" x14ac:dyDescent="0.4">
      <c r="A815" s="39" t="s">
        <v>3951</v>
      </c>
      <c r="B815" s="41" t="str">
        <f>IFERROR(INDEX(Mots!$B:$B,MATCH($A815,Mots!$A:$A,0)),"introuvable")</f>
        <v>fatigué</v>
      </c>
    </row>
    <row r="816" spans="1:2" x14ac:dyDescent="0.4">
      <c r="A816" s="39" t="s">
        <v>3959</v>
      </c>
      <c r="B816" s="41" t="str">
        <f>IFERROR(INDEX(Mots!$B:$B,MATCH($A816,Mots!$A:$A,0)),"introuvable")</f>
        <v>féliciter</v>
      </c>
    </row>
    <row r="817" spans="1:2" x14ac:dyDescent="0.4">
      <c r="A817" s="39" t="s">
        <v>3967</v>
      </c>
      <c r="B817" s="41" t="str">
        <f>IFERROR(INDEX(Mots!$B:$B,MATCH($A817,Mots!$A:$A,0)),"introuvable")</f>
        <v>féminin</v>
      </c>
    </row>
    <row r="818" spans="1:2" x14ac:dyDescent="0.4">
      <c r="A818" s="39" t="s">
        <v>3971</v>
      </c>
      <c r="B818" s="41" t="str">
        <f>IFERROR(INDEX(Mots!$B:$B,MATCH($A818,Mots!$A:$A,0)),"introuvable")</f>
        <v>fermer</v>
      </c>
    </row>
    <row r="819" spans="1:2" x14ac:dyDescent="0.4">
      <c r="A819" s="39" t="s">
        <v>3978</v>
      </c>
      <c r="B819" s="41" t="str">
        <f>IFERROR(INDEX(Mots!$B:$B,MATCH($A819,Mots!$A:$A,0)),"introuvable")</f>
        <v>finir</v>
      </c>
    </row>
    <row r="820" spans="1:2" x14ac:dyDescent="0.4">
      <c r="A820" s="39" t="s">
        <v>3982</v>
      </c>
      <c r="B820" s="41" t="str">
        <f>IFERROR(INDEX(Mots!$B:$B,MATCH($A820,Mots!$A:$A,0)),"introuvable")</f>
        <v>frais - fraîche</v>
      </c>
    </row>
    <row r="821" spans="1:2" x14ac:dyDescent="0.4">
      <c r="A821" s="39" t="s">
        <v>3987</v>
      </c>
      <c r="B821" s="41" t="str">
        <f>IFERROR(INDEX(Mots!$B:$B,MATCH($A821,Mots!$A:$A,0)),"introuvable")</f>
        <v>frapper</v>
      </c>
    </row>
    <row r="822" spans="1:2" x14ac:dyDescent="0.4">
      <c r="A822" s="39" t="s">
        <v>3995</v>
      </c>
      <c r="B822" s="41" t="str">
        <f>IFERROR(INDEX(Mots!$B:$B,MATCH($A822,Mots!$A:$A,0)),"introuvable")</f>
        <v>gagner</v>
      </c>
    </row>
    <row r="823" spans="1:2" x14ac:dyDescent="0.4">
      <c r="A823" s="39" t="s">
        <v>4007</v>
      </c>
      <c r="B823" s="41" t="str">
        <f>IFERROR(INDEX(Mots!$B:$B,MATCH($A823,Mots!$A:$A,0)),"introuvable")</f>
        <v>gentiment</v>
      </c>
    </row>
    <row r="824" spans="1:2" x14ac:dyDescent="0.4">
      <c r="A824" s="39" t="s">
        <v>4009</v>
      </c>
      <c r="B824" s="41" t="str">
        <f>IFERROR(INDEX(Mots!$B:$B,MATCH($A824,Mots!$A:$A,0)),"introuvable")</f>
        <v>goûter</v>
      </c>
    </row>
    <row r="825" spans="1:2" x14ac:dyDescent="0.4">
      <c r="A825" s="39" t="s">
        <v>4021</v>
      </c>
      <c r="B825" s="41" t="str">
        <f>IFERROR(INDEX(Mots!$B:$B,MATCH($A825,Mots!$A:$A,0)),"introuvable")</f>
        <v>gras - grasse</v>
      </c>
    </row>
    <row r="826" spans="1:2" x14ac:dyDescent="0.4">
      <c r="A826" s="39" t="s">
        <v>4026</v>
      </c>
      <c r="B826" s="41" t="str">
        <f>IFERROR(INDEX(Mots!$B:$B,MATCH($A826,Mots!$A:$A,0)),"introuvable")</f>
        <v>gratuit</v>
      </c>
    </row>
    <row r="827" spans="1:2" x14ac:dyDescent="0.4">
      <c r="A827" s="39" t="s">
        <v>4029</v>
      </c>
      <c r="B827" s="41" t="str">
        <f>IFERROR(INDEX(Mots!$B:$B,MATCH($A827,Mots!$A:$A,0)),"introuvable")</f>
        <v>habituel</v>
      </c>
    </row>
    <row r="828" spans="1:2" x14ac:dyDescent="0.4">
      <c r="A828" s="39" t="s">
        <v>9625</v>
      </c>
      <c r="B828" s="41" t="str">
        <f>IFERROR(INDEX(Mots!$B:$B,MATCH($A828,Mots!$A:$A,0)),"introuvable")</f>
        <v>heureux</v>
      </c>
    </row>
    <row r="829" spans="1:2" x14ac:dyDescent="0.4">
      <c r="A829" s="39" t="s">
        <v>4034</v>
      </c>
      <c r="B829" s="41" t="str">
        <f>IFERROR(INDEX(Mots!$B:$B,MATCH($A829,Mots!$A:$A,0)),"introuvable")</f>
        <v>humain</v>
      </c>
    </row>
    <row r="830" spans="1:2" x14ac:dyDescent="0.4">
      <c r="A830" s="39" t="s">
        <v>4038</v>
      </c>
      <c r="B830" s="41" t="str">
        <f>IFERROR(INDEX(Mots!$B:$B,MATCH($A830,Mots!$A:$A,0)),"introuvable")</f>
        <v>ici</v>
      </c>
    </row>
    <row r="831" spans="1:2" x14ac:dyDescent="0.4">
      <c r="A831" s="39" t="s">
        <v>4044</v>
      </c>
      <c r="B831" s="41" t="str">
        <f>IFERROR(INDEX(Mots!$B:$B,MATCH($A831,Mots!$A:$A,0)),"introuvable")</f>
        <v>imaginer</v>
      </c>
    </row>
    <row r="832" spans="1:2" x14ac:dyDescent="0.4">
      <c r="A832" s="39" t="s">
        <v>4049</v>
      </c>
      <c r="B832" s="41" t="str">
        <f>IFERROR(INDEX(Mots!$B:$B,MATCH($A832,Mots!$A:$A,0)),"introuvable")</f>
        <v>important</v>
      </c>
    </row>
    <row r="833" spans="1:2" x14ac:dyDescent="0.4">
      <c r="A833" s="39" t="s">
        <v>4054</v>
      </c>
      <c r="B833" s="41" t="str">
        <f>IFERROR(INDEX(Mots!$B:$B,MATCH($A833,Mots!$A:$A,0)),"introuvable")</f>
        <v>intérieur</v>
      </c>
    </row>
    <row r="834" spans="1:2" x14ac:dyDescent="0.4">
      <c r="A834" s="39" t="s">
        <v>4057</v>
      </c>
      <c r="B834" s="41" t="str">
        <f>IFERROR(INDEX(Mots!$B:$B,MATCH($A834,Mots!$A:$A,0)),"introuvable")</f>
        <v>invisible</v>
      </c>
    </row>
    <row r="835" spans="1:2" x14ac:dyDescent="0.4">
      <c r="A835" s="39" t="s">
        <v>4060</v>
      </c>
      <c r="B835" s="41" t="str">
        <f>IFERROR(INDEX(Mots!$B:$B,MATCH($A835,Mots!$A:$A,0)),"introuvable")</f>
        <v>irrité</v>
      </c>
    </row>
    <row r="836" spans="1:2" x14ac:dyDescent="0.4">
      <c r="A836" s="39" t="s">
        <v>4064</v>
      </c>
      <c r="B836" s="41" t="str">
        <f>IFERROR(INDEX(Mots!$B:$B,MATCH($A836,Mots!$A:$A,0)),"introuvable")</f>
        <v>jeter</v>
      </c>
    </row>
    <row r="837" spans="1:2" x14ac:dyDescent="0.4">
      <c r="A837" s="39" t="s">
        <v>4070</v>
      </c>
      <c r="B837" s="41" t="str">
        <f>IFERROR(INDEX(Mots!$B:$B,MATCH($A837,Mots!$A:$A,0)),"introuvable")</f>
        <v>jouer</v>
      </c>
    </row>
    <row r="838" spans="1:2" x14ac:dyDescent="0.4">
      <c r="A838" s="39" t="s">
        <v>9546</v>
      </c>
      <c r="B838" s="41" t="str">
        <f>IFERROR(INDEX(Mots!$B:$B,MATCH($A838,Mots!$A:$A,0)),"introuvable")</f>
        <v>joyeux</v>
      </c>
    </row>
    <row r="839" spans="1:2" x14ac:dyDescent="0.4">
      <c r="A839" s="39" t="s">
        <v>4080</v>
      </c>
      <c r="B839" s="41" t="str">
        <f>IFERROR(INDEX(Mots!$B:$B,MATCH($A839,Mots!$A:$A,0)),"introuvable")</f>
        <v>juste</v>
      </c>
    </row>
    <row r="840" spans="1:2" x14ac:dyDescent="0.4">
      <c r="A840" s="39" t="s">
        <v>4083</v>
      </c>
      <c r="B840" s="41" t="str">
        <f>IFERROR(INDEX(Mots!$B:$B,MATCH($A840,Mots!$A:$A,0)),"introuvable")</f>
        <v>là</v>
      </c>
    </row>
    <row r="841" spans="1:2" x14ac:dyDescent="0.4">
      <c r="A841" s="39" t="s">
        <v>4087</v>
      </c>
      <c r="B841" s="41" t="str">
        <f>IFERROR(INDEX(Mots!$B:$B,MATCH($A841,Mots!$A:$A,0)),"introuvable")</f>
        <v>la bagarre</v>
      </c>
    </row>
    <row r="842" spans="1:2" x14ac:dyDescent="0.4">
      <c r="A842" s="39" t="s">
        <v>4095</v>
      </c>
      <c r="B842" s="41" t="str">
        <f>IFERROR(INDEX(Mots!$B:$B,MATCH($A842,Mots!$A:$A,0)),"introuvable")</f>
        <v>la balance</v>
      </c>
    </row>
    <row r="843" spans="1:2" x14ac:dyDescent="0.4">
      <c r="A843" s="39" t="s">
        <v>4103</v>
      </c>
      <c r="B843" s="41" t="str">
        <f>IFERROR(INDEX(Mots!$B:$B,MATCH($A843,Mots!$A:$A,0)),"introuvable")</f>
        <v>la balle</v>
      </c>
    </row>
    <row r="844" spans="1:2" x14ac:dyDescent="0.4">
      <c r="A844" s="39" t="s">
        <v>4111</v>
      </c>
      <c r="B844" s="41" t="str">
        <f>IFERROR(INDEX(Mots!$B:$B,MATCH($A844,Mots!$A:$A,0)),"introuvable")</f>
        <v>la bande</v>
      </c>
    </row>
    <row r="845" spans="1:2" x14ac:dyDescent="0.4">
      <c r="A845" s="39" t="s">
        <v>4119</v>
      </c>
      <c r="B845" s="41" t="str">
        <f>IFERROR(INDEX(Mots!$B:$B,MATCH($A845,Mots!$A:$A,0)),"introuvable")</f>
        <v>la bataille</v>
      </c>
    </row>
    <row r="846" spans="1:2" x14ac:dyDescent="0.4">
      <c r="A846" s="39" t="s">
        <v>4126</v>
      </c>
      <c r="B846" s="41" t="str">
        <f>IFERROR(INDEX(Mots!$B:$B,MATCH($A846,Mots!$A:$A,0)),"introuvable")</f>
        <v>la bibliothèque</v>
      </c>
    </row>
    <row r="847" spans="1:2" x14ac:dyDescent="0.4">
      <c r="A847" s="39" t="s">
        <v>4134</v>
      </c>
      <c r="B847" s="41" t="str">
        <f>IFERROR(INDEX(Mots!$B:$B,MATCH($A847,Mots!$A:$A,0)),"introuvable")</f>
        <v>la blessure</v>
      </c>
    </row>
    <row r="848" spans="1:2" x14ac:dyDescent="0.4">
      <c r="A848" s="39" t="s">
        <v>4142</v>
      </c>
      <c r="B848" s="41" t="str">
        <f>IFERROR(INDEX(Mots!$B:$B,MATCH($A848,Mots!$A:$A,0)),"introuvable")</f>
        <v>la boîte</v>
      </c>
    </row>
    <row r="849" spans="1:3" x14ac:dyDescent="0.4">
      <c r="A849" s="39" t="s">
        <v>4150</v>
      </c>
      <c r="B849" s="41" t="str">
        <f>IFERROR(INDEX(Mots!$B:$B,MATCH($A849,Mots!$A:$A,0)),"introuvable")</f>
        <v>la bougie</v>
      </c>
    </row>
    <row r="850" spans="1:3" x14ac:dyDescent="0.4">
      <c r="A850" s="39" t="s">
        <v>4158</v>
      </c>
      <c r="B850" s="41" t="str">
        <f>IFERROR(INDEX(Mots!$B:$B,MATCH($A850,Mots!$A:$A,0)),"introuvable")</f>
        <v>la boule</v>
      </c>
    </row>
    <row r="851" spans="1:3" x14ac:dyDescent="0.4">
      <c r="A851" s="39" t="s">
        <v>4166</v>
      </c>
      <c r="B851" s="41" t="str">
        <f>IFERROR(INDEX(Mots!$B:$B,MATCH($A851,Mots!$A:$A,0)),"introuvable")</f>
        <v>la boutique</v>
      </c>
      <c r="C851" s="39" t="s">
        <v>10100</v>
      </c>
    </row>
    <row r="852" spans="1:3" x14ac:dyDescent="0.4">
      <c r="A852" s="39" t="s">
        <v>4173</v>
      </c>
      <c r="B852" s="41" t="str">
        <f>IFERROR(INDEX(Mots!$B:$B,MATCH($A852,Mots!$A:$A,0)),"introuvable")</f>
        <v>la brise</v>
      </c>
    </row>
    <row r="853" spans="1:3" x14ac:dyDescent="0.4">
      <c r="A853" s="39" t="s">
        <v>4177</v>
      </c>
      <c r="B853" s="41" t="str">
        <f>IFERROR(INDEX(Mots!$B:$B,MATCH($A853,Mots!$A:$A,0)),"introuvable")</f>
        <v>la caisse</v>
      </c>
    </row>
    <row r="854" spans="1:3" x14ac:dyDescent="0.4">
      <c r="A854" s="39" t="s">
        <v>4185</v>
      </c>
      <c r="B854" s="41" t="str">
        <f>IFERROR(INDEX(Mots!$B:$B,MATCH($A854,Mots!$A:$A,0)),"introuvable")</f>
        <v>la campagne</v>
      </c>
    </row>
    <row r="855" spans="1:3" x14ac:dyDescent="0.4">
      <c r="A855" s="39" t="s">
        <v>4189</v>
      </c>
      <c r="B855" s="41" t="str">
        <f>IFERROR(INDEX(Mots!$B:$B,MATCH($A855,Mots!$A:$A,0)),"introuvable")</f>
        <v>la cascade</v>
      </c>
    </row>
    <row r="856" spans="1:3" x14ac:dyDescent="0.4">
      <c r="A856" s="39" t="s">
        <v>89</v>
      </c>
      <c r="B856" s="41" t="str">
        <f>IFERROR(INDEX(Mots!$B:$B,MATCH($A856,Mots!$A:$A,0)),"introuvable")</f>
        <v>la catégorie</v>
      </c>
    </row>
    <row r="857" spans="1:3" x14ac:dyDescent="0.4">
      <c r="A857" s="39" t="s">
        <v>4206</v>
      </c>
      <c r="B857" s="41" t="str">
        <f>IFERROR(INDEX(Mots!$B:$B,MATCH($A857,Mots!$A:$A,0)),"introuvable")</f>
        <v>la cave</v>
      </c>
    </row>
    <row r="858" spans="1:3" x14ac:dyDescent="0.4">
      <c r="A858" s="39" t="s">
        <v>4210</v>
      </c>
      <c r="B858" s="41" t="str">
        <f>IFERROR(INDEX(Mots!$B:$B,MATCH($A858,Mots!$A:$A,0)),"introuvable")</f>
        <v>la chair</v>
      </c>
    </row>
    <row r="859" spans="1:3" x14ac:dyDescent="0.4">
      <c r="A859" s="39" t="s">
        <v>4216</v>
      </c>
      <c r="B859" s="41" t="str">
        <f>IFERROR(INDEX(Mots!$B:$B,MATCH($A859,Mots!$A:$A,0)),"introuvable")</f>
        <v>la chaleur</v>
      </c>
    </row>
    <row r="860" spans="1:3" x14ac:dyDescent="0.4">
      <c r="A860" s="39" t="s">
        <v>415</v>
      </c>
      <c r="B860" s="41" t="str">
        <f>IFERROR(INDEX(Mots!$B:$B,MATCH($A860,Mots!$A:$A,0)),"introuvable")</f>
        <v>la chose</v>
      </c>
    </row>
    <row r="861" spans="1:3" x14ac:dyDescent="0.4">
      <c r="A861" s="39" t="s">
        <v>4226</v>
      </c>
      <c r="B861" s="41" t="str">
        <f>IFERROR(INDEX(Mots!$B:$B,MATCH($A861,Mots!$A:$A,0)),"introuvable")</f>
        <v>la circulation</v>
      </c>
    </row>
    <row r="862" spans="1:3" x14ac:dyDescent="0.4">
      <c r="A862" s="39" t="s">
        <v>4234</v>
      </c>
      <c r="B862" s="41" t="str">
        <f>IFERROR(INDEX(Mots!$B:$B,MATCH($A862,Mots!$A:$A,0)),"introuvable")</f>
        <v>la clairière</v>
      </c>
    </row>
    <row r="863" spans="1:3" x14ac:dyDescent="0.4">
      <c r="A863" s="39" t="s">
        <v>4242</v>
      </c>
      <c r="B863" s="41" t="str">
        <f>IFERROR(INDEX(Mots!$B:$B,MATCH($A863,Mots!$A:$A,0)),"introuvable")</f>
        <v>la classe</v>
      </c>
    </row>
    <row r="864" spans="1:3" x14ac:dyDescent="0.4">
      <c r="A864" s="39" t="s">
        <v>4250</v>
      </c>
      <c r="B864" s="41" t="str">
        <f>IFERROR(INDEX(Mots!$B:$B,MATCH($A864,Mots!$A:$A,0)),"introuvable")</f>
        <v>la clôture</v>
      </c>
    </row>
    <row r="865" spans="1:3" x14ac:dyDescent="0.4">
      <c r="A865" s="39" t="s">
        <v>4258</v>
      </c>
      <c r="B865" s="41" t="str">
        <f>IFERROR(INDEX(Mots!$B:$B,MATCH($A865,Mots!$A:$A,0)),"introuvable")</f>
        <v>la colle</v>
      </c>
    </row>
    <row r="866" spans="1:3" x14ac:dyDescent="0.4">
      <c r="A866" s="39" t="s">
        <v>4263</v>
      </c>
      <c r="B866" s="41" t="str">
        <f>IFERROR(INDEX(Mots!$B:$B,MATCH($A866,Mots!$A:$A,0)),"introuvable")</f>
        <v>la collection</v>
      </c>
    </row>
    <row r="867" spans="1:3" x14ac:dyDescent="0.4">
      <c r="A867" s="39" t="s">
        <v>4271</v>
      </c>
      <c r="B867" s="41" t="str">
        <f>IFERROR(INDEX(Mots!$B:$B,MATCH($A867,Mots!$A:$A,0)),"introuvable")</f>
        <v>la colline</v>
      </c>
    </row>
    <row r="868" spans="1:3" x14ac:dyDescent="0.4">
      <c r="A868" s="39" t="s">
        <v>4279</v>
      </c>
      <c r="B868" s="41" t="str">
        <f>IFERROR(INDEX(Mots!$B:$B,MATCH($A868,Mots!$A:$A,0)),"introuvable")</f>
        <v>la compagnie</v>
      </c>
    </row>
    <row r="869" spans="1:3" x14ac:dyDescent="0.4">
      <c r="A869" s="39" t="s">
        <v>4283</v>
      </c>
      <c r="B869" s="41" t="str">
        <f>IFERROR(INDEX(Mots!$B:$B,MATCH($A869,Mots!$A:$A,0)),"introuvable")</f>
        <v>la confiture</v>
      </c>
      <c r="C869" s="39" t="s">
        <v>222</v>
      </c>
    </row>
    <row r="870" spans="1:3" x14ac:dyDescent="0.4">
      <c r="A870" s="39" t="s">
        <v>4291</v>
      </c>
      <c r="B870" s="41" t="str">
        <f>IFERROR(INDEX(Mots!$B:$B,MATCH($A870,Mots!$A:$A,0)),"introuvable")</f>
        <v>la consigne</v>
      </c>
    </row>
    <row r="871" spans="1:3" x14ac:dyDescent="0.4">
      <c r="A871" s="39" t="s">
        <v>4295</v>
      </c>
      <c r="B871" s="41" t="str">
        <f>IFERROR(INDEX(Mots!$B:$B,MATCH($A871,Mots!$A:$A,0)),"introuvable")</f>
        <v>la construction</v>
      </c>
    </row>
    <row r="872" spans="1:3" x14ac:dyDescent="0.4">
      <c r="A872" s="39" t="s">
        <v>4303</v>
      </c>
      <c r="B872" s="41" t="str">
        <f>IFERROR(INDEX(Mots!$B:$B,MATCH($A872,Mots!$A:$A,0)),"introuvable")</f>
        <v>la conversation</v>
      </c>
    </row>
    <row r="873" spans="1:3" x14ac:dyDescent="0.4">
      <c r="A873" s="39" t="s">
        <v>4307</v>
      </c>
      <c r="B873" s="41" t="str">
        <f>IFERROR(INDEX(Mots!$B:$B,MATCH($A873,Mots!$A:$A,0)),"introuvable")</f>
        <v>la corde</v>
      </c>
    </row>
    <row r="874" spans="1:3" x14ac:dyDescent="0.4">
      <c r="A874" s="39" t="s">
        <v>4315</v>
      </c>
      <c r="B874" s="41" t="str">
        <f>IFERROR(INDEX(Mots!$B:$B,MATCH($A874,Mots!$A:$A,0)),"introuvable")</f>
        <v>la course</v>
      </c>
    </row>
    <row r="875" spans="1:3" x14ac:dyDescent="0.4">
      <c r="A875" s="39" t="s">
        <v>4323</v>
      </c>
      <c r="B875" s="41" t="str">
        <f>IFERROR(INDEX(Mots!$B:$B,MATCH($A875,Mots!$A:$A,0)),"introuvable")</f>
        <v>la couverture</v>
      </c>
    </row>
    <row r="876" spans="1:3" x14ac:dyDescent="0.4">
      <c r="A876" s="39" t="s">
        <v>4331</v>
      </c>
      <c r="B876" s="41" t="str">
        <f>IFERROR(INDEX(Mots!$B:$B,MATCH($A876,Mots!$A:$A,0)),"introuvable")</f>
        <v>la crème</v>
      </c>
      <c r="C876" s="39" t="s">
        <v>222</v>
      </c>
    </row>
    <row r="877" spans="1:3" x14ac:dyDescent="0.4">
      <c r="A877" s="39" t="s">
        <v>4339</v>
      </c>
      <c r="B877" s="41" t="str">
        <f>IFERROR(INDEX(Mots!$B:$B,MATCH($A877,Mots!$A:$A,0)),"introuvable")</f>
        <v>la curiosité</v>
      </c>
    </row>
    <row r="878" spans="1:3" x14ac:dyDescent="0.4">
      <c r="A878" s="39" t="s">
        <v>4357</v>
      </c>
      <c r="B878" s="41" t="str">
        <f>IFERROR(INDEX(Mots!$B:$B,MATCH($A878,Mots!$A:$A,0)),"introuvable")</f>
        <v>la différence</v>
      </c>
    </row>
    <row r="879" spans="1:3" x14ac:dyDescent="0.4">
      <c r="A879" s="39" t="s">
        <v>4362</v>
      </c>
      <c r="B879" s="41" t="str">
        <f>IFERROR(INDEX(Mots!$B:$B,MATCH($A879,Mots!$A:$A,0)),"introuvable")</f>
        <v>la dispute</v>
      </c>
    </row>
    <row r="880" spans="1:3" x14ac:dyDescent="0.4">
      <c r="A880" s="39" t="s">
        <v>4370</v>
      </c>
      <c r="B880" s="41" t="str">
        <f>IFERROR(INDEX(Mots!$B:$B,MATCH($A880,Mots!$A:$A,0)),"introuvable")</f>
        <v>la distance</v>
      </c>
    </row>
    <row r="881" spans="1:3" x14ac:dyDescent="0.4">
      <c r="A881" s="39" t="s">
        <v>4374</v>
      </c>
      <c r="B881" s="41" t="str">
        <f>IFERROR(INDEX(Mots!$B:$B,MATCH($A881,Mots!$A:$A,0)),"introuvable")</f>
        <v>la douleur</v>
      </c>
    </row>
    <row r="882" spans="1:3" x14ac:dyDescent="0.4">
      <c r="A882" s="39" t="s">
        <v>4378</v>
      </c>
      <c r="B882" s="41" t="str">
        <f>IFERROR(INDEX(Mots!$B:$B,MATCH($A882,Mots!$A:$A,0)),"introuvable")</f>
        <v>la face</v>
      </c>
    </row>
    <row r="883" spans="1:3" x14ac:dyDescent="0.4">
      <c r="A883" s="39" t="s">
        <v>4384</v>
      </c>
      <c r="B883" s="41" t="str">
        <f>IFERROR(INDEX(Mots!$B:$B,MATCH($A883,Mots!$A:$A,0)),"introuvable")</f>
        <v>la facture</v>
      </c>
      <c r="C883" s="39" t="s">
        <v>3223</v>
      </c>
    </row>
    <row r="884" spans="1:3" x14ac:dyDescent="0.4">
      <c r="A884" s="39" t="s">
        <v>4388</v>
      </c>
      <c r="B884" s="41" t="str">
        <f>IFERROR(INDEX(Mots!$B:$B,MATCH($A884,Mots!$A:$A,0)),"introuvable")</f>
        <v>la falaise</v>
      </c>
    </row>
    <row r="885" spans="1:3" x14ac:dyDescent="0.4">
      <c r="A885" s="39" t="s">
        <v>4392</v>
      </c>
      <c r="B885" s="41" t="str">
        <f>IFERROR(INDEX(Mots!$B:$B,MATCH($A885,Mots!$A:$A,0)),"introuvable")</f>
        <v>la farine</v>
      </c>
    </row>
    <row r="886" spans="1:3" x14ac:dyDescent="0.4">
      <c r="A886" s="39" t="s">
        <v>4400</v>
      </c>
      <c r="B886" s="41" t="str">
        <f>IFERROR(INDEX(Mots!$B:$B,MATCH($A886,Mots!$A:$A,0)),"introuvable")</f>
        <v>la faute</v>
      </c>
    </row>
    <row r="887" spans="1:3" x14ac:dyDescent="0.4">
      <c r="A887" s="39" t="s">
        <v>278</v>
      </c>
      <c r="B887" s="41" t="str">
        <f>IFERROR(INDEX(Mots!$B:$B,MATCH($A887,Mots!$A:$A,0)),"introuvable")</f>
        <v>la ferme</v>
      </c>
    </row>
    <row r="888" spans="1:3" x14ac:dyDescent="0.4">
      <c r="A888" s="39" t="s">
        <v>4412</v>
      </c>
      <c r="B888" s="41" t="str">
        <f>IFERROR(INDEX(Mots!$B:$B,MATCH($A888,Mots!$A:$A,0)),"introuvable")</f>
        <v>la fête</v>
      </c>
    </row>
    <row r="889" spans="1:3" x14ac:dyDescent="0.4">
      <c r="A889" s="39" t="s">
        <v>4421</v>
      </c>
      <c r="B889" s="41" t="str">
        <f>IFERROR(INDEX(Mots!$B:$B,MATCH($A889,Mots!$A:$A,0)),"introuvable")</f>
        <v>la fièvre</v>
      </c>
    </row>
    <row r="890" spans="1:3" x14ac:dyDescent="0.4">
      <c r="A890" s="39" t="s">
        <v>4425</v>
      </c>
      <c r="B890" s="41" t="str">
        <f>IFERROR(INDEX(Mots!$B:$B,MATCH($A890,Mots!$A:$A,0)),"introuvable")</f>
        <v>la fin</v>
      </c>
    </row>
    <row r="891" spans="1:3" x14ac:dyDescent="0.4">
      <c r="A891" s="39" t="s">
        <v>4429</v>
      </c>
      <c r="B891" s="41" t="str">
        <f>IFERROR(INDEX(Mots!$B:$B,MATCH($A891,Mots!$A:$A,0)),"introuvable")</f>
        <v>la flamme</v>
      </c>
    </row>
    <row r="892" spans="1:3" x14ac:dyDescent="0.4">
      <c r="A892" s="39" t="s">
        <v>4433</v>
      </c>
      <c r="B892" s="41" t="str">
        <f>IFERROR(INDEX(Mots!$B:$B,MATCH($A892,Mots!$A:$A,0)),"introuvable")</f>
        <v>la fois</v>
      </c>
    </row>
    <row r="893" spans="1:3" x14ac:dyDescent="0.4">
      <c r="A893" s="39" t="s">
        <v>4438</v>
      </c>
      <c r="B893" s="41" t="str">
        <f>IFERROR(INDEX(Mots!$B:$B,MATCH($A893,Mots!$A:$A,0)),"introuvable")</f>
        <v>la fontaine</v>
      </c>
    </row>
    <row r="894" spans="1:3" x14ac:dyDescent="0.4">
      <c r="A894" s="39" t="s">
        <v>4446</v>
      </c>
      <c r="B894" s="41" t="str">
        <f>IFERROR(INDEX(Mots!$B:$B,MATCH($A894,Mots!$A:$A,0)),"introuvable")</f>
        <v>la force</v>
      </c>
    </row>
    <row r="895" spans="1:3" x14ac:dyDescent="0.4">
      <c r="A895" s="39" t="s">
        <v>4450</v>
      </c>
      <c r="B895" s="41" t="str">
        <f>IFERROR(INDEX(Mots!$B:$B,MATCH($A895,Mots!$A:$A,0)),"introuvable")</f>
        <v>la forme</v>
      </c>
    </row>
    <row r="896" spans="1:3" x14ac:dyDescent="0.4">
      <c r="A896" s="39" t="s">
        <v>4455</v>
      </c>
      <c r="B896" s="41" t="str">
        <f>IFERROR(INDEX(Mots!$B:$B,MATCH($A896,Mots!$A:$A,0)),"introuvable")</f>
        <v>la foule</v>
      </c>
    </row>
    <row r="897" spans="1:2" x14ac:dyDescent="0.4">
      <c r="A897" s="39" t="s">
        <v>4459</v>
      </c>
      <c r="B897" s="41" t="str">
        <f>IFERROR(INDEX(Mots!$B:$B,MATCH($A897,Mots!$A:$A,0)),"introuvable")</f>
        <v>la friandise</v>
      </c>
    </row>
    <row r="898" spans="1:2" x14ac:dyDescent="0.4">
      <c r="A898" s="39" t="s">
        <v>4467</v>
      </c>
      <c r="B898" s="41" t="str">
        <f>IFERROR(INDEX(Mots!$B:$B,MATCH($A898,Mots!$A:$A,0)),"introuvable")</f>
        <v>la gaieté</v>
      </c>
    </row>
    <row r="899" spans="1:2" x14ac:dyDescent="0.4">
      <c r="A899" s="39" t="s">
        <v>4470</v>
      </c>
      <c r="B899" s="41" t="str">
        <f>IFERROR(INDEX(Mots!$B:$B,MATCH($A899,Mots!$A:$A,0)),"introuvable")</f>
        <v>la garantie</v>
      </c>
    </row>
    <row r="900" spans="1:2" x14ac:dyDescent="0.4">
      <c r="A900" s="39" t="s">
        <v>4477</v>
      </c>
      <c r="B900" s="41" t="str">
        <f>IFERROR(INDEX(Mots!$B:$B,MATCH($A900,Mots!$A:$A,0)),"introuvable")</f>
        <v>la gentillesse</v>
      </c>
    </row>
    <row r="901" spans="1:2" x14ac:dyDescent="0.4">
      <c r="A901" s="39" t="s">
        <v>4481</v>
      </c>
      <c r="B901" s="41" t="str">
        <f>IFERROR(INDEX(Mots!$B:$B,MATCH($A901,Mots!$A:$A,0)),"introuvable")</f>
        <v>la glace</v>
      </c>
    </row>
    <row r="902" spans="1:2" x14ac:dyDescent="0.4">
      <c r="A902" s="39" t="s">
        <v>4489</v>
      </c>
      <c r="B902" s="41" t="str">
        <f>IFERROR(INDEX(Mots!$B:$B,MATCH($A902,Mots!$A:$A,0)),"introuvable")</f>
        <v>la gorge</v>
      </c>
    </row>
    <row r="903" spans="1:2" x14ac:dyDescent="0.4">
      <c r="A903" s="39" t="s">
        <v>4498</v>
      </c>
      <c r="B903" s="41" t="str">
        <f>IFERROR(INDEX(Mots!$B:$B,MATCH($A903,Mots!$A:$A,0)),"introuvable")</f>
        <v>la goutte</v>
      </c>
    </row>
    <row r="904" spans="1:2" x14ac:dyDescent="0.4">
      <c r="A904" s="39" t="s">
        <v>4502</v>
      </c>
      <c r="B904" s="41" t="str">
        <f>IFERROR(INDEX(Mots!$B:$B,MATCH($A904,Mots!$A:$A,0)),"introuvable")</f>
        <v>la graine</v>
      </c>
    </row>
    <row r="905" spans="1:2" x14ac:dyDescent="0.4">
      <c r="A905" s="39" t="s">
        <v>4510</v>
      </c>
      <c r="B905" s="41" t="str">
        <f>IFERROR(INDEX(Mots!$B:$B,MATCH($A905,Mots!$A:$A,0)),"introuvable")</f>
        <v>la graisse</v>
      </c>
    </row>
    <row r="906" spans="1:2" x14ac:dyDescent="0.4">
      <c r="A906" s="39" t="s">
        <v>4512</v>
      </c>
      <c r="B906" s="41" t="str">
        <f>IFERROR(INDEX(Mots!$B:$B,MATCH($A906,Mots!$A:$A,0)),"introuvable")</f>
        <v>la grille</v>
      </c>
    </row>
    <row r="907" spans="1:2" x14ac:dyDescent="0.4">
      <c r="A907" s="39" t="s">
        <v>4520</v>
      </c>
      <c r="B907" s="41" t="str">
        <f>IFERROR(INDEX(Mots!$B:$B,MATCH($A907,Mots!$A:$A,0)),"introuvable")</f>
        <v>la grotte</v>
      </c>
    </row>
    <row r="908" spans="1:2" x14ac:dyDescent="0.4">
      <c r="A908" s="39" t="s">
        <v>4532</v>
      </c>
      <c r="B908" s="41" t="str">
        <f>IFERROR(INDEX(Mots!$B:$B,MATCH($A908,Mots!$A:$A,0)),"introuvable")</f>
        <v>la guérison</v>
      </c>
    </row>
    <row r="909" spans="1:2" x14ac:dyDescent="0.4">
      <c r="A909" s="39" t="s">
        <v>4536</v>
      </c>
      <c r="B909" s="41" t="str">
        <f>IFERROR(INDEX(Mots!$B:$B,MATCH($A909,Mots!$A:$A,0)),"introuvable")</f>
        <v>la guerre</v>
      </c>
    </row>
    <row r="910" spans="1:2" x14ac:dyDescent="0.4">
      <c r="A910" s="39" t="s">
        <v>4540</v>
      </c>
      <c r="B910" s="41" t="str">
        <f>IFERROR(INDEX(Mots!$B:$B,MATCH($A910,Mots!$A:$A,0)),"introuvable")</f>
        <v>la honte</v>
      </c>
    </row>
    <row r="911" spans="1:2" x14ac:dyDescent="0.4">
      <c r="A911" s="39" t="s">
        <v>4548</v>
      </c>
      <c r="B911" s="41" t="str">
        <f>IFERROR(INDEX(Mots!$B:$B,MATCH($A911,Mots!$A:$A,0)),"introuvable")</f>
        <v>la jalousie</v>
      </c>
    </row>
    <row r="912" spans="1:2" x14ac:dyDescent="0.4">
      <c r="A912" s="39" t="s">
        <v>4552</v>
      </c>
      <c r="B912" s="41" t="str">
        <f>IFERROR(INDEX(Mots!$B:$B,MATCH($A912,Mots!$A:$A,0)),"introuvable")</f>
        <v>la journée</v>
      </c>
    </row>
    <row r="913" spans="1:2" x14ac:dyDescent="0.4">
      <c r="A913" s="39" t="s">
        <v>4556</v>
      </c>
      <c r="B913" s="41" t="str">
        <f>IFERROR(INDEX(Mots!$B:$B,MATCH($A913,Mots!$A:$A,0)),"introuvable")</f>
        <v>la lame</v>
      </c>
    </row>
    <row r="914" spans="1:2" x14ac:dyDescent="0.4">
      <c r="A914" s="39" t="s">
        <v>4564</v>
      </c>
      <c r="B914" s="41" t="str">
        <f>IFERROR(INDEX(Mots!$B:$B,MATCH($A914,Mots!$A:$A,0)),"introuvable")</f>
        <v>la larme</v>
      </c>
    </row>
    <row r="915" spans="1:2" x14ac:dyDescent="0.4">
      <c r="A915" s="39" t="s">
        <v>4572</v>
      </c>
      <c r="B915" s="41" t="str">
        <f>IFERROR(INDEX(Mots!$B:$B,MATCH($A915,Mots!$A:$A,0)),"introuvable")</f>
        <v>la lecture</v>
      </c>
    </row>
    <row r="916" spans="1:2" x14ac:dyDescent="0.4">
      <c r="A916" s="39" t="s">
        <v>4580</v>
      </c>
      <c r="B916" s="41" t="str">
        <f>IFERROR(INDEX(Mots!$B:$B,MATCH($A916,Mots!$A:$A,0)),"introuvable")</f>
        <v>la ligne</v>
      </c>
    </row>
    <row r="917" spans="1:2" x14ac:dyDescent="0.4">
      <c r="A917" s="39" t="s">
        <v>4588</v>
      </c>
      <c r="B917" s="41" t="str">
        <f>IFERROR(INDEX(Mots!$B:$B,MATCH($A917,Mots!$A:$A,0)),"introuvable")</f>
        <v>la limite</v>
      </c>
    </row>
    <row r="918" spans="1:2" x14ac:dyDescent="0.4">
      <c r="A918" s="39" t="s">
        <v>4592</v>
      </c>
      <c r="B918" s="41" t="str">
        <f>IFERROR(INDEX(Mots!$B:$B,MATCH($A918,Mots!$A:$A,0)),"introuvable")</f>
        <v>la liste</v>
      </c>
    </row>
    <row r="919" spans="1:2" x14ac:dyDescent="0.4">
      <c r="A919" s="39" t="s">
        <v>4597</v>
      </c>
      <c r="B919" s="41" t="str">
        <f>IFERROR(INDEX(Mots!$B:$B,MATCH($A919,Mots!$A:$A,0)),"introuvable")</f>
        <v>la loi</v>
      </c>
    </row>
    <row r="920" spans="1:2" x14ac:dyDescent="0.4">
      <c r="A920" s="39" t="s">
        <v>4601</v>
      </c>
      <c r="B920" s="41" t="str">
        <f>IFERROR(INDEX(Mots!$B:$B,MATCH($A920,Mots!$A:$A,0)),"introuvable")</f>
        <v>la loupe</v>
      </c>
    </row>
    <row r="921" spans="1:2" x14ac:dyDescent="0.4">
      <c r="A921" s="39" t="s">
        <v>4605</v>
      </c>
      <c r="B921" s="41" t="str">
        <f>IFERROR(INDEX(Mots!$B:$B,MATCH($A921,Mots!$A:$A,0)),"introuvable")</f>
        <v>la lumière</v>
      </c>
    </row>
    <row r="922" spans="1:2" x14ac:dyDescent="0.4">
      <c r="A922" s="39" t="s">
        <v>4613</v>
      </c>
      <c r="B922" s="41" t="str">
        <f>IFERROR(INDEX(Mots!$B:$B,MATCH($A922,Mots!$A:$A,0)),"introuvable")</f>
        <v>la lutte</v>
      </c>
    </row>
    <row r="923" spans="1:2" x14ac:dyDescent="0.4">
      <c r="A923" s="39" t="s">
        <v>4621</v>
      </c>
      <c r="B923" s="41" t="str">
        <f>IFERROR(INDEX(Mots!$B:$B,MATCH($A923,Mots!$A:$A,0)),"introuvable")</f>
        <v>la machine</v>
      </c>
    </row>
    <row r="924" spans="1:2" x14ac:dyDescent="0.4">
      <c r="A924" s="39" t="s">
        <v>4627</v>
      </c>
      <c r="B924" s="41" t="str">
        <f>IFERROR(INDEX(Mots!$B:$B,MATCH($A924,Mots!$A:$A,0)),"introuvable")</f>
        <v>la maladie</v>
      </c>
    </row>
    <row r="925" spans="1:2" x14ac:dyDescent="0.4">
      <c r="A925" s="39" t="s">
        <v>4631</v>
      </c>
      <c r="B925" s="41" t="str">
        <f>IFERROR(INDEX(Mots!$B:$B,MATCH($A925,Mots!$A:$A,0)),"introuvable")</f>
        <v>la manche</v>
      </c>
    </row>
    <row r="926" spans="1:2" x14ac:dyDescent="0.4">
      <c r="A926" s="39" t="s">
        <v>4635</v>
      </c>
      <c r="B926" s="41" t="str">
        <f>IFERROR(INDEX(Mots!$B:$B,MATCH($A926,Mots!$A:$A,0)),"introuvable")</f>
        <v>la manière</v>
      </c>
    </row>
    <row r="927" spans="1:2" x14ac:dyDescent="0.4">
      <c r="A927" s="39" t="s">
        <v>4642</v>
      </c>
      <c r="B927" s="41" t="str">
        <f>IFERROR(INDEX(Mots!$B:$B,MATCH($A927,Mots!$A:$A,0)),"introuvable")</f>
        <v>la marée</v>
      </c>
    </row>
    <row r="928" spans="1:2" x14ac:dyDescent="0.4">
      <c r="A928" s="39" t="s">
        <v>4646</v>
      </c>
      <c r="B928" s="41" t="str">
        <f>IFERROR(INDEX(Mots!$B:$B,MATCH($A928,Mots!$A:$A,0)),"introuvable")</f>
        <v>la masse</v>
      </c>
    </row>
    <row r="929" spans="1:2" x14ac:dyDescent="0.4">
      <c r="A929" s="39" t="s">
        <v>4650</v>
      </c>
      <c r="B929" s="41" t="str">
        <f>IFERROR(INDEX(Mots!$B:$B,MATCH($A929,Mots!$A:$A,0)),"introuvable")</f>
        <v>la matière</v>
      </c>
    </row>
    <row r="930" spans="1:2" x14ac:dyDescent="0.4">
      <c r="A930" s="39" t="s">
        <v>4654</v>
      </c>
      <c r="B930" s="41" t="str">
        <f>IFERROR(INDEX(Mots!$B:$B,MATCH($A930,Mots!$A:$A,0)),"introuvable")</f>
        <v>la méfiance</v>
      </c>
    </row>
    <row r="931" spans="1:2" x14ac:dyDescent="0.4">
      <c r="A931" s="39" t="s">
        <v>4658</v>
      </c>
      <c r="B931" s="41" t="str">
        <f>IFERROR(INDEX(Mots!$B:$B,MATCH($A931,Mots!$A:$A,0)),"introuvable")</f>
        <v>la mémoire</v>
      </c>
    </row>
    <row r="932" spans="1:2" x14ac:dyDescent="0.4">
      <c r="A932" s="39" t="s">
        <v>4662</v>
      </c>
      <c r="B932" s="41" t="str">
        <f>IFERROR(INDEX(Mots!$B:$B,MATCH($A932,Mots!$A:$A,0)),"introuvable")</f>
        <v>la météo</v>
      </c>
    </row>
    <row r="933" spans="1:2" x14ac:dyDescent="0.4">
      <c r="A933" s="39" t="s">
        <v>4669</v>
      </c>
      <c r="B933" s="41" t="str">
        <f>IFERROR(INDEX(Mots!$B:$B,MATCH($A933,Mots!$A:$A,0)),"introuvable")</f>
        <v>la moitié</v>
      </c>
    </row>
    <row r="934" spans="1:2" x14ac:dyDescent="0.4">
      <c r="A934" s="39" t="s">
        <v>4675</v>
      </c>
      <c r="B934" s="41" t="str">
        <f>IFERROR(INDEX(Mots!$B:$B,MATCH($A934,Mots!$A:$A,0)),"introuvable")</f>
        <v>la montre</v>
      </c>
    </row>
    <row r="935" spans="1:2" x14ac:dyDescent="0.4">
      <c r="A935" s="39" t="s">
        <v>4683</v>
      </c>
      <c r="B935" s="41" t="str">
        <f>IFERROR(INDEX(Mots!$B:$B,MATCH($A935,Mots!$A:$A,0)),"introuvable")</f>
        <v>la mousse</v>
      </c>
    </row>
    <row r="936" spans="1:2" x14ac:dyDescent="0.4">
      <c r="A936" s="39" t="s">
        <v>4691</v>
      </c>
      <c r="B936" s="41" t="str">
        <f>IFERROR(INDEX(Mots!$B:$B,MATCH($A936,Mots!$A:$A,0)),"introuvable")</f>
        <v>la naissance</v>
      </c>
    </row>
    <row r="937" spans="1:2" x14ac:dyDescent="0.4">
      <c r="A937" s="39" t="s">
        <v>69</v>
      </c>
      <c r="B937" s="41" t="str">
        <f>IFERROR(INDEX(Mots!$B:$B,MATCH($A937,Mots!$A:$A,0)),"introuvable")</f>
        <v>la nature</v>
      </c>
    </row>
    <row r="938" spans="1:2" x14ac:dyDescent="0.4">
      <c r="A938" s="39" t="s">
        <v>4698</v>
      </c>
      <c r="B938" s="41" t="str">
        <f>IFERROR(INDEX(Mots!$B:$B,MATCH($A938,Mots!$A:$A,0)),"introuvable")</f>
        <v>la neige</v>
      </c>
    </row>
    <row r="939" spans="1:2" x14ac:dyDescent="0.4">
      <c r="A939" s="39" t="s">
        <v>4702</v>
      </c>
      <c r="B939" s="41" t="str">
        <f>IFERROR(INDEX(Mots!$B:$B,MATCH($A939,Mots!$A:$A,0)),"introuvable")</f>
        <v>la nouvelle</v>
      </c>
    </row>
    <row r="940" spans="1:2" x14ac:dyDescent="0.4">
      <c r="A940" s="39" t="s">
        <v>4710</v>
      </c>
      <c r="B940" s="41" t="str">
        <f>IFERROR(INDEX(Mots!$B:$B,MATCH($A940,Mots!$A:$A,0)),"introuvable")</f>
        <v>la nuance</v>
      </c>
    </row>
    <row r="941" spans="1:2" x14ac:dyDescent="0.4">
      <c r="A941" s="39" t="s">
        <v>4716</v>
      </c>
      <c r="B941" s="41" t="str">
        <f>IFERROR(INDEX(Mots!$B:$B,MATCH($A941,Mots!$A:$A,0)),"introuvable")</f>
        <v>la page</v>
      </c>
    </row>
    <row r="942" spans="1:2" x14ac:dyDescent="0.4">
      <c r="A942" s="39" t="s">
        <v>4720</v>
      </c>
      <c r="B942" s="41" t="str">
        <f>IFERROR(INDEX(Mots!$B:$B,MATCH($A942,Mots!$A:$A,0)),"introuvable")</f>
        <v>la paix</v>
      </c>
    </row>
    <row r="943" spans="1:2" x14ac:dyDescent="0.4">
      <c r="A943" s="39" t="s">
        <v>4724</v>
      </c>
      <c r="B943" s="41" t="str">
        <f>IFERROR(INDEX(Mots!$B:$B,MATCH($A943,Mots!$A:$A,0)),"introuvable")</f>
        <v>la panne</v>
      </c>
    </row>
    <row r="944" spans="1:2" x14ac:dyDescent="0.4">
      <c r="A944" s="39" t="s">
        <v>4732</v>
      </c>
      <c r="B944" s="41" t="str">
        <f>IFERROR(INDEX(Mots!$B:$B,MATCH($A944,Mots!$A:$A,0)),"introuvable")</f>
        <v>la paroi</v>
      </c>
    </row>
    <row r="945" spans="1:3" x14ac:dyDescent="0.4">
      <c r="A945" s="39" t="s">
        <v>4738</v>
      </c>
      <c r="B945" s="41" t="str">
        <f>IFERROR(INDEX(Mots!$B:$B,MATCH($A945,Mots!$A:$A,0)),"introuvable")</f>
        <v>la part</v>
      </c>
    </row>
    <row r="946" spans="1:3" x14ac:dyDescent="0.4">
      <c r="A946" s="39" t="s">
        <v>4743</v>
      </c>
      <c r="B946" s="41" t="str">
        <f>IFERROR(INDEX(Mots!$B:$B,MATCH($A946,Mots!$A:$A,0)),"introuvable")</f>
        <v>la partie</v>
      </c>
    </row>
    <row r="947" spans="1:3" x14ac:dyDescent="0.4">
      <c r="A947" s="39" t="s">
        <v>4746</v>
      </c>
      <c r="B947" s="41" t="str">
        <f>IFERROR(INDEX(Mots!$B:$B,MATCH($A947,Mots!$A:$A,0)),"introuvable")</f>
        <v>la patience</v>
      </c>
    </row>
    <row r="948" spans="1:3" x14ac:dyDescent="0.4">
      <c r="A948" s="39" t="s">
        <v>4750</v>
      </c>
      <c r="B948" s="41" t="str">
        <f>IFERROR(INDEX(Mots!$B:$B,MATCH($A948,Mots!$A:$A,0)),"introuvable")</f>
        <v>la patte</v>
      </c>
    </row>
    <row r="949" spans="1:3" x14ac:dyDescent="0.4">
      <c r="A949" s="39" t="s">
        <v>4756</v>
      </c>
      <c r="B949" s="41" t="str">
        <f>IFERROR(INDEX(Mots!$B:$B,MATCH($A949,Mots!$A:$A,0)),"introuvable")</f>
        <v>la peine</v>
      </c>
    </row>
    <row r="950" spans="1:3" x14ac:dyDescent="0.4">
      <c r="A950" s="39" t="s">
        <v>4762</v>
      </c>
      <c r="B950" s="41" t="str">
        <f>IFERROR(INDEX(Mots!$B:$B,MATCH($A950,Mots!$A:$A,0)),"introuvable")</f>
        <v>la peinture</v>
      </c>
    </row>
    <row r="951" spans="1:3" x14ac:dyDescent="0.4">
      <c r="A951" s="39" t="s">
        <v>4770</v>
      </c>
      <c r="B951" s="41" t="str">
        <f>IFERROR(INDEX(Mots!$B:$B,MATCH($A951,Mots!$A:$A,0)),"introuvable")</f>
        <v>la pensée</v>
      </c>
    </row>
    <row r="952" spans="1:3" x14ac:dyDescent="0.4">
      <c r="A952" s="39" t="s">
        <v>4775</v>
      </c>
      <c r="B952" s="41" t="str">
        <f>IFERROR(INDEX(Mots!$B:$B,MATCH($A952,Mots!$A:$A,0)),"introuvable")</f>
        <v>la période</v>
      </c>
    </row>
    <row r="953" spans="1:3" x14ac:dyDescent="0.4">
      <c r="A953" s="39" t="s">
        <v>4782</v>
      </c>
      <c r="B953" s="41" t="str">
        <f>IFERROR(INDEX(Mots!$B:$B,MATCH($A953,Mots!$A:$A,0)),"introuvable")</f>
        <v>la perte</v>
      </c>
    </row>
    <row r="954" spans="1:3" x14ac:dyDescent="0.4">
      <c r="A954" s="39" t="s">
        <v>4789</v>
      </c>
      <c r="B954" s="41" t="str">
        <f>IFERROR(INDEX(Mots!$B:$B,MATCH($A954,Mots!$A:$A,0)),"introuvable")</f>
        <v>la pharmacie</v>
      </c>
    </row>
    <row r="955" spans="1:3" x14ac:dyDescent="0.4">
      <c r="A955" s="39" t="s">
        <v>4797</v>
      </c>
      <c r="B955" s="41" t="str">
        <f>IFERROR(INDEX(Mots!$B:$B,MATCH($A955,Mots!$A:$A,0)),"introuvable")</f>
        <v>la photo</v>
      </c>
    </row>
    <row r="956" spans="1:3" x14ac:dyDescent="0.4">
      <c r="A956" s="39" t="s">
        <v>4805</v>
      </c>
      <c r="B956" s="41" t="str">
        <f>IFERROR(INDEX(Mots!$B:$B,MATCH($A956,Mots!$A:$A,0)),"introuvable")</f>
        <v>la pierre</v>
      </c>
    </row>
    <row r="957" spans="1:3" x14ac:dyDescent="0.4">
      <c r="A957" s="39" t="s">
        <v>4813</v>
      </c>
      <c r="B957" s="41" t="str">
        <f>IFERROR(INDEX(Mots!$B:$B,MATCH($A957,Mots!$A:$A,0)),"introuvable")</f>
        <v>la pince</v>
      </c>
    </row>
    <row r="958" spans="1:3" x14ac:dyDescent="0.4">
      <c r="A958" s="39" t="s">
        <v>4821</v>
      </c>
      <c r="B958" s="41" t="str">
        <f>IFERROR(INDEX(Mots!$B:$B,MATCH($A958,Mots!$A:$A,0)),"introuvable")</f>
        <v>la piqûre</v>
      </c>
    </row>
    <row r="959" spans="1:3" x14ac:dyDescent="0.4">
      <c r="A959" s="39" t="s">
        <v>4829</v>
      </c>
      <c r="B959" s="41" t="str">
        <f>IFERROR(INDEX(Mots!$B:$B,MATCH($A959,Mots!$A:$A,0)),"introuvable")</f>
        <v>la piscine</v>
      </c>
      <c r="C959" s="39" t="s">
        <v>182</v>
      </c>
    </row>
    <row r="960" spans="1:3" x14ac:dyDescent="0.4">
      <c r="A960" s="39" t="s">
        <v>4837</v>
      </c>
      <c r="B960" s="41" t="str">
        <f>IFERROR(INDEX(Mots!$B:$B,MATCH($A960,Mots!$A:$A,0)),"introuvable")</f>
        <v>la pitié</v>
      </c>
    </row>
    <row r="961" spans="1:2" x14ac:dyDescent="0.4">
      <c r="A961" s="39" t="s">
        <v>4842</v>
      </c>
      <c r="B961" s="41" t="str">
        <f>IFERROR(INDEX(Mots!$B:$B,MATCH($A961,Mots!$A:$A,0)),"introuvable")</f>
        <v>la place</v>
      </c>
    </row>
    <row r="962" spans="1:2" x14ac:dyDescent="0.4">
      <c r="A962" s="39" t="s">
        <v>4846</v>
      </c>
      <c r="B962" s="41" t="str">
        <f>IFERROR(INDEX(Mots!$B:$B,MATCH($A962,Mots!$A:$A,0)),"introuvable")</f>
        <v>la plage</v>
      </c>
    </row>
    <row r="963" spans="1:2" x14ac:dyDescent="0.4">
      <c r="A963" s="39" t="s">
        <v>4854</v>
      </c>
      <c r="B963" s="41" t="str">
        <f>IFERROR(INDEX(Mots!$B:$B,MATCH($A963,Mots!$A:$A,0)),"introuvable")</f>
        <v>la planète</v>
      </c>
    </row>
    <row r="964" spans="1:2" x14ac:dyDescent="0.4">
      <c r="A964" s="39" t="s">
        <v>4862</v>
      </c>
      <c r="B964" s="41" t="str">
        <f>IFERROR(INDEX(Mots!$B:$B,MATCH($A964,Mots!$A:$A,0)),"introuvable")</f>
        <v>la pluie</v>
      </c>
    </row>
    <row r="965" spans="1:2" x14ac:dyDescent="0.4">
      <c r="A965" s="39" t="s">
        <v>4870</v>
      </c>
      <c r="B965" s="41" t="str">
        <f>IFERROR(INDEX(Mots!$B:$B,MATCH($A965,Mots!$A:$A,0)),"introuvable")</f>
        <v>la plume</v>
      </c>
    </row>
    <row r="966" spans="1:2" x14ac:dyDescent="0.4">
      <c r="A966" s="39" t="s">
        <v>4882</v>
      </c>
      <c r="B966" s="41" t="str">
        <f>IFERROR(INDEX(Mots!$B:$B,MATCH($A966,Mots!$A:$A,0)),"introuvable")</f>
        <v>la politesse</v>
      </c>
    </row>
    <row r="967" spans="1:2" x14ac:dyDescent="0.4">
      <c r="A967" s="39" t="s">
        <v>4885</v>
      </c>
      <c r="B967" s="41" t="str">
        <f>IFERROR(INDEX(Mots!$B:$B,MATCH($A967,Mots!$A:$A,0)),"introuvable")</f>
        <v>la pommade</v>
      </c>
    </row>
    <row r="968" spans="1:2" x14ac:dyDescent="0.4">
      <c r="A968" s="39" t="s">
        <v>4893</v>
      </c>
      <c r="B968" s="41" t="str">
        <f>IFERROR(INDEX(Mots!$B:$B,MATCH($A968,Mots!$A:$A,0)),"introuvable")</f>
        <v>la possibilité</v>
      </c>
    </row>
    <row r="969" spans="1:2" x14ac:dyDescent="0.4">
      <c r="A969" s="39" t="s">
        <v>4899</v>
      </c>
      <c r="B969" s="41" t="str">
        <f>IFERROR(INDEX(Mots!$B:$B,MATCH($A969,Mots!$A:$A,0)),"introuvable")</f>
        <v>la poste</v>
      </c>
    </row>
    <row r="970" spans="1:2" x14ac:dyDescent="0.4">
      <c r="A970" s="39" t="s">
        <v>4906</v>
      </c>
      <c r="B970" s="41" t="str">
        <f>IFERROR(INDEX(Mots!$B:$B,MATCH($A970,Mots!$A:$A,0)),"introuvable")</f>
        <v>la poubelle</v>
      </c>
    </row>
    <row r="971" spans="1:2" x14ac:dyDescent="0.4">
      <c r="A971" s="39" t="s">
        <v>4914</v>
      </c>
      <c r="B971" s="41" t="str">
        <f>IFERROR(INDEX(Mots!$B:$B,MATCH($A971,Mots!$A:$A,0)),"introuvable")</f>
        <v>la poudre</v>
      </c>
    </row>
    <row r="972" spans="1:2" x14ac:dyDescent="0.4">
      <c r="A972" s="39" t="s">
        <v>4918</v>
      </c>
      <c r="B972" s="41" t="str">
        <f>IFERROR(INDEX(Mots!$B:$B,MATCH($A972,Mots!$A:$A,0)),"introuvable")</f>
        <v>la poussière</v>
      </c>
    </row>
    <row r="973" spans="1:2" x14ac:dyDescent="0.4">
      <c r="A973" s="39" t="s">
        <v>4926</v>
      </c>
      <c r="B973" s="41" t="str">
        <f>IFERROR(INDEX(Mots!$B:$B,MATCH($A973,Mots!$A:$A,0)),"introuvable")</f>
        <v>la prairie</v>
      </c>
    </row>
    <row r="974" spans="1:2" x14ac:dyDescent="0.4">
      <c r="A974" s="39" t="s">
        <v>4934</v>
      </c>
      <c r="B974" s="41" t="str">
        <f>IFERROR(INDEX(Mots!$B:$B,MATCH($A974,Mots!$A:$A,0)),"introuvable")</f>
        <v>la preuve</v>
      </c>
    </row>
    <row r="975" spans="1:2" x14ac:dyDescent="0.4">
      <c r="A975" s="39" t="s">
        <v>4941</v>
      </c>
      <c r="B975" s="41" t="str">
        <f>IFERROR(INDEX(Mots!$B:$B,MATCH($A975,Mots!$A:$A,0)),"introuvable")</f>
        <v>la promenade</v>
      </c>
    </row>
    <row r="976" spans="1:2" x14ac:dyDescent="0.4">
      <c r="A976" s="39" t="s">
        <v>4949</v>
      </c>
      <c r="B976" s="41" t="str">
        <f>IFERROR(INDEX(Mots!$B:$B,MATCH($A976,Mots!$A:$A,0)),"introuvable")</f>
        <v>la promesse</v>
      </c>
    </row>
    <row r="977" spans="1:2" x14ac:dyDescent="0.4">
      <c r="A977" s="39" t="s">
        <v>4953</v>
      </c>
      <c r="B977" s="41" t="str">
        <f>IFERROR(INDEX(Mots!$B:$B,MATCH($A977,Mots!$A:$A,0)),"introuvable")</f>
        <v>la protection</v>
      </c>
    </row>
    <row r="978" spans="1:2" x14ac:dyDescent="0.4">
      <c r="A978" s="39" t="s">
        <v>4957</v>
      </c>
      <c r="B978" s="41" t="str">
        <f>IFERROR(INDEX(Mots!$B:$B,MATCH($A978,Mots!$A:$A,0)),"introuvable")</f>
        <v>la qualité</v>
      </c>
    </row>
    <row r="979" spans="1:2" x14ac:dyDescent="0.4">
      <c r="A979" s="39" t="s">
        <v>4961</v>
      </c>
      <c r="B979" s="41" t="str">
        <f>IFERROR(INDEX(Mots!$B:$B,MATCH($A979,Mots!$A:$A,0)),"introuvable")</f>
        <v>la quantité</v>
      </c>
    </row>
    <row r="980" spans="1:2" x14ac:dyDescent="0.4">
      <c r="A980" s="39" t="s">
        <v>4965</v>
      </c>
      <c r="B980" s="41" t="str">
        <f>IFERROR(INDEX(Mots!$B:$B,MATCH($A980,Mots!$A:$A,0)),"introuvable")</f>
        <v>la question</v>
      </c>
    </row>
    <row r="981" spans="1:2" x14ac:dyDescent="0.4">
      <c r="A981" s="39" t="s">
        <v>4969</v>
      </c>
      <c r="B981" s="41" t="str">
        <f>IFERROR(INDEX(Mots!$B:$B,MATCH($A981,Mots!$A:$A,0)),"introuvable")</f>
        <v>la queue</v>
      </c>
    </row>
    <row r="982" spans="1:2" x14ac:dyDescent="0.4">
      <c r="A982" s="39" t="s">
        <v>4977</v>
      </c>
      <c r="B982" s="41" t="str">
        <f>IFERROR(INDEX(Mots!$B:$B,MATCH($A982,Mots!$A:$A,0)),"introuvable")</f>
        <v>la racine</v>
      </c>
    </row>
    <row r="983" spans="1:2" x14ac:dyDescent="0.4">
      <c r="A983" s="39" t="s">
        <v>4985</v>
      </c>
      <c r="B983" s="41" t="str">
        <f>IFERROR(INDEX(Mots!$B:$B,MATCH($A983,Mots!$A:$A,0)),"introuvable")</f>
        <v>la randonnée</v>
      </c>
    </row>
    <row r="984" spans="1:2" x14ac:dyDescent="0.4">
      <c r="A984" s="39" t="s">
        <v>4993</v>
      </c>
      <c r="B984" s="41" t="str">
        <f>IFERROR(INDEX(Mots!$B:$B,MATCH($A984,Mots!$A:$A,0)),"introuvable")</f>
        <v>la rapidité</v>
      </c>
    </row>
    <row r="985" spans="1:2" x14ac:dyDescent="0.4">
      <c r="A985" s="39" t="s">
        <v>5000</v>
      </c>
      <c r="B985" s="41" t="str">
        <f>IFERROR(INDEX(Mots!$B:$B,MATCH($A985,Mots!$A:$A,0)),"introuvable")</f>
        <v>la réaction</v>
      </c>
    </row>
    <row r="986" spans="1:2" x14ac:dyDescent="0.4">
      <c r="A986" s="39" t="s">
        <v>5005</v>
      </c>
      <c r="B986" s="41" t="str">
        <f>IFERROR(INDEX(Mots!$B:$B,MATCH($A986,Mots!$A:$A,0)),"introuvable")</f>
        <v>la récolte</v>
      </c>
    </row>
    <row r="987" spans="1:2" x14ac:dyDescent="0.4">
      <c r="A987" s="39" t="s">
        <v>5013</v>
      </c>
      <c r="B987" s="41" t="str">
        <f>IFERROR(INDEX(Mots!$B:$B,MATCH($A987,Mots!$A:$A,0)),"introuvable")</f>
        <v>la réconciliation</v>
      </c>
    </row>
    <row r="988" spans="1:2" x14ac:dyDescent="0.4">
      <c r="A988" s="39" t="s">
        <v>5017</v>
      </c>
      <c r="B988" s="41" t="str">
        <f>IFERROR(INDEX(Mots!$B:$B,MATCH($A988,Mots!$A:$A,0)),"introuvable")</f>
        <v>la rencontre</v>
      </c>
    </row>
    <row r="989" spans="1:2" x14ac:dyDescent="0.4">
      <c r="A989" s="39" t="s">
        <v>5021</v>
      </c>
      <c r="B989" s="41" t="str">
        <f>IFERROR(INDEX(Mots!$B:$B,MATCH($A989,Mots!$A:$A,0)),"introuvable")</f>
        <v>la réparation</v>
      </c>
    </row>
    <row r="990" spans="1:2" x14ac:dyDescent="0.4">
      <c r="A990" s="39" t="s">
        <v>5025</v>
      </c>
      <c r="B990" s="41" t="str">
        <f>IFERROR(INDEX(Mots!$B:$B,MATCH($A990,Mots!$A:$A,0)),"introuvable")</f>
        <v>la réponse</v>
      </c>
    </row>
    <row r="991" spans="1:2" x14ac:dyDescent="0.4">
      <c r="A991" s="39" t="s">
        <v>5033</v>
      </c>
      <c r="B991" s="41" t="str">
        <f>IFERROR(INDEX(Mots!$B:$B,MATCH($A991,Mots!$A:$A,0)),"introuvable")</f>
        <v>la roche</v>
      </c>
    </row>
    <row r="992" spans="1:2" x14ac:dyDescent="0.4">
      <c r="A992" s="39" t="s">
        <v>5041</v>
      </c>
      <c r="B992" s="41" t="str">
        <f>IFERROR(INDEX(Mots!$B:$B,MATCH($A992,Mots!$A:$A,0)),"introuvable")</f>
        <v>la rosée</v>
      </c>
    </row>
    <row r="993" spans="1:2" x14ac:dyDescent="0.4">
      <c r="A993" s="39" t="s">
        <v>5046</v>
      </c>
      <c r="B993" s="41" t="str">
        <f>IFERROR(INDEX(Mots!$B:$B,MATCH($A993,Mots!$A:$A,0)),"introuvable")</f>
        <v>la roue</v>
      </c>
    </row>
    <row r="994" spans="1:2" x14ac:dyDescent="0.4">
      <c r="A994" s="39" t="s">
        <v>5054</v>
      </c>
      <c r="B994" s="41" t="str">
        <f>IFERROR(INDEX(Mots!$B:$B,MATCH($A994,Mots!$A:$A,0)),"introuvable")</f>
        <v>la saleté</v>
      </c>
    </row>
    <row r="995" spans="1:2" x14ac:dyDescent="0.4">
      <c r="A995" s="39" t="s">
        <v>5062</v>
      </c>
      <c r="B995" s="41" t="str">
        <f>IFERROR(INDEX(Mots!$B:$B,MATCH($A995,Mots!$A:$A,0)),"introuvable")</f>
        <v>la santé</v>
      </c>
    </row>
    <row r="996" spans="1:2" x14ac:dyDescent="0.4">
      <c r="A996" s="39" t="s">
        <v>5066</v>
      </c>
      <c r="B996" s="41" t="str">
        <f>IFERROR(INDEX(Mots!$B:$B,MATCH($A996,Mots!$A:$A,0)),"introuvable")</f>
        <v>la sauce</v>
      </c>
    </row>
    <row r="997" spans="1:2" x14ac:dyDescent="0.4">
      <c r="A997" s="39" t="s">
        <v>5070</v>
      </c>
      <c r="B997" s="41" t="str">
        <f>IFERROR(INDEX(Mots!$B:$B,MATCH($A997,Mots!$A:$A,0)),"introuvable")</f>
        <v>la sensation</v>
      </c>
    </row>
    <row r="998" spans="1:2" x14ac:dyDescent="0.4">
      <c r="A998" s="39" t="s">
        <v>5080</v>
      </c>
      <c r="B998" s="41" t="str">
        <f>IFERROR(INDEX(Mots!$B:$B,MATCH($A998,Mots!$A:$A,0)),"introuvable")</f>
        <v>la signature</v>
      </c>
    </row>
    <row r="999" spans="1:2" x14ac:dyDescent="0.4">
      <c r="A999" s="39" t="s">
        <v>5084</v>
      </c>
      <c r="B999" s="41" t="str">
        <f>IFERROR(INDEX(Mots!$B:$B,MATCH($A999,Mots!$A:$A,0)),"introuvable")</f>
        <v>la situation</v>
      </c>
    </row>
    <row r="1000" spans="1:2" x14ac:dyDescent="0.4">
      <c r="A1000" s="39" t="s">
        <v>5088</v>
      </c>
      <c r="B1000" s="41" t="str">
        <f>IFERROR(INDEX(Mots!$B:$B,MATCH($A1000,Mots!$A:$A,0)),"introuvable")</f>
        <v>la société</v>
      </c>
    </row>
    <row r="1001" spans="1:2" x14ac:dyDescent="0.4">
      <c r="A1001" s="39" t="s">
        <v>5092</v>
      </c>
      <c r="B1001" s="41" t="str">
        <f>IFERROR(INDEX(Mots!$B:$B,MATCH($A1001,Mots!$A:$A,0)),"introuvable")</f>
        <v>la somme</v>
      </c>
    </row>
    <row r="1002" spans="1:2" x14ac:dyDescent="0.4">
      <c r="A1002" s="39" t="s">
        <v>5096</v>
      </c>
      <c r="B1002" s="41" t="str">
        <f>IFERROR(INDEX(Mots!$B:$B,MATCH($A1002,Mots!$A:$A,0)),"introuvable")</f>
        <v>la sorte</v>
      </c>
    </row>
    <row r="1003" spans="1:2" x14ac:dyDescent="0.4">
      <c r="A1003" s="39" t="s">
        <v>5099</v>
      </c>
      <c r="B1003" s="41" t="str">
        <f>IFERROR(INDEX(Mots!$B:$B,MATCH($A1003,Mots!$A:$A,0)),"introuvable")</f>
        <v>la sortie</v>
      </c>
    </row>
    <row r="1004" spans="1:2" x14ac:dyDescent="0.4">
      <c r="A1004" s="39" t="s">
        <v>5106</v>
      </c>
      <c r="B1004" s="41" t="str">
        <f>IFERROR(INDEX(Mots!$B:$B,MATCH($A1004,Mots!$A:$A,0)),"introuvable")</f>
        <v>la source</v>
      </c>
    </row>
    <row r="1005" spans="1:2" x14ac:dyDescent="0.4">
      <c r="A1005" s="39" t="s">
        <v>5110</v>
      </c>
      <c r="B1005" s="41" t="str">
        <f>IFERROR(INDEX(Mots!$B:$B,MATCH($A1005,Mots!$A:$A,0)),"introuvable")</f>
        <v>la sucrerie</v>
      </c>
    </row>
    <row r="1006" spans="1:2" x14ac:dyDescent="0.4">
      <c r="A1006" s="39" t="s">
        <v>5113</v>
      </c>
      <c r="B1006" s="41" t="str">
        <f>IFERROR(INDEX(Mots!$B:$B,MATCH($A1006,Mots!$A:$A,0)),"introuvable")</f>
        <v>la surface</v>
      </c>
    </row>
    <row r="1007" spans="1:2" x14ac:dyDescent="0.4">
      <c r="A1007" s="39" t="s">
        <v>5117</v>
      </c>
      <c r="B1007" s="41" t="str">
        <f>IFERROR(INDEX(Mots!$B:$B,MATCH($A1007,Mots!$A:$A,0)),"introuvable")</f>
        <v>la tâche</v>
      </c>
    </row>
    <row r="1008" spans="1:2" x14ac:dyDescent="0.4">
      <c r="A1008" s="39" t="s">
        <v>5121</v>
      </c>
      <c r="B1008" s="41" t="str">
        <f>IFERROR(INDEX(Mots!$B:$B,MATCH($A1008,Mots!$A:$A,0)),"introuvable")</f>
        <v>la tempête</v>
      </c>
    </row>
    <row r="1009" spans="1:3" x14ac:dyDescent="0.4">
      <c r="A1009" s="39" t="s">
        <v>5129</v>
      </c>
      <c r="B1009" s="41" t="str">
        <f>IFERROR(INDEX(Mots!$B:$B,MATCH($A1009,Mots!$A:$A,0)),"introuvable")</f>
        <v>la tendresse</v>
      </c>
    </row>
    <row r="1010" spans="1:3" x14ac:dyDescent="0.4">
      <c r="A1010" s="39" t="s">
        <v>5137</v>
      </c>
      <c r="B1010" s="41" t="str">
        <f>IFERROR(INDEX(Mots!$B:$B,MATCH($A1010,Mots!$A:$A,0)),"introuvable")</f>
        <v>la tente</v>
      </c>
    </row>
    <row r="1011" spans="1:3" x14ac:dyDescent="0.4">
      <c r="A1011" s="39" t="s">
        <v>5145</v>
      </c>
      <c r="B1011" s="41" t="str">
        <f>IFERROR(INDEX(Mots!$B:$B,MATCH($A1011,Mots!$A:$A,0)),"introuvable")</f>
        <v>la timidité</v>
      </c>
    </row>
    <row r="1012" spans="1:3" x14ac:dyDescent="0.4">
      <c r="A1012" s="39" t="s">
        <v>5152</v>
      </c>
      <c r="B1012" s="41" t="str">
        <f>IFERROR(INDEX(Mots!$B:$B,MATCH($A1012,Mots!$A:$A,0)),"introuvable")</f>
        <v>la toux</v>
      </c>
    </row>
    <row r="1013" spans="1:3" x14ac:dyDescent="0.4">
      <c r="A1013" s="39" t="s">
        <v>5158</v>
      </c>
      <c r="B1013" s="41" t="str">
        <f>IFERROR(INDEX(Mots!$B:$B,MATCH($A1013,Mots!$A:$A,0)),"introuvable")</f>
        <v>la vague</v>
      </c>
    </row>
    <row r="1014" spans="1:3" x14ac:dyDescent="0.4">
      <c r="A1014" s="39" t="s">
        <v>5166</v>
      </c>
      <c r="B1014" s="41" t="str">
        <f>IFERROR(INDEX(Mots!$B:$B,MATCH($A1014,Mots!$A:$A,0)),"introuvable")</f>
        <v>la valise</v>
      </c>
      <c r="C1014" s="39" t="s">
        <v>10120</v>
      </c>
    </row>
    <row r="1015" spans="1:3" x14ac:dyDescent="0.4">
      <c r="A1015" s="39" t="s">
        <v>5174</v>
      </c>
      <c r="B1015" s="41" t="str">
        <f>IFERROR(INDEX(Mots!$B:$B,MATCH($A1015,Mots!$A:$A,0)),"introuvable")</f>
        <v>la vallée</v>
      </c>
    </row>
    <row r="1016" spans="1:3" x14ac:dyDescent="0.4">
      <c r="A1016" s="39" t="s">
        <v>5178</v>
      </c>
      <c r="B1016" s="41" t="str">
        <f>IFERROR(INDEX(Mots!$B:$B,MATCH($A1016,Mots!$A:$A,0)),"introuvable")</f>
        <v>la vente</v>
      </c>
    </row>
    <row r="1017" spans="1:3" x14ac:dyDescent="0.4">
      <c r="A1017" s="39" t="s">
        <v>5182</v>
      </c>
      <c r="B1017" s="41" t="str">
        <f>IFERROR(INDEX(Mots!$B:$B,MATCH($A1017,Mots!$A:$A,0)),"introuvable")</f>
        <v>la vérité</v>
      </c>
    </row>
    <row r="1018" spans="1:3" x14ac:dyDescent="0.4">
      <c r="A1018" s="39" t="s">
        <v>5187</v>
      </c>
      <c r="B1018" s="41" t="str">
        <f>IFERROR(INDEX(Mots!$B:$B,MATCH($A1018,Mots!$A:$A,0)),"introuvable")</f>
        <v>la victime</v>
      </c>
    </row>
    <row r="1019" spans="1:3" x14ac:dyDescent="0.4">
      <c r="A1019" s="39" t="s">
        <v>5191</v>
      </c>
      <c r="B1019" s="41" t="str">
        <f>IFERROR(INDEX(Mots!$B:$B,MATCH($A1019,Mots!$A:$A,0)),"introuvable")</f>
        <v>la vie</v>
      </c>
    </row>
    <row r="1020" spans="1:3" x14ac:dyDescent="0.4">
      <c r="A1020" s="39" t="s">
        <v>5195</v>
      </c>
      <c r="B1020" s="41" t="str">
        <f>IFERROR(INDEX(Mots!$B:$B,MATCH($A1020,Mots!$A:$A,0)),"introuvable")</f>
        <v>la vigne</v>
      </c>
    </row>
    <row r="1021" spans="1:3" x14ac:dyDescent="0.4">
      <c r="A1021" s="39" t="s">
        <v>5199</v>
      </c>
      <c r="B1021" s="41" t="str">
        <f>IFERROR(INDEX(Mots!$B:$B,MATCH($A1021,Mots!$A:$A,0)),"introuvable")</f>
        <v>la vis</v>
      </c>
      <c r="C1021" s="39" t="s">
        <v>10120</v>
      </c>
    </row>
    <row r="1022" spans="1:3" x14ac:dyDescent="0.4">
      <c r="A1022" s="39" t="s">
        <v>5206</v>
      </c>
      <c r="B1022" s="41" t="str">
        <f>IFERROR(INDEX(Mots!$B:$B,MATCH($A1022,Mots!$A:$A,0)),"introuvable")</f>
        <v>la visite</v>
      </c>
    </row>
    <row r="1023" spans="1:3" x14ac:dyDescent="0.4">
      <c r="A1023" s="39" t="s">
        <v>5209</v>
      </c>
      <c r="B1023" s="41" t="str">
        <f>IFERROR(INDEX(Mots!$B:$B,MATCH($A1023,Mots!$A:$A,0)),"introuvable")</f>
        <v>la zone</v>
      </c>
    </row>
    <row r="1024" spans="1:3" x14ac:dyDescent="0.4">
      <c r="A1024" s="39" t="s">
        <v>5213</v>
      </c>
      <c r="B1024" s="41" t="str">
        <f>IFERROR(INDEX(Mots!$B:$B,MATCH($A1024,Mots!$A:$A,0)),"introuvable")</f>
        <v>l'accident</v>
      </c>
    </row>
    <row r="1025" spans="1:3" x14ac:dyDescent="0.4">
      <c r="A1025" s="39" t="s">
        <v>5221</v>
      </c>
      <c r="B1025" s="41" t="str">
        <f>IFERROR(INDEX(Mots!$B:$B,MATCH($A1025,Mots!$A:$A,0)),"introuvable")</f>
        <v>l'accord</v>
      </c>
    </row>
    <row r="1026" spans="1:3" x14ac:dyDescent="0.4">
      <c r="A1026" s="39" t="s">
        <v>5229</v>
      </c>
      <c r="B1026" s="41" t="str">
        <f>IFERROR(INDEX(Mots!$B:$B,MATCH($A1026,Mots!$A:$A,0)),"introuvable")</f>
        <v>l'achat</v>
      </c>
    </row>
    <row r="1027" spans="1:3" x14ac:dyDescent="0.4">
      <c r="A1027" s="39" t="s">
        <v>5232</v>
      </c>
      <c r="B1027" s="41" t="str">
        <f>IFERROR(INDEX(Mots!$B:$B,MATCH($A1027,Mots!$A:$A,0)),"introuvable")</f>
        <v>les affaires</v>
      </c>
    </row>
    <row r="1028" spans="1:3" x14ac:dyDescent="0.4">
      <c r="A1028" s="39" t="s">
        <v>5237</v>
      </c>
      <c r="B1028" s="41" t="str">
        <f>IFERROR(INDEX(Mots!$B:$B,MATCH($A1028,Mots!$A:$A,0)),"introuvable")</f>
        <v>l'âge</v>
      </c>
    </row>
    <row r="1029" spans="1:3" x14ac:dyDescent="0.4">
      <c r="A1029" s="39" t="s">
        <v>5245</v>
      </c>
      <c r="B1029" s="41" t="str">
        <f>IFERROR(INDEX(Mots!$B:$B,MATCH($A1029,Mots!$A:$A,0)),"introuvable")</f>
        <v>l'agitation</v>
      </c>
    </row>
    <row r="1030" spans="1:3" x14ac:dyDescent="0.4">
      <c r="A1030" s="39" t="s">
        <v>5249</v>
      </c>
      <c r="B1030" s="41" t="str">
        <f>IFERROR(INDEX(Mots!$B:$B,MATCH($A1030,Mots!$A:$A,0)),"introuvable")</f>
        <v>l'aide</v>
      </c>
    </row>
    <row r="1031" spans="1:3" x14ac:dyDescent="0.4">
      <c r="A1031" s="39" t="s">
        <v>5256</v>
      </c>
      <c r="B1031" s="41" t="str">
        <f>IFERROR(INDEX(Mots!$B:$B,MATCH($A1031,Mots!$A:$A,0)),"introuvable")</f>
        <v>l'aiguille</v>
      </c>
    </row>
    <row r="1032" spans="1:3" x14ac:dyDescent="0.4">
      <c r="A1032" s="39" t="s">
        <v>5264</v>
      </c>
      <c r="B1032" s="41" t="str">
        <f>IFERROR(INDEX(Mots!$B:$B,MATCH($A1032,Mots!$A:$A,0)),"introuvable")</f>
        <v>l'air</v>
      </c>
    </row>
    <row r="1033" spans="1:3" x14ac:dyDescent="0.4">
      <c r="A1033" s="39" t="s">
        <v>5268</v>
      </c>
      <c r="B1033" s="41" t="str">
        <f>IFERROR(INDEX(Mots!$B:$B,MATCH($A1033,Mots!$A:$A,0)),"introuvable")</f>
        <v>l'allergie</v>
      </c>
    </row>
    <row r="1034" spans="1:3" x14ac:dyDescent="0.4">
      <c r="A1034" s="39" t="s">
        <v>9513</v>
      </c>
      <c r="B1034" s="41" t="str">
        <f>IFERROR(INDEX(Mots!$B:$B,MATCH($A1034,Mots!$A:$A,0)),"introuvable")</f>
        <v>l'amitié</v>
      </c>
    </row>
    <row r="1035" spans="1:3" x14ac:dyDescent="0.4">
      <c r="A1035" s="39" t="s">
        <v>5279</v>
      </c>
      <c r="B1035" s="41" t="str">
        <f>IFERROR(INDEX(Mots!$B:$B,MATCH($A1035,Mots!$A:$A,0)),"introuvable")</f>
        <v>lancer</v>
      </c>
    </row>
    <row r="1036" spans="1:3" x14ac:dyDescent="0.4">
      <c r="A1036" s="39" t="s">
        <v>5287</v>
      </c>
      <c r="B1036" s="41" t="str">
        <f>IFERROR(INDEX(Mots!$B:$B,MATCH($A1036,Mots!$A:$A,0)),"introuvable")</f>
        <v>l'anse</v>
      </c>
    </row>
    <row r="1037" spans="1:3" x14ac:dyDescent="0.4">
      <c r="A1037" s="39" t="s">
        <v>5293</v>
      </c>
      <c r="B1037" s="41" t="str">
        <f>IFERROR(INDEX(Mots!$B:$B,MATCH($A1037,Mots!$A:$A,0)),"introuvable")</f>
        <v>l'appareil</v>
      </c>
    </row>
    <row r="1038" spans="1:3" x14ac:dyDescent="0.4">
      <c r="A1038" s="39" t="s">
        <v>5297</v>
      </c>
      <c r="B1038" s="41" t="str">
        <f>IFERROR(INDEX(Mots!$B:$B,MATCH($A1038,Mots!$A:$A,0)),"introuvable")</f>
        <v>l'appartement</v>
      </c>
      <c r="C1038" s="39" t="s">
        <v>366</v>
      </c>
    </row>
    <row r="1039" spans="1:3" x14ac:dyDescent="0.4">
      <c r="A1039" s="39" t="s">
        <v>5305</v>
      </c>
      <c r="B1039" s="41" t="str">
        <f>IFERROR(INDEX(Mots!$B:$B,MATCH($A1039,Mots!$A:$A,0)),"introuvable")</f>
        <v>l'arc-en-ciel</v>
      </c>
    </row>
    <row r="1040" spans="1:3" x14ac:dyDescent="0.4">
      <c r="A1040" s="39" t="s">
        <v>5309</v>
      </c>
      <c r="B1040" s="41" t="str">
        <f>IFERROR(INDEX(Mots!$B:$B,MATCH($A1040,Mots!$A:$A,0)),"introuvable")</f>
        <v>l'attention</v>
      </c>
    </row>
    <row r="1041" spans="1:3" x14ac:dyDescent="0.4">
      <c r="A1041" s="39" t="s">
        <v>5313</v>
      </c>
      <c r="B1041" s="41" t="str">
        <f>IFERROR(INDEX(Mots!$B:$B,MATCH($A1041,Mots!$A:$A,0)),"introuvable")</f>
        <v>l'autoroute</v>
      </c>
      <c r="C1041" s="39" t="s">
        <v>10127</v>
      </c>
    </row>
    <row r="1042" spans="1:3" x14ac:dyDescent="0.4">
      <c r="A1042" s="39" t="s">
        <v>5321</v>
      </c>
      <c r="B1042" s="41" t="str">
        <f>IFERROR(INDEX(Mots!$B:$B,MATCH($A1042,Mots!$A:$A,0)),"introuvable")</f>
        <v>l'aventure</v>
      </c>
    </row>
    <row r="1043" spans="1:3" x14ac:dyDescent="0.4">
      <c r="A1043" s="39" t="s">
        <v>5331</v>
      </c>
      <c r="B1043" s="41" t="str">
        <f>IFERROR(INDEX(Mots!$B:$B,MATCH($A1043,Mots!$A:$A,0)),"introuvable")</f>
        <v>laver</v>
      </c>
    </row>
    <row r="1044" spans="1:3" x14ac:dyDescent="0.4">
      <c r="A1044" s="39" t="s">
        <v>5343</v>
      </c>
      <c r="B1044" s="41" t="str">
        <f>IFERROR(INDEX(Mots!$B:$B,MATCH($A1044,Mots!$A:$A,0)),"introuvable")</f>
        <v>l'avis</v>
      </c>
    </row>
    <row r="1045" spans="1:3" x14ac:dyDescent="0.4">
      <c r="A1045" s="39" t="s">
        <v>5353</v>
      </c>
      <c r="B1045" s="41" t="str">
        <f>IFERROR(INDEX(Mots!$B:$B,MATCH($A1045,Mots!$A:$A,0)),"introuvable")</f>
        <v>le bain</v>
      </c>
      <c r="C1045" s="39" t="s">
        <v>201</v>
      </c>
    </row>
    <row r="1046" spans="1:3" x14ac:dyDescent="0.4">
      <c r="A1046" s="39" t="s">
        <v>5361</v>
      </c>
      <c r="B1046" s="41" t="str">
        <f>IFERROR(INDEX(Mots!$B:$B,MATCH($A1046,Mots!$A:$A,0)),"introuvable")</f>
        <v>le balai</v>
      </c>
      <c r="C1046" s="39" t="s">
        <v>10120</v>
      </c>
    </row>
    <row r="1047" spans="1:3" x14ac:dyDescent="0.4">
      <c r="A1047" s="39" t="s">
        <v>5369</v>
      </c>
      <c r="B1047" s="41" t="str">
        <f>IFERROR(INDEX(Mots!$B:$B,MATCH($A1047,Mots!$A:$A,0)),"introuvable")</f>
        <v>le balcon</v>
      </c>
      <c r="C1047" s="39" t="s">
        <v>182</v>
      </c>
    </row>
    <row r="1048" spans="1:3" x14ac:dyDescent="0.4">
      <c r="A1048" s="39" t="s">
        <v>5377</v>
      </c>
      <c r="B1048" s="41" t="str">
        <f>IFERROR(INDEX(Mots!$B:$B,MATCH($A1048,Mots!$A:$A,0)),"introuvable")</f>
        <v>le ballon</v>
      </c>
    </row>
    <row r="1049" spans="1:3" x14ac:dyDescent="0.4">
      <c r="A1049" s="39" t="s">
        <v>5385</v>
      </c>
      <c r="B1049" s="41" t="str">
        <f>IFERROR(INDEX(Mots!$B:$B,MATCH($A1049,Mots!$A:$A,0)),"introuvable")</f>
        <v>le bandage</v>
      </c>
    </row>
    <row r="1050" spans="1:3" x14ac:dyDescent="0.4">
      <c r="A1050" s="39" t="s">
        <v>5393</v>
      </c>
      <c r="B1050" s="41" t="str">
        <f>IFERROR(INDEX(Mots!$B:$B,MATCH($A1050,Mots!$A:$A,0)),"introuvable")</f>
        <v>le bâtiment</v>
      </c>
    </row>
    <row r="1051" spans="1:3" x14ac:dyDescent="0.4">
      <c r="A1051" s="39" t="s">
        <v>5401</v>
      </c>
      <c r="B1051" s="41" t="str">
        <f>IFERROR(INDEX(Mots!$B:$B,MATCH($A1051,Mots!$A:$A,0)),"introuvable")</f>
        <v>le besoin</v>
      </c>
    </row>
    <row r="1052" spans="1:3" x14ac:dyDescent="0.4">
      <c r="A1052" s="39" t="s">
        <v>5406</v>
      </c>
      <c r="B1052" s="41" t="str">
        <f>IFERROR(INDEX(Mots!$B:$B,MATCH($A1052,Mots!$A:$A,0)),"introuvable")</f>
        <v>le beurre</v>
      </c>
      <c r="C1052" s="39" t="s">
        <v>222</v>
      </c>
    </row>
    <row r="1053" spans="1:3" x14ac:dyDescent="0.4">
      <c r="A1053" s="39" t="s">
        <v>5412</v>
      </c>
      <c r="B1053" s="41" t="str">
        <f>IFERROR(INDEX(Mots!$B:$B,MATCH($A1053,Mots!$A:$A,0)),"introuvable")</f>
        <v>le billet</v>
      </c>
    </row>
    <row r="1054" spans="1:3" x14ac:dyDescent="0.4">
      <c r="A1054" s="39" t="s">
        <v>5418</v>
      </c>
      <c r="B1054" s="41" t="str">
        <f>IFERROR(INDEX(Mots!$B:$B,MATCH($A1054,Mots!$A:$A,0)),"introuvable")</f>
        <v>le blé</v>
      </c>
    </row>
    <row r="1055" spans="1:3" x14ac:dyDescent="0.4">
      <c r="A1055" s="39" t="s">
        <v>5426</v>
      </c>
      <c r="B1055" s="41" t="str">
        <f>IFERROR(INDEX(Mots!$B:$B,MATCH($A1055,Mots!$A:$A,0)),"introuvable")</f>
        <v>le bocal</v>
      </c>
    </row>
    <row r="1056" spans="1:3" x14ac:dyDescent="0.4">
      <c r="A1056" s="39" t="s">
        <v>5434</v>
      </c>
      <c r="B1056" s="41" t="str">
        <f>IFERROR(INDEX(Mots!$B:$B,MATCH($A1056,Mots!$A:$A,0)),"introuvable")</f>
        <v>le bois</v>
      </c>
    </row>
    <row r="1057" spans="1:3" x14ac:dyDescent="0.4">
      <c r="A1057" s="39" t="s">
        <v>5442</v>
      </c>
      <c r="B1057" s="41" t="str">
        <f>IFERROR(INDEX(Mots!$B:$B,MATCH($A1057,Mots!$A:$A,0)),"introuvable")</f>
        <v>le bonbon</v>
      </c>
    </row>
    <row r="1058" spans="1:3" x14ac:dyDescent="0.4">
      <c r="A1058" s="39" t="s">
        <v>5450</v>
      </c>
      <c r="B1058" s="41" t="str">
        <f>IFERROR(INDEX(Mots!$B:$B,MATCH($A1058,Mots!$A:$A,0)),"introuvable")</f>
        <v>le bord</v>
      </c>
    </row>
    <row r="1059" spans="1:3" x14ac:dyDescent="0.4">
      <c r="A1059" s="39" t="s">
        <v>5455</v>
      </c>
      <c r="B1059" s="41" t="str">
        <f>IFERROR(INDEX(Mots!$B:$B,MATCH($A1059,Mots!$A:$A,0)),"introuvable")</f>
        <v>le bourgeon</v>
      </c>
      <c r="C1059" s="39" t="s">
        <v>348</v>
      </c>
    </row>
    <row r="1060" spans="1:3" x14ac:dyDescent="0.4">
      <c r="A1060" s="39" t="s">
        <v>5463</v>
      </c>
      <c r="B1060" s="41" t="str">
        <f>IFERROR(INDEX(Mots!$B:$B,MATCH($A1060,Mots!$A:$A,0)),"introuvable")</f>
        <v>le bout</v>
      </c>
    </row>
    <row r="1061" spans="1:3" x14ac:dyDescent="0.4">
      <c r="A1061" s="39" t="s">
        <v>5471</v>
      </c>
      <c r="B1061" s="41" t="str">
        <f>IFERROR(INDEX(Mots!$B:$B,MATCH($A1061,Mots!$A:$A,0)),"introuvable")</f>
        <v>le bricolage</v>
      </c>
    </row>
    <row r="1062" spans="1:3" x14ac:dyDescent="0.4">
      <c r="A1062" s="39" t="s">
        <v>5479</v>
      </c>
      <c r="B1062" s="41" t="str">
        <f>IFERROR(INDEX(Mots!$B:$B,MATCH($A1062,Mots!$A:$A,0)),"introuvable")</f>
        <v>le brin</v>
      </c>
      <c r="C1062" s="39" t="s">
        <v>348</v>
      </c>
    </row>
    <row r="1063" spans="1:3" x14ac:dyDescent="0.4">
      <c r="A1063" s="39" t="s">
        <v>5487</v>
      </c>
      <c r="B1063" s="41" t="str">
        <f>IFERROR(INDEX(Mots!$B:$B,MATCH($A1063,Mots!$A:$A,0)),"introuvable")</f>
        <v>le brouillard</v>
      </c>
    </row>
    <row r="1064" spans="1:3" x14ac:dyDescent="0.4">
      <c r="A1064" s="39" t="s">
        <v>5495</v>
      </c>
      <c r="B1064" s="41" t="str">
        <f>IFERROR(INDEX(Mots!$B:$B,MATCH($A1064,Mots!$A:$A,0)),"introuvable")</f>
        <v>le bruit</v>
      </c>
    </row>
    <row r="1065" spans="1:3" x14ac:dyDescent="0.4">
      <c r="A1065" s="39" t="s">
        <v>5501</v>
      </c>
      <c r="B1065" s="41" t="str">
        <f>IFERROR(INDEX(Mots!$B:$B,MATCH($A1065,Mots!$A:$A,0)),"introuvable")</f>
        <v>le buisson</v>
      </c>
      <c r="C1065" s="39" t="s">
        <v>348</v>
      </c>
    </row>
    <row r="1066" spans="1:3" x14ac:dyDescent="0.4">
      <c r="A1066" s="39" t="s">
        <v>5509</v>
      </c>
      <c r="B1066" s="41" t="str">
        <f>IFERROR(INDEX(Mots!$B:$B,MATCH($A1066,Mots!$A:$A,0)),"introuvable")</f>
        <v>le but</v>
      </c>
    </row>
    <row r="1067" spans="1:3" x14ac:dyDescent="0.4">
      <c r="A1067" s="39" t="s">
        <v>5517</v>
      </c>
      <c r="B1067" s="41" t="str">
        <f>IFERROR(INDEX(Mots!$B:$B,MATCH($A1067,Mots!$A:$A,0)),"introuvable")</f>
        <v>le cadeau</v>
      </c>
    </row>
    <row r="1068" spans="1:3" x14ac:dyDescent="0.4">
      <c r="A1068" s="39" t="s">
        <v>5525</v>
      </c>
      <c r="B1068" s="41" t="str">
        <f>IFERROR(INDEX(Mots!$B:$B,MATCH($A1068,Mots!$A:$A,0)),"introuvable")</f>
        <v>le cahier</v>
      </c>
    </row>
    <row r="1069" spans="1:3" x14ac:dyDescent="0.4">
      <c r="A1069" s="39" t="s">
        <v>5533</v>
      </c>
      <c r="B1069" s="41" t="str">
        <f>IFERROR(INDEX(Mots!$B:$B,MATCH($A1069,Mots!$A:$A,0)),"introuvable")</f>
        <v>le calcul</v>
      </c>
    </row>
    <row r="1070" spans="1:3" x14ac:dyDescent="0.4">
      <c r="A1070" s="39" t="s">
        <v>5537</v>
      </c>
      <c r="B1070" s="41" t="str">
        <f>IFERROR(INDEX(Mots!$B:$B,MATCH($A1070,Mots!$A:$A,0)),"introuvable")</f>
        <v>le calme</v>
      </c>
    </row>
    <row r="1071" spans="1:3" x14ac:dyDescent="0.4">
      <c r="A1071" s="39" t="s">
        <v>5541</v>
      </c>
      <c r="B1071" s="41" t="str">
        <f>IFERROR(INDEX(Mots!$B:$B,MATCH($A1071,Mots!$A:$A,0)),"introuvable")</f>
        <v>le camping</v>
      </c>
    </row>
    <row r="1072" spans="1:3" x14ac:dyDescent="0.4">
      <c r="A1072" s="39" t="s">
        <v>5549</v>
      </c>
      <c r="B1072" s="41" t="str">
        <f>IFERROR(INDEX(Mots!$B:$B,MATCH($A1072,Mots!$A:$A,0)),"introuvable")</f>
        <v>le caoutchouc</v>
      </c>
    </row>
    <row r="1073" spans="1:3" x14ac:dyDescent="0.4">
      <c r="A1073" s="39" t="s">
        <v>5554</v>
      </c>
      <c r="B1073" s="41" t="str">
        <f>IFERROR(INDEX(Mots!$B:$B,MATCH($A1073,Mots!$A:$A,0)),"introuvable")</f>
        <v>le carnet</v>
      </c>
    </row>
    <row r="1074" spans="1:3" x14ac:dyDescent="0.4">
      <c r="A1074" s="39" t="s">
        <v>5562</v>
      </c>
      <c r="B1074" s="41" t="str">
        <f>IFERROR(INDEX(Mots!$B:$B,MATCH($A1074,Mots!$A:$A,0)),"introuvable")</f>
        <v>le cas</v>
      </c>
    </row>
    <row r="1075" spans="1:3" x14ac:dyDescent="0.4">
      <c r="A1075" s="39" t="s">
        <v>5567</v>
      </c>
      <c r="B1075" s="41" t="str">
        <f>IFERROR(INDEX(Mots!$B:$B,MATCH($A1075,Mots!$A:$A,0)),"introuvable")</f>
        <v>le centre</v>
      </c>
    </row>
    <row r="1076" spans="1:3" x14ac:dyDescent="0.4">
      <c r="A1076" s="39" t="s">
        <v>5571</v>
      </c>
      <c r="B1076" s="41" t="str">
        <f>IFERROR(INDEX(Mots!$B:$B,MATCH($A1076,Mots!$A:$A,0)),"introuvable")</f>
        <v>le chagrin</v>
      </c>
    </row>
    <row r="1077" spans="1:3" x14ac:dyDescent="0.4">
      <c r="A1077" s="39" t="s">
        <v>5580</v>
      </c>
      <c r="B1077" s="41" t="str">
        <f>IFERROR(INDEX(Mots!$B:$B,MATCH($A1077,Mots!$A:$A,0)),"introuvable")</f>
        <v>le champ</v>
      </c>
    </row>
    <row r="1078" spans="1:3" x14ac:dyDescent="0.4">
      <c r="A1078" s="39" t="s">
        <v>5588</v>
      </c>
      <c r="B1078" s="41" t="str">
        <f>IFERROR(INDEX(Mots!$B:$B,MATCH($A1078,Mots!$A:$A,0)),"introuvable")</f>
        <v>le champignon</v>
      </c>
    </row>
    <row r="1079" spans="1:3" x14ac:dyDescent="0.4">
      <c r="A1079" s="39" t="s">
        <v>5596</v>
      </c>
      <c r="B1079" s="41" t="str">
        <f>IFERROR(INDEX(Mots!$B:$B,MATCH($A1079,Mots!$A:$A,0)),"introuvable")</f>
        <v>le champion</v>
      </c>
    </row>
    <row r="1080" spans="1:3" x14ac:dyDescent="0.4">
      <c r="A1080" s="39" t="s">
        <v>5608</v>
      </c>
      <c r="B1080" s="41" t="str">
        <f>IFERROR(INDEX(Mots!$B:$B,MATCH($A1080,Mots!$A:$A,0)),"introuvable")</f>
        <v>le chemin</v>
      </c>
    </row>
    <row r="1081" spans="1:3" x14ac:dyDescent="0.4">
      <c r="A1081" s="39" t="s">
        <v>5613</v>
      </c>
      <c r="B1081" s="41" t="str">
        <f>IFERROR(INDEX(Mots!$B:$B,MATCH($A1081,Mots!$A:$A,0)),"introuvable")</f>
        <v>le choc</v>
      </c>
    </row>
    <row r="1082" spans="1:3" x14ac:dyDescent="0.4">
      <c r="A1082" s="39" t="s">
        <v>5620</v>
      </c>
      <c r="B1082" s="41" t="str">
        <f>IFERROR(INDEX(Mots!$B:$B,MATCH($A1082,Mots!$A:$A,0)),"introuvable")</f>
        <v>le chocolat</v>
      </c>
      <c r="C1082" s="39" t="s">
        <v>222</v>
      </c>
    </row>
    <row r="1083" spans="1:3" x14ac:dyDescent="0.4">
      <c r="A1083" s="39" t="s">
        <v>5628</v>
      </c>
      <c r="B1083" s="41" t="str">
        <f>IFERROR(INDEX(Mots!$B:$B,MATCH($A1083,Mots!$A:$A,0)),"introuvable")</f>
        <v>le cintre</v>
      </c>
      <c r="C1083" s="39" t="s">
        <v>196</v>
      </c>
    </row>
    <row r="1084" spans="1:3" x14ac:dyDescent="0.4">
      <c r="A1084" s="39" t="s">
        <v>5636</v>
      </c>
      <c r="B1084" s="41" t="str">
        <f>IFERROR(INDEX(Mots!$B:$B,MATCH($A1084,Mots!$A:$A,0)),"introuvable")</f>
        <v>le citron</v>
      </c>
      <c r="C1084" s="39" t="s">
        <v>226</v>
      </c>
    </row>
    <row r="1085" spans="1:3" x14ac:dyDescent="0.4">
      <c r="A1085" s="39" t="s">
        <v>5644</v>
      </c>
      <c r="B1085" s="41" t="str">
        <f>IFERROR(INDEX(Mots!$B:$B,MATCH($A1085,Mots!$A:$A,0)),"introuvable")</f>
        <v>le clou</v>
      </c>
    </row>
    <row r="1086" spans="1:3" x14ac:dyDescent="0.4">
      <c r="A1086" s="39" t="s">
        <v>5648</v>
      </c>
      <c r="B1086" s="41" t="str">
        <f>IFERROR(INDEX(Mots!$B:$B,MATCH($A1086,Mots!$A:$A,0)),"introuvable")</f>
        <v>le combat</v>
      </c>
    </row>
    <row r="1087" spans="1:3" x14ac:dyDescent="0.4">
      <c r="A1087" s="39" t="s">
        <v>5651</v>
      </c>
      <c r="B1087" s="41" t="str">
        <f>IFERROR(INDEX(Mots!$B:$B,MATCH($A1087,Mots!$A:$A,0)),"introuvable")</f>
        <v>le commerce</v>
      </c>
    </row>
    <row r="1088" spans="1:3" x14ac:dyDescent="0.4">
      <c r="A1088" s="39" t="s">
        <v>5655</v>
      </c>
      <c r="B1088" s="41" t="str">
        <f>IFERROR(INDEX(Mots!$B:$B,MATCH($A1088,Mots!$A:$A,0)),"introuvable")</f>
        <v>le complice</v>
      </c>
    </row>
    <row r="1089" spans="1:4" x14ac:dyDescent="0.4">
      <c r="A1089" s="39" t="s">
        <v>5660</v>
      </c>
      <c r="B1089" s="41" t="str">
        <f>IFERROR(INDEX(Mots!$B:$B,MATCH($A1089,Mots!$A:$A,0)),"introuvable")</f>
        <v>le comprimé</v>
      </c>
      <c r="C1089" s="39" t="s">
        <v>201</v>
      </c>
      <c r="D1089" s="39" t="s">
        <v>186</v>
      </c>
    </row>
    <row r="1090" spans="1:4" x14ac:dyDescent="0.4">
      <c r="A1090" s="39" t="s">
        <v>5668</v>
      </c>
      <c r="B1090" s="41" t="str">
        <f>IFERROR(INDEX(Mots!$B:$B,MATCH($A1090,Mots!$A:$A,0)),"introuvable")</f>
        <v>le concours</v>
      </c>
    </row>
    <row r="1091" spans="1:4" x14ac:dyDescent="0.4">
      <c r="A1091" s="39" t="s">
        <v>5672</v>
      </c>
      <c r="B1091" s="41" t="str">
        <f>IFERROR(INDEX(Mots!$B:$B,MATCH($A1091,Mots!$A:$A,0)),"introuvable")</f>
        <v>le cône</v>
      </c>
    </row>
    <row r="1092" spans="1:4" x14ac:dyDescent="0.4">
      <c r="A1092" s="39" t="s">
        <v>5680</v>
      </c>
      <c r="B1092" s="41" t="str">
        <f>IFERROR(INDEX(Mots!$B:$B,MATCH($A1092,Mots!$A:$A,0)),"introuvable")</f>
        <v>le copain</v>
      </c>
    </row>
    <row r="1093" spans="1:4" x14ac:dyDescent="0.4">
      <c r="A1093" s="39" t="s">
        <v>5684</v>
      </c>
      <c r="B1093" s="41" t="str">
        <f>IFERROR(INDEX(Mots!$B:$B,MATCH($A1093,Mots!$A:$A,0)),"introuvable")</f>
        <v>le côté</v>
      </c>
    </row>
    <row r="1094" spans="1:4" x14ac:dyDescent="0.4">
      <c r="A1094" s="39" t="s">
        <v>5690</v>
      </c>
      <c r="B1094" s="41" t="str">
        <f>IFERROR(INDEX(Mots!$B:$B,MATCH($A1094,Mots!$A:$A,0)),"introuvable")</f>
        <v>le coup</v>
      </c>
    </row>
    <row r="1095" spans="1:4" x14ac:dyDescent="0.4">
      <c r="A1095" s="39" t="s">
        <v>5698</v>
      </c>
      <c r="B1095" s="41" t="str">
        <f>IFERROR(INDEX(Mots!$B:$B,MATCH($A1095,Mots!$A:$A,0)),"introuvable")</f>
        <v>le courrier</v>
      </c>
    </row>
    <row r="1096" spans="1:4" x14ac:dyDescent="0.4">
      <c r="A1096" s="39" t="s">
        <v>5703</v>
      </c>
      <c r="B1096" s="41" t="str">
        <f>IFERROR(INDEX(Mots!$B:$B,MATCH($A1096,Mots!$A:$A,0)),"introuvable")</f>
        <v>le cousin</v>
      </c>
    </row>
    <row r="1097" spans="1:4" x14ac:dyDescent="0.4">
      <c r="A1097" s="39" t="s">
        <v>5706</v>
      </c>
      <c r="B1097" s="41" t="str">
        <f>IFERROR(INDEX(Mots!$B:$B,MATCH($A1097,Mots!$A:$A,0)),"introuvable")</f>
        <v>le coussin</v>
      </c>
      <c r="C1097" s="39" t="s">
        <v>191</v>
      </c>
    </row>
    <row r="1098" spans="1:4" x14ac:dyDescent="0.4">
      <c r="A1098" s="39" t="s">
        <v>5711</v>
      </c>
      <c r="B1098" s="41" t="str">
        <f>IFERROR(INDEX(Mots!$B:$B,MATCH($A1098,Mots!$A:$A,0)),"introuvable")</f>
        <v>le couvercle</v>
      </c>
      <c r="C1098" s="39" t="s">
        <v>186</v>
      </c>
    </row>
    <row r="1099" spans="1:4" x14ac:dyDescent="0.4">
      <c r="A1099" s="39" t="s">
        <v>5719</v>
      </c>
      <c r="B1099" s="41" t="str">
        <f>IFERROR(INDEX(Mots!$B:$B,MATCH($A1099,Mots!$A:$A,0)),"introuvable")</f>
        <v>le crayon</v>
      </c>
      <c r="C1099" s="39" t="s">
        <v>147</v>
      </c>
      <c r="D1099" s="39" t="s">
        <v>186</v>
      </c>
    </row>
    <row r="1100" spans="1:4" x14ac:dyDescent="0.4">
      <c r="A1100" s="39" t="s">
        <v>5725</v>
      </c>
      <c r="B1100" s="41" t="str">
        <f>IFERROR(INDEX(Mots!$B:$B,MATCH($A1100,Mots!$A:$A,0)),"introuvable")</f>
        <v>le cube</v>
      </c>
    </row>
    <row r="1101" spans="1:4" x14ac:dyDescent="0.4">
      <c r="A1101" s="39" t="s">
        <v>5732</v>
      </c>
      <c r="B1101" s="41" t="str">
        <f>IFERROR(INDEX(Mots!$B:$B,MATCH($A1101,Mots!$A:$A,0)),"introuvable")</f>
        <v>le danger</v>
      </c>
    </row>
    <row r="1102" spans="1:4" x14ac:dyDescent="0.4">
      <c r="A1102" s="39" t="s">
        <v>5735</v>
      </c>
      <c r="B1102" s="41" t="str">
        <f>IFERROR(INDEX(Mots!$B:$B,MATCH($A1102,Mots!$A:$A,0)),"introuvable")</f>
        <v>le dé</v>
      </c>
    </row>
    <row r="1103" spans="1:4" x14ac:dyDescent="0.4">
      <c r="A1103" s="39" t="s">
        <v>5743</v>
      </c>
      <c r="B1103" s="41" t="str">
        <f>IFERROR(INDEX(Mots!$B:$B,MATCH($A1103,Mots!$A:$A,0)),"introuvable")</f>
        <v>le déchet</v>
      </c>
    </row>
    <row r="1104" spans="1:4" x14ac:dyDescent="0.4">
      <c r="A1104" s="39" t="s">
        <v>5751</v>
      </c>
      <c r="B1104" s="41" t="str">
        <f>IFERROR(INDEX(Mots!$B:$B,MATCH($A1104,Mots!$A:$A,0)),"introuvable")</f>
        <v>le dégât</v>
      </c>
    </row>
    <row r="1105" spans="1:2" x14ac:dyDescent="0.4">
      <c r="A1105" s="39" t="s">
        <v>5759</v>
      </c>
      <c r="B1105" s="41" t="str">
        <f>IFERROR(INDEX(Mots!$B:$B,MATCH($A1105,Mots!$A:$A,0)),"introuvable")</f>
        <v>le degré</v>
      </c>
    </row>
    <row r="1106" spans="1:2" x14ac:dyDescent="0.4">
      <c r="A1106" s="39" t="s">
        <v>5767</v>
      </c>
      <c r="B1106" s="41" t="str">
        <f>IFERROR(INDEX(Mots!$B:$B,MATCH($A1106,Mots!$A:$A,0)),"introuvable")</f>
        <v>le déjeuner</v>
      </c>
    </row>
    <row r="1107" spans="1:2" x14ac:dyDescent="0.4">
      <c r="A1107" s="39" t="s">
        <v>5774</v>
      </c>
      <c r="B1107" s="41" t="str">
        <f>IFERROR(INDEX(Mots!$B:$B,MATCH($A1107,Mots!$A:$A,0)),"introuvable")</f>
        <v>le désir</v>
      </c>
    </row>
    <row r="1108" spans="1:2" x14ac:dyDescent="0.4">
      <c r="A1108" s="39" t="s">
        <v>5778</v>
      </c>
      <c r="B1108" s="41" t="str">
        <f>IFERROR(INDEX(Mots!$B:$B,MATCH($A1108,Mots!$A:$A,0)),"introuvable")</f>
        <v>le dessert</v>
      </c>
    </row>
    <row r="1109" spans="1:2" x14ac:dyDescent="0.4">
      <c r="A1109" s="39" t="s">
        <v>5785</v>
      </c>
      <c r="B1109" s="41" t="str">
        <f>IFERROR(INDEX(Mots!$B:$B,MATCH($A1109,Mots!$A:$A,0)),"introuvable")</f>
        <v>le devoir</v>
      </c>
    </row>
    <row r="1110" spans="1:2" x14ac:dyDescent="0.4">
      <c r="A1110" s="39" t="s">
        <v>5789</v>
      </c>
      <c r="B1110" s="41" t="str">
        <f>IFERROR(INDEX(Mots!$B:$B,MATCH($A1110,Mots!$A:$A,0)),"introuvable")</f>
        <v>le dîner</v>
      </c>
    </row>
    <row r="1111" spans="1:2" x14ac:dyDescent="0.4">
      <c r="A1111" s="39" t="s">
        <v>5793</v>
      </c>
      <c r="B1111" s="41" t="str">
        <f>IFERROR(INDEX(Mots!$B:$B,MATCH($A1111,Mots!$A:$A,0)),"introuvable")</f>
        <v>le disque</v>
      </c>
    </row>
    <row r="1112" spans="1:2" x14ac:dyDescent="0.4">
      <c r="A1112" s="39" t="s">
        <v>5797</v>
      </c>
      <c r="B1112" s="41" t="str">
        <f>IFERROR(INDEX(Mots!$B:$B,MATCH($A1112,Mots!$A:$A,0)),"introuvable")</f>
        <v>le document</v>
      </c>
    </row>
    <row r="1113" spans="1:2" x14ac:dyDescent="0.4">
      <c r="A1113" s="39" t="s">
        <v>5801</v>
      </c>
      <c r="B1113" s="41" t="str">
        <f>IFERROR(INDEX(Mots!$B:$B,MATCH($A1113,Mots!$A:$A,0)),"introuvable")</f>
        <v>le dommage</v>
      </c>
    </row>
    <row r="1114" spans="1:2" x14ac:dyDescent="0.4">
      <c r="A1114" s="39" t="s">
        <v>5805</v>
      </c>
      <c r="B1114" s="41" t="str">
        <f>IFERROR(INDEX(Mots!$B:$B,MATCH($A1114,Mots!$A:$A,0)),"introuvable")</f>
        <v>le fer</v>
      </c>
    </row>
    <row r="1115" spans="1:2" x14ac:dyDescent="0.4">
      <c r="A1115" s="39" t="s">
        <v>5813</v>
      </c>
      <c r="B1115" s="41" t="str">
        <f>IFERROR(INDEX(Mots!$B:$B,MATCH($A1115,Mots!$A:$A,0)),"introuvable")</f>
        <v>le fil</v>
      </c>
    </row>
    <row r="1116" spans="1:2" x14ac:dyDescent="0.4">
      <c r="A1116" s="39" t="s">
        <v>5817</v>
      </c>
      <c r="B1116" s="41" t="str">
        <f>IFERROR(INDEX(Mots!$B:$B,MATCH($A1116,Mots!$A:$A,0)),"introuvable")</f>
        <v>le film</v>
      </c>
    </row>
    <row r="1117" spans="1:2" x14ac:dyDescent="0.4">
      <c r="A1117" s="39" t="s">
        <v>5821</v>
      </c>
      <c r="B1117" s="41" t="str">
        <f>IFERROR(INDEX(Mots!$B:$B,MATCH($A1117,Mots!$A:$A,0)),"introuvable")</f>
        <v>le fond</v>
      </c>
    </row>
    <row r="1118" spans="1:2" x14ac:dyDescent="0.4">
      <c r="A1118" s="39" t="s">
        <v>5825</v>
      </c>
      <c r="B1118" s="41" t="str">
        <f>IFERROR(INDEX(Mots!$B:$B,MATCH($A1118,Mots!$A:$A,0)),"introuvable")</f>
        <v>le frein</v>
      </c>
    </row>
    <row r="1119" spans="1:2" x14ac:dyDescent="0.4">
      <c r="A1119" s="39" t="s">
        <v>5835</v>
      </c>
      <c r="B1119" s="41" t="str">
        <f>IFERROR(INDEX(Mots!$B:$B,MATCH($A1119,Mots!$A:$A,0)),"introuvable")</f>
        <v>le garçon</v>
      </c>
    </row>
    <row r="1120" spans="1:2" x14ac:dyDescent="0.4">
      <c r="A1120" s="39" t="s">
        <v>5839</v>
      </c>
      <c r="B1120" s="41" t="str">
        <f>IFERROR(INDEX(Mots!$B:$B,MATCH($A1120,Mots!$A:$A,0)),"introuvable")</f>
        <v>le gel</v>
      </c>
    </row>
    <row r="1121" spans="1:2" x14ac:dyDescent="0.4">
      <c r="A1121" s="39" t="s">
        <v>5843</v>
      </c>
      <c r="B1121" s="41" t="str">
        <f>IFERROR(INDEX(Mots!$B:$B,MATCH($A1121,Mots!$A:$A,0)),"introuvable")</f>
        <v>le geste</v>
      </c>
    </row>
    <row r="1122" spans="1:2" x14ac:dyDescent="0.4">
      <c r="A1122" s="39" t="s">
        <v>5849</v>
      </c>
      <c r="B1122" s="41" t="str">
        <f>IFERROR(INDEX(Mots!$B:$B,MATCH($A1122,Mots!$A:$A,0)),"introuvable")</f>
        <v>le goût</v>
      </c>
    </row>
    <row r="1123" spans="1:2" x14ac:dyDescent="0.4">
      <c r="A1123" s="39" t="s">
        <v>5853</v>
      </c>
      <c r="B1123" s="41" t="str">
        <f>IFERROR(INDEX(Mots!$B:$B,MATCH($A1123,Mots!$A:$A,0)),"introuvable")</f>
        <v>le grain</v>
      </c>
    </row>
    <row r="1124" spans="1:2" x14ac:dyDescent="0.4">
      <c r="A1124" s="39" t="s">
        <v>5861</v>
      </c>
      <c r="B1124" s="41" t="str">
        <f>IFERROR(INDEX(Mots!$B:$B,MATCH($A1124,Mots!$A:$A,0)),"introuvable")</f>
        <v>le groupe</v>
      </c>
    </row>
    <row r="1125" spans="1:2" x14ac:dyDescent="0.4">
      <c r="A1125" s="39" t="s">
        <v>5865</v>
      </c>
      <c r="B1125" s="41" t="str">
        <f>IFERROR(INDEX(Mots!$B:$B,MATCH($A1125,Mots!$A:$A,0)),"introuvable")</f>
        <v>le hasard</v>
      </c>
    </row>
    <row r="1126" spans="1:2" x14ac:dyDescent="0.4">
      <c r="A1126" s="39" t="s">
        <v>5869</v>
      </c>
      <c r="B1126" s="41" t="str">
        <f>IFERROR(INDEX(Mots!$B:$B,MATCH($A1126,Mots!$A:$A,0)),"introuvable")</f>
        <v>le hobby</v>
      </c>
    </row>
    <row r="1127" spans="1:2" x14ac:dyDescent="0.4">
      <c r="A1127" s="39" t="s">
        <v>5876</v>
      </c>
      <c r="B1127" s="41" t="str">
        <f>IFERROR(INDEX(Mots!$B:$B,MATCH($A1127,Mots!$A:$A,0)),"introuvable")</f>
        <v>le jardinage</v>
      </c>
    </row>
    <row r="1128" spans="1:2" x14ac:dyDescent="0.4">
      <c r="A1128" s="39" t="s">
        <v>5882</v>
      </c>
      <c r="B1128" s="41" t="str">
        <f>IFERROR(INDEX(Mots!$B:$B,MATCH($A1128,Mots!$A:$A,0)),"introuvable")</f>
        <v>le jeu</v>
      </c>
    </row>
    <row r="1129" spans="1:2" x14ac:dyDescent="0.4">
      <c r="A1129" s="39" t="s">
        <v>5887</v>
      </c>
      <c r="B1129" s="41" t="str">
        <f>IFERROR(INDEX(Mots!$B:$B,MATCH($A1129,Mots!$A:$A,0)),"introuvable")</f>
        <v>le jouet</v>
      </c>
    </row>
    <row r="1130" spans="1:2" x14ac:dyDescent="0.4">
      <c r="A1130" s="39" t="s">
        <v>5891</v>
      </c>
      <c r="B1130" s="41" t="str">
        <f>IFERROR(INDEX(Mots!$B:$B,MATCH($A1130,Mots!$A:$A,0)),"introuvable")</f>
        <v>le jus</v>
      </c>
    </row>
    <row r="1131" spans="1:2" x14ac:dyDescent="0.4">
      <c r="A1131" s="39" t="s">
        <v>5899</v>
      </c>
      <c r="B1131" s="41" t="str">
        <f>IFERROR(INDEX(Mots!$B:$B,MATCH($A1131,Mots!$A:$A,0)),"introuvable")</f>
        <v>le lac</v>
      </c>
    </row>
    <row r="1132" spans="1:2" x14ac:dyDescent="0.4">
      <c r="A1132" s="39" t="s">
        <v>5908</v>
      </c>
      <c r="B1132" s="41" t="str">
        <f>IFERROR(INDEX(Mots!$B:$B,MATCH($A1132,Mots!$A:$A,0)),"introuvable")</f>
        <v>le lien</v>
      </c>
    </row>
    <row r="1133" spans="1:2" x14ac:dyDescent="0.4">
      <c r="A1133" s="39" t="s">
        <v>5911</v>
      </c>
      <c r="B1133" s="41" t="str">
        <f>IFERROR(INDEX(Mots!$B:$B,MATCH($A1133,Mots!$A:$A,0)),"introuvable")</f>
        <v>le liquide</v>
      </c>
    </row>
    <row r="1134" spans="1:2" x14ac:dyDescent="0.4">
      <c r="A1134" s="39" t="s">
        <v>5918</v>
      </c>
      <c r="B1134" s="41" t="str">
        <f>IFERROR(INDEX(Mots!$B:$B,MATCH($A1134,Mots!$A:$A,0)),"introuvable")</f>
        <v>le livre</v>
      </c>
    </row>
    <row r="1135" spans="1:2" x14ac:dyDescent="0.4">
      <c r="A1135" s="39" t="s">
        <v>5926</v>
      </c>
      <c r="B1135" s="41" t="str">
        <f>IFERROR(INDEX(Mots!$B:$B,MATCH($A1135,Mots!$A:$A,0)),"introuvable")</f>
        <v>le logement</v>
      </c>
    </row>
    <row r="1136" spans="1:2" x14ac:dyDescent="0.4">
      <c r="A1136" s="39" t="s">
        <v>5929</v>
      </c>
      <c r="B1136" s="41" t="str">
        <f>IFERROR(INDEX(Mots!$B:$B,MATCH($A1136,Mots!$A:$A,0)),"introuvable")</f>
        <v>le maître</v>
      </c>
    </row>
    <row r="1137" spans="1:3" x14ac:dyDescent="0.4">
      <c r="A1137" s="39" t="s">
        <v>5949</v>
      </c>
      <c r="B1137" s="41" t="str">
        <f>IFERROR(INDEX(Mots!$B:$B,MATCH($A1137,Mots!$A:$A,0)),"introuvable")</f>
        <v>le match</v>
      </c>
    </row>
    <row r="1138" spans="1:3" x14ac:dyDescent="0.4">
      <c r="A1138" s="39" t="s">
        <v>5965</v>
      </c>
      <c r="B1138" s="41" t="str">
        <f>IFERROR(INDEX(Mots!$B:$B,MATCH($A1138,Mots!$A:$A,0)),"introuvable")</f>
        <v>le mélange</v>
      </c>
    </row>
    <row r="1139" spans="1:3" x14ac:dyDescent="0.4">
      <c r="A1139" s="39" t="s">
        <v>5969</v>
      </c>
      <c r="B1139" s="41" t="str">
        <f>IFERROR(INDEX(Mots!$B:$B,MATCH($A1139,Mots!$A:$A,0)),"introuvable")</f>
        <v>le mensonge</v>
      </c>
    </row>
    <row r="1140" spans="1:3" x14ac:dyDescent="0.4">
      <c r="A1140" s="39" t="s">
        <v>5976</v>
      </c>
      <c r="B1140" s="41" t="str">
        <f>IFERROR(INDEX(Mots!$B:$B,MATCH($A1140,Mots!$A:$A,0)),"introuvable")</f>
        <v>le métal</v>
      </c>
    </row>
    <row r="1141" spans="1:3" x14ac:dyDescent="0.4">
      <c r="A1141" s="39" t="s">
        <v>5984</v>
      </c>
      <c r="B1141" s="41" t="str">
        <f>IFERROR(INDEX(Mots!$B:$B,MATCH($A1141,Mots!$A:$A,0)),"introuvable")</f>
        <v>le milieu</v>
      </c>
    </row>
    <row r="1142" spans="1:3" x14ac:dyDescent="0.4">
      <c r="A1142" s="39" t="s">
        <v>5989</v>
      </c>
      <c r="B1142" s="41" t="str">
        <f>IFERROR(INDEX(Mots!$B:$B,MATCH($A1142,Mots!$A:$A,0)),"introuvable")</f>
        <v>le moment</v>
      </c>
    </row>
    <row r="1143" spans="1:3" x14ac:dyDescent="0.4">
      <c r="A1143" s="39" t="s">
        <v>5993</v>
      </c>
      <c r="B1143" s="41" t="str">
        <f>IFERROR(INDEX(Mots!$B:$B,MATCH($A1143,Mots!$A:$A,0)),"introuvable")</f>
        <v>le monde</v>
      </c>
    </row>
    <row r="1144" spans="1:3" x14ac:dyDescent="0.4">
      <c r="A1144" s="39" t="s">
        <v>5996</v>
      </c>
      <c r="B1144" s="41" t="str">
        <f>IFERROR(INDEX(Mots!$B:$B,MATCH($A1144,Mots!$A:$A,0)),"introuvable")</f>
        <v>le morceau</v>
      </c>
    </row>
    <row r="1145" spans="1:3" x14ac:dyDescent="0.4">
      <c r="A1145" s="39" t="s">
        <v>6002</v>
      </c>
      <c r="B1145" s="41" t="str">
        <f>IFERROR(INDEX(Mots!$B:$B,MATCH($A1145,Mots!$A:$A,0)),"introuvable")</f>
        <v>le moteur</v>
      </c>
      <c r="C1145" s="39" t="s">
        <v>255</v>
      </c>
    </row>
    <row r="1146" spans="1:3" x14ac:dyDescent="0.4">
      <c r="A1146" s="39" t="s">
        <v>6010</v>
      </c>
      <c r="B1146" s="41" t="str">
        <f>IFERROR(INDEX(Mots!$B:$B,MATCH($A1146,Mots!$A:$A,0)),"introuvable")</f>
        <v>le mouvement</v>
      </c>
    </row>
    <row r="1147" spans="1:3" x14ac:dyDescent="0.4">
      <c r="A1147" s="39" t="s">
        <v>6014</v>
      </c>
      <c r="B1147" s="41" t="str">
        <f>IFERROR(INDEX(Mots!$B:$B,MATCH($A1147,Mots!$A:$A,0)),"introuvable")</f>
        <v>le musicien</v>
      </c>
    </row>
    <row r="1148" spans="1:3" x14ac:dyDescent="0.4">
      <c r="A1148" s="39" t="s">
        <v>6022</v>
      </c>
      <c r="B1148" s="41" t="str">
        <f>IFERROR(INDEX(Mots!$B:$B,MATCH($A1148,Mots!$A:$A,0)),"introuvable")</f>
        <v>le niveau</v>
      </c>
    </row>
    <row r="1149" spans="1:3" x14ac:dyDescent="0.4">
      <c r="A1149" s="39" t="s">
        <v>6029</v>
      </c>
      <c r="B1149" s="41" t="str">
        <f>IFERROR(INDEX(Mots!$B:$B,MATCH($A1149,Mots!$A:$A,0)),"introuvable")</f>
        <v>le nombre</v>
      </c>
    </row>
    <row r="1150" spans="1:3" x14ac:dyDescent="0.4">
      <c r="A1150" s="39" t="s">
        <v>6033</v>
      </c>
      <c r="B1150" s="41" t="str">
        <f>IFERROR(INDEX(Mots!$B:$B,MATCH($A1150,Mots!$A:$A,0)),"introuvable")</f>
        <v>le noyau</v>
      </c>
    </row>
    <row r="1151" spans="1:3" x14ac:dyDescent="0.4">
      <c r="A1151" s="39" t="s">
        <v>6041</v>
      </c>
      <c r="B1151" s="41" t="str">
        <f>IFERROR(INDEX(Mots!$B:$B,MATCH($A1151,Mots!$A:$A,0)),"introuvable")</f>
        <v>le nuage</v>
      </c>
    </row>
    <row r="1152" spans="1:3" x14ac:dyDescent="0.4">
      <c r="A1152" s="39" t="s">
        <v>6049</v>
      </c>
      <c r="B1152" s="41" t="str">
        <f>IFERROR(INDEX(Mots!$B:$B,MATCH($A1152,Mots!$A:$A,0)),"introuvable")</f>
        <v>le numéro</v>
      </c>
    </row>
    <row r="1153" spans="1:6" x14ac:dyDescent="0.4">
      <c r="A1153" s="39" t="s">
        <v>6053</v>
      </c>
      <c r="B1153" s="41" t="str">
        <f>IFERROR(INDEX(Mots!$B:$B,MATCH($A1153,Mots!$A:$A,0)),"introuvable")</f>
        <v>le panier</v>
      </c>
    </row>
    <row r="1154" spans="1:6" x14ac:dyDescent="0.4">
      <c r="A1154" s="39" t="s">
        <v>6061</v>
      </c>
      <c r="B1154" s="41" t="str">
        <f>IFERROR(INDEX(Mots!$B:$B,MATCH($A1154,Mots!$A:$A,0)),"introuvable")</f>
        <v>le panneau</v>
      </c>
    </row>
    <row r="1155" spans="1:6" x14ac:dyDescent="0.4">
      <c r="A1155" s="39" t="s">
        <v>6065</v>
      </c>
      <c r="B1155" s="41" t="str">
        <f>IFERROR(INDEX(Mots!$B:$B,MATCH($A1155,Mots!$A:$A,0)),"introuvable")</f>
        <v>le pansement</v>
      </c>
      <c r="C1155" s="39" t="s">
        <v>201</v>
      </c>
    </row>
    <row r="1156" spans="1:6" x14ac:dyDescent="0.4">
      <c r="A1156" s="39" t="s">
        <v>6073</v>
      </c>
      <c r="B1156" s="41" t="str">
        <f>IFERROR(INDEX(Mots!$B:$B,MATCH($A1156,Mots!$A:$A,0)),"introuvable")</f>
        <v>le papier</v>
      </c>
    </row>
    <row r="1157" spans="1:6" x14ac:dyDescent="0.4">
      <c r="A1157" s="39" t="s">
        <v>6081</v>
      </c>
      <c r="B1157" s="41" t="str">
        <f>IFERROR(INDEX(Mots!$B:$B,MATCH($A1157,Mots!$A:$A,0)),"introuvable")</f>
        <v>le parapluie</v>
      </c>
      <c r="C1157" s="39" t="s">
        <v>10120</v>
      </c>
    </row>
    <row r="1158" spans="1:6" x14ac:dyDescent="0.4">
      <c r="A1158" s="39" t="s">
        <v>6089</v>
      </c>
      <c r="B1158" s="41" t="str">
        <f>IFERROR(INDEX(Mots!$B:$B,MATCH($A1158,Mots!$A:$A,0)),"introuvable")</f>
        <v>le parking</v>
      </c>
    </row>
    <row r="1159" spans="1:6" x14ac:dyDescent="0.4">
      <c r="A1159" s="39" t="s">
        <v>6097</v>
      </c>
      <c r="B1159" s="41" t="str">
        <f>IFERROR(INDEX(Mots!$B:$B,MATCH($A1159,Mots!$A:$A,0)),"introuvable")</f>
        <v>partager</v>
      </c>
    </row>
    <row r="1160" spans="1:6" x14ac:dyDescent="0.4">
      <c r="A1160" s="39" t="s">
        <v>6102</v>
      </c>
      <c r="B1160" s="41" t="str">
        <f>IFERROR(INDEX(Mots!$B:$B,MATCH($A1160,Mots!$A:$A,0)),"introuvable")</f>
        <v>le passage</v>
      </c>
    </row>
    <row r="1161" spans="1:6" x14ac:dyDescent="0.4">
      <c r="A1161" s="39" t="s">
        <v>6110</v>
      </c>
      <c r="B1161" s="41" t="str">
        <f>IFERROR(INDEX(Mots!$B:$B,MATCH($A1161,Mots!$A:$A,0)),"introuvable")</f>
        <v>le pays</v>
      </c>
    </row>
    <row r="1162" spans="1:6" x14ac:dyDescent="0.4">
      <c r="A1162" s="39" t="s">
        <v>6118</v>
      </c>
      <c r="B1162" s="41" t="str">
        <f>IFERROR(INDEX(Mots!$B:$B,MATCH($A1162,Mots!$A:$A,0)),"introuvable")</f>
        <v>le paysage</v>
      </c>
    </row>
    <row r="1163" spans="1:6" x14ac:dyDescent="0.4">
      <c r="A1163" s="39" t="s">
        <v>6122</v>
      </c>
      <c r="B1163" s="41" t="str">
        <f>IFERROR(INDEX(Mots!$B:$B,MATCH($A1163,Mots!$A:$A,0)),"introuvable")</f>
        <v>le permis</v>
      </c>
      <c r="F1163" s="39" t="s">
        <v>12</v>
      </c>
    </row>
    <row r="1164" spans="1:6" x14ac:dyDescent="0.4">
      <c r="A1164" s="39" t="s">
        <v>6129</v>
      </c>
      <c r="B1164" s="41" t="str">
        <f>IFERROR(INDEX(Mots!$B:$B,MATCH($A1164,Mots!$A:$A,0)),"introuvable")</f>
        <v>le pharmacien</v>
      </c>
    </row>
    <row r="1165" spans="1:6" x14ac:dyDescent="0.4">
      <c r="A1165" s="39" t="s">
        <v>6133</v>
      </c>
      <c r="B1165" s="41" t="str">
        <f>IFERROR(INDEX(Mots!$B:$B,MATCH($A1165,Mots!$A:$A,0)),"introuvable")</f>
        <v>le piment</v>
      </c>
    </row>
    <row r="1166" spans="1:6" x14ac:dyDescent="0.4">
      <c r="A1166" s="39" t="s">
        <v>6140</v>
      </c>
      <c r="B1166" s="41" t="str">
        <f>IFERROR(INDEX(Mots!$B:$B,MATCH($A1166,Mots!$A:$A,0)),"introuvable")</f>
        <v>le pinceau</v>
      </c>
      <c r="C1166" s="39" t="s">
        <v>10120</v>
      </c>
    </row>
    <row r="1167" spans="1:6" x14ac:dyDescent="0.4">
      <c r="A1167" s="39" t="s">
        <v>6148</v>
      </c>
      <c r="B1167" s="41" t="str">
        <f>IFERROR(INDEX(Mots!$B:$B,MATCH($A1167,Mots!$A:$A,0)),"introuvable")</f>
        <v>le pique-nique</v>
      </c>
    </row>
    <row r="1168" spans="1:6" x14ac:dyDescent="0.4">
      <c r="A1168" s="39" t="s">
        <v>6156</v>
      </c>
      <c r="B1168" s="41" t="str">
        <f>IFERROR(INDEX(Mots!$B:$B,MATCH($A1168,Mots!$A:$A,0)),"introuvable")</f>
        <v>le plafond</v>
      </c>
      <c r="C1168" s="39" t="s">
        <v>182</v>
      </c>
    </row>
    <row r="1169" spans="1:3" x14ac:dyDescent="0.4">
      <c r="A1169" s="39" t="s">
        <v>6162</v>
      </c>
      <c r="B1169" s="41" t="str">
        <f>IFERROR(INDEX(Mots!$B:$B,MATCH($A1169,Mots!$A:$A,0)),"introuvable")</f>
        <v>le plaisir</v>
      </c>
    </row>
    <row r="1170" spans="1:3" x14ac:dyDescent="0.4">
      <c r="A1170" s="39" t="s">
        <v>6166</v>
      </c>
      <c r="B1170" s="41" t="str">
        <f>IFERROR(INDEX(Mots!$B:$B,MATCH($A1170,Mots!$A:$A,0)),"introuvable")</f>
        <v>le plancher</v>
      </c>
      <c r="C1170" s="39" t="s">
        <v>182</v>
      </c>
    </row>
    <row r="1171" spans="1:3" x14ac:dyDescent="0.4">
      <c r="A1171" s="39" t="s">
        <v>6174</v>
      </c>
      <c r="B1171" s="41" t="str">
        <f>IFERROR(INDEX(Mots!$B:$B,MATCH($A1171,Mots!$A:$A,0)),"introuvable")</f>
        <v>le plastique</v>
      </c>
    </row>
    <row r="1172" spans="1:3" x14ac:dyDescent="0.4">
      <c r="A1172" s="39" t="s">
        <v>6181</v>
      </c>
      <c r="B1172" s="41" t="str">
        <f>IFERROR(INDEX(Mots!$B:$B,MATCH($A1172,Mots!$A:$A,0)),"introuvable")</f>
        <v>le poil</v>
      </c>
    </row>
    <row r="1173" spans="1:3" x14ac:dyDescent="0.4">
      <c r="A1173" s="39" t="s">
        <v>6188</v>
      </c>
      <c r="B1173" s="41" t="str">
        <f>IFERROR(INDEX(Mots!$B:$B,MATCH($A1173,Mots!$A:$A,0)),"introuvable")</f>
        <v>le point</v>
      </c>
    </row>
    <row r="1174" spans="1:3" x14ac:dyDescent="0.4">
      <c r="A1174" s="39" t="s">
        <v>6192</v>
      </c>
      <c r="B1174" s="41" t="str">
        <f>IFERROR(INDEX(Mots!$B:$B,MATCH($A1174,Mots!$A:$A,0)),"introuvable")</f>
        <v>le portefeuille</v>
      </c>
    </row>
    <row r="1175" spans="1:3" x14ac:dyDescent="0.4">
      <c r="A1175" s="39" t="s">
        <v>6196</v>
      </c>
      <c r="B1175" s="41" t="str">
        <f>IFERROR(INDEX(Mots!$B:$B,MATCH($A1175,Mots!$A:$A,0)),"introuvable")</f>
        <v>le porte-manteau</v>
      </c>
    </row>
    <row r="1176" spans="1:3" x14ac:dyDescent="0.4">
      <c r="A1176" s="39" t="s">
        <v>6204</v>
      </c>
      <c r="B1176" s="41" t="str">
        <f>IFERROR(INDEX(Mots!$B:$B,MATCH($A1176,Mots!$A:$A,0)),"introuvable")</f>
        <v>le prix</v>
      </c>
    </row>
    <row r="1177" spans="1:3" x14ac:dyDescent="0.4">
      <c r="A1177" s="39" t="s">
        <v>6208</v>
      </c>
      <c r="B1177" s="41" t="str">
        <f>IFERROR(INDEX(Mots!$B:$B,MATCH($A1177,Mots!$A:$A,0)),"introuvable")</f>
        <v>le problème</v>
      </c>
    </row>
    <row r="1178" spans="1:3" x14ac:dyDescent="0.4">
      <c r="A1178" s="39" t="s">
        <v>6212</v>
      </c>
      <c r="B1178" s="41" t="str">
        <f>IFERROR(INDEX(Mots!$B:$B,MATCH($A1178,Mots!$A:$A,0)),"introuvable")</f>
        <v>le puzzle</v>
      </c>
    </row>
    <row r="1179" spans="1:3" x14ac:dyDescent="0.4">
      <c r="A1179" s="39" t="s">
        <v>6216</v>
      </c>
      <c r="B1179" s="41" t="str">
        <f>IFERROR(INDEX(Mots!$B:$B,MATCH($A1179,Mots!$A:$A,0)),"introuvable")</f>
        <v>le quartier</v>
      </c>
    </row>
    <row r="1180" spans="1:3" x14ac:dyDescent="0.4">
      <c r="A1180" s="39" t="s">
        <v>6222</v>
      </c>
      <c r="B1180" s="41" t="str">
        <f>IFERROR(INDEX(Mots!$B:$B,MATCH($A1180,Mots!$A:$A,0)),"introuvable")</f>
        <v>le récipient</v>
      </c>
    </row>
    <row r="1181" spans="1:3" x14ac:dyDescent="0.4">
      <c r="A1181" s="39" t="s">
        <v>6228</v>
      </c>
      <c r="B1181" s="41" t="str">
        <f>IFERROR(INDEX(Mots!$B:$B,MATCH($A1181,Mots!$A:$A,0)),"introuvable")</f>
        <v>le récit</v>
      </c>
    </row>
    <row r="1182" spans="1:3" x14ac:dyDescent="0.4">
      <c r="A1182" s="39" t="s">
        <v>6235</v>
      </c>
      <c r="B1182" s="41" t="str">
        <f>IFERROR(INDEX(Mots!$B:$B,MATCH($A1182,Mots!$A:$A,0)),"introuvable")</f>
        <v>le reçu</v>
      </c>
    </row>
    <row r="1183" spans="1:3" x14ac:dyDescent="0.4">
      <c r="A1183" s="39" t="s">
        <v>6239</v>
      </c>
      <c r="B1183" s="41" t="str">
        <f>IFERROR(INDEX(Mots!$B:$B,MATCH($A1183,Mots!$A:$A,0)),"introuvable")</f>
        <v>le reflet</v>
      </c>
    </row>
    <row r="1184" spans="1:3" x14ac:dyDescent="0.4">
      <c r="A1184" s="39" t="s">
        <v>6247</v>
      </c>
      <c r="B1184" s="41" t="str">
        <f>IFERROR(INDEX(Mots!$B:$B,MATCH($A1184,Mots!$A:$A,0)),"introuvable")</f>
        <v>le regret</v>
      </c>
    </row>
    <row r="1185" spans="1:2" x14ac:dyDescent="0.4">
      <c r="A1185" s="39" t="s">
        <v>6251</v>
      </c>
      <c r="B1185" s="41" t="str">
        <f>IFERROR(INDEX(Mots!$B:$B,MATCH($A1185,Mots!$A:$A,0)),"introuvable")</f>
        <v>le relief</v>
      </c>
    </row>
    <row r="1186" spans="1:2" x14ac:dyDescent="0.4">
      <c r="A1186" s="39" t="s">
        <v>6255</v>
      </c>
      <c r="B1186" s="41" t="str">
        <f>IFERROR(INDEX(Mots!$B:$B,MATCH($A1186,Mots!$A:$A,0)),"introuvable")</f>
        <v>le remède</v>
      </c>
    </row>
    <row r="1187" spans="1:2" x14ac:dyDescent="0.4">
      <c r="A1187" s="39" t="s">
        <v>6262</v>
      </c>
      <c r="B1187" s="41" t="str">
        <f>IFERROR(INDEX(Mots!$B:$B,MATCH($A1187,Mots!$A:$A,0)),"introuvable")</f>
        <v>le repos</v>
      </c>
    </row>
    <row r="1188" spans="1:2" x14ac:dyDescent="0.4">
      <c r="A1188" s="39" t="s">
        <v>6266</v>
      </c>
      <c r="B1188" s="41" t="str">
        <f>IFERROR(INDEX(Mots!$B:$B,MATCH($A1188,Mots!$A:$A,0)),"introuvable")</f>
        <v>le respect</v>
      </c>
    </row>
    <row r="1189" spans="1:2" x14ac:dyDescent="0.4">
      <c r="A1189" s="39" t="s">
        <v>6271</v>
      </c>
      <c r="B1189" s="41" t="str">
        <f>IFERROR(INDEX(Mots!$B:$B,MATCH($A1189,Mots!$A:$A,0)),"introuvable")</f>
        <v>le résultat</v>
      </c>
    </row>
    <row r="1190" spans="1:2" x14ac:dyDescent="0.4">
      <c r="A1190" s="39" t="s">
        <v>6275</v>
      </c>
      <c r="B1190" s="41" t="str">
        <f>IFERROR(INDEX(Mots!$B:$B,MATCH($A1190,Mots!$A:$A,0)),"introuvable")</f>
        <v>le retour</v>
      </c>
    </row>
    <row r="1191" spans="1:2" x14ac:dyDescent="0.4">
      <c r="A1191" s="39" t="s">
        <v>6279</v>
      </c>
      <c r="B1191" s="41" t="str">
        <f>IFERROR(INDEX(Mots!$B:$B,MATCH($A1191,Mots!$A:$A,0)),"introuvable")</f>
        <v>le rhume</v>
      </c>
    </row>
    <row r="1192" spans="1:2" x14ac:dyDescent="0.4">
      <c r="A1192" s="39" t="s">
        <v>6287</v>
      </c>
      <c r="B1192" s="41" t="str">
        <f>IFERROR(INDEX(Mots!$B:$B,MATCH($A1192,Mots!$A:$A,0)),"introuvable")</f>
        <v>le risque</v>
      </c>
    </row>
    <row r="1193" spans="1:2" x14ac:dyDescent="0.4">
      <c r="A1193" s="39" t="s">
        <v>6291</v>
      </c>
      <c r="B1193" s="41" t="str">
        <f>IFERROR(INDEX(Mots!$B:$B,MATCH($A1193,Mots!$A:$A,0)),"introuvable")</f>
        <v>le ruban</v>
      </c>
    </row>
    <row r="1194" spans="1:2" x14ac:dyDescent="0.4">
      <c r="A1194" s="39" t="s">
        <v>6295</v>
      </c>
      <c r="B1194" s="41" t="str">
        <f>IFERROR(INDEX(Mots!$B:$B,MATCH($A1194,Mots!$A:$A,0)),"introuvable")</f>
        <v>le rythme</v>
      </c>
    </row>
    <row r="1195" spans="1:2" x14ac:dyDescent="0.4">
      <c r="A1195" s="39" t="s">
        <v>6302</v>
      </c>
      <c r="B1195" s="41" t="str">
        <f>IFERROR(INDEX(Mots!$B:$B,MATCH($A1195,Mots!$A:$A,0)),"introuvable")</f>
        <v>le sable</v>
      </c>
    </row>
    <row r="1196" spans="1:2" x14ac:dyDescent="0.4">
      <c r="A1196" s="39" t="s">
        <v>6312</v>
      </c>
      <c r="B1196" s="41" t="str">
        <f>IFERROR(INDEX(Mots!$B:$B,MATCH($A1196,Mots!$A:$A,0)),"introuvable")</f>
        <v>le sac</v>
      </c>
    </row>
    <row r="1197" spans="1:2" x14ac:dyDescent="0.4">
      <c r="A1197" s="39" t="s">
        <v>6336</v>
      </c>
      <c r="B1197" s="41" t="str">
        <f>IFERROR(INDEX(Mots!$B:$B,MATCH($A1197,Mots!$A:$A,0)),"introuvable")</f>
        <v>le secours</v>
      </c>
    </row>
    <row r="1198" spans="1:2" x14ac:dyDescent="0.4">
      <c r="A1198" s="39" t="s">
        <v>6340</v>
      </c>
      <c r="B1198" s="41" t="str">
        <f>IFERROR(INDEX(Mots!$B:$B,MATCH($A1198,Mots!$A:$A,0)),"introuvable")</f>
        <v>le secret</v>
      </c>
    </row>
    <row r="1199" spans="1:2" x14ac:dyDescent="0.4">
      <c r="A1199" s="39" t="s">
        <v>6344</v>
      </c>
      <c r="B1199" s="41" t="str">
        <f>IFERROR(INDEX(Mots!$B:$B,MATCH($A1199,Mots!$A:$A,0)),"introuvable")</f>
        <v>le secteur</v>
      </c>
    </row>
    <row r="1200" spans="1:2" x14ac:dyDescent="0.4">
      <c r="A1200" s="39" t="s">
        <v>6349</v>
      </c>
      <c r="B1200" s="41" t="str">
        <f>IFERROR(INDEX(Mots!$B:$B,MATCH($A1200,Mots!$A:$A,0)),"introuvable")</f>
        <v>le sentier</v>
      </c>
    </row>
    <row r="1201" spans="1:4" x14ac:dyDescent="0.4">
      <c r="A1201" s="39" t="s">
        <v>6357</v>
      </c>
      <c r="B1201" s="41" t="str">
        <f>IFERROR(INDEX(Mots!$B:$B,MATCH($A1201,Mots!$A:$A,0)),"introuvable")</f>
        <v>le service</v>
      </c>
    </row>
    <row r="1202" spans="1:4" x14ac:dyDescent="0.4">
      <c r="A1202" s="39" t="s">
        <v>6362</v>
      </c>
      <c r="B1202" s="41" t="str">
        <f>IFERROR(INDEX(Mots!$B:$B,MATCH($A1202,Mots!$A:$A,0)),"introuvable")</f>
        <v>le signe</v>
      </c>
    </row>
    <row r="1203" spans="1:4" x14ac:dyDescent="0.4">
      <c r="A1203" s="39" t="s">
        <v>6370</v>
      </c>
      <c r="B1203" s="41" t="str">
        <f>IFERROR(INDEX(Mots!$B:$B,MATCH($A1203,Mots!$A:$A,0)),"introuvable")</f>
        <v>le silence</v>
      </c>
    </row>
    <row r="1204" spans="1:4" x14ac:dyDescent="0.4">
      <c r="A1204" s="39" t="s">
        <v>6374</v>
      </c>
      <c r="B1204" s="41" t="str">
        <f>IFERROR(INDEX(Mots!$B:$B,MATCH($A1204,Mots!$A:$A,0)),"introuvable")</f>
        <v>soigner</v>
      </c>
    </row>
    <row r="1205" spans="1:4" x14ac:dyDescent="0.4">
      <c r="A1205" s="39" t="s">
        <v>6379</v>
      </c>
      <c r="B1205" s="41" t="str">
        <f>IFERROR(INDEX(Mots!$B:$B,MATCH($A1205,Mots!$A:$A,0)),"introuvable")</f>
        <v>le sol</v>
      </c>
    </row>
    <row r="1206" spans="1:4" x14ac:dyDescent="0.4">
      <c r="A1206" s="39" t="s">
        <v>6383</v>
      </c>
      <c r="B1206" s="41" t="str">
        <f>IFERROR(INDEX(Mots!$B:$B,MATCH($A1206,Mots!$A:$A,0)),"introuvable")</f>
        <v>le sommeil</v>
      </c>
      <c r="C1206" s="39" t="s">
        <v>196</v>
      </c>
    </row>
    <row r="1207" spans="1:4" x14ac:dyDescent="0.4">
      <c r="A1207" s="39" t="s">
        <v>6386</v>
      </c>
      <c r="B1207" s="41" t="str">
        <f>IFERROR(INDEX(Mots!$B:$B,MATCH($A1207,Mots!$A:$A,0)),"introuvable")</f>
        <v>le souhait</v>
      </c>
    </row>
    <row r="1208" spans="1:4" x14ac:dyDescent="0.4">
      <c r="A1208" s="39" t="s">
        <v>6391</v>
      </c>
      <c r="B1208" s="41" t="str">
        <f>IFERROR(INDEX(Mots!$B:$B,MATCH($A1208,Mots!$A:$A,0)),"introuvable")</f>
        <v>le souvenir</v>
      </c>
    </row>
    <row r="1209" spans="1:4" x14ac:dyDescent="0.4">
      <c r="A1209" s="39" t="s">
        <v>6395</v>
      </c>
      <c r="B1209" s="41" t="str">
        <f>IFERROR(INDEX(Mots!$B:$B,MATCH($A1209,Mots!$A:$A,0)),"introuvable")</f>
        <v>le sport</v>
      </c>
    </row>
    <row r="1210" spans="1:4" x14ac:dyDescent="0.4">
      <c r="A1210" s="39" t="s">
        <v>6404</v>
      </c>
      <c r="B1210" s="41" t="str">
        <f>IFERROR(INDEX(Mots!$B:$B,MATCH($A1210,Mots!$A:$A,0)),"introuvable")</f>
        <v>le stade</v>
      </c>
    </row>
    <row r="1211" spans="1:4" x14ac:dyDescent="0.4">
      <c r="A1211" s="39" t="s">
        <v>6410</v>
      </c>
      <c r="B1211" s="41" t="str">
        <f>IFERROR(INDEX(Mots!$B:$B,MATCH($A1211,Mots!$A:$A,0)),"introuvable")</f>
        <v>le stylo</v>
      </c>
      <c r="C1211" s="39" t="s">
        <v>147</v>
      </c>
      <c r="D1211" s="39" t="s">
        <v>186</v>
      </c>
    </row>
    <row r="1212" spans="1:4" x14ac:dyDescent="0.4">
      <c r="A1212" s="39" t="s">
        <v>6418</v>
      </c>
      <c r="B1212" s="41" t="str">
        <f>IFERROR(INDEX(Mots!$B:$B,MATCH($A1212,Mots!$A:$A,0)),"introuvable")</f>
        <v>le tableau</v>
      </c>
    </row>
    <row r="1213" spans="1:4" x14ac:dyDescent="0.4">
      <c r="A1213" s="39" t="s">
        <v>6422</v>
      </c>
      <c r="B1213" s="41" t="str">
        <f>IFERROR(INDEX(Mots!$B:$B,MATCH($A1213,Mots!$A:$A,0)),"introuvable")</f>
        <v>le tablier</v>
      </c>
    </row>
    <row r="1214" spans="1:4" x14ac:dyDescent="0.4">
      <c r="A1214" s="39" t="s">
        <v>6430</v>
      </c>
      <c r="B1214" s="41" t="str">
        <f>IFERROR(INDEX(Mots!$B:$B,MATCH($A1214,Mots!$A:$A,0)),"introuvable")</f>
        <v>le tas</v>
      </c>
    </row>
    <row r="1215" spans="1:4" x14ac:dyDescent="0.4">
      <c r="A1215" s="39" t="s">
        <v>6438</v>
      </c>
      <c r="B1215" s="41" t="str">
        <f>IFERROR(INDEX(Mots!$B:$B,MATCH($A1215,Mots!$A:$A,0)),"introuvable")</f>
        <v>le terrain</v>
      </c>
    </row>
    <row r="1216" spans="1:4" x14ac:dyDescent="0.4">
      <c r="A1216" s="39" t="s">
        <v>6446</v>
      </c>
      <c r="B1216" s="41" t="str">
        <f>IFERROR(INDEX(Mots!$B:$B,MATCH($A1216,Mots!$A:$A,0)),"introuvable")</f>
        <v>le territoire</v>
      </c>
    </row>
    <row r="1217" spans="1:2" x14ac:dyDescent="0.4">
      <c r="A1217" s="39" t="s">
        <v>6450</v>
      </c>
      <c r="B1217" s="41" t="str">
        <f>IFERROR(INDEX(Mots!$B:$B,MATCH($A1217,Mots!$A:$A,0)),"introuvable")</f>
        <v>le texte</v>
      </c>
    </row>
    <row r="1218" spans="1:2" x14ac:dyDescent="0.4">
      <c r="A1218" s="39" t="s">
        <v>6465</v>
      </c>
      <c r="B1218" s="41" t="str">
        <f>IFERROR(INDEX(Mots!$B:$B,MATCH($A1218,Mots!$A:$A,0)),"introuvable")</f>
        <v>le timbre</v>
      </c>
    </row>
    <row r="1219" spans="1:2" x14ac:dyDescent="0.4">
      <c r="A1219" s="39" t="s">
        <v>6481</v>
      </c>
      <c r="B1219" s="41" t="str">
        <f>IFERROR(INDEX(Mots!$B:$B,MATCH($A1219,Mots!$A:$A,0)),"introuvable")</f>
        <v>le tissu</v>
      </c>
    </row>
    <row r="1220" spans="1:2" x14ac:dyDescent="0.4">
      <c r="A1220" s="39" t="s">
        <v>6489</v>
      </c>
      <c r="B1220" s="41" t="str">
        <f>IFERROR(INDEX(Mots!$B:$B,MATCH($A1220,Mots!$A:$A,0)),"introuvable")</f>
        <v>le tonnerre</v>
      </c>
    </row>
    <row r="1221" spans="1:2" x14ac:dyDescent="0.4">
      <c r="A1221" s="39" t="s">
        <v>6493</v>
      </c>
      <c r="B1221" s="41" t="str">
        <f>IFERROR(INDEX(Mots!$B:$B,MATCH($A1221,Mots!$A:$A,0)),"introuvable")</f>
        <v>le total</v>
      </c>
    </row>
    <row r="1222" spans="1:2" x14ac:dyDescent="0.4">
      <c r="A1222" s="39" t="s">
        <v>6504</v>
      </c>
      <c r="B1222" s="41" t="str">
        <f>IFERROR(INDEX(Mots!$B:$B,MATCH($A1222,Mots!$A:$A,0)),"introuvable")</f>
        <v>le trait</v>
      </c>
    </row>
    <row r="1223" spans="1:2" x14ac:dyDescent="0.4">
      <c r="A1223" s="39" t="s">
        <v>73</v>
      </c>
      <c r="B1223" s="41" t="str">
        <f>IFERROR(INDEX(Mots!$B:$B,MATCH($A1223,Mots!$A:$A,0)),"introuvable")</f>
        <v>le travail</v>
      </c>
    </row>
    <row r="1224" spans="1:2" x14ac:dyDescent="0.4">
      <c r="A1224" s="39" t="s">
        <v>6513</v>
      </c>
      <c r="B1224" s="41" t="str">
        <f>IFERROR(INDEX(Mots!$B:$B,MATCH($A1224,Mots!$A:$A,0)),"introuvable")</f>
        <v>le trottoir</v>
      </c>
    </row>
    <row r="1225" spans="1:2" x14ac:dyDescent="0.4">
      <c r="A1225" s="39" t="s">
        <v>6517</v>
      </c>
      <c r="B1225" s="41" t="str">
        <f>IFERROR(INDEX(Mots!$B:$B,MATCH($A1225,Mots!$A:$A,0)),"introuvable")</f>
        <v>le trou</v>
      </c>
    </row>
    <row r="1226" spans="1:2" x14ac:dyDescent="0.4">
      <c r="A1226" s="39" t="s">
        <v>6533</v>
      </c>
      <c r="B1226" s="41" t="str">
        <f>IFERROR(INDEX(Mots!$B:$B,MATCH($A1226,Mots!$A:$A,0)),"introuvable")</f>
        <v>le tube</v>
      </c>
    </row>
    <row r="1227" spans="1:2" x14ac:dyDescent="0.4">
      <c r="A1227" s="39" t="s">
        <v>6541</v>
      </c>
      <c r="B1227" s="41" t="str">
        <f>IFERROR(INDEX(Mots!$B:$B,MATCH($A1227,Mots!$A:$A,0)),"introuvable")</f>
        <v>le tuyau</v>
      </c>
    </row>
    <row r="1228" spans="1:2" x14ac:dyDescent="0.4">
      <c r="A1228" s="39" t="s">
        <v>6549</v>
      </c>
      <c r="B1228" s="41" t="str">
        <f>IFERROR(INDEX(Mots!$B:$B,MATCH($A1228,Mots!$A:$A,0)),"introuvable")</f>
        <v>le type</v>
      </c>
    </row>
    <row r="1229" spans="1:2" x14ac:dyDescent="0.4">
      <c r="A1229" s="39" t="s">
        <v>6554</v>
      </c>
      <c r="B1229" s="41" t="str">
        <f>IFERROR(INDEX(Mots!$B:$B,MATCH($A1229,Mots!$A:$A,0)),"introuvable")</f>
        <v>le vaccin</v>
      </c>
    </row>
    <row r="1230" spans="1:2" x14ac:dyDescent="0.4">
      <c r="A1230" s="39" t="s">
        <v>6558</v>
      </c>
      <c r="B1230" s="41" t="str">
        <f>IFERROR(INDEX(Mots!$B:$B,MATCH($A1230,Mots!$A:$A,0)),"introuvable")</f>
        <v>le vainqueur</v>
      </c>
    </row>
    <row r="1231" spans="1:2" x14ac:dyDescent="0.4">
      <c r="A1231" s="39" t="s">
        <v>6561</v>
      </c>
      <c r="B1231" s="41" t="str">
        <f>IFERROR(INDEX(Mots!$B:$B,MATCH($A1231,Mots!$A:$A,0)),"introuvable")</f>
        <v>le velours</v>
      </c>
    </row>
    <row r="1232" spans="1:2" x14ac:dyDescent="0.4">
      <c r="A1232" s="39" t="s">
        <v>6566</v>
      </c>
      <c r="B1232" s="41" t="str">
        <f>IFERROR(INDEX(Mots!$B:$B,MATCH($A1232,Mots!$A:$A,0)),"introuvable")</f>
        <v>le vent</v>
      </c>
    </row>
    <row r="1233" spans="1:3" x14ac:dyDescent="0.4">
      <c r="A1233" s="39" t="s">
        <v>6578</v>
      </c>
      <c r="B1233" s="41" t="str">
        <f>IFERROR(INDEX(Mots!$B:$B,MATCH($A1233,Mots!$A:$A,0)),"introuvable")</f>
        <v>le vêtement</v>
      </c>
      <c r="C1233" s="39" t="s">
        <v>196</v>
      </c>
    </row>
    <row r="1234" spans="1:3" x14ac:dyDescent="0.4">
      <c r="A1234" s="39" t="s">
        <v>6582</v>
      </c>
      <c r="B1234" s="41" t="str">
        <f>IFERROR(INDEX(Mots!$B:$B,MATCH($A1234,Mots!$A:$A,0)),"introuvable")</f>
        <v>le village</v>
      </c>
    </row>
    <row r="1235" spans="1:3" x14ac:dyDescent="0.4">
      <c r="A1235" s="39" t="s">
        <v>6601</v>
      </c>
      <c r="B1235" s="41" t="str">
        <f>IFERROR(INDEX(Mots!$B:$B,MATCH($A1235,Mots!$A:$A,0)),"introuvable")</f>
        <v>le vol</v>
      </c>
    </row>
    <row r="1236" spans="1:3" x14ac:dyDescent="0.4">
      <c r="A1236" s="39" t="s">
        <v>6605</v>
      </c>
      <c r="B1236" s="41" t="str">
        <f>IFERROR(INDEX(Mots!$B:$B,MATCH($A1236,Mots!$A:$A,0)),"introuvable")</f>
        <v>le volume</v>
      </c>
    </row>
    <row r="1237" spans="1:3" x14ac:dyDescent="0.4">
      <c r="A1237" s="39" t="s">
        <v>6608</v>
      </c>
      <c r="B1237" s="41" t="str">
        <f>IFERROR(INDEX(Mots!$B:$B,MATCH($A1237,Mots!$A:$A,0)),"introuvable")</f>
        <v>le voyage</v>
      </c>
    </row>
    <row r="1238" spans="1:3" x14ac:dyDescent="0.4">
      <c r="A1238" s="39" t="s">
        <v>6612</v>
      </c>
      <c r="B1238" s="41" t="str">
        <f>IFERROR(INDEX(Mots!$B:$B,MATCH($A1238,Mots!$A:$A,0)),"introuvable")</f>
        <v>l'échelle</v>
      </c>
      <c r="C1238" s="39" t="s">
        <v>10120</v>
      </c>
    </row>
    <row r="1239" spans="1:3" x14ac:dyDescent="0.4">
      <c r="A1239" s="39" t="s">
        <v>6620</v>
      </c>
      <c r="B1239" s="41" t="str">
        <f>IFERROR(INDEX(Mots!$B:$B,MATCH($A1239,Mots!$A:$A,0)),"introuvable")</f>
        <v>l'éclair</v>
      </c>
    </row>
    <row r="1240" spans="1:3" x14ac:dyDescent="0.4">
      <c r="A1240" s="39" t="s">
        <v>6628</v>
      </c>
      <c r="B1240" s="41" t="str">
        <f>IFERROR(INDEX(Mots!$B:$B,MATCH($A1240,Mots!$A:$A,0)),"introuvable")</f>
        <v>l'école</v>
      </c>
    </row>
    <row r="1241" spans="1:3" x14ac:dyDescent="0.4">
      <c r="A1241" s="39" t="s">
        <v>6636</v>
      </c>
      <c r="B1241" s="41" t="str">
        <f>IFERROR(INDEX(Mots!$B:$B,MATCH($A1241,Mots!$A:$A,0)),"introuvable")</f>
        <v>l'économie</v>
      </c>
    </row>
    <row r="1242" spans="1:3" x14ac:dyDescent="0.4">
      <c r="A1242" s="39" t="s">
        <v>6640</v>
      </c>
      <c r="B1242" s="41" t="str">
        <f>IFERROR(INDEX(Mots!$B:$B,MATCH($A1242,Mots!$A:$A,0)),"introuvable")</f>
        <v>l'écorce</v>
      </c>
    </row>
    <row r="1243" spans="1:3" x14ac:dyDescent="0.4">
      <c r="A1243" s="39" t="s">
        <v>6648</v>
      </c>
      <c r="B1243" s="41" t="str">
        <f>IFERROR(INDEX(Mots!$B:$B,MATCH($A1243,Mots!$A:$A,0)),"introuvable")</f>
        <v>l'écran</v>
      </c>
    </row>
    <row r="1244" spans="1:3" x14ac:dyDescent="0.4">
      <c r="A1244" s="39" t="s">
        <v>6656</v>
      </c>
      <c r="B1244" s="41" t="str">
        <f>IFERROR(INDEX(Mots!$B:$B,MATCH($A1244,Mots!$A:$A,0)),"introuvable")</f>
        <v>l'effort</v>
      </c>
    </row>
    <row r="1245" spans="1:3" x14ac:dyDescent="0.4">
      <c r="A1245" s="39" t="s">
        <v>6662</v>
      </c>
      <c r="B1245" s="41" t="str">
        <f>IFERROR(INDEX(Mots!$B:$B,MATCH($A1245,Mots!$A:$A,0)),"introuvable")</f>
        <v>l'élève</v>
      </c>
    </row>
    <row r="1246" spans="1:3" x14ac:dyDescent="0.4">
      <c r="A1246" s="39" t="s">
        <v>6670</v>
      </c>
      <c r="B1246" s="41" t="str">
        <f>IFERROR(INDEX(Mots!$B:$B,MATCH($A1246,Mots!$A:$A,0)),"introuvable")</f>
        <v>l'endroit</v>
      </c>
    </row>
    <row r="1247" spans="1:3" x14ac:dyDescent="0.4">
      <c r="A1247" s="39" t="s">
        <v>6674</v>
      </c>
      <c r="B1247" s="41" t="str">
        <f>IFERROR(INDEX(Mots!$B:$B,MATCH($A1247,Mots!$A:$A,0)),"introuvable")</f>
        <v>l'engin</v>
      </c>
    </row>
    <row r="1248" spans="1:3" x14ac:dyDescent="0.4">
      <c r="A1248" s="39" t="s">
        <v>6680</v>
      </c>
      <c r="B1248" s="41" t="str">
        <f>IFERROR(INDEX(Mots!$B:$B,MATCH($A1248,Mots!$A:$A,0)),"introuvable")</f>
        <v>l'ennui</v>
      </c>
    </row>
    <row r="1249" spans="1:3" x14ac:dyDescent="0.4">
      <c r="A1249" s="39" t="s">
        <v>6684</v>
      </c>
      <c r="B1249" s="41" t="str">
        <f>IFERROR(INDEX(Mots!$B:$B,MATCH($A1249,Mots!$A:$A,0)),"introuvable")</f>
        <v>l'entraide</v>
      </c>
    </row>
    <row r="1250" spans="1:3" x14ac:dyDescent="0.4">
      <c r="A1250" s="39" t="s">
        <v>319</v>
      </c>
      <c r="B1250" s="41" t="str">
        <f>IFERROR(INDEX(Mots!$B:$B,MATCH($A1250,Mots!$A:$A,0)),"introuvable")</f>
        <v>l'entretien</v>
      </c>
    </row>
    <row r="1251" spans="1:3" x14ac:dyDescent="0.4">
      <c r="A1251" s="39" t="s">
        <v>6690</v>
      </c>
      <c r="B1251" s="41" t="str">
        <f>IFERROR(INDEX(Mots!$B:$B,MATCH($A1251,Mots!$A:$A,0)),"introuvable")</f>
        <v>l'enveloppe</v>
      </c>
    </row>
    <row r="1252" spans="1:3" x14ac:dyDescent="0.4">
      <c r="A1252" s="39" t="s">
        <v>6698</v>
      </c>
      <c r="B1252" s="41" t="str">
        <f>IFERROR(INDEX(Mots!$B:$B,MATCH($A1252,Mots!$A:$A,0)),"introuvable")</f>
        <v>l'envie</v>
      </c>
    </row>
    <row r="1253" spans="1:3" x14ac:dyDescent="0.4">
      <c r="A1253" s="39" t="s">
        <v>6703</v>
      </c>
      <c r="B1253" s="41" t="str">
        <f>IFERROR(INDEX(Mots!$B:$B,MATCH($A1253,Mots!$A:$A,0)),"introuvable")</f>
        <v>l'environnement</v>
      </c>
    </row>
    <row r="1254" spans="1:3" x14ac:dyDescent="0.4">
      <c r="A1254" s="39" t="s">
        <v>6712</v>
      </c>
      <c r="B1254" s="41" t="str">
        <f>IFERROR(INDEX(Mots!$B:$B,MATCH($A1254,Mots!$A:$A,0)),"introuvable")</f>
        <v>l'épice</v>
      </c>
    </row>
    <row r="1255" spans="1:3" x14ac:dyDescent="0.4">
      <c r="A1255" s="39" t="s">
        <v>6715</v>
      </c>
      <c r="B1255" s="41" t="str">
        <f>IFERROR(INDEX(Mots!$B:$B,MATCH($A1255,Mots!$A:$A,0)),"introuvable")</f>
        <v>l'erreur</v>
      </c>
    </row>
    <row r="1256" spans="1:3" x14ac:dyDescent="0.4">
      <c r="A1256" s="39" t="s">
        <v>6725</v>
      </c>
      <c r="B1256" s="41" t="str">
        <f>IFERROR(INDEX(Mots!$B:$B,MATCH($A1256,Mots!$A:$A,0)),"introuvable")</f>
        <v>les jumelles</v>
      </c>
      <c r="C1256" s="39" t="s">
        <v>10122</v>
      </c>
    </row>
    <row r="1257" spans="1:3" x14ac:dyDescent="0.4">
      <c r="A1257" s="39" t="s">
        <v>6737</v>
      </c>
      <c r="B1257" s="41" t="str">
        <f>IFERROR(INDEX(Mots!$B:$B,MATCH($A1257,Mots!$A:$A,0)),"introuvable")</f>
        <v>les vacances</v>
      </c>
    </row>
    <row r="1258" spans="1:3" x14ac:dyDescent="0.4">
      <c r="A1258" s="39" t="s">
        <v>6744</v>
      </c>
      <c r="B1258" s="41" t="str">
        <f>IFERROR(INDEX(Mots!$B:$B,MATCH($A1258,Mots!$A:$A,0)),"introuvable")</f>
        <v>l'espace</v>
      </c>
    </row>
    <row r="1259" spans="1:3" x14ac:dyDescent="0.4">
      <c r="A1259" s="39" t="s">
        <v>6748</v>
      </c>
      <c r="B1259" s="41" t="str">
        <f>IFERROR(INDEX(Mots!$B:$B,MATCH($A1259,Mots!$A:$A,0)),"introuvable")</f>
        <v>l'étagère</v>
      </c>
    </row>
    <row r="1260" spans="1:3" x14ac:dyDescent="0.4">
      <c r="A1260" s="39" t="s">
        <v>6756</v>
      </c>
      <c r="B1260" s="41" t="str">
        <f>IFERROR(INDEX(Mots!$B:$B,MATCH($A1260,Mots!$A:$A,0)),"introuvable")</f>
        <v>l'étoile</v>
      </c>
    </row>
    <row r="1261" spans="1:3" x14ac:dyDescent="0.4">
      <c r="A1261" s="39" t="s">
        <v>6764</v>
      </c>
      <c r="B1261" s="41" t="str">
        <f>IFERROR(INDEX(Mots!$B:$B,MATCH($A1261,Mots!$A:$A,0)),"introuvable")</f>
        <v>lever</v>
      </c>
    </row>
    <row r="1262" spans="1:3" x14ac:dyDescent="0.4">
      <c r="A1262" s="39" t="s">
        <v>6767</v>
      </c>
      <c r="B1262" s="41" t="str">
        <f>IFERROR(INDEX(Mots!$B:$B,MATCH($A1262,Mots!$A:$A,0)),"introuvable")</f>
        <v>l'excursion</v>
      </c>
    </row>
    <row r="1263" spans="1:3" x14ac:dyDescent="0.4">
      <c r="A1263" s="39" t="s">
        <v>6773</v>
      </c>
      <c r="B1263" s="41" t="str">
        <f>IFERROR(INDEX(Mots!$B:$B,MATCH($A1263,Mots!$A:$A,0)),"introuvable")</f>
        <v>l'exemple</v>
      </c>
    </row>
    <row r="1264" spans="1:3" x14ac:dyDescent="0.4">
      <c r="A1264" s="39" t="s">
        <v>6778</v>
      </c>
      <c r="B1264" s="41" t="str">
        <f>IFERROR(INDEX(Mots!$B:$B,MATCH($A1264,Mots!$A:$A,0)),"introuvable")</f>
        <v>l'histoire</v>
      </c>
    </row>
    <row r="1265" spans="1:3" x14ac:dyDescent="0.4">
      <c r="A1265" s="39" t="s">
        <v>6783</v>
      </c>
      <c r="B1265" s="41" t="str">
        <f>IFERROR(INDEX(Mots!$B:$B,MATCH($A1265,Mots!$A:$A,0)),"introuvable")</f>
        <v>l'horizon</v>
      </c>
    </row>
    <row r="1266" spans="1:3" x14ac:dyDescent="0.4">
      <c r="A1266" s="39" t="s">
        <v>6787</v>
      </c>
      <c r="B1266" s="41" t="str">
        <f>IFERROR(INDEX(Mots!$B:$B,MATCH($A1266,Mots!$A:$A,0)),"introuvable")</f>
        <v>l'idée</v>
      </c>
    </row>
    <row r="1267" spans="1:3" x14ac:dyDescent="0.4">
      <c r="A1267" s="39" t="s">
        <v>6791</v>
      </c>
      <c r="B1267" s="41" t="str">
        <f>IFERROR(INDEX(Mots!$B:$B,MATCH($A1267,Mots!$A:$A,0)),"introuvable")</f>
        <v>l'île</v>
      </c>
    </row>
    <row r="1268" spans="1:3" x14ac:dyDescent="0.4">
      <c r="A1268" s="39" t="s">
        <v>6795</v>
      </c>
      <c r="B1268" s="41" t="str">
        <f>IFERROR(INDEX(Mots!$B:$B,MATCH($A1268,Mots!$A:$A,0)),"introuvable")</f>
        <v>l'image</v>
      </c>
    </row>
    <row r="1269" spans="1:3" x14ac:dyDescent="0.4">
      <c r="A1269" s="39" t="s">
        <v>6798</v>
      </c>
      <c r="B1269" s="41" t="str">
        <f>IFERROR(INDEX(Mots!$B:$B,MATCH($A1269,Mots!$A:$A,0)),"introuvable")</f>
        <v>l'immeuble</v>
      </c>
      <c r="C1269" s="39" t="s">
        <v>366</v>
      </c>
    </row>
    <row r="1270" spans="1:3" x14ac:dyDescent="0.4">
      <c r="A1270" s="39" t="s">
        <v>6806</v>
      </c>
      <c r="B1270" s="41" t="str">
        <f>IFERROR(INDEX(Mots!$B:$B,MATCH($A1270,Mots!$A:$A,0)),"introuvable")</f>
        <v>l'information</v>
      </c>
    </row>
    <row r="1271" spans="1:3" x14ac:dyDescent="0.4">
      <c r="A1271" s="39" t="s">
        <v>6810</v>
      </c>
      <c r="B1271" s="41" t="str">
        <f>IFERROR(INDEX(Mots!$B:$B,MATCH($A1271,Mots!$A:$A,0)),"introuvable")</f>
        <v>l'inquiétude</v>
      </c>
    </row>
    <row r="1272" spans="1:3" x14ac:dyDescent="0.4">
      <c r="A1272" s="39" t="s">
        <v>6817</v>
      </c>
      <c r="B1272" s="41" t="str">
        <f>IFERROR(INDEX(Mots!$B:$B,MATCH($A1272,Mots!$A:$A,0)),"introuvable")</f>
        <v>l'instant</v>
      </c>
    </row>
    <row r="1273" spans="1:3" x14ac:dyDescent="0.4">
      <c r="A1273" s="39" t="s">
        <v>6822</v>
      </c>
      <c r="B1273" s="41" t="str">
        <f>IFERROR(INDEX(Mots!$B:$B,MATCH($A1273,Mots!$A:$A,0)),"introuvable")</f>
        <v>l'invitation</v>
      </c>
    </row>
    <row r="1274" spans="1:3" x14ac:dyDescent="0.4">
      <c r="A1274" s="39" t="s">
        <v>6826</v>
      </c>
      <c r="B1274" s="41" t="str">
        <f>IFERROR(INDEX(Mots!$B:$B,MATCH($A1274,Mots!$A:$A,0)),"introuvable")</f>
        <v>l'invité</v>
      </c>
    </row>
    <row r="1275" spans="1:3" x14ac:dyDescent="0.4">
      <c r="A1275" s="39" t="s">
        <v>6830</v>
      </c>
      <c r="B1275" s="41" t="str">
        <f>IFERROR(INDEX(Mots!$B:$B,MATCH($A1275,Mots!$A:$A,0)),"introuvable")</f>
        <v>lire</v>
      </c>
    </row>
    <row r="1276" spans="1:3" x14ac:dyDescent="0.4">
      <c r="A1276" s="39" t="s">
        <v>6837</v>
      </c>
      <c r="B1276" s="41" t="str">
        <f>IFERROR(INDEX(Mots!$B:$B,MATCH($A1276,Mots!$A:$A,0)),"introuvable")</f>
        <v>l'objet</v>
      </c>
    </row>
    <row r="1277" spans="1:3" x14ac:dyDescent="0.4">
      <c r="A1277" s="39" t="s">
        <v>6845</v>
      </c>
      <c r="B1277" s="41" t="str">
        <f>IFERROR(INDEX(Mots!$B:$B,MATCH($A1277,Mots!$A:$A,0)),"introuvable")</f>
        <v>l'odeur</v>
      </c>
    </row>
    <row r="1278" spans="1:3" x14ac:dyDescent="0.4">
      <c r="A1278" s="39" t="s">
        <v>6852</v>
      </c>
      <c r="B1278" s="41" t="str">
        <f>IFERROR(INDEX(Mots!$B:$B,MATCH($A1278,Mots!$A:$A,0)),"introuvable")</f>
        <v>l'oeuvre</v>
      </c>
    </row>
    <row r="1279" spans="1:3" x14ac:dyDescent="0.4">
      <c r="A1279" s="39" t="s">
        <v>6861</v>
      </c>
      <c r="B1279" s="41" t="str">
        <f>IFERROR(INDEX(Mots!$B:$B,MATCH($A1279,Mots!$A:$A,0)),"introuvable")</f>
        <v>loin</v>
      </c>
    </row>
    <row r="1280" spans="1:3" x14ac:dyDescent="0.4">
      <c r="A1280" s="39" t="s">
        <v>6863</v>
      </c>
      <c r="B1280" s="41" t="str">
        <f>IFERROR(INDEX(Mots!$B:$B,MATCH($A1280,Mots!$A:$A,0)),"introuvable")</f>
        <v>l'oiseau</v>
      </c>
    </row>
    <row r="1281" spans="1:2" x14ac:dyDescent="0.4">
      <c r="A1281" s="39" t="s">
        <v>6871</v>
      </c>
      <c r="B1281" s="41" t="str">
        <f>IFERROR(INDEX(Mots!$B:$B,MATCH($A1281,Mots!$A:$A,0)),"introuvable")</f>
        <v>l'ombre</v>
      </c>
    </row>
    <row r="1282" spans="1:2" x14ac:dyDescent="0.4">
      <c r="A1282" s="39" t="s">
        <v>6878</v>
      </c>
      <c r="B1282" s="41" t="str">
        <f>IFERROR(INDEX(Mots!$B:$B,MATCH($A1282,Mots!$A:$A,0)),"introuvable")</f>
        <v>longtemps</v>
      </c>
    </row>
    <row r="1283" spans="1:2" x14ac:dyDescent="0.4">
      <c r="A1283" s="39" t="s">
        <v>6882</v>
      </c>
      <c r="B1283" s="41" t="str">
        <f>IFERROR(INDEX(Mots!$B:$B,MATCH($A1283,Mots!$A:$A,0)),"introuvable")</f>
        <v>l'orage</v>
      </c>
    </row>
    <row r="1284" spans="1:2" x14ac:dyDescent="0.4">
      <c r="A1284" s="39" t="s">
        <v>6886</v>
      </c>
      <c r="B1284" s="41" t="str">
        <f>IFERROR(INDEX(Mots!$B:$B,MATCH($A1284,Mots!$A:$A,0)),"introuvable")</f>
        <v>l'ordonnance</v>
      </c>
    </row>
    <row r="1285" spans="1:2" x14ac:dyDescent="0.4">
      <c r="A1285" s="39" t="s">
        <v>6895</v>
      </c>
      <c r="B1285" s="41" t="str">
        <f>IFERROR(INDEX(Mots!$B:$B,MATCH($A1285,Mots!$A:$A,0)),"introuvable")</f>
        <v>l'unité</v>
      </c>
    </row>
    <row r="1286" spans="1:2" x14ac:dyDescent="0.4">
      <c r="A1286" s="39" t="s">
        <v>6900</v>
      </c>
      <c r="B1286" s="41" t="str">
        <f>IFERROR(INDEX(Mots!$B:$B,MATCH($A1286,Mots!$A:$A,0)),"introuvable")</f>
        <v>l'usage</v>
      </c>
    </row>
    <row r="1287" spans="1:2" x14ac:dyDescent="0.4">
      <c r="A1287" s="39" t="s">
        <v>9599</v>
      </c>
      <c r="B1287" s="41" t="str">
        <f>IFERROR(INDEX(Mots!$B:$B,MATCH($A1287,Mots!$A:$A,0)),"introuvable")</f>
        <v>mal</v>
      </c>
    </row>
    <row r="1288" spans="1:2" x14ac:dyDescent="0.4">
      <c r="A1288" s="39" t="s">
        <v>6915</v>
      </c>
      <c r="B1288" s="41" t="str">
        <f>IFERROR(INDEX(Mots!$B:$B,MATCH($A1288,Mots!$A:$A,0)),"introuvable")</f>
        <v>malin</v>
      </c>
    </row>
    <row r="1289" spans="1:2" x14ac:dyDescent="0.4">
      <c r="A1289" s="39" t="s">
        <v>6920</v>
      </c>
      <c r="B1289" s="41" t="str">
        <f>IFERROR(INDEX(Mots!$B:$B,MATCH($A1289,Mots!$A:$A,0)),"introuvable")</f>
        <v>manger</v>
      </c>
    </row>
    <row r="1290" spans="1:2" x14ac:dyDescent="0.4">
      <c r="A1290" s="39" t="s">
        <v>6928</v>
      </c>
      <c r="B1290" s="41" t="str">
        <f>IFERROR(INDEX(Mots!$B:$B,MATCH($A1290,Mots!$A:$A,0)),"introuvable")</f>
        <v>marcher</v>
      </c>
    </row>
    <row r="1291" spans="1:2" x14ac:dyDescent="0.4">
      <c r="A1291" s="39" t="s">
        <v>6936</v>
      </c>
      <c r="B1291" s="41" t="str">
        <f>IFERROR(INDEX(Mots!$B:$B,MATCH($A1291,Mots!$A:$A,0)),"introuvable")</f>
        <v>masculin</v>
      </c>
    </row>
    <row r="1292" spans="1:2" x14ac:dyDescent="0.4">
      <c r="A1292" s="39" t="s">
        <v>6939</v>
      </c>
      <c r="B1292" s="41" t="str">
        <f>IFERROR(INDEX(Mots!$B:$B,MATCH($A1292,Mots!$A:$A,0)),"introuvable")</f>
        <v>mentir</v>
      </c>
    </row>
    <row r="1293" spans="1:2" x14ac:dyDescent="0.4">
      <c r="A1293" s="39" t="s">
        <v>6942</v>
      </c>
      <c r="B1293" s="41" t="str">
        <f>IFERROR(INDEX(Mots!$B:$B,MATCH($A1293,Mots!$A:$A,0)),"introuvable")</f>
        <v>merveilleux</v>
      </c>
    </row>
    <row r="1294" spans="1:2" x14ac:dyDescent="0.4">
      <c r="A1294" s="39" t="s">
        <v>6945</v>
      </c>
      <c r="B1294" s="41" t="str">
        <f>IFERROR(INDEX(Mots!$B:$B,MATCH($A1294,Mots!$A:$A,0)),"introuvable")</f>
        <v>monter</v>
      </c>
    </row>
    <row r="1295" spans="1:2" x14ac:dyDescent="0.4">
      <c r="A1295" s="39" t="s">
        <v>6949</v>
      </c>
      <c r="B1295" s="41" t="str">
        <f>IFERROR(INDEX(Mots!$B:$B,MATCH($A1295,Mots!$A:$A,0)),"introuvable")</f>
        <v>montrer</v>
      </c>
    </row>
    <row r="1296" spans="1:2" x14ac:dyDescent="0.4">
      <c r="A1296" s="39" t="s">
        <v>6956</v>
      </c>
      <c r="B1296" s="41" t="str">
        <f>IFERROR(INDEX(Mots!$B:$B,MATCH($A1296,Mots!$A:$A,0)),"introuvable")</f>
        <v>nager</v>
      </c>
    </row>
    <row r="1297" spans="1:2" x14ac:dyDescent="0.4">
      <c r="A1297" s="39" t="s">
        <v>6964</v>
      </c>
      <c r="B1297" s="41" t="str">
        <f>IFERROR(INDEX(Mots!$B:$B,MATCH($A1297,Mots!$A:$A,0)),"introuvable")</f>
        <v>nettoyer</v>
      </c>
    </row>
    <row r="1298" spans="1:2" x14ac:dyDescent="0.4">
      <c r="A1298" s="39" t="s">
        <v>6972</v>
      </c>
      <c r="B1298" s="41" t="str">
        <f>IFERROR(INDEX(Mots!$B:$B,MATCH($A1298,Mots!$A:$A,0)),"introuvable")</f>
        <v>nombreux</v>
      </c>
    </row>
    <row r="1299" spans="1:2" x14ac:dyDescent="0.4">
      <c r="A1299" s="39" t="s">
        <v>6976</v>
      </c>
      <c r="B1299" s="41" t="str">
        <f>IFERROR(INDEX(Mots!$B:$B,MATCH($A1299,Mots!$A:$A,0)),"introuvable")</f>
        <v>nu</v>
      </c>
    </row>
    <row r="1300" spans="1:2" x14ac:dyDescent="0.4">
      <c r="A1300" s="39" t="s">
        <v>6983</v>
      </c>
      <c r="B1300" s="41" t="str">
        <f>IFERROR(INDEX(Mots!$B:$B,MATCH($A1300,Mots!$A:$A,0)),"introuvable")</f>
        <v>ordonner</v>
      </c>
    </row>
    <row r="1301" spans="1:2" x14ac:dyDescent="0.4">
      <c r="A1301" s="39" t="s">
        <v>6987</v>
      </c>
      <c r="B1301" s="41" t="str">
        <f>IFERROR(INDEX(Mots!$B:$B,MATCH($A1301,Mots!$A:$A,0)),"introuvable")</f>
        <v>oublier</v>
      </c>
    </row>
    <row r="1302" spans="1:2" x14ac:dyDescent="0.4">
      <c r="A1302" s="39" t="s">
        <v>6991</v>
      </c>
      <c r="B1302" s="41" t="str">
        <f>IFERROR(INDEX(Mots!$B:$B,MATCH($A1302,Mots!$A:$A,0)),"introuvable")</f>
        <v>ouvrir</v>
      </c>
    </row>
    <row r="1303" spans="1:2" x14ac:dyDescent="0.4">
      <c r="A1303" s="39" t="s">
        <v>9527</v>
      </c>
      <c r="B1303" s="41" t="str">
        <f>IFERROR(INDEX(Mots!$B:$B,MATCH($A1303,Mots!$A:$A,0)),"introuvable")</f>
        <v>pareil</v>
      </c>
    </row>
    <row r="1304" spans="1:2" x14ac:dyDescent="0.4">
      <c r="A1304" s="39" t="s">
        <v>7000</v>
      </c>
      <c r="B1304" s="41" t="str">
        <f>IFERROR(INDEX(Mots!$B:$B,MATCH($A1304,Mots!$A:$A,0)),"introuvable")</f>
        <v>parler</v>
      </c>
    </row>
    <row r="1305" spans="1:2" x14ac:dyDescent="0.4">
      <c r="A1305" s="39" t="s">
        <v>7009</v>
      </c>
      <c r="B1305" s="41" t="str">
        <f>IFERROR(INDEX(Mots!$B:$B,MATCH($A1305,Mots!$A:$A,0)),"introuvable")</f>
        <v>partir</v>
      </c>
    </row>
    <row r="1306" spans="1:2" x14ac:dyDescent="0.4">
      <c r="A1306" s="39" t="s">
        <v>7017</v>
      </c>
      <c r="B1306" s="41" t="str">
        <f>IFERROR(INDEX(Mots!$B:$B,MATCH($A1306,Mots!$A:$A,0)),"introuvable")</f>
        <v>partout</v>
      </c>
    </row>
    <row r="1307" spans="1:2" x14ac:dyDescent="0.4">
      <c r="A1307" s="39" t="s">
        <v>7020</v>
      </c>
      <c r="B1307" s="41" t="str">
        <f>IFERROR(INDEX(Mots!$B:$B,MATCH($A1307,Mots!$A:$A,0)),"introuvable")</f>
        <v>payer</v>
      </c>
    </row>
    <row r="1308" spans="1:2" x14ac:dyDescent="0.4">
      <c r="A1308" s="39" t="s">
        <v>7032</v>
      </c>
      <c r="B1308" s="41" t="str">
        <f>IFERROR(INDEX(Mots!$B:$B,MATCH($A1308,Mots!$A:$A,0)),"introuvable")</f>
        <v>penser</v>
      </c>
    </row>
    <row r="1309" spans="1:2" x14ac:dyDescent="0.4">
      <c r="A1309" s="39" t="s">
        <v>7036</v>
      </c>
      <c r="B1309" s="41" t="str">
        <f>IFERROR(INDEX(Mots!$B:$B,MATCH($A1309,Mots!$A:$A,0)),"introuvable")</f>
        <v>perdre</v>
      </c>
    </row>
    <row r="1310" spans="1:2" x14ac:dyDescent="0.4">
      <c r="A1310" s="39" t="s">
        <v>7039</v>
      </c>
      <c r="B1310" s="41" t="str">
        <f>IFERROR(INDEX(Mots!$B:$B,MATCH($A1310,Mots!$A:$A,0)),"introuvable")</f>
        <v>peu</v>
      </c>
    </row>
    <row r="1311" spans="1:2" x14ac:dyDescent="0.4">
      <c r="A1311" s="39" t="s">
        <v>7046</v>
      </c>
      <c r="B1311" s="41" t="str">
        <f>IFERROR(INDEX(Mots!$B:$B,MATCH($A1311,Mots!$A:$A,0)),"introuvable")</f>
        <v>piquant</v>
      </c>
    </row>
    <row r="1312" spans="1:2" x14ac:dyDescent="0.4">
      <c r="A1312" s="39" t="s">
        <v>7049</v>
      </c>
      <c r="B1312" s="41" t="str">
        <f>IFERROR(INDEX(Mots!$B:$B,MATCH($A1312,Mots!$A:$A,0)),"introuvable")</f>
        <v>plaindre</v>
      </c>
    </row>
    <row r="1313" spans="1:2" x14ac:dyDescent="0.4">
      <c r="A1313" s="39" t="s">
        <v>7053</v>
      </c>
      <c r="B1313" s="41" t="str">
        <f>IFERROR(INDEX(Mots!$B:$B,MATCH($A1313,Mots!$A:$A,0)),"introuvable")</f>
        <v>pleurer</v>
      </c>
    </row>
    <row r="1314" spans="1:2" x14ac:dyDescent="0.4">
      <c r="A1314" s="39" t="s">
        <v>9722</v>
      </c>
      <c r="B1314" s="41" t="str">
        <f>IFERROR(INDEX(Mots!$B:$B,MATCH($A1314,Mots!$A:$A,0)),"introuvable")</f>
        <v>plutôt</v>
      </c>
    </row>
    <row r="1315" spans="1:2" x14ac:dyDescent="0.4">
      <c r="A1315" s="39" t="s">
        <v>7063</v>
      </c>
      <c r="B1315" s="41" t="str">
        <f>IFERROR(INDEX(Mots!$B:$B,MATCH($A1315,Mots!$A:$A,0)),"introuvable")</f>
        <v>porter</v>
      </c>
    </row>
    <row r="1316" spans="1:2" x14ac:dyDescent="0.4">
      <c r="A1316" s="39" t="s">
        <v>7071</v>
      </c>
      <c r="B1316" s="41" t="str">
        <f>IFERROR(INDEX(Mots!$B:$B,MATCH($A1316,Mots!$A:$A,0)),"introuvable")</f>
        <v>poser</v>
      </c>
    </row>
    <row r="1317" spans="1:2" x14ac:dyDescent="0.4">
      <c r="A1317" s="39" t="s">
        <v>7079</v>
      </c>
      <c r="B1317" s="41" t="str">
        <f>IFERROR(INDEX(Mots!$B:$B,MATCH($A1317,Mots!$A:$A,0)),"introuvable")</f>
        <v>possible</v>
      </c>
    </row>
    <row r="1318" spans="1:2" x14ac:dyDescent="0.4">
      <c r="A1318" s="39" t="s">
        <v>7082</v>
      </c>
      <c r="B1318" s="41" t="str">
        <f>IFERROR(INDEX(Mots!$B:$B,MATCH($A1318,Mots!$A:$A,0)),"introuvable")</f>
        <v>pourtant</v>
      </c>
    </row>
    <row r="1319" spans="1:2" x14ac:dyDescent="0.4">
      <c r="A1319" s="39" t="s">
        <v>7084</v>
      </c>
      <c r="B1319" s="41" t="str">
        <f>IFERROR(INDEX(Mots!$B:$B,MATCH($A1319,Mots!$A:$A,0)),"introuvable")</f>
        <v>pousser</v>
      </c>
    </row>
    <row r="1320" spans="1:2" x14ac:dyDescent="0.4">
      <c r="A1320" s="39" t="s">
        <v>7092</v>
      </c>
      <c r="B1320" s="41" t="str">
        <f>IFERROR(INDEX(Mots!$B:$B,MATCH($A1320,Mots!$A:$A,0)),"introuvable")</f>
        <v>pouvoir</v>
      </c>
    </row>
    <row r="1321" spans="1:2" x14ac:dyDescent="0.4">
      <c r="A1321" s="39" t="s">
        <v>7097</v>
      </c>
      <c r="B1321" s="41" t="str">
        <f>IFERROR(INDEX(Mots!$B:$B,MATCH($A1321,Mots!$A:$A,0)),"introuvable")</f>
        <v>pratique</v>
      </c>
    </row>
    <row r="1322" spans="1:2" x14ac:dyDescent="0.4">
      <c r="A1322" s="39" t="s">
        <v>7100</v>
      </c>
      <c r="B1322" s="41" t="str">
        <f>IFERROR(INDEX(Mots!$B:$B,MATCH($A1322,Mots!$A:$A,0)),"introuvable")</f>
        <v>précis</v>
      </c>
    </row>
    <row r="1323" spans="1:2" x14ac:dyDescent="0.4">
      <c r="A1323" s="39" t="s">
        <v>7103</v>
      </c>
      <c r="B1323" s="41" t="str">
        <f>IFERROR(INDEX(Mots!$B:$B,MATCH($A1323,Mots!$A:$A,0)),"introuvable")</f>
        <v>préféré</v>
      </c>
    </row>
    <row r="1324" spans="1:2" x14ac:dyDescent="0.4">
      <c r="A1324" s="39" t="s">
        <v>7107</v>
      </c>
      <c r="B1324" s="41" t="str">
        <f>IFERROR(INDEX(Mots!$B:$B,MATCH($A1324,Mots!$A:$A,0)),"introuvable")</f>
        <v>prendre</v>
      </c>
    </row>
    <row r="1325" spans="1:2" x14ac:dyDescent="0.4">
      <c r="A1325" s="39" t="s">
        <v>7114</v>
      </c>
      <c r="B1325" s="41" t="str">
        <f>IFERROR(INDEX(Mots!$B:$B,MATCH($A1325,Mots!$A:$A,0)),"introuvable")</f>
        <v>préparer</v>
      </c>
    </row>
    <row r="1326" spans="1:2" x14ac:dyDescent="0.4">
      <c r="A1326" s="39" t="s">
        <v>7121</v>
      </c>
      <c r="B1326" s="41" t="str">
        <f>IFERROR(INDEX(Mots!$B:$B,MATCH($A1326,Mots!$A:$A,0)),"introuvable")</f>
        <v>près (proche)</v>
      </c>
    </row>
    <row r="1327" spans="1:2" x14ac:dyDescent="0.4">
      <c r="A1327" s="39" t="s">
        <v>7124</v>
      </c>
      <c r="B1327" s="41" t="str">
        <f>IFERROR(INDEX(Mots!$B:$B,MATCH($A1327,Mots!$A:$A,0)),"introuvable")</f>
        <v>presque</v>
      </c>
    </row>
    <row r="1328" spans="1:2" x14ac:dyDescent="0.4">
      <c r="A1328" s="39" t="s">
        <v>7126</v>
      </c>
      <c r="B1328" s="41" t="str">
        <f>IFERROR(INDEX(Mots!$B:$B,MATCH($A1328,Mots!$A:$A,0)),"introuvable")</f>
        <v>prêt</v>
      </c>
    </row>
    <row r="1329" spans="1:2" x14ac:dyDescent="0.4">
      <c r="A1329" s="39" t="s">
        <v>7130</v>
      </c>
      <c r="B1329" s="41" t="str">
        <f>IFERROR(INDEX(Mots!$B:$B,MATCH($A1329,Mots!$A:$A,0)),"introuvable")</f>
        <v>prévenir</v>
      </c>
    </row>
    <row r="1330" spans="1:2" x14ac:dyDescent="0.4">
      <c r="A1330" s="39" t="s">
        <v>7134</v>
      </c>
      <c r="B1330" s="41" t="str">
        <f>IFERROR(INDEX(Mots!$B:$B,MATCH($A1330,Mots!$A:$A,0)),"introuvable")</f>
        <v>profond</v>
      </c>
    </row>
    <row r="1331" spans="1:2" x14ac:dyDescent="0.4">
      <c r="A1331" s="39" t="s">
        <v>7138</v>
      </c>
      <c r="B1331" s="41" t="str">
        <f>IFERROR(INDEX(Mots!$B:$B,MATCH($A1331,Mots!$A:$A,0)),"introuvable")</f>
        <v>promettre</v>
      </c>
    </row>
    <row r="1332" spans="1:2" x14ac:dyDescent="0.4">
      <c r="A1332" s="39" t="s">
        <v>7142</v>
      </c>
      <c r="B1332" s="41" t="str">
        <f>IFERROR(INDEX(Mots!$B:$B,MATCH($A1332,Mots!$A:$A,0)),"introuvable")</f>
        <v>raconter</v>
      </c>
    </row>
    <row r="1333" spans="1:2" x14ac:dyDescent="0.4">
      <c r="A1333" s="39" t="s">
        <v>7146</v>
      </c>
      <c r="B1333" s="41" t="str">
        <f>IFERROR(INDEX(Mots!$B:$B,MATCH($A1333,Mots!$A:$A,0)),"introuvable")</f>
        <v>ramasser</v>
      </c>
    </row>
    <row r="1334" spans="1:2" x14ac:dyDescent="0.4">
      <c r="A1334" s="39" t="s">
        <v>7153</v>
      </c>
      <c r="B1334" s="41" t="str">
        <f>IFERROR(INDEX(Mots!$B:$B,MATCH($A1334,Mots!$A:$A,0)),"introuvable")</f>
        <v>ranger</v>
      </c>
    </row>
    <row r="1335" spans="1:2" x14ac:dyDescent="0.4">
      <c r="A1335" s="39" t="s">
        <v>7160</v>
      </c>
      <c r="B1335" s="41" t="str">
        <f>IFERROR(INDEX(Mots!$B:$B,MATCH($A1335,Mots!$A:$A,0)),"introuvable")</f>
        <v>rappeler</v>
      </c>
    </row>
    <row r="1336" spans="1:2" x14ac:dyDescent="0.4">
      <c r="A1336" s="39" t="s">
        <v>7164</v>
      </c>
      <c r="B1336" s="41" t="str">
        <f>IFERROR(INDEX(Mots!$B:$B,MATCH($A1336,Mots!$A:$A,0)),"introuvable")</f>
        <v>rarement</v>
      </c>
    </row>
    <row r="1337" spans="1:2" x14ac:dyDescent="0.4">
      <c r="A1337" s="39" t="s">
        <v>7167</v>
      </c>
      <c r="B1337" s="41" t="str">
        <f>IFERROR(INDEX(Mots!$B:$B,MATCH($A1337,Mots!$A:$A,0)),"introuvable")</f>
        <v>réfléchir</v>
      </c>
    </row>
    <row r="1338" spans="1:2" x14ac:dyDescent="0.4">
      <c r="A1338" s="39" t="s">
        <v>7171</v>
      </c>
      <c r="B1338" s="41" t="str">
        <f>IFERROR(INDEX(Mots!$B:$B,MATCH($A1338,Mots!$A:$A,0)),"introuvable")</f>
        <v>refuser</v>
      </c>
    </row>
    <row r="1339" spans="1:2" x14ac:dyDescent="0.4">
      <c r="A1339" s="39" t="s">
        <v>7177</v>
      </c>
      <c r="B1339" s="41" t="str">
        <f>IFERROR(INDEX(Mots!$B:$B,MATCH($A1339,Mots!$A:$A,0)),"introuvable")</f>
        <v>regarder</v>
      </c>
    </row>
    <row r="1340" spans="1:2" x14ac:dyDescent="0.4">
      <c r="A1340" s="39" t="s">
        <v>7189</v>
      </c>
      <c r="B1340" s="41" t="str">
        <f>IFERROR(INDEX(Mots!$B:$B,MATCH($A1340,Mots!$A:$A,0)),"introuvable")</f>
        <v>régulier</v>
      </c>
    </row>
    <row r="1341" spans="1:2" x14ac:dyDescent="0.4">
      <c r="A1341" s="39" t="s">
        <v>7192</v>
      </c>
      <c r="B1341" s="41" t="str">
        <f>IFERROR(INDEX(Mots!$B:$B,MATCH($A1341,Mots!$A:$A,0)),"introuvable")</f>
        <v>remarquer</v>
      </c>
    </row>
    <row r="1342" spans="1:2" x14ac:dyDescent="0.4">
      <c r="A1342" s="39" t="s">
        <v>7197</v>
      </c>
      <c r="B1342" s="41" t="str">
        <f>IFERROR(INDEX(Mots!$B:$B,MATCH($A1342,Mots!$A:$A,0)),"introuvable")</f>
        <v>remercier</v>
      </c>
    </row>
    <row r="1343" spans="1:2" x14ac:dyDescent="0.4">
      <c r="A1343" s="39" t="s">
        <v>7205</v>
      </c>
      <c r="B1343" s="41" t="str">
        <f>IFERROR(INDEX(Mots!$B:$B,MATCH($A1343,Mots!$A:$A,0)),"introuvable")</f>
        <v>réparer</v>
      </c>
    </row>
    <row r="1344" spans="1:2" x14ac:dyDescent="0.4">
      <c r="A1344" s="39" t="s">
        <v>7213</v>
      </c>
      <c r="B1344" s="41" t="str">
        <f>IFERROR(INDEX(Mots!$B:$B,MATCH($A1344,Mots!$A:$A,0)),"introuvable")</f>
        <v>répéter</v>
      </c>
    </row>
    <row r="1345" spans="1:2" x14ac:dyDescent="0.4">
      <c r="A1345" s="39" t="s">
        <v>7219</v>
      </c>
      <c r="B1345" s="41" t="str">
        <f>IFERROR(INDEX(Mots!$B:$B,MATCH($A1345,Mots!$A:$A,0)),"introuvable")</f>
        <v>répondre</v>
      </c>
    </row>
    <row r="1346" spans="1:2" x14ac:dyDescent="0.4">
      <c r="A1346" s="39" t="s">
        <v>7225</v>
      </c>
      <c r="B1346" s="41" t="str">
        <f>IFERROR(INDEX(Mots!$B:$B,MATCH($A1346,Mots!$A:$A,0)),"introuvable")</f>
        <v>résistant</v>
      </c>
    </row>
    <row r="1347" spans="1:2" x14ac:dyDescent="0.4">
      <c r="A1347" s="39" t="s">
        <v>7228</v>
      </c>
      <c r="B1347" s="41" t="str">
        <f>IFERROR(INDEX(Mots!$B:$B,MATCH($A1347,Mots!$A:$A,0)),"introuvable")</f>
        <v>rester</v>
      </c>
    </row>
    <row r="1348" spans="1:2" x14ac:dyDescent="0.4">
      <c r="A1348" s="39" t="s">
        <v>7234</v>
      </c>
      <c r="B1348" s="41" t="str">
        <f>IFERROR(INDEX(Mots!$B:$B,MATCH($A1348,Mots!$A:$A,0)),"introuvable")</f>
        <v>réussir</v>
      </c>
    </row>
    <row r="1349" spans="1:2" x14ac:dyDescent="0.4">
      <c r="A1349" s="39" t="s">
        <v>7238</v>
      </c>
      <c r="B1349" s="41" t="str">
        <f>IFERROR(INDEX(Mots!$B:$B,MATCH($A1349,Mots!$A:$A,0)),"introuvable")</f>
        <v>rire</v>
      </c>
    </row>
    <row r="1350" spans="1:2" x14ac:dyDescent="0.4">
      <c r="A1350" s="39" t="s">
        <v>7246</v>
      </c>
      <c r="B1350" s="41" t="str">
        <f>IFERROR(INDEX(Mots!$B:$B,MATCH($A1350,Mots!$A:$A,0)),"introuvable")</f>
        <v>roux</v>
      </c>
    </row>
    <row r="1351" spans="1:2" x14ac:dyDescent="0.4">
      <c r="A1351" s="39" t="s">
        <v>7253</v>
      </c>
      <c r="B1351" s="41" t="str">
        <f>IFERROR(INDEX(Mots!$B:$B,MATCH($A1351,Mots!$A:$A,0)),"introuvable")</f>
        <v>rude</v>
      </c>
    </row>
    <row r="1352" spans="1:2" x14ac:dyDescent="0.4">
      <c r="A1352" s="39" t="s">
        <v>7255</v>
      </c>
      <c r="B1352" s="41" t="str">
        <f>IFERROR(INDEX(Mots!$B:$B,MATCH($A1352,Mots!$A:$A,0)),"introuvable")</f>
        <v>rusé</v>
      </c>
    </row>
    <row r="1353" spans="1:2" x14ac:dyDescent="0.4">
      <c r="A1353" s="39" t="s">
        <v>7260</v>
      </c>
      <c r="B1353" s="41" t="str">
        <f>IFERROR(INDEX(Mots!$B:$B,MATCH($A1353,Mots!$A:$A,0)),"introuvable")</f>
        <v>saluer</v>
      </c>
    </row>
    <row r="1354" spans="1:2" x14ac:dyDescent="0.4">
      <c r="A1354" s="39" t="s">
        <v>7268</v>
      </c>
      <c r="B1354" s="41" t="str">
        <f>IFERROR(INDEX(Mots!$B:$B,MATCH($A1354,Mots!$A:$A,0)),"introuvable")</f>
        <v>s'asseoir</v>
      </c>
    </row>
    <row r="1355" spans="1:2" x14ac:dyDescent="0.4">
      <c r="A1355" s="39" t="s">
        <v>7275</v>
      </c>
      <c r="B1355" s="41" t="str">
        <f>IFERROR(INDEX(Mots!$B:$B,MATCH($A1355,Mots!$A:$A,0)),"introuvable")</f>
        <v>sauter</v>
      </c>
    </row>
    <row r="1356" spans="1:2" x14ac:dyDescent="0.4">
      <c r="A1356" s="39" t="s">
        <v>9624</v>
      </c>
      <c r="B1356" s="41" t="str">
        <f>IFERROR(INDEX(Mots!$B:$B,MATCH($A1356,Mots!$A:$A,0)),"introuvable")</f>
        <v>sauvage</v>
      </c>
    </row>
    <row r="1357" spans="1:2" x14ac:dyDescent="0.4">
      <c r="A1357" s="39" t="s">
        <v>7285</v>
      </c>
      <c r="B1357" s="41" t="str">
        <f>IFERROR(INDEX(Mots!$B:$B,MATCH($A1357,Mots!$A:$A,0)),"introuvable")</f>
        <v>savoir</v>
      </c>
    </row>
    <row r="1358" spans="1:2" x14ac:dyDescent="0.4">
      <c r="A1358" s="39" t="s">
        <v>7289</v>
      </c>
      <c r="B1358" s="41" t="str">
        <f>IFERROR(INDEX(Mots!$B:$B,MATCH($A1358,Mots!$A:$A,0)),"introuvable")</f>
        <v>se souvenir</v>
      </c>
    </row>
    <row r="1359" spans="1:2" x14ac:dyDescent="0.4">
      <c r="A1359" s="39" t="s">
        <v>7293</v>
      </c>
      <c r="B1359" s="41" t="str">
        <f>IFERROR(INDEX(Mots!$B:$B,MATCH($A1359,Mots!$A:$A,0)),"introuvable")</f>
        <v>sentir</v>
      </c>
    </row>
    <row r="1360" spans="1:2" x14ac:dyDescent="0.4">
      <c r="A1360" s="39" t="s">
        <v>7301</v>
      </c>
      <c r="B1360" s="41" t="str">
        <f>IFERROR(INDEX(Mots!$B:$B,MATCH($A1360,Mots!$A:$A,0)),"introuvable")</f>
        <v>serrer</v>
      </c>
    </row>
    <row r="1361" spans="1:2" x14ac:dyDescent="0.4">
      <c r="A1361" s="39" t="s">
        <v>7309</v>
      </c>
      <c r="B1361" s="41" t="str">
        <f>IFERROR(INDEX(Mots!$B:$B,MATCH($A1361,Mots!$A:$A,0)),"introuvable")</f>
        <v>seul</v>
      </c>
    </row>
    <row r="1362" spans="1:2" x14ac:dyDescent="0.4">
      <c r="A1362" s="39" t="s">
        <v>7311</v>
      </c>
      <c r="B1362" s="41" t="str">
        <f>IFERROR(INDEX(Mots!$B:$B,MATCH($A1362,Mots!$A:$A,0)),"introuvable")</f>
        <v>seulement</v>
      </c>
    </row>
    <row r="1363" spans="1:2" x14ac:dyDescent="0.4">
      <c r="A1363" s="39" t="s">
        <v>7314</v>
      </c>
      <c r="B1363" s="41" t="str">
        <f>IFERROR(INDEX(Mots!$B:$B,MATCH($A1363,Mots!$A:$A,0)),"introuvable")</f>
        <v>sortir</v>
      </c>
    </row>
    <row r="1364" spans="1:2" x14ac:dyDescent="0.4">
      <c r="A1364" s="39" t="s">
        <v>7321</v>
      </c>
      <c r="B1364" s="41" t="str">
        <f>IFERROR(INDEX(Mots!$B:$B,MATCH($A1364,Mots!$A:$A,0)),"introuvable")</f>
        <v>soudain</v>
      </c>
    </row>
    <row r="1365" spans="1:2" x14ac:dyDescent="0.4">
      <c r="A1365" s="39" t="s">
        <v>7323</v>
      </c>
      <c r="B1365" s="41" t="str">
        <f>IFERROR(INDEX(Mots!$B:$B,MATCH($A1365,Mots!$A:$A,0)),"introuvable")</f>
        <v>souple</v>
      </c>
    </row>
    <row r="1366" spans="1:2" x14ac:dyDescent="0.4">
      <c r="A1366" s="39" t="s">
        <v>7334</v>
      </c>
      <c r="B1366" s="41" t="str">
        <f>IFERROR(INDEX(Mots!$B:$B,MATCH($A1366,Mots!$A:$A,0)),"introuvable")</f>
        <v>supplier</v>
      </c>
    </row>
    <row r="1367" spans="1:2" x14ac:dyDescent="0.4">
      <c r="A1367" s="39" t="s">
        <v>7338</v>
      </c>
      <c r="B1367" s="41" t="str">
        <f>IFERROR(INDEX(Mots!$B:$B,MATCH($A1367,Mots!$A:$A,0)),"introuvable")</f>
        <v>surtout</v>
      </c>
    </row>
    <row r="1368" spans="1:2" x14ac:dyDescent="0.4">
      <c r="A1368" s="39" t="s">
        <v>7340</v>
      </c>
      <c r="B1368" s="41" t="str">
        <f>IFERROR(INDEX(Mots!$B:$B,MATCH($A1368,Mots!$A:$A,0)),"introuvable")</f>
        <v>tenir</v>
      </c>
    </row>
    <row r="1369" spans="1:2" x14ac:dyDescent="0.4">
      <c r="A1369" s="39" t="s">
        <v>7346</v>
      </c>
      <c r="B1369" s="41" t="str">
        <f>IFERROR(INDEX(Mots!$B:$B,MATCH($A1369,Mots!$A:$A,0)),"introuvable")</f>
        <v>tiède</v>
      </c>
    </row>
    <row r="1370" spans="1:2" x14ac:dyDescent="0.4">
      <c r="A1370" s="39" t="s">
        <v>7350</v>
      </c>
      <c r="B1370" s="41" t="str">
        <f>IFERROR(INDEX(Mots!$B:$B,MATCH($A1370,Mots!$A:$A,0)),"introuvable")</f>
        <v>tirer</v>
      </c>
    </row>
    <row r="1371" spans="1:2" x14ac:dyDescent="0.4">
      <c r="A1371" s="39" t="s">
        <v>7358</v>
      </c>
      <c r="B1371" s="41" t="str">
        <f>IFERROR(INDEX(Mots!$B:$B,MATCH($A1371,Mots!$A:$A,0)),"introuvable")</f>
        <v>tomber</v>
      </c>
    </row>
    <row r="1372" spans="1:2" x14ac:dyDescent="0.4">
      <c r="A1372" s="39" t="s">
        <v>7365</v>
      </c>
      <c r="B1372" s="41" t="str">
        <f>IFERROR(INDEX(Mots!$B:$B,MATCH($A1372,Mots!$A:$A,0)),"introuvable")</f>
        <v>toucher</v>
      </c>
    </row>
    <row r="1373" spans="1:2" x14ac:dyDescent="0.4">
      <c r="A1373" s="39" t="s">
        <v>7373</v>
      </c>
      <c r="B1373" s="41" t="str">
        <f>IFERROR(INDEX(Mots!$B:$B,MATCH($A1373,Mots!$A:$A,0)),"introuvable")</f>
        <v>touffu</v>
      </c>
    </row>
    <row r="1374" spans="1:2" x14ac:dyDescent="0.4">
      <c r="A1374" s="39" t="s">
        <v>7375</v>
      </c>
      <c r="B1374" s="41" t="str">
        <f>IFERROR(INDEX(Mots!$B:$B,MATCH($A1374,Mots!$A:$A,0)),"introuvable")</f>
        <v>tranquille</v>
      </c>
    </row>
    <row r="1375" spans="1:2" x14ac:dyDescent="0.4">
      <c r="A1375" s="39" t="s">
        <v>7378</v>
      </c>
      <c r="B1375" s="41" t="str">
        <f>IFERROR(INDEX(Mots!$B:$B,MATCH($A1375,Mots!$A:$A,0)),"introuvable")</f>
        <v>transparent</v>
      </c>
    </row>
    <row r="1376" spans="1:2" x14ac:dyDescent="0.4">
      <c r="A1376" s="39" t="s">
        <v>7381</v>
      </c>
      <c r="B1376" s="41" t="str">
        <f>IFERROR(INDEX(Mots!$B:$B,MATCH($A1376,Mots!$A:$A,0)),"introuvable")</f>
        <v>travailler</v>
      </c>
    </row>
    <row r="1377" spans="1:2" x14ac:dyDescent="0.4">
      <c r="A1377" s="39" t="s">
        <v>7385</v>
      </c>
      <c r="B1377" s="41" t="str">
        <f>IFERROR(INDEX(Mots!$B:$B,MATCH($A1377,Mots!$A:$A,0)),"introuvable")</f>
        <v>très</v>
      </c>
    </row>
    <row r="1378" spans="1:2" x14ac:dyDescent="0.4">
      <c r="A1378" s="39" t="s">
        <v>7388</v>
      </c>
      <c r="B1378" s="41" t="str">
        <f>IFERROR(INDEX(Mots!$B:$B,MATCH($A1378,Mots!$A:$A,0)),"introuvable")</f>
        <v>trop</v>
      </c>
    </row>
    <row r="1379" spans="1:2" x14ac:dyDescent="0.4">
      <c r="A1379" s="39" t="s">
        <v>7392</v>
      </c>
      <c r="B1379" s="41" t="str">
        <f>IFERROR(INDEX(Mots!$B:$B,MATCH($A1379,Mots!$A:$A,0)),"introuvable")</f>
        <v>trouver</v>
      </c>
    </row>
    <row r="1380" spans="1:2" x14ac:dyDescent="0.4">
      <c r="A1380" s="39" t="s">
        <v>7397</v>
      </c>
      <c r="B1380" s="41" t="str">
        <f>IFERROR(INDEX(Mots!$B:$B,MATCH($A1380,Mots!$A:$A,0)),"introuvable")</f>
        <v>urgent</v>
      </c>
    </row>
    <row r="1381" spans="1:2" x14ac:dyDescent="0.4">
      <c r="A1381" s="39" t="s">
        <v>7400</v>
      </c>
      <c r="B1381" s="41" t="str">
        <f>IFERROR(INDEX(Mots!$B:$B,MATCH($A1381,Mots!$A:$A,0)),"introuvable")</f>
        <v>utile</v>
      </c>
    </row>
    <row r="1382" spans="1:2" x14ac:dyDescent="0.4">
      <c r="A1382" s="39" t="s">
        <v>7403</v>
      </c>
      <c r="B1382" s="41" t="str">
        <f>IFERROR(INDEX(Mots!$B:$B,MATCH($A1382,Mots!$A:$A,0)),"introuvable")</f>
        <v>velouté</v>
      </c>
    </row>
    <row r="1383" spans="1:2" x14ac:dyDescent="0.4">
      <c r="A1383" s="39" t="s">
        <v>7407</v>
      </c>
      <c r="B1383" s="41" t="str">
        <f>IFERROR(INDEX(Mots!$B:$B,MATCH($A1383,Mots!$A:$A,0)),"introuvable")</f>
        <v>vendre</v>
      </c>
    </row>
    <row r="1384" spans="1:2" x14ac:dyDescent="0.4">
      <c r="A1384" s="39" t="s">
        <v>7412</v>
      </c>
      <c r="B1384" s="41" t="str">
        <f>IFERROR(INDEX(Mots!$B:$B,MATCH($A1384,Mots!$A:$A,0)),"introuvable")</f>
        <v>venir</v>
      </c>
    </row>
    <row r="1385" spans="1:2" x14ac:dyDescent="0.4">
      <c r="A1385" s="39" t="s">
        <v>7420</v>
      </c>
      <c r="B1385" s="41" t="str">
        <f>IFERROR(INDEX(Mots!$B:$B,MATCH($A1385,Mots!$A:$A,0)),"introuvable")</f>
        <v>vif - vive</v>
      </c>
    </row>
    <row r="1386" spans="1:2" x14ac:dyDescent="0.4">
      <c r="A1386" s="39" t="s">
        <v>9640</v>
      </c>
      <c r="B1386" s="41" t="str">
        <f>IFERROR(INDEX(Mots!$B:$B,MATCH($A1386,Mots!$A:$A,0)),"introuvable")</f>
        <v>vite</v>
      </c>
    </row>
    <row r="1387" spans="1:2" x14ac:dyDescent="0.4">
      <c r="A1387" s="39" t="s">
        <v>7425</v>
      </c>
      <c r="B1387" s="41" t="str">
        <f>IFERROR(INDEX(Mots!$B:$B,MATCH($A1387,Mots!$A:$A,0)),"introuvable")</f>
        <v>vitré</v>
      </c>
    </row>
    <row r="1388" spans="1:2" x14ac:dyDescent="0.4">
      <c r="A1388" s="39" t="s">
        <v>7429</v>
      </c>
      <c r="B1388" s="41" t="str">
        <f>IFERROR(INDEX(Mots!$B:$B,MATCH($A1388,Mots!$A:$A,0)),"introuvable")</f>
        <v>vivant</v>
      </c>
    </row>
    <row r="1389" spans="1:2" x14ac:dyDescent="0.4">
      <c r="A1389" s="39" t="s">
        <v>7432</v>
      </c>
      <c r="B1389" s="41" t="str">
        <f>IFERROR(INDEX(Mots!$B:$B,MATCH($A1389,Mots!$A:$A,0)),"introuvable")</f>
        <v>voir</v>
      </c>
    </row>
    <row r="1390" spans="1:2" x14ac:dyDescent="0.4">
      <c r="A1390" s="39" t="s">
        <v>7439</v>
      </c>
      <c r="B1390" s="41" t="str">
        <f>IFERROR(INDEX(Mots!$B:$B,MATCH($A1390,Mots!$A:$A,0)),"introuvable")</f>
        <v>voler</v>
      </c>
    </row>
    <row r="1391" spans="1:2" x14ac:dyDescent="0.4">
      <c r="A1391" s="39" t="s">
        <v>7443</v>
      </c>
      <c r="B1391" s="41" t="str">
        <f>IFERROR(INDEX(Mots!$B:$B,MATCH($A1391,Mots!$A:$A,0)),"introuvable")</f>
        <v>vouloir</v>
      </c>
    </row>
    <row r="1392" spans="1:2" x14ac:dyDescent="0.4">
      <c r="A1392" s="39" t="s">
        <v>7449</v>
      </c>
      <c r="B1392" s="41" t="str">
        <f>IFERROR(INDEX(Mots!$B:$B,MATCH($A1392,Mots!$A:$A,0)),"introuvable")</f>
        <v>vraiment</v>
      </c>
    </row>
    <row r="1393" spans="1:5" x14ac:dyDescent="0.4">
      <c r="A1393" s="39" t="s">
        <v>7452</v>
      </c>
      <c r="B1393" s="41" t="str">
        <f>IFERROR(INDEX(Mots!$B:$B,MATCH($A1393,Mots!$A:$A,0)),"introuvable")</f>
        <v>zéro</v>
      </c>
    </row>
    <row r="1394" spans="1:5" x14ac:dyDescent="0.4">
      <c r="A1394" s="39" t="s">
        <v>7512</v>
      </c>
      <c r="B1394" s="41" t="str">
        <f>IFERROR(INDEX(Mots!$B:$B,MATCH($A1394,Mots!$A:$A,0)),"introuvable")</f>
        <v>l'appareil photo</v>
      </c>
    </row>
    <row r="1395" spans="1:5" x14ac:dyDescent="0.4">
      <c r="A1395" s="39" t="s">
        <v>7526</v>
      </c>
      <c r="B1395" s="41" t="str">
        <f>IFERROR(INDEX(Mots!$B:$B,MATCH($A1395,Mots!$A:$A,0)),"introuvable")</f>
        <v>le maïs</v>
      </c>
    </row>
    <row r="1396" spans="1:5" x14ac:dyDescent="0.4">
      <c r="A1396" s="39" t="s">
        <v>7534</v>
      </c>
      <c r="B1396" s="41" t="str">
        <f>IFERROR(INDEX(Mots!$B:$B,MATCH($A1396,Mots!$A:$A,0)),"introuvable")</f>
        <v>tousser</v>
      </c>
    </row>
    <row r="1397" spans="1:5" x14ac:dyDescent="0.4">
      <c r="A1397" s="39" t="s">
        <v>7567</v>
      </c>
      <c r="B1397" s="41" t="str">
        <f>IFERROR(INDEX(Mots!$B:$B,MATCH($A1397,Mots!$A:$A,0)),"introuvable")</f>
        <v>la coupe</v>
      </c>
    </row>
    <row r="1398" spans="1:5" x14ac:dyDescent="0.4">
      <c r="A1398" s="39" t="s">
        <v>7580</v>
      </c>
      <c r="B1398" s="41" t="str">
        <f>IFERROR(INDEX(Mots!$B:$B,MATCH($A1398,Mots!$A:$A,0)),"introuvable")</f>
        <v>arriver</v>
      </c>
    </row>
    <row r="1399" spans="1:5" x14ac:dyDescent="0.4">
      <c r="A1399" s="39" t="s">
        <v>7591</v>
      </c>
      <c r="B1399" s="41" t="str">
        <f>IFERROR(INDEX(Mots!$B:$B,MATCH($A1399,Mots!$A:$A,0)),"introuvable")</f>
        <v>l'émotion</v>
      </c>
    </row>
    <row r="1400" spans="1:5" x14ac:dyDescent="0.4">
      <c r="A1400" s="39" t="s">
        <v>23</v>
      </c>
      <c r="B1400" s="41" t="str">
        <f>IFERROR(INDEX(Mots!$B:$B,MATCH($A1400,Mots!$A:$A,0)),"introuvable")</f>
        <v>la nourriture</v>
      </c>
    </row>
    <row r="1401" spans="1:5" x14ac:dyDescent="0.4">
      <c r="A1401" s="39" t="s">
        <v>7601</v>
      </c>
      <c r="B1401" s="41" t="str">
        <f>IFERROR(INDEX(Mots!$B:$B,MATCH($A1401,Mots!$A:$A,0)),"introuvable")</f>
        <v>le corps (humain)</v>
      </c>
    </row>
    <row r="1402" spans="1:5" x14ac:dyDescent="0.4">
      <c r="A1402" s="39" t="s">
        <v>7604</v>
      </c>
      <c r="B1402" s="41" t="str">
        <f>IFERROR(INDEX(Mots!$B:$B,MATCH($A1402,Mots!$A:$A,0)),"introuvable")</f>
        <v>habiter</v>
      </c>
    </row>
    <row r="1403" spans="1:5" x14ac:dyDescent="0.4">
      <c r="A1403" s="39" t="s">
        <v>7607</v>
      </c>
      <c r="B1403" s="41" t="str">
        <f>IFERROR(INDEX(Mots!$B:$B,MATCH($A1403,Mots!$A:$A,0)),"introuvable")</f>
        <v>éclairer</v>
      </c>
      <c r="C1403" s="39" t="s">
        <v>191</v>
      </c>
      <c r="D1403" s="39" t="s">
        <v>186</v>
      </c>
      <c r="E1403" s="39" t="s">
        <v>10120</v>
      </c>
    </row>
    <row r="1404" spans="1:5" x14ac:dyDescent="0.4">
      <c r="A1404" s="39" t="s">
        <v>249</v>
      </c>
      <c r="B1404" s="41" t="str">
        <f>IFERROR(INDEX(Mots!$B:$B,MATCH($A1404,Mots!$A:$A,0)),"introuvable")</f>
        <v>le souper</v>
      </c>
    </row>
    <row r="1405" spans="1:5" x14ac:dyDescent="0.4">
      <c r="A1405" s="39" t="s">
        <v>7612</v>
      </c>
      <c r="B1405" s="41" t="str">
        <f>IFERROR(INDEX(Mots!$B:$B,MATCH($A1405,Mots!$A:$A,0)),"introuvable")</f>
        <v>le pommier</v>
      </c>
    </row>
    <row r="1406" spans="1:5" x14ac:dyDescent="0.4">
      <c r="A1406" s="39" t="s">
        <v>7615</v>
      </c>
      <c r="B1406" s="41" t="str">
        <f>IFERROR(INDEX(Mots!$B:$B,MATCH($A1406,Mots!$A:$A,0)),"introuvable")</f>
        <v>griller</v>
      </c>
    </row>
    <row r="1407" spans="1:5" x14ac:dyDescent="0.4">
      <c r="A1407" s="39" t="s">
        <v>1169</v>
      </c>
      <c r="B1407" s="41" t="str">
        <f>IFERROR(INDEX(Mots!$B:$B,MATCH($A1407,Mots!$A:$A,0)),"introuvable")</f>
        <v>animal</v>
      </c>
    </row>
    <row r="1408" spans="1:5" x14ac:dyDescent="0.4">
      <c r="A1408" s="39" t="s">
        <v>242</v>
      </c>
      <c r="B1408" s="41" t="str">
        <f>IFERROR(INDEX(Mots!$B:$B,MATCH($A1408,Mots!$A:$A,0)),"introuvable")</f>
        <v>L'assaisonnement</v>
      </c>
    </row>
    <row r="1409" spans="1:4" x14ac:dyDescent="0.4">
      <c r="A1409" s="39" t="s">
        <v>7621</v>
      </c>
      <c r="B1409" s="41" t="str">
        <f>IFERROR(INDEX(Mots!$B:$B,MATCH($A1409,Mots!$A:$A,0)),"introuvable")</f>
        <v>conduire</v>
      </c>
    </row>
    <row r="1410" spans="1:4" x14ac:dyDescent="0.4">
      <c r="A1410" s="39" t="s">
        <v>7624</v>
      </c>
      <c r="B1410" s="41" t="str">
        <f>IFERROR(INDEX(Mots!$B:$B,MATCH($A1410,Mots!$A:$A,0)),"introuvable")</f>
        <v>un habit</v>
      </c>
      <c r="C1410" s="39" t="s">
        <v>196</v>
      </c>
    </row>
    <row r="1411" spans="1:4" x14ac:dyDescent="0.4">
      <c r="A1411" s="39" t="s">
        <v>7627</v>
      </c>
      <c r="B1411" s="41" t="str">
        <f>IFERROR(INDEX(Mots!$B:$B,MATCH($A1411,Mots!$A:$A,0)),"introuvable")</f>
        <v>traverser</v>
      </c>
    </row>
    <row r="1412" spans="1:4" x14ac:dyDescent="0.4">
      <c r="A1412" s="39" t="s">
        <v>7630</v>
      </c>
      <c r="B1412" s="41" t="str">
        <f>IFERROR(INDEX(Mots!$B:$B,MATCH($A1412,Mots!$A:$A,0)),"introuvable")</f>
        <v>avaler</v>
      </c>
    </row>
    <row r="1413" spans="1:4" x14ac:dyDescent="0.4">
      <c r="A1413" s="39" t="s">
        <v>7632</v>
      </c>
      <c r="B1413" s="41" t="str">
        <f>IFERROR(INDEX(Mots!$B:$B,MATCH($A1413,Mots!$A:$A,0)),"introuvable")</f>
        <v>le verre</v>
      </c>
    </row>
    <row r="1414" spans="1:4" x14ac:dyDescent="0.4">
      <c r="A1414" s="39" t="s">
        <v>7642</v>
      </c>
      <c r="B1414" s="41" t="str">
        <f>IFERROR(INDEX(Mots!$B:$B,MATCH($A1414,Mots!$A:$A,0)),"introuvable")</f>
        <v>chauffer</v>
      </c>
    </row>
    <row r="1415" spans="1:4" x14ac:dyDescent="0.4">
      <c r="A1415" s="39" t="s">
        <v>7646</v>
      </c>
      <c r="B1415" s="41" t="str">
        <f>IFERROR(INDEX(Mots!$B:$B,MATCH($A1415,Mots!$A:$A,0)),"introuvable")</f>
        <v>le parquet</v>
      </c>
      <c r="C1415" s="39" t="s">
        <v>196</v>
      </c>
    </row>
    <row r="1416" spans="1:4" x14ac:dyDescent="0.4">
      <c r="A1416" s="39" t="s">
        <v>7648</v>
      </c>
      <c r="B1416" s="41" t="str">
        <f>IFERROR(INDEX(Mots!$B:$B,MATCH($A1416,Mots!$A:$A,0)),"introuvable")</f>
        <v>ramper</v>
      </c>
    </row>
    <row r="1417" spans="1:4" x14ac:dyDescent="0.4">
      <c r="A1417" s="39" t="s">
        <v>7656</v>
      </c>
      <c r="B1417" s="41" t="str">
        <f>IFERROR(INDEX(Mots!$B:$B,MATCH($A1417,Mots!$A:$A,0)),"introuvable")</f>
        <v>l'aile</v>
      </c>
      <c r="C1417" s="39" t="s">
        <v>288</v>
      </c>
      <c r="D1417" s="39" t="s">
        <v>293</v>
      </c>
    </row>
    <row r="1418" spans="1:4" x14ac:dyDescent="0.4">
      <c r="A1418" s="39" t="s">
        <v>7664</v>
      </c>
      <c r="B1418" s="41" t="str">
        <f>IFERROR(INDEX(Mots!$B:$B,MATCH($A1418,Mots!$A:$A,0)),"introuvable")</f>
        <v>l'aile</v>
      </c>
    </row>
    <row r="1419" spans="1:4" x14ac:dyDescent="0.4">
      <c r="A1419" s="39" t="s">
        <v>7672</v>
      </c>
      <c r="B1419" s="41" t="str">
        <f>IFERROR(INDEX(Mots!$B:$B,MATCH($A1419,Mots!$A:$A,0)),"introuvable")</f>
        <v>le virage</v>
      </c>
    </row>
    <row r="1420" spans="1:4" x14ac:dyDescent="0.4">
      <c r="A1420" s="39" t="s">
        <v>9408</v>
      </c>
      <c r="B1420" s="41" t="str">
        <f>IFERROR(INDEX(Mots!$B:$B,MATCH($A1420,Mots!$A:$A,0)),"introuvable")</f>
        <v>skier</v>
      </c>
    </row>
    <row r="1421" spans="1:4" x14ac:dyDescent="0.4">
      <c r="A1421" s="39" t="s">
        <v>9421</v>
      </c>
      <c r="B1421" s="41" t="str">
        <f>IFERROR(INDEX(Mots!$B:$B,MATCH($A1421,Mots!$A:$A,0)),"introuvable")</f>
        <v>la feuille de papier</v>
      </c>
    </row>
    <row r="1422" spans="1:4" x14ac:dyDescent="0.4">
      <c r="A1422" s="39" t="s">
        <v>9443</v>
      </c>
      <c r="B1422" s="41" t="str">
        <f>IFERROR(INDEX(Mots!$B:$B,MATCH($A1422,Mots!$A:$A,0)),"introuvable")</f>
        <v>le clavier</v>
      </c>
      <c r="C1422" s="39" t="s">
        <v>3223</v>
      </c>
    </row>
    <row r="1423" spans="1:4" x14ac:dyDescent="0.4">
      <c r="A1423" s="39" t="s">
        <v>9462</v>
      </c>
      <c r="B1423" s="41" t="str">
        <f>IFERROR(INDEX(Mots!$B:$B,MATCH($A1423,Mots!$A:$A,0)),"introuvable")</f>
        <v>tourner</v>
      </c>
    </row>
    <row r="1424" spans="1:4" x14ac:dyDescent="0.4">
      <c r="A1424" s="39" t="s">
        <v>9467</v>
      </c>
      <c r="B1424" s="41" t="str">
        <f>IFERROR(INDEX(Mots!$B:$B,MATCH($A1424,Mots!$A:$A,0)),"introuvable")</f>
        <v>fort  ↔  doucement</v>
      </c>
    </row>
    <row r="1425" spans="1:3" x14ac:dyDescent="0.4">
      <c r="A1425" s="39" t="s">
        <v>7771</v>
      </c>
      <c r="B1425" s="41" t="str">
        <f>IFERROR(INDEX(Mots!$B:$B,MATCH($A1425,Mots!$A:$A,0)),"introuvable")</f>
        <v>la température</v>
      </c>
    </row>
    <row r="1426" spans="1:3" x14ac:dyDescent="0.4">
      <c r="A1426" s="39" t="s">
        <v>9473</v>
      </c>
      <c r="B1426" s="41" t="str">
        <f>IFERROR(INDEX(Mots!$B:$B,MATCH($A1426,Mots!$A:$A,0)),"introuvable")</f>
        <v>l'ambulance</v>
      </c>
      <c r="C1426" s="39" t="s">
        <v>264</v>
      </c>
    </row>
    <row r="1427" spans="1:3" x14ac:dyDescent="0.4">
      <c r="A1427" s="39" t="s">
        <v>9475</v>
      </c>
      <c r="B1427" s="41" t="str">
        <f>IFERROR(INDEX(Mots!$B:$B,MATCH($A1427,Mots!$A:$A,0)),"introuvable")</f>
        <v>respirer</v>
      </c>
    </row>
    <row r="1428" spans="1:3" x14ac:dyDescent="0.4">
      <c r="A1428" s="39" t="s">
        <v>9480</v>
      </c>
      <c r="B1428" s="41" t="str">
        <f>IFERROR(INDEX(Mots!$B:$B,MATCH($A1428,Mots!$A:$A,0)),"introuvable")</f>
        <v>mal</v>
      </c>
    </row>
    <row r="1429" spans="1:3" x14ac:dyDescent="0.4">
      <c r="A1429" s="39" t="s">
        <v>9491</v>
      </c>
      <c r="B1429" s="41" t="str">
        <f>IFERROR(INDEX(Mots!$B:$B,MATCH($A1429,Mots!$A:$A,0)),"introuvable")</f>
        <v>le cornichon</v>
      </c>
    </row>
    <row r="1430" spans="1:3" x14ac:dyDescent="0.4">
      <c r="A1430" s="39" t="s">
        <v>9494</v>
      </c>
      <c r="B1430" s="41" t="str">
        <f>IFERROR(INDEX(Mots!$B:$B,MATCH($A1430,Mots!$A:$A,0)),"introuvable")</f>
        <v>la tronçonneuse</v>
      </c>
    </row>
    <row r="1431" spans="1:3" x14ac:dyDescent="0.4">
      <c r="A1431" s="39" t="s">
        <v>9505</v>
      </c>
      <c r="B1431" s="41" t="str">
        <f>IFERROR(INDEX(Mots!$B:$B,MATCH($A1431,Mots!$A:$A,0)),"introuvable")</f>
        <v>le feu d'artifice</v>
      </c>
    </row>
    <row r="1432" spans="1:3" x14ac:dyDescent="0.4">
      <c r="A1432" s="39" t="s">
        <v>9524</v>
      </c>
      <c r="B1432" s="41" t="str">
        <f>IFERROR(INDEX(Mots!$B:$B,MATCH($A1432,Mots!$A:$A,0)),"introuvable")</f>
        <v>le tronc</v>
      </c>
      <c r="C1432" s="39" t="s">
        <v>9524</v>
      </c>
    </row>
    <row r="1433" spans="1:3" x14ac:dyDescent="0.4">
      <c r="A1433" s="39" t="s">
        <v>9528</v>
      </c>
      <c r="B1433" s="41" t="str">
        <f>IFERROR(INDEX(Mots!$B:$B,MATCH($A1433,Mots!$A:$A,0)),"introuvable")</f>
        <v>midi</v>
      </c>
    </row>
    <row r="1434" spans="1:3" x14ac:dyDescent="0.4">
      <c r="A1434" s="39" t="s">
        <v>7749</v>
      </c>
      <c r="B1434" s="41" t="str">
        <f>IFERROR(INDEX(Mots!$B:$B,MATCH($A1434,Mots!$A:$A,0)),"introuvable")</f>
        <v>boisson</v>
      </c>
    </row>
    <row r="1435" spans="1:3" x14ac:dyDescent="0.4">
      <c r="A1435" s="39" t="s">
        <v>9537</v>
      </c>
      <c r="B1435" s="41" t="str">
        <f>IFERROR(INDEX(Mots!$B:$B,MATCH($A1435,Mots!$A:$A,0)),"introuvable")</f>
        <v>le cinéma</v>
      </c>
    </row>
    <row r="1436" spans="1:3" x14ac:dyDescent="0.4">
      <c r="A1436" s="39" t="s">
        <v>9539</v>
      </c>
      <c r="B1436" s="41" t="str">
        <f>IFERROR(INDEX(Mots!$B:$B,MATCH($A1436,Mots!$A:$A,0)),"introuvable")</f>
        <v>le début</v>
      </c>
    </row>
    <row r="1437" spans="1:3" x14ac:dyDescent="0.4">
      <c r="A1437" s="39" t="s">
        <v>9542</v>
      </c>
      <c r="B1437" s="41" t="str">
        <f>IFERROR(INDEX(Mots!$B:$B,MATCH($A1437,Mots!$A:$A,0)),"introuvable")</f>
        <v>brûler</v>
      </c>
    </row>
    <row r="1438" spans="1:3" x14ac:dyDescent="0.4">
      <c r="A1438" s="39" t="s">
        <v>9547</v>
      </c>
      <c r="B1438" s="41" t="str">
        <f>IFERROR(INDEX(Mots!$B:$B,MATCH($A1438,Mots!$A:$A,0)),"introuvable")</f>
        <v>la sueur</v>
      </c>
    </row>
    <row r="1439" spans="1:3" x14ac:dyDescent="0.4">
      <c r="A1439" s="39" t="s">
        <v>9551</v>
      </c>
      <c r="B1439" s="41" t="str">
        <f>IFERROR(INDEX(Mots!$B:$B,MATCH($A1439,Mots!$A:$A,0)),"introuvable")</f>
        <v>le loyer</v>
      </c>
    </row>
    <row r="1440" spans="1:3" x14ac:dyDescent="0.4">
      <c r="A1440" s="39" t="s">
        <v>9569</v>
      </c>
      <c r="B1440" s="41" t="str">
        <f>IFERROR(INDEX(Mots!$B:$B,MATCH($A1440,Mots!$A:$A,0)),"introuvable")</f>
        <v>la pelle mécanique</v>
      </c>
    </row>
    <row r="1441" spans="1:2" x14ac:dyDescent="0.4">
      <c r="A1441" s="39" t="s">
        <v>9577</v>
      </c>
      <c r="B1441" s="41" t="str">
        <f>IFERROR(INDEX(Mots!$B:$B,MATCH($A1441,Mots!$A:$A,0)),"introuvable")</f>
        <v>le rouleau compresseur</v>
      </c>
    </row>
    <row r="1442" spans="1:2" x14ac:dyDescent="0.4">
      <c r="A1442" s="39" t="s">
        <v>9602</v>
      </c>
      <c r="B1442" s="41" t="str">
        <f>IFERROR(INDEX(Mots!$B:$B,MATCH($A1442,Mots!$A:$A,0)),"introuvable")</f>
        <v>l'heure</v>
      </c>
    </row>
    <row r="1443" spans="1:2" x14ac:dyDescent="0.4">
      <c r="A1443" s="39" t="s">
        <v>9665</v>
      </c>
      <c r="B1443" s="41" t="str">
        <f>IFERROR(INDEX(Mots!$B:$B,MATCH($A1443,Mots!$A:$A,0)),"introuvable")</f>
        <v>(s') essuyer</v>
      </c>
    </row>
    <row r="1444" spans="1:2" x14ac:dyDescent="0.4">
      <c r="A1444" s="39" t="s">
        <v>7716</v>
      </c>
      <c r="B1444" s="41" t="str">
        <f>IFERROR(INDEX(Mots!$B:$B,MATCH($A1444,Mots!$A:$A,0)),"introuvable")</f>
        <v>La musique</v>
      </c>
    </row>
  </sheetData>
  <autoFilter ref="A1:F1444" xr:uid="{4A05A8BF-5B3E-487E-A4F3-F2D1A75C6521}"/>
  <dataValidations count="2">
    <dataValidation type="list" allowBlank="1" showInputMessage="1" showErrorMessage="1" sqref="F2:F685 F687 F714 F1163" xr:uid="{217E68E0-D8A4-487C-BD7F-44EF57DD3EC7}">
      <formula1>liste_categories_id</formula1>
    </dataValidation>
    <dataValidation type="list" allowBlank="1" showInputMessage="1" showErrorMessage="1" errorTitle="Valeur inconnue" error="Cette valeur n'existe pas dans la feuille de référence." promptTitle="Liste" prompt="Identifiant de (sous-)catégorie." sqref="C2:E1484" xr:uid="{00000000-0002-0000-0600-000000000000}">
      <formula1>liste_sous_categories_id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0"/>
  <sheetViews>
    <sheetView workbookViewId="0">
      <pane ySplit="1" topLeftCell="A57" activePane="bottomLeft" state="frozen"/>
      <selection pane="bottomLeft"/>
    </sheetView>
  </sheetViews>
  <sheetFormatPr baseColWidth="10" defaultColWidth="8.796875" defaultRowHeight="15.6" x14ac:dyDescent="0.3"/>
  <cols>
    <col min="1" max="1" width="14" style="16" customWidth="1"/>
    <col min="2" max="2" width="20" style="16" customWidth="1"/>
    <col min="3" max="3" width="32" style="16" customWidth="1"/>
    <col min="4" max="4" width="8" style="16" customWidth="1"/>
    <col min="5" max="5" width="20" style="16" customWidth="1"/>
    <col min="6" max="6" width="26" style="16" customWidth="1"/>
  </cols>
  <sheetData>
    <row r="1" spans="1:6" x14ac:dyDescent="0.3">
      <c r="A1" s="9" t="s">
        <v>29</v>
      </c>
      <c r="B1" s="9" t="s">
        <v>7702</v>
      </c>
      <c r="C1" s="9" t="s">
        <v>7703</v>
      </c>
      <c r="D1" s="9" t="s">
        <v>1</v>
      </c>
      <c r="E1" s="13" t="s">
        <v>7704</v>
      </c>
      <c r="F1" s="13" t="s">
        <v>7705</v>
      </c>
    </row>
    <row r="2" spans="1:6" x14ac:dyDescent="0.3">
      <c r="A2" s="8" t="s">
        <v>1434</v>
      </c>
      <c r="B2" s="8" t="s">
        <v>702</v>
      </c>
      <c r="C2" s="8" t="s">
        <v>7706</v>
      </c>
      <c r="D2" s="8">
        <v>1</v>
      </c>
    </row>
    <row r="3" spans="1:6" x14ac:dyDescent="0.3">
      <c r="A3" s="8" t="s">
        <v>1434</v>
      </c>
      <c r="B3" s="8" t="s">
        <v>2767</v>
      </c>
      <c r="C3" s="8" t="s">
        <v>7707</v>
      </c>
      <c r="D3" s="8">
        <v>2</v>
      </c>
    </row>
    <row r="4" spans="1:6" x14ac:dyDescent="0.3">
      <c r="A4" s="8" t="s">
        <v>1434</v>
      </c>
      <c r="B4" s="8" t="s">
        <v>3181</v>
      </c>
      <c r="C4" s="8" t="s">
        <v>7708</v>
      </c>
      <c r="D4" s="8">
        <v>3</v>
      </c>
    </row>
    <row r="5" spans="1:6" x14ac:dyDescent="0.3">
      <c r="A5" s="8" t="s">
        <v>1434</v>
      </c>
      <c r="B5" s="8" t="s">
        <v>817</v>
      </c>
      <c r="C5" s="8" t="s">
        <v>7709</v>
      </c>
      <c r="D5" s="8">
        <v>4</v>
      </c>
    </row>
    <row r="6" spans="1:6" x14ac:dyDescent="0.3">
      <c r="A6" s="8" t="s">
        <v>1434</v>
      </c>
      <c r="B6" s="8" t="s">
        <v>34</v>
      </c>
      <c r="C6" s="8" t="s">
        <v>7710</v>
      </c>
      <c r="D6" s="8">
        <v>5</v>
      </c>
    </row>
    <row r="7" spans="1:6" x14ac:dyDescent="0.3">
      <c r="A7" s="8" t="s">
        <v>1434</v>
      </c>
      <c r="B7" s="8" t="s">
        <v>3785</v>
      </c>
      <c r="C7" s="8" t="s">
        <v>7711</v>
      </c>
      <c r="D7" s="8">
        <v>6</v>
      </c>
    </row>
    <row r="8" spans="1:6" x14ac:dyDescent="0.3">
      <c r="A8" s="8" t="s">
        <v>1434</v>
      </c>
      <c r="B8" s="8" t="s">
        <v>82</v>
      </c>
      <c r="C8" s="8" t="s">
        <v>7712</v>
      </c>
      <c r="D8" s="8">
        <v>7</v>
      </c>
    </row>
    <row r="9" spans="1:6" x14ac:dyDescent="0.3">
      <c r="A9" s="8" t="s">
        <v>1434</v>
      </c>
      <c r="B9" s="8" t="s">
        <v>2851</v>
      </c>
      <c r="C9" s="8" t="s">
        <v>7713</v>
      </c>
      <c r="D9" s="8">
        <v>8</v>
      </c>
    </row>
    <row r="10" spans="1:6" x14ac:dyDescent="0.3">
      <c r="A10" s="8" t="s">
        <v>1434</v>
      </c>
      <c r="B10" s="8" t="s">
        <v>73</v>
      </c>
      <c r="C10" s="8" t="s">
        <v>7714</v>
      </c>
      <c r="D10" s="8">
        <v>9</v>
      </c>
    </row>
    <row r="11" spans="1:6" x14ac:dyDescent="0.3">
      <c r="A11" s="8" t="s">
        <v>1434</v>
      </c>
      <c r="B11" s="8" t="s">
        <v>5062</v>
      </c>
      <c r="C11" s="8" t="s">
        <v>7715</v>
      </c>
      <c r="D11" s="8">
        <v>10</v>
      </c>
    </row>
    <row r="12" spans="1:6" x14ac:dyDescent="0.3">
      <c r="A12" s="8" t="s">
        <v>1434</v>
      </c>
      <c r="B12" s="8" t="s">
        <v>7716</v>
      </c>
      <c r="C12" s="8" t="s">
        <v>7717</v>
      </c>
      <c r="D12" s="8">
        <v>11</v>
      </c>
    </row>
    <row r="13" spans="1:6" x14ac:dyDescent="0.3">
      <c r="A13" s="8" t="s">
        <v>3418</v>
      </c>
      <c r="B13" s="8" t="s">
        <v>7718</v>
      </c>
      <c r="C13" s="8" t="s">
        <v>7719</v>
      </c>
      <c r="D13" s="8">
        <v>1</v>
      </c>
    </row>
    <row r="14" spans="1:6" x14ac:dyDescent="0.3">
      <c r="A14" s="8" t="s">
        <v>3418</v>
      </c>
      <c r="B14" s="8" t="s">
        <v>7720</v>
      </c>
      <c r="C14" s="8" t="s">
        <v>7721</v>
      </c>
      <c r="D14" s="8">
        <v>2</v>
      </c>
    </row>
    <row r="15" spans="1:6" x14ac:dyDescent="0.3">
      <c r="A15" s="8" t="s">
        <v>3418</v>
      </c>
      <c r="B15" s="8" t="s">
        <v>6965</v>
      </c>
      <c r="C15" s="8" t="s">
        <v>7722</v>
      </c>
      <c r="D15" s="8">
        <v>3</v>
      </c>
    </row>
    <row r="16" spans="1:6" x14ac:dyDescent="0.3">
      <c r="A16" s="8" t="s">
        <v>3418</v>
      </c>
      <c r="B16" s="8" t="s">
        <v>7723</v>
      </c>
      <c r="C16" s="8" t="s">
        <v>7724</v>
      </c>
      <c r="D16" s="8">
        <v>4</v>
      </c>
    </row>
    <row r="17" spans="1:6" x14ac:dyDescent="0.3">
      <c r="A17" s="8" t="s">
        <v>3418</v>
      </c>
      <c r="B17" s="8" t="s">
        <v>7725</v>
      </c>
      <c r="C17" s="8" t="s">
        <v>7726</v>
      </c>
      <c r="D17" s="8">
        <v>5</v>
      </c>
    </row>
    <row r="18" spans="1:6" x14ac:dyDescent="0.3">
      <c r="A18" s="8" t="s">
        <v>3418</v>
      </c>
      <c r="B18" s="8" t="s">
        <v>7727</v>
      </c>
      <c r="C18" s="8" t="s">
        <v>7728</v>
      </c>
      <c r="D18" s="8">
        <v>6</v>
      </c>
    </row>
    <row r="19" spans="1:6" x14ac:dyDescent="0.3">
      <c r="A19" s="8" t="s">
        <v>3418</v>
      </c>
      <c r="B19" s="8" t="s">
        <v>7382</v>
      </c>
      <c r="C19" s="8" t="s">
        <v>7729</v>
      </c>
      <c r="D19" s="8">
        <v>7</v>
      </c>
    </row>
    <row r="20" spans="1:6" x14ac:dyDescent="0.3">
      <c r="A20" s="8" t="s">
        <v>3418</v>
      </c>
      <c r="B20" s="8" t="s">
        <v>7730</v>
      </c>
      <c r="C20" s="8" t="s">
        <v>7731</v>
      </c>
      <c r="D20" s="8">
        <v>8</v>
      </c>
    </row>
    <row r="21" spans="1:6" x14ac:dyDescent="0.3">
      <c r="A21" s="8" t="s">
        <v>3418</v>
      </c>
      <c r="B21" s="8" t="s">
        <v>7732</v>
      </c>
      <c r="C21" s="8" t="s">
        <v>7733</v>
      </c>
      <c r="D21" s="8">
        <v>9</v>
      </c>
    </row>
    <row r="22" spans="1:6" x14ac:dyDescent="0.3">
      <c r="A22" s="8" t="s">
        <v>3418</v>
      </c>
      <c r="B22" s="8" t="s">
        <v>7734</v>
      </c>
      <c r="C22" s="8" t="s">
        <v>7735</v>
      </c>
      <c r="D22" s="8">
        <v>10</v>
      </c>
    </row>
    <row r="23" spans="1:6" x14ac:dyDescent="0.3">
      <c r="A23" s="8" t="s">
        <v>3418</v>
      </c>
      <c r="B23" s="8" t="s">
        <v>7736</v>
      </c>
      <c r="C23" s="8" t="s">
        <v>7737</v>
      </c>
      <c r="D23" s="8">
        <v>11</v>
      </c>
    </row>
    <row r="24" spans="1:6" x14ac:dyDescent="0.3">
      <c r="A24" s="8" t="s">
        <v>5096</v>
      </c>
      <c r="B24" s="8" t="s">
        <v>7738</v>
      </c>
      <c r="C24" s="8" t="s">
        <v>7739</v>
      </c>
      <c r="D24" s="8">
        <v>1</v>
      </c>
    </row>
    <row r="25" spans="1:6" x14ac:dyDescent="0.3">
      <c r="A25" s="8" t="s">
        <v>5096</v>
      </c>
      <c r="B25" s="8" t="s">
        <v>7740</v>
      </c>
      <c r="C25" s="8" t="s">
        <v>7741</v>
      </c>
      <c r="D25" s="8">
        <v>2</v>
      </c>
    </row>
    <row r="26" spans="1:6" x14ac:dyDescent="0.3">
      <c r="A26" s="8" t="s">
        <v>5096</v>
      </c>
      <c r="B26" s="8" t="s">
        <v>828</v>
      </c>
      <c r="C26" s="8" t="s">
        <v>7742</v>
      </c>
      <c r="D26" s="8">
        <v>3</v>
      </c>
      <c r="E26" s="15" t="s">
        <v>828</v>
      </c>
      <c r="F26" s="12" t="str">
        <f>IFERROR(INDEX(Mots!$B:$B,MATCH($E26,Mots!$A:$A,0)),"introuvable")</f>
        <v>le meuble</v>
      </c>
    </row>
    <row r="27" spans="1:6" x14ac:dyDescent="0.3">
      <c r="A27" s="8" t="s">
        <v>5096</v>
      </c>
      <c r="B27" s="8" t="s">
        <v>6890</v>
      </c>
      <c r="C27" s="8" t="s">
        <v>7743</v>
      </c>
      <c r="D27" s="8">
        <v>4</v>
      </c>
      <c r="E27" s="15" t="s">
        <v>6890</v>
      </c>
      <c r="F27" s="12" t="str">
        <f>IFERROR(INDEX(Mots!$B:$B,MATCH($E27,Mots!$A:$A,0)),"introuvable")</f>
        <v>l'outil</v>
      </c>
    </row>
    <row r="28" spans="1:6" x14ac:dyDescent="0.3">
      <c r="A28" s="8" t="s">
        <v>5096</v>
      </c>
      <c r="B28" s="8" t="s">
        <v>5293</v>
      </c>
      <c r="C28" s="8" t="s">
        <v>7744</v>
      </c>
      <c r="D28" s="8">
        <v>5</v>
      </c>
      <c r="E28" s="15" t="s">
        <v>5293</v>
      </c>
      <c r="F28" s="12" t="str">
        <f>IFERROR(INDEX(Mots!$B:$B,MATCH($E28,Mots!$A:$A,0)),"introuvable")</f>
        <v>l'appareil</v>
      </c>
    </row>
    <row r="29" spans="1:6" x14ac:dyDescent="0.3">
      <c r="A29" s="8" t="s">
        <v>5096</v>
      </c>
      <c r="B29" s="8" t="s">
        <v>6222</v>
      </c>
      <c r="C29" s="8" t="s">
        <v>7745</v>
      </c>
      <c r="D29" s="8">
        <v>6</v>
      </c>
      <c r="E29" s="15" t="s">
        <v>6222</v>
      </c>
      <c r="F29" s="12" t="str">
        <f>IFERROR(INDEX(Mots!$B:$B,MATCH($E29,Mots!$A:$A,0)),"introuvable")</f>
        <v>le récipient</v>
      </c>
    </row>
    <row r="30" spans="1:6" x14ac:dyDescent="0.3">
      <c r="A30" s="8" t="s">
        <v>5096</v>
      </c>
      <c r="B30" s="8" t="s">
        <v>6578</v>
      </c>
      <c r="C30" s="8" t="s">
        <v>7746</v>
      </c>
      <c r="D30" s="8">
        <v>7</v>
      </c>
      <c r="E30" s="15" t="s">
        <v>7624</v>
      </c>
      <c r="F30" s="12" t="str">
        <f>IFERROR(INDEX(Mots!$B:$B,MATCH($E30,Mots!$A:$A,0)),"introuvable")</f>
        <v>un habit</v>
      </c>
    </row>
    <row r="31" spans="1:6" x14ac:dyDescent="0.3">
      <c r="A31" s="8" t="s">
        <v>5096</v>
      </c>
      <c r="B31" s="8" t="s">
        <v>7747</v>
      </c>
      <c r="C31" s="8" t="s">
        <v>7748</v>
      </c>
      <c r="D31" s="8">
        <v>8</v>
      </c>
      <c r="E31" s="15" t="s">
        <v>23</v>
      </c>
      <c r="F31" s="12" t="str">
        <f>IFERROR(INDEX(Mots!$B:$B,MATCH($E31,Mots!$A:$A,0)),"introuvable")</f>
        <v>la nourriture</v>
      </c>
    </row>
    <row r="32" spans="1:6" x14ac:dyDescent="0.3">
      <c r="A32" s="8" t="s">
        <v>5096</v>
      </c>
      <c r="B32" s="8" t="s">
        <v>7749</v>
      </c>
      <c r="C32" s="8" t="s">
        <v>7750</v>
      </c>
      <c r="D32" s="8">
        <v>9</v>
      </c>
    </row>
    <row r="33" spans="1:6" x14ac:dyDescent="0.3">
      <c r="A33" s="8" t="s">
        <v>5096</v>
      </c>
      <c r="B33" s="8" t="s">
        <v>5393</v>
      </c>
      <c r="C33" s="8" t="s">
        <v>7751</v>
      </c>
      <c r="D33" s="8">
        <v>10</v>
      </c>
      <c r="E33" s="15" t="s">
        <v>5393</v>
      </c>
      <c r="F33" s="12" t="str">
        <f>IFERROR(INDEX(Mots!$B:$B,MATCH($E33,Mots!$A:$A,0)),"introuvable")</f>
        <v>le bâtiment</v>
      </c>
    </row>
    <row r="34" spans="1:6" x14ac:dyDescent="0.3">
      <c r="A34" s="8" t="s">
        <v>5096</v>
      </c>
      <c r="B34" s="8" t="s">
        <v>1169</v>
      </c>
      <c r="C34" s="8" t="s">
        <v>7752</v>
      </c>
      <c r="D34" s="8">
        <v>11</v>
      </c>
      <c r="E34" s="15" t="s">
        <v>1169</v>
      </c>
      <c r="F34" s="12" t="str">
        <f>IFERROR(INDEX(Mots!$B:$B,MATCH($E34,Mots!$A:$A,0)),"introuvable")</f>
        <v>animal</v>
      </c>
    </row>
    <row r="35" spans="1:6" x14ac:dyDescent="0.3">
      <c r="A35" s="8" t="s">
        <v>5096</v>
      </c>
      <c r="B35" s="8" t="s">
        <v>2816</v>
      </c>
      <c r="C35" s="8" t="s">
        <v>7753</v>
      </c>
      <c r="D35" s="8">
        <v>12</v>
      </c>
      <c r="E35" s="15" t="s">
        <v>2816</v>
      </c>
      <c r="F35" s="12" t="str">
        <f>IFERROR(INDEX(Mots!$B:$B,MATCH($E35,Mots!$A:$A,0)),"introuvable")</f>
        <v>la plante</v>
      </c>
    </row>
    <row r="36" spans="1:6" x14ac:dyDescent="0.3">
      <c r="A36" s="8" t="s">
        <v>5096</v>
      </c>
      <c r="B36" s="8" t="s">
        <v>5797</v>
      </c>
      <c r="C36" s="8" t="s">
        <v>7754</v>
      </c>
      <c r="D36" s="8">
        <v>13</v>
      </c>
      <c r="E36" s="15" t="s">
        <v>5797</v>
      </c>
      <c r="F36" s="12" t="str">
        <f>IFERROR(INDEX(Mots!$B:$B,MATCH($E36,Mots!$A:$A,0)),"introuvable")</f>
        <v>le document</v>
      </c>
    </row>
    <row r="37" spans="1:6" x14ac:dyDescent="0.3">
      <c r="A37" s="8" t="s">
        <v>5096</v>
      </c>
      <c r="B37" s="8" t="s">
        <v>4650</v>
      </c>
      <c r="C37" s="8" t="s">
        <v>7755</v>
      </c>
      <c r="D37" s="8">
        <v>14</v>
      </c>
      <c r="E37" s="15" t="s">
        <v>4650</v>
      </c>
      <c r="F37" s="12" t="str">
        <f>IFERROR(INDEX(Mots!$B:$B,MATCH($E37,Mots!$A:$A,0)),"introuvable")</f>
        <v>la matière</v>
      </c>
    </row>
    <row r="38" spans="1:6" x14ac:dyDescent="0.3">
      <c r="A38" s="8" t="s">
        <v>5096</v>
      </c>
      <c r="B38" s="8" t="s">
        <v>7756</v>
      </c>
      <c r="C38" s="8" t="s">
        <v>7757</v>
      </c>
      <c r="D38" s="8">
        <v>15</v>
      </c>
    </row>
    <row r="39" spans="1:6" x14ac:dyDescent="0.3">
      <c r="A39" s="8" t="s">
        <v>5096</v>
      </c>
      <c r="B39" s="8" t="s">
        <v>6837</v>
      </c>
      <c r="C39" s="8" t="s">
        <v>7758</v>
      </c>
      <c r="D39" s="8">
        <v>16</v>
      </c>
      <c r="E39" s="15" t="s">
        <v>6837</v>
      </c>
      <c r="F39" s="12" t="str">
        <f>IFERROR(INDEX(Mots!$B:$B,MATCH($E39,Mots!$A:$A,0)),"introuvable")</f>
        <v>l'objet</v>
      </c>
    </row>
    <row r="40" spans="1:6" x14ac:dyDescent="0.3">
      <c r="A40" s="8" t="s">
        <v>3418</v>
      </c>
      <c r="B40" s="8" t="s">
        <v>7759</v>
      </c>
      <c r="C40" s="8" t="s">
        <v>7760</v>
      </c>
      <c r="D40" s="8">
        <v>12</v>
      </c>
    </row>
    <row r="41" spans="1:6" x14ac:dyDescent="0.3">
      <c r="A41" s="8" t="s">
        <v>3418</v>
      </c>
      <c r="B41" s="8" t="s">
        <v>7033</v>
      </c>
      <c r="C41" s="8" t="s">
        <v>7761</v>
      </c>
      <c r="D41" s="8">
        <v>13</v>
      </c>
    </row>
    <row r="42" spans="1:6" x14ac:dyDescent="0.3">
      <c r="A42" s="8" t="s">
        <v>3418</v>
      </c>
      <c r="B42" s="8" t="s">
        <v>7762</v>
      </c>
      <c r="C42" s="8" t="s">
        <v>7763</v>
      </c>
      <c r="D42" s="8">
        <v>14</v>
      </c>
    </row>
    <row r="43" spans="1:6" x14ac:dyDescent="0.3">
      <c r="A43" s="8" t="s">
        <v>3418</v>
      </c>
      <c r="B43" s="8" t="s">
        <v>7764</v>
      </c>
      <c r="C43" s="8" t="s">
        <v>7765</v>
      </c>
      <c r="D43" s="8">
        <v>15</v>
      </c>
    </row>
    <row r="44" spans="1:6" x14ac:dyDescent="0.3">
      <c r="A44" s="8" t="s">
        <v>3418</v>
      </c>
      <c r="B44" s="8" t="s">
        <v>3440</v>
      </c>
      <c r="C44" s="8" t="s">
        <v>7766</v>
      </c>
      <c r="D44" s="8">
        <v>16</v>
      </c>
    </row>
    <row r="45" spans="1:6" x14ac:dyDescent="0.3">
      <c r="A45" s="8" t="s">
        <v>4957</v>
      </c>
      <c r="B45" s="8" t="s">
        <v>2325</v>
      </c>
      <c r="C45" s="8" t="s">
        <v>7767</v>
      </c>
      <c r="D45" s="8">
        <v>1</v>
      </c>
    </row>
    <row r="46" spans="1:6" x14ac:dyDescent="0.3">
      <c r="A46" s="8" t="s">
        <v>4957</v>
      </c>
      <c r="B46" s="8" t="s">
        <v>7768</v>
      </c>
      <c r="C46" s="8" t="s">
        <v>7769</v>
      </c>
      <c r="D46" s="8">
        <v>2</v>
      </c>
    </row>
    <row r="47" spans="1:6" x14ac:dyDescent="0.3">
      <c r="A47" s="8" t="s">
        <v>4957</v>
      </c>
      <c r="B47" s="8" t="s">
        <v>4450</v>
      </c>
      <c r="C47" s="8" t="s">
        <v>7770</v>
      </c>
      <c r="D47" s="8">
        <v>3</v>
      </c>
    </row>
    <row r="48" spans="1:6" x14ac:dyDescent="0.3">
      <c r="A48" s="8" t="s">
        <v>4957</v>
      </c>
      <c r="B48" s="8" t="s">
        <v>7771</v>
      </c>
      <c r="C48" s="8" t="s">
        <v>7772</v>
      </c>
      <c r="D48" s="8">
        <v>4</v>
      </c>
    </row>
    <row r="49" spans="1:4" x14ac:dyDescent="0.3">
      <c r="A49" s="8" t="s">
        <v>4957</v>
      </c>
      <c r="B49" s="8" t="s">
        <v>7366</v>
      </c>
      <c r="C49" s="8" t="s">
        <v>7773</v>
      </c>
      <c r="D49" s="8">
        <v>5</v>
      </c>
    </row>
    <row r="50" spans="1:4" x14ac:dyDescent="0.3">
      <c r="A50" s="8" t="s">
        <v>4957</v>
      </c>
      <c r="B50" s="8" t="s">
        <v>5849</v>
      </c>
      <c r="C50" s="8" t="s">
        <v>7774</v>
      </c>
      <c r="D50" s="8">
        <v>6</v>
      </c>
    </row>
    <row r="51" spans="1:4" x14ac:dyDescent="0.3">
      <c r="A51" s="8" t="s">
        <v>4957</v>
      </c>
      <c r="B51" s="8" t="s">
        <v>7775</v>
      </c>
      <c r="C51" s="8" t="s">
        <v>7776</v>
      </c>
      <c r="D51" s="8">
        <v>7</v>
      </c>
    </row>
    <row r="52" spans="1:4" x14ac:dyDescent="0.3">
      <c r="A52" s="8" t="s">
        <v>4957</v>
      </c>
      <c r="B52" s="8" t="s">
        <v>7777</v>
      </c>
      <c r="C52" s="8" t="s">
        <v>7778</v>
      </c>
      <c r="D52" s="8">
        <v>8</v>
      </c>
    </row>
    <row r="53" spans="1:4" x14ac:dyDescent="0.3">
      <c r="A53" s="8" t="s">
        <v>4957</v>
      </c>
      <c r="B53" s="8" t="s">
        <v>7779</v>
      </c>
      <c r="C53" s="8" t="s">
        <v>7780</v>
      </c>
      <c r="D53" s="8">
        <v>9</v>
      </c>
    </row>
    <row r="54" spans="1:4" x14ac:dyDescent="0.3">
      <c r="A54" s="8" t="s">
        <v>4957</v>
      </c>
      <c r="B54" s="8" t="s">
        <v>7781</v>
      </c>
      <c r="C54" s="8" t="s">
        <v>7782</v>
      </c>
      <c r="D54" s="8">
        <v>10</v>
      </c>
    </row>
    <row r="55" spans="1:4" x14ac:dyDescent="0.3">
      <c r="A55" s="8" t="s">
        <v>4957</v>
      </c>
      <c r="B55" s="8" t="s">
        <v>7783</v>
      </c>
      <c r="C55" s="8" t="s">
        <v>7784</v>
      </c>
      <c r="D55" s="8">
        <v>11</v>
      </c>
    </row>
    <row r="56" spans="1:4" x14ac:dyDescent="0.3">
      <c r="A56" s="8" t="s">
        <v>4957</v>
      </c>
      <c r="B56" s="8" t="s">
        <v>3025</v>
      </c>
      <c r="C56" s="8" t="s">
        <v>7785</v>
      </c>
      <c r="D56" s="8">
        <v>12</v>
      </c>
    </row>
    <row r="57" spans="1:4" x14ac:dyDescent="0.3">
      <c r="A57" s="8" t="s">
        <v>4957</v>
      </c>
      <c r="B57" s="8" t="s">
        <v>6204</v>
      </c>
      <c r="C57" s="8" t="s">
        <v>6205</v>
      </c>
      <c r="D57" s="8">
        <v>13</v>
      </c>
    </row>
    <row r="58" spans="1:4" x14ac:dyDescent="0.3">
      <c r="A58" s="8" t="s">
        <v>4957</v>
      </c>
      <c r="B58" s="8" t="s">
        <v>7786</v>
      </c>
      <c r="C58" s="8" t="s">
        <v>7787</v>
      </c>
      <c r="D58" s="8">
        <v>14</v>
      </c>
    </row>
    <row r="59" spans="1:4" x14ac:dyDescent="0.3">
      <c r="A59" s="8" t="s">
        <v>458</v>
      </c>
      <c r="B59" s="8" t="s">
        <v>29</v>
      </c>
      <c r="C59" s="8" t="s">
        <v>7788</v>
      </c>
      <c r="D59" s="8">
        <v>1</v>
      </c>
    </row>
    <row r="60" spans="1:4" x14ac:dyDescent="0.3">
      <c r="A60" s="8" t="s">
        <v>458</v>
      </c>
      <c r="B60" s="8" t="s">
        <v>7789</v>
      </c>
      <c r="C60" s="8" t="s">
        <v>7790</v>
      </c>
      <c r="D60" s="8">
        <v>2</v>
      </c>
    </row>
    <row r="61" spans="1:4" x14ac:dyDescent="0.3">
      <c r="A61" s="8" t="s">
        <v>458</v>
      </c>
      <c r="B61" s="8" t="s">
        <v>5062</v>
      </c>
      <c r="C61" s="8" t="s">
        <v>7791</v>
      </c>
      <c r="D61" s="8">
        <v>3</v>
      </c>
    </row>
    <row r="62" spans="1:4" x14ac:dyDescent="0.3">
      <c r="A62" s="8" t="s">
        <v>458</v>
      </c>
      <c r="B62" s="8" t="s">
        <v>7792</v>
      </c>
      <c r="C62" s="8" t="s">
        <v>7793</v>
      </c>
      <c r="D62" s="8">
        <v>4</v>
      </c>
    </row>
    <row r="63" spans="1:4" x14ac:dyDescent="0.3">
      <c r="A63" s="8" t="s">
        <v>7794</v>
      </c>
      <c r="B63" s="8" t="s">
        <v>7795</v>
      </c>
      <c r="C63" s="8" t="s">
        <v>7796</v>
      </c>
      <c r="D63" s="8">
        <v>1</v>
      </c>
    </row>
    <row r="64" spans="1:4" x14ac:dyDescent="0.3">
      <c r="A64" s="8" t="s">
        <v>7794</v>
      </c>
      <c r="B64" s="8" t="s">
        <v>7797</v>
      </c>
      <c r="C64" s="8" t="s">
        <v>3435</v>
      </c>
      <c r="D64" s="8">
        <v>2</v>
      </c>
    </row>
    <row r="65" spans="1:4" x14ac:dyDescent="0.3">
      <c r="A65" s="8" t="s">
        <v>7798</v>
      </c>
      <c r="B65" s="8" t="s">
        <v>46</v>
      </c>
      <c r="C65" s="8" t="s">
        <v>7757</v>
      </c>
      <c r="D65" s="8">
        <v>1</v>
      </c>
    </row>
    <row r="66" spans="1:4" x14ac:dyDescent="0.3">
      <c r="A66" s="8" t="s">
        <v>7798</v>
      </c>
      <c r="B66" s="8" t="s">
        <v>2851</v>
      </c>
      <c r="C66" s="8" t="s">
        <v>7799</v>
      </c>
      <c r="D66" s="8">
        <v>2</v>
      </c>
    </row>
    <row r="67" spans="1:4" x14ac:dyDescent="0.3">
      <c r="A67" s="8" t="s">
        <v>7798</v>
      </c>
      <c r="B67" s="8" t="s">
        <v>34</v>
      </c>
      <c r="C67" s="8" t="s">
        <v>7800</v>
      </c>
      <c r="D67" s="8">
        <v>3</v>
      </c>
    </row>
    <row r="68" spans="1:4" x14ac:dyDescent="0.3">
      <c r="A68" s="8" t="s">
        <v>7798</v>
      </c>
      <c r="B68" s="8" t="s">
        <v>2816</v>
      </c>
      <c r="C68" s="8" t="s">
        <v>7801</v>
      </c>
      <c r="D68" s="8">
        <v>4</v>
      </c>
    </row>
    <row r="69" spans="1:4" x14ac:dyDescent="0.3">
      <c r="A69" s="8" t="s">
        <v>7798</v>
      </c>
      <c r="B69" s="8" t="s">
        <v>6578</v>
      </c>
      <c r="C69" s="8" t="s">
        <v>7802</v>
      </c>
      <c r="D69" s="8">
        <v>5</v>
      </c>
    </row>
    <row r="70" spans="1:4" x14ac:dyDescent="0.3">
      <c r="A70" s="8" t="s">
        <v>7798</v>
      </c>
      <c r="B70" s="8" t="s">
        <v>7738</v>
      </c>
      <c r="C70" s="8" t="s">
        <v>7803</v>
      </c>
      <c r="D70" s="8">
        <v>6</v>
      </c>
    </row>
    <row r="71" spans="1:4" x14ac:dyDescent="0.3">
      <c r="A71" s="8" t="s">
        <v>7798</v>
      </c>
      <c r="B71" s="8" t="s">
        <v>1169</v>
      </c>
      <c r="C71" s="8" t="s">
        <v>7804</v>
      </c>
      <c r="D71" s="8">
        <v>7</v>
      </c>
    </row>
    <row r="72" spans="1:4" x14ac:dyDescent="0.3">
      <c r="A72" s="8" t="s">
        <v>7805</v>
      </c>
      <c r="B72" s="8" t="s">
        <v>7806</v>
      </c>
      <c r="C72" s="8" t="s">
        <v>7807</v>
      </c>
      <c r="D72" s="8">
        <v>1</v>
      </c>
    </row>
    <row r="73" spans="1:4" x14ac:dyDescent="0.3">
      <c r="A73" s="8" t="s">
        <v>7805</v>
      </c>
      <c r="B73" s="8" t="s">
        <v>7771</v>
      </c>
      <c r="C73" s="8" t="s">
        <v>7808</v>
      </c>
      <c r="D73" s="8">
        <v>2</v>
      </c>
    </row>
    <row r="74" spans="1:4" x14ac:dyDescent="0.3">
      <c r="A74" s="8" t="s">
        <v>7805</v>
      </c>
      <c r="B74" s="8" t="s">
        <v>7809</v>
      </c>
      <c r="C74" s="8" t="s">
        <v>7810</v>
      </c>
      <c r="D74" s="8">
        <v>3</v>
      </c>
    </row>
    <row r="75" spans="1:4" x14ac:dyDescent="0.3">
      <c r="A75" s="8" t="s">
        <v>7805</v>
      </c>
      <c r="B75" s="8" t="s">
        <v>4370</v>
      </c>
      <c r="C75" s="8" t="s">
        <v>4371</v>
      </c>
      <c r="D75" s="8">
        <v>4</v>
      </c>
    </row>
    <row r="76" spans="1:4" x14ac:dyDescent="0.3">
      <c r="A76" s="8" t="s">
        <v>7805</v>
      </c>
      <c r="B76" s="8" t="s">
        <v>1833</v>
      </c>
      <c r="C76" s="8" t="s">
        <v>1834</v>
      </c>
      <c r="D76" s="8">
        <v>5</v>
      </c>
    </row>
    <row r="77" spans="1:4" x14ac:dyDescent="0.3">
      <c r="A77" s="8" t="s">
        <v>7805</v>
      </c>
      <c r="B77" s="8" t="s">
        <v>6029</v>
      </c>
      <c r="C77" s="8" t="s">
        <v>7811</v>
      </c>
      <c r="D77" s="8">
        <v>6</v>
      </c>
    </row>
    <row r="78" spans="1:4" x14ac:dyDescent="0.3">
      <c r="A78" s="8" t="s">
        <v>7805</v>
      </c>
      <c r="B78" s="8" t="s">
        <v>4961</v>
      </c>
      <c r="C78" s="8" t="s">
        <v>4962</v>
      </c>
      <c r="D78" s="8">
        <v>7</v>
      </c>
    </row>
    <row r="79" spans="1:4" x14ac:dyDescent="0.3">
      <c r="A79" s="8" t="s">
        <v>7805</v>
      </c>
      <c r="B79" s="8" t="s">
        <v>3025</v>
      </c>
      <c r="C79" s="8" t="s">
        <v>3026</v>
      </c>
      <c r="D79" s="8">
        <v>8</v>
      </c>
    </row>
    <row r="80" spans="1:4" x14ac:dyDescent="0.3">
      <c r="A80" s="8" t="s">
        <v>7805</v>
      </c>
      <c r="B80" s="8" t="s">
        <v>7812</v>
      </c>
      <c r="C80" s="8" t="s">
        <v>7813</v>
      </c>
      <c r="D80" s="8">
        <v>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157"/>
  <sheetViews>
    <sheetView workbookViewId="0">
      <pane xSplit="2" ySplit="1" topLeftCell="C1020" activePane="bottomRight" state="frozen"/>
      <selection pane="topRight"/>
      <selection pane="bottomLeft"/>
      <selection pane="bottomRight" activeCell="I1032" sqref="I1032"/>
    </sheetView>
  </sheetViews>
  <sheetFormatPr baseColWidth="10" defaultColWidth="8.796875" defaultRowHeight="15.6" x14ac:dyDescent="0.3"/>
  <cols>
    <col min="1" max="1" width="24" style="16" customWidth="1"/>
    <col min="2" max="2" width="30" style="16" customWidth="1"/>
    <col min="3" max="28" width="16" style="16" customWidth="1"/>
  </cols>
  <sheetData>
    <row r="1" spans="1:28" x14ac:dyDescent="0.3">
      <c r="A1" s="11" t="s">
        <v>7697</v>
      </c>
      <c r="B1" s="11" t="s">
        <v>7698</v>
      </c>
      <c r="C1" s="11" t="s">
        <v>7814</v>
      </c>
      <c r="D1" s="11" t="s">
        <v>7815</v>
      </c>
      <c r="E1" s="11" t="s">
        <v>7816</v>
      </c>
      <c r="F1" s="11" t="s">
        <v>7817</v>
      </c>
      <c r="G1" s="11" t="s">
        <v>7818</v>
      </c>
      <c r="H1" s="11" t="s">
        <v>7819</v>
      </c>
      <c r="I1" s="11" t="s">
        <v>7820</v>
      </c>
      <c r="J1" s="11" t="s">
        <v>7821</v>
      </c>
      <c r="K1" s="11" t="s">
        <v>7822</v>
      </c>
      <c r="L1" s="11" t="s">
        <v>7823</v>
      </c>
      <c r="M1" s="11" t="s">
        <v>7824</v>
      </c>
      <c r="N1" s="11" t="s">
        <v>7825</v>
      </c>
      <c r="O1" s="11" t="s">
        <v>7826</v>
      </c>
      <c r="P1" s="11" t="s">
        <v>7827</v>
      </c>
      <c r="Q1" s="11" t="s">
        <v>7828</v>
      </c>
      <c r="R1" s="11" t="s">
        <v>7829</v>
      </c>
      <c r="S1" s="11" t="s">
        <v>7830</v>
      </c>
      <c r="T1" s="11" t="s">
        <v>7831</v>
      </c>
      <c r="U1" s="11" t="s">
        <v>7832</v>
      </c>
      <c r="V1" s="11" t="s">
        <v>7833</v>
      </c>
      <c r="W1" s="11" t="s">
        <v>7834</v>
      </c>
      <c r="X1" s="11" t="s">
        <v>7835</v>
      </c>
      <c r="Y1" s="11" t="s">
        <v>7836</v>
      </c>
      <c r="Z1" s="11" t="s">
        <v>7837</v>
      </c>
      <c r="AA1" s="11" t="s">
        <v>7838</v>
      </c>
      <c r="AB1" s="11" t="s">
        <v>7839</v>
      </c>
    </row>
    <row r="2" spans="1:28" x14ac:dyDescent="0.3">
      <c r="A2" s="15" t="s">
        <v>410</v>
      </c>
      <c r="B2" s="12" t="str">
        <f>IFERROR(INDEX(Mots!$B:$B,MATCH($A2,Mots!$A:$A,0)),"introuvable")</f>
        <v>le sandwich</v>
      </c>
      <c r="I2" s="15" t="s">
        <v>702</v>
      </c>
      <c r="N2" s="15" t="s">
        <v>7718</v>
      </c>
    </row>
    <row r="3" spans="1:28" x14ac:dyDescent="0.3">
      <c r="A3" s="15" t="s">
        <v>416</v>
      </c>
      <c r="B3" s="12" t="str">
        <f>IFERROR(INDEX(Mots!$B:$B,MATCH($A3,Mots!$A:$A,0)),"introuvable")</f>
        <v>la lettre</v>
      </c>
      <c r="I3" s="15" t="s">
        <v>73</v>
      </c>
      <c r="N3" s="15" t="s">
        <v>7382</v>
      </c>
    </row>
    <row r="4" spans="1:28" x14ac:dyDescent="0.3">
      <c r="A4" s="15" t="s">
        <v>421</v>
      </c>
      <c r="B4" s="12" t="str">
        <f>IFERROR(INDEX(Mots!$B:$B,MATCH($A4,Mots!$A:$A,0)),"introuvable")</f>
        <v>la réunion</v>
      </c>
      <c r="I4" s="15" t="s">
        <v>73</v>
      </c>
      <c r="N4" s="15" t="s">
        <v>7382</v>
      </c>
    </row>
    <row r="5" spans="1:28" x14ac:dyDescent="0.3">
      <c r="A5" s="15" t="s">
        <v>426</v>
      </c>
      <c r="B5" s="12" t="str">
        <f>IFERROR(INDEX(Mots!$B:$B,MATCH($A5,Mots!$A:$A,0)),"introuvable")</f>
        <v>le bureau (meuble)</v>
      </c>
      <c r="C5" s="15" t="s">
        <v>828</v>
      </c>
      <c r="I5" s="15" t="s">
        <v>73</v>
      </c>
      <c r="N5" s="15" t="s">
        <v>7382</v>
      </c>
    </row>
    <row r="6" spans="1:28" x14ac:dyDescent="0.3">
      <c r="A6" s="15" t="s">
        <v>434</v>
      </c>
      <c r="B6" s="12" t="str">
        <f>IFERROR(INDEX(Mots!$B:$B,MATCH($A6,Mots!$A:$A,0)),"introuvable")</f>
        <v>le rapport</v>
      </c>
      <c r="I6" s="15" t="s">
        <v>73</v>
      </c>
      <c r="N6" s="15" t="s">
        <v>7382</v>
      </c>
    </row>
    <row r="7" spans="1:28" x14ac:dyDescent="0.3">
      <c r="A7" s="15" t="s">
        <v>438</v>
      </c>
      <c r="B7" s="12" t="str">
        <f>IFERROR(INDEX(Mots!$B:$B,MATCH($A7,Mots!$A:$A,0)),"introuvable")</f>
        <v>l'entreprise</v>
      </c>
      <c r="I7" s="15" t="s">
        <v>73</v>
      </c>
      <c r="N7" s="15" t="s">
        <v>7382</v>
      </c>
    </row>
    <row r="8" spans="1:28" x14ac:dyDescent="0.3">
      <c r="A8" s="15" t="s">
        <v>446</v>
      </c>
      <c r="B8" s="12" t="str">
        <f>IFERROR(INDEX(Mots!$B:$B,MATCH($A8,Mots!$A:$A,0)),"introuvable")</f>
        <v>l'équipe</v>
      </c>
      <c r="I8" s="15" t="s">
        <v>73</v>
      </c>
      <c r="N8" s="15" t="s">
        <v>7382</v>
      </c>
    </row>
    <row r="9" spans="1:28" x14ac:dyDescent="0.3">
      <c r="A9" s="15" t="s">
        <v>29</v>
      </c>
      <c r="B9" s="12" t="str">
        <f>IFERROR(INDEX(Mots!$B:$B,MATCH($A9,Mots!$A:$A,0)),"introuvable")</f>
        <v>la famille</v>
      </c>
      <c r="W9" s="15" t="s">
        <v>29</v>
      </c>
      <c r="X9" s="15" t="s">
        <v>7792</v>
      </c>
    </row>
    <row r="10" spans="1:28" x14ac:dyDescent="0.3">
      <c r="A10" s="15" t="s">
        <v>459</v>
      </c>
      <c r="B10" s="12" t="str">
        <f>IFERROR(INDEX(Mots!$B:$B,MATCH($A10,Mots!$A:$A,0)),"introuvable")</f>
        <v>le mari et la femme</v>
      </c>
      <c r="W10" s="15" t="s">
        <v>29</v>
      </c>
    </row>
    <row r="11" spans="1:28" x14ac:dyDescent="0.3">
      <c r="A11" s="15" t="s">
        <v>467</v>
      </c>
      <c r="B11" s="12" t="str">
        <f>IFERROR(INDEX(Mots!$B:$B,MATCH($A11,Mots!$A:$A,0)),"introuvable")</f>
        <v>la mère - la maman</v>
      </c>
      <c r="W11" s="15" t="s">
        <v>29</v>
      </c>
    </row>
    <row r="12" spans="1:28" x14ac:dyDescent="0.3">
      <c r="A12" s="15" t="s">
        <v>470</v>
      </c>
      <c r="B12" s="12" t="str">
        <f>IFERROR(INDEX(Mots!$B:$B,MATCH($A12,Mots!$A:$A,0)),"introuvable")</f>
        <v>le père - le papa</v>
      </c>
      <c r="W12" s="15" t="s">
        <v>29</v>
      </c>
    </row>
    <row r="13" spans="1:28" x14ac:dyDescent="0.3">
      <c r="A13" s="15" t="s">
        <v>473</v>
      </c>
      <c r="B13" s="12" t="str">
        <f>IFERROR(INDEX(Mots!$B:$B,MATCH($A13,Mots!$A:$A,0)),"introuvable")</f>
        <v>les enfants</v>
      </c>
      <c r="W13" s="15" t="s">
        <v>29</v>
      </c>
    </row>
    <row r="14" spans="1:28" x14ac:dyDescent="0.3">
      <c r="A14" s="15" t="s">
        <v>481</v>
      </c>
      <c r="B14" s="12" t="str">
        <f>IFERROR(INDEX(Mots!$B:$B,MATCH($A14,Mots!$A:$A,0)),"introuvable")</f>
        <v>le bébé</v>
      </c>
      <c r="W14" s="15" t="s">
        <v>29</v>
      </c>
    </row>
    <row r="15" spans="1:28" x14ac:dyDescent="0.3">
      <c r="A15" s="15" t="s">
        <v>490</v>
      </c>
      <c r="B15" s="12" t="str">
        <f>IFERROR(INDEX(Mots!$B:$B,MATCH($A15,Mots!$A:$A,0)),"introuvable")</f>
        <v>la fille</v>
      </c>
      <c r="W15" s="15" t="s">
        <v>29</v>
      </c>
    </row>
    <row r="16" spans="1:28" x14ac:dyDescent="0.3">
      <c r="A16" s="15" t="s">
        <v>499</v>
      </c>
      <c r="B16" s="12" t="str">
        <f>IFERROR(INDEX(Mots!$B:$B,MATCH($A16,Mots!$A:$A,0)),"introuvable")</f>
        <v>le fils</v>
      </c>
      <c r="W16" s="15" t="s">
        <v>29</v>
      </c>
    </row>
    <row r="17" spans="1:23" x14ac:dyDescent="0.3">
      <c r="A17" s="15" t="s">
        <v>506</v>
      </c>
      <c r="B17" s="12" t="str">
        <f>IFERROR(INDEX(Mots!$B:$B,MATCH($A17,Mots!$A:$A,0)),"introuvable")</f>
        <v>la grand-mère</v>
      </c>
      <c r="W17" s="15" t="s">
        <v>29</v>
      </c>
    </row>
    <row r="18" spans="1:23" x14ac:dyDescent="0.3">
      <c r="A18" s="15" t="s">
        <v>510</v>
      </c>
      <c r="B18" s="12" t="str">
        <f>IFERROR(INDEX(Mots!$B:$B,MATCH($A18,Mots!$A:$A,0)),"introuvable")</f>
        <v>le grand-père</v>
      </c>
      <c r="W18" s="15" t="s">
        <v>29</v>
      </c>
    </row>
    <row r="19" spans="1:23" x14ac:dyDescent="0.3">
      <c r="A19" s="15" t="s">
        <v>514</v>
      </c>
      <c r="B19" s="12" t="str">
        <f>IFERROR(INDEX(Mots!$B:$B,MATCH($A19,Mots!$A:$A,0)),"introuvable")</f>
        <v>la soeur</v>
      </c>
      <c r="W19" s="15" t="s">
        <v>29</v>
      </c>
    </row>
    <row r="20" spans="1:23" x14ac:dyDescent="0.3">
      <c r="A20" s="15" t="s">
        <v>521</v>
      </c>
      <c r="B20" s="12" t="str">
        <f>IFERROR(INDEX(Mots!$B:$B,MATCH($A20,Mots!$A:$A,0)),"introuvable")</f>
        <v>le frère</v>
      </c>
      <c r="W20" s="15" t="s">
        <v>29</v>
      </c>
    </row>
    <row r="21" spans="1:23" x14ac:dyDescent="0.3">
      <c r="A21" s="15" t="s">
        <v>526</v>
      </c>
      <c r="B21" s="12" t="str">
        <f>IFERROR(INDEX(Mots!$B:$B,MATCH($A21,Mots!$A:$A,0)),"introuvable")</f>
        <v>la tante</v>
      </c>
      <c r="W21" s="15" t="s">
        <v>29</v>
      </c>
    </row>
    <row r="22" spans="1:23" x14ac:dyDescent="0.3">
      <c r="A22" s="15" t="s">
        <v>531</v>
      </c>
      <c r="B22" s="12" t="str">
        <f>IFERROR(INDEX(Mots!$B:$B,MATCH($A22,Mots!$A:$A,0)),"introuvable")</f>
        <v>l'oncle</v>
      </c>
      <c r="W22" s="15" t="s">
        <v>29</v>
      </c>
    </row>
    <row r="23" spans="1:23" x14ac:dyDescent="0.3">
      <c r="A23" s="15" t="s">
        <v>553</v>
      </c>
      <c r="B23" s="12" t="str">
        <f>IFERROR(INDEX(Mots!$B:$B,MATCH($A23,Mots!$A:$A,0)),"introuvable")</f>
        <v>la pelouse</v>
      </c>
      <c r="I23" s="15" t="s">
        <v>3785</v>
      </c>
    </row>
    <row r="24" spans="1:23" x14ac:dyDescent="0.3">
      <c r="A24" s="15" t="s">
        <v>557</v>
      </c>
      <c r="B24" s="12" t="str">
        <f>IFERROR(INDEX(Mots!$B:$B,MATCH($A24,Mots!$A:$A,0)),"introuvable")</f>
        <v>la table de jardin</v>
      </c>
      <c r="C24" s="15" t="s">
        <v>828</v>
      </c>
      <c r="I24" s="15" t="s">
        <v>3785</v>
      </c>
    </row>
    <row r="25" spans="1:23" x14ac:dyDescent="0.3">
      <c r="A25" s="15" t="s">
        <v>561</v>
      </c>
      <c r="B25" s="12" t="str">
        <f>IFERROR(INDEX(Mots!$B:$B,MATCH($A25,Mots!$A:$A,0)),"introuvable")</f>
        <v>la haie de thujas</v>
      </c>
      <c r="C25" s="15" t="s">
        <v>2816</v>
      </c>
      <c r="I25" s="15" t="s">
        <v>3785</v>
      </c>
    </row>
    <row r="26" spans="1:23" x14ac:dyDescent="0.3">
      <c r="A26" s="15" t="s">
        <v>565</v>
      </c>
      <c r="B26" s="12" t="str">
        <f>IFERROR(INDEX(Mots!$B:$B,MATCH($A26,Mots!$A:$A,0)),"introuvable")</f>
        <v>l'arrosage automatique</v>
      </c>
      <c r="I26" s="15" t="s">
        <v>3785</v>
      </c>
    </row>
    <row r="27" spans="1:23" x14ac:dyDescent="0.3">
      <c r="A27" s="15" t="s">
        <v>569</v>
      </c>
      <c r="B27" s="12" t="str">
        <f>IFERROR(INDEX(Mots!$B:$B,MATCH($A27,Mots!$A:$A,0)),"introuvable")</f>
        <v>la tondeuse à gazon</v>
      </c>
      <c r="C27" s="15" t="s">
        <v>5293</v>
      </c>
      <c r="I27" s="15" t="s">
        <v>3785</v>
      </c>
    </row>
    <row r="28" spans="1:23" x14ac:dyDescent="0.3">
      <c r="A28" s="15" t="s">
        <v>573</v>
      </c>
      <c r="B28" s="12" t="str">
        <f>IFERROR(INDEX(Mots!$B:$B,MATCH($A28,Mots!$A:$A,0)),"introuvable")</f>
        <v>l'essence pour tondeuse</v>
      </c>
      <c r="I28" s="15" t="s">
        <v>3785</v>
      </c>
    </row>
    <row r="29" spans="1:23" x14ac:dyDescent="0.3">
      <c r="A29" s="15" t="s">
        <v>577</v>
      </c>
      <c r="B29" s="12" t="str">
        <f>IFERROR(INDEX(Mots!$B:$B,MATCH($A29,Mots!$A:$A,0)),"introuvable")</f>
        <v>la débroussailleuse</v>
      </c>
      <c r="C29" s="15" t="s">
        <v>6890</v>
      </c>
      <c r="I29" s="15" t="s">
        <v>3785</v>
      </c>
    </row>
    <row r="30" spans="1:23" x14ac:dyDescent="0.3">
      <c r="A30" s="15" t="s">
        <v>581</v>
      </c>
      <c r="B30" s="12" t="str">
        <f>IFERROR(INDEX(Mots!$B:$B,MATCH($A30,Mots!$A:$A,0)),"introuvable")</f>
        <v>le fil pour la débroussailleuse</v>
      </c>
      <c r="I30" s="15" t="s">
        <v>3785</v>
      </c>
    </row>
    <row r="31" spans="1:23" x14ac:dyDescent="0.3">
      <c r="A31" s="15" t="s">
        <v>585</v>
      </c>
      <c r="B31" s="12" t="str">
        <f>IFERROR(INDEX(Mots!$B:$B,MATCH($A31,Mots!$A:$A,0)),"introuvable")</f>
        <v>le don d'honneur (argent)</v>
      </c>
      <c r="I31" s="15" t="s">
        <v>7716</v>
      </c>
      <c r="N31" s="15" t="s">
        <v>7730</v>
      </c>
    </row>
    <row r="32" spans="1:23" x14ac:dyDescent="0.3">
      <c r="A32" s="15" t="s">
        <v>9695</v>
      </c>
      <c r="B32" s="12" t="str">
        <f>IFERROR(INDEX(Mots!$B:$B,MATCH($A32,Mots!$A:$A,0)),"introuvable")</f>
        <v>le défilé - le concours de marche</v>
      </c>
      <c r="I32" s="15" t="s">
        <v>7716</v>
      </c>
      <c r="N32" s="15" t="s">
        <v>7730</v>
      </c>
    </row>
    <row r="33" spans="1:14" x14ac:dyDescent="0.3">
      <c r="A33" s="15" t="s">
        <v>591</v>
      </c>
      <c r="B33" s="12" t="str">
        <f>IFERROR(INDEX(Mots!$B:$B,MATCH($A33,Mots!$A:$A,0)),"introuvable")</f>
        <v>l'ASM</v>
      </c>
      <c r="I33" s="15" t="s">
        <v>7716</v>
      </c>
      <c r="N33" s="15" t="s">
        <v>7730</v>
      </c>
    </row>
    <row r="34" spans="1:14" x14ac:dyDescent="0.3">
      <c r="A34" s="15" t="s">
        <v>595</v>
      </c>
      <c r="B34" s="12" t="str">
        <f>IFERROR(INDEX(Mots!$B:$B,MATCH($A34,Mots!$A:$A,0)),"introuvable")</f>
        <v>l'ACMV</v>
      </c>
      <c r="I34" s="15" t="s">
        <v>7716</v>
      </c>
      <c r="N34" s="15" t="s">
        <v>7730</v>
      </c>
    </row>
    <row r="35" spans="1:14" x14ac:dyDescent="0.3">
      <c r="A35" s="15" t="s">
        <v>599</v>
      </c>
      <c r="B35" s="12" t="str">
        <f>IFERROR(INDEX(Mots!$B:$B,MATCH($A35,Mots!$A:$A,0)),"introuvable")</f>
        <v>la FMVC</v>
      </c>
      <c r="I35" s="15" t="s">
        <v>7716</v>
      </c>
      <c r="N35" s="15" t="s">
        <v>7730</v>
      </c>
    </row>
    <row r="36" spans="1:14" x14ac:dyDescent="0.3">
      <c r="A36" s="15" t="s">
        <v>603</v>
      </c>
      <c r="B36" s="12" t="str">
        <f>IFERROR(INDEX(Mots!$B:$B,MATCH($A36,Mots!$A:$A,0)),"introuvable")</f>
        <v>Yvan Maistre</v>
      </c>
      <c r="I36" s="15" t="s">
        <v>7716</v>
      </c>
      <c r="N36" s="15" t="s">
        <v>7730</v>
      </c>
    </row>
    <row r="37" spans="1:14" x14ac:dyDescent="0.3">
      <c r="A37" s="15" t="s">
        <v>607</v>
      </c>
      <c r="B37" s="12" t="str">
        <f>IFERROR(INDEX(Mots!$B:$B,MATCH($A37,Mots!$A:$A,0)),"introuvable")</f>
        <v>la baguette</v>
      </c>
      <c r="I37" s="15" t="s">
        <v>7716</v>
      </c>
      <c r="N37" s="15" t="s">
        <v>7730</v>
      </c>
    </row>
    <row r="38" spans="1:14" x14ac:dyDescent="0.3">
      <c r="A38" s="15" t="s">
        <v>611</v>
      </c>
      <c r="B38" s="12" t="str">
        <f>IFERROR(INDEX(Mots!$B:$B,MATCH($A38,Mots!$A:$A,0)),"introuvable")</f>
        <v>la chanson</v>
      </c>
      <c r="I38" s="15" t="s">
        <v>7716</v>
      </c>
      <c r="N38" s="15" t="s">
        <v>7730</v>
      </c>
    </row>
    <row r="39" spans="1:14" x14ac:dyDescent="0.3">
      <c r="A39" s="15" t="s">
        <v>615</v>
      </c>
      <c r="B39" s="12" t="str">
        <f>IFERROR(INDEX(Mots!$B:$B,MATCH($A39,Mots!$A:$A,0)),"introuvable")</f>
        <v>la chorale</v>
      </c>
      <c r="I39" s="15" t="s">
        <v>7716</v>
      </c>
      <c r="N39" s="15" t="s">
        <v>7730</v>
      </c>
    </row>
    <row r="40" spans="1:14" x14ac:dyDescent="0.3">
      <c r="A40" s="15" t="s">
        <v>618</v>
      </c>
      <c r="B40" s="12" t="str">
        <f>IFERROR(INDEX(Mots!$B:$B,MATCH($A40,Mots!$A:$A,0)),"introuvable")</f>
        <v>la danse</v>
      </c>
      <c r="I40" s="15" t="s">
        <v>7716</v>
      </c>
      <c r="N40" s="15" t="s">
        <v>7730</v>
      </c>
    </row>
    <row r="41" spans="1:14" x14ac:dyDescent="0.3">
      <c r="A41" s="15" t="s">
        <v>622</v>
      </c>
      <c r="B41" s="12" t="str">
        <f>IFERROR(INDEX(Mots!$B:$B,MATCH($A41,Mots!$A:$A,0)),"introuvable")</f>
        <v>la mélodie</v>
      </c>
      <c r="I41" s="15" t="s">
        <v>7716</v>
      </c>
      <c r="N41" s="15" t="s">
        <v>7730</v>
      </c>
    </row>
    <row r="42" spans="1:14" x14ac:dyDescent="0.3">
      <c r="A42" s="15" t="s">
        <v>626</v>
      </c>
      <c r="B42" s="12" t="str">
        <f>IFERROR(INDEX(Mots!$B:$B,MATCH($A42,Mots!$A:$A,0)),"introuvable")</f>
        <v>la partition</v>
      </c>
      <c r="I42" s="15" t="s">
        <v>7716</v>
      </c>
      <c r="N42" s="15" t="s">
        <v>7730</v>
      </c>
    </row>
    <row r="43" spans="1:14" x14ac:dyDescent="0.3">
      <c r="A43" s="15" t="s">
        <v>630</v>
      </c>
      <c r="B43" s="12" t="str">
        <f>IFERROR(INDEX(Mots!$B:$B,MATCH($A43,Mots!$A:$A,0)),"introuvable")</f>
        <v>la répétition</v>
      </c>
      <c r="I43" s="15" t="s">
        <v>7716</v>
      </c>
      <c r="N43" s="15" t="s">
        <v>7730</v>
      </c>
    </row>
    <row r="44" spans="1:14" x14ac:dyDescent="0.3">
      <c r="A44" s="15" t="s">
        <v>634</v>
      </c>
      <c r="B44" s="12" t="str">
        <f>IFERROR(INDEX(Mots!$B:$B,MATCH($A44,Mots!$A:$A,0)),"introuvable")</f>
        <v>la scène</v>
      </c>
      <c r="I44" s="15" t="s">
        <v>7716</v>
      </c>
      <c r="N44" s="15" t="s">
        <v>7730</v>
      </c>
    </row>
    <row r="45" spans="1:14" x14ac:dyDescent="0.3">
      <c r="A45" s="15" t="s">
        <v>638</v>
      </c>
      <c r="B45" s="12" t="str">
        <f>IFERROR(INDEX(Mots!$B:$B,MATCH($A45,Mots!$A:$A,0)),"introuvable")</f>
        <v>le directeur</v>
      </c>
      <c r="I45" s="15" t="s">
        <v>7716</v>
      </c>
      <c r="N45" s="15" t="s">
        <v>7730</v>
      </c>
    </row>
    <row r="46" spans="1:14" x14ac:dyDescent="0.3">
      <c r="A46" s="15" t="s">
        <v>642</v>
      </c>
      <c r="B46" s="12" t="str">
        <f>IFERROR(INDEX(Mots!$B:$B,MATCH($A46,Mots!$A:$A,0)),"introuvable")</f>
        <v>le concert</v>
      </c>
      <c r="I46" s="15" t="s">
        <v>7716</v>
      </c>
      <c r="N46" s="15" t="s">
        <v>7730</v>
      </c>
    </row>
    <row r="47" spans="1:14" x14ac:dyDescent="0.3">
      <c r="A47" s="15" t="s">
        <v>666</v>
      </c>
      <c r="B47" s="12" t="str">
        <f>IFERROR(INDEX(Mots!$B:$B,MATCH($A47,Mots!$A:$A,0)),"introuvable")</f>
        <v>le public</v>
      </c>
      <c r="I47" s="15" t="s">
        <v>7716</v>
      </c>
      <c r="N47" s="15" t="s">
        <v>7730</v>
      </c>
    </row>
    <row r="48" spans="1:14" x14ac:dyDescent="0.3">
      <c r="A48" s="15" t="s">
        <v>670</v>
      </c>
      <c r="B48" s="12" t="str">
        <f>IFERROR(INDEX(Mots!$B:$B,MATCH($A48,Mots!$A:$A,0)),"introuvable")</f>
        <v>le son</v>
      </c>
      <c r="I48" s="15" t="s">
        <v>7716</v>
      </c>
      <c r="N48" s="15" t="s">
        <v>7730</v>
      </c>
    </row>
    <row r="49" spans="1:14" x14ac:dyDescent="0.3">
      <c r="A49" s="15" t="s">
        <v>674</v>
      </c>
      <c r="B49" s="12" t="str">
        <f>IFERROR(INDEX(Mots!$B:$B,MATCH($A49,Mots!$A:$A,0)),"introuvable")</f>
        <v>le souffle</v>
      </c>
      <c r="I49" s="15" t="s">
        <v>7716</v>
      </c>
      <c r="N49" s="15" t="s">
        <v>7730</v>
      </c>
    </row>
    <row r="50" spans="1:14" x14ac:dyDescent="0.3">
      <c r="A50" s="15" t="s">
        <v>678</v>
      </c>
      <c r="B50" s="12" t="str">
        <f>IFERROR(INDEX(Mots!$B:$B,MATCH($A50,Mots!$A:$A,0)),"introuvable")</f>
        <v>le spectacle</v>
      </c>
      <c r="I50" s="15" t="s">
        <v>2767</v>
      </c>
    </row>
    <row r="51" spans="1:14" x14ac:dyDescent="0.3">
      <c r="A51" s="15" t="s">
        <v>686</v>
      </c>
      <c r="B51" s="12" t="str">
        <f>IFERROR(INDEX(Mots!$B:$B,MATCH($A51,Mots!$A:$A,0)),"introuvable")</f>
        <v>les applaudissements</v>
      </c>
      <c r="I51" s="15" t="s">
        <v>7716</v>
      </c>
      <c r="N51" s="15" t="s">
        <v>7730</v>
      </c>
    </row>
    <row r="52" spans="1:14" x14ac:dyDescent="0.3">
      <c r="A52" s="15" t="s">
        <v>690</v>
      </c>
      <c r="B52" s="12" t="str">
        <f>IFERROR(INDEX(Mots!$B:$B,MATCH($A52,Mots!$A:$A,0)),"introuvable")</f>
        <v>les paroles</v>
      </c>
      <c r="N52" s="15" t="s">
        <v>7759</v>
      </c>
    </row>
    <row r="53" spans="1:14" x14ac:dyDescent="0.3">
      <c r="A53" s="15" t="s">
        <v>695</v>
      </c>
      <c r="B53" s="12" t="str">
        <f>IFERROR(INDEX(Mots!$B:$B,MATCH($A53,Mots!$A:$A,0)),"introuvable")</f>
        <v>l'harmonie</v>
      </c>
      <c r="I53" s="15" t="s">
        <v>7716</v>
      </c>
      <c r="N53" s="15" t="s">
        <v>7730</v>
      </c>
    </row>
    <row r="54" spans="1:14" x14ac:dyDescent="0.3">
      <c r="A54" s="15" t="s">
        <v>702</v>
      </c>
      <c r="B54" s="12" t="str">
        <f>IFERROR(INDEX(Mots!$B:$B,MATCH($A54,Mots!$A:$A,0)),"introuvable")</f>
        <v>la cuisine</v>
      </c>
      <c r="E54" s="15" t="s">
        <v>34</v>
      </c>
      <c r="I54" s="15" t="s">
        <v>702</v>
      </c>
      <c r="N54" s="15" t="s">
        <v>7720</v>
      </c>
    </row>
    <row r="55" spans="1:14" x14ac:dyDescent="0.3">
      <c r="A55" s="15" t="s">
        <v>705</v>
      </c>
      <c r="B55" s="12" t="str">
        <f>IFERROR(INDEX(Mots!$B:$B,MATCH($A55,Mots!$A:$A,0)),"introuvable")</f>
        <v>le frigo</v>
      </c>
      <c r="C55" s="15" t="s">
        <v>5293</v>
      </c>
      <c r="I55" s="15" t="s">
        <v>702</v>
      </c>
      <c r="N55" s="15" t="s">
        <v>7720</v>
      </c>
    </row>
    <row r="56" spans="1:14" x14ac:dyDescent="0.3">
      <c r="A56" s="15" t="s">
        <v>710</v>
      </c>
      <c r="B56" s="12" t="str">
        <f>IFERROR(INDEX(Mots!$B:$B,MATCH($A56,Mots!$A:$A,0)),"introuvable")</f>
        <v>le lave-vaisselle</v>
      </c>
      <c r="C56" s="15" t="s">
        <v>5293</v>
      </c>
      <c r="I56" s="15" t="s">
        <v>702</v>
      </c>
      <c r="N56" s="15" t="s">
        <v>7720</v>
      </c>
    </row>
    <row r="57" spans="1:14" x14ac:dyDescent="0.3">
      <c r="A57" s="15" t="s">
        <v>713</v>
      </c>
      <c r="B57" s="12" t="str">
        <f>IFERROR(INDEX(Mots!$B:$B,MATCH($A57,Mots!$A:$A,0)),"introuvable")</f>
        <v>le four</v>
      </c>
      <c r="C57" s="15" t="s">
        <v>5293</v>
      </c>
      <c r="I57" s="15" t="s">
        <v>702</v>
      </c>
      <c r="N57" s="15" t="s">
        <v>7720</v>
      </c>
    </row>
    <row r="58" spans="1:14" x14ac:dyDescent="0.3">
      <c r="A58" s="15" t="s">
        <v>717</v>
      </c>
      <c r="B58" s="12" t="str">
        <f>IFERROR(INDEX(Mots!$B:$B,MATCH($A58,Mots!$A:$A,0)),"introuvable")</f>
        <v>le micro onde</v>
      </c>
      <c r="C58" s="15" t="s">
        <v>5293</v>
      </c>
      <c r="I58" s="15" t="s">
        <v>702</v>
      </c>
      <c r="N58" s="15" t="s">
        <v>7720</v>
      </c>
    </row>
    <row r="59" spans="1:14" x14ac:dyDescent="0.3">
      <c r="A59" s="15" t="s">
        <v>724</v>
      </c>
      <c r="B59" s="12" t="str">
        <f>IFERROR(INDEX(Mots!$B:$B,MATCH($A59,Mots!$A:$A,0)),"introuvable")</f>
        <v>la cuisinière vitroceram</v>
      </c>
      <c r="C59" s="15" t="s">
        <v>5293</v>
      </c>
      <c r="I59" s="15" t="s">
        <v>702</v>
      </c>
      <c r="N59" s="15" t="s">
        <v>7720</v>
      </c>
    </row>
    <row r="60" spans="1:14" x14ac:dyDescent="0.3">
      <c r="A60" s="15" t="s">
        <v>728</v>
      </c>
      <c r="B60" s="12" t="str">
        <f>IFERROR(INDEX(Mots!$B:$B,MATCH($A60,Mots!$A:$A,0)),"introuvable")</f>
        <v>la machine à café</v>
      </c>
      <c r="C60" s="15" t="s">
        <v>5293</v>
      </c>
      <c r="I60" s="15" t="s">
        <v>702</v>
      </c>
      <c r="N60" s="15" t="s">
        <v>7720</v>
      </c>
    </row>
    <row r="61" spans="1:14" x14ac:dyDescent="0.3">
      <c r="A61" s="15" t="s">
        <v>733</v>
      </c>
      <c r="B61" s="12" t="str">
        <f>IFERROR(INDEX(Mots!$B:$B,MATCH($A61,Mots!$A:$A,0)),"introuvable")</f>
        <v>le verre</v>
      </c>
      <c r="C61" s="15" t="s">
        <v>6222</v>
      </c>
      <c r="I61" s="15" t="s">
        <v>702</v>
      </c>
      <c r="N61" s="15" t="s">
        <v>7720</v>
      </c>
    </row>
    <row r="62" spans="1:14" x14ac:dyDescent="0.3">
      <c r="A62" s="15" t="s">
        <v>737</v>
      </c>
      <c r="B62" s="12" t="str">
        <f>IFERROR(INDEX(Mots!$B:$B,MATCH($A62,Mots!$A:$A,0)),"introuvable")</f>
        <v>la tasse</v>
      </c>
      <c r="C62" s="15" t="s">
        <v>6222</v>
      </c>
      <c r="I62" s="15" t="s">
        <v>702</v>
      </c>
      <c r="N62" s="15" t="s">
        <v>7720</v>
      </c>
    </row>
    <row r="63" spans="1:14" x14ac:dyDescent="0.3">
      <c r="A63" s="8" t="s">
        <v>9642</v>
      </c>
      <c r="B63" s="12" t="str">
        <f>IFERROR(INDEX(Mots!$B:$B,MATCH($A63,Mots!$A:$A,0)),"introuvable")</f>
        <v>la bouteille</v>
      </c>
      <c r="I63" s="15" t="s">
        <v>702</v>
      </c>
      <c r="N63" s="15" t="s">
        <v>7720</v>
      </c>
    </row>
    <row r="64" spans="1:14" x14ac:dyDescent="0.3">
      <c r="A64" s="15" t="s">
        <v>9483</v>
      </c>
      <c r="B64" s="12" t="str">
        <f>IFERROR(INDEX(Mots!$B:$B,MATCH($A64,Mots!$A:$A,0)),"introuvable")</f>
        <v>le pot ou la mesure</v>
      </c>
      <c r="C64" s="15" t="s">
        <v>6222</v>
      </c>
      <c r="I64" s="15" t="s">
        <v>702</v>
      </c>
      <c r="N64" s="15" t="s">
        <v>7720</v>
      </c>
    </row>
    <row r="65" spans="1:14" x14ac:dyDescent="0.3">
      <c r="A65" s="15" t="s">
        <v>746</v>
      </c>
      <c r="B65" s="12" t="str">
        <f>IFERROR(INDEX(Mots!$B:$B,MATCH($A65,Mots!$A:$A,0)),"introuvable")</f>
        <v>l'assiette</v>
      </c>
      <c r="C65" s="15" t="s">
        <v>6222</v>
      </c>
      <c r="I65" s="15" t="s">
        <v>702</v>
      </c>
      <c r="N65" s="15" t="s">
        <v>7720</v>
      </c>
    </row>
    <row r="66" spans="1:14" x14ac:dyDescent="0.3">
      <c r="A66" s="15" t="s">
        <v>750</v>
      </c>
      <c r="B66" s="12" t="str">
        <f>IFERROR(INDEX(Mots!$B:$B,MATCH($A66,Mots!$A:$A,0)),"introuvable")</f>
        <v>la fourchette</v>
      </c>
      <c r="C66" s="15" t="s">
        <v>7747</v>
      </c>
      <c r="I66" s="15" t="s">
        <v>702</v>
      </c>
      <c r="N66" s="15" t="s">
        <v>7720</v>
      </c>
    </row>
    <row r="67" spans="1:14" x14ac:dyDescent="0.3">
      <c r="A67" s="15" t="s">
        <v>753</v>
      </c>
      <c r="B67" s="12" t="str">
        <f>IFERROR(INDEX(Mots!$B:$B,MATCH($A67,Mots!$A:$A,0)),"introuvable")</f>
        <v>la cuillère</v>
      </c>
      <c r="I67" s="15" t="s">
        <v>702</v>
      </c>
      <c r="N67" s="15" t="s">
        <v>7720</v>
      </c>
    </row>
    <row r="68" spans="1:14" x14ac:dyDescent="0.3">
      <c r="A68" s="15" t="s">
        <v>756</v>
      </c>
      <c r="B68" s="12" t="str">
        <f>IFERROR(INDEX(Mots!$B:$B,MATCH($A68,Mots!$A:$A,0)),"introuvable")</f>
        <v>le couteau</v>
      </c>
      <c r="I68" s="15" t="s">
        <v>702</v>
      </c>
      <c r="N68" s="15" t="s">
        <v>7720</v>
      </c>
    </row>
    <row r="69" spans="1:14" x14ac:dyDescent="0.3">
      <c r="A69" s="15" t="s">
        <v>760</v>
      </c>
      <c r="B69" s="12" t="str">
        <f>IFERROR(INDEX(Mots!$B:$B,MATCH($A69,Mots!$A:$A,0)),"introuvable")</f>
        <v>la casserole</v>
      </c>
      <c r="C69" s="15" t="s">
        <v>6222</v>
      </c>
      <c r="I69" s="15" t="s">
        <v>702</v>
      </c>
      <c r="N69" s="15" t="s">
        <v>7720</v>
      </c>
    </row>
    <row r="70" spans="1:14" x14ac:dyDescent="0.3">
      <c r="A70" s="15" t="s">
        <v>10047</v>
      </c>
      <c r="B70" s="12" t="str">
        <f>IFERROR(INDEX(Mots!$B:$B,MATCH($A70,Mots!$A:$A,0)),"introuvable")</f>
        <v>la marmite</v>
      </c>
      <c r="C70" s="15" t="s">
        <v>6222</v>
      </c>
      <c r="I70" s="15" t="s">
        <v>702</v>
      </c>
      <c r="N70" s="15" t="s">
        <v>7720</v>
      </c>
    </row>
    <row r="71" spans="1:14" x14ac:dyDescent="0.3">
      <c r="A71" s="15" t="s">
        <v>764</v>
      </c>
      <c r="B71" s="12" t="str">
        <f>IFERROR(INDEX(Mots!$B:$B,MATCH($A71,Mots!$A:$A,0)),"introuvable")</f>
        <v>la poêle</v>
      </c>
      <c r="C71" s="15" t="s">
        <v>6222</v>
      </c>
      <c r="I71" s="15" t="s">
        <v>702</v>
      </c>
      <c r="N71" s="15" t="s">
        <v>7720</v>
      </c>
    </row>
    <row r="72" spans="1:14" x14ac:dyDescent="0.3">
      <c r="A72" s="15" t="s">
        <v>767</v>
      </c>
      <c r="B72" s="12" t="str">
        <f>IFERROR(INDEX(Mots!$B:$B,MATCH($A72,Mots!$A:$A,0)),"introuvable")</f>
        <v>l'évier ou la plonge</v>
      </c>
      <c r="I72" s="15" t="s">
        <v>702</v>
      </c>
      <c r="N72" s="15" t="s">
        <v>7720</v>
      </c>
    </row>
    <row r="73" spans="1:14" x14ac:dyDescent="0.3">
      <c r="A73" s="15" t="s">
        <v>771</v>
      </c>
      <c r="B73" s="12" t="str">
        <f>IFERROR(INDEX(Mots!$B:$B,MATCH($A73,Mots!$A:$A,0)),"introuvable")</f>
        <v>le caquelon et le réchaud</v>
      </c>
      <c r="C73" s="15" t="s">
        <v>6222</v>
      </c>
      <c r="I73" s="15" t="s">
        <v>702</v>
      </c>
      <c r="N73" s="15" t="s">
        <v>7720</v>
      </c>
    </row>
    <row r="74" spans="1:14" x14ac:dyDescent="0.3">
      <c r="A74" s="15" t="s">
        <v>775</v>
      </c>
      <c r="B74" s="12" t="str">
        <f>IFERROR(INDEX(Mots!$B:$B,MATCH($A74,Mots!$A:$A,0)),"introuvable")</f>
        <v>la grille à raclette</v>
      </c>
      <c r="C74" s="15" t="s">
        <v>5293</v>
      </c>
      <c r="I74" s="15" t="s">
        <v>702</v>
      </c>
      <c r="N74" s="15" t="s">
        <v>7720</v>
      </c>
    </row>
    <row r="75" spans="1:14" x14ac:dyDescent="0.3">
      <c r="A75" s="15" t="s">
        <v>779</v>
      </c>
      <c r="B75" s="12" t="str">
        <f>IFERROR(INDEX(Mots!$B:$B,MATCH($A75,Mots!$A:$A,0)),"introuvable")</f>
        <v>le robinet</v>
      </c>
      <c r="C75" s="15" t="s">
        <v>5293</v>
      </c>
      <c r="I75" s="15" t="s">
        <v>702</v>
      </c>
      <c r="N75" s="15" t="s">
        <v>7720</v>
      </c>
    </row>
    <row r="76" spans="1:14" x14ac:dyDescent="0.3">
      <c r="A76" s="15" t="s">
        <v>782</v>
      </c>
      <c r="B76" s="12" t="str">
        <f>IFERROR(INDEX(Mots!$B:$B,MATCH($A76,Mots!$A:$A,0)),"introuvable")</f>
        <v>la table</v>
      </c>
      <c r="C76" s="15" t="s">
        <v>828</v>
      </c>
      <c r="I76" s="15" t="s">
        <v>702</v>
      </c>
      <c r="N76" s="15" t="s">
        <v>7720</v>
      </c>
    </row>
    <row r="77" spans="1:14" x14ac:dyDescent="0.3">
      <c r="A77" s="15" t="s">
        <v>786</v>
      </c>
      <c r="B77" s="12" t="str">
        <f>IFERROR(INDEX(Mots!$B:$B,MATCH($A77,Mots!$A:$A,0)),"introuvable")</f>
        <v>la chaise</v>
      </c>
      <c r="I77" s="15" t="s">
        <v>702</v>
      </c>
      <c r="N77" s="15" t="s">
        <v>7720</v>
      </c>
    </row>
    <row r="78" spans="1:14" x14ac:dyDescent="0.3">
      <c r="A78" s="15" t="s">
        <v>791</v>
      </c>
      <c r="B78" s="12" t="str">
        <f>IFERROR(INDEX(Mots!$B:$B,MATCH($A78,Mots!$A:$A,0)),"introuvable")</f>
        <v>le buffet</v>
      </c>
      <c r="C78" s="15" t="s">
        <v>828</v>
      </c>
      <c r="I78" s="15" t="s">
        <v>702</v>
      </c>
      <c r="N78" s="15" t="s">
        <v>7720</v>
      </c>
    </row>
    <row r="79" spans="1:14" x14ac:dyDescent="0.3">
      <c r="A79" s="15" t="s">
        <v>794</v>
      </c>
      <c r="B79" s="12" t="str">
        <f>IFERROR(INDEX(Mots!$B:$B,MATCH($A79,Mots!$A:$A,0)),"introuvable")</f>
        <v>la vaisselle</v>
      </c>
      <c r="I79" s="15" t="s">
        <v>702</v>
      </c>
      <c r="N79" s="15" t="s">
        <v>7720</v>
      </c>
    </row>
    <row r="80" spans="1:14" x14ac:dyDescent="0.3">
      <c r="A80" s="15" t="s">
        <v>798</v>
      </c>
      <c r="B80" s="12" t="str">
        <f>IFERROR(INDEX(Mots!$B:$B,MATCH($A80,Mots!$A:$A,0)),"introuvable")</f>
        <v>le dossier</v>
      </c>
      <c r="I80" s="15" t="s">
        <v>73</v>
      </c>
      <c r="N80" s="15" t="s">
        <v>7382</v>
      </c>
    </row>
    <row r="81" spans="1:14" x14ac:dyDescent="0.3">
      <c r="A81" s="15" t="s">
        <v>802</v>
      </c>
      <c r="B81" s="12" t="str">
        <f>IFERROR(INDEX(Mots!$B:$B,MATCH($A81,Mots!$A:$A,0)),"introuvable")</f>
        <v>le lave-linge</v>
      </c>
      <c r="C81" s="15" t="s">
        <v>5293</v>
      </c>
      <c r="I81" s="15" t="s">
        <v>2767</v>
      </c>
      <c r="N81" s="15" t="s">
        <v>6965</v>
      </c>
    </row>
    <row r="82" spans="1:14" x14ac:dyDescent="0.3">
      <c r="A82" s="15" t="s">
        <v>808</v>
      </c>
      <c r="B82" s="12" t="str">
        <f>IFERROR(INDEX(Mots!$B:$B,MATCH($A82,Mots!$A:$A,0)),"introuvable")</f>
        <v>le sèche-linge</v>
      </c>
      <c r="C82" s="15" t="s">
        <v>5293</v>
      </c>
      <c r="I82" s="15" t="s">
        <v>2767</v>
      </c>
      <c r="N82" s="15" t="s">
        <v>6965</v>
      </c>
    </row>
    <row r="83" spans="1:14" x14ac:dyDescent="0.3">
      <c r="A83" s="15" t="s">
        <v>812</v>
      </c>
      <c r="B83" s="12" t="str">
        <f>IFERROR(INDEX(Mots!$B:$B,MATCH($A83,Mots!$A:$A,0)),"introuvable")</f>
        <v>le fer à repasser</v>
      </c>
      <c r="C83" s="15" t="s">
        <v>5293</v>
      </c>
      <c r="I83" s="15" t="s">
        <v>2767</v>
      </c>
      <c r="N83" s="15" t="s">
        <v>6965</v>
      </c>
    </row>
    <row r="84" spans="1:14" x14ac:dyDescent="0.3">
      <c r="A84" s="15" t="s">
        <v>817</v>
      </c>
      <c r="B84" s="12" t="str">
        <f>IFERROR(INDEX(Mots!$B:$B,MATCH($A84,Mots!$A:$A,0)),"introuvable")</f>
        <v>le salon</v>
      </c>
      <c r="I84" s="15" t="s">
        <v>817</v>
      </c>
      <c r="N84" s="15" t="s">
        <v>7734</v>
      </c>
    </row>
    <row r="85" spans="1:14" x14ac:dyDescent="0.3">
      <c r="A85" s="15" t="s">
        <v>820</v>
      </c>
      <c r="B85" s="12" t="str">
        <f>IFERROR(INDEX(Mots!$B:$B,MATCH($A85,Mots!$A:$A,0)),"introuvable")</f>
        <v>le canapé</v>
      </c>
      <c r="I85" s="15" t="s">
        <v>817</v>
      </c>
      <c r="N85" s="15" t="s">
        <v>7734</v>
      </c>
    </row>
    <row r="86" spans="1:14" x14ac:dyDescent="0.3">
      <c r="A86" s="15" t="s">
        <v>823</v>
      </c>
      <c r="B86" s="12" t="str">
        <f>IFERROR(INDEX(Mots!$B:$B,MATCH($A86,Mots!$A:$A,0)),"introuvable")</f>
        <v>le fauteuil</v>
      </c>
      <c r="I86" s="15" t="s">
        <v>817</v>
      </c>
      <c r="N86" s="15" t="s">
        <v>7734</v>
      </c>
    </row>
    <row r="87" spans="1:14" x14ac:dyDescent="0.3">
      <c r="A87" s="15" t="s">
        <v>828</v>
      </c>
      <c r="B87" s="12" t="str">
        <f>IFERROR(INDEX(Mots!$B:$B,MATCH($A87,Mots!$A:$A,0)),"introuvable")</f>
        <v>le meuble</v>
      </c>
      <c r="C87" s="15" t="s">
        <v>828</v>
      </c>
      <c r="I87" s="15" t="s">
        <v>817</v>
      </c>
      <c r="N87" s="15" t="s">
        <v>7734</v>
      </c>
    </row>
    <row r="88" spans="1:14" x14ac:dyDescent="0.3">
      <c r="A88" s="15" t="s">
        <v>832</v>
      </c>
      <c r="B88" s="12" t="str">
        <f>IFERROR(INDEX(Mots!$B:$B,MATCH($A88,Mots!$A:$A,0)),"introuvable")</f>
        <v>la télévision</v>
      </c>
      <c r="I88" s="15" t="s">
        <v>817</v>
      </c>
      <c r="N88" s="15" t="s">
        <v>7734</v>
      </c>
    </row>
    <row r="89" spans="1:14" x14ac:dyDescent="0.3">
      <c r="A89" s="15" t="s">
        <v>835</v>
      </c>
      <c r="B89" s="12" t="str">
        <f>IFERROR(INDEX(Mots!$B:$B,MATCH($A89,Mots!$A:$A,0)),"introuvable")</f>
        <v>la lampe</v>
      </c>
      <c r="C89" s="15" t="s">
        <v>5293</v>
      </c>
      <c r="I89" s="15" t="s">
        <v>817</v>
      </c>
      <c r="N89" s="15" t="s">
        <v>7734</v>
      </c>
    </row>
    <row r="90" spans="1:14" x14ac:dyDescent="0.3">
      <c r="A90" s="15" t="s">
        <v>839</v>
      </c>
      <c r="B90" s="12" t="str">
        <f>IFERROR(INDEX(Mots!$B:$B,MATCH($A90,Mots!$A:$A,0)),"introuvable")</f>
        <v>la portée et les mesures</v>
      </c>
      <c r="I90" s="15" t="s">
        <v>7716</v>
      </c>
      <c r="N90" s="15" t="s">
        <v>7730</v>
      </c>
    </row>
    <row r="91" spans="1:14" x14ac:dyDescent="0.3">
      <c r="A91" s="15" t="s">
        <v>843</v>
      </c>
      <c r="B91" s="12" t="str">
        <f>IFERROR(INDEX(Mots!$B:$B,MATCH($A91,Mots!$A:$A,0)),"introuvable")</f>
        <v>la clé de sol</v>
      </c>
      <c r="I91" s="15" t="s">
        <v>7716</v>
      </c>
      <c r="N91" s="15" t="s">
        <v>7730</v>
      </c>
    </row>
    <row r="92" spans="1:14" x14ac:dyDescent="0.3">
      <c r="A92" s="15" t="s">
        <v>847</v>
      </c>
      <c r="B92" s="12" t="str">
        <f>IFERROR(INDEX(Mots!$B:$B,MATCH($A92,Mots!$A:$A,0)),"introuvable")</f>
        <v>les figures de notes</v>
      </c>
      <c r="I92" s="15" t="s">
        <v>7716</v>
      </c>
      <c r="N92" s="15" t="s">
        <v>7730</v>
      </c>
    </row>
    <row r="93" spans="1:14" x14ac:dyDescent="0.3">
      <c r="A93" s="15" t="s">
        <v>851</v>
      </c>
      <c r="B93" s="12" t="str">
        <f>IFERROR(INDEX(Mots!$B:$B,MATCH($A93,Mots!$A:$A,0)),"introuvable")</f>
        <v>les altérations</v>
      </c>
      <c r="I93" s="15" t="s">
        <v>7716</v>
      </c>
      <c r="N93" s="15" t="s">
        <v>7730</v>
      </c>
    </row>
    <row r="94" spans="1:14" x14ac:dyDescent="0.3">
      <c r="A94" s="15" t="s">
        <v>855</v>
      </c>
      <c r="B94" s="12" t="str">
        <f>IFERROR(INDEX(Mots!$B:$B,MATCH($A94,Mots!$A:$A,0)),"introuvable")</f>
        <v>les silences</v>
      </c>
      <c r="I94" s="15" t="s">
        <v>7716</v>
      </c>
      <c r="N94" s="15" t="s">
        <v>7730</v>
      </c>
    </row>
    <row r="95" spans="1:14" x14ac:dyDescent="0.3">
      <c r="A95" s="15" t="s">
        <v>859</v>
      </c>
      <c r="B95" s="12" t="str">
        <f>IFERROR(INDEX(Mots!$B:$B,MATCH($A95,Mots!$A:$A,0)),"introuvable")</f>
        <v>les nuances</v>
      </c>
      <c r="I95" s="15" t="s">
        <v>7716</v>
      </c>
      <c r="N95" s="15" t="s">
        <v>7730</v>
      </c>
    </row>
    <row r="96" spans="1:14" x14ac:dyDescent="0.3">
      <c r="A96" s="15" t="s">
        <v>863</v>
      </c>
      <c r="B96" s="12" t="str">
        <f>IFERROR(INDEX(Mots!$B:$B,MATCH($A96,Mots!$A:$A,0)),"introuvable")</f>
        <v>le crescendo et decrescendo</v>
      </c>
      <c r="I96" s="15" t="s">
        <v>7716</v>
      </c>
      <c r="N96" s="15" t="s">
        <v>7730</v>
      </c>
    </row>
    <row r="97" spans="1:7" x14ac:dyDescent="0.3">
      <c r="A97" s="15" t="s">
        <v>867</v>
      </c>
      <c r="B97" s="12" t="str">
        <f>IFERROR(INDEX(Mots!$B:$B,MATCH($A97,Mots!$A:$A,0)),"introuvable")</f>
        <v>la seconde</v>
      </c>
      <c r="G97" s="15" t="s">
        <v>7806</v>
      </c>
    </row>
    <row r="98" spans="1:7" x14ac:dyDescent="0.3">
      <c r="A98" s="15" t="s">
        <v>872</v>
      </c>
      <c r="B98" s="12" t="str">
        <f>IFERROR(INDEX(Mots!$B:$B,MATCH($A98,Mots!$A:$A,0)),"introuvable")</f>
        <v>la minute</v>
      </c>
      <c r="G98" s="15" t="s">
        <v>7806</v>
      </c>
    </row>
    <row r="99" spans="1:7" x14ac:dyDescent="0.3">
      <c r="A99" s="15" t="s">
        <v>876</v>
      </c>
      <c r="B99" s="12" t="str">
        <f>IFERROR(INDEX(Mots!$B:$B,MATCH($A99,Mots!$A:$A,0)),"introuvable")</f>
        <v>l'heure</v>
      </c>
      <c r="G99" s="15" t="s">
        <v>7806</v>
      </c>
    </row>
    <row r="100" spans="1:7" x14ac:dyDescent="0.3">
      <c r="A100" s="15" t="s">
        <v>880</v>
      </c>
      <c r="B100" s="12" t="str">
        <f>IFERROR(INDEX(Mots!$B:$B,MATCH($A100,Mots!$A:$A,0)),"introuvable")</f>
        <v>le jour</v>
      </c>
      <c r="G100" s="15" t="s">
        <v>7806</v>
      </c>
    </row>
    <row r="101" spans="1:7" x14ac:dyDescent="0.3">
      <c r="A101" s="15" t="s">
        <v>884</v>
      </c>
      <c r="B101" s="12" t="str">
        <f>IFERROR(INDEX(Mots!$B:$B,MATCH($A101,Mots!$A:$A,0)),"introuvable")</f>
        <v>le matin</v>
      </c>
      <c r="G101" s="15" t="s">
        <v>7806</v>
      </c>
    </row>
    <row r="102" spans="1:7" x14ac:dyDescent="0.3">
      <c r="A102" s="15" t="s">
        <v>892</v>
      </c>
      <c r="B102" s="12" t="str">
        <f>IFERROR(INDEX(Mots!$B:$B,MATCH($A102,Mots!$A:$A,0)),"introuvable")</f>
        <v>le soir</v>
      </c>
      <c r="G102" s="15" t="s">
        <v>7806</v>
      </c>
    </row>
    <row r="103" spans="1:7" x14ac:dyDescent="0.3">
      <c r="A103" s="15" t="s">
        <v>900</v>
      </c>
      <c r="B103" s="12" t="str">
        <f>IFERROR(INDEX(Mots!$B:$B,MATCH($A103,Mots!$A:$A,0)),"introuvable")</f>
        <v>la nuit</v>
      </c>
      <c r="G103" s="15" t="s">
        <v>7806</v>
      </c>
    </row>
    <row r="104" spans="1:7" x14ac:dyDescent="0.3">
      <c r="A104" s="15" t="s">
        <v>904</v>
      </c>
      <c r="B104" s="12" t="str">
        <f>IFERROR(INDEX(Mots!$B:$B,MATCH($A104,Mots!$A:$A,0)),"introuvable")</f>
        <v>la semaine</v>
      </c>
      <c r="G104" s="15" t="s">
        <v>7806</v>
      </c>
    </row>
    <row r="105" spans="1:7" x14ac:dyDescent="0.3">
      <c r="A105" s="15" t="s">
        <v>908</v>
      </c>
      <c r="B105" s="12" t="str">
        <f>IFERROR(INDEX(Mots!$B:$B,MATCH($A105,Mots!$A:$A,0)),"introuvable")</f>
        <v>le mois</v>
      </c>
      <c r="G105" s="15" t="s">
        <v>7806</v>
      </c>
    </row>
    <row r="106" spans="1:7" x14ac:dyDescent="0.3">
      <c r="A106" s="15" t="s">
        <v>912</v>
      </c>
      <c r="B106" s="12" t="str">
        <f>IFERROR(INDEX(Mots!$B:$B,MATCH($A106,Mots!$A:$A,0)),"introuvable")</f>
        <v>l'année</v>
      </c>
      <c r="G106" s="15" t="s">
        <v>7806</v>
      </c>
    </row>
    <row r="107" spans="1:7" x14ac:dyDescent="0.3">
      <c r="A107" s="15" t="s">
        <v>916</v>
      </c>
      <c r="B107" s="12" t="str">
        <f>IFERROR(INDEX(Mots!$B:$B,MATCH($A107,Mots!$A:$A,0)),"introuvable")</f>
        <v>le siècle</v>
      </c>
      <c r="G107" s="15" t="s">
        <v>7806</v>
      </c>
    </row>
    <row r="108" spans="1:7" x14ac:dyDescent="0.3">
      <c r="A108" s="15" t="s">
        <v>920</v>
      </c>
      <c r="B108" s="12" t="str">
        <f>IFERROR(INDEX(Mots!$B:$B,MATCH($A108,Mots!$A:$A,0)),"introuvable")</f>
        <v>le printemps</v>
      </c>
      <c r="G108" s="15" t="s">
        <v>7806</v>
      </c>
    </row>
    <row r="109" spans="1:7" x14ac:dyDescent="0.3">
      <c r="A109" s="15" t="s">
        <v>924</v>
      </c>
      <c r="B109" s="12" t="str">
        <f>IFERROR(INDEX(Mots!$B:$B,MATCH($A109,Mots!$A:$A,0)),"introuvable")</f>
        <v>l'été</v>
      </c>
      <c r="G109" s="15" t="s">
        <v>7806</v>
      </c>
    </row>
    <row r="110" spans="1:7" x14ac:dyDescent="0.3">
      <c r="A110" s="15" t="s">
        <v>928</v>
      </c>
      <c r="B110" s="12" t="str">
        <f>IFERROR(INDEX(Mots!$B:$B,MATCH($A110,Mots!$A:$A,0)),"introuvable")</f>
        <v>l'automne</v>
      </c>
      <c r="G110" s="15" t="s">
        <v>7806</v>
      </c>
    </row>
    <row r="111" spans="1:7" x14ac:dyDescent="0.3">
      <c r="A111" s="15" t="s">
        <v>932</v>
      </c>
      <c r="B111" s="12" t="str">
        <f>IFERROR(INDEX(Mots!$B:$B,MATCH($A111,Mots!$A:$A,0)),"introuvable")</f>
        <v>l'hiver</v>
      </c>
      <c r="G111" s="15" t="s">
        <v>7806</v>
      </c>
    </row>
    <row r="112" spans="1:7" x14ac:dyDescent="0.3">
      <c r="A112" s="15" t="s">
        <v>936</v>
      </c>
      <c r="B112" s="12" t="str">
        <f>IFERROR(INDEX(Mots!$B:$B,MATCH($A112,Mots!$A:$A,0)),"introuvable")</f>
        <v>la saison</v>
      </c>
      <c r="G112" s="15" t="s">
        <v>7806</v>
      </c>
    </row>
    <row r="113" spans="1:7" x14ac:dyDescent="0.3">
      <c r="A113" s="15" t="s">
        <v>940</v>
      </c>
      <c r="B113" s="12" t="str">
        <f>IFERROR(INDEX(Mots!$B:$B,MATCH($A113,Mots!$A:$A,0)),"introuvable")</f>
        <v>la date</v>
      </c>
      <c r="G113" s="15" t="s">
        <v>7806</v>
      </c>
    </row>
    <row r="114" spans="1:7" x14ac:dyDescent="0.3">
      <c r="A114" s="15" t="s">
        <v>944</v>
      </c>
      <c r="B114" s="12" t="str">
        <f>IFERROR(INDEX(Mots!$B:$B,MATCH($A114,Mots!$A:$A,0)),"introuvable")</f>
        <v>l'anniversaire</v>
      </c>
      <c r="G114" s="15" t="s">
        <v>7806</v>
      </c>
    </row>
    <row r="115" spans="1:7" x14ac:dyDescent="0.3">
      <c r="A115" s="15" t="s">
        <v>948</v>
      </c>
      <c r="B115" s="12" t="str">
        <f>IFERROR(INDEX(Mots!$B:$B,MATCH($A115,Mots!$A:$A,0)),"introuvable")</f>
        <v>aujourd'hui</v>
      </c>
      <c r="G115" s="15" t="s">
        <v>7806</v>
      </c>
    </row>
    <row r="116" spans="1:7" x14ac:dyDescent="0.3">
      <c r="A116" s="15" t="s">
        <v>953</v>
      </c>
      <c r="B116" s="12" t="str">
        <f>IFERROR(INDEX(Mots!$B:$B,MATCH($A116,Mots!$A:$A,0)),"introuvable")</f>
        <v>hier</v>
      </c>
      <c r="G116" s="15" t="s">
        <v>7806</v>
      </c>
    </row>
    <row r="117" spans="1:7" x14ac:dyDescent="0.3">
      <c r="A117" s="15" t="s">
        <v>955</v>
      </c>
      <c r="B117" s="12" t="str">
        <f>IFERROR(INDEX(Mots!$B:$B,MATCH($A117,Mots!$A:$A,0)),"introuvable")</f>
        <v>demain</v>
      </c>
      <c r="G117" s="15" t="s">
        <v>7806</v>
      </c>
    </row>
    <row r="118" spans="1:7" x14ac:dyDescent="0.3">
      <c r="A118" s="15" t="s">
        <v>957</v>
      </c>
      <c r="B118" s="12" t="str">
        <f>IFERROR(INDEX(Mots!$B:$B,MATCH($A118,Mots!$A:$A,0)),"introuvable")</f>
        <v>maintenant</v>
      </c>
      <c r="G118" s="15" t="s">
        <v>7806</v>
      </c>
    </row>
    <row r="119" spans="1:7" x14ac:dyDescent="0.3">
      <c r="A119" s="15" t="s">
        <v>960</v>
      </c>
      <c r="B119" s="12" t="str">
        <f>IFERROR(INDEX(Mots!$B:$B,MATCH($A119,Mots!$A:$A,0)),"introuvable")</f>
        <v>le calendrier</v>
      </c>
      <c r="G119" s="15" t="s">
        <v>7806</v>
      </c>
    </row>
    <row r="120" spans="1:7" x14ac:dyDescent="0.3">
      <c r="A120" s="15" t="s">
        <v>964</v>
      </c>
      <c r="B120" s="12" t="str">
        <f>IFERROR(INDEX(Mots!$B:$B,MATCH($A120,Mots!$A:$A,0)),"introuvable")</f>
        <v>l'agenda</v>
      </c>
      <c r="G120" s="15" t="s">
        <v>7806</v>
      </c>
    </row>
    <row r="121" spans="1:7" x14ac:dyDescent="0.3">
      <c r="A121" s="15" t="s">
        <v>968</v>
      </c>
      <c r="B121" s="12" t="str">
        <f>IFERROR(INDEX(Mots!$B:$B,MATCH($A121,Mots!$A:$A,0)),"introuvable")</f>
        <v>la durée</v>
      </c>
      <c r="G121" s="15" t="s">
        <v>7806</v>
      </c>
    </row>
    <row r="122" spans="1:7" x14ac:dyDescent="0.3">
      <c r="A122" s="15" t="s">
        <v>972</v>
      </c>
      <c r="B122" s="12" t="str">
        <f>IFERROR(INDEX(Mots!$B:$B,MATCH($A122,Mots!$A:$A,0)),"introuvable")</f>
        <v>tôt</v>
      </c>
      <c r="G122" s="15" t="s">
        <v>7806</v>
      </c>
    </row>
    <row r="123" spans="1:7" x14ac:dyDescent="0.3">
      <c r="A123" s="15" t="s">
        <v>976</v>
      </c>
      <c r="B123" s="12" t="str">
        <f>IFERROR(INDEX(Mots!$B:$B,MATCH($A123,Mots!$A:$A,0)),"introuvable")</f>
        <v>tard</v>
      </c>
      <c r="G123" s="15" t="s">
        <v>7806</v>
      </c>
    </row>
    <row r="124" spans="1:7" x14ac:dyDescent="0.3">
      <c r="A124" s="15" t="s">
        <v>979</v>
      </c>
      <c r="B124" s="12" t="str">
        <f>IFERROR(INDEX(Mots!$B:$B,MATCH($A124,Mots!$A:$A,0)),"introuvable")</f>
        <v>toujours</v>
      </c>
      <c r="G124" s="15" t="s">
        <v>7806</v>
      </c>
    </row>
    <row r="125" spans="1:7" x14ac:dyDescent="0.3">
      <c r="A125" s="15" t="s">
        <v>982</v>
      </c>
      <c r="B125" s="12" t="str">
        <f>IFERROR(INDEX(Mots!$B:$B,MATCH($A125,Mots!$A:$A,0)),"introuvable")</f>
        <v>jamais</v>
      </c>
      <c r="G125" s="15" t="s">
        <v>7806</v>
      </c>
    </row>
    <row r="126" spans="1:7" x14ac:dyDescent="0.3">
      <c r="A126" s="15" t="s">
        <v>985</v>
      </c>
      <c r="B126" s="12" t="str">
        <f>IFERROR(INDEX(Mots!$B:$B,MATCH($A126,Mots!$A:$A,0)),"introuvable")</f>
        <v>souvent</v>
      </c>
      <c r="G126" s="15" t="s">
        <v>7806</v>
      </c>
    </row>
    <row r="127" spans="1:7" x14ac:dyDescent="0.3">
      <c r="A127" s="15" t="s">
        <v>988</v>
      </c>
      <c r="B127" s="12" t="str">
        <f>IFERROR(INDEX(Mots!$B:$B,MATCH($A127,Mots!$A:$A,0)),"introuvable")</f>
        <v>parfois</v>
      </c>
      <c r="G127" s="15" t="s">
        <v>7806</v>
      </c>
    </row>
    <row r="128" spans="1:7" x14ac:dyDescent="0.3">
      <c r="A128" s="15" t="s">
        <v>991</v>
      </c>
      <c r="B128" s="12" t="str">
        <f>IFERROR(INDEX(Mots!$B:$B,MATCH($A128,Mots!$A:$A,0)),"introuvable")</f>
        <v>la paire</v>
      </c>
      <c r="G128" s="15" t="s">
        <v>6029</v>
      </c>
    </row>
    <row r="129" spans="1:14" x14ac:dyDescent="0.3">
      <c r="A129" s="15" t="s">
        <v>995</v>
      </c>
      <c r="B129" s="12" t="str">
        <f>IFERROR(INDEX(Mots!$B:$B,MATCH($A129,Mots!$A:$A,0)),"introuvable")</f>
        <v>la douzaine</v>
      </c>
      <c r="G129" s="15" t="s">
        <v>6029</v>
      </c>
    </row>
    <row r="130" spans="1:14" x14ac:dyDescent="0.3">
      <c r="A130" s="15" t="s">
        <v>999</v>
      </c>
      <c r="B130" s="12" t="str">
        <f>IFERROR(INDEX(Mots!$B:$B,MATCH($A130,Mots!$A:$A,0)),"introuvable")</f>
        <v>la centaine</v>
      </c>
      <c r="G130" s="15" t="s">
        <v>7812</v>
      </c>
    </row>
    <row r="131" spans="1:14" x14ac:dyDescent="0.3">
      <c r="A131" s="15" t="s">
        <v>1003</v>
      </c>
      <c r="B131" s="12" t="str">
        <f>IFERROR(INDEX(Mots!$B:$B,MATCH($A131,Mots!$A:$A,0)),"introuvable")</f>
        <v>le ventre</v>
      </c>
      <c r="E131" s="15" t="s">
        <v>46</v>
      </c>
      <c r="N131" s="15" t="s">
        <v>7725</v>
      </c>
    </row>
    <row r="132" spans="1:14" x14ac:dyDescent="0.3">
      <c r="A132" s="15" t="s">
        <v>1008</v>
      </c>
      <c r="B132" s="12" t="str">
        <f>IFERROR(INDEX(Mots!$B:$B,MATCH($A132,Mots!$A:$A,0)),"introuvable")</f>
        <v>le dos</v>
      </c>
      <c r="C132" s="15" t="s">
        <v>7756</v>
      </c>
      <c r="E132" s="15" t="s">
        <v>46</v>
      </c>
      <c r="N132" s="15" t="s">
        <v>7725</v>
      </c>
    </row>
    <row r="133" spans="1:14" x14ac:dyDescent="0.3">
      <c r="A133" s="15" t="s">
        <v>1013</v>
      </c>
      <c r="B133" s="12" t="str">
        <f>IFERROR(INDEX(Mots!$B:$B,MATCH($A133,Mots!$A:$A,0)),"introuvable")</f>
        <v>le coeur</v>
      </c>
      <c r="C133" s="15" t="s">
        <v>7756</v>
      </c>
      <c r="E133" s="15" t="s">
        <v>46</v>
      </c>
      <c r="N133" s="15" t="s">
        <v>7725</v>
      </c>
    </row>
    <row r="134" spans="1:14" x14ac:dyDescent="0.3">
      <c r="A134" s="15" t="s">
        <v>1017</v>
      </c>
      <c r="B134" s="12" t="str">
        <f>IFERROR(INDEX(Mots!$B:$B,MATCH($A134,Mots!$A:$A,0)),"introuvable")</f>
        <v>la poitrine</v>
      </c>
      <c r="E134" s="15" t="s">
        <v>46</v>
      </c>
      <c r="N134" s="15" t="s">
        <v>7725</v>
      </c>
    </row>
    <row r="135" spans="1:14" x14ac:dyDescent="0.3">
      <c r="A135" s="15" t="s">
        <v>1021</v>
      </c>
      <c r="B135" s="12" t="str">
        <f>IFERROR(INDEX(Mots!$B:$B,MATCH($A135,Mots!$A:$A,0)),"introuvable")</f>
        <v>le torse</v>
      </c>
      <c r="E135" s="15" t="s">
        <v>46</v>
      </c>
      <c r="N135" s="15" t="s">
        <v>7725</v>
      </c>
    </row>
    <row r="136" spans="1:14" x14ac:dyDescent="0.3">
      <c r="A136" s="15" t="s">
        <v>1025</v>
      </c>
      <c r="B136" s="12" t="str">
        <f>IFERROR(INDEX(Mots!$B:$B,MATCH($A136,Mots!$A:$A,0)),"introuvable")</f>
        <v>l'épaule</v>
      </c>
      <c r="C136" s="15" t="s">
        <v>7756</v>
      </c>
      <c r="E136" s="15" t="s">
        <v>46</v>
      </c>
      <c r="N136" s="15" t="s">
        <v>7725</v>
      </c>
    </row>
    <row r="137" spans="1:14" x14ac:dyDescent="0.3">
      <c r="A137" s="15" t="s">
        <v>1029</v>
      </c>
      <c r="B137" s="12" t="str">
        <f>IFERROR(INDEX(Mots!$B:$B,MATCH($A137,Mots!$A:$A,0)),"introuvable")</f>
        <v>la tête</v>
      </c>
      <c r="E137" s="15" t="s">
        <v>46</v>
      </c>
      <c r="N137" s="15" t="s">
        <v>7725</v>
      </c>
    </row>
    <row r="138" spans="1:14" x14ac:dyDescent="0.3">
      <c r="A138" s="15" t="s">
        <v>1032</v>
      </c>
      <c r="B138" s="12" t="str">
        <f>IFERROR(INDEX(Mots!$B:$B,MATCH($A138,Mots!$A:$A,0)),"introuvable")</f>
        <v>les cheveux</v>
      </c>
      <c r="E138" s="15" t="s">
        <v>46</v>
      </c>
      <c r="N138" s="15" t="s">
        <v>7725</v>
      </c>
    </row>
    <row r="139" spans="1:14" x14ac:dyDescent="0.3">
      <c r="A139" s="15" t="s">
        <v>1037</v>
      </c>
      <c r="B139" s="12" t="str">
        <f>IFERROR(INDEX(Mots!$B:$B,MATCH($A139,Mots!$A:$A,0)),"introuvable")</f>
        <v>l'oeil</v>
      </c>
      <c r="C139" s="15" t="s">
        <v>7756</v>
      </c>
      <c r="E139" s="15" t="s">
        <v>46</v>
      </c>
      <c r="N139" s="15" t="s">
        <v>7725</v>
      </c>
    </row>
    <row r="140" spans="1:14" x14ac:dyDescent="0.3">
      <c r="A140" s="15" t="s">
        <v>1042</v>
      </c>
      <c r="B140" s="12" t="str">
        <f>IFERROR(INDEX(Mots!$B:$B,MATCH($A140,Mots!$A:$A,0)),"introuvable")</f>
        <v>le nez</v>
      </c>
      <c r="E140" s="15" t="s">
        <v>46</v>
      </c>
      <c r="N140" s="15" t="s">
        <v>7725</v>
      </c>
    </row>
    <row r="141" spans="1:14" x14ac:dyDescent="0.3">
      <c r="A141" s="15" t="s">
        <v>1051</v>
      </c>
      <c r="B141" s="12" t="str">
        <f>IFERROR(INDEX(Mots!$B:$B,MATCH($A141,Mots!$A:$A,0)),"introuvable")</f>
        <v>la bouche</v>
      </c>
      <c r="E141" s="15" t="s">
        <v>46</v>
      </c>
      <c r="N141" s="15" t="s">
        <v>7725</v>
      </c>
    </row>
    <row r="142" spans="1:14" x14ac:dyDescent="0.3">
      <c r="A142" s="15" t="s">
        <v>1055</v>
      </c>
      <c r="B142" s="12" t="str">
        <f>IFERROR(INDEX(Mots!$B:$B,MATCH($A142,Mots!$A:$A,0)),"introuvable")</f>
        <v>la dent</v>
      </c>
      <c r="C142" s="15" t="s">
        <v>7747</v>
      </c>
      <c r="E142" s="15" t="s">
        <v>46</v>
      </c>
      <c r="N142" s="15" t="s">
        <v>7725</v>
      </c>
    </row>
    <row r="143" spans="1:14" x14ac:dyDescent="0.3">
      <c r="A143" s="15" t="s">
        <v>1060</v>
      </c>
      <c r="B143" s="12" t="str">
        <f>IFERROR(INDEX(Mots!$B:$B,MATCH($A143,Mots!$A:$A,0)),"introuvable")</f>
        <v>l'oreille</v>
      </c>
      <c r="C143" s="15" t="s">
        <v>7756</v>
      </c>
      <c r="E143" s="15" t="s">
        <v>46</v>
      </c>
      <c r="N143" s="15" t="s">
        <v>7725</v>
      </c>
    </row>
    <row r="144" spans="1:14" x14ac:dyDescent="0.3">
      <c r="A144" s="15" t="s">
        <v>1065</v>
      </c>
      <c r="B144" s="12" t="str">
        <f>IFERROR(INDEX(Mots!$B:$B,MATCH($A144,Mots!$A:$A,0)),"introuvable")</f>
        <v>la joue</v>
      </c>
      <c r="E144" s="15" t="s">
        <v>46</v>
      </c>
      <c r="N144" s="15" t="s">
        <v>7725</v>
      </c>
    </row>
    <row r="145" spans="1:14" x14ac:dyDescent="0.3">
      <c r="A145" s="15" t="s">
        <v>1069</v>
      </c>
      <c r="B145" s="12" t="str">
        <f>IFERROR(INDEX(Mots!$B:$B,MATCH($A145,Mots!$A:$A,0)),"introuvable")</f>
        <v>la langue</v>
      </c>
      <c r="E145" s="15" t="s">
        <v>46</v>
      </c>
      <c r="N145" s="15" t="s">
        <v>7725</v>
      </c>
    </row>
    <row r="146" spans="1:14" x14ac:dyDescent="0.3">
      <c r="A146" s="15" t="s">
        <v>1073</v>
      </c>
      <c r="B146" s="12" t="str">
        <f>IFERROR(INDEX(Mots!$B:$B,MATCH($A146,Mots!$A:$A,0)),"introuvable")</f>
        <v>la lèvre</v>
      </c>
      <c r="E146" s="15" t="s">
        <v>46</v>
      </c>
      <c r="N146" s="15" t="s">
        <v>7725</v>
      </c>
    </row>
    <row r="147" spans="1:14" x14ac:dyDescent="0.3">
      <c r="A147" s="15" t="s">
        <v>1077</v>
      </c>
      <c r="B147" s="12" t="str">
        <f>IFERROR(INDEX(Mots!$B:$B,MATCH($A147,Mots!$A:$A,0)),"introuvable")</f>
        <v>le cou</v>
      </c>
      <c r="C147" s="15" t="s">
        <v>7756</v>
      </c>
      <c r="E147" s="15" t="s">
        <v>46</v>
      </c>
      <c r="N147" s="15" t="s">
        <v>7725</v>
      </c>
    </row>
    <row r="148" spans="1:14" x14ac:dyDescent="0.3">
      <c r="A148" s="15" t="s">
        <v>1081</v>
      </c>
      <c r="B148" s="12" t="str">
        <f>IFERROR(INDEX(Mots!$B:$B,MATCH($A148,Mots!$A:$A,0)),"introuvable")</f>
        <v>le front</v>
      </c>
      <c r="E148" s="15" t="s">
        <v>46</v>
      </c>
      <c r="N148" s="15" t="s">
        <v>7725</v>
      </c>
    </row>
    <row r="149" spans="1:14" x14ac:dyDescent="0.3">
      <c r="A149" s="15" t="s">
        <v>1085</v>
      </c>
      <c r="B149" s="12" t="str">
        <f>IFERROR(INDEX(Mots!$B:$B,MATCH($A149,Mots!$A:$A,0)),"introuvable")</f>
        <v>la casquette</v>
      </c>
      <c r="C149" s="15" t="s">
        <v>6578</v>
      </c>
      <c r="N149" s="15" t="s">
        <v>7723</v>
      </c>
    </row>
    <row r="150" spans="1:14" x14ac:dyDescent="0.3">
      <c r="A150" s="15" t="s">
        <v>1090</v>
      </c>
      <c r="B150" s="12" t="str">
        <f>IFERROR(INDEX(Mots!$B:$B,MATCH($A150,Mots!$A:$A,0)),"introuvable")</f>
        <v>la ceinture</v>
      </c>
      <c r="C150" s="15" t="s">
        <v>4650</v>
      </c>
      <c r="N150" s="15" t="s">
        <v>7723</v>
      </c>
    </row>
    <row r="151" spans="1:14" x14ac:dyDescent="0.3">
      <c r="A151" s="15" t="s">
        <v>1094</v>
      </c>
      <c r="B151" s="12" t="str">
        <f>IFERROR(INDEX(Mots!$B:$B,MATCH($A151,Mots!$A:$A,0)),"introuvable")</f>
        <v>le bonnet</v>
      </c>
      <c r="N151" s="15" t="s">
        <v>7723</v>
      </c>
    </row>
    <row r="152" spans="1:14" x14ac:dyDescent="0.3">
      <c r="A152" s="15" t="s">
        <v>1098</v>
      </c>
      <c r="B152" s="12" t="str">
        <f>IFERROR(INDEX(Mots!$B:$B,MATCH($A152,Mots!$A:$A,0)),"introuvable")</f>
        <v>le gant</v>
      </c>
      <c r="C152" s="15" t="s">
        <v>6578</v>
      </c>
      <c r="N152" s="15" t="s">
        <v>7723</v>
      </c>
    </row>
    <row r="153" spans="1:14" x14ac:dyDescent="0.3">
      <c r="A153" s="15" t="s">
        <v>1106</v>
      </c>
      <c r="B153" s="12" t="str">
        <f>IFERROR(INDEX(Mots!$B:$B,MATCH($A153,Mots!$A:$A,0)),"introuvable")</f>
        <v>l'écharpe</v>
      </c>
      <c r="C153" s="15" t="s">
        <v>4650</v>
      </c>
      <c r="N153" s="15" t="s">
        <v>7723</v>
      </c>
    </row>
    <row r="154" spans="1:14" x14ac:dyDescent="0.3">
      <c r="A154" s="15" t="s">
        <v>1114</v>
      </c>
      <c r="B154" s="12" t="str">
        <f>IFERROR(INDEX(Mots!$B:$B,MATCH($A154,Mots!$A:$A,0)),"introuvable")</f>
        <v>la sourdine Cup</v>
      </c>
      <c r="I154" s="15" t="s">
        <v>7716</v>
      </c>
      <c r="N154" s="15" t="s">
        <v>7730</v>
      </c>
    </row>
    <row r="155" spans="1:14" x14ac:dyDescent="0.3">
      <c r="A155" s="15" t="s">
        <v>1117</v>
      </c>
      <c r="B155" s="12" t="str">
        <f>IFERROR(INDEX(Mots!$B:$B,MATCH($A155,Mots!$A:$A,0)),"introuvable")</f>
        <v>la sourdine straignt ou metal</v>
      </c>
      <c r="C155" s="15" t="s">
        <v>4650</v>
      </c>
      <c r="I155" s="15" t="s">
        <v>7716</v>
      </c>
      <c r="N155" s="15" t="s">
        <v>7730</v>
      </c>
    </row>
    <row r="156" spans="1:14" x14ac:dyDescent="0.3">
      <c r="A156" s="15" t="s">
        <v>1120</v>
      </c>
      <c r="B156" s="12" t="str">
        <f>IFERROR(INDEX(Mots!$B:$B,MATCH($A156,Mots!$A:$A,0)),"introuvable")</f>
        <v>l'embouchure</v>
      </c>
      <c r="C156" s="15" t="s">
        <v>4650</v>
      </c>
      <c r="I156" s="15" t="s">
        <v>7716</v>
      </c>
      <c r="N156" s="15" t="s">
        <v>7730</v>
      </c>
    </row>
    <row r="157" spans="1:14" x14ac:dyDescent="0.3">
      <c r="A157" s="15" t="s">
        <v>1124</v>
      </c>
      <c r="B157" s="12" t="str">
        <f>IFERROR(INDEX(Mots!$B:$B,MATCH($A157,Mots!$A:$A,0)),"introuvable")</f>
        <v>les pistons</v>
      </c>
      <c r="I157" s="15" t="s">
        <v>7716</v>
      </c>
      <c r="N157" s="15" t="s">
        <v>7730</v>
      </c>
    </row>
    <row r="158" spans="1:14" x14ac:dyDescent="0.3">
      <c r="A158" s="15" t="s">
        <v>1127</v>
      </c>
      <c r="B158" s="12" t="str">
        <f>IFERROR(INDEX(Mots!$B:$B,MATCH($A158,Mots!$A:$A,0)),"introuvable")</f>
        <v>la coulisse</v>
      </c>
      <c r="C158" s="15" t="s">
        <v>4650</v>
      </c>
      <c r="I158" s="15" t="s">
        <v>7716</v>
      </c>
      <c r="N158" s="15" t="s">
        <v>7730</v>
      </c>
    </row>
    <row r="159" spans="1:14" x14ac:dyDescent="0.3">
      <c r="A159" s="15" t="s">
        <v>1131</v>
      </c>
      <c r="B159" s="12" t="str">
        <f>IFERROR(INDEX(Mots!$B:$B,MATCH($A159,Mots!$A:$A,0)),"introuvable")</f>
        <v>le coffre</v>
      </c>
      <c r="C159" s="15" t="s">
        <v>7738</v>
      </c>
      <c r="I159" s="15" t="s">
        <v>7716</v>
      </c>
      <c r="N159" s="15" t="s">
        <v>7730</v>
      </c>
    </row>
    <row r="160" spans="1:14" x14ac:dyDescent="0.3">
      <c r="A160" s="15" t="s">
        <v>1135</v>
      </c>
      <c r="B160" s="12" t="str">
        <f>IFERROR(INDEX(Mots!$B:$B,MATCH($A160,Mots!$A:$A,0)),"introuvable")</f>
        <v>l'huile</v>
      </c>
      <c r="I160" s="15" t="s">
        <v>7716</v>
      </c>
      <c r="N160" s="15" t="s">
        <v>7730</v>
      </c>
    </row>
    <row r="161" spans="1:14" x14ac:dyDescent="0.3">
      <c r="A161" s="15" t="s">
        <v>1139</v>
      </c>
      <c r="B161" s="12" t="str">
        <f>IFERROR(INDEX(Mots!$B:$B,MATCH($A161,Mots!$A:$A,0)),"introuvable")</f>
        <v>la graisse</v>
      </c>
      <c r="C161" s="15" t="s">
        <v>4650</v>
      </c>
      <c r="I161" s="15" t="s">
        <v>7716</v>
      </c>
      <c r="N161" s="15" t="s">
        <v>7730</v>
      </c>
    </row>
    <row r="162" spans="1:14" x14ac:dyDescent="0.3">
      <c r="A162" s="15" t="s">
        <v>1143</v>
      </c>
      <c r="B162" s="12" t="str">
        <f>IFERROR(INDEX(Mots!$B:$B,MATCH($A162,Mots!$A:$A,0)),"introuvable")</f>
        <v>les brosses</v>
      </c>
      <c r="C162" s="15" t="s">
        <v>6890</v>
      </c>
      <c r="I162" s="15" t="s">
        <v>7716</v>
      </c>
      <c r="N162" s="15" t="s">
        <v>7730</v>
      </c>
    </row>
    <row r="163" spans="1:14" x14ac:dyDescent="0.3">
      <c r="A163" s="15" t="s">
        <v>1147</v>
      </c>
      <c r="B163" s="12" t="str">
        <f>IFERROR(INDEX(Mots!$B:$B,MATCH($A163,Mots!$A:$A,0)),"introuvable")</f>
        <v>le pupitre</v>
      </c>
      <c r="I163" s="15" t="s">
        <v>7716</v>
      </c>
      <c r="N163" s="15" t="s">
        <v>7730</v>
      </c>
    </row>
    <row r="164" spans="1:14" x14ac:dyDescent="0.3">
      <c r="A164" s="15" t="s">
        <v>1152</v>
      </c>
      <c r="B164" s="12" t="str">
        <f>IFERROR(INDEX(Mots!$B:$B,MATCH($A164,Mots!$A:$A,0)),"introuvable")</f>
        <v>l'uniforme</v>
      </c>
      <c r="I164" s="15" t="s">
        <v>7716</v>
      </c>
      <c r="N164" s="15" t="s">
        <v>7730</v>
      </c>
    </row>
    <row r="165" spans="1:14" x14ac:dyDescent="0.3">
      <c r="A165" s="15" t="s">
        <v>1157</v>
      </c>
      <c r="B165" s="12" t="str">
        <f>IFERROR(INDEX(Mots!$B:$B,MATCH($A165,Mots!$A:$A,0)),"introuvable")</f>
        <v>des pâtes</v>
      </c>
      <c r="C165" s="15" t="s">
        <v>7747</v>
      </c>
      <c r="I165" s="15" t="s">
        <v>702</v>
      </c>
      <c r="N165" s="15" t="s">
        <v>7718</v>
      </c>
    </row>
    <row r="166" spans="1:14" x14ac:dyDescent="0.3">
      <c r="A166" s="15" t="s">
        <v>1161</v>
      </c>
      <c r="B166" s="12" t="str">
        <f>IFERROR(INDEX(Mots!$B:$B,MATCH($A166,Mots!$A:$A,0)),"introuvable")</f>
        <v>le riz</v>
      </c>
      <c r="C166" s="15" t="s">
        <v>7747</v>
      </c>
      <c r="I166" s="15" t="s">
        <v>702</v>
      </c>
      <c r="N166" s="15" t="s">
        <v>7718</v>
      </c>
    </row>
    <row r="167" spans="1:14" x14ac:dyDescent="0.3">
      <c r="A167" s="15" t="s">
        <v>1166</v>
      </c>
      <c r="B167" s="12" t="str">
        <f>IFERROR(INDEX(Mots!$B:$B,MATCH($A167,Mots!$A:$A,0)),"introuvable")</f>
        <v>Bagheera, le chat d'Emma</v>
      </c>
      <c r="I167" s="15" t="s">
        <v>34</v>
      </c>
    </row>
    <row r="168" spans="1:14" x14ac:dyDescent="0.3">
      <c r="A168" s="15" t="s">
        <v>1170</v>
      </c>
      <c r="B168" s="12" t="str">
        <f>IFERROR(INDEX(Mots!$B:$B,MATCH($A168,Mots!$A:$A,0)),"introuvable")</f>
        <v>Naya, la chienne de Sandrine</v>
      </c>
      <c r="I168" s="15" t="s">
        <v>34</v>
      </c>
    </row>
    <row r="169" spans="1:14" x14ac:dyDescent="0.3">
      <c r="A169" s="15" t="s">
        <v>1175</v>
      </c>
      <c r="B169" s="12" t="str">
        <f>IFERROR(INDEX(Mots!$B:$B,MATCH($A169,Mots!$A:$A,0)),"introuvable")</f>
        <v>la vache</v>
      </c>
      <c r="C169" s="15" t="s">
        <v>1169</v>
      </c>
      <c r="I169" s="15" t="s">
        <v>3785</v>
      </c>
    </row>
    <row r="170" spans="1:14" x14ac:dyDescent="0.3">
      <c r="A170" s="15" t="s">
        <v>1180</v>
      </c>
      <c r="B170" s="12" t="str">
        <f>IFERROR(INDEX(Mots!$B:$B,MATCH($A170,Mots!$A:$A,0)),"introuvable")</f>
        <v>le cochon</v>
      </c>
      <c r="C170" s="15" t="s">
        <v>7747</v>
      </c>
      <c r="I170" s="15" t="s">
        <v>3785</v>
      </c>
    </row>
    <row r="171" spans="1:14" x14ac:dyDescent="0.3">
      <c r="A171" s="15" t="s">
        <v>1185</v>
      </c>
      <c r="B171" s="12" t="str">
        <f>IFERROR(INDEX(Mots!$B:$B,MATCH($A171,Mots!$A:$A,0)),"introuvable")</f>
        <v>le mouton</v>
      </c>
      <c r="C171" s="15" t="s">
        <v>7747</v>
      </c>
      <c r="I171" s="15" t="s">
        <v>3785</v>
      </c>
    </row>
    <row r="172" spans="1:14" x14ac:dyDescent="0.3">
      <c r="A172" s="15" t="s">
        <v>1190</v>
      </c>
      <c r="B172" s="12" t="str">
        <f>IFERROR(INDEX(Mots!$B:$B,MATCH($A172,Mots!$A:$A,0)),"introuvable")</f>
        <v>la poule</v>
      </c>
      <c r="C172" s="15" t="s">
        <v>1169</v>
      </c>
      <c r="I172" s="15" t="s">
        <v>3785</v>
      </c>
    </row>
    <row r="173" spans="1:14" x14ac:dyDescent="0.3">
      <c r="A173" s="15" t="s">
        <v>1195</v>
      </c>
      <c r="B173" s="12" t="str">
        <f>IFERROR(INDEX(Mots!$B:$B,MATCH($A173,Mots!$A:$A,0)),"introuvable")</f>
        <v>la chèvre</v>
      </c>
      <c r="C173" s="15" t="s">
        <v>1169</v>
      </c>
      <c r="I173" s="15" t="s">
        <v>3785</v>
      </c>
    </row>
    <row r="174" spans="1:14" x14ac:dyDescent="0.3">
      <c r="A174" s="15" t="s">
        <v>1204</v>
      </c>
      <c r="B174" s="12" t="str">
        <f>IFERROR(INDEX(Mots!$B:$B,MATCH($A174,Mots!$A:$A,0)),"introuvable")</f>
        <v>le cheval</v>
      </c>
      <c r="C174" s="15" t="s">
        <v>1169</v>
      </c>
      <c r="I174" s="15" t="s">
        <v>3785</v>
      </c>
    </row>
    <row r="175" spans="1:14" x14ac:dyDescent="0.3">
      <c r="A175" s="15" t="s">
        <v>1209</v>
      </c>
      <c r="B175" s="12" t="str">
        <f>IFERROR(INDEX(Mots!$B:$B,MATCH($A175,Mots!$A:$A,0)),"introuvable")</f>
        <v>le bassin</v>
      </c>
      <c r="I175" s="15" t="s">
        <v>3785</v>
      </c>
    </row>
    <row r="176" spans="1:14" x14ac:dyDescent="0.3">
      <c r="A176" s="15" t="s">
        <v>1212</v>
      </c>
      <c r="B176" s="12" t="str">
        <f>IFERROR(INDEX(Mots!$B:$B,MATCH($A176,Mots!$A:$A,0)),"introuvable")</f>
        <v>le chat</v>
      </c>
      <c r="I176" s="15" t="s">
        <v>34</v>
      </c>
    </row>
    <row r="177" spans="1:9" x14ac:dyDescent="0.3">
      <c r="A177" s="15" t="s">
        <v>1216</v>
      </c>
      <c r="B177" s="12" t="str">
        <f>IFERROR(INDEX(Mots!$B:$B,MATCH($A177,Mots!$A:$A,0)),"introuvable")</f>
        <v>le chien</v>
      </c>
      <c r="C177" s="15" t="s">
        <v>1169</v>
      </c>
      <c r="I177" s="15" t="s">
        <v>34</v>
      </c>
    </row>
    <row r="178" spans="1:9" x14ac:dyDescent="0.3">
      <c r="A178" s="15" t="s">
        <v>1220</v>
      </c>
      <c r="B178" s="12" t="str">
        <f>IFERROR(INDEX(Mots!$B:$B,MATCH($A178,Mots!$A:$A,0)),"introuvable")</f>
        <v>le lapin</v>
      </c>
      <c r="C178" s="15" t="s">
        <v>1169</v>
      </c>
      <c r="I178" s="15" t="s">
        <v>34</v>
      </c>
    </row>
    <row r="179" spans="1:9" x14ac:dyDescent="0.3">
      <c r="A179" s="15" t="s">
        <v>1229</v>
      </c>
      <c r="B179" s="12" t="str">
        <f>IFERROR(INDEX(Mots!$B:$B,MATCH($A179,Mots!$A:$A,0)),"introuvable")</f>
        <v>la souris</v>
      </c>
      <c r="I179" s="15" t="s">
        <v>3785</v>
      </c>
    </row>
    <row r="180" spans="1:9" x14ac:dyDescent="0.3">
      <c r="A180" s="15" t="s">
        <v>1238</v>
      </c>
      <c r="B180" s="12" t="str">
        <f>IFERROR(INDEX(Mots!$B:$B,MATCH($A180,Mots!$A:$A,0)),"introuvable")</f>
        <v>l'écureuil</v>
      </c>
      <c r="C180" s="15" t="s">
        <v>1169</v>
      </c>
      <c r="I180" s="15" t="s">
        <v>3785</v>
      </c>
    </row>
    <row r="181" spans="1:9" x14ac:dyDescent="0.3">
      <c r="A181" s="15" t="s">
        <v>1243</v>
      </c>
      <c r="B181" s="12" t="str">
        <f>IFERROR(INDEX(Mots!$B:$B,MATCH($A181,Mots!$A:$A,0)),"introuvable")</f>
        <v>la marmotte</v>
      </c>
      <c r="I181" s="15" t="s">
        <v>3785</v>
      </c>
    </row>
    <row r="182" spans="1:9" x14ac:dyDescent="0.3">
      <c r="A182" s="15" t="s">
        <v>1248</v>
      </c>
      <c r="B182" s="12" t="str">
        <f>IFERROR(INDEX(Mots!$B:$B,MATCH($A182,Mots!$A:$A,0)),"introuvable")</f>
        <v>le loup</v>
      </c>
      <c r="C182" s="15" t="s">
        <v>1169</v>
      </c>
      <c r="I182" s="15" t="s">
        <v>3785</v>
      </c>
    </row>
    <row r="183" spans="1:9" x14ac:dyDescent="0.3">
      <c r="A183" s="15" t="s">
        <v>1252</v>
      </c>
      <c r="B183" s="12" t="str">
        <f>IFERROR(INDEX(Mots!$B:$B,MATCH($A183,Mots!$A:$A,0)),"introuvable")</f>
        <v>le chevreuil</v>
      </c>
      <c r="C183" s="15" t="s">
        <v>1169</v>
      </c>
      <c r="I183" s="15" t="s">
        <v>3785</v>
      </c>
    </row>
    <row r="184" spans="1:9" x14ac:dyDescent="0.3">
      <c r="A184" s="15" t="s">
        <v>1257</v>
      </c>
      <c r="B184" s="12" t="str">
        <f>IFERROR(INDEX(Mots!$B:$B,MATCH($A184,Mots!$A:$A,0)),"introuvable")</f>
        <v>le chamois</v>
      </c>
      <c r="C184" s="15" t="s">
        <v>1169</v>
      </c>
      <c r="I184" s="15" t="s">
        <v>3785</v>
      </c>
    </row>
    <row r="185" spans="1:9" x14ac:dyDescent="0.3">
      <c r="A185" s="15" t="s">
        <v>1261</v>
      </c>
      <c r="B185" s="12" t="str">
        <f>IFERROR(INDEX(Mots!$B:$B,MATCH($A185,Mots!$A:$A,0)),"introuvable")</f>
        <v>la biche</v>
      </c>
      <c r="C185" s="15" t="s">
        <v>1169</v>
      </c>
      <c r="I185" s="15" t="s">
        <v>3785</v>
      </c>
    </row>
    <row r="186" spans="1:9" x14ac:dyDescent="0.3">
      <c r="A186" s="15" t="s">
        <v>1265</v>
      </c>
      <c r="B186" s="12" t="str">
        <f>IFERROR(INDEX(Mots!$B:$B,MATCH($A186,Mots!$A:$A,0)),"introuvable")</f>
        <v>le cerf</v>
      </c>
      <c r="C186" s="15" t="s">
        <v>1169</v>
      </c>
      <c r="I186" s="15" t="s">
        <v>3785</v>
      </c>
    </row>
    <row r="187" spans="1:9" x14ac:dyDescent="0.3">
      <c r="A187" s="15" t="s">
        <v>1269</v>
      </c>
      <c r="B187" s="12" t="str">
        <f>IFERROR(INDEX(Mots!$B:$B,MATCH($A187,Mots!$A:$A,0)),"introuvable")</f>
        <v>le bouquetin</v>
      </c>
      <c r="C187" s="15" t="s">
        <v>1169</v>
      </c>
      <c r="I187" s="15" t="s">
        <v>3785</v>
      </c>
    </row>
    <row r="188" spans="1:9" x14ac:dyDescent="0.3">
      <c r="A188" s="15" t="s">
        <v>1274</v>
      </c>
      <c r="B188" s="12" t="str">
        <f>IFERROR(INDEX(Mots!$B:$B,MATCH($A188,Mots!$A:$A,0)),"introuvable")</f>
        <v>le poisson</v>
      </c>
      <c r="C188" s="15" t="s">
        <v>1169</v>
      </c>
      <c r="I188" s="15" t="s">
        <v>3785</v>
      </c>
    </row>
    <row r="189" spans="1:9" x14ac:dyDescent="0.3">
      <c r="A189" s="15" t="s">
        <v>1279</v>
      </c>
      <c r="B189" s="12" t="str">
        <f>IFERROR(INDEX(Mots!$B:$B,MATCH($A189,Mots!$A:$A,0)),"introuvable")</f>
        <v>le serpent</v>
      </c>
      <c r="C189" s="15" t="s">
        <v>1169</v>
      </c>
      <c r="I189" s="15" t="s">
        <v>3785</v>
      </c>
    </row>
    <row r="190" spans="1:9" x14ac:dyDescent="0.3">
      <c r="A190" s="15" t="s">
        <v>1288</v>
      </c>
      <c r="B190" s="12" t="str">
        <f>IFERROR(INDEX(Mots!$B:$B,MATCH($A190,Mots!$A:$A,0)),"introuvable")</f>
        <v>l'éléphant</v>
      </c>
      <c r="C190" s="15" t="s">
        <v>1169</v>
      </c>
      <c r="I190" s="15" t="s">
        <v>3785</v>
      </c>
    </row>
    <row r="191" spans="1:9" x14ac:dyDescent="0.3">
      <c r="A191" s="15" t="s">
        <v>1293</v>
      </c>
      <c r="B191" s="12" t="str">
        <f>IFERROR(INDEX(Mots!$B:$B,MATCH($A191,Mots!$A:$A,0)),"introuvable")</f>
        <v>le lion</v>
      </c>
      <c r="I191" s="15" t="s">
        <v>3785</v>
      </c>
    </row>
    <row r="192" spans="1:9" x14ac:dyDescent="0.3">
      <c r="A192" s="15" t="s">
        <v>1298</v>
      </c>
      <c r="B192" s="12" t="str">
        <f>IFERROR(INDEX(Mots!$B:$B,MATCH($A192,Mots!$A:$A,0)),"introuvable")</f>
        <v>le tigre</v>
      </c>
      <c r="I192" s="15" t="s">
        <v>3785</v>
      </c>
    </row>
    <row r="193" spans="1:14" x14ac:dyDescent="0.3">
      <c r="A193" s="15" t="s">
        <v>1303</v>
      </c>
      <c r="B193" s="12" t="str">
        <f>IFERROR(INDEX(Mots!$B:$B,MATCH($A193,Mots!$A:$A,0)),"introuvable")</f>
        <v>la fourrure</v>
      </c>
      <c r="I193" s="15" t="s">
        <v>3785</v>
      </c>
    </row>
    <row r="194" spans="1:14" x14ac:dyDescent="0.3">
      <c r="A194" s="15" t="s">
        <v>1307</v>
      </c>
      <c r="B194" s="12" t="str">
        <f>IFERROR(INDEX(Mots!$B:$B,MATCH($A194,Mots!$A:$A,0)),"introuvable")</f>
        <v>la grenouille</v>
      </c>
      <c r="C194" s="15" t="s">
        <v>1169</v>
      </c>
      <c r="I194" s="15" t="s">
        <v>3785</v>
      </c>
    </row>
    <row r="195" spans="1:14" x14ac:dyDescent="0.3">
      <c r="A195" s="15" t="s">
        <v>1311</v>
      </c>
      <c r="B195" s="12" t="str">
        <f>IFERROR(INDEX(Mots!$B:$B,MATCH($A195,Mots!$A:$A,0)),"introuvable")</f>
        <v>la trompe</v>
      </c>
      <c r="I195" s="15" t="s">
        <v>3785</v>
      </c>
    </row>
    <row r="196" spans="1:14" x14ac:dyDescent="0.3">
      <c r="A196" s="15" t="s">
        <v>1315</v>
      </c>
      <c r="B196" s="12" t="str">
        <f>IFERROR(INDEX(Mots!$B:$B,MATCH($A196,Mots!$A:$A,0)),"introuvable")</f>
        <v>le canard</v>
      </c>
      <c r="C196" s="15" t="s">
        <v>1169</v>
      </c>
      <c r="I196" s="15" t="s">
        <v>3785</v>
      </c>
    </row>
    <row r="197" spans="1:14" x14ac:dyDescent="0.3">
      <c r="A197" s="15" t="s">
        <v>1319</v>
      </c>
      <c r="B197" s="12" t="str">
        <f>IFERROR(INDEX(Mots!$B:$B,MATCH($A197,Mots!$A:$A,0)),"introuvable")</f>
        <v>le fauve</v>
      </c>
      <c r="C197" s="15" t="s">
        <v>1169</v>
      </c>
      <c r="I197" s="15" t="s">
        <v>3785</v>
      </c>
    </row>
    <row r="198" spans="1:14" x14ac:dyDescent="0.3">
      <c r="A198" s="15" t="s">
        <v>1323</v>
      </c>
      <c r="B198" s="12" t="str">
        <f>IFERROR(INDEX(Mots!$B:$B,MATCH($A198,Mots!$A:$A,0)),"introuvable")</f>
        <v>le renard</v>
      </c>
      <c r="C198" s="15" t="s">
        <v>1169</v>
      </c>
      <c r="I198" s="15" t="s">
        <v>3785</v>
      </c>
    </row>
    <row r="199" spans="1:14" x14ac:dyDescent="0.3">
      <c r="A199" s="15" t="s">
        <v>1327</v>
      </c>
      <c r="B199" s="12" t="str">
        <f>IFERROR(INDEX(Mots!$B:$B,MATCH($A199,Mots!$A:$A,0)),"introuvable")</f>
        <v>le singe</v>
      </c>
      <c r="C199" s="15" t="s">
        <v>1169</v>
      </c>
      <c r="I199" s="15" t="s">
        <v>3785</v>
      </c>
    </row>
    <row r="200" spans="1:14" x14ac:dyDescent="0.3">
      <c r="A200" s="15" t="s">
        <v>1331</v>
      </c>
      <c r="B200" s="12" t="str">
        <f>IFERROR(INDEX(Mots!$B:$B,MATCH($A200,Mots!$A:$A,0)),"introuvable")</f>
        <v>l'ours</v>
      </c>
      <c r="C200" s="15" t="s">
        <v>1169</v>
      </c>
      <c r="I200" s="15" t="s">
        <v>3785</v>
      </c>
    </row>
    <row r="201" spans="1:14" x14ac:dyDescent="0.3">
      <c r="A201" s="15" t="s">
        <v>1335</v>
      </c>
      <c r="B201" s="12" t="str">
        <f>IFERROR(INDEX(Mots!$B:$B,MATCH($A201,Mots!$A:$A,0)),"introuvable")</f>
        <v>le sucre</v>
      </c>
      <c r="I201" s="15" t="s">
        <v>702</v>
      </c>
      <c r="N201" s="15" t="s">
        <v>7720</v>
      </c>
    </row>
    <row r="202" spans="1:14" x14ac:dyDescent="0.3">
      <c r="A202" s="15" t="s">
        <v>1340</v>
      </c>
      <c r="B202" s="12" t="str">
        <f>IFERROR(INDEX(Mots!$B:$B,MATCH($A202,Mots!$A:$A,0)),"introuvable")</f>
        <v>le sel</v>
      </c>
      <c r="I202" s="15" t="s">
        <v>702</v>
      </c>
      <c r="N202" s="15" t="s">
        <v>7720</v>
      </c>
    </row>
    <row r="203" spans="1:14" x14ac:dyDescent="0.3">
      <c r="A203" s="15" t="s">
        <v>1345</v>
      </c>
      <c r="B203" s="12" t="str">
        <f>IFERROR(INDEX(Mots!$B:$B,MATCH($A203,Mots!$A:$A,0)),"introuvable")</f>
        <v>le poivre</v>
      </c>
      <c r="C203" s="15" t="s">
        <v>2816</v>
      </c>
      <c r="I203" s="15" t="s">
        <v>702</v>
      </c>
      <c r="N203" s="15" t="s">
        <v>7720</v>
      </c>
    </row>
    <row r="204" spans="1:14" x14ac:dyDescent="0.3">
      <c r="A204" s="15" t="s">
        <v>1350</v>
      </c>
      <c r="B204" s="12" t="str">
        <f>IFERROR(INDEX(Mots!$B:$B,MATCH($A204,Mots!$A:$A,0)),"introuvable")</f>
        <v>l'arôme Maggy</v>
      </c>
      <c r="I204" s="15" t="s">
        <v>702</v>
      </c>
      <c r="N204" s="15" t="s">
        <v>7720</v>
      </c>
    </row>
    <row r="205" spans="1:14" x14ac:dyDescent="0.3">
      <c r="A205" s="15" t="s">
        <v>1355</v>
      </c>
      <c r="B205" s="12" t="str">
        <f>IFERROR(INDEX(Mots!$B:$B,MATCH($A205,Mots!$A:$A,0)),"introuvable")</f>
        <v>le curry</v>
      </c>
      <c r="I205" s="15" t="s">
        <v>702</v>
      </c>
      <c r="N205" s="15" t="s">
        <v>7720</v>
      </c>
    </row>
    <row r="206" spans="1:14" x14ac:dyDescent="0.3">
      <c r="A206" s="15" t="s">
        <v>1360</v>
      </c>
      <c r="B206" s="12" t="str">
        <f>IFERROR(INDEX(Mots!$B:$B,MATCH($A206,Mots!$A:$A,0)),"introuvable")</f>
        <v>Assurance invalidité</v>
      </c>
      <c r="I206" s="15" t="s">
        <v>82</v>
      </c>
      <c r="N206" s="15" t="s">
        <v>7382</v>
      </c>
    </row>
    <row r="207" spans="1:14" x14ac:dyDescent="0.3">
      <c r="A207" s="15" t="s">
        <v>1364</v>
      </c>
      <c r="B207" s="12" t="str">
        <f>IFERROR(INDEX(Mots!$B:$B,MATCH($A207,Mots!$A:$A,0)),"introuvable")</f>
        <v>Caisse de pensions ORAE</v>
      </c>
      <c r="I207" s="15" t="s">
        <v>82</v>
      </c>
      <c r="N207" s="15" t="s">
        <v>7382</v>
      </c>
    </row>
    <row r="208" spans="1:14" x14ac:dyDescent="0.3">
      <c r="A208" s="15" t="s">
        <v>1368</v>
      </c>
      <c r="B208" s="12" t="str">
        <f>IFERROR(INDEX(Mots!$B:$B,MATCH($A208,Mots!$A:$A,0)),"introuvable")</f>
        <v>KPT assurance maladie</v>
      </c>
      <c r="I208" s="15" t="s">
        <v>82</v>
      </c>
      <c r="N208" s="15" t="s">
        <v>7382</v>
      </c>
    </row>
    <row r="209" spans="1:14" x14ac:dyDescent="0.3">
      <c r="A209" s="15" t="s">
        <v>1372</v>
      </c>
      <c r="B209" s="12" t="str">
        <f>IFERROR(INDEX(Mots!$B:$B,MATCH($A209,Mots!$A:$A,0)),"introuvable")</f>
        <v>Banque Migros</v>
      </c>
      <c r="C209" s="15" t="s">
        <v>7756</v>
      </c>
      <c r="I209" s="15" t="s">
        <v>82</v>
      </c>
      <c r="N209" s="15" t="s">
        <v>7382</v>
      </c>
    </row>
    <row r="210" spans="1:14" x14ac:dyDescent="0.3">
      <c r="A210" s="15" t="s">
        <v>1376</v>
      </c>
      <c r="B210" s="12" t="str">
        <f>IFERROR(INDEX(Mots!$B:$B,MATCH($A210,Mots!$A:$A,0)),"introuvable")</f>
        <v>Banque Raiffeisen</v>
      </c>
      <c r="I210" s="15" t="s">
        <v>82</v>
      </c>
      <c r="N210" s="15" t="s">
        <v>7382</v>
      </c>
    </row>
    <row r="211" spans="1:14" x14ac:dyDescent="0.3">
      <c r="A211" s="15" t="s">
        <v>9664</v>
      </c>
      <c r="B211" s="12" t="str">
        <f>IFERROR(INDEX(Mots!$B:$B,MATCH($A211,Mots!$A:$A,0)),"introuvable")</f>
        <v>Assurance La Mobilière</v>
      </c>
      <c r="I211" s="15" t="s">
        <v>82</v>
      </c>
      <c r="N211" s="15" t="s">
        <v>7382</v>
      </c>
    </row>
    <row r="212" spans="1:14" x14ac:dyDescent="0.3">
      <c r="A212" s="15" t="s">
        <v>1383</v>
      </c>
      <c r="B212" s="12" t="str">
        <f>IFERROR(INDEX(Mots!$B:$B,MATCH($A212,Mots!$A:$A,0)),"introuvable")</f>
        <v>Assurance Helvetia</v>
      </c>
      <c r="I212" s="15" t="s">
        <v>82</v>
      </c>
      <c r="N212" s="15" t="s">
        <v>7382</v>
      </c>
    </row>
    <row r="213" spans="1:14" x14ac:dyDescent="0.3">
      <c r="A213" s="15" t="s">
        <v>9459</v>
      </c>
      <c r="B213" s="12" t="str">
        <f>IFERROR(INDEX(Mots!$B:$B,MATCH($A213,Mots!$A:$A,0)),"introuvable")</f>
        <v>la carte</v>
      </c>
      <c r="I213" s="15" t="s">
        <v>82</v>
      </c>
      <c r="N213" s="15" t="s">
        <v>7382</v>
      </c>
    </row>
    <row r="214" spans="1:14" x14ac:dyDescent="0.3">
      <c r="A214" s="15" t="s">
        <v>1390</v>
      </c>
      <c r="B214" s="12" t="str">
        <f>IFERROR(INDEX(Mots!$B:$B,MATCH($A214,Mots!$A:$A,0)),"introuvable")</f>
        <v>le prêt hypothécaire</v>
      </c>
      <c r="I214" s="15" t="s">
        <v>82</v>
      </c>
      <c r="N214" s="15" t="s">
        <v>7382</v>
      </c>
    </row>
    <row r="215" spans="1:14" x14ac:dyDescent="0.3">
      <c r="A215" s="15" t="s">
        <v>1394</v>
      </c>
      <c r="B215" s="12" t="str">
        <f>IFERROR(INDEX(Mots!$B:$B,MATCH($A215,Mots!$A:$A,0)),"introuvable")</f>
        <v>le billet de banque</v>
      </c>
      <c r="I215" s="15" t="s">
        <v>82</v>
      </c>
      <c r="N215" s="15" t="s">
        <v>7382</v>
      </c>
    </row>
    <row r="216" spans="1:14" x14ac:dyDescent="0.3">
      <c r="A216" s="15" t="s">
        <v>1398</v>
      </c>
      <c r="B216" s="12" t="str">
        <f>IFERROR(INDEX(Mots!$B:$B,MATCH($A216,Mots!$A:$A,0)),"introuvable")</f>
        <v>la pièce de monnaie</v>
      </c>
      <c r="C216" s="15" t="s">
        <v>4650</v>
      </c>
      <c r="I216" s="15" t="s">
        <v>82</v>
      </c>
      <c r="N216" s="15" t="s">
        <v>7382</v>
      </c>
    </row>
    <row r="217" spans="1:14" x14ac:dyDescent="0.3">
      <c r="A217" s="15" t="s">
        <v>1402</v>
      </c>
      <c r="B217" s="12" t="str">
        <f>IFERROR(INDEX(Mots!$B:$B,MATCH($A217,Mots!$A:$A,0)),"introuvable")</f>
        <v>le code</v>
      </c>
      <c r="I217" s="15" t="s">
        <v>82</v>
      </c>
      <c r="N217" s="15" t="s">
        <v>7382</v>
      </c>
    </row>
    <row r="218" spans="1:14" x14ac:dyDescent="0.3">
      <c r="A218" s="15" t="s">
        <v>1406</v>
      </c>
      <c r="B218" s="12" t="str">
        <f>IFERROR(INDEX(Mots!$B:$B,MATCH($A218,Mots!$A:$A,0)),"introuvable")</f>
        <v>le compte</v>
      </c>
      <c r="I218" s="15" t="s">
        <v>82</v>
      </c>
      <c r="N218" s="15" t="s">
        <v>7382</v>
      </c>
    </row>
    <row r="219" spans="1:14" x14ac:dyDescent="0.3">
      <c r="A219" s="15" t="s">
        <v>1410</v>
      </c>
      <c r="B219" s="12" t="str">
        <f>IFERROR(INDEX(Mots!$B:$B,MATCH($A219,Mots!$A:$A,0)),"introuvable")</f>
        <v>le guichet</v>
      </c>
      <c r="I219" s="15" t="s">
        <v>82</v>
      </c>
      <c r="N219" s="15" t="s">
        <v>7382</v>
      </c>
    </row>
    <row r="220" spans="1:14" x14ac:dyDescent="0.3">
      <c r="A220" s="15" t="s">
        <v>1414</v>
      </c>
      <c r="B220" s="12" t="str">
        <f>IFERROR(INDEX(Mots!$B:$B,MATCH($A220,Mots!$A:$A,0)),"introuvable")</f>
        <v>le retrait</v>
      </c>
      <c r="I220" s="15" t="s">
        <v>82</v>
      </c>
      <c r="N220" s="15" t="s">
        <v>7382</v>
      </c>
    </row>
    <row r="221" spans="1:14" x14ac:dyDescent="0.3">
      <c r="A221" s="15" t="s">
        <v>1418</v>
      </c>
      <c r="B221" s="12" t="str">
        <f>IFERROR(INDEX(Mots!$B:$B,MATCH($A221,Mots!$A:$A,0)),"introuvable")</f>
        <v>le solde</v>
      </c>
      <c r="I221" s="15" t="s">
        <v>82</v>
      </c>
      <c r="N221" s="15" t="s">
        <v>7382</v>
      </c>
    </row>
    <row r="222" spans="1:14" x14ac:dyDescent="0.3">
      <c r="A222" s="15" t="s">
        <v>1422</v>
      </c>
      <c r="B222" s="12" t="str">
        <f>IFERROR(INDEX(Mots!$B:$B,MATCH($A222,Mots!$A:$A,0)),"introuvable")</f>
        <v>le virement</v>
      </c>
      <c r="I222" s="15" t="s">
        <v>82</v>
      </c>
      <c r="N222" s="15" t="s">
        <v>7382</v>
      </c>
    </row>
    <row r="223" spans="1:14" x14ac:dyDescent="0.3">
      <c r="A223" s="15" t="s">
        <v>1426</v>
      </c>
      <c r="B223" s="12" t="str">
        <f>IFERROR(INDEX(Mots!$B:$B,MATCH($A223,Mots!$A:$A,0)),"introuvable")</f>
        <v>l'intérêt</v>
      </c>
      <c r="I223" s="15" t="s">
        <v>73</v>
      </c>
    </row>
    <row r="224" spans="1:14" x14ac:dyDescent="0.3">
      <c r="A224" s="15" t="s">
        <v>1430</v>
      </c>
      <c r="B224" s="12" t="str">
        <f>IFERROR(INDEX(Mots!$B:$B,MATCH($A224,Mots!$A:$A,0)),"introuvable")</f>
        <v>l'Administration communale de Conthey</v>
      </c>
      <c r="I224" s="15" t="s">
        <v>82</v>
      </c>
    </row>
    <row r="225" spans="1:9" x14ac:dyDescent="0.3">
      <c r="A225" s="15" t="s">
        <v>1435</v>
      </c>
      <c r="B225" s="12" t="str">
        <f>IFERROR(INDEX(Mots!$B:$B,MATCH($A225,Mots!$A:$A,0)),"introuvable")</f>
        <v>l'école primaire de Erde</v>
      </c>
      <c r="I225" s="15" t="s">
        <v>82</v>
      </c>
    </row>
    <row r="226" spans="1:9" x14ac:dyDescent="0.3">
      <c r="A226" s="15" t="s">
        <v>1439</v>
      </c>
      <c r="B226" s="12" t="str">
        <f>IFERROR(INDEX(Mots!$B:$B,MATCH($A226,Mots!$A:$A,0)),"introuvable")</f>
        <v>l'église</v>
      </c>
      <c r="I226" s="15" t="s">
        <v>82</v>
      </c>
    </row>
    <row r="227" spans="1:9" x14ac:dyDescent="0.3">
      <c r="A227" s="15" t="s">
        <v>1444</v>
      </c>
      <c r="B227" s="12" t="str">
        <f>IFERROR(INDEX(Mots!$B:$B,MATCH($A227,Mots!$A:$A,0)),"introuvable")</f>
        <v>Migros Partenaire à Erde</v>
      </c>
      <c r="I227" s="15" t="s">
        <v>82</v>
      </c>
    </row>
    <row r="228" spans="1:9" x14ac:dyDescent="0.3">
      <c r="A228" s="15" t="s">
        <v>1450</v>
      </c>
      <c r="B228" s="12" t="str">
        <f>IFERROR(INDEX(Mots!$B:$B,MATCH($A228,Mots!$A:$A,0)),"introuvable")</f>
        <v>la station service</v>
      </c>
      <c r="I228" s="15" t="s">
        <v>82</v>
      </c>
    </row>
    <row r="229" spans="1:9" x14ac:dyDescent="0.3">
      <c r="A229" s="15" t="s">
        <v>1454</v>
      </c>
      <c r="B229" s="12" t="str">
        <f>IFERROR(INDEX(Mots!$B:$B,MATCH($A229,Mots!$A:$A,0)),"introuvable")</f>
        <v>le Garage du Nord de Conthey</v>
      </c>
      <c r="I229" s="15" t="s">
        <v>82</v>
      </c>
    </row>
    <row r="230" spans="1:9" x14ac:dyDescent="0.3">
      <c r="A230" s="15" t="s">
        <v>1458</v>
      </c>
      <c r="B230" s="12" t="str">
        <f>IFERROR(INDEX(Mots!$B:$B,MATCH($A230,Mots!$A:$A,0)),"introuvable")</f>
        <v>la Salle polyvalente de Conthey</v>
      </c>
      <c r="I230" s="15" t="s">
        <v>82</v>
      </c>
    </row>
    <row r="231" spans="1:9" x14ac:dyDescent="0.3">
      <c r="A231" s="15" t="s">
        <v>1462</v>
      </c>
      <c r="B231" s="12" t="str">
        <f>IFERROR(INDEX(Mots!$B:$B,MATCH($A231,Mots!$A:$A,0)),"introuvable")</f>
        <v>le café des Sapins</v>
      </c>
      <c r="I231" s="15" t="s">
        <v>82</v>
      </c>
    </row>
    <row r="232" spans="1:9" x14ac:dyDescent="0.3">
      <c r="A232" s="15" t="s">
        <v>1466</v>
      </c>
      <c r="B232" s="12" t="str">
        <f>IFERROR(INDEX(Mots!$B:$B,MATCH($A232,Mots!$A:$A,0)),"introuvable")</f>
        <v>le restaurant Les Rangs à St-Séverin</v>
      </c>
      <c r="I232" s="15" t="s">
        <v>82</v>
      </c>
    </row>
    <row r="233" spans="1:9" x14ac:dyDescent="0.3">
      <c r="A233" s="15" t="s">
        <v>1470</v>
      </c>
      <c r="B233" s="12" t="str">
        <f>IFERROR(INDEX(Mots!$B:$B,MATCH($A233,Mots!$A:$A,0)),"introuvable")</f>
        <v>l'Hôtel Restaurant du Sanetsch</v>
      </c>
      <c r="I233" s="15" t="s">
        <v>82</v>
      </c>
    </row>
    <row r="234" spans="1:9" x14ac:dyDescent="0.3">
      <c r="A234" s="15" t="s">
        <v>1474</v>
      </c>
      <c r="B234" s="12" t="str">
        <f>IFERROR(INDEX(Mots!$B:$B,MATCH($A234,Mots!$A:$A,0)),"introuvable")</f>
        <v>l'hôpital de Sion</v>
      </c>
      <c r="I234" s="15" t="s">
        <v>82</v>
      </c>
    </row>
    <row r="235" spans="1:9" x14ac:dyDescent="0.3">
      <c r="A235" s="15" t="s">
        <v>1478</v>
      </c>
      <c r="B235" s="12" t="str">
        <f>IFERROR(INDEX(Mots!$B:$B,MATCH($A235,Mots!$A:$A,0)),"introuvable")</f>
        <v>l'hôpital de Sierre</v>
      </c>
      <c r="I235" s="15" t="s">
        <v>82</v>
      </c>
    </row>
    <row r="236" spans="1:9" x14ac:dyDescent="0.3">
      <c r="A236" s="15" t="s">
        <v>1482</v>
      </c>
      <c r="B236" s="12" t="str">
        <f>IFERROR(INDEX(Mots!$B:$B,MATCH($A236,Mots!$A:$A,0)),"introuvable")</f>
        <v>la gare CFF de Sion</v>
      </c>
      <c r="I236" s="15" t="s">
        <v>82</v>
      </c>
    </row>
    <row r="237" spans="1:9" x14ac:dyDescent="0.3">
      <c r="A237" s="15" t="s">
        <v>1486</v>
      </c>
      <c r="B237" s="12" t="str">
        <f>IFERROR(INDEX(Mots!$B:$B,MATCH($A237,Mots!$A:$A,0)),"introuvable")</f>
        <v>la gare routière de Sion</v>
      </c>
      <c r="I237" s="15" t="s">
        <v>82</v>
      </c>
    </row>
    <row r="238" spans="1:9" x14ac:dyDescent="0.3">
      <c r="A238" s="15" t="s">
        <v>1490</v>
      </c>
      <c r="B238" s="12" t="str">
        <f>IFERROR(INDEX(Mots!$B:$B,MATCH($A238,Mots!$A:$A,0)),"introuvable")</f>
        <v>la gare</v>
      </c>
      <c r="I238" s="15" t="s">
        <v>82</v>
      </c>
    </row>
    <row r="239" spans="1:9" x14ac:dyDescent="0.3">
      <c r="A239" s="15" t="s">
        <v>1499</v>
      </c>
      <c r="B239" s="12" t="str">
        <f>IFERROR(INDEX(Mots!$B:$B,MATCH($A239,Mots!$A:$A,0)),"introuvable")</f>
        <v>l'aéroport</v>
      </c>
      <c r="I239" s="15" t="s">
        <v>82</v>
      </c>
    </row>
    <row r="240" spans="1:9" x14ac:dyDescent="0.3">
      <c r="A240" s="15" t="s">
        <v>1508</v>
      </c>
      <c r="B240" s="12" t="str">
        <f>IFERROR(INDEX(Mots!$B:$B,MATCH($A240,Mots!$A:$A,0)),"introuvable")</f>
        <v>le musée</v>
      </c>
      <c r="I240" s="15" t="s">
        <v>82</v>
      </c>
    </row>
    <row r="241" spans="1:14" x14ac:dyDescent="0.3">
      <c r="A241" s="15" t="s">
        <v>1513</v>
      </c>
      <c r="B241" s="12" t="str">
        <f>IFERROR(INDEX(Mots!$B:$B,MATCH($A241,Mots!$A:$A,0)),"introuvable")</f>
        <v>une bière limonade</v>
      </c>
      <c r="C241" s="15" t="s">
        <v>7749</v>
      </c>
      <c r="I241" s="15" t="s">
        <v>702</v>
      </c>
      <c r="N241" s="15" t="s">
        <v>7718</v>
      </c>
    </row>
    <row r="242" spans="1:14" x14ac:dyDescent="0.3">
      <c r="A242" s="15" t="s">
        <v>1517</v>
      </c>
      <c r="B242" s="12" t="str">
        <f>IFERROR(INDEX(Mots!$B:$B,MATCH($A242,Mots!$A:$A,0)),"introuvable")</f>
        <v>un verre de vin rouge</v>
      </c>
      <c r="C242" s="15" t="s">
        <v>7749</v>
      </c>
      <c r="I242" s="15" t="s">
        <v>702</v>
      </c>
      <c r="N242" s="15" t="s">
        <v>7718</v>
      </c>
    </row>
    <row r="243" spans="1:14" x14ac:dyDescent="0.3">
      <c r="A243" s="15" t="s">
        <v>1521</v>
      </c>
      <c r="B243" s="12" t="str">
        <f>IFERROR(INDEX(Mots!$B:$B,MATCH($A243,Mots!$A:$A,0)),"introuvable")</f>
        <v>un verre de vin blanc</v>
      </c>
      <c r="C243" s="15" t="s">
        <v>7749</v>
      </c>
      <c r="I243" s="15" t="s">
        <v>702</v>
      </c>
      <c r="N243" s="15" t="s">
        <v>7718</v>
      </c>
    </row>
    <row r="244" spans="1:14" x14ac:dyDescent="0.3">
      <c r="A244" s="15" t="s">
        <v>1525</v>
      </c>
      <c r="B244" s="12" t="str">
        <f>IFERROR(INDEX(Mots!$B:$B,MATCH($A244,Mots!$A:$A,0)),"introuvable")</f>
        <v>une suze henniez</v>
      </c>
      <c r="I244" s="15" t="s">
        <v>702</v>
      </c>
      <c r="N244" s="15" t="s">
        <v>7718</v>
      </c>
    </row>
    <row r="245" spans="1:14" x14ac:dyDescent="0.3">
      <c r="A245" s="15" t="s">
        <v>1529</v>
      </c>
      <c r="B245" s="12" t="str">
        <f>IFERROR(INDEX(Mots!$B:$B,MATCH($A245,Mots!$A:$A,0)),"introuvable")</f>
        <v>le thé</v>
      </c>
      <c r="C245" s="15" t="s">
        <v>7749</v>
      </c>
      <c r="I245" s="15" t="s">
        <v>702</v>
      </c>
      <c r="N245" s="15" t="s">
        <v>7718</v>
      </c>
    </row>
    <row r="246" spans="1:14" x14ac:dyDescent="0.3">
      <c r="A246" s="15" t="s">
        <v>1533</v>
      </c>
      <c r="B246" s="12" t="str">
        <f>IFERROR(INDEX(Mots!$B:$B,MATCH($A246,Mots!$A:$A,0)),"introuvable")</f>
        <v>une eau minérale</v>
      </c>
      <c r="I246" s="15" t="s">
        <v>702</v>
      </c>
      <c r="N246" s="15" t="s">
        <v>7718</v>
      </c>
    </row>
    <row r="247" spans="1:14" x14ac:dyDescent="0.3">
      <c r="A247" s="15" t="s">
        <v>1537</v>
      </c>
      <c r="B247" s="12" t="str">
        <f>IFERROR(INDEX(Mots!$B:$B,MATCH($A247,Mots!$A:$A,0)),"introuvable")</f>
        <v>un henniez cassis</v>
      </c>
      <c r="I247" s="15" t="s">
        <v>702</v>
      </c>
      <c r="N247" s="15" t="s">
        <v>7718</v>
      </c>
    </row>
    <row r="248" spans="1:14" x14ac:dyDescent="0.3">
      <c r="A248" s="15" t="s">
        <v>1540</v>
      </c>
      <c r="B248" s="12" t="str">
        <f>IFERROR(INDEX(Mots!$B:$B,MATCH($A248,Mots!$A:$A,0)),"introuvable")</f>
        <v>un Coca Cola</v>
      </c>
      <c r="C248" s="15" t="s">
        <v>7749</v>
      </c>
      <c r="I248" s="15" t="s">
        <v>702</v>
      </c>
      <c r="N248" s="15" t="s">
        <v>7718</v>
      </c>
    </row>
    <row r="249" spans="1:14" x14ac:dyDescent="0.3">
      <c r="A249" s="15" t="s">
        <v>1545</v>
      </c>
      <c r="B249" s="12" t="str">
        <f>IFERROR(INDEX(Mots!$B:$B,MATCH($A249,Mots!$A:$A,0)),"introuvable")</f>
        <v>un grapefruit</v>
      </c>
      <c r="C249" s="15" t="s">
        <v>7747</v>
      </c>
      <c r="I249" s="15" t="s">
        <v>702</v>
      </c>
      <c r="N249" s="15" t="s">
        <v>7718</v>
      </c>
    </row>
    <row r="250" spans="1:14" x14ac:dyDescent="0.3">
      <c r="A250" s="15" t="s">
        <v>1548</v>
      </c>
      <c r="B250" s="12" t="str">
        <f>IFERROR(INDEX(Mots!$B:$B,MATCH($A250,Mots!$A:$A,0)),"introuvable")</f>
        <v>un jus de pomme</v>
      </c>
      <c r="C250" s="15" t="s">
        <v>7749</v>
      </c>
      <c r="I250" s="15" t="s">
        <v>702</v>
      </c>
      <c r="N250" s="15" t="s">
        <v>7718</v>
      </c>
    </row>
    <row r="251" spans="1:14" x14ac:dyDescent="0.3">
      <c r="A251" s="15" t="s">
        <v>1552</v>
      </c>
      <c r="B251" s="12" t="str">
        <f>IFERROR(INDEX(Mots!$B:$B,MATCH($A251,Mots!$A:$A,0)),"introuvable")</f>
        <v>un jus d'orange</v>
      </c>
      <c r="C251" s="15" t="s">
        <v>7749</v>
      </c>
      <c r="I251" s="15" t="s">
        <v>702</v>
      </c>
      <c r="N251" s="15" t="s">
        <v>7718</v>
      </c>
    </row>
    <row r="252" spans="1:14" x14ac:dyDescent="0.3">
      <c r="A252" s="15" t="s">
        <v>1555</v>
      </c>
      <c r="B252" s="12" t="str">
        <f>IFERROR(INDEX(Mots!$B:$B,MATCH($A252,Mots!$A:$A,0)),"introuvable")</f>
        <v>un Sprite</v>
      </c>
      <c r="I252" s="15" t="s">
        <v>702</v>
      </c>
      <c r="N252" s="15" t="s">
        <v>7718</v>
      </c>
    </row>
    <row r="253" spans="1:14" x14ac:dyDescent="0.3">
      <c r="A253" s="15" t="s">
        <v>1558</v>
      </c>
      <c r="B253" s="12" t="str">
        <f>IFERROR(INDEX(Mots!$B:$B,MATCH($A253,Mots!$A:$A,0)),"introuvable")</f>
        <v>le sirop</v>
      </c>
      <c r="C253" s="15" t="s">
        <v>7747</v>
      </c>
      <c r="I253" s="15" t="s">
        <v>702</v>
      </c>
      <c r="N253" s="15" t="s">
        <v>7718</v>
      </c>
    </row>
    <row r="254" spans="1:14" x14ac:dyDescent="0.3">
      <c r="A254" s="15" t="s">
        <v>1563</v>
      </c>
      <c r="B254" s="12" t="str">
        <f>IFERROR(INDEX(Mots!$B:$B,MATCH($A254,Mots!$A:$A,0)),"introuvable")</f>
        <v>les baskets</v>
      </c>
      <c r="N254" s="15" t="s">
        <v>7723</v>
      </c>
    </row>
    <row r="255" spans="1:14" x14ac:dyDescent="0.3">
      <c r="A255" s="15" t="s">
        <v>1568</v>
      </c>
      <c r="B255" s="12" t="str">
        <f>IFERROR(INDEX(Mots!$B:$B,MATCH($A255,Mots!$A:$A,0)),"introuvable")</f>
        <v>les souliers</v>
      </c>
      <c r="N255" s="15" t="s">
        <v>7723</v>
      </c>
    </row>
    <row r="256" spans="1:14" x14ac:dyDescent="0.3">
      <c r="A256" s="15" t="s">
        <v>1576</v>
      </c>
      <c r="B256" s="12" t="str">
        <f>IFERROR(INDEX(Mots!$B:$B,MATCH($A256,Mots!$A:$A,0)),"introuvable")</f>
        <v>les bottillons</v>
      </c>
      <c r="N256" s="15" t="s">
        <v>7723</v>
      </c>
    </row>
    <row r="257" spans="1:14" x14ac:dyDescent="0.3">
      <c r="A257" s="15" t="s">
        <v>1581</v>
      </c>
      <c r="B257" s="12" t="str">
        <f>IFERROR(INDEX(Mots!$B:$B,MATCH($A257,Mots!$A:$A,0)),"introuvable")</f>
        <v>la viande</v>
      </c>
      <c r="C257" s="15" t="s">
        <v>7747</v>
      </c>
      <c r="I257" s="15" t="s">
        <v>702</v>
      </c>
      <c r="N257" s="15" t="s">
        <v>7718</v>
      </c>
    </row>
    <row r="258" spans="1:14" x14ac:dyDescent="0.3">
      <c r="A258" s="15" t="s">
        <v>1585</v>
      </c>
      <c r="B258" s="12" t="str">
        <f>IFERROR(INDEX(Mots!$B:$B,MATCH($A258,Mots!$A:$A,0)),"introuvable")</f>
        <v>le lait</v>
      </c>
      <c r="C258" s="15" t="s">
        <v>1169</v>
      </c>
      <c r="I258" s="15" t="s">
        <v>702</v>
      </c>
      <c r="N258" s="15" t="s">
        <v>7718</v>
      </c>
    </row>
    <row r="259" spans="1:14" x14ac:dyDescent="0.3">
      <c r="A259" s="15" t="s">
        <v>1594</v>
      </c>
      <c r="B259" s="12" t="str">
        <f>IFERROR(INDEX(Mots!$B:$B,MATCH($A259,Mots!$A:$A,0)),"introuvable")</f>
        <v>l'huile</v>
      </c>
      <c r="C259" s="15" t="s">
        <v>1169</v>
      </c>
      <c r="I259" s="15" t="s">
        <v>702</v>
      </c>
      <c r="N259" s="15" t="s">
        <v>7718</v>
      </c>
    </row>
    <row r="260" spans="1:14" x14ac:dyDescent="0.3">
      <c r="A260" s="15" t="s">
        <v>1598</v>
      </c>
      <c r="B260" s="12" t="str">
        <f>IFERROR(INDEX(Mots!$B:$B,MATCH($A260,Mots!$A:$A,0)),"introuvable")</f>
        <v>l'oeuf</v>
      </c>
      <c r="C260" s="15" t="s">
        <v>1169</v>
      </c>
      <c r="I260" s="15" t="s">
        <v>702</v>
      </c>
      <c r="N260" s="15" t="s">
        <v>7718</v>
      </c>
    </row>
    <row r="261" spans="1:14" x14ac:dyDescent="0.3">
      <c r="A261" s="15" t="s">
        <v>1603</v>
      </c>
      <c r="B261" s="12" t="str">
        <f>IFERROR(INDEX(Mots!$B:$B,MATCH($A261,Mots!$A:$A,0)),"introuvable")</f>
        <v>le gâteau</v>
      </c>
      <c r="C261" s="15" t="s">
        <v>7747</v>
      </c>
      <c r="I261" s="15" t="s">
        <v>702</v>
      </c>
      <c r="N261" s="15" t="s">
        <v>7718</v>
      </c>
    </row>
    <row r="262" spans="1:14" x14ac:dyDescent="0.3">
      <c r="A262" s="15" t="s">
        <v>1608</v>
      </c>
      <c r="B262" s="12" t="str">
        <f>IFERROR(INDEX(Mots!$B:$B,MATCH($A262,Mots!$A:$A,0)),"introuvable")</f>
        <v>la forêt</v>
      </c>
      <c r="C262" s="15" t="s">
        <v>2816</v>
      </c>
      <c r="I262" s="15" t="s">
        <v>3785</v>
      </c>
      <c r="N262" s="15" t="s">
        <v>7732</v>
      </c>
    </row>
    <row r="263" spans="1:14" x14ac:dyDescent="0.3">
      <c r="A263" s="15" t="s">
        <v>1617</v>
      </c>
      <c r="B263" s="12" t="str">
        <f>IFERROR(INDEX(Mots!$B:$B,MATCH($A263,Mots!$A:$A,0)),"introuvable")</f>
        <v>la mer</v>
      </c>
      <c r="I263" s="15" t="s">
        <v>3785</v>
      </c>
      <c r="N263" s="15" t="s">
        <v>7732</v>
      </c>
    </row>
    <row r="264" spans="1:14" x14ac:dyDescent="0.3">
      <c r="A264" s="15" t="s">
        <v>1622</v>
      </c>
      <c r="B264" s="12" t="str">
        <f>IFERROR(INDEX(Mots!$B:$B,MATCH($A264,Mots!$A:$A,0)),"introuvable")</f>
        <v>la montagne</v>
      </c>
      <c r="I264" s="15" t="s">
        <v>3785</v>
      </c>
      <c r="N264" s="15" t="s">
        <v>7732</v>
      </c>
    </row>
    <row r="265" spans="1:14" x14ac:dyDescent="0.3">
      <c r="A265" s="15" t="s">
        <v>1627</v>
      </c>
      <c r="B265" s="12" t="str">
        <f>IFERROR(INDEX(Mots!$B:$B,MATCH($A265,Mots!$A:$A,0)),"introuvable")</f>
        <v>la rivière</v>
      </c>
      <c r="I265" s="15" t="s">
        <v>3785</v>
      </c>
      <c r="N265" s="15" t="s">
        <v>7732</v>
      </c>
    </row>
    <row r="266" spans="1:14" x14ac:dyDescent="0.3">
      <c r="A266" s="15" t="s">
        <v>1630</v>
      </c>
      <c r="B266" s="12" t="str">
        <f>IFERROR(INDEX(Mots!$B:$B,MATCH($A266,Mots!$A:$A,0)),"introuvable")</f>
        <v>le rocher</v>
      </c>
      <c r="C266" s="15" t="s">
        <v>4650</v>
      </c>
      <c r="I266" s="15" t="s">
        <v>3785</v>
      </c>
      <c r="N266" s="15" t="s">
        <v>7732</v>
      </c>
    </row>
    <row r="267" spans="1:14" x14ac:dyDescent="0.3">
      <c r="A267" s="15" t="s">
        <v>1639</v>
      </c>
      <c r="B267" s="12" t="str">
        <f>IFERROR(INDEX(Mots!$B:$B,MATCH($A267,Mots!$A:$A,0)),"introuvable")</f>
        <v>la lune</v>
      </c>
      <c r="I267" s="15" t="s">
        <v>3785</v>
      </c>
      <c r="N267" s="15" t="s">
        <v>7732</v>
      </c>
    </row>
    <row r="268" spans="1:14" x14ac:dyDescent="0.3">
      <c r="A268" s="15" t="s">
        <v>1648</v>
      </c>
      <c r="B268" s="12" t="str">
        <f>IFERROR(INDEX(Mots!$B:$B,MATCH($A268,Mots!$A:$A,0)),"introuvable")</f>
        <v>la terre</v>
      </c>
      <c r="I268" s="15" t="s">
        <v>3785</v>
      </c>
      <c r="N268" s="15" t="s">
        <v>7732</v>
      </c>
    </row>
    <row r="269" spans="1:14" x14ac:dyDescent="0.3">
      <c r="A269" s="15" t="s">
        <v>1661</v>
      </c>
      <c r="B269" s="12" t="str">
        <f>IFERROR(INDEX(Mots!$B:$B,MATCH($A269,Mots!$A:$A,0)),"introuvable")</f>
        <v>le ciel</v>
      </c>
      <c r="I269" s="15" t="s">
        <v>3785</v>
      </c>
      <c r="N269" s="15" t="s">
        <v>7732</v>
      </c>
    </row>
    <row r="270" spans="1:14" x14ac:dyDescent="0.3">
      <c r="A270" s="15" t="s">
        <v>1665</v>
      </c>
      <c r="B270" s="12" t="str">
        <f>IFERROR(INDEX(Mots!$B:$B,MATCH($A270,Mots!$A:$A,0)),"introuvable")</f>
        <v>le feu</v>
      </c>
      <c r="I270" s="15" t="s">
        <v>3785</v>
      </c>
      <c r="N270" s="15" t="s">
        <v>7732</v>
      </c>
    </row>
    <row r="271" spans="1:14" x14ac:dyDescent="0.3">
      <c r="A271" s="15" t="s">
        <v>1669</v>
      </c>
      <c r="B271" s="12" t="str">
        <f>IFERROR(INDEX(Mots!$B:$B,MATCH($A271,Mots!$A:$A,0)),"introuvable")</f>
        <v>le soleil</v>
      </c>
      <c r="I271" s="15" t="s">
        <v>3785</v>
      </c>
      <c r="N271" s="15" t="s">
        <v>7732</v>
      </c>
    </row>
    <row r="272" spans="1:14" x14ac:dyDescent="0.3">
      <c r="A272" s="15" t="s">
        <v>1678</v>
      </c>
      <c r="B272" s="12" t="str">
        <f>IFERROR(INDEX(Mots!$B:$B,MATCH($A272,Mots!$A:$A,0)),"introuvable")</f>
        <v>l'eau</v>
      </c>
      <c r="I272" s="15" t="s">
        <v>3785</v>
      </c>
      <c r="N272" s="15" t="s">
        <v>7732</v>
      </c>
    </row>
    <row r="273" spans="1:27" x14ac:dyDescent="0.3">
      <c r="A273" s="15" t="s">
        <v>1686</v>
      </c>
      <c r="B273" s="12" t="str">
        <f>IFERROR(INDEX(Mots!$B:$B,MATCH($A273,Mots!$A:$A,0)),"introuvable")</f>
        <v>l'incendie</v>
      </c>
      <c r="I273" s="15" t="s">
        <v>3785</v>
      </c>
      <c r="N273" s="15" t="s">
        <v>7732</v>
      </c>
    </row>
    <row r="274" spans="1:27" x14ac:dyDescent="0.3">
      <c r="A274" s="15" t="s">
        <v>1690</v>
      </c>
      <c r="B274" s="12" t="str">
        <f>IFERROR(INDEX(Mots!$B:$B,MATCH($A274,Mots!$A:$A,0)),"introuvable")</f>
        <v>la colère</v>
      </c>
      <c r="Z274" s="15" t="s">
        <v>7797</v>
      </c>
    </row>
    <row r="275" spans="1:27" x14ac:dyDescent="0.3">
      <c r="A275" s="15" t="s">
        <v>1697</v>
      </c>
      <c r="B275" s="12" t="str">
        <f>IFERROR(INDEX(Mots!$B:$B,MATCH($A275,Mots!$A:$A,0)),"introuvable")</f>
        <v>la peur</v>
      </c>
      <c r="Z275" s="15" t="s">
        <v>7797</v>
      </c>
    </row>
    <row r="276" spans="1:27" x14ac:dyDescent="0.3">
      <c r="A276" s="15" t="s">
        <v>1703</v>
      </c>
      <c r="B276" s="12" t="str">
        <f>IFERROR(INDEX(Mots!$B:$B,MATCH($A276,Mots!$A:$A,0)),"introuvable")</f>
        <v>la solitude</v>
      </c>
      <c r="Z276" s="15" t="s">
        <v>7797</v>
      </c>
    </row>
    <row r="277" spans="1:27" x14ac:dyDescent="0.3">
      <c r="A277" s="15" t="s">
        <v>1711</v>
      </c>
      <c r="B277" s="12" t="str">
        <f>IFERROR(INDEX(Mots!$B:$B,MATCH($A277,Mots!$A:$A,0)),"introuvable")</f>
        <v>la tristesse</v>
      </c>
      <c r="Z277" s="15" t="s">
        <v>7797</v>
      </c>
    </row>
    <row r="278" spans="1:27" x14ac:dyDescent="0.3">
      <c r="A278" s="15" t="s">
        <v>1718</v>
      </c>
      <c r="B278" s="12" t="str">
        <f>IFERROR(INDEX(Mots!$B:$B,MATCH($A278,Mots!$A:$A,0)),"introuvable")</f>
        <v>la confiance</v>
      </c>
      <c r="Z278" s="15" t="s">
        <v>7795</v>
      </c>
    </row>
    <row r="279" spans="1:27" x14ac:dyDescent="0.3">
      <c r="A279" s="15" t="s">
        <v>1723</v>
      </c>
      <c r="B279" s="12" t="str">
        <f>IFERROR(INDEX(Mots!$B:$B,MATCH($A279,Mots!$A:$A,0)),"introuvable")</f>
        <v>la fierté</v>
      </c>
      <c r="Z279" s="15" t="s">
        <v>7795</v>
      </c>
    </row>
    <row r="280" spans="1:27" x14ac:dyDescent="0.3">
      <c r="A280" s="15" t="s">
        <v>1729</v>
      </c>
      <c r="B280" s="12" t="str">
        <f>IFERROR(INDEX(Mots!$B:$B,MATCH($A280,Mots!$A:$A,0)),"introuvable")</f>
        <v>la gratitude</v>
      </c>
      <c r="Z280" s="15" t="s">
        <v>7795</v>
      </c>
    </row>
    <row r="281" spans="1:27" x14ac:dyDescent="0.3">
      <c r="A281" s="15" t="s">
        <v>1736</v>
      </c>
      <c r="B281" s="12" t="str">
        <f>IFERROR(INDEX(Mots!$B:$B,MATCH($A281,Mots!$A:$A,0)),"introuvable")</f>
        <v>la joie</v>
      </c>
      <c r="Z281" s="15" t="s">
        <v>7795</v>
      </c>
    </row>
    <row r="282" spans="1:27" x14ac:dyDescent="0.3">
      <c r="A282" s="15" t="s">
        <v>1744</v>
      </c>
      <c r="B282" s="12" t="str">
        <f>IFERROR(INDEX(Mots!$B:$B,MATCH($A282,Mots!$A:$A,0)),"introuvable")</f>
        <v>la surprise</v>
      </c>
      <c r="Z282" s="15" t="s">
        <v>7795</v>
      </c>
    </row>
    <row r="283" spans="1:27" x14ac:dyDescent="0.3">
      <c r="A283" s="15" t="s">
        <v>1750</v>
      </c>
      <c r="B283" s="12" t="str">
        <f>IFERROR(INDEX(Mots!$B:$B,MATCH($A283,Mots!$A:$A,0)),"introuvable")</f>
        <v>l'amour</v>
      </c>
      <c r="Z283" s="15" t="s">
        <v>7795</v>
      </c>
    </row>
    <row r="284" spans="1:27" x14ac:dyDescent="0.3">
      <c r="A284" s="15" t="s">
        <v>1758</v>
      </c>
      <c r="B284" s="12" t="str">
        <f>IFERROR(INDEX(Mots!$B:$B,MATCH($A284,Mots!$A:$A,0)),"introuvable")</f>
        <v>le bonheur</v>
      </c>
      <c r="Z284" s="15" t="s">
        <v>7795</v>
      </c>
    </row>
    <row r="285" spans="1:27" x14ac:dyDescent="0.3">
      <c r="A285" s="15" t="s">
        <v>1764</v>
      </c>
      <c r="B285" s="12" t="str">
        <f>IFERROR(INDEX(Mots!$B:$B,MATCH($A285,Mots!$A:$A,0)),"introuvable")</f>
        <v>le courage</v>
      </c>
      <c r="Z285" s="15" t="s">
        <v>7795</v>
      </c>
      <c r="AA285" s="15" t="s">
        <v>7797</v>
      </c>
    </row>
    <row r="286" spans="1:27" x14ac:dyDescent="0.3">
      <c r="A286" s="15" t="s">
        <v>1778</v>
      </c>
      <c r="B286" s="12" t="str">
        <f>IFERROR(INDEX(Mots!$B:$B,MATCH($A286,Mots!$A:$A,0)),"introuvable")</f>
        <v>l'espoir</v>
      </c>
      <c r="Z286" s="15" t="s">
        <v>7795</v>
      </c>
    </row>
    <row r="287" spans="1:27" x14ac:dyDescent="0.3">
      <c r="A287" s="15" t="s">
        <v>1785</v>
      </c>
      <c r="B287" s="12" t="str">
        <f>IFERROR(INDEX(Mots!$B:$B,MATCH($A287,Mots!$A:$A,0)),"introuvable")</f>
        <v>l'auberge du Godet</v>
      </c>
      <c r="I287" s="15" t="s">
        <v>3785</v>
      </c>
      <c r="N287" s="15" t="s">
        <v>7732</v>
      </c>
    </row>
    <row r="288" spans="1:27" x14ac:dyDescent="0.3">
      <c r="A288" s="15" t="s">
        <v>1789</v>
      </c>
      <c r="B288" s="12" t="str">
        <f>IFERROR(INDEX(Mots!$B:$B,MATCH($A288,Mots!$A:$A,0)),"introuvable")</f>
        <v>le Refuge du Lac à Derborence</v>
      </c>
      <c r="I288" s="15" t="s">
        <v>3785</v>
      </c>
      <c r="N288" s="15" t="s">
        <v>7732</v>
      </c>
    </row>
    <row r="289" spans="1:14" x14ac:dyDescent="0.3">
      <c r="A289" s="15" t="s">
        <v>1793</v>
      </c>
      <c r="B289" s="12" t="str">
        <f>IFERROR(INDEX(Mots!$B:$B,MATCH($A289,Mots!$A:$A,0)),"introuvable")</f>
        <v>le lac de Derborence</v>
      </c>
      <c r="I289" s="15" t="s">
        <v>3785</v>
      </c>
      <c r="N289" s="15" t="s">
        <v>7732</v>
      </c>
    </row>
    <row r="290" spans="1:14" x14ac:dyDescent="0.3">
      <c r="A290" s="15" t="s">
        <v>1797</v>
      </c>
      <c r="B290" s="12" t="str">
        <f>IFERROR(INDEX(Mots!$B:$B,MATCH($A290,Mots!$A:$A,0)),"introuvable")</f>
        <v>la buvette de Dorbon</v>
      </c>
      <c r="I290" s="15" t="s">
        <v>3785</v>
      </c>
      <c r="N290" s="15" t="s">
        <v>7732</v>
      </c>
    </row>
    <row r="291" spans="1:14" x14ac:dyDescent="0.3">
      <c r="A291" s="15" t="s">
        <v>1801</v>
      </c>
      <c r="B291" s="12" t="str">
        <f>IFERROR(INDEX(Mots!$B:$B,MATCH($A291,Mots!$A:$A,0)),"introuvable")</f>
        <v>l'alpage d'Airoz ou Aïre</v>
      </c>
      <c r="I291" s="15" t="s">
        <v>3785</v>
      </c>
      <c r="N291" s="15" t="s">
        <v>7732</v>
      </c>
    </row>
    <row r="292" spans="1:14" x14ac:dyDescent="0.3">
      <c r="A292" s="15" t="s">
        <v>1805</v>
      </c>
      <c r="B292" s="12" t="str">
        <f>IFERROR(INDEX(Mots!$B:$B,MATCH($A292,Mots!$A:$A,0)),"introuvable")</f>
        <v>l'alpage de Flore</v>
      </c>
      <c r="I292" s="15" t="s">
        <v>3785</v>
      </c>
      <c r="N292" s="15" t="s">
        <v>7732</v>
      </c>
    </row>
    <row r="293" spans="1:14" x14ac:dyDescent="0.3">
      <c r="A293" s="15" t="s">
        <v>1809</v>
      </c>
      <c r="B293" s="12" t="str">
        <f>IFERROR(INDEX(Mots!$B:$B,MATCH($A293,Mots!$A:$A,0)),"introuvable")</f>
        <v>le lac des Trente pas</v>
      </c>
      <c r="I293" s="15" t="s">
        <v>3785</v>
      </c>
      <c r="N293" s="15" t="s">
        <v>7732</v>
      </c>
    </row>
    <row r="294" spans="1:14" x14ac:dyDescent="0.3">
      <c r="A294" s="15" t="s">
        <v>1813</v>
      </c>
      <c r="B294" s="12" t="str">
        <f>IFERROR(INDEX(Mots!$B:$B,MATCH($A294,Mots!$A:$A,0)),"introuvable")</f>
        <v>la croix de la Chia</v>
      </c>
      <c r="I294" s="15" t="s">
        <v>3785</v>
      </c>
      <c r="N294" s="15" t="s">
        <v>7732</v>
      </c>
    </row>
    <row r="295" spans="1:14" x14ac:dyDescent="0.3">
      <c r="A295" s="15" t="s">
        <v>1817</v>
      </c>
      <c r="B295" s="12" t="str">
        <f>IFERROR(INDEX(Mots!$B:$B,MATCH($A295,Mots!$A:$A,0)),"introuvable")</f>
        <v>le Gîte de Lodze</v>
      </c>
      <c r="I295" s="15" t="s">
        <v>3785</v>
      </c>
      <c r="N295" s="15" t="s">
        <v>7732</v>
      </c>
    </row>
    <row r="296" spans="1:14" x14ac:dyDescent="0.3">
      <c r="A296" s="15" t="s">
        <v>1821</v>
      </c>
      <c r="B296" s="12" t="str">
        <f>IFERROR(INDEX(Mots!$B:$B,MATCH($A296,Mots!$A:$A,0)),"introuvable")</f>
        <v>le restaurant de la Grand-Zour</v>
      </c>
      <c r="I296" s="15" t="s">
        <v>3785</v>
      </c>
      <c r="N296" s="15" t="s">
        <v>7732</v>
      </c>
    </row>
    <row r="297" spans="1:14" x14ac:dyDescent="0.3">
      <c r="A297" s="15" t="s">
        <v>1825</v>
      </c>
      <c r="B297" s="12" t="str">
        <f>IFERROR(INDEX(Mots!$B:$B,MATCH($A297,Mots!$A:$A,0)),"introuvable")</f>
        <v>la cabane de Prarochet</v>
      </c>
      <c r="I297" s="15" t="s">
        <v>3785</v>
      </c>
      <c r="N297" s="15" t="s">
        <v>7732</v>
      </c>
    </row>
    <row r="298" spans="1:14" x14ac:dyDescent="0.3">
      <c r="A298" s="15" t="s">
        <v>1829</v>
      </c>
      <c r="B298" s="12" t="str">
        <f>IFERROR(INDEX(Mots!$B:$B,MATCH($A298,Mots!$A:$A,0)),"introuvable")</f>
        <v>le barrage de la Grande Dixence</v>
      </c>
      <c r="I298" s="15" t="s">
        <v>3785</v>
      </c>
      <c r="N298" s="15" t="s">
        <v>7732</v>
      </c>
    </row>
    <row r="299" spans="1:14" x14ac:dyDescent="0.3">
      <c r="A299" s="15" t="s">
        <v>1833</v>
      </c>
      <c r="B299" s="12" t="str">
        <f>IFERROR(INDEX(Mots!$B:$B,MATCH($A299,Mots!$A:$A,0)),"introuvable")</f>
        <v>l'argent</v>
      </c>
      <c r="I299" s="15" t="s">
        <v>73</v>
      </c>
      <c r="N299" s="15" t="s">
        <v>7382</v>
      </c>
    </row>
    <row r="300" spans="1:14" x14ac:dyDescent="0.3">
      <c r="A300" s="15" t="s">
        <v>1841</v>
      </c>
      <c r="B300" s="12" t="str">
        <f>IFERROR(INDEX(Mots!$B:$B,MATCH($A300,Mots!$A:$A,0)),"introuvable")</f>
        <v>le salaire</v>
      </c>
      <c r="I300" s="15" t="s">
        <v>73</v>
      </c>
      <c r="N300" s="15" t="s">
        <v>7382</v>
      </c>
    </row>
    <row r="301" spans="1:14" x14ac:dyDescent="0.3">
      <c r="A301" s="15" t="s">
        <v>1846</v>
      </c>
      <c r="B301" s="12" t="str">
        <f>IFERROR(INDEX(Mots!$B:$B,MATCH($A301,Mots!$A:$A,0)),"introuvable")</f>
        <v>le fruit</v>
      </c>
      <c r="C301" s="15" t="s">
        <v>7747</v>
      </c>
      <c r="I301" s="15" t="s">
        <v>702</v>
      </c>
      <c r="N301" s="15" t="s">
        <v>7718</v>
      </c>
    </row>
    <row r="302" spans="1:14" x14ac:dyDescent="0.3">
      <c r="A302" s="15" t="s">
        <v>1852</v>
      </c>
      <c r="B302" s="12" t="str">
        <f>IFERROR(INDEX(Mots!$B:$B,MATCH($A302,Mots!$A:$A,0)),"introuvable")</f>
        <v>la pomme</v>
      </c>
      <c r="C302" s="15" t="s">
        <v>7747</v>
      </c>
      <c r="I302" s="15" t="s">
        <v>702</v>
      </c>
      <c r="N302" s="15" t="s">
        <v>7718</v>
      </c>
    </row>
    <row r="303" spans="1:14" x14ac:dyDescent="0.3">
      <c r="A303" s="15" t="s">
        <v>1857</v>
      </c>
      <c r="B303" s="12" t="str">
        <f>IFERROR(INDEX(Mots!$B:$B,MATCH($A303,Mots!$A:$A,0)),"introuvable")</f>
        <v>la poire</v>
      </c>
      <c r="C303" s="15" t="s">
        <v>7747</v>
      </c>
      <c r="I303" s="15" t="s">
        <v>702</v>
      </c>
      <c r="N303" s="15" t="s">
        <v>7718</v>
      </c>
    </row>
    <row r="304" spans="1:14" x14ac:dyDescent="0.3">
      <c r="A304" s="15" t="s">
        <v>1862</v>
      </c>
      <c r="B304" s="12" t="str">
        <f>IFERROR(INDEX(Mots!$B:$B,MATCH($A304,Mots!$A:$A,0)),"introuvable")</f>
        <v>le pruneau</v>
      </c>
      <c r="C304" s="15" t="s">
        <v>7747</v>
      </c>
      <c r="I304" s="15" t="s">
        <v>702</v>
      </c>
      <c r="N304" s="15" t="s">
        <v>7718</v>
      </c>
    </row>
    <row r="305" spans="1:14" x14ac:dyDescent="0.3">
      <c r="A305" s="15" t="s">
        <v>1867</v>
      </c>
      <c r="B305" s="12" t="str">
        <f>IFERROR(INDEX(Mots!$B:$B,MATCH($A305,Mots!$A:$A,0)),"introuvable")</f>
        <v>la cerise</v>
      </c>
      <c r="C305" s="15" t="s">
        <v>7747</v>
      </c>
      <c r="I305" s="15" t="s">
        <v>702</v>
      </c>
      <c r="N305" s="15" t="s">
        <v>7718</v>
      </c>
    </row>
    <row r="306" spans="1:14" x14ac:dyDescent="0.3">
      <c r="A306" s="15" t="s">
        <v>1872</v>
      </c>
      <c r="B306" s="12" t="str">
        <f>IFERROR(INDEX(Mots!$B:$B,MATCH($A306,Mots!$A:$A,0)),"introuvable")</f>
        <v>l'abricot</v>
      </c>
      <c r="C306" s="15" t="s">
        <v>7747</v>
      </c>
      <c r="I306" s="15" t="s">
        <v>702</v>
      </c>
      <c r="N306" s="15" t="s">
        <v>7718</v>
      </c>
    </row>
    <row r="307" spans="1:14" x14ac:dyDescent="0.3">
      <c r="A307" s="15" t="s">
        <v>1876</v>
      </c>
      <c r="B307" s="12" t="str">
        <f>IFERROR(INDEX(Mots!$B:$B,MATCH($A307,Mots!$A:$A,0)),"introuvable")</f>
        <v>la fraise</v>
      </c>
      <c r="C307" s="15" t="s">
        <v>7747</v>
      </c>
      <c r="I307" s="15" t="s">
        <v>702</v>
      </c>
      <c r="N307" s="15" t="s">
        <v>7718</v>
      </c>
    </row>
    <row r="308" spans="1:14" x14ac:dyDescent="0.3">
      <c r="A308" s="15" t="s">
        <v>1880</v>
      </c>
      <c r="B308" s="12" t="str">
        <f>IFERROR(INDEX(Mots!$B:$B,MATCH($A308,Mots!$A:$A,0)),"introuvable")</f>
        <v>la framboise</v>
      </c>
      <c r="C308" s="15" t="s">
        <v>7747</v>
      </c>
      <c r="I308" s="15" t="s">
        <v>702</v>
      </c>
      <c r="N308" s="15" t="s">
        <v>7718</v>
      </c>
    </row>
    <row r="309" spans="1:14" x14ac:dyDescent="0.3">
      <c r="A309" s="15" t="s">
        <v>1884</v>
      </c>
      <c r="B309" s="12" t="str">
        <f>IFERROR(INDEX(Mots!$B:$B,MATCH($A309,Mots!$A:$A,0)),"introuvable")</f>
        <v>la banane</v>
      </c>
      <c r="C309" s="15" t="s">
        <v>7747</v>
      </c>
      <c r="I309" s="15" t="s">
        <v>702</v>
      </c>
      <c r="N309" s="15" t="s">
        <v>7718</v>
      </c>
    </row>
    <row r="310" spans="1:14" x14ac:dyDescent="0.3">
      <c r="A310" s="15" t="s">
        <v>1889</v>
      </c>
      <c r="B310" s="12" t="str">
        <f>IFERROR(INDEX(Mots!$B:$B,MATCH($A310,Mots!$A:$A,0)),"introuvable")</f>
        <v>l'orange</v>
      </c>
      <c r="C310" s="15" t="s">
        <v>7747</v>
      </c>
      <c r="I310" s="15" t="s">
        <v>702</v>
      </c>
      <c r="N310" s="15" t="s">
        <v>7718</v>
      </c>
    </row>
    <row r="311" spans="1:14" x14ac:dyDescent="0.3">
      <c r="A311" s="15" t="s">
        <v>1894</v>
      </c>
      <c r="B311" s="12" t="str">
        <f>IFERROR(INDEX(Mots!$B:$B,MATCH($A311,Mots!$A:$A,0)),"introuvable")</f>
        <v>la mandarine</v>
      </c>
      <c r="C311" s="15" t="s">
        <v>7747</v>
      </c>
      <c r="I311" s="15" t="s">
        <v>702</v>
      </c>
      <c r="N311" s="15" t="s">
        <v>7718</v>
      </c>
    </row>
    <row r="312" spans="1:14" x14ac:dyDescent="0.3">
      <c r="A312" s="15" t="s">
        <v>1899</v>
      </c>
      <c r="B312" s="12" t="str">
        <f>IFERROR(INDEX(Mots!$B:$B,MATCH($A312,Mots!$A:$A,0)),"introuvable")</f>
        <v>l'avocat</v>
      </c>
      <c r="C312" s="15" t="s">
        <v>2816</v>
      </c>
      <c r="I312" s="15" t="s">
        <v>702</v>
      </c>
      <c r="N312" s="15" t="s">
        <v>7718</v>
      </c>
    </row>
    <row r="313" spans="1:14" x14ac:dyDescent="0.3">
      <c r="A313" s="15" t="s">
        <v>1903</v>
      </c>
      <c r="B313" s="12" t="str">
        <f>IFERROR(INDEX(Mots!$B:$B,MATCH($A313,Mots!$A:$A,0)),"introuvable")</f>
        <v>la noix</v>
      </c>
      <c r="C313" s="15" t="s">
        <v>7747</v>
      </c>
      <c r="I313" s="15" t="s">
        <v>702</v>
      </c>
      <c r="N313" s="15" t="s">
        <v>7718</v>
      </c>
    </row>
    <row r="314" spans="1:14" x14ac:dyDescent="0.3">
      <c r="A314" s="15" t="s">
        <v>1907</v>
      </c>
      <c r="B314" s="12" t="str">
        <f>IFERROR(INDEX(Mots!$B:$B,MATCH($A314,Mots!$A:$A,0)),"introuvable")</f>
        <v>la pêche</v>
      </c>
      <c r="C314" s="15" t="s">
        <v>7747</v>
      </c>
      <c r="I314" s="15" t="s">
        <v>702</v>
      </c>
      <c r="N314" s="15" t="s">
        <v>7718</v>
      </c>
    </row>
    <row r="315" spans="1:14" x14ac:dyDescent="0.3">
      <c r="A315" s="15" t="s">
        <v>1911</v>
      </c>
      <c r="B315" s="12" t="str">
        <f>IFERROR(INDEX(Mots!$B:$B,MATCH($A315,Mots!$A:$A,0)),"introuvable")</f>
        <v>le raisin</v>
      </c>
      <c r="C315" s="15" t="s">
        <v>7747</v>
      </c>
      <c r="I315" s="15" t="s">
        <v>702</v>
      </c>
      <c r="N315" s="15" t="s">
        <v>7718</v>
      </c>
    </row>
    <row r="316" spans="1:14" x14ac:dyDescent="0.3">
      <c r="A316" s="15" t="s">
        <v>1915</v>
      </c>
      <c r="B316" s="12" t="str">
        <f>IFERROR(INDEX(Mots!$B:$B,MATCH($A316,Mots!$A:$A,0)),"introuvable")</f>
        <v>la fourmi</v>
      </c>
      <c r="C316" s="15" t="s">
        <v>1169</v>
      </c>
      <c r="I316" s="15" t="s">
        <v>3785</v>
      </c>
    </row>
    <row r="317" spans="1:14" x14ac:dyDescent="0.3">
      <c r="A317" s="15" t="s">
        <v>1919</v>
      </c>
      <c r="B317" s="12" t="str">
        <f>IFERROR(INDEX(Mots!$B:$B,MATCH($A317,Mots!$A:$A,0)),"introuvable")</f>
        <v>la mouche</v>
      </c>
      <c r="C317" s="15" t="s">
        <v>1169</v>
      </c>
      <c r="I317" s="15" t="s">
        <v>3785</v>
      </c>
    </row>
    <row r="318" spans="1:14" x14ac:dyDescent="0.3">
      <c r="A318" s="15" t="s">
        <v>1923</v>
      </c>
      <c r="B318" s="12" t="str">
        <f>IFERROR(INDEX(Mots!$B:$B,MATCH($A318,Mots!$A:$A,0)),"introuvable")</f>
        <v>la toile</v>
      </c>
      <c r="C318" s="15" t="s">
        <v>4650</v>
      </c>
      <c r="I318" s="15" t="s">
        <v>3785</v>
      </c>
    </row>
    <row r="319" spans="1:14" x14ac:dyDescent="0.3">
      <c r="A319" s="15" t="s">
        <v>1927</v>
      </c>
      <c r="B319" s="12" t="str">
        <f>IFERROR(INDEX(Mots!$B:$B,MATCH($A319,Mots!$A:$A,0)),"introuvable")</f>
        <v>l'abeille</v>
      </c>
      <c r="C319" s="15" t="s">
        <v>1169</v>
      </c>
      <c r="I319" s="15" t="s">
        <v>3785</v>
      </c>
    </row>
    <row r="320" spans="1:14" x14ac:dyDescent="0.3">
      <c r="A320" s="15" t="s">
        <v>1931</v>
      </c>
      <c r="B320" s="12" t="str">
        <f>IFERROR(INDEX(Mots!$B:$B,MATCH($A320,Mots!$A:$A,0)),"introuvable")</f>
        <v>l'araignée</v>
      </c>
      <c r="C320" s="15" t="s">
        <v>1169</v>
      </c>
      <c r="I320" s="15" t="s">
        <v>3785</v>
      </c>
    </row>
    <row r="321" spans="1:14" x14ac:dyDescent="0.3">
      <c r="A321" s="15" t="s">
        <v>1935</v>
      </c>
      <c r="B321" s="12" t="str">
        <f>IFERROR(INDEX(Mots!$B:$B,MATCH($A321,Mots!$A:$A,0)),"introuvable")</f>
        <v>le papillon</v>
      </c>
      <c r="C321" s="15" t="s">
        <v>1169</v>
      </c>
      <c r="I321" s="15" t="s">
        <v>3785</v>
      </c>
    </row>
    <row r="322" spans="1:14" x14ac:dyDescent="0.3">
      <c r="A322" s="15" t="s">
        <v>1939</v>
      </c>
      <c r="B322" s="12" t="str">
        <f>IFERROR(INDEX(Mots!$B:$B,MATCH($A322,Mots!$A:$A,0)),"introuvable")</f>
        <v>l'insecte</v>
      </c>
      <c r="C322" s="15" t="s">
        <v>1169</v>
      </c>
      <c r="I322" s="15" t="s">
        <v>3785</v>
      </c>
    </row>
    <row r="323" spans="1:14" x14ac:dyDescent="0.3">
      <c r="A323" s="15" t="s">
        <v>1942</v>
      </c>
      <c r="B323" s="12" t="str">
        <f>IFERROR(INDEX(Mots!$B:$B,MATCH($A323,Mots!$A:$A,0)),"introuvable")</f>
        <v>la guitare</v>
      </c>
      <c r="C323" s="15" t="s">
        <v>7738</v>
      </c>
      <c r="I323" s="15" t="s">
        <v>7716</v>
      </c>
      <c r="N323" s="15" t="s">
        <v>7730</v>
      </c>
    </row>
    <row r="324" spans="1:14" x14ac:dyDescent="0.3">
      <c r="A324" s="15" t="s">
        <v>1950</v>
      </c>
      <c r="B324" s="12" t="str">
        <f>IFERROR(INDEX(Mots!$B:$B,MATCH($A324,Mots!$A:$A,0)),"introuvable")</f>
        <v>le piano</v>
      </c>
      <c r="C324" s="15" t="s">
        <v>7738</v>
      </c>
      <c r="I324" s="15" t="s">
        <v>7716</v>
      </c>
      <c r="N324" s="15" t="s">
        <v>7730</v>
      </c>
    </row>
    <row r="325" spans="1:14" x14ac:dyDescent="0.3">
      <c r="A325" s="15" t="s">
        <v>1954</v>
      </c>
      <c r="B325" s="12" t="str">
        <f>IFERROR(INDEX(Mots!$B:$B,MATCH($A325,Mots!$A:$A,0)),"introuvable")</f>
        <v>la batterie</v>
      </c>
      <c r="C325" s="15" t="s">
        <v>7738</v>
      </c>
      <c r="I325" s="15" t="s">
        <v>7716</v>
      </c>
      <c r="N325" s="15" t="s">
        <v>7730</v>
      </c>
    </row>
    <row r="326" spans="1:14" x14ac:dyDescent="0.3">
      <c r="A326" s="15" t="s">
        <v>1958</v>
      </c>
      <c r="B326" s="12" t="str">
        <f>IFERROR(INDEX(Mots!$B:$B,MATCH($A326,Mots!$A:$A,0)),"introuvable")</f>
        <v>la grosse caisse</v>
      </c>
      <c r="C326" s="15" t="s">
        <v>7738</v>
      </c>
      <c r="I326" s="15" t="s">
        <v>7716</v>
      </c>
      <c r="N326" s="15" t="s">
        <v>7730</v>
      </c>
    </row>
    <row r="327" spans="1:14" x14ac:dyDescent="0.3">
      <c r="A327" s="15" t="s">
        <v>1962</v>
      </c>
      <c r="B327" s="12" t="str">
        <f>IFERROR(INDEX(Mots!$B:$B,MATCH($A327,Mots!$A:$A,0)),"introuvable")</f>
        <v>les cymbales</v>
      </c>
      <c r="C327" s="15" t="s">
        <v>7738</v>
      </c>
      <c r="I327" s="15" t="s">
        <v>7716</v>
      </c>
      <c r="N327" s="15" t="s">
        <v>7730</v>
      </c>
    </row>
    <row r="328" spans="1:14" x14ac:dyDescent="0.3">
      <c r="A328" s="15" t="s">
        <v>1965</v>
      </c>
      <c r="B328" s="12" t="str">
        <f>IFERROR(INDEX(Mots!$B:$B,MATCH($A328,Mots!$A:$A,0)),"introuvable")</f>
        <v>les timbales</v>
      </c>
      <c r="C328" s="15" t="s">
        <v>7738</v>
      </c>
      <c r="I328" s="15" t="s">
        <v>7716</v>
      </c>
      <c r="N328" s="15" t="s">
        <v>7730</v>
      </c>
    </row>
    <row r="329" spans="1:14" x14ac:dyDescent="0.3">
      <c r="A329" s="15" t="s">
        <v>1968</v>
      </c>
      <c r="B329" s="12" t="str">
        <f>IFERROR(INDEX(Mots!$B:$B,MATCH($A329,Mots!$A:$A,0)),"introuvable")</f>
        <v>le xylophone</v>
      </c>
      <c r="C329" s="15" t="s">
        <v>7738</v>
      </c>
      <c r="I329" s="15" t="s">
        <v>7716</v>
      </c>
      <c r="N329" s="15" t="s">
        <v>7730</v>
      </c>
    </row>
    <row r="330" spans="1:14" x14ac:dyDescent="0.3">
      <c r="A330" s="15" t="s">
        <v>1971</v>
      </c>
      <c r="B330" s="12" t="str">
        <f>IFERROR(INDEX(Mots!$B:$B,MATCH($A330,Mots!$A:$A,0)),"introuvable")</f>
        <v>le vibraphone</v>
      </c>
      <c r="C330" s="15" t="s">
        <v>4650</v>
      </c>
      <c r="I330" s="15" t="s">
        <v>7716</v>
      </c>
      <c r="N330" s="15" t="s">
        <v>7730</v>
      </c>
    </row>
    <row r="331" spans="1:14" x14ac:dyDescent="0.3">
      <c r="A331" s="15" t="s">
        <v>1974</v>
      </c>
      <c r="B331" s="12" t="str">
        <f>IFERROR(INDEX(Mots!$B:$B,MATCH($A331,Mots!$A:$A,0)),"introuvable")</f>
        <v>le marimba</v>
      </c>
      <c r="C331" s="15" t="s">
        <v>4650</v>
      </c>
      <c r="I331" s="15" t="s">
        <v>7716</v>
      </c>
      <c r="N331" s="15" t="s">
        <v>7730</v>
      </c>
    </row>
    <row r="332" spans="1:14" x14ac:dyDescent="0.3">
      <c r="A332" s="15" t="s">
        <v>1977</v>
      </c>
      <c r="B332" s="12" t="str">
        <f>IFERROR(INDEX(Mots!$B:$B,MATCH($A332,Mots!$A:$A,0)),"introuvable")</f>
        <v>le tambour</v>
      </c>
      <c r="I332" s="15" t="s">
        <v>7716</v>
      </c>
      <c r="N332" s="15" t="s">
        <v>7730</v>
      </c>
    </row>
    <row r="333" spans="1:14" x14ac:dyDescent="0.3">
      <c r="A333" s="15" t="s">
        <v>1985</v>
      </c>
      <c r="B333" s="12" t="str">
        <f>IFERROR(INDEX(Mots!$B:$B,MATCH($A333,Mots!$A:$A,0)),"introuvable")</f>
        <v>le cornet</v>
      </c>
      <c r="C333" s="15" t="s">
        <v>7738</v>
      </c>
      <c r="I333" s="15" t="s">
        <v>7716</v>
      </c>
      <c r="N333" s="15" t="s">
        <v>7730</v>
      </c>
    </row>
    <row r="334" spans="1:14" x14ac:dyDescent="0.3">
      <c r="A334" s="15" t="s">
        <v>1988</v>
      </c>
      <c r="B334" s="12" t="str">
        <f>IFERROR(INDEX(Mots!$B:$B,MATCH($A334,Mots!$A:$A,0)),"introuvable")</f>
        <v>le bugle</v>
      </c>
      <c r="C334" s="15" t="s">
        <v>7738</v>
      </c>
      <c r="I334" s="15" t="s">
        <v>7716</v>
      </c>
      <c r="N334" s="15" t="s">
        <v>7730</v>
      </c>
    </row>
    <row r="335" spans="1:14" x14ac:dyDescent="0.3">
      <c r="A335" s="15" t="s">
        <v>1992</v>
      </c>
      <c r="B335" s="12" t="str">
        <f>IFERROR(INDEX(Mots!$B:$B,MATCH($A335,Mots!$A:$A,0)),"introuvable")</f>
        <v>l'alto</v>
      </c>
      <c r="C335" s="15" t="s">
        <v>7738</v>
      </c>
      <c r="I335" s="15" t="s">
        <v>7716</v>
      </c>
      <c r="N335" s="15" t="s">
        <v>7730</v>
      </c>
    </row>
    <row r="336" spans="1:14" x14ac:dyDescent="0.3">
      <c r="A336" s="15" t="s">
        <v>1996</v>
      </c>
      <c r="B336" s="12" t="str">
        <f>IFERROR(INDEX(Mots!$B:$B,MATCH($A336,Mots!$A:$A,0)),"introuvable")</f>
        <v>le baryton</v>
      </c>
      <c r="C336" s="15" t="s">
        <v>7738</v>
      </c>
      <c r="I336" s="15" t="s">
        <v>7716</v>
      </c>
      <c r="N336" s="15" t="s">
        <v>7730</v>
      </c>
    </row>
    <row r="337" spans="1:14" x14ac:dyDescent="0.3">
      <c r="A337" s="15" t="s">
        <v>2000</v>
      </c>
      <c r="B337" s="12" t="str">
        <f>IFERROR(INDEX(Mots!$B:$B,MATCH($A337,Mots!$A:$A,0)),"introuvable")</f>
        <v>l'euphonium</v>
      </c>
      <c r="C337" s="15" t="s">
        <v>7738</v>
      </c>
      <c r="I337" s="15" t="s">
        <v>7716</v>
      </c>
      <c r="N337" s="15" t="s">
        <v>7730</v>
      </c>
    </row>
    <row r="338" spans="1:14" x14ac:dyDescent="0.3">
      <c r="A338" s="15" t="s">
        <v>2004</v>
      </c>
      <c r="B338" s="12" t="str">
        <f>IFERROR(INDEX(Mots!$B:$B,MATCH($A338,Mots!$A:$A,0)),"introuvable")</f>
        <v>la basse</v>
      </c>
      <c r="C338" s="15" t="s">
        <v>7738</v>
      </c>
      <c r="I338" s="15" t="s">
        <v>7716</v>
      </c>
      <c r="N338" s="15" t="s">
        <v>7730</v>
      </c>
    </row>
    <row r="339" spans="1:14" x14ac:dyDescent="0.3">
      <c r="A339" s="15" t="s">
        <v>2008</v>
      </c>
      <c r="B339" s="12" t="str">
        <f>IFERROR(INDEX(Mots!$B:$B,MATCH($A339,Mots!$A:$A,0)),"introuvable")</f>
        <v>le trombone</v>
      </c>
      <c r="C339" s="15" t="s">
        <v>7738</v>
      </c>
      <c r="I339" s="15" t="s">
        <v>7716</v>
      </c>
      <c r="N339" s="15" t="s">
        <v>7730</v>
      </c>
    </row>
    <row r="340" spans="1:14" x14ac:dyDescent="0.3">
      <c r="A340" s="15" t="s">
        <v>2012</v>
      </c>
      <c r="B340" s="12" t="str">
        <f>IFERROR(INDEX(Mots!$B:$B,MATCH($A340,Mots!$A:$A,0)),"introuvable")</f>
        <v>le légume</v>
      </c>
      <c r="C340" s="15" t="s">
        <v>7747</v>
      </c>
      <c r="I340" s="15" t="s">
        <v>702</v>
      </c>
      <c r="N340" s="15" t="s">
        <v>7718</v>
      </c>
    </row>
    <row r="341" spans="1:14" x14ac:dyDescent="0.3">
      <c r="A341" s="15" t="s">
        <v>9407</v>
      </c>
      <c r="B341" s="12" t="str">
        <f>IFERROR(INDEX(Mots!$B:$B,MATCH($A341,Mots!$A:$A,0)),"introuvable")</f>
        <v>la pomme de terre</v>
      </c>
      <c r="C341" s="15" t="s">
        <v>7747</v>
      </c>
      <c r="I341" s="15" t="s">
        <v>702</v>
      </c>
      <c r="N341" s="15" t="s">
        <v>7718</v>
      </c>
    </row>
    <row r="342" spans="1:14" x14ac:dyDescent="0.3">
      <c r="A342" s="15" t="s">
        <v>2020</v>
      </c>
      <c r="B342" s="12" t="str">
        <f>IFERROR(INDEX(Mots!$B:$B,MATCH($A342,Mots!$A:$A,0)),"introuvable")</f>
        <v>la carotte</v>
      </c>
      <c r="C342" s="15" t="s">
        <v>7747</v>
      </c>
      <c r="I342" s="15" t="s">
        <v>702</v>
      </c>
      <c r="N342" s="15" t="s">
        <v>7718</v>
      </c>
    </row>
    <row r="343" spans="1:14" x14ac:dyDescent="0.3">
      <c r="A343" s="15" t="s">
        <v>2024</v>
      </c>
      <c r="B343" s="12" t="str">
        <f>IFERROR(INDEX(Mots!$B:$B,MATCH($A343,Mots!$A:$A,0)),"introuvable")</f>
        <v>la tomate</v>
      </c>
      <c r="C343" s="15" t="s">
        <v>7747</v>
      </c>
      <c r="I343" s="15" t="s">
        <v>702</v>
      </c>
      <c r="N343" s="15" t="s">
        <v>7718</v>
      </c>
    </row>
    <row r="344" spans="1:14" x14ac:dyDescent="0.3">
      <c r="A344" s="15" t="s">
        <v>2028</v>
      </c>
      <c r="B344" s="12" t="str">
        <f>IFERROR(INDEX(Mots!$B:$B,MATCH($A344,Mots!$A:$A,0)),"introuvable")</f>
        <v>le chou-fleur</v>
      </c>
      <c r="C344" s="15" t="s">
        <v>7747</v>
      </c>
      <c r="I344" s="15" t="s">
        <v>702</v>
      </c>
      <c r="N344" s="15" t="s">
        <v>7718</v>
      </c>
    </row>
    <row r="345" spans="1:14" x14ac:dyDescent="0.3">
      <c r="A345" s="15" t="s">
        <v>2032</v>
      </c>
      <c r="B345" s="12" t="str">
        <f>IFERROR(INDEX(Mots!$B:$B,MATCH($A345,Mots!$A:$A,0)),"introuvable")</f>
        <v>le poireau</v>
      </c>
      <c r="C345" s="15" t="s">
        <v>7747</v>
      </c>
      <c r="I345" s="15" t="s">
        <v>702</v>
      </c>
      <c r="N345" s="15" t="s">
        <v>7718</v>
      </c>
    </row>
    <row r="346" spans="1:14" x14ac:dyDescent="0.3">
      <c r="A346" s="15" t="s">
        <v>2036</v>
      </c>
      <c r="B346" s="12" t="str">
        <f>IFERROR(INDEX(Mots!$B:$B,MATCH($A346,Mots!$A:$A,0)),"introuvable")</f>
        <v>le brocoli</v>
      </c>
      <c r="C346" s="15" t="s">
        <v>7747</v>
      </c>
      <c r="I346" s="15" t="s">
        <v>702</v>
      </c>
      <c r="N346" s="15" t="s">
        <v>7718</v>
      </c>
    </row>
    <row r="347" spans="1:14" x14ac:dyDescent="0.3">
      <c r="A347" s="15" t="s">
        <v>2040</v>
      </c>
      <c r="B347" s="12" t="str">
        <f>IFERROR(INDEX(Mots!$B:$B,MATCH($A347,Mots!$A:$A,0)),"introuvable")</f>
        <v>l'asperge</v>
      </c>
      <c r="C347" s="15" t="s">
        <v>7747</v>
      </c>
      <c r="I347" s="15" t="s">
        <v>702</v>
      </c>
      <c r="N347" s="15" t="s">
        <v>7718</v>
      </c>
    </row>
    <row r="348" spans="1:14" x14ac:dyDescent="0.3">
      <c r="A348" s="15" t="s">
        <v>2044</v>
      </c>
      <c r="B348" s="12" t="str">
        <f>IFERROR(INDEX(Mots!$B:$B,MATCH($A348,Mots!$A:$A,0)),"introuvable")</f>
        <v>la courgette</v>
      </c>
      <c r="C348" s="15" t="s">
        <v>7747</v>
      </c>
      <c r="I348" s="15" t="s">
        <v>702</v>
      </c>
      <c r="N348" s="15" t="s">
        <v>7718</v>
      </c>
    </row>
    <row r="349" spans="1:14" x14ac:dyDescent="0.3">
      <c r="A349" s="15" t="s">
        <v>2048</v>
      </c>
      <c r="B349" s="12" t="str">
        <f>IFERROR(INDEX(Mots!$B:$B,MATCH($A349,Mots!$A:$A,0)),"introuvable")</f>
        <v>la salade (laitue)</v>
      </c>
      <c r="C349" s="15" t="s">
        <v>7747</v>
      </c>
      <c r="I349" s="15" t="s">
        <v>702</v>
      </c>
      <c r="N349" s="15" t="s">
        <v>7718</v>
      </c>
    </row>
    <row r="350" spans="1:14" x14ac:dyDescent="0.3">
      <c r="A350" s="15" t="s">
        <v>2055</v>
      </c>
      <c r="B350" s="12" t="str">
        <f>IFERROR(INDEX(Mots!$B:$B,MATCH($A350,Mots!$A:$A,0)),"introuvable")</f>
        <v>la betterave à salade</v>
      </c>
      <c r="C350" s="15" t="s">
        <v>7747</v>
      </c>
      <c r="I350" s="15" t="s">
        <v>702</v>
      </c>
      <c r="N350" s="15" t="s">
        <v>7718</v>
      </c>
    </row>
    <row r="351" spans="1:14" x14ac:dyDescent="0.3">
      <c r="A351" s="15" t="s">
        <v>2059</v>
      </c>
      <c r="B351" s="12" t="str">
        <f>IFERROR(INDEX(Mots!$B:$B,MATCH($A351,Mots!$A:$A,0)),"introuvable")</f>
        <v>le haricot</v>
      </c>
      <c r="C351" s="15" t="s">
        <v>7747</v>
      </c>
      <c r="I351" s="15" t="s">
        <v>702</v>
      </c>
      <c r="N351" s="15" t="s">
        <v>7718</v>
      </c>
    </row>
    <row r="352" spans="1:14" x14ac:dyDescent="0.3">
      <c r="A352" s="15" t="s">
        <v>2063</v>
      </c>
      <c r="B352" s="12" t="str">
        <f>IFERROR(INDEX(Mots!$B:$B,MATCH($A352,Mots!$A:$A,0)),"introuvable")</f>
        <v>l'oignon</v>
      </c>
      <c r="C352" s="15" t="s">
        <v>7747</v>
      </c>
      <c r="I352" s="15" t="s">
        <v>702</v>
      </c>
      <c r="N352" s="15" t="s">
        <v>7718</v>
      </c>
    </row>
    <row r="353" spans="1:14" x14ac:dyDescent="0.3">
      <c r="A353" s="15" t="s">
        <v>2067</v>
      </c>
      <c r="B353" s="12" t="str">
        <f>IFERROR(INDEX(Mots!$B:$B,MATCH($A353,Mots!$A:$A,0)),"introuvable")</f>
        <v>la ville de Sion</v>
      </c>
      <c r="I353" s="15" t="s">
        <v>82</v>
      </c>
    </row>
    <row r="354" spans="1:14" x14ac:dyDescent="0.3">
      <c r="A354" s="15" t="s">
        <v>2072</v>
      </c>
      <c r="B354" s="12" t="str">
        <f>IFERROR(INDEX(Mots!$B:$B,MATCH($A354,Mots!$A:$A,0)),"introuvable")</f>
        <v>Vétroz</v>
      </c>
      <c r="I354" s="15" t="s">
        <v>82</v>
      </c>
    </row>
    <row r="355" spans="1:14" x14ac:dyDescent="0.3">
      <c r="A355" s="15" t="s">
        <v>82</v>
      </c>
      <c r="B355" s="12" t="str">
        <f>IFERROR(INDEX(Mots!$B:$B,MATCH($A355,Mots!$A:$A,0)),"introuvable")</f>
        <v>la ville</v>
      </c>
      <c r="I355" s="15" t="s">
        <v>82</v>
      </c>
    </row>
    <row r="356" spans="1:14" x14ac:dyDescent="0.3">
      <c r="A356" s="15" t="s">
        <v>2080</v>
      </c>
      <c r="B356" s="12" t="str">
        <f>IFERROR(INDEX(Mots!$B:$B,MATCH($A356,Mots!$A:$A,0)),"introuvable")</f>
        <v>la rue</v>
      </c>
      <c r="I356" s="15" t="s">
        <v>82</v>
      </c>
    </row>
    <row r="357" spans="1:14" x14ac:dyDescent="0.3">
      <c r="A357" s="15" t="s">
        <v>2089</v>
      </c>
      <c r="B357" s="12" t="str">
        <f>IFERROR(INDEX(Mots!$B:$B,MATCH($A357,Mots!$A:$A,0)),"introuvable")</f>
        <v>le pont</v>
      </c>
      <c r="I357" s="15" t="s">
        <v>82</v>
      </c>
    </row>
    <row r="358" spans="1:14" x14ac:dyDescent="0.3">
      <c r="A358" s="15" t="s">
        <v>2094</v>
      </c>
      <c r="B358" s="12" t="str">
        <f>IFERROR(INDEX(Mots!$B:$B,MATCH($A358,Mots!$A:$A,0)),"introuvable")</f>
        <v>le tunnel</v>
      </c>
      <c r="I358" s="15" t="s">
        <v>82</v>
      </c>
    </row>
    <row r="359" spans="1:14" x14ac:dyDescent="0.3">
      <c r="A359" s="15" t="s">
        <v>2098</v>
      </c>
      <c r="B359" s="12" t="str">
        <f>IFERROR(INDEX(Mots!$B:$B,MATCH($A359,Mots!$A:$A,0)),"introuvable")</f>
        <v>le parc</v>
      </c>
      <c r="I359" s="15" t="s">
        <v>82</v>
      </c>
    </row>
    <row r="360" spans="1:14" x14ac:dyDescent="0.3">
      <c r="A360" s="15" t="s">
        <v>2107</v>
      </c>
      <c r="B360" s="12" t="str">
        <f>IFERROR(INDEX(Mots!$B:$B,MATCH($A360,Mots!$A:$A,0)),"introuvable")</f>
        <v>le Bureau des Métiers</v>
      </c>
      <c r="I360" s="15" t="s">
        <v>82</v>
      </c>
    </row>
    <row r="361" spans="1:14" x14ac:dyDescent="0.3">
      <c r="A361" s="15" t="s">
        <v>2111</v>
      </c>
      <c r="B361" s="12" t="str">
        <f>IFERROR(INDEX(Mots!$B:$B,MATCH($A361,Mots!$A:$A,0)),"introuvable")</f>
        <v>Hôtel de police à Genève</v>
      </c>
      <c r="I361" s="15" t="s">
        <v>82</v>
      </c>
    </row>
    <row r="362" spans="1:14" x14ac:dyDescent="0.3">
      <c r="A362" s="15" t="s">
        <v>2115</v>
      </c>
      <c r="B362" s="12" t="str">
        <f>IFERROR(INDEX(Mots!$B:$B,MATCH($A362,Mots!$A:$A,0)),"introuvable")</f>
        <v>le CHUV - Hôpital Universitaire Vaudois</v>
      </c>
      <c r="I362" s="15" t="s">
        <v>82</v>
      </c>
    </row>
    <row r="363" spans="1:14" x14ac:dyDescent="0.3">
      <c r="A363" s="15" t="s">
        <v>2119</v>
      </c>
      <c r="B363" s="12" t="str">
        <f>IFERROR(INDEX(Mots!$B:$B,MATCH($A363,Mots!$A:$A,0)),"introuvable")</f>
        <v>le doigt</v>
      </c>
      <c r="E363" s="15" t="s">
        <v>46</v>
      </c>
      <c r="N363" s="15" t="s">
        <v>7725</v>
      </c>
    </row>
    <row r="364" spans="1:14" x14ac:dyDescent="0.3">
      <c r="A364" s="15" t="s">
        <v>2123</v>
      </c>
      <c r="B364" s="12" t="str">
        <f>IFERROR(INDEX(Mots!$B:$B,MATCH($A364,Mots!$A:$A,0)),"introuvable")</f>
        <v>la main</v>
      </c>
      <c r="E364" s="15" t="s">
        <v>46</v>
      </c>
      <c r="N364" s="15" t="s">
        <v>7725</v>
      </c>
    </row>
    <row r="365" spans="1:14" x14ac:dyDescent="0.3">
      <c r="A365" s="15" t="s">
        <v>2128</v>
      </c>
      <c r="B365" s="12" t="str">
        <f>IFERROR(INDEX(Mots!$B:$B,MATCH($A365,Mots!$A:$A,0)),"introuvable")</f>
        <v>le bras</v>
      </c>
      <c r="E365" s="15" t="s">
        <v>46</v>
      </c>
      <c r="N365" s="15" t="s">
        <v>7725</v>
      </c>
    </row>
    <row r="366" spans="1:14" x14ac:dyDescent="0.3">
      <c r="A366" s="15" t="s">
        <v>2133</v>
      </c>
      <c r="B366" s="12" t="str">
        <f>IFERROR(INDEX(Mots!$B:$B,MATCH($A366,Mots!$A:$A,0)),"introuvable")</f>
        <v>la jambe</v>
      </c>
      <c r="E366" s="15" t="s">
        <v>46</v>
      </c>
      <c r="N366" s="15" t="s">
        <v>7725</v>
      </c>
    </row>
    <row r="367" spans="1:14" x14ac:dyDescent="0.3">
      <c r="A367" s="15" t="s">
        <v>2138</v>
      </c>
      <c r="B367" s="12" t="str">
        <f>IFERROR(INDEX(Mots!$B:$B,MATCH($A367,Mots!$A:$A,0)),"introuvable")</f>
        <v>la cuisse</v>
      </c>
      <c r="E367" s="15" t="s">
        <v>46</v>
      </c>
      <c r="N367" s="15" t="s">
        <v>7725</v>
      </c>
    </row>
    <row r="368" spans="1:14" x14ac:dyDescent="0.3">
      <c r="A368" s="15" t="s">
        <v>2143</v>
      </c>
      <c r="B368" s="12" t="str">
        <f>IFERROR(INDEX(Mots!$B:$B,MATCH($A368,Mots!$A:$A,0)),"introuvable")</f>
        <v>le pied</v>
      </c>
      <c r="E368" s="15" t="s">
        <v>46</v>
      </c>
      <c r="N368" s="15" t="s">
        <v>7725</v>
      </c>
    </row>
    <row r="369" spans="1:14" x14ac:dyDescent="0.3">
      <c r="A369" s="15" t="s">
        <v>2152</v>
      </c>
      <c r="B369" s="12" t="str">
        <f>IFERROR(INDEX(Mots!$B:$B,MATCH($A369,Mots!$A:$A,0)),"introuvable")</f>
        <v>le coude</v>
      </c>
      <c r="E369" s="15" t="s">
        <v>46</v>
      </c>
      <c r="N369" s="15" t="s">
        <v>7725</v>
      </c>
    </row>
    <row r="370" spans="1:14" x14ac:dyDescent="0.3">
      <c r="A370" s="15" t="s">
        <v>2156</v>
      </c>
      <c r="B370" s="12" t="str">
        <f>IFERROR(INDEX(Mots!$B:$B,MATCH($A370,Mots!$A:$A,0)),"introuvable")</f>
        <v>le genou</v>
      </c>
      <c r="E370" s="15" t="s">
        <v>46</v>
      </c>
      <c r="N370" s="15" t="s">
        <v>7725</v>
      </c>
    </row>
    <row r="371" spans="1:14" x14ac:dyDescent="0.3">
      <c r="A371" s="15" t="s">
        <v>2160</v>
      </c>
      <c r="B371" s="12" t="str">
        <f>IFERROR(INDEX(Mots!$B:$B,MATCH($A371,Mots!$A:$A,0)),"introuvable")</f>
        <v>le médecin</v>
      </c>
      <c r="I371" s="15" t="s">
        <v>73</v>
      </c>
      <c r="N371" s="15" t="s">
        <v>7382</v>
      </c>
    </row>
    <row r="372" spans="1:14" x14ac:dyDescent="0.3">
      <c r="A372" s="15" t="s">
        <v>2169</v>
      </c>
      <c r="B372" s="12" t="str">
        <f>IFERROR(INDEX(Mots!$B:$B,MATCH($A372,Mots!$A:$A,0)),"introuvable")</f>
        <v>la doctoresse</v>
      </c>
      <c r="I372" s="15" t="s">
        <v>73</v>
      </c>
      <c r="N372" s="15" t="s">
        <v>7382</v>
      </c>
    </row>
    <row r="373" spans="1:14" x14ac:dyDescent="0.3">
      <c r="A373" s="15" t="s">
        <v>2173</v>
      </c>
      <c r="B373" s="12" t="str">
        <f>IFERROR(INDEX(Mots!$B:$B,MATCH($A373,Mots!$A:$A,0)),"introuvable")</f>
        <v>le policier</v>
      </c>
      <c r="I373" s="15" t="s">
        <v>73</v>
      </c>
      <c r="N373" s="15" t="s">
        <v>7382</v>
      </c>
    </row>
    <row r="374" spans="1:14" x14ac:dyDescent="0.3">
      <c r="A374" s="15" t="s">
        <v>2178</v>
      </c>
      <c r="B374" s="12" t="str">
        <f>IFERROR(INDEX(Mots!$B:$B,MATCH($A374,Mots!$A:$A,0)),"introuvable")</f>
        <v>le charpentier</v>
      </c>
      <c r="I374" s="15" t="s">
        <v>73</v>
      </c>
      <c r="N374" s="15" t="s">
        <v>7382</v>
      </c>
    </row>
    <row r="375" spans="1:14" x14ac:dyDescent="0.3">
      <c r="A375" s="15" t="s">
        <v>2182</v>
      </c>
      <c r="B375" s="12" t="str">
        <f>IFERROR(INDEX(Mots!$B:$B,MATCH($A375,Mots!$A:$A,0)),"introuvable")</f>
        <v>le maçon</v>
      </c>
      <c r="I375" s="15" t="s">
        <v>73</v>
      </c>
      <c r="N375" s="15" t="s">
        <v>7382</v>
      </c>
    </row>
    <row r="376" spans="1:14" x14ac:dyDescent="0.3">
      <c r="A376" s="15" t="s">
        <v>2186</v>
      </c>
      <c r="B376" s="12" t="str">
        <f>IFERROR(INDEX(Mots!$B:$B,MATCH($A376,Mots!$A:$A,0)),"introuvable")</f>
        <v>l'installateur sanitaire</v>
      </c>
      <c r="I376" s="15" t="s">
        <v>73</v>
      </c>
      <c r="N376" s="15" t="s">
        <v>7382</v>
      </c>
    </row>
    <row r="377" spans="1:14" x14ac:dyDescent="0.3">
      <c r="A377" s="15" t="s">
        <v>2190</v>
      </c>
      <c r="B377" s="12" t="str">
        <f>IFERROR(INDEX(Mots!$B:$B,MATCH($A377,Mots!$A:$A,0)),"introuvable")</f>
        <v>le ferblantier</v>
      </c>
      <c r="I377" s="15" t="s">
        <v>73</v>
      </c>
      <c r="N377" s="15" t="s">
        <v>7382</v>
      </c>
    </row>
    <row r="378" spans="1:14" x14ac:dyDescent="0.3">
      <c r="A378" s="15" t="s">
        <v>2194</v>
      </c>
      <c r="B378" s="12" t="str">
        <f>IFERROR(INDEX(Mots!$B:$B,MATCH($A378,Mots!$A:$A,0)),"introuvable")</f>
        <v>le menuisier</v>
      </c>
      <c r="I378" s="15" t="s">
        <v>73</v>
      </c>
      <c r="N378" s="15" t="s">
        <v>7382</v>
      </c>
    </row>
    <row r="379" spans="1:14" x14ac:dyDescent="0.3">
      <c r="A379" s="15" t="s">
        <v>2198</v>
      </c>
      <c r="B379" s="12" t="str">
        <f>IFERROR(INDEX(Mots!$B:$B,MATCH($A379,Mots!$A:$A,0)),"introuvable")</f>
        <v>le poseur de cuisine</v>
      </c>
      <c r="I379" s="15" t="s">
        <v>73</v>
      </c>
      <c r="N379" s="15" t="s">
        <v>7382</v>
      </c>
    </row>
    <row r="380" spans="1:14" x14ac:dyDescent="0.3">
      <c r="A380" s="15" t="s">
        <v>9531</v>
      </c>
      <c r="B380" s="12" t="str">
        <f>IFERROR(INDEX(Mots!$B:$B,MATCH($A380,Mots!$A:$A,0)),"introuvable")</f>
        <v>le mécanicien</v>
      </c>
      <c r="I380" s="15" t="s">
        <v>73</v>
      </c>
      <c r="N380" s="15" t="s">
        <v>7382</v>
      </c>
    </row>
    <row r="381" spans="1:14" x14ac:dyDescent="0.3">
      <c r="A381" s="15" t="s">
        <v>2204</v>
      </c>
      <c r="B381" s="12" t="str">
        <f>IFERROR(INDEX(Mots!$B:$B,MATCH($A381,Mots!$A:$A,0)),"introuvable")</f>
        <v>le cuisinier</v>
      </c>
      <c r="I381" s="15" t="s">
        <v>73</v>
      </c>
      <c r="N381" s="15" t="s">
        <v>7382</v>
      </c>
    </row>
    <row r="382" spans="1:14" x14ac:dyDescent="0.3">
      <c r="A382" s="15" t="s">
        <v>2208</v>
      </c>
      <c r="B382" s="12" t="str">
        <f>IFERROR(INDEX(Mots!$B:$B,MATCH($A382,Mots!$A:$A,0)),"introuvable")</f>
        <v>le boulanger</v>
      </c>
      <c r="I382" s="15" t="s">
        <v>73</v>
      </c>
      <c r="N382" s="15" t="s">
        <v>7382</v>
      </c>
    </row>
    <row r="383" spans="1:14" x14ac:dyDescent="0.3">
      <c r="A383" s="15" t="s">
        <v>2212</v>
      </c>
      <c r="B383" s="12" t="str">
        <f>IFERROR(INDEX(Mots!$B:$B,MATCH($A383,Mots!$A:$A,0)),"introuvable")</f>
        <v>le chauffeur</v>
      </c>
      <c r="I383" s="15" t="s">
        <v>73</v>
      </c>
      <c r="N383" s="15" t="s">
        <v>7382</v>
      </c>
    </row>
    <row r="384" spans="1:14" x14ac:dyDescent="0.3">
      <c r="A384" s="15" t="s">
        <v>2216</v>
      </c>
      <c r="B384" s="12" t="str">
        <f>IFERROR(INDEX(Mots!$B:$B,MATCH($A384,Mots!$A:$A,0)),"introuvable")</f>
        <v>le dessinateur</v>
      </c>
      <c r="I384" s="15" t="s">
        <v>73</v>
      </c>
      <c r="N384" s="15" t="s">
        <v>7382</v>
      </c>
    </row>
    <row r="385" spans="1:19" x14ac:dyDescent="0.3">
      <c r="A385" s="15" t="s">
        <v>2220</v>
      </c>
      <c r="B385" s="12" t="str">
        <f>IFERROR(INDEX(Mots!$B:$B,MATCH($A385,Mots!$A:$A,0)),"introuvable")</f>
        <v>le professeur</v>
      </c>
      <c r="I385" s="15" t="s">
        <v>73</v>
      </c>
      <c r="N385" s="15" t="s">
        <v>7382</v>
      </c>
    </row>
    <row r="386" spans="1:19" x14ac:dyDescent="0.3">
      <c r="A386" s="15" t="s">
        <v>2229</v>
      </c>
      <c r="B386" s="12" t="str">
        <f>IFERROR(INDEX(Mots!$B:$B,MATCH($A386,Mots!$A:$A,0)),"introuvable")</f>
        <v>l'acteur</v>
      </c>
      <c r="I386" s="15" t="s">
        <v>73</v>
      </c>
      <c r="N386" s="15" t="s">
        <v>7382</v>
      </c>
    </row>
    <row r="387" spans="1:19" x14ac:dyDescent="0.3">
      <c r="A387" s="15" t="s">
        <v>2237</v>
      </c>
      <c r="B387" s="12" t="str">
        <f>IFERROR(INDEX(Mots!$B:$B,MATCH($A387,Mots!$A:$A,0)),"introuvable")</f>
        <v>l'agriculteur</v>
      </c>
      <c r="I387" s="15" t="s">
        <v>73</v>
      </c>
      <c r="N387" s="15" t="s">
        <v>7382</v>
      </c>
    </row>
    <row r="388" spans="1:19" x14ac:dyDescent="0.3">
      <c r="A388" s="15" t="s">
        <v>2245</v>
      </c>
      <c r="B388" s="12" t="str">
        <f>IFERROR(INDEX(Mots!$B:$B,MATCH($A388,Mots!$A:$A,0)),"introuvable")</f>
        <v>le banquier</v>
      </c>
      <c r="I388" s="15" t="s">
        <v>73</v>
      </c>
      <c r="N388" s="15" t="s">
        <v>7382</v>
      </c>
    </row>
    <row r="389" spans="1:19" x14ac:dyDescent="0.3">
      <c r="A389" s="15" t="s">
        <v>2252</v>
      </c>
      <c r="B389" s="12" t="str">
        <f>IFERROR(INDEX(Mots!$B:$B,MATCH($A389,Mots!$A:$A,0)),"introuvable")</f>
        <v>le chanteur</v>
      </c>
      <c r="I389" s="15" t="s">
        <v>73</v>
      </c>
      <c r="N389" s="15" t="s">
        <v>7382</v>
      </c>
    </row>
    <row r="390" spans="1:19" x14ac:dyDescent="0.3">
      <c r="A390" s="15" t="s">
        <v>2260</v>
      </c>
      <c r="B390" s="12" t="str">
        <f>IFERROR(INDEX(Mots!$B:$B,MATCH($A390,Mots!$A:$A,0)),"introuvable")</f>
        <v>le facteur</v>
      </c>
      <c r="I390" s="15" t="s">
        <v>73</v>
      </c>
      <c r="N390" s="15" t="s">
        <v>7382</v>
      </c>
    </row>
    <row r="391" spans="1:19" x14ac:dyDescent="0.3">
      <c r="A391" s="15" t="s">
        <v>2268</v>
      </c>
      <c r="B391" s="12" t="str">
        <f>IFERROR(INDEX(Mots!$B:$B,MATCH($A391,Mots!$A:$A,0)),"introuvable")</f>
        <v>le peintre</v>
      </c>
      <c r="I391" s="15" t="s">
        <v>73</v>
      </c>
      <c r="N391" s="15" t="s">
        <v>7382</v>
      </c>
    </row>
    <row r="392" spans="1:19" x14ac:dyDescent="0.3">
      <c r="A392" s="15" t="s">
        <v>2276</v>
      </c>
      <c r="B392" s="12" t="str">
        <f>IFERROR(INDEX(Mots!$B:$B,MATCH($A392,Mots!$A:$A,0)),"introuvable")</f>
        <v>le pompier</v>
      </c>
      <c r="I392" s="15" t="s">
        <v>73</v>
      </c>
      <c r="N392" s="15" t="s">
        <v>7382</v>
      </c>
    </row>
    <row r="393" spans="1:19" x14ac:dyDescent="0.3">
      <c r="A393" s="15" t="s">
        <v>2284</v>
      </c>
      <c r="B393" s="12" t="str">
        <f>IFERROR(INDEX(Mots!$B:$B,MATCH($A393,Mots!$A:$A,0)),"introuvable")</f>
        <v>le vendeur</v>
      </c>
      <c r="I393" s="15" t="s">
        <v>73</v>
      </c>
      <c r="N393" s="15" t="s">
        <v>7382</v>
      </c>
    </row>
    <row r="394" spans="1:19" x14ac:dyDescent="0.3">
      <c r="A394" s="15" t="s">
        <v>2288</v>
      </c>
      <c r="B394" s="12" t="str">
        <f>IFERROR(INDEX(Mots!$B:$B,MATCH($A394,Mots!$A:$A,0)),"introuvable")</f>
        <v>l'écrivain</v>
      </c>
      <c r="I394" s="15" t="s">
        <v>73</v>
      </c>
      <c r="N394" s="15" t="s">
        <v>7382</v>
      </c>
    </row>
    <row r="395" spans="1:19" x14ac:dyDescent="0.3">
      <c r="A395" s="15" t="s">
        <v>2296</v>
      </c>
      <c r="B395" s="12" t="str">
        <f>IFERROR(INDEX(Mots!$B:$B,MATCH($A395,Mots!$A:$A,0)),"introuvable")</f>
        <v>l'infirmier</v>
      </c>
      <c r="I395" s="15" t="s">
        <v>73</v>
      </c>
      <c r="N395" s="15" t="s">
        <v>7382</v>
      </c>
    </row>
    <row r="396" spans="1:19" x14ac:dyDescent="0.3">
      <c r="A396" s="15" t="s">
        <v>2304</v>
      </c>
      <c r="B396" s="12" t="str">
        <f>IFERROR(INDEX(Mots!$B:$B,MATCH($A396,Mots!$A:$A,0)),"introuvable")</f>
        <v>blanc</v>
      </c>
      <c r="S396" s="15" t="s">
        <v>2325</v>
      </c>
    </row>
    <row r="397" spans="1:19" x14ac:dyDescent="0.3">
      <c r="A397" s="15" t="s">
        <v>2309</v>
      </c>
      <c r="B397" s="12" t="str">
        <f>IFERROR(INDEX(Mots!$B:$B,MATCH($A397,Mots!$A:$A,0)),"introuvable")</f>
        <v>bleu</v>
      </c>
      <c r="S397" s="15" t="s">
        <v>2325</v>
      </c>
    </row>
    <row r="398" spans="1:19" x14ac:dyDescent="0.3">
      <c r="A398" s="15" t="s">
        <v>2313</v>
      </c>
      <c r="B398" s="12" t="str">
        <f>IFERROR(INDEX(Mots!$B:$B,MATCH($A398,Mots!$A:$A,0)),"introuvable")</f>
        <v>gris</v>
      </c>
      <c r="S398" s="15" t="s">
        <v>2325</v>
      </c>
    </row>
    <row r="399" spans="1:19" x14ac:dyDescent="0.3">
      <c r="A399" s="15" t="s">
        <v>2317</v>
      </c>
      <c r="B399" s="12" t="str">
        <f>IFERROR(INDEX(Mots!$B:$B,MATCH($A399,Mots!$A:$A,0)),"introuvable")</f>
        <v>jaune</v>
      </c>
      <c r="S399" s="15" t="s">
        <v>2325</v>
      </c>
    </row>
    <row r="400" spans="1:19" x14ac:dyDescent="0.3">
      <c r="A400" s="15" t="s">
        <v>2321</v>
      </c>
      <c r="B400" s="12" t="str">
        <f>IFERROR(INDEX(Mots!$B:$B,MATCH($A400,Mots!$A:$A,0)),"introuvable")</f>
        <v>la clé</v>
      </c>
      <c r="C400" s="15" t="s">
        <v>4650</v>
      </c>
      <c r="I400" s="15" t="s">
        <v>34</v>
      </c>
    </row>
    <row r="401" spans="1:20" x14ac:dyDescent="0.3">
      <c r="A401" s="15" t="s">
        <v>2325</v>
      </c>
      <c r="B401" s="12" t="str">
        <f>IFERROR(INDEX(Mots!$B:$B,MATCH($A401,Mots!$A:$A,0)),"introuvable")</f>
        <v>la couleur</v>
      </c>
      <c r="S401" s="15" t="s">
        <v>2325</v>
      </c>
    </row>
    <row r="402" spans="1:20" x14ac:dyDescent="0.3">
      <c r="A402" s="15" t="s">
        <v>2329</v>
      </c>
      <c r="B402" s="12" t="str">
        <f>IFERROR(INDEX(Mots!$B:$B,MATCH($A402,Mots!$A:$A,0)),"introuvable")</f>
        <v>le chargeur</v>
      </c>
      <c r="C402" s="15" t="s">
        <v>5293</v>
      </c>
    </row>
    <row r="403" spans="1:20" x14ac:dyDescent="0.3">
      <c r="A403" s="15" t="s">
        <v>2333</v>
      </c>
      <c r="B403" s="12" t="str">
        <f>IFERROR(INDEX(Mots!$B:$B,MATCH($A403,Mots!$A:$A,0)),"introuvable")</f>
        <v>le porte-monnaie</v>
      </c>
      <c r="C403" s="15" t="s">
        <v>6222</v>
      </c>
      <c r="I403" s="15" t="s">
        <v>34</v>
      </c>
      <c r="J403" s="15" t="s">
        <v>2851</v>
      </c>
      <c r="K403" s="15" t="s">
        <v>73</v>
      </c>
      <c r="N403" s="15" t="s">
        <v>7727</v>
      </c>
      <c r="O403" s="15" t="s">
        <v>7382</v>
      </c>
    </row>
    <row r="404" spans="1:20" x14ac:dyDescent="0.3">
      <c r="A404" s="15" t="s">
        <v>2337</v>
      </c>
      <c r="B404" s="12" t="str">
        <f>IFERROR(INDEX(Mots!$B:$B,MATCH($A404,Mots!$A:$A,0)),"introuvable")</f>
        <v>le téléphone ou l'Iphone</v>
      </c>
      <c r="C404" s="15" t="s">
        <v>5293</v>
      </c>
    </row>
    <row r="405" spans="1:20" x14ac:dyDescent="0.3">
      <c r="A405" s="15" t="s">
        <v>2342</v>
      </c>
      <c r="B405" s="12" t="str">
        <f>IFERROR(INDEX(Mots!$B:$B,MATCH($A405,Mots!$A:$A,0)),"introuvable")</f>
        <v>l'Ipad ou la tablette</v>
      </c>
      <c r="C405" s="15" t="s">
        <v>5293</v>
      </c>
      <c r="I405" s="15" t="s">
        <v>702</v>
      </c>
      <c r="J405" s="15" t="s">
        <v>73</v>
      </c>
      <c r="K405" s="15" t="s">
        <v>7716</v>
      </c>
      <c r="N405" s="15" t="s">
        <v>7382</v>
      </c>
      <c r="O405" s="15" t="s">
        <v>7730</v>
      </c>
    </row>
    <row r="406" spans="1:20" x14ac:dyDescent="0.3">
      <c r="A406" s="15" t="s">
        <v>2346</v>
      </c>
      <c r="B406" s="12" t="str">
        <f>IFERROR(INDEX(Mots!$B:$B,MATCH($A406,Mots!$A:$A,0)),"introuvable")</f>
        <v>marron</v>
      </c>
      <c r="S406" s="15" t="s">
        <v>2325</v>
      </c>
    </row>
    <row r="407" spans="1:20" x14ac:dyDescent="0.3">
      <c r="A407" s="15" t="s">
        <v>2350</v>
      </c>
      <c r="B407" s="12" t="str">
        <f>IFERROR(INDEX(Mots!$B:$B,MATCH($A407,Mots!$A:$A,0)),"introuvable")</f>
        <v>noir</v>
      </c>
      <c r="S407" s="15" t="s">
        <v>2325</v>
      </c>
      <c r="T407" s="15" t="s">
        <v>7779</v>
      </c>
    </row>
    <row r="408" spans="1:20" x14ac:dyDescent="0.3">
      <c r="A408" s="15" t="s">
        <v>2354</v>
      </c>
      <c r="B408" s="12" t="str">
        <f>IFERROR(INDEX(Mots!$B:$B,MATCH($A408,Mots!$A:$A,0)),"introuvable")</f>
        <v>orange</v>
      </c>
      <c r="S408" s="15" t="s">
        <v>2325</v>
      </c>
    </row>
    <row r="409" spans="1:20" x14ac:dyDescent="0.3">
      <c r="A409" s="15" t="s">
        <v>2357</v>
      </c>
      <c r="B409" s="12" t="str">
        <f>IFERROR(INDEX(Mots!$B:$B,MATCH($A409,Mots!$A:$A,0)),"introuvable")</f>
        <v>rose</v>
      </c>
      <c r="S409" s="15" t="s">
        <v>2325</v>
      </c>
      <c r="T409" s="15" t="s">
        <v>7779</v>
      </c>
    </row>
    <row r="410" spans="1:20" x14ac:dyDescent="0.3">
      <c r="A410" s="15" t="s">
        <v>2361</v>
      </c>
      <c r="B410" s="12" t="str">
        <f>IFERROR(INDEX(Mots!$B:$B,MATCH($A410,Mots!$A:$A,0)),"introuvable")</f>
        <v>rouge</v>
      </c>
      <c r="S410" s="15" t="s">
        <v>2325</v>
      </c>
    </row>
    <row r="411" spans="1:20" x14ac:dyDescent="0.3">
      <c r="A411" s="15" t="s">
        <v>2365</v>
      </c>
      <c r="B411" s="12" t="str">
        <f>IFERROR(INDEX(Mots!$B:$B,MATCH($A411,Mots!$A:$A,0)),"introuvable")</f>
        <v>vert</v>
      </c>
      <c r="S411" s="15" t="s">
        <v>2325</v>
      </c>
    </row>
    <row r="412" spans="1:20" x14ac:dyDescent="0.3">
      <c r="A412" s="15" t="s">
        <v>2369</v>
      </c>
      <c r="B412" s="12" t="str">
        <f>IFERROR(INDEX(Mots!$B:$B,MATCH($A412,Mots!$A:$A,0)),"introuvable")</f>
        <v>amer  ↔  acide</v>
      </c>
      <c r="S412" s="15" t="s">
        <v>7366</v>
      </c>
      <c r="T412" s="15" t="s">
        <v>5849</v>
      </c>
    </row>
    <row r="413" spans="1:20" x14ac:dyDescent="0.3">
      <c r="A413" s="15" t="s">
        <v>2373</v>
      </c>
      <c r="B413" s="12" t="str">
        <f>IFERROR(INDEX(Mots!$B:$B,MATCH($A413,Mots!$A:$A,0)),"introuvable")</f>
        <v>beau  ↔  laid</v>
      </c>
      <c r="S413" s="15" t="s">
        <v>7779</v>
      </c>
    </row>
    <row r="414" spans="1:20" x14ac:dyDescent="0.3">
      <c r="A414" s="15" t="s">
        <v>2378</v>
      </c>
      <c r="B414" s="12" t="str">
        <f>IFERROR(INDEX(Mots!$B:$B,MATCH($A414,Mots!$A:$A,0)),"introuvable")</f>
        <v>bon  ↔  mauvais</v>
      </c>
      <c r="S414" s="15" t="s">
        <v>5849</v>
      </c>
    </row>
    <row r="415" spans="1:20" x14ac:dyDescent="0.3">
      <c r="A415" s="15" t="s">
        <v>2384</v>
      </c>
      <c r="B415" s="12" t="str">
        <f>IFERROR(INDEX(Mots!$B:$B,MATCH($A415,Mots!$A:$A,0)),"introuvable")</f>
        <v>brillant  ↔  terne</v>
      </c>
      <c r="S415" s="15" t="s">
        <v>7779</v>
      </c>
    </row>
    <row r="416" spans="1:20" x14ac:dyDescent="0.3">
      <c r="A416" s="15" t="s">
        <v>2388</v>
      </c>
      <c r="B416" s="12" t="str">
        <f>IFERROR(INDEX(Mots!$B:$B,MATCH($A416,Mots!$A:$A,0)),"introuvable")</f>
        <v>calme  ↔  agité (énervé)</v>
      </c>
      <c r="S416" s="15" t="s">
        <v>7786</v>
      </c>
    </row>
    <row r="417" spans="1:21" x14ac:dyDescent="0.3">
      <c r="A417" s="15" t="s">
        <v>2394</v>
      </c>
      <c r="B417" s="12" t="str">
        <f>IFERROR(INDEX(Mots!$B:$B,MATCH($A417,Mots!$A:$A,0)),"introuvable")</f>
        <v>chaud  ↔  froid</v>
      </c>
      <c r="S417" s="15" t="s">
        <v>7771</v>
      </c>
    </row>
    <row r="418" spans="1:21" x14ac:dyDescent="0.3">
      <c r="A418" s="15" t="s">
        <v>2400</v>
      </c>
      <c r="B418" s="12" t="str">
        <f>IFERROR(INDEX(Mots!$B:$B,MATCH($A418,Mots!$A:$A,0)),"introuvable")</f>
        <v>cher  ↔  bon marché</v>
      </c>
      <c r="S418" s="15" t="s">
        <v>6204</v>
      </c>
    </row>
    <row r="419" spans="1:21" x14ac:dyDescent="0.3">
      <c r="A419" s="15" t="s">
        <v>2405</v>
      </c>
      <c r="B419" s="12" t="str">
        <f>IFERROR(INDEX(Mots!$B:$B,MATCH($A419,Mots!$A:$A,0)),"introuvable")</f>
        <v>clair  ↔  sombre</v>
      </c>
      <c r="S419" s="15" t="s">
        <v>7779</v>
      </c>
    </row>
    <row r="420" spans="1:21" x14ac:dyDescent="0.3">
      <c r="A420" s="15" t="s">
        <v>2411</v>
      </c>
      <c r="B420" s="12" t="str">
        <f>IFERROR(INDEX(Mots!$B:$B,MATCH($A420,Mots!$A:$A,0)),"introuvable")</f>
        <v>content  ↔  triste</v>
      </c>
      <c r="S420" s="15" t="s">
        <v>7786</v>
      </c>
    </row>
    <row r="421" spans="1:21" x14ac:dyDescent="0.3">
      <c r="A421" s="15" t="s">
        <v>2417</v>
      </c>
      <c r="B421" s="12" t="str">
        <f>IFERROR(INDEX(Mots!$B:$B,MATCH($A421,Mots!$A:$A,0)),"introuvable")</f>
        <v>courageux  ↔  peureux</v>
      </c>
      <c r="S421" s="15" t="s">
        <v>7775</v>
      </c>
      <c r="T421" s="15" t="s">
        <v>7783</v>
      </c>
    </row>
    <row r="422" spans="1:21" x14ac:dyDescent="0.3">
      <c r="A422" s="15" t="s">
        <v>2423</v>
      </c>
      <c r="B422" s="12" t="str">
        <f>IFERROR(INDEX(Mots!$B:$B,MATCH($A422,Mots!$A:$A,0)),"introuvable")</f>
        <v>dessus  ↔  dessous</v>
      </c>
      <c r="S422" s="15" t="s">
        <v>7768</v>
      </c>
      <c r="T422" s="15" t="s">
        <v>7783</v>
      </c>
    </row>
    <row r="423" spans="1:21" x14ac:dyDescent="0.3">
      <c r="A423" s="15" t="s">
        <v>2427</v>
      </c>
      <c r="B423" s="12" t="str">
        <f>IFERROR(INDEX(Mots!$B:$B,MATCH($A423,Mots!$A:$A,0)),"introuvable")</f>
        <v>devant  ↔  derrière</v>
      </c>
      <c r="S423" s="15" t="s">
        <v>7783</v>
      </c>
    </row>
    <row r="424" spans="1:21" x14ac:dyDescent="0.3">
      <c r="A424" s="15" t="s">
        <v>2431</v>
      </c>
      <c r="B424" s="12" t="str">
        <f>IFERROR(INDEX(Mots!$B:$B,MATCH($A424,Mots!$A:$A,0)),"introuvable")</f>
        <v>drôle  ↔  sérieux</v>
      </c>
      <c r="S424" s="15" t="s">
        <v>7786</v>
      </c>
    </row>
    <row r="425" spans="1:21" x14ac:dyDescent="0.3">
      <c r="A425" s="15" t="s">
        <v>2437</v>
      </c>
      <c r="B425" s="12" t="str">
        <f>IFERROR(INDEX(Mots!$B:$B,MATCH($A425,Mots!$A:$A,0)),"introuvable")</f>
        <v>dur  ↔  mou</v>
      </c>
      <c r="S425" s="15" t="s">
        <v>4450</v>
      </c>
      <c r="T425" s="15" t="s">
        <v>7366</v>
      </c>
      <c r="U425" s="15" t="s">
        <v>7781</v>
      </c>
    </row>
    <row r="426" spans="1:21" x14ac:dyDescent="0.3">
      <c r="A426" s="15" t="s">
        <v>2443</v>
      </c>
      <c r="B426" s="12" t="str">
        <f>IFERROR(INDEX(Mots!$B:$B,MATCH($A426,Mots!$A:$A,0)),"introuvable")</f>
        <v>épais  ↔  fin</v>
      </c>
      <c r="S426" s="15" t="s">
        <v>7768</v>
      </c>
    </row>
    <row r="427" spans="1:21" x14ac:dyDescent="0.3">
      <c r="A427" s="15" t="s">
        <v>2449</v>
      </c>
      <c r="B427" s="12" t="str">
        <f>IFERROR(INDEX(Mots!$B:$B,MATCH($A427,Mots!$A:$A,0)),"introuvable")</f>
        <v>facile  ↔  difficile</v>
      </c>
      <c r="S427" s="15" t="s">
        <v>7781</v>
      </c>
    </row>
    <row r="428" spans="1:21" x14ac:dyDescent="0.3">
      <c r="A428" s="15" t="s">
        <v>2455</v>
      </c>
      <c r="B428" s="12" t="str">
        <f>IFERROR(INDEX(Mots!$B:$B,MATCH($A428,Mots!$A:$A,0)),"introuvable")</f>
        <v>fermé  ↔  ouvert</v>
      </c>
      <c r="S428" s="15" t="s">
        <v>7783</v>
      </c>
    </row>
    <row r="429" spans="1:21" x14ac:dyDescent="0.3">
      <c r="A429" s="15" t="s">
        <v>2461</v>
      </c>
      <c r="B429" s="12" t="str">
        <f>IFERROR(INDEX(Mots!$B:$B,MATCH($A429,Mots!$A:$A,0)),"introuvable")</f>
        <v>fort  ↔  faible</v>
      </c>
      <c r="S429" s="15" t="s">
        <v>7768</v>
      </c>
    </row>
    <row r="430" spans="1:21" x14ac:dyDescent="0.3">
      <c r="A430" s="15" t="s">
        <v>2467</v>
      </c>
      <c r="B430" s="12" t="str">
        <f>IFERROR(INDEX(Mots!$B:$B,MATCH($A430,Mots!$A:$A,0)),"introuvable")</f>
        <v>gentil  ↔  méchant</v>
      </c>
      <c r="S430" s="15" t="s">
        <v>7775</v>
      </c>
      <c r="T430" s="15" t="s">
        <v>7783</v>
      </c>
    </row>
    <row r="431" spans="1:21" x14ac:dyDescent="0.3">
      <c r="A431" s="15" t="s">
        <v>2474</v>
      </c>
      <c r="B431" s="12" t="str">
        <f>IFERROR(INDEX(Mots!$B:$B,MATCH($A431,Mots!$A:$A,0)),"introuvable")</f>
        <v>grand  ↔  petit</v>
      </c>
      <c r="S431" s="15" t="s">
        <v>7768</v>
      </c>
    </row>
    <row r="432" spans="1:21" x14ac:dyDescent="0.3">
      <c r="A432" s="15" t="s">
        <v>2480</v>
      </c>
      <c r="B432" s="12" t="str">
        <f>IFERROR(INDEX(Mots!$B:$B,MATCH($A432,Mots!$A:$A,0)),"introuvable")</f>
        <v>gros  ↔  mince</v>
      </c>
      <c r="S432" s="15" t="s">
        <v>7768</v>
      </c>
    </row>
    <row r="433" spans="1:20" x14ac:dyDescent="0.3">
      <c r="A433" s="15" t="s">
        <v>2485</v>
      </c>
      <c r="B433" s="12" t="str">
        <f>IFERROR(INDEX(Mots!$B:$B,MATCH($A433,Mots!$A:$A,0)),"introuvable")</f>
        <v>haut  ↔  bas</v>
      </c>
      <c r="S433" s="15" t="s">
        <v>7768</v>
      </c>
      <c r="T433" s="15" t="s">
        <v>7783</v>
      </c>
    </row>
    <row r="434" spans="1:20" x14ac:dyDescent="0.3">
      <c r="A434" s="15" t="s">
        <v>2491</v>
      </c>
      <c r="B434" s="12" t="str">
        <f>IFERROR(INDEX(Mots!$B:$B,MATCH($A434,Mots!$A:$A,0)),"introuvable")</f>
        <v>intelligent  ↔  bête</v>
      </c>
      <c r="S434" s="15" t="s">
        <v>3025</v>
      </c>
    </row>
    <row r="435" spans="1:20" x14ac:dyDescent="0.3">
      <c r="A435" s="15" t="s">
        <v>2497</v>
      </c>
      <c r="B435" s="12" t="str">
        <f>IFERROR(INDEX(Mots!$B:$B,MATCH($A435,Mots!$A:$A,0)),"introuvable")</f>
        <v>jeune  ↔  vieux</v>
      </c>
      <c r="S435" s="15" t="s">
        <v>7768</v>
      </c>
      <c r="T435" s="15" t="s">
        <v>7777</v>
      </c>
    </row>
    <row r="436" spans="1:20" x14ac:dyDescent="0.3">
      <c r="A436" s="15" t="s">
        <v>2503</v>
      </c>
      <c r="B436" s="12" t="str">
        <f>IFERROR(INDEX(Mots!$B:$B,MATCH($A436,Mots!$A:$A,0)),"introuvable")</f>
        <v>large  ↔  étroit</v>
      </c>
      <c r="S436" s="15" t="s">
        <v>7768</v>
      </c>
    </row>
    <row r="437" spans="1:20" x14ac:dyDescent="0.3">
      <c r="A437" s="15" t="s">
        <v>2509</v>
      </c>
      <c r="B437" s="12" t="str">
        <f>IFERROR(INDEX(Mots!$B:$B,MATCH($A437,Mots!$A:$A,0)),"introuvable")</f>
        <v>libre  ↔  occupé</v>
      </c>
      <c r="S437" s="15" t="s">
        <v>6204</v>
      </c>
    </row>
    <row r="438" spans="1:20" x14ac:dyDescent="0.3">
      <c r="A438" s="15" t="s">
        <v>2513</v>
      </c>
      <c r="B438" s="12" t="str">
        <f>IFERROR(INDEX(Mots!$B:$B,MATCH($A438,Mots!$A:$A,0)),"introuvable")</f>
        <v>long  ↔  court</v>
      </c>
      <c r="S438" s="15" t="s">
        <v>7768</v>
      </c>
    </row>
    <row r="439" spans="1:20" x14ac:dyDescent="0.3">
      <c r="A439" s="15" t="s">
        <v>2519</v>
      </c>
      <c r="B439" s="12" t="str">
        <f>IFERROR(INDEX(Mots!$B:$B,MATCH($A439,Mots!$A:$A,0)),"introuvable")</f>
        <v>lourd  ↔  léger</v>
      </c>
      <c r="S439" s="15" t="s">
        <v>7779</v>
      </c>
    </row>
    <row r="440" spans="1:20" x14ac:dyDescent="0.3">
      <c r="A440" s="15" t="s">
        <v>2525</v>
      </c>
      <c r="B440" s="12" t="str">
        <f>IFERROR(INDEX(Mots!$B:$B,MATCH($A440,Mots!$A:$A,0)),"introuvable")</f>
        <v>neuf  ↔  usé</v>
      </c>
      <c r="S440" s="15" t="s">
        <v>7777</v>
      </c>
    </row>
    <row r="441" spans="1:20" x14ac:dyDescent="0.3">
      <c r="A441" s="15" t="s">
        <v>2531</v>
      </c>
      <c r="B441" s="12" t="str">
        <f>IFERROR(INDEX(Mots!$B:$B,MATCH($A441,Mots!$A:$A,0)),"introuvable")</f>
        <v>nouveau  ↔  ancien</v>
      </c>
      <c r="S441" s="15" t="s">
        <v>7777</v>
      </c>
    </row>
    <row r="442" spans="1:20" x14ac:dyDescent="0.3">
      <c r="A442" s="15" t="s">
        <v>2549</v>
      </c>
      <c r="B442" s="12" t="str">
        <f>IFERROR(INDEX(Mots!$B:$B,MATCH($A442,Mots!$A:$A,0)),"introuvable")</f>
        <v>propre  ↔  sale</v>
      </c>
      <c r="S442" s="15" t="s">
        <v>5849</v>
      </c>
      <c r="T442" s="15" t="s">
        <v>7777</v>
      </c>
    </row>
    <row r="443" spans="1:20" x14ac:dyDescent="0.3">
      <c r="A443" s="15" t="s">
        <v>2555</v>
      </c>
      <c r="B443" s="12" t="str">
        <f>IFERROR(INDEX(Mots!$B:$B,MATCH($A443,Mots!$A:$A,0)),"introuvable")</f>
        <v>rapide  ↔  lent</v>
      </c>
      <c r="S443" s="15" t="s">
        <v>3025</v>
      </c>
    </row>
    <row r="444" spans="1:20" x14ac:dyDescent="0.3">
      <c r="A444" s="15" t="s">
        <v>2561</v>
      </c>
      <c r="B444" s="12" t="str">
        <f>IFERROR(INDEX(Mots!$B:$B,MATCH($A444,Mots!$A:$A,0)),"introuvable")</f>
        <v>riche  ↔  pauvre</v>
      </c>
      <c r="S444" s="15" t="s">
        <v>7779</v>
      </c>
    </row>
    <row r="445" spans="1:20" x14ac:dyDescent="0.3">
      <c r="A445" s="15" t="s">
        <v>2573</v>
      </c>
      <c r="B445" s="12" t="str">
        <f>IFERROR(INDEX(Mots!$B:$B,MATCH($A445,Mots!$A:$A,0)),"introuvable")</f>
        <v>sec  ↔  mouillé</v>
      </c>
      <c r="S445" s="15" t="s">
        <v>7366</v>
      </c>
      <c r="T445" s="15" t="s">
        <v>7783</v>
      </c>
    </row>
    <row r="446" spans="1:20" x14ac:dyDescent="0.3">
      <c r="A446" s="15" t="s">
        <v>2584</v>
      </c>
      <c r="B446" s="12" t="str">
        <f>IFERROR(INDEX(Mots!$B:$B,MATCH($A446,Mots!$A:$A,0)),"introuvable")</f>
        <v>sucré  ↔  salé</v>
      </c>
      <c r="S446" s="15" t="s">
        <v>5849</v>
      </c>
      <c r="T446" s="15" t="s">
        <v>7777</v>
      </c>
    </row>
    <row r="447" spans="1:20" x14ac:dyDescent="0.3">
      <c r="A447" s="15" t="s">
        <v>2588</v>
      </c>
      <c r="B447" s="12" t="str">
        <f>IFERROR(INDEX(Mots!$B:$B,MATCH($A447,Mots!$A:$A,0)),"introuvable")</f>
        <v>vide  ↔  plein</v>
      </c>
      <c r="S447" s="15" t="s">
        <v>7777</v>
      </c>
      <c r="T447" s="15" t="s">
        <v>7783</v>
      </c>
    </row>
    <row r="448" spans="1:20" x14ac:dyDescent="0.3">
      <c r="A448" s="15" t="s">
        <v>2600</v>
      </c>
      <c r="B448" s="12" t="str">
        <f>IFERROR(INDEX(Mots!$B:$B,MATCH($A448,Mots!$A:$A,0)),"introuvable")</f>
        <v>carré</v>
      </c>
      <c r="S448" s="15" t="s">
        <v>4450</v>
      </c>
    </row>
    <row r="449" spans="1:20" x14ac:dyDescent="0.3">
      <c r="A449" s="15" t="s">
        <v>2604</v>
      </c>
      <c r="B449" s="12" t="str">
        <f>IFERROR(INDEX(Mots!$B:$B,MATCH($A449,Mots!$A:$A,0)),"introuvable")</f>
        <v>triangle</v>
      </c>
      <c r="S449" s="15" t="s">
        <v>4450</v>
      </c>
      <c r="T449" s="15" t="s">
        <v>7781</v>
      </c>
    </row>
    <row r="450" spans="1:20" x14ac:dyDescent="0.3">
      <c r="A450" s="15" t="s">
        <v>2608</v>
      </c>
      <c r="B450" s="12" t="str">
        <f>IFERROR(INDEX(Mots!$B:$B,MATCH($A450,Mots!$A:$A,0)),"introuvable")</f>
        <v>courbe</v>
      </c>
      <c r="S450" s="15" t="s">
        <v>4450</v>
      </c>
    </row>
    <row r="451" spans="1:20" x14ac:dyDescent="0.3">
      <c r="A451" s="15" t="s">
        <v>2611</v>
      </c>
      <c r="B451" s="12" t="str">
        <f>IFERROR(INDEX(Mots!$B:$B,MATCH($A451,Mots!$A:$A,0)),"introuvable")</f>
        <v>droit</v>
      </c>
      <c r="S451" s="15" t="s">
        <v>4450</v>
      </c>
    </row>
    <row r="452" spans="1:20" x14ac:dyDescent="0.3">
      <c r="A452" s="15" t="s">
        <v>2614</v>
      </c>
      <c r="B452" s="12" t="str">
        <f>IFERROR(INDEX(Mots!$B:$B,MATCH($A452,Mots!$A:$A,0)),"introuvable")</f>
        <v>la hauteur</v>
      </c>
      <c r="S452" s="15" t="s">
        <v>7768</v>
      </c>
      <c r="T452" s="15" t="s">
        <v>7783</v>
      </c>
    </row>
    <row r="453" spans="1:20" x14ac:dyDescent="0.3">
      <c r="A453" s="15" t="s">
        <v>2618</v>
      </c>
      <c r="B453" s="12" t="str">
        <f>IFERROR(INDEX(Mots!$B:$B,MATCH($A453,Mots!$A:$A,0)),"introuvable")</f>
        <v>la largeur</v>
      </c>
      <c r="S453" s="15" t="s">
        <v>7768</v>
      </c>
    </row>
    <row r="454" spans="1:20" x14ac:dyDescent="0.3">
      <c r="A454" s="15" t="s">
        <v>2622</v>
      </c>
      <c r="B454" s="12" t="str">
        <f>IFERROR(INDEX(Mots!$B:$B,MATCH($A454,Mots!$A:$A,0)),"introuvable")</f>
        <v>la longueur</v>
      </c>
      <c r="S454" s="15" t="s">
        <v>7768</v>
      </c>
    </row>
    <row r="455" spans="1:20" x14ac:dyDescent="0.3">
      <c r="A455" s="15" t="s">
        <v>2626</v>
      </c>
      <c r="B455" s="12" t="str">
        <f>IFERROR(INDEX(Mots!$B:$B,MATCH($A455,Mots!$A:$A,0)),"introuvable")</f>
        <v>le cercle</v>
      </c>
      <c r="S455" s="15" t="s">
        <v>4450</v>
      </c>
    </row>
    <row r="456" spans="1:20" x14ac:dyDescent="0.3">
      <c r="A456" s="8" t="s">
        <v>9600</v>
      </c>
      <c r="B456" s="12" t="str">
        <f>IFERROR(INDEX(Mots!$B:$B,MATCH($A456,Mots!$A:$A,0)),"introuvable")</f>
        <v>le rectangle</v>
      </c>
      <c r="S456" s="15" t="s">
        <v>7768</v>
      </c>
      <c r="T456" s="15" t="s">
        <v>4450</v>
      </c>
    </row>
    <row r="457" spans="1:20" x14ac:dyDescent="0.3">
      <c r="A457" s="15" t="s">
        <v>2633</v>
      </c>
      <c r="B457" s="12" t="str">
        <f>IFERROR(INDEX(Mots!$B:$B,MATCH($A457,Mots!$A:$A,0)),"introuvable")</f>
        <v>l'épaisseur</v>
      </c>
      <c r="S457" s="15" t="s">
        <v>7768</v>
      </c>
    </row>
    <row r="458" spans="1:20" x14ac:dyDescent="0.3">
      <c r="A458" s="15" t="s">
        <v>2637</v>
      </c>
      <c r="B458" s="12" t="str">
        <f>IFERROR(INDEX(Mots!$B:$B,MATCH($A458,Mots!$A:$A,0)),"introuvable")</f>
        <v>pointu</v>
      </c>
      <c r="S458" s="15" t="s">
        <v>4450</v>
      </c>
    </row>
    <row r="459" spans="1:20" x14ac:dyDescent="0.3">
      <c r="A459" s="15" t="s">
        <v>2640</v>
      </c>
      <c r="B459" s="12" t="str">
        <f>IFERROR(INDEX(Mots!$B:$B,MATCH($A459,Mots!$A:$A,0)),"introuvable")</f>
        <v>rond</v>
      </c>
      <c r="S459" s="15" t="s">
        <v>4450</v>
      </c>
    </row>
    <row r="460" spans="1:20" x14ac:dyDescent="0.3">
      <c r="A460" s="15" t="s">
        <v>2643</v>
      </c>
      <c r="B460" s="12" t="str">
        <f>IFERROR(INDEX(Mots!$B:$B,MATCH($A460,Mots!$A:$A,0)),"introuvable")</f>
        <v>l'aigle</v>
      </c>
      <c r="C460" s="15" t="s">
        <v>1169</v>
      </c>
      <c r="I460" s="15" t="s">
        <v>3785</v>
      </c>
    </row>
    <row r="461" spans="1:20" x14ac:dyDescent="0.3">
      <c r="A461" s="15" t="s">
        <v>2652</v>
      </c>
      <c r="B461" s="12" t="str">
        <f>IFERROR(INDEX(Mots!$B:$B,MATCH($A461,Mots!$A:$A,0)),"introuvable")</f>
        <v>le gypaète barbu</v>
      </c>
      <c r="C461" s="15" t="s">
        <v>1169</v>
      </c>
      <c r="I461" s="15" t="s">
        <v>3785</v>
      </c>
    </row>
    <row r="462" spans="1:20" x14ac:dyDescent="0.3">
      <c r="A462" s="15" t="s">
        <v>2657</v>
      </c>
      <c r="B462" s="12" t="str">
        <f>IFERROR(INDEX(Mots!$B:$B,MATCH($A462,Mots!$A:$A,0)),"introuvable")</f>
        <v>le moineau</v>
      </c>
      <c r="C462" s="15" t="s">
        <v>1169</v>
      </c>
      <c r="I462" s="15" t="s">
        <v>3785</v>
      </c>
    </row>
    <row r="463" spans="1:20" x14ac:dyDescent="0.3">
      <c r="A463" s="15" t="s">
        <v>2662</v>
      </c>
      <c r="B463" s="12" t="str">
        <f>IFERROR(INDEX(Mots!$B:$B,MATCH($A463,Mots!$A:$A,0)),"introuvable")</f>
        <v>le pigeon</v>
      </c>
      <c r="C463" s="15" t="s">
        <v>1169</v>
      </c>
      <c r="I463" s="15" t="s">
        <v>3785</v>
      </c>
    </row>
    <row r="464" spans="1:20" x14ac:dyDescent="0.3">
      <c r="A464" s="15" t="s">
        <v>2666</v>
      </c>
      <c r="B464" s="12" t="str">
        <f>IFERROR(INDEX(Mots!$B:$B,MATCH($A464,Mots!$A:$A,0)),"introuvable")</f>
        <v>une pizza</v>
      </c>
      <c r="C464" s="15" t="s">
        <v>7747</v>
      </c>
      <c r="I464" s="15" t="s">
        <v>702</v>
      </c>
      <c r="N464" s="15" t="s">
        <v>7718</v>
      </c>
    </row>
    <row r="465" spans="1:26" x14ac:dyDescent="0.3">
      <c r="A465" s="15" t="s">
        <v>2675</v>
      </c>
      <c r="B465" s="12" t="str">
        <f>IFERROR(INDEX(Mots!$B:$B,MATCH($A465,Mots!$A:$A,0)),"introuvable")</f>
        <v>les lasagnes</v>
      </c>
      <c r="C465" s="15" t="s">
        <v>7747</v>
      </c>
      <c r="I465" s="15" t="s">
        <v>702</v>
      </c>
      <c r="N465" s="15" t="s">
        <v>7718</v>
      </c>
    </row>
    <row r="466" spans="1:26" x14ac:dyDescent="0.3">
      <c r="A466" s="15" t="s">
        <v>2680</v>
      </c>
      <c r="B466" s="12" t="str">
        <f>IFERROR(INDEX(Mots!$B:$B,MATCH($A466,Mots!$A:$A,0)),"introuvable")</f>
        <v>les cornettes</v>
      </c>
      <c r="C466" s="15"/>
      <c r="I466" s="15" t="s">
        <v>702</v>
      </c>
      <c r="N466" s="15" t="s">
        <v>7718</v>
      </c>
    </row>
    <row r="467" spans="1:26" x14ac:dyDescent="0.3">
      <c r="A467" s="15" t="s">
        <v>2684</v>
      </c>
      <c r="B467" s="12" t="str">
        <f>IFERROR(INDEX(Mots!$B:$B,MATCH($A467,Mots!$A:$A,0)),"introuvable")</f>
        <v>les spaghetti</v>
      </c>
      <c r="C467" s="15" t="s">
        <v>7747</v>
      </c>
      <c r="I467" s="15" t="s">
        <v>702</v>
      </c>
      <c r="N467" s="15" t="s">
        <v>7718</v>
      </c>
    </row>
    <row r="468" spans="1:26" x14ac:dyDescent="0.3">
      <c r="A468" s="15" t="s">
        <v>2689</v>
      </c>
      <c r="B468" s="12" t="str">
        <f>IFERROR(INDEX(Mots!$B:$B,MATCH($A468,Mots!$A:$A,0)),"introuvable")</f>
        <v>les pennes</v>
      </c>
      <c r="C468" s="15" t="s">
        <v>7747</v>
      </c>
      <c r="I468" s="15" t="s">
        <v>702</v>
      </c>
      <c r="N468" s="15" t="s">
        <v>7718</v>
      </c>
    </row>
    <row r="469" spans="1:26" x14ac:dyDescent="0.3">
      <c r="A469" s="15" t="s">
        <v>2693</v>
      </c>
      <c r="B469" s="12" t="str">
        <f>IFERROR(INDEX(Mots!$B:$B,MATCH($A469,Mots!$A:$A,0)),"introuvable")</f>
        <v>un oeuf au plat</v>
      </c>
      <c r="C469" s="15" t="s">
        <v>7747</v>
      </c>
      <c r="I469" s="15" t="s">
        <v>702</v>
      </c>
      <c r="N469" s="15" t="s">
        <v>7718</v>
      </c>
      <c r="O469" s="15" t="s">
        <v>7720</v>
      </c>
    </row>
    <row r="470" spans="1:26" x14ac:dyDescent="0.3">
      <c r="A470" s="15" t="s">
        <v>2698</v>
      </c>
      <c r="B470" s="12" t="str">
        <f>IFERROR(INDEX(Mots!$B:$B,MATCH($A470,Mots!$A:$A,0)),"introuvable")</f>
        <v>l'omelette</v>
      </c>
      <c r="C470" s="15" t="s">
        <v>7747</v>
      </c>
      <c r="I470" s="15" t="s">
        <v>702</v>
      </c>
      <c r="N470" s="15" t="s">
        <v>7718</v>
      </c>
      <c r="O470" s="15" t="s">
        <v>7720</v>
      </c>
    </row>
    <row r="471" spans="1:26" x14ac:dyDescent="0.3">
      <c r="A471" s="15" t="s">
        <v>2702</v>
      </c>
      <c r="B471" s="12" t="str">
        <f>IFERROR(INDEX(Mots!$B:$B,MATCH($A471,Mots!$A:$A,0)),"introuvable")</f>
        <v>la polenta</v>
      </c>
      <c r="C471" s="15" t="s">
        <v>7747</v>
      </c>
      <c r="I471" s="15" t="s">
        <v>702</v>
      </c>
      <c r="N471" s="15" t="s">
        <v>7718</v>
      </c>
      <c r="O471" s="15" t="s">
        <v>7720</v>
      </c>
    </row>
    <row r="472" spans="1:26" x14ac:dyDescent="0.3">
      <c r="A472" s="15" t="s">
        <v>2706</v>
      </c>
      <c r="B472" s="12" t="str">
        <f>IFERROR(INDEX(Mots!$B:$B,MATCH($A472,Mots!$A:$A,0)),"introuvable")</f>
        <v>la fondue</v>
      </c>
      <c r="C472" s="15" t="s">
        <v>7747</v>
      </c>
      <c r="I472" s="15" t="s">
        <v>702</v>
      </c>
      <c r="N472" s="15" t="s">
        <v>7718</v>
      </c>
      <c r="O472" s="15" t="s">
        <v>7720</v>
      </c>
    </row>
    <row r="473" spans="1:26" x14ac:dyDescent="0.3">
      <c r="A473" s="15" t="s">
        <v>2710</v>
      </c>
      <c r="B473" s="12" t="str">
        <f>IFERROR(INDEX(Mots!$B:$B,MATCH($A473,Mots!$A:$A,0)),"introuvable")</f>
        <v>la raclette</v>
      </c>
      <c r="C473" s="15" t="s">
        <v>7747</v>
      </c>
      <c r="I473" s="15" t="s">
        <v>702</v>
      </c>
      <c r="N473" s="15" t="s">
        <v>7718</v>
      </c>
      <c r="O473" s="15" t="s">
        <v>7720</v>
      </c>
    </row>
    <row r="474" spans="1:26" x14ac:dyDescent="0.3">
      <c r="A474" s="15" t="s">
        <v>2714</v>
      </c>
      <c r="B474" s="12" t="str">
        <f>IFERROR(INDEX(Mots!$B:$B,MATCH($A474,Mots!$A:$A,0)),"introuvable")</f>
        <v>la soupe</v>
      </c>
      <c r="C474" s="15" t="s">
        <v>7747</v>
      </c>
      <c r="I474" s="15" t="s">
        <v>702</v>
      </c>
      <c r="N474" s="15" t="s">
        <v>7718</v>
      </c>
      <c r="O474" s="15" t="s">
        <v>7720</v>
      </c>
    </row>
    <row r="475" spans="1:26" x14ac:dyDescent="0.3">
      <c r="A475" s="15" t="s">
        <v>2719</v>
      </c>
      <c r="B475" s="12" t="str">
        <f>IFERROR(INDEX(Mots!$B:$B,MATCH($A475,Mots!$A:$A,0)),"introuvable")</f>
        <v>des filets de perche</v>
      </c>
      <c r="C475" s="15" t="s">
        <v>7756</v>
      </c>
      <c r="I475" s="15" t="s">
        <v>702</v>
      </c>
      <c r="N475" s="15" t="s">
        <v>7718</v>
      </c>
      <c r="O475" s="15" t="s">
        <v>7720</v>
      </c>
    </row>
    <row r="476" spans="1:26" x14ac:dyDescent="0.3">
      <c r="A476" s="15" t="s">
        <v>2722</v>
      </c>
      <c r="B476" s="12" t="str">
        <f>IFERROR(INDEX(Mots!$B:$B,MATCH($A476,Mots!$A:$A,0)),"introuvable")</f>
        <v>un filet de truite</v>
      </c>
      <c r="C476" s="15" t="s">
        <v>7756</v>
      </c>
      <c r="I476" s="15" t="s">
        <v>702</v>
      </c>
      <c r="N476" s="15" t="s">
        <v>7718</v>
      </c>
      <c r="O476" s="15" t="s">
        <v>7720</v>
      </c>
    </row>
    <row r="477" spans="1:26" x14ac:dyDescent="0.3">
      <c r="A477" s="15" t="s">
        <v>2725</v>
      </c>
      <c r="B477" s="12" t="str">
        <f>IFERROR(INDEX(Mots!$B:$B,MATCH($A477,Mots!$A:$A,0)),"introuvable")</f>
        <v>l'ami</v>
      </c>
      <c r="Z477" s="15" t="s">
        <v>7795</v>
      </c>
    </row>
    <row r="478" spans="1:26" x14ac:dyDescent="0.3">
      <c r="A478" s="15" t="s">
        <v>2730</v>
      </c>
      <c r="B478" s="12" t="str">
        <f>IFERROR(INDEX(Mots!$B:$B,MATCH($A478,Mots!$A:$A,0)),"introuvable")</f>
        <v>la banque</v>
      </c>
      <c r="I478" s="15" t="s">
        <v>82</v>
      </c>
    </row>
    <row r="479" spans="1:26" x14ac:dyDescent="0.3">
      <c r="A479" s="15" t="s">
        <v>2737</v>
      </c>
      <c r="B479" s="12" t="str">
        <f>IFERROR(INDEX(Mots!$B:$B,MATCH($A479,Mots!$A:$A,0)),"introuvable")</f>
        <v>le magasin</v>
      </c>
      <c r="I479" s="15" t="s">
        <v>82</v>
      </c>
    </row>
    <row r="480" spans="1:26" x14ac:dyDescent="0.3">
      <c r="A480" s="8" t="s">
        <v>9417</v>
      </c>
      <c r="B480" s="12" t="str">
        <f>IFERROR(INDEX(Mots!$B:$B,MATCH($A480,Mots!$A:$A,0)),"introuvable")</f>
        <v>le marché</v>
      </c>
      <c r="I480" s="15" t="s">
        <v>82</v>
      </c>
    </row>
    <row r="481" spans="1:14" x14ac:dyDescent="0.3">
      <c r="A481" s="15" t="s">
        <v>2749</v>
      </c>
      <c r="B481" s="12" t="str">
        <f>IFERROR(INDEX(Mots!$B:$B,MATCH($A481,Mots!$A:$A,0)),"introuvable")</f>
        <v>le restaurant</v>
      </c>
      <c r="I481" s="15" t="s">
        <v>82</v>
      </c>
    </row>
    <row r="482" spans="1:14" x14ac:dyDescent="0.3">
      <c r="A482" s="15" t="s">
        <v>2758</v>
      </c>
      <c r="B482" s="12" t="str">
        <f>IFERROR(INDEX(Mots!$B:$B,MATCH($A482,Mots!$A:$A,0)),"introuvable")</f>
        <v>l'hôtel</v>
      </c>
      <c r="I482" s="15" t="s">
        <v>82</v>
      </c>
    </row>
    <row r="483" spans="1:14" x14ac:dyDescent="0.3">
      <c r="A483" s="15" t="s">
        <v>2767</v>
      </c>
      <c r="B483" s="12" t="str">
        <f>IFERROR(INDEX(Mots!$B:$B,MATCH($A483,Mots!$A:$A,0)),"introuvable")</f>
        <v>la salle de bain</v>
      </c>
      <c r="I483" s="15" t="s">
        <v>2767</v>
      </c>
      <c r="N483" s="15" t="s">
        <v>7725</v>
      </c>
    </row>
    <row r="484" spans="1:14" x14ac:dyDescent="0.3">
      <c r="A484" s="15" t="s">
        <v>2770</v>
      </c>
      <c r="B484" s="12" t="str">
        <f>IFERROR(INDEX(Mots!$B:$B,MATCH($A484,Mots!$A:$A,0)),"introuvable")</f>
        <v>le lavabo</v>
      </c>
      <c r="I484" s="15" t="s">
        <v>2767</v>
      </c>
      <c r="N484" s="15" t="s">
        <v>7725</v>
      </c>
    </row>
    <row r="485" spans="1:14" x14ac:dyDescent="0.3">
      <c r="A485" s="15" t="s">
        <v>2773</v>
      </c>
      <c r="B485" s="12" t="str">
        <f>IFERROR(INDEX(Mots!$B:$B,MATCH($A485,Mots!$A:$A,0)),"introuvable")</f>
        <v>le savon</v>
      </c>
      <c r="I485" s="15" t="s">
        <v>2767</v>
      </c>
      <c r="N485" s="15" t="s">
        <v>7725</v>
      </c>
    </row>
    <row r="486" spans="1:14" x14ac:dyDescent="0.3">
      <c r="A486" s="15" t="s">
        <v>2777</v>
      </c>
      <c r="B486" s="12" t="str">
        <f>IFERROR(INDEX(Mots!$B:$B,MATCH($A486,Mots!$A:$A,0)),"introuvable")</f>
        <v>le miroir</v>
      </c>
      <c r="I486" s="15" t="s">
        <v>2767</v>
      </c>
      <c r="N486" s="15" t="s">
        <v>7725</v>
      </c>
    </row>
    <row r="487" spans="1:14" x14ac:dyDescent="0.3">
      <c r="A487" s="15" t="s">
        <v>2780</v>
      </c>
      <c r="B487" s="12" t="str">
        <f>IFERROR(INDEX(Mots!$B:$B,MATCH($A487,Mots!$A:$A,0)),"introuvable")</f>
        <v>le WC</v>
      </c>
      <c r="I487" s="15" t="s">
        <v>2767</v>
      </c>
      <c r="N487" s="15" t="s">
        <v>7725</v>
      </c>
    </row>
    <row r="488" spans="1:14" x14ac:dyDescent="0.3">
      <c r="A488" s="15" t="s">
        <v>2784</v>
      </c>
      <c r="B488" s="12" t="str">
        <f>IFERROR(INDEX(Mots!$B:$B,MATCH($A488,Mots!$A:$A,0)),"introuvable")</f>
        <v>la douche</v>
      </c>
      <c r="I488" s="15" t="s">
        <v>2767</v>
      </c>
      <c r="N488" s="15" t="s">
        <v>7725</v>
      </c>
    </row>
    <row r="489" spans="1:14" x14ac:dyDescent="0.3">
      <c r="A489" s="15" t="s">
        <v>2788</v>
      </c>
      <c r="B489" s="12" t="str">
        <f>IFERROR(INDEX(Mots!$B:$B,MATCH($A489,Mots!$A:$A,0)),"introuvable")</f>
        <v>la baignoire</v>
      </c>
      <c r="I489" s="15" t="s">
        <v>2767</v>
      </c>
      <c r="N489" s="15" t="s">
        <v>7725</v>
      </c>
    </row>
    <row r="490" spans="1:14" x14ac:dyDescent="0.3">
      <c r="A490" s="15" t="s">
        <v>2791</v>
      </c>
      <c r="B490" s="12" t="str">
        <f>IFERROR(INDEX(Mots!$B:$B,MATCH($A490,Mots!$A:$A,0)),"introuvable")</f>
        <v>le rasoir</v>
      </c>
      <c r="C490" s="15" t="s">
        <v>6890</v>
      </c>
      <c r="I490" s="15" t="s">
        <v>2767</v>
      </c>
      <c r="N490" s="15" t="s">
        <v>7725</v>
      </c>
    </row>
    <row r="491" spans="1:14" x14ac:dyDescent="0.3">
      <c r="A491" s="15" t="s">
        <v>2795</v>
      </c>
      <c r="B491" s="12" t="str">
        <f>IFERROR(INDEX(Mots!$B:$B,MATCH($A491,Mots!$A:$A,0)),"introuvable")</f>
        <v>le déodorant</v>
      </c>
      <c r="I491" s="15" t="s">
        <v>2767</v>
      </c>
      <c r="N491" s="15" t="s">
        <v>7725</v>
      </c>
    </row>
    <row r="492" spans="1:14" x14ac:dyDescent="0.3">
      <c r="A492" s="15" t="s">
        <v>2798</v>
      </c>
      <c r="B492" s="12" t="str">
        <f>IFERROR(INDEX(Mots!$B:$B,MATCH($A492,Mots!$A:$A,0)),"introuvable")</f>
        <v>le dentifrice</v>
      </c>
      <c r="I492" s="15" t="s">
        <v>2767</v>
      </c>
      <c r="N492" s="15" t="s">
        <v>7725</v>
      </c>
    </row>
    <row r="493" spans="1:14" x14ac:dyDescent="0.3">
      <c r="A493" s="15" t="s">
        <v>2802</v>
      </c>
      <c r="B493" s="12" t="str">
        <f>IFERROR(INDEX(Mots!$B:$B,MATCH($A493,Mots!$A:$A,0)),"introuvable")</f>
        <v>la brosse à dents</v>
      </c>
      <c r="I493" s="15" t="s">
        <v>2767</v>
      </c>
      <c r="N493" s="15" t="s">
        <v>7725</v>
      </c>
    </row>
    <row r="494" spans="1:14" x14ac:dyDescent="0.3">
      <c r="A494" s="15" t="s">
        <v>2805</v>
      </c>
      <c r="B494" s="12" t="str">
        <f>IFERROR(INDEX(Mots!$B:$B,MATCH($A494,Mots!$A:$A,0)),"introuvable")</f>
        <v>la branche d'un arbre</v>
      </c>
      <c r="C494" s="15" t="s">
        <v>7747</v>
      </c>
      <c r="E494" s="15" t="s">
        <v>2816</v>
      </c>
      <c r="I494" s="15" t="s">
        <v>3785</v>
      </c>
      <c r="N494" s="15" t="s">
        <v>7732</v>
      </c>
    </row>
    <row r="495" spans="1:14" x14ac:dyDescent="0.3">
      <c r="A495" s="15" t="s">
        <v>2809</v>
      </c>
      <c r="B495" s="12" t="str">
        <f>IFERROR(INDEX(Mots!$B:$B,MATCH($A495,Mots!$A:$A,0)),"introuvable")</f>
        <v>la fleur</v>
      </c>
      <c r="C495" s="15" t="s">
        <v>2816</v>
      </c>
      <c r="I495" s="15" t="s">
        <v>3785</v>
      </c>
      <c r="N495" s="15" t="s">
        <v>7732</v>
      </c>
    </row>
    <row r="496" spans="1:14" x14ac:dyDescent="0.3">
      <c r="A496" s="15" t="s">
        <v>2816</v>
      </c>
      <c r="B496" s="12" t="str">
        <f>IFERROR(INDEX(Mots!$B:$B,MATCH($A496,Mots!$A:$A,0)),"introuvable")</f>
        <v>la plante</v>
      </c>
      <c r="C496" s="15" t="s">
        <v>2816</v>
      </c>
      <c r="I496" s="15" t="s">
        <v>3785</v>
      </c>
      <c r="N496" s="15" t="s">
        <v>7732</v>
      </c>
    </row>
    <row r="497" spans="1:15" x14ac:dyDescent="0.3">
      <c r="A497" s="15" t="s">
        <v>2825</v>
      </c>
      <c r="B497" s="12" t="str">
        <f>IFERROR(INDEX(Mots!$B:$B,MATCH($A497,Mots!$A:$A,0)),"introuvable")</f>
        <v>l'arbre</v>
      </c>
      <c r="C497" s="15" t="s">
        <v>2816</v>
      </c>
      <c r="I497" s="15" t="s">
        <v>3785</v>
      </c>
      <c r="N497" s="15" t="s">
        <v>7732</v>
      </c>
    </row>
    <row r="498" spans="1:15" x14ac:dyDescent="0.3">
      <c r="A498" s="15" t="s">
        <v>2830</v>
      </c>
      <c r="B498" s="12" t="str">
        <f>IFERROR(INDEX(Mots!$B:$B,MATCH($A498,Mots!$A:$A,0)),"introuvable")</f>
        <v>l'herbe</v>
      </c>
      <c r="I498" s="15" t="s">
        <v>3785</v>
      </c>
      <c r="N498" s="15" t="s">
        <v>7732</v>
      </c>
    </row>
    <row r="499" spans="1:15" x14ac:dyDescent="0.3">
      <c r="A499" s="15" t="s">
        <v>2839</v>
      </c>
      <c r="B499" s="12" t="str">
        <f>IFERROR(INDEX(Mots!$B:$B,MATCH($A499,Mots!$A:$A,0)),"introuvable")</f>
        <v>le vélo</v>
      </c>
      <c r="C499" s="15" t="s">
        <v>7740</v>
      </c>
      <c r="I499" s="15" t="s">
        <v>2851</v>
      </c>
      <c r="N499" s="15" t="s">
        <v>7727</v>
      </c>
    </row>
    <row r="500" spans="1:15" x14ac:dyDescent="0.3">
      <c r="A500" s="15" t="s">
        <v>2848</v>
      </c>
      <c r="B500" s="12" t="str">
        <f>IFERROR(INDEX(Mots!$B:$B,MATCH($A500,Mots!$A:$A,0)),"introuvable")</f>
        <v>la moto</v>
      </c>
      <c r="C500" s="15" t="s">
        <v>7740</v>
      </c>
      <c r="I500" s="15" t="s">
        <v>2851</v>
      </c>
      <c r="N500" s="15" t="s">
        <v>7727</v>
      </c>
    </row>
    <row r="501" spans="1:15" x14ac:dyDescent="0.3">
      <c r="A501" s="15" t="s">
        <v>2851</v>
      </c>
      <c r="B501" s="12" t="str">
        <f>IFERROR(INDEX(Mots!$B:$B,MATCH($A501,Mots!$A:$A,0)),"introuvable")</f>
        <v>la voiture</v>
      </c>
      <c r="C501" s="15" t="s">
        <v>7740</v>
      </c>
      <c r="I501" s="15" t="s">
        <v>2851</v>
      </c>
      <c r="N501" s="15" t="s">
        <v>7727</v>
      </c>
    </row>
    <row r="502" spans="1:15" x14ac:dyDescent="0.3">
      <c r="A502" s="15" t="s">
        <v>2854</v>
      </c>
      <c r="B502" s="12" t="str">
        <f>IFERROR(INDEX(Mots!$B:$B,MATCH($A502,Mots!$A:$A,0)),"introuvable")</f>
        <v>le pickup</v>
      </c>
      <c r="C502" s="15" t="s">
        <v>7740</v>
      </c>
      <c r="I502" s="15" t="s">
        <v>2851</v>
      </c>
      <c r="N502" s="15" t="s">
        <v>7727</v>
      </c>
    </row>
    <row r="503" spans="1:15" x14ac:dyDescent="0.3">
      <c r="A503" s="15" t="s">
        <v>2857</v>
      </c>
      <c r="B503" s="12" t="str">
        <f>IFERROR(INDEX(Mots!$B:$B,MATCH($A503,Mots!$A:$A,0)),"introuvable")</f>
        <v>le  car postal</v>
      </c>
      <c r="C503" s="15" t="s">
        <v>7740</v>
      </c>
      <c r="I503" s="15" t="s">
        <v>2851</v>
      </c>
      <c r="N503" s="15" t="s">
        <v>7727</v>
      </c>
    </row>
    <row r="504" spans="1:15" x14ac:dyDescent="0.3">
      <c r="A504" s="15" t="s">
        <v>2861</v>
      </c>
      <c r="B504" s="12" t="str">
        <f>IFERROR(INDEX(Mots!$B:$B,MATCH($A504,Mots!$A:$A,0)),"introuvable")</f>
        <v>le camion</v>
      </c>
      <c r="C504" s="15" t="s">
        <v>7740</v>
      </c>
      <c r="I504" s="15" t="s">
        <v>2851</v>
      </c>
      <c r="N504" s="15" t="s">
        <v>7727</v>
      </c>
    </row>
    <row r="505" spans="1:15" x14ac:dyDescent="0.3">
      <c r="A505" s="15" t="s">
        <v>2864</v>
      </c>
      <c r="B505" s="12" t="str">
        <f>IFERROR(INDEX(Mots!$B:$B,MATCH($A505,Mots!$A:$A,0)),"introuvable")</f>
        <v>le tracteur</v>
      </c>
      <c r="C505" s="15" t="s">
        <v>7740</v>
      </c>
      <c r="I505" s="15" t="s">
        <v>2851</v>
      </c>
      <c r="N505" s="15" t="s">
        <v>7727</v>
      </c>
    </row>
    <row r="506" spans="1:15" x14ac:dyDescent="0.3">
      <c r="A506" s="15" t="s">
        <v>2867</v>
      </c>
      <c r="B506" s="12" t="str">
        <f>IFERROR(INDEX(Mots!$B:$B,MATCH($A506,Mots!$A:$A,0)),"introuvable")</f>
        <v>le train</v>
      </c>
      <c r="C506" s="15" t="s">
        <v>7740</v>
      </c>
      <c r="I506" s="15" t="s">
        <v>2851</v>
      </c>
      <c r="N506" s="15" t="s">
        <v>7727</v>
      </c>
    </row>
    <row r="507" spans="1:15" x14ac:dyDescent="0.3">
      <c r="A507" s="15" t="s">
        <v>2876</v>
      </c>
      <c r="B507" s="12" t="str">
        <f>IFERROR(INDEX(Mots!$B:$B,MATCH($A507,Mots!$A:$A,0)),"introuvable")</f>
        <v>la route</v>
      </c>
      <c r="C507" s="15" t="s">
        <v>7740</v>
      </c>
      <c r="I507" s="15" t="s">
        <v>2851</v>
      </c>
      <c r="N507" s="15" t="s">
        <v>7727</v>
      </c>
    </row>
    <row r="508" spans="1:15" x14ac:dyDescent="0.3">
      <c r="A508" s="15" t="s">
        <v>2881</v>
      </c>
      <c r="B508" s="12" t="str">
        <f>IFERROR(INDEX(Mots!$B:$B,MATCH($A508,Mots!$A:$A,0)),"introuvable")</f>
        <v>les feux de circulation</v>
      </c>
      <c r="I508" s="15" t="s">
        <v>2851</v>
      </c>
      <c r="N508" s="15" t="s">
        <v>7727</v>
      </c>
    </row>
    <row r="509" spans="1:15" x14ac:dyDescent="0.3">
      <c r="A509" s="15" t="s">
        <v>2889</v>
      </c>
      <c r="B509" s="12" t="str">
        <f>IFERROR(INDEX(Mots!$B:$B,MATCH($A509,Mots!$A:$A,0)),"introuvable")</f>
        <v>l'avion</v>
      </c>
      <c r="C509" s="15" t="s">
        <v>5293</v>
      </c>
      <c r="N509" s="15" t="s">
        <v>7727</v>
      </c>
    </row>
    <row r="510" spans="1:15" x14ac:dyDescent="0.3">
      <c r="A510" s="15" t="s">
        <v>2894</v>
      </c>
      <c r="B510" s="12" t="str">
        <f>IFERROR(INDEX(Mots!$B:$B,MATCH($A510,Mots!$A:$A,0)),"introuvable")</f>
        <v>l'helicoptère</v>
      </c>
      <c r="C510" s="15" t="s">
        <v>5293</v>
      </c>
      <c r="N510" s="15" t="s">
        <v>7727</v>
      </c>
    </row>
    <row r="511" spans="1:15" x14ac:dyDescent="0.3">
      <c r="A511" s="15" t="s">
        <v>2898</v>
      </c>
      <c r="B511" s="12" t="str">
        <f>IFERROR(INDEX(Mots!$B:$B,MATCH($A511,Mots!$A:$A,0)),"introuvable")</f>
        <v>le bateau</v>
      </c>
      <c r="C511" s="15" t="s">
        <v>7740</v>
      </c>
      <c r="N511" s="15" t="s">
        <v>7727</v>
      </c>
    </row>
    <row r="512" spans="1:15" x14ac:dyDescent="0.3">
      <c r="A512" s="15" t="s">
        <v>2906</v>
      </c>
      <c r="B512" s="12" t="str">
        <f>IFERROR(INDEX(Mots!$B:$B,MATCH($A512,Mots!$A:$A,0)),"introuvable")</f>
        <v>du rôti de boeuf</v>
      </c>
      <c r="C512" s="15" t="s">
        <v>7747</v>
      </c>
      <c r="I512" s="15" t="s">
        <v>702</v>
      </c>
      <c r="N512" s="15" t="s">
        <v>7718</v>
      </c>
      <c r="O512" s="15" t="s">
        <v>7720</v>
      </c>
    </row>
    <row r="513" spans="1:15" x14ac:dyDescent="0.3">
      <c r="A513" s="15" t="s">
        <v>2908</v>
      </c>
      <c r="B513" s="12" t="str">
        <f>IFERROR(INDEX(Mots!$B:$B,MATCH($A513,Mots!$A:$A,0)),"introuvable")</f>
        <v>le boeuf</v>
      </c>
      <c r="C513" s="15" t="s">
        <v>7747</v>
      </c>
      <c r="I513" s="15" t="s">
        <v>702</v>
      </c>
      <c r="N513" s="15" t="s">
        <v>7718</v>
      </c>
    </row>
    <row r="514" spans="1:15" x14ac:dyDescent="0.3">
      <c r="A514" s="15" t="s">
        <v>2912</v>
      </c>
      <c r="B514" s="12" t="str">
        <f>IFERROR(INDEX(Mots!$B:$B,MATCH($A514,Mots!$A:$A,0)),"introuvable")</f>
        <v>un steack de boeuf frites</v>
      </c>
      <c r="C514" s="15" t="s">
        <v>7747</v>
      </c>
      <c r="I514" s="15" t="s">
        <v>702</v>
      </c>
      <c r="N514" s="15" t="s">
        <v>7718</v>
      </c>
      <c r="O514" s="15" t="s">
        <v>7720</v>
      </c>
    </row>
    <row r="515" spans="1:15" x14ac:dyDescent="0.3">
      <c r="A515" s="15" t="s">
        <v>2915</v>
      </c>
      <c r="B515" s="12" t="str">
        <f>IFERROR(INDEX(Mots!$B:$B,MATCH($A515,Mots!$A:$A,0)),"introuvable")</f>
        <v>le porc</v>
      </c>
      <c r="C515" s="15" t="s">
        <v>7747</v>
      </c>
      <c r="I515" s="15" t="s">
        <v>702</v>
      </c>
      <c r="N515" s="15" t="s">
        <v>7718</v>
      </c>
    </row>
    <row r="516" spans="1:15" x14ac:dyDescent="0.3">
      <c r="A516" s="15" t="s">
        <v>2919</v>
      </c>
      <c r="B516" s="12" t="str">
        <f>IFERROR(INDEX(Mots!$B:$B,MATCH($A516,Mots!$A:$A,0)),"introuvable")</f>
        <v>du filet mignon de porc</v>
      </c>
      <c r="C516" s="15" t="s">
        <v>7747</v>
      </c>
      <c r="I516" s="15" t="s">
        <v>702</v>
      </c>
      <c r="N516" s="15" t="s">
        <v>7718</v>
      </c>
      <c r="O516" s="15" t="s">
        <v>7720</v>
      </c>
    </row>
    <row r="517" spans="1:15" x14ac:dyDescent="0.3">
      <c r="A517" s="15" t="s">
        <v>2923</v>
      </c>
      <c r="B517" s="12" t="str">
        <f>IFERROR(INDEX(Mots!$B:$B,MATCH($A517,Mots!$A:$A,0)),"introuvable")</f>
        <v>du rôti de porc</v>
      </c>
      <c r="C517" s="15" t="s">
        <v>7747</v>
      </c>
      <c r="I517" s="15" t="s">
        <v>702</v>
      </c>
      <c r="N517" s="15" t="s">
        <v>7718</v>
      </c>
      <c r="O517" s="15" t="s">
        <v>7720</v>
      </c>
    </row>
    <row r="518" spans="1:15" x14ac:dyDescent="0.3">
      <c r="A518" s="15" t="s">
        <v>2925</v>
      </c>
      <c r="B518" s="12" t="str">
        <f>IFERROR(INDEX(Mots!$B:$B,MATCH($A518,Mots!$A:$A,0)),"introuvable")</f>
        <v>une côtelette de porc</v>
      </c>
      <c r="C518" s="15" t="s">
        <v>7747</v>
      </c>
      <c r="I518" s="15" t="s">
        <v>702</v>
      </c>
      <c r="N518" s="15" t="s">
        <v>7718</v>
      </c>
      <c r="O518" s="15" t="s">
        <v>7720</v>
      </c>
    </row>
    <row r="519" spans="1:15" x14ac:dyDescent="0.3">
      <c r="A519" s="15" t="s">
        <v>2929</v>
      </c>
      <c r="B519" s="12" t="str">
        <f>IFERROR(INDEX(Mots!$B:$B,MATCH($A519,Mots!$A:$A,0)),"introuvable")</f>
        <v>le poulet</v>
      </c>
      <c r="C519" s="15" t="s">
        <v>7747</v>
      </c>
      <c r="I519" s="15" t="s">
        <v>702</v>
      </c>
      <c r="N519" s="15" t="s">
        <v>7718</v>
      </c>
    </row>
    <row r="520" spans="1:15" x14ac:dyDescent="0.3">
      <c r="A520" s="15" t="s">
        <v>2935</v>
      </c>
      <c r="B520" s="12" t="str">
        <f>IFERROR(INDEX(Mots!$B:$B,MATCH($A520,Mots!$A:$A,0)),"introuvable")</f>
        <v>un blanc de poulet</v>
      </c>
      <c r="I520" s="15" t="s">
        <v>702</v>
      </c>
      <c r="N520" s="15" t="s">
        <v>7718</v>
      </c>
      <c r="O520" s="15" t="s">
        <v>7720</v>
      </c>
    </row>
    <row r="521" spans="1:15" x14ac:dyDescent="0.3">
      <c r="A521" s="15" t="s">
        <v>2939</v>
      </c>
      <c r="B521" s="12" t="str">
        <f>IFERROR(INDEX(Mots!$B:$B,MATCH($A521,Mots!$A:$A,0)),"introuvable")</f>
        <v>une cuisse de poulet</v>
      </c>
      <c r="I521" s="15" t="s">
        <v>702</v>
      </c>
      <c r="N521" s="15" t="s">
        <v>7718</v>
      </c>
      <c r="O521" s="15" t="s">
        <v>7720</v>
      </c>
    </row>
    <row r="522" spans="1:15" x14ac:dyDescent="0.3">
      <c r="A522" s="15" t="s">
        <v>2943</v>
      </c>
      <c r="B522" s="12" t="str">
        <f>IFERROR(INDEX(Mots!$B:$B,MATCH($A522,Mots!$A:$A,0)),"introuvable")</f>
        <v>du poulet au curry</v>
      </c>
      <c r="C522" s="15" t="s">
        <v>7747</v>
      </c>
      <c r="I522" s="15" t="s">
        <v>702</v>
      </c>
      <c r="N522" s="15" t="s">
        <v>7718</v>
      </c>
      <c r="O522" s="15" t="s">
        <v>7720</v>
      </c>
    </row>
    <row r="523" spans="1:15" x14ac:dyDescent="0.3">
      <c r="A523" s="15" t="s">
        <v>2946</v>
      </c>
      <c r="B523" s="12" t="str">
        <f>IFERROR(INDEX(Mots!$B:$B,MATCH($A523,Mots!$A:$A,0)),"introuvable")</f>
        <v>Dacia Duster</v>
      </c>
      <c r="C523" s="15" t="s">
        <v>7740</v>
      </c>
      <c r="E523" s="15" t="s">
        <v>2851</v>
      </c>
      <c r="I523" s="15" t="s">
        <v>2851</v>
      </c>
      <c r="N523" s="15" t="s">
        <v>7727</v>
      </c>
    </row>
    <row r="524" spans="1:15" x14ac:dyDescent="0.3">
      <c r="A524" s="15" t="s">
        <v>2949</v>
      </c>
      <c r="B524" s="12" t="str">
        <f>IFERROR(INDEX(Mots!$B:$B,MATCH($A524,Mots!$A:$A,0)),"introuvable")</f>
        <v>le pare-brise</v>
      </c>
      <c r="C524" s="15" t="s">
        <v>7740</v>
      </c>
      <c r="E524" s="15" t="s">
        <v>2851</v>
      </c>
      <c r="I524" s="15" t="s">
        <v>2851</v>
      </c>
      <c r="N524" s="15" t="s">
        <v>7727</v>
      </c>
    </row>
    <row r="525" spans="1:15" x14ac:dyDescent="0.3">
      <c r="A525" s="15" t="s">
        <v>2953</v>
      </c>
      <c r="B525" s="12" t="str">
        <f>IFERROR(INDEX(Mots!$B:$B,MATCH($A525,Mots!$A:$A,0)),"introuvable")</f>
        <v>les essuie glace</v>
      </c>
      <c r="E525" s="15" t="s">
        <v>2851</v>
      </c>
      <c r="I525" s="15" t="s">
        <v>2851</v>
      </c>
      <c r="N525" s="15" t="s">
        <v>7727</v>
      </c>
    </row>
    <row r="526" spans="1:15" x14ac:dyDescent="0.3">
      <c r="A526" s="15" t="s">
        <v>2956</v>
      </c>
      <c r="B526" s="12" t="str">
        <f>IFERROR(INDEX(Mots!$B:$B,MATCH($A526,Mots!$A:$A,0)),"introuvable")</f>
        <v>le capot</v>
      </c>
      <c r="C526" s="15" t="s">
        <v>7740</v>
      </c>
      <c r="E526" s="15" t="s">
        <v>2851</v>
      </c>
      <c r="I526" s="15" t="s">
        <v>2851</v>
      </c>
      <c r="N526" s="15" t="s">
        <v>7727</v>
      </c>
    </row>
    <row r="527" spans="1:15" x14ac:dyDescent="0.3">
      <c r="A527" s="15" t="s">
        <v>2959</v>
      </c>
      <c r="B527" s="12" t="str">
        <f>IFERROR(INDEX(Mots!$B:$B,MATCH($A527,Mots!$A:$A,0)),"introuvable")</f>
        <v>l'aile</v>
      </c>
      <c r="E527" s="15" t="s">
        <v>2851</v>
      </c>
      <c r="I527" s="15" t="s">
        <v>2851</v>
      </c>
      <c r="N527" s="15" t="s">
        <v>7727</v>
      </c>
    </row>
    <row r="528" spans="1:15" x14ac:dyDescent="0.3">
      <c r="A528" s="15" t="s">
        <v>2962</v>
      </c>
      <c r="B528" s="12" t="str">
        <f>IFERROR(INDEX(Mots!$B:$B,MATCH($A528,Mots!$A:$A,0)),"introuvable")</f>
        <v>le pare-chocs</v>
      </c>
      <c r="C528" s="15" t="s">
        <v>7740</v>
      </c>
      <c r="E528" s="15" t="s">
        <v>2851</v>
      </c>
      <c r="I528" s="15" t="s">
        <v>2851</v>
      </c>
      <c r="N528" s="15" t="s">
        <v>7727</v>
      </c>
    </row>
    <row r="529" spans="1:24" x14ac:dyDescent="0.3">
      <c r="A529" s="15" t="s">
        <v>9653</v>
      </c>
      <c r="B529" s="12" t="str">
        <f>IFERROR(INDEX(Mots!$B:$B,MATCH($A529,Mots!$A:$A,0)),"introuvable")</f>
        <v>la jante</v>
      </c>
      <c r="C529" s="15" t="s">
        <v>4650</v>
      </c>
      <c r="E529" s="15" t="s">
        <v>2851</v>
      </c>
      <c r="I529" s="15" t="s">
        <v>2851</v>
      </c>
      <c r="N529" s="15" t="s">
        <v>7727</v>
      </c>
    </row>
    <row r="530" spans="1:24" x14ac:dyDescent="0.3">
      <c r="A530" s="15" t="s">
        <v>9652</v>
      </c>
      <c r="B530" s="12" t="str">
        <f>IFERROR(INDEX(Mots!$B:$B,MATCH($A530,Mots!$A:$A,0)),"introuvable")</f>
        <v>le pneu</v>
      </c>
      <c r="E530" s="15" t="s">
        <v>2851</v>
      </c>
      <c r="I530" s="15" t="s">
        <v>2851</v>
      </c>
      <c r="N530" s="15" t="s">
        <v>7727</v>
      </c>
    </row>
    <row r="531" spans="1:24" x14ac:dyDescent="0.3">
      <c r="A531" s="15" t="s">
        <v>2970</v>
      </c>
      <c r="B531" s="12" t="str">
        <f>IFERROR(INDEX(Mots!$B:$B,MATCH($A531,Mots!$A:$A,0)),"introuvable")</f>
        <v>la portière</v>
      </c>
      <c r="E531" s="15" t="s">
        <v>2851</v>
      </c>
      <c r="I531" s="15" t="s">
        <v>2851</v>
      </c>
      <c r="N531" s="15" t="s">
        <v>7727</v>
      </c>
    </row>
    <row r="532" spans="1:24" x14ac:dyDescent="0.3">
      <c r="A532" s="15" t="s">
        <v>2978</v>
      </c>
      <c r="B532" s="12" t="str">
        <f>IFERROR(INDEX(Mots!$B:$B,MATCH($A532,Mots!$A:$A,0)),"introuvable")</f>
        <v>le clignotant</v>
      </c>
      <c r="E532" s="15" t="s">
        <v>2851</v>
      </c>
      <c r="I532" s="15" t="s">
        <v>2851</v>
      </c>
      <c r="N532" s="15" t="s">
        <v>7727</v>
      </c>
    </row>
    <row r="533" spans="1:24" x14ac:dyDescent="0.3">
      <c r="A533" s="15" t="s">
        <v>2982</v>
      </c>
      <c r="B533" s="12" t="str">
        <f>IFERROR(INDEX(Mots!$B:$B,MATCH($A533,Mots!$A:$A,0)),"introuvable")</f>
        <v>le klaxon</v>
      </c>
      <c r="C533" s="15" t="s">
        <v>6837</v>
      </c>
      <c r="E533" s="15" t="s">
        <v>2851</v>
      </c>
      <c r="I533" s="15" t="s">
        <v>2851</v>
      </c>
      <c r="N533" s="15" t="s">
        <v>7727</v>
      </c>
    </row>
    <row r="534" spans="1:24" x14ac:dyDescent="0.3">
      <c r="A534" s="15" t="s">
        <v>2990</v>
      </c>
      <c r="B534" s="12" t="str">
        <f>IFERROR(INDEX(Mots!$B:$B,MATCH($A534,Mots!$A:$A,0)),"introuvable")</f>
        <v>le phare</v>
      </c>
      <c r="E534" s="15" t="s">
        <v>2851</v>
      </c>
      <c r="I534" s="15" t="s">
        <v>2851</v>
      </c>
      <c r="N534" s="15" t="s">
        <v>7727</v>
      </c>
    </row>
    <row r="535" spans="1:24" x14ac:dyDescent="0.3">
      <c r="A535" s="15" t="s">
        <v>2998</v>
      </c>
      <c r="B535" s="12" t="str">
        <f>IFERROR(INDEX(Mots!$B:$B,MATCH($A535,Mots!$A:$A,0)),"introuvable")</f>
        <v>le rétroviseur</v>
      </c>
      <c r="E535" s="15" t="s">
        <v>2851</v>
      </c>
      <c r="I535" s="15" t="s">
        <v>2851</v>
      </c>
      <c r="N535" s="15" t="s">
        <v>7727</v>
      </c>
    </row>
    <row r="536" spans="1:24" x14ac:dyDescent="0.3">
      <c r="A536" s="15" t="s">
        <v>3006</v>
      </c>
      <c r="B536" s="12" t="str">
        <f>IFERROR(INDEX(Mots!$B:$B,MATCH($A536,Mots!$A:$A,0)),"introuvable")</f>
        <v>le siège</v>
      </c>
      <c r="C536" s="15" t="s">
        <v>828</v>
      </c>
      <c r="E536" s="15" t="s">
        <v>2851</v>
      </c>
      <c r="I536" s="15" t="s">
        <v>2851</v>
      </c>
      <c r="N536" s="15" t="s">
        <v>7727</v>
      </c>
    </row>
    <row r="537" spans="1:24" x14ac:dyDescent="0.3">
      <c r="A537" s="15" t="s">
        <v>3009</v>
      </c>
      <c r="B537" s="12" t="str">
        <f>IFERROR(INDEX(Mots!$B:$B,MATCH($A537,Mots!$A:$A,0)),"introuvable")</f>
        <v>le volant</v>
      </c>
      <c r="E537" s="15" t="s">
        <v>2851</v>
      </c>
      <c r="I537" s="15" t="s">
        <v>2851</v>
      </c>
      <c r="N537" s="15" t="s">
        <v>7727</v>
      </c>
    </row>
    <row r="538" spans="1:24" x14ac:dyDescent="0.3">
      <c r="A538" s="15" t="s">
        <v>3018</v>
      </c>
      <c r="B538" s="12" t="str">
        <f>IFERROR(INDEX(Mots!$B:$B,MATCH($A538,Mots!$A:$A,0)),"introuvable")</f>
        <v>le tableau de bord</v>
      </c>
      <c r="C538" s="15" t="s">
        <v>7740</v>
      </c>
      <c r="E538" s="15" t="s">
        <v>2851</v>
      </c>
      <c r="I538" s="15" t="s">
        <v>2851</v>
      </c>
      <c r="N538" s="15" t="s">
        <v>7727</v>
      </c>
    </row>
    <row r="539" spans="1:24" x14ac:dyDescent="0.3">
      <c r="A539" s="15" t="s">
        <v>3022</v>
      </c>
      <c r="B539" s="12" t="str">
        <f>IFERROR(INDEX(Mots!$B:$B,MATCH($A539,Mots!$A:$A,0)),"introuvable")</f>
        <v>le coffre</v>
      </c>
      <c r="E539" s="15" t="s">
        <v>2851</v>
      </c>
      <c r="I539" s="15" t="s">
        <v>2851</v>
      </c>
      <c r="N539" s="15" t="s">
        <v>7727</v>
      </c>
    </row>
    <row r="540" spans="1:24" x14ac:dyDescent="0.3">
      <c r="A540" s="15" t="s">
        <v>3025</v>
      </c>
      <c r="B540" s="12" t="str">
        <f>IFERROR(INDEX(Mots!$B:$B,MATCH($A540,Mots!$A:$A,0)),"introuvable")</f>
        <v>la vitesse</v>
      </c>
      <c r="I540" s="15" t="s">
        <v>2851</v>
      </c>
      <c r="N540" s="15" t="s">
        <v>7727</v>
      </c>
      <c r="O540" s="15" t="s">
        <v>7736</v>
      </c>
    </row>
    <row r="541" spans="1:24" x14ac:dyDescent="0.3">
      <c r="A541" s="15" t="s">
        <v>3033</v>
      </c>
      <c r="B541" s="12" t="str">
        <f>IFERROR(INDEX(Mots!$B:$B,MATCH($A541,Mots!$A:$A,0)),"introuvable")</f>
        <v>mes enfants</v>
      </c>
      <c r="W541" s="15" t="s">
        <v>29</v>
      </c>
    </row>
    <row r="542" spans="1:24" x14ac:dyDescent="0.3">
      <c r="A542" s="15" t="s">
        <v>3036</v>
      </c>
      <c r="B542" s="12" t="str">
        <f>IFERROR(INDEX(Mots!$B:$B,MATCH($A542,Mots!$A:$A,0)),"introuvable")</f>
        <v>Mathilde</v>
      </c>
      <c r="E542" s="15" t="s">
        <v>7738</v>
      </c>
      <c r="W542" s="15" t="s">
        <v>29</v>
      </c>
      <c r="X542" s="15" t="s">
        <v>7789</v>
      </c>
    </row>
    <row r="543" spans="1:24" x14ac:dyDescent="0.3">
      <c r="A543" s="15" t="s">
        <v>3039</v>
      </c>
      <c r="B543" s="12" t="str">
        <f>IFERROR(INDEX(Mots!$B:$B,MATCH($A543,Mots!$A:$A,0)),"introuvable")</f>
        <v>Julien</v>
      </c>
      <c r="E543" s="15" t="s">
        <v>7738</v>
      </c>
      <c r="W543" s="15" t="s">
        <v>29</v>
      </c>
      <c r="X543" s="15" t="s">
        <v>7789</v>
      </c>
    </row>
    <row r="544" spans="1:24" x14ac:dyDescent="0.3">
      <c r="A544" s="15" t="s">
        <v>3043</v>
      </c>
      <c r="B544" s="12" t="str">
        <f>IFERROR(INDEX(Mots!$B:$B,MATCH($A544,Mots!$A:$A,0)),"introuvable")</f>
        <v>Emma</v>
      </c>
      <c r="W544" s="15" t="s">
        <v>29</v>
      </c>
      <c r="X544" s="15" t="s">
        <v>7789</v>
      </c>
    </row>
    <row r="545" spans="1:24" x14ac:dyDescent="0.3">
      <c r="A545" s="15" t="s">
        <v>3047</v>
      </c>
      <c r="B545" s="12" t="str">
        <f>IFERROR(INDEX(Mots!$B:$B,MATCH($A545,Mots!$A:$A,0)),"introuvable")</f>
        <v>Loïc</v>
      </c>
      <c r="W545" s="15" t="s">
        <v>29</v>
      </c>
      <c r="X545" s="15" t="s">
        <v>7789</v>
      </c>
    </row>
    <row r="546" spans="1:24" x14ac:dyDescent="0.3">
      <c r="A546" s="15" t="s">
        <v>3051</v>
      </c>
      <c r="B546" s="12" t="str">
        <f>IFERROR(INDEX(Mots!$B:$B,MATCH($A546,Mots!$A:$A,0)),"introuvable")</f>
        <v>Emile, le copain de Mathilde</v>
      </c>
      <c r="W546" s="15" t="s">
        <v>7789</v>
      </c>
      <c r="X546" s="15" t="s">
        <v>7792</v>
      </c>
    </row>
    <row r="547" spans="1:24" x14ac:dyDescent="0.3">
      <c r="A547" s="15" t="s">
        <v>3055</v>
      </c>
      <c r="B547" s="12" t="str">
        <f>IFERROR(INDEX(Mots!$B:$B,MATCH($A547,Mots!$A:$A,0)),"introuvable")</f>
        <v>Eva, la copine de Julien</v>
      </c>
      <c r="E547" s="15" t="s">
        <v>7738</v>
      </c>
      <c r="W547" s="15" t="s">
        <v>7792</v>
      </c>
    </row>
    <row r="548" spans="1:24" x14ac:dyDescent="0.3">
      <c r="A548" s="15" t="s">
        <v>3059</v>
      </c>
      <c r="B548" s="12" t="str">
        <f>IFERROR(INDEX(Mots!$B:$B,MATCH($A548,Mots!$A:$A,0)),"introuvable")</f>
        <v>Paul, le copain d'Emma</v>
      </c>
      <c r="W548" s="15" t="s">
        <v>7789</v>
      </c>
      <c r="X548" s="15" t="s">
        <v>7792</v>
      </c>
    </row>
    <row r="549" spans="1:24" x14ac:dyDescent="0.3">
      <c r="A549" s="15" t="s">
        <v>3063</v>
      </c>
      <c r="B549" s="12" t="str">
        <f>IFERROR(INDEX(Mots!$B:$B,MATCH($A549,Mots!$A:$A,0)),"introuvable")</f>
        <v>Claudia</v>
      </c>
      <c r="W549" s="15" t="s">
        <v>29</v>
      </c>
    </row>
    <row r="550" spans="1:24" x14ac:dyDescent="0.3">
      <c r="A550" s="15" t="s">
        <v>3066</v>
      </c>
      <c r="B550" s="12" t="str">
        <f>IFERROR(INDEX(Mots!$B:$B,MATCH($A550,Mots!$A:$A,0)),"introuvable")</f>
        <v>Patrick</v>
      </c>
      <c r="W550" s="15" t="s">
        <v>29</v>
      </c>
    </row>
    <row r="551" spans="1:24" x14ac:dyDescent="0.3">
      <c r="A551" s="15" t="s">
        <v>3070</v>
      </c>
      <c r="B551" s="12" t="str">
        <f>IFERROR(INDEX(Mots!$B:$B,MATCH($A551,Mots!$A:$A,0)),"introuvable")</f>
        <v>Olivier</v>
      </c>
      <c r="E551" s="15" t="s">
        <v>7738</v>
      </c>
      <c r="W551" s="15" t="s">
        <v>29</v>
      </c>
      <c r="X551" s="15" t="s">
        <v>7789</v>
      </c>
    </row>
    <row r="552" spans="1:24" x14ac:dyDescent="0.3">
      <c r="A552" s="15" t="s">
        <v>3073</v>
      </c>
      <c r="B552" s="12" t="str">
        <f>IFERROR(INDEX(Mots!$B:$B,MATCH($A552,Mots!$A:$A,0)),"introuvable")</f>
        <v>Barbara</v>
      </c>
      <c r="W552" s="15" t="s">
        <v>29</v>
      </c>
    </row>
    <row r="553" spans="1:24" x14ac:dyDescent="0.3">
      <c r="A553" s="15" t="s">
        <v>3076</v>
      </c>
      <c r="B553" s="12" t="str">
        <f>IFERROR(INDEX(Mots!$B:$B,MATCH($A553,Mots!$A:$A,0)),"introuvable")</f>
        <v>Sandrine</v>
      </c>
      <c r="W553" s="15" t="s">
        <v>29</v>
      </c>
      <c r="X553" s="15" t="s">
        <v>7789</v>
      </c>
    </row>
    <row r="554" spans="1:24" x14ac:dyDescent="0.3">
      <c r="A554" s="15" t="s">
        <v>3079</v>
      </c>
      <c r="B554" s="12" t="str">
        <f>IFERROR(INDEX(Mots!$B:$B,MATCH($A554,Mots!$A:$A,0)),"introuvable")</f>
        <v>Docteur Nicole Ducrey Crettenand</v>
      </c>
      <c r="I554" s="15" t="s">
        <v>5062</v>
      </c>
      <c r="N554" s="15" t="s">
        <v>7725</v>
      </c>
    </row>
    <row r="555" spans="1:24" x14ac:dyDescent="0.3">
      <c r="A555" s="15" t="s">
        <v>3082</v>
      </c>
      <c r="B555" s="12" t="str">
        <f>IFERROR(INDEX(Mots!$B:$B,MATCH($A555,Mots!$A:$A,0)),"introuvable")</f>
        <v>Professeur Joseph-André Ghika, neurologue</v>
      </c>
      <c r="I555" s="15" t="s">
        <v>5062</v>
      </c>
      <c r="N555" s="15" t="s">
        <v>7725</v>
      </c>
    </row>
    <row r="556" spans="1:24" x14ac:dyDescent="0.3">
      <c r="A556" s="15" t="s">
        <v>3086</v>
      </c>
      <c r="B556" s="12" t="str">
        <f>IFERROR(INDEX(Mots!$B:$B,MATCH($A556,Mots!$A:$A,0)),"introuvable")</f>
        <v>Louane</v>
      </c>
      <c r="W556" s="15" t="s">
        <v>29</v>
      </c>
    </row>
    <row r="557" spans="1:24" x14ac:dyDescent="0.3">
      <c r="A557" s="15" t="s">
        <v>3090</v>
      </c>
      <c r="B557" s="12" t="str">
        <f>IFERROR(INDEX(Mots!$B:$B,MATCH($A557,Mots!$A:$A,0)),"introuvable")</f>
        <v>Melwyn</v>
      </c>
      <c r="W557" s="15" t="s">
        <v>29</v>
      </c>
    </row>
    <row r="558" spans="1:24" x14ac:dyDescent="0.3">
      <c r="A558" s="15" t="s">
        <v>3094</v>
      </c>
      <c r="B558" s="12" t="str">
        <f>IFERROR(INDEX(Mots!$B:$B,MATCH($A558,Mots!$A:$A,0)),"introuvable")</f>
        <v>Jason</v>
      </c>
      <c r="W558" s="15" t="s">
        <v>29</v>
      </c>
      <c r="X558" s="15" t="s">
        <v>7789</v>
      </c>
    </row>
    <row r="559" spans="1:24" x14ac:dyDescent="0.3">
      <c r="A559" s="15" t="s">
        <v>3098</v>
      </c>
      <c r="B559" s="12" t="str">
        <f>IFERROR(INDEX(Mots!$B:$B,MATCH($A559,Mots!$A:$A,0)),"introuvable")</f>
        <v>Yanis</v>
      </c>
      <c r="W559" s="15" t="s">
        <v>29</v>
      </c>
    </row>
    <row r="560" spans="1:24" x14ac:dyDescent="0.3">
      <c r="A560" s="15" t="s">
        <v>3102</v>
      </c>
      <c r="B560" s="12" t="str">
        <f>IFERROR(INDEX(Mots!$B:$B,MATCH($A560,Mots!$A:$A,0)),"introuvable")</f>
        <v>Alison</v>
      </c>
      <c r="W560" s="15" t="s">
        <v>29</v>
      </c>
    </row>
    <row r="561" spans="1:23" x14ac:dyDescent="0.3">
      <c r="A561" s="15" t="s">
        <v>3106</v>
      </c>
      <c r="B561" s="12" t="str">
        <f>IFERROR(INDEX(Mots!$B:$B,MATCH($A561,Mots!$A:$A,0)),"introuvable")</f>
        <v>Germaine</v>
      </c>
      <c r="W561" s="15" t="s">
        <v>29</v>
      </c>
    </row>
    <row r="562" spans="1:23" x14ac:dyDescent="0.3">
      <c r="A562" s="15" t="s">
        <v>3110</v>
      </c>
      <c r="B562" s="12" t="str">
        <f>IFERROR(INDEX(Mots!$B:$B,MATCH($A562,Mots!$A:$A,0)),"introuvable")</f>
        <v>Noël</v>
      </c>
      <c r="W562" s="15" t="s">
        <v>29</v>
      </c>
    </row>
    <row r="563" spans="1:23" x14ac:dyDescent="0.3">
      <c r="A563" s="15" t="s">
        <v>3114</v>
      </c>
      <c r="B563" s="12" t="str">
        <f>IFERROR(INDEX(Mots!$B:$B,MATCH($A563,Mots!$A:$A,0)),"introuvable")</f>
        <v>la peau</v>
      </c>
      <c r="E563" s="15" t="s">
        <v>46</v>
      </c>
      <c r="N563" s="15" t="s">
        <v>7725</v>
      </c>
    </row>
    <row r="564" spans="1:23" x14ac:dyDescent="0.3">
      <c r="A564" s="15" t="s">
        <v>3117</v>
      </c>
      <c r="B564" s="12" t="str">
        <f>IFERROR(INDEX(Mots!$B:$B,MATCH($A564,Mots!$A:$A,0)),"introuvable")</f>
        <v>la voix</v>
      </c>
      <c r="E564" s="15" t="s">
        <v>46</v>
      </c>
      <c r="N564" s="15" t="s">
        <v>7725</v>
      </c>
    </row>
    <row r="565" spans="1:23" x14ac:dyDescent="0.3">
      <c r="A565" s="15" t="s">
        <v>3121</v>
      </c>
      <c r="B565" s="12" t="str">
        <f>IFERROR(INDEX(Mots!$B:$B,MATCH($A565,Mots!$A:$A,0)),"introuvable")</f>
        <v>le cerveau</v>
      </c>
      <c r="C565" s="15" t="s">
        <v>7756</v>
      </c>
      <c r="E565" s="15" t="s">
        <v>46</v>
      </c>
      <c r="N565" s="15" t="s">
        <v>7725</v>
      </c>
    </row>
    <row r="566" spans="1:23" x14ac:dyDescent="0.3">
      <c r="A566" s="15" t="s">
        <v>3125</v>
      </c>
      <c r="B566" s="12" t="str">
        <f>IFERROR(INDEX(Mots!$B:$B,MATCH($A566,Mots!$A:$A,0)),"introuvable")</f>
        <v>le muscle</v>
      </c>
      <c r="C566" s="15" t="s">
        <v>7756</v>
      </c>
      <c r="E566" s="15" t="s">
        <v>46</v>
      </c>
      <c r="N566" s="15" t="s">
        <v>7725</v>
      </c>
    </row>
    <row r="567" spans="1:23" x14ac:dyDescent="0.3">
      <c r="A567" s="15" t="s">
        <v>3129</v>
      </c>
      <c r="B567" s="12" t="str">
        <f>IFERROR(INDEX(Mots!$B:$B,MATCH($A567,Mots!$A:$A,0)),"introuvable")</f>
        <v>le sang</v>
      </c>
      <c r="E567" s="15" t="s">
        <v>46</v>
      </c>
      <c r="N567" s="15" t="s">
        <v>7725</v>
      </c>
    </row>
    <row r="568" spans="1:23" x14ac:dyDescent="0.3">
      <c r="A568" s="15" t="s">
        <v>3133</v>
      </c>
      <c r="B568" s="12" t="str">
        <f>IFERROR(INDEX(Mots!$B:$B,MATCH($A568,Mots!$A:$A,0)),"introuvable")</f>
        <v>le squelette</v>
      </c>
      <c r="C568" s="15" t="s">
        <v>7756</v>
      </c>
      <c r="E568" s="15" t="s">
        <v>46</v>
      </c>
      <c r="N568" s="15" t="s">
        <v>7725</v>
      </c>
    </row>
    <row r="569" spans="1:23" x14ac:dyDescent="0.3">
      <c r="A569" s="15" t="s">
        <v>3137</v>
      </c>
      <c r="B569" s="12" t="str">
        <f>IFERROR(INDEX(Mots!$B:$B,MATCH($A569,Mots!$A:$A,0)),"introuvable")</f>
        <v>l'estomac</v>
      </c>
      <c r="C569" s="15" t="s">
        <v>7747</v>
      </c>
      <c r="E569" s="15" t="s">
        <v>46</v>
      </c>
      <c r="N569" s="15" t="s">
        <v>7725</v>
      </c>
    </row>
    <row r="570" spans="1:23" x14ac:dyDescent="0.3">
      <c r="A570" s="15" t="s">
        <v>3141</v>
      </c>
      <c r="B570" s="12" t="str">
        <f>IFERROR(INDEX(Mots!$B:$B,MATCH($A570,Mots!$A:$A,0)),"introuvable")</f>
        <v>l'ongle</v>
      </c>
      <c r="E570" s="15" t="s">
        <v>46</v>
      </c>
      <c r="N570" s="15" t="s">
        <v>7725</v>
      </c>
    </row>
    <row r="571" spans="1:23" x14ac:dyDescent="0.3">
      <c r="A571" s="15" t="s">
        <v>3145</v>
      </c>
      <c r="B571" s="12" t="str">
        <f>IFERROR(INDEX(Mots!$B:$B,MATCH($A571,Mots!$A:$A,0)),"introuvable")</f>
        <v>l'os</v>
      </c>
      <c r="C571" s="15" t="s">
        <v>7756</v>
      </c>
      <c r="E571" s="15" t="s">
        <v>46</v>
      </c>
      <c r="N571" s="15" t="s">
        <v>7725</v>
      </c>
    </row>
    <row r="572" spans="1:23" x14ac:dyDescent="0.3">
      <c r="A572" s="15" t="s">
        <v>3149</v>
      </c>
      <c r="B572" s="12" t="str">
        <f>IFERROR(INDEX(Mots!$B:$B,MATCH($A572,Mots!$A:$A,0)),"introuvable")</f>
        <v>faire les vitres</v>
      </c>
      <c r="I572" s="15" t="s">
        <v>34</v>
      </c>
      <c r="N572" s="15" t="s">
        <v>6965</v>
      </c>
    </row>
    <row r="573" spans="1:23" x14ac:dyDescent="0.3">
      <c r="A573" s="15" t="s">
        <v>3152</v>
      </c>
      <c r="B573" s="12" t="str">
        <f>IFERROR(INDEX(Mots!$B:$B,MATCH($A573,Mots!$A:$A,0)),"introuvable")</f>
        <v>la serpillière</v>
      </c>
      <c r="C573" s="15" t="s">
        <v>4650</v>
      </c>
      <c r="I573" s="15" t="s">
        <v>34</v>
      </c>
      <c r="N573" s="15" t="s">
        <v>6965</v>
      </c>
    </row>
    <row r="574" spans="1:23" x14ac:dyDescent="0.3">
      <c r="A574" s="15" t="s">
        <v>3156</v>
      </c>
      <c r="B574" s="12" t="str">
        <f>IFERROR(INDEX(Mots!$B:$B,MATCH($A574,Mots!$A:$A,0)),"introuvable")</f>
        <v>l'aspirateur</v>
      </c>
      <c r="C574" s="15" t="s">
        <v>5293</v>
      </c>
      <c r="I574" s="15" t="s">
        <v>34</v>
      </c>
      <c r="N574" s="15" t="s">
        <v>6965</v>
      </c>
    </row>
    <row r="575" spans="1:23" x14ac:dyDescent="0.3">
      <c r="A575" s="15" t="s">
        <v>3164</v>
      </c>
      <c r="B575" s="12" t="str">
        <f>IFERROR(INDEX(Mots!$B:$B,MATCH($A575,Mots!$A:$A,0)),"introuvable")</f>
        <v>le chiffon</v>
      </c>
      <c r="C575" s="15" t="s">
        <v>4650</v>
      </c>
      <c r="I575" s="15" t="s">
        <v>34</v>
      </c>
      <c r="N575" s="15" t="s">
        <v>6965</v>
      </c>
    </row>
    <row r="576" spans="1:23" x14ac:dyDescent="0.3">
      <c r="A576" s="15" t="s">
        <v>3168</v>
      </c>
      <c r="B576" s="12" t="str">
        <f>IFERROR(INDEX(Mots!$B:$B,MATCH($A576,Mots!$A:$A,0)),"introuvable")</f>
        <v>le matériel pour récurrer</v>
      </c>
      <c r="I576" s="15" t="s">
        <v>34</v>
      </c>
      <c r="N576" s="15" t="s">
        <v>6965</v>
      </c>
    </row>
    <row r="577" spans="1:14" x14ac:dyDescent="0.3">
      <c r="A577" s="15" t="s">
        <v>3173</v>
      </c>
      <c r="B577" s="12" t="str">
        <f>IFERROR(INDEX(Mots!$B:$B,MATCH($A577,Mots!$A:$A,0)),"introuvable")</f>
        <v>le meister proper</v>
      </c>
      <c r="I577" s="15" t="s">
        <v>34</v>
      </c>
      <c r="N577" s="15" t="s">
        <v>6965</v>
      </c>
    </row>
    <row r="578" spans="1:14" x14ac:dyDescent="0.3">
      <c r="A578" s="15" t="s">
        <v>3177</v>
      </c>
      <c r="B578" s="12" t="str">
        <f>IFERROR(INDEX(Mots!$B:$B,MATCH($A578,Mots!$A:$A,0)),"introuvable")</f>
        <v>l'éponge</v>
      </c>
      <c r="C578" s="15" t="s">
        <v>6837</v>
      </c>
      <c r="I578" s="15" t="s">
        <v>34</v>
      </c>
      <c r="N578" s="15" t="s">
        <v>6965</v>
      </c>
    </row>
    <row r="579" spans="1:14" x14ac:dyDescent="0.3">
      <c r="A579" s="15" t="s">
        <v>3181</v>
      </c>
      <c r="B579" s="12" t="str">
        <f>IFERROR(INDEX(Mots!$B:$B,MATCH($A579,Mots!$A:$A,0)),"introuvable")</f>
        <v>la chambre</v>
      </c>
      <c r="I579" s="15" t="s">
        <v>3181</v>
      </c>
      <c r="N579" s="15" t="s">
        <v>7734</v>
      </c>
    </row>
    <row r="580" spans="1:14" x14ac:dyDescent="0.3">
      <c r="A580" s="15" t="s">
        <v>3185</v>
      </c>
      <c r="B580" s="12" t="str">
        <f>IFERROR(INDEX(Mots!$B:$B,MATCH($A580,Mots!$A:$A,0)),"introuvable")</f>
        <v>le lit</v>
      </c>
      <c r="C580" s="15" t="s">
        <v>828</v>
      </c>
      <c r="I580" s="15" t="s">
        <v>3181</v>
      </c>
      <c r="N580" s="15" t="s">
        <v>7734</v>
      </c>
    </row>
    <row r="581" spans="1:14" x14ac:dyDescent="0.3">
      <c r="A581" s="15" t="s">
        <v>3188</v>
      </c>
      <c r="B581" s="12" t="str">
        <f>IFERROR(INDEX(Mots!$B:$B,MATCH($A581,Mots!$A:$A,0)),"introuvable")</f>
        <v>le matelas</v>
      </c>
      <c r="I581" s="15" t="s">
        <v>3181</v>
      </c>
      <c r="N581" s="15" t="s">
        <v>7734</v>
      </c>
    </row>
    <row r="582" spans="1:14" x14ac:dyDescent="0.3">
      <c r="A582" s="15" t="s">
        <v>3193</v>
      </c>
      <c r="B582" s="12" t="str">
        <f>IFERROR(INDEX(Mots!$B:$B,MATCH($A582,Mots!$A:$A,0)),"introuvable")</f>
        <v>l'oreiller</v>
      </c>
      <c r="I582" s="15" t="s">
        <v>3181</v>
      </c>
      <c r="N582" s="15" t="s">
        <v>7734</v>
      </c>
    </row>
    <row r="583" spans="1:14" x14ac:dyDescent="0.3">
      <c r="A583" s="15" t="s">
        <v>3197</v>
      </c>
      <c r="B583" s="12" t="str">
        <f>IFERROR(INDEX(Mots!$B:$B,MATCH($A583,Mots!$A:$A,0)),"introuvable")</f>
        <v>le duvet</v>
      </c>
      <c r="C583" s="15" t="s">
        <v>6578</v>
      </c>
      <c r="I583" s="15" t="s">
        <v>3181</v>
      </c>
      <c r="N583" s="15" t="s">
        <v>7734</v>
      </c>
    </row>
    <row r="584" spans="1:14" x14ac:dyDescent="0.3">
      <c r="A584" s="15" t="s">
        <v>3200</v>
      </c>
      <c r="B584" s="12" t="str">
        <f>IFERROR(INDEX(Mots!$B:$B,MATCH($A584,Mots!$A:$A,0)),"introuvable")</f>
        <v>le réveil</v>
      </c>
      <c r="G584" s="15" t="s">
        <v>7806</v>
      </c>
      <c r="I584" s="15" t="s">
        <v>3181</v>
      </c>
      <c r="N584" s="15" t="s">
        <v>7734</v>
      </c>
    </row>
    <row r="585" spans="1:14" x14ac:dyDescent="0.3">
      <c r="A585" s="15" t="s">
        <v>3205</v>
      </c>
      <c r="B585" s="12" t="str">
        <f>IFERROR(INDEX(Mots!$B:$B,MATCH($A585,Mots!$A:$A,0)),"introuvable")</f>
        <v>l'armoire</v>
      </c>
      <c r="C585" s="15" t="s">
        <v>828</v>
      </c>
      <c r="I585" s="15" t="s">
        <v>3181</v>
      </c>
      <c r="N585" s="15" t="s">
        <v>7734</v>
      </c>
    </row>
    <row r="586" spans="1:14" x14ac:dyDescent="0.3">
      <c r="A586" s="15" t="s">
        <v>3208</v>
      </c>
      <c r="B586" s="12" t="str">
        <f>IFERROR(INDEX(Mots!$B:$B,MATCH($A586,Mots!$A:$A,0)),"introuvable")</f>
        <v>la corbeille à linge</v>
      </c>
      <c r="C586" s="15" t="s">
        <v>6222</v>
      </c>
      <c r="I586" s="15" t="s">
        <v>2767</v>
      </c>
      <c r="N586" s="15" t="s">
        <v>6965</v>
      </c>
    </row>
    <row r="587" spans="1:14" x14ac:dyDescent="0.3">
      <c r="A587" s="15" t="s">
        <v>3211</v>
      </c>
      <c r="B587" s="12" t="str">
        <f>IFERROR(INDEX(Mots!$B:$B,MATCH($A587,Mots!$A:$A,0)),"introuvable")</f>
        <v>le panier à linge</v>
      </c>
      <c r="I587" s="15" t="s">
        <v>2767</v>
      </c>
      <c r="N587" s="15" t="s">
        <v>6965</v>
      </c>
    </row>
    <row r="588" spans="1:14" x14ac:dyDescent="0.3">
      <c r="A588" s="15" t="s">
        <v>3215</v>
      </c>
      <c r="B588" s="12" t="str">
        <f>IFERROR(INDEX(Mots!$B:$B,MATCH($A588,Mots!$A:$A,0)),"introuvable")</f>
        <v>la lessive</v>
      </c>
      <c r="I588" s="15" t="s">
        <v>2767</v>
      </c>
      <c r="N588" s="15" t="s">
        <v>6965</v>
      </c>
    </row>
    <row r="589" spans="1:14" x14ac:dyDescent="0.3">
      <c r="A589" s="15" t="s">
        <v>3219</v>
      </c>
      <c r="B589" s="12" t="str">
        <f>IFERROR(INDEX(Mots!$B:$B,MATCH($A589,Mots!$A:$A,0)),"introuvable")</f>
        <v>le linge</v>
      </c>
      <c r="C589" s="15" t="s">
        <v>6578</v>
      </c>
      <c r="I589" s="15" t="s">
        <v>2767</v>
      </c>
      <c r="N589" s="15" t="s">
        <v>6965</v>
      </c>
    </row>
    <row r="590" spans="1:14" x14ac:dyDescent="0.3">
      <c r="A590" s="15" t="s">
        <v>3223</v>
      </c>
      <c r="B590" s="12" t="str">
        <f>IFERROR(INDEX(Mots!$B:$B,MATCH($A590,Mots!$A:$A,0)),"introuvable")</f>
        <v>le bureau</v>
      </c>
      <c r="I590" s="15" t="s">
        <v>73</v>
      </c>
      <c r="N590" s="15" t="s">
        <v>7382</v>
      </c>
    </row>
    <row r="591" spans="1:14" x14ac:dyDescent="0.3">
      <c r="A591" s="15" t="s">
        <v>3226</v>
      </c>
      <c r="B591" s="12" t="str">
        <f>IFERROR(INDEX(Mots!$B:$B,MATCH($A591,Mots!$A:$A,0)),"introuvable")</f>
        <v>le classeur</v>
      </c>
      <c r="C591" s="15" t="s">
        <v>828</v>
      </c>
      <c r="I591" s="15" t="s">
        <v>73</v>
      </c>
      <c r="N591" s="15" t="s">
        <v>7382</v>
      </c>
    </row>
    <row r="592" spans="1:14" x14ac:dyDescent="0.3">
      <c r="A592" s="15" t="s">
        <v>3229</v>
      </c>
      <c r="B592" s="12" t="str">
        <f>IFERROR(INDEX(Mots!$B:$B,MATCH($A592,Mots!$A:$A,0)),"introuvable")</f>
        <v>la calculatrice</v>
      </c>
      <c r="C592" s="15" t="s">
        <v>5293</v>
      </c>
      <c r="I592" s="15" t="s">
        <v>73</v>
      </c>
      <c r="N592" s="15" t="s">
        <v>7382</v>
      </c>
    </row>
    <row r="593" spans="1:15" x14ac:dyDescent="0.3">
      <c r="A593" s="15" t="s">
        <v>3233</v>
      </c>
      <c r="B593" s="12" t="str">
        <f>IFERROR(INDEX(Mots!$B:$B,MATCH($A593,Mots!$A:$A,0)),"introuvable")</f>
        <v>l'ordinateur</v>
      </c>
      <c r="C593" s="15" t="s">
        <v>5293</v>
      </c>
      <c r="I593" s="15" t="s">
        <v>73</v>
      </c>
      <c r="N593" s="15" t="s">
        <v>7382</v>
      </c>
    </row>
    <row r="594" spans="1:15" x14ac:dyDescent="0.3">
      <c r="A594" s="15" t="s">
        <v>3238</v>
      </c>
      <c r="B594" s="12" t="str">
        <f>IFERROR(INDEX(Mots!$B:$B,MATCH($A594,Mots!$A:$A,0)),"introuvable")</f>
        <v>l'essence</v>
      </c>
      <c r="E594" s="15" t="s">
        <v>2851</v>
      </c>
      <c r="I594" s="15" t="s">
        <v>2851</v>
      </c>
      <c r="N594" s="15" t="s">
        <v>7727</v>
      </c>
      <c r="O594" s="15" t="s">
        <v>7736</v>
      </c>
    </row>
    <row r="595" spans="1:15" x14ac:dyDescent="0.3">
      <c r="A595" s="15" t="s">
        <v>3242</v>
      </c>
      <c r="B595" s="12" t="str">
        <f>IFERROR(INDEX(Mots!$B:$B,MATCH($A595,Mots!$A:$A,0)),"introuvable")</f>
        <v>la jauge d'huile</v>
      </c>
      <c r="C595" s="15" t="s">
        <v>4650</v>
      </c>
      <c r="I595" s="15" t="s">
        <v>2851</v>
      </c>
      <c r="N595" s="15" t="s">
        <v>7727</v>
      </c>
      <c r="O595" s="15" t="s">
        <v>7736</v>
      </c>
    </row>
    <row r="596" spans="1:15" x14ac:dyDescent="0.3">
      <c r="A596" s="15" t="s">
        <v>3245</v>
      </c>
      <c r="B596" s="12" t="str">
        <f>IFERROR(INDEX(Mots!$B:$B,MATCH($A596,Mots!$A:$A,0)),"introuvable")</f>
        <v>l'huile moteur</v>
      </c>
      <c r="E596" s="15" t="s">
        <v>2851</v>
      </c>
      <c r="I596" s="15" t="s">
        <v>2851</v>
      </c>
      <c r="N596" s="15" t="s">
        <v>7727</v>
      </c>
      <c r="O596" s="15" t="s">
        <v>7736</v>
      </c>
    </row>
    <row r="597" spans="1:15" x14ac:dyDescent="0.3">
      <c r="A597" s="15" t="s">
        <v>3249</v>
      </c>
      <c r="B597" s="12" t="str">
        <f>IFERROR(INDEX(Mots!$B:$B,MATCH($A597,Mots!$A:$A,0)),"introuvable")</f>
        <v>le liquide lave-glace</v>
      </c>
      <c r="E597" s="15" t="s">
        <v>2851</v>
      </c>
      <c r="I597" s="15" t="s">
        <v>2851</v>
      </c>
      <c r="N597" s="15" t="s">
        <v>7727</v>
      </c>
      <c r="O597" s="15" t="s">
        <v>7736</v>
      </c>
    </row>
    <row r="598" spans="1:15" x14ac:dyDescent="0.3">
      <c r="A598" s="15" t="s">
        <v>3254</v>
      </c>
      <c r="B598" s="12" t="str">
        <f>IFERROR(INDEX(Mots!$B:$B,MATCH($A598,Mots!$A:$A,0)),"introuvable")</f>
        <v>l'entonnoir</v>
      </c>
      <c r="C598" s="15" t="s">
        <v>6837</v>
      </c>
      <c r="I598" s="15" t="s">
        <v>2851</v>
      </c>
      <c r="J598" s="15" t="s">
        <v>3785</v>
      </c>
      <c r="N598" s="15" t="s">
        <v>7727</v>
      </c>
      <c r="O598" s="15" t="s">
        <v>7736</v>
      </c>
    </row>
    <row r="599" spans="1:15" x14ac:dyDescent="0.3">
      <c r="A599" s="15" t="s">
        <v>3258</v>
      </c>
      <c r="B599" s="12" t="str">
        <f>IFERROR(INDEX(Mots!$B:$B,MATCH($A599,Mots!$A:$A,0)),"introuvable")</f>
        <v>la paire de slip</v>
      </c>
      <c r="C599" s="15" t="s">
        <v>6578</v>
      </c>
      <c r="N599" s="15" t="s">
        <v>7723</v>
      </c>
    </row>
    <row r="600" spans="1:15" x14ac:dyDescent="0.3">
      <c r="A600" s="15" t="s">
        <v>3262</v>
      </c>
      <c r="B600" s="12" t="str">
        <f>IFERROR(INDEX(Mots!$B:$B,MATCH($A600,Mots!$A:$A,0)),"introuvable")</f>
        <v>les bas</v>
      </c>
      <c r="C600" s="15" t="s">
        <v>6578</v>
      </c>
      <c r="N600" s="15" t="s">
        <v>7723</v>
      </c>
    </row>
    <row r="601" spans="1:15" x14ac:dyDescent="0.3">
      <c r="A601" s="15" t="s">
        <v>3267</v>
      </c>
      <c r="B601" s="12" t="str">
        <f>IFERROR(INDEX(Mots!$B:$B,MATCH($A601,Mots!$A:$A,0)),"introuvable")</f>
        <v>le pantalon</v>
      </c>
      <c r="C601" s="15" t="s">
        <v>6578</v>
      </c>
      <c r="N601" s="15" t="s">
        <v>7723</v>
      </c>
    </row>
    <row r="602" spans="1:15" x14ac:dyDescent="0.3">
      <c r="A602" s="15" t="s">
        <v>3272</v>
      </c>
      <c r="B602" s="12" t="str">
        <f>IFERROR(INDEX(Mots!$B:$B,MATCH($A602,Mots!$A:$A,0)),"introuvable")</f>
        <v>le jeans (pantalon)</v>
      </c>
      <c r="C602" s="15" t="s">
        <v>6578</v>
      </c>
      <c r="N602" s="15" t="s">
        <v>7723</v>
      </c>
    </row>
    <row r="603" spans="1:15" x14ac:dyDescent="0.3">
      <c r="A603" s="15" t="s">
        <v>3275</v>
      </c>
      <c r="B603" s="12" t="str">
        <f>IFERROR(INDEX(Mots!$B:$B,MATCH($A603,Mots!$A:$A,0)),"introuvable")</f>
        <v>les cuissettes</v>
      </c>
      <c r="C603" s="15" t="s">
        <v>6578</v>
      </c>
      <c r="N603" s="15" t="s">
        <v>7723</v>
      </c>
    </row>
    <row r="604" spans="1:15" x14ac:dyDescent="0.3">
      <c r="A604" s="15" t="s">
        <v>3280</v>
      </c>
      <c r="B604" s="12" t="str">
        <f>IFERROR(INDEX(Mots!$B:$B,MATCH($A604,Mots!$A:$A,0)),"introuvable")</f>
        <v>la jupe</v>
      </c>
      <c r="C604" s="15" t="s">
        <v>6578</v>
      </c>
      <c r="N604" s="15" t="s">
        <v>7723</v>
      </c>
    </row>
    <row r="605" spans="1:15" x14ac:dyDescent="0.3">
      <c r="A605" s="15" t="s">
        <v>3284</v>
      </c>
      <c r="B605" s="12" t="str">
        <f>IFERROR(INDEX(Mots!$B:$B,MATCH($A605,Mots!$A:$A,0)),"introuvable")</f>
        <v>le juste-au-corps</v>
      </c>
      <c r="C605" s="15" t="s">
        <v>6578</v>
      </c>
      <c r="N605" s="15" t="s">
        <v>7723</v>
      </c>
    </row>
    <row r="606" spans="1:15" x14ac:dyDescent="0.3">
      <c r="A606" s="15" t="s">
        <v>3288</v>
      </c>
      <c r="B606" s="12" t="str">
        <f>IFERROR(INDEX(Mots!$B:$B,MATCH($A606,Mots!$A:$A,0)),"introuvable")</f>
        <v>le t-shirt</v>
      </c>
      <c r="C606" s="15" t="s">
        <v>6578</v>
      </c>
      <c r="N606" s="15" t="s">
        <v>7723</v>
      </c>
    </row>
    <row r="607" spans="1:15" x14ac:dyDescent="0.3">
      <c r="A607" s="15" t="s">
        <v>3292</v>
      </c>
      <c r="B607" s="12" t="str">
        <f>IFERROR(INDEX(Mots!$B:$B,MATCH($A607,Mots!$A:$A,0)),"introuvable")</f>
        <v>la chemise</v>
      </c>
      <c r="C607" s="15" t="s">
        <v>6578</v>
      </c>
      <c r="N607" s="15" t="s">
        <v>7723</v>
      </c>
    </row>
    <row r="608" spans="1:15" x14ac:dyDescent="0.3">
      <c r="A608" s="15" t="s">
        <v>3301</v>
      </c>
      <c r="B608" s="12" t="str">
        <f>IFERROR(INDEX(Mots!$B:$B,MATCH($A608,Mots!$A:$A,0)),"introuvable")</f>
        <v>le polo</v>
      </c>
      <c r="C608" s="15" t="s">
        <v>6578</v>
      </c>
      <c r="N608" s="15" t="s">
        <v>7723</v>
      </c>
    </row>
    <row r="609" spans="1:14" x14ac:dyDescent="0.3">
      <c r="A609" s="15" t="s">
        <v>9460</v>
      </c>
      <c r="B609" s="12" t="str">
        <f>IFERROR(INDEX(Mots!$B:$B,MATCH($A609,Mots!$A:$A,0)),"introuvable")</f>
        <v>le pull ou pullover</v>
      </c>
      <c r="C609" s="15" t="s">
        <v>6578</v>
      </c>
      <c r="N609" s="15" t="s">
        <v>7723</v>
      </c>
    </row>
    <row r="610" spans="1:14" x14ac:dyDescent="0.3">
      <c r="A610" s="15" t="s">
        <v>3309</v>
      </c>
      <c r="B610" s="12" t="str">
        <f>IFERROR(INDEX(Mots!$B:$B,MATCH($A610,Mots!$A:$A,0)),"introuvable")</f>
        <v>la veste</v>
      </c>
      <c r="C610" s="15" t="s">
        <v>6578</v>
      </c>
      <c r="N610" s="15" t="s">
        <v>7723</v>
      </c>
    </row>
    <row r="611" spans="1:14" x14ac:dyDescent="0.3">
      <c r="A611" s="15" t="s">
        <v>3313</v>
      </c>
      <c r="B611" s="12" t="str">
        <f>IFERROR(INDEX(Mots!$B:$B,MATCH($A611,Mots!$A:$A,0)),"introuvable")</f>
        <v>le pain</v>
      </c>
      <c r="C611" s="15" t="s">
        <v>7747</v>
      </c>
      <c r="I611" s="15" t="s">
        <v>702</v>
      </c>
      <c r="N611" s="15" t="s">
        <v>7718</v>
      </c>
    </row>
    <row r="612" spans="1:14" x14ac:dyDescent="0.3">
      <c r="A612" s="15" t="s">
        <v>3317</v>
      </c>
      <c r="B612" s="12" t="str">
        <f>IFERROR(INDEX(Mots!$B:$B,MATCH($A612,Mots!$A:$A,0)),"introuvable")</f>
        <v>le gendarme</v>
      </c>
      <c r="C612" s="15" t="s">
        <v>7747</v>
      </c>
      <c r="I612" s="15" t="s">
        <v>702</v>
      </c>
      <c r="N612" s="15" t="s">
        <v>7718</v>
      </c>
    </row>
    <row r="613" spans="1:14" x14ac:dyDescent="0.3">
      <c r="A613" s="15" t="s">
        <v>3322</v>
      </c>
      <c r="B613" s="12" t="str">
        <f>IFERROR(INDEX(Mots!$B:$B,MATCH($A613,Mots!$A:$A,0)),"introuvable")</f>
        <v>la saucisse</v>
      </c>
      <c r="C613" s="15" t="s">
        <v>7747</v>
      </c>
      <c r="I613" s="15" t="s">
        <v>702</v>
      </c>
      <c r="N613" s="15" t="s">
        <v>7718</v>
      </c>
    </row>
    <row r="614" spans="1:14" x14ac:dyDescent="0.3">
      <c r="A614" s="15" t="s">
        <v>3326</v>
      </c>
      <c r="B614" s="12" t="str">
        <f>IFERROR(INDEX(Mots!$B:$B,MATCH($A614,Mots!$A:$A,0)),"introuvable")</f>
        <v>le café</v>
      </c>
      <c r="C614" s="15" t="s">
        <v>7749</v>
      </c>
      <c r="I614" s="15" t="s">
        <v>702</v>
      </c>
      <c r="N614" s="15" t="s">
        <v>7718</v>
      </c>
    </row>
    <row r="615" spans="1:14" x14ac:dyDescent="0.3">
      <c r="A615" s="15" t="s">
        <v>3332</v>
      </c>
      <c r="B615" s="12" t="str">
        <f>IFERROR(INDEX(Mots!$B:$B,MATCH($A615,Mots!$A:$A,0)),"introuvable")</f>
        <v>le fromage</v>
      </c>
      <c r="C615" s="15" t="s">
        <v>7747</v>
      </c>
      <c r="I615" s="15" t="s">
        <v>702</v>
      </c>
      <c r="N615" s="15" t="s">
        <v>7718</v>
      </c>
    </row>
    <row r="616" spans="1:14" x14ac:dyDescent="0.3">
      <c r="A616" s="15" t="s">
        <v>34</v>
      </c>
      <c r="B616" s="12" t="str">
        <f>IFERROR(INDEX(Mots!$B:$B,MATCH($A616,Mots!$A:$A,0)),"introuvable")</f>
        <v>la maison</v>
      </c>
      <c r="C616" s="15" t="s">
        <v>5393</v>
      </c>
      <c r="I616" s="15" t="s">
        <v>34</v>
      </c>
    </row>
    <row r="617" spans="1:14" x14ac:dyDescent="0.3">
      <c r="A617" s="15" t="s">
        <v>3344</v>
      </c>
      <c r="B617" s="12" t="str">
        <f>IFERROR(INDEX(Mots!$B:$B,MATCH($A617,Mots!$A:$A,0)),"introuvable")</f>
        <v>le chalet</v>
      </c>
      <c r="C617" s="15" t="s">
        <v>5393</v>
      </c>
      <c r="I617" s="15" t="s">
        <v>34</v>
      </c>
    </row>
    <row r="618" spans="1:14" x14ac:dyDescent="0.3">
      <c r="A618" s="15" t="s">
        <v>3347</v>
      </c>
      <c r="B618" s="12" t="str">
        <f>IFERROR(INDEX(Mots!$B:$B,MATCH($A618,Mots!$A:$A,0)),"introuvable")</f>
        <v>le garage</v>
      </c>
      <c r="E618" s="15" t="s">
        <v>34</v>
      </c>
      <c r="I618" s="15" t="s">
        <v>34</v>
      </c>
    </row>
    <row r="619" spans="1:14" x14ac:dyDescent="0.3">
      <c r="A619" s="15" t="s">
        <v>3350</v>
      </c>
      <c r="B619" s="12" t="str">
        <f>IFERROR(INDEX(Mots!$B:$B,MATCH($A619,Mots!$A:$A,0)),"introuvable")</f>
        <v>la porte</v>
      </c>
      <c r="I619" s="15" t="s">
        <v>34</v>
      </c>
    </row>
    <row r="620" spans="1:14" x14ac:dyDescent="0.3">
      <c r="A620" s="15" t="s">
        <v>3354</v>
      </c>
      <c r="B620" s="12" t="str">
        <f>IFERROR(INDEX(Mots!$B:$B,MATCH($A620,Mots!$A:$A,0)),"introuvable")</f>
        <v>la fenêtre</v>
      </c>
      <c r="I620" s="15" t="s">
        <v>34</v>
      </c>
    </row>
    <row r="621" spans="1:14" x14ac:dyDescent="0.3">
      <c r="A621" s="15" t="s">
        <v>10088</v>
      </c>
      <c r="B621" s="12" t="str">
        <f>IFERROR(INDEX(Mots!$B:$B,MATCH($A621,Mots!$A:$A,0)),"introuvable")</f>
        <v>le store</v>
      </c>
      <c r="C621" s="15" t="s">
        <v>6837</v>
      </c>
      <c r="I621" s="15" t="s">
        <v>34</v>
      </c>
    </row>
    <row r="622" spans="1:14" x14ac:dyDescent="0.3">
      <c r="A622" s="15" t="s">
        <v>3360</v>
      </c>
      <c r="B622" s="12" t="str">
        <f>IFERROR(INDEX(Mots!$B:$B,MATCH($A622,Mots!$A:$A,0)),"introuvable")</f>
        <v>les volets</v>
      </c>
      <c r="C622" s="15" t="s">
        <v>4650</v>
      </c>
      <c r="I622" s="15" t="s">
        <v>34</v>
      </c>
    </row>
    <row r="623" spans="1:14" x14ac:dyDescent="0.3">
      <c r="A623" s="15" t="s">
        <v>3364</v>
      </c>
      <c r="B623" s="12" t="str">
        <f>IFERROR(INDEX(Mots!$B:$B,MATCH($A623,Mots!$A:$A,0)),"introuvable")</f>
        <v>l'escalier</v>
      </c>
      <c r="I623" s="15" t="s">
        <v>34</v>
      </c>
    </row>
    <row r="624" spans="1:14" x14ac:dyDescent="0.3">
      <c r="A624" s="15" t="s">
        <v>3368</v>
      </c>
      <c r="B624" s="12" t="str">
        <f>IFERROR(INDEX(Mots!$B:$B,MATCH($A624,Mots!$A:$A,0)),"introuvable")</f>
        <v>l'ampoule</v>
      </c>
      <c r="I624" s="15" t="s">
        <v>34</v>
      </c>
    </row>
    <row r="625" spans="1:19" x14ac:dyDescent="0.3">
      <c r="A625" s="15" t="s">
        <v>9553</v>
      </c>
      <c r="B625" s="12" t="str">
        <f>IFERROR(INDEX(Mots!$B:$B,MATCH($A625,Mots!$A:$A,0)),"introuvable")</f>
        <v>l'interrupteur</v>
      </c>
      <c r="C625" s="15" t="s">
        <v>6837</v>
      </c>
      <c r="I625" s="15" t="s">
        <v>34</v>
      </c>
    </row>
    <row r="626" spans="1:19" x14ac:dyDescent="0.3">
      <c r="A626" s="15" t="s">
        <v>3371</v>
      </c>
      <c r="B626" s="12" t="str">
        <f>IFERROR(INDEX(Mots!$B:$B,MATCH($A626,Mots!$A:$A,0)),"introuvable")</f>
        <v>les fusibles pour l'électricité</v>
      </c>
      <c r="I626" s="15" t="s">
        <v>34</v>
      </c>
    </row>
    <row r="627" spans="1:19" x14ac:dyDescent="0.3">
      <c r="A627" s="15" t="s">
        <v>3374</v>
      </c>
      <c r="B627" s="12" t="str">
        <f>IFERROR(INDEX(Mots!$B:$B,MATCH($A627,Mots!$A:$A,0)),"introuvable")</f>
        <v>le mur</v>
      </c>
      <c r="I627" s="15" t="s">
        <v>34</v>
      </c>
    </row>
    <row r="628" spans="1:19" x14ac:dyDescent="0.3">
      <c r="A628" s="15" t="s">
        <v>3378</v>
      </c>
      <c r="B628" s="12" t="str">
        <f>IFERROR(INDEX(Mots!$B:$B,MATCH($A628,Mots!$A:$A,0)),"introuvable")</f>
        <v>le toit</v>
      </c>
      <c r="C628" s="15" t="s">
        <v>5393</v>
      </c>
      <c r="I628" s="15" t="s">
        <v>34</v>
      </c>
    </row>
    <row r="629" spans="1:19" x14ac:dyDescent="0.3">
      <c r="A629" s="15" t="s">
        <v>3383</v>
      </c>
      <c r="B629" s="12" t="str">
        <f>IFERROR(INDEX(Mots!$B:$B,MATCH($A629,Mots!$A:$A,0)),"introuvable")</f>
        <v>le chéneau</v>
      </c>
      <c r="I629" s="15" t="s">
        <v>34</v>
      </c>
    </row>
    <row r="630" spans="1:19" x14ac:dyDescent="0.3">
      <c r="A630" s="15" t="s">
        <v>3386</v>
      </c>
      <c r="B630" s="12" t="str">
        <f>IFERROR(INDEX(Mots!$B:$B,MATCH($A630,Mots!$A:$A,0)),"introuvable")</f>
        <v>la barrière</v>
      </c>
      <c r="I630" s="15" t="s">
        <v>34</v>
      </c>
    </row>
    <row r="631" spans="1:19" x14ac:dyDescent="0.3">
      <c r="A631" s="15" t="s">
        <v>3394</v>
      </c>
      <c r="B631" s="12" t="str">
        <f>IFERROR(INDEX(Mots!$B:$B,MATCH($A631,Mots!$A:$A,0)),"introuvable")</f>
        <v>la prise</v>
      </c>
      <c r="C631" s="15" t="s">
        <v>5293</v>
      </c>
      <c r="I631" s="15" t="s">
        <v>34</v>
      </c>
    </row>
    <row r="632" spans="1:19" x14ac:dyDescent="0.3">
      <c r="A632" s="15" t="s">
        <v>3398</v>
      </c>
      <c r="B632" s="12" t="str">
        <f>IFERROR(INDEX(Mots!$B:$B,MATCH($A632,Mots!$A:$A,0)),"introuvable")</f>
        <v>la serrure</v>
      </c>
      <c r="I632" s="15" t="s">
        <v>34</v>
      </c>
    </row>
    <row r="633" spans="1:19" x14ac:dyDescent="0.3">
      <c r="A633" s="15" t="s">
        <v>3402</v>
      </c>
      <c r="B633" s="12" t="str">
        <f>IFERROR(INDEX(Mots!$B:$B,MATCH($A633,Mots!$A:$A,0)),"introuvable")</f>
        <v>le fourneau à bois</v>
      </c>
      <c r="C633" s="15" t="s">
        <v>5293</v>
      </c>
      <c r="I633" s="15" t="s">
        <v>34</v>
      </c>
      <c r="J633" s="15" t="s">
        <v>817</v>
      </c>
      <c r="N633" s="15" t="s">
        <v>7734</v>
      </c>
    </row>
    <row r="634" spans="1:19" x14ac:dyDescent="0.3">
      <c r="A634" s="15" t="s">
        <v>3406</v>
      </c>
      <c r="B634" s="12" t="str">
        <f>IFERROR(INDEX(Mots!$B:$B,MATCH($A634,Mots!$A:$A,0)),"introuvable")</f>
        <v>le fourneau à pellets</v>
      </c>
      <c r="C634" s="15" t="s">
        <v>4650</v>
      </c>
      <c r="I634" s="15" t="s">
        <v>34</v>
      </c>
      <c r="J634" s="15" t="s">
        <v>817</v>
      </c>
      <c r="N634" s="15" t="s">
        <v>7734</v>
      </c>
    </row>
    <row r="635" spans="1:19" x14ac:dyDescent="0.3">
      <c r="A635" s="15" t="s">
        <v>3410</v>
      </c>
      <c r="B635" s="12" t="str">
        <f>IFERROR(INDEX(Mots!$B:$B,MATCH($A635,Mots!$A:$A,0)),"introuvable")</f>
        <v>accepter</v>
      </c>
      <c r="N635" s="15" t="s">
        <v>7759</v>
      </c>
    </row>
    <row r="636" spans="1:19" x14ac:dyDescent="0.3">
      <c r="A636" s="15" t="s">
        <v>3419</v>
      </c>
      <c r="B636" s="12" t="str">
        <f>IFERROR(INDEX(Mots!$B:$B,MATCH($A636,Mots!$A:$A,0)),"introuvable")</f>
        <v>acheter</v>
      </c>
      <c r="I636" s="15" t="s">
        <v>73</v>
      </c>
      <c r="N636" s="15" t="s">
        <v>7382</v>
      </c>
      <c r="O636" s="15" t="s">
        <v>7764</v>
      </c>
    </row>
    <row r="637" spans="1:19" x14ac:dyDescent="0.3">
      <c r="A637" s="15" t="s">
        <v>3427</v>
      </c>
      <c r="B637" s="12" t="str">
        <f>IFERROR(INDEX(Mots!$B:$B,MATCH($A637,Mots!$A:$A,0)),"introuvable")</f>
        <v>adulte</v>
      </c>
      <c r="S637" s="15" t="s">
        <v>7768</v>
      </c>
    </row>
    <row r="638" spans="1:19" x14ac:dyDescent="0.3">
      <c r="A638" s="15" t="s">
        <v>3439</v>
      </c>
      <c r="B638" s="12" t="str">
        <f>IFERROR(INDEX(Mots!$B:$B,MATCH($A638,Mots!$A:$A,0)),"introuvable")</f>
        <v>aider</v>
      </c>
      <c r="N638" s="15" t="s">
        <v>7764</v>
      </c>
      <c r="O638" s="15" t="s">
        <v>3440</v>
      </c>
    </row>
    <row r="639" spans="1:19" x14ac:dyDescent="0.3">
      <c r="A639" s="15" t="s">
        <v>3447</v>
      </c>
      <c r="B639" s="12" t="str">
        <f>IFERROR(INDEX(Mots!$B:$B,MATCH($A639,Mots!$A:$A,0)),"introuvable")</f>
        <v>ailleurs</v>
      </c>
      <c r="G639" s="15" t="s">
        <v>7812</v>
      </c>
    </row>
    <row r="640" spans="1:19" x14ac:dyDescent="0.3">
      <c r="A640" s="15" t="s">
        <v>3452</v>
      </c>
      <c r="B640" s="12" t="str">
        <f>IFERROR(INDEX(Mots!$B:$B,MATCH($A640,Mots!$A:$A,0)),"introuvable")</f>
        <v>aimable</v>
      </c>
      <c r="S640" s="15" t="s">
        <v>7775</v>
      </c>
    </row>
    <row r="641" spans="1:19" x14ac:dyDescent="0.3">
      <c r="A641" s="15" t="s">
        <v>3455</v>
      </c>
      <c r="B641" s="12" t="str">
        <f>IFERROR(INDEX(Mots!$B:$B,MATCH($A641,Mots!$A:$A,0)),"introuvable")</f>
        <v>aimer</v>
      </c>
      <c r="N641" s="15" t="s">
        <v>7762</v>
      </c>
    </row>
    <row r="642" spans="1:19" x14ac:dyDescent="0.3">
      <c r="A642" s="15" t="s">
        <v>3463</v>
      </c>
      <c r="B642" s="12" t="str">
        <f>IFERROR(INDEX(Mots!$B:$B,MATCH($A642,Mots!$A:$A,0)),"introuvable")</f>
        <v>aller</v>
      </c>
      <c r="I642" s="15" t="s">
        <v>3785</v>
      </c>
      <c r="N642" s="15" t="s">
        <v>7727</v>
      </c>
    </row>
    <row r="643" spans="1:19" x14ac:dyDescent="0.3">
      <c r="A643" s="15" t="s">
        <v>3471</v>
      </c>
      <c r="B643" s="12" t="str">
        <f>IFERROR(INDEX(Mots!$B:$B,MATCH($A643,Mots!$A:$A,0)),"introuvable")</f>
        <v>annoncer</v>
      </c>
      <c r="N643" s="15" t="s">
        <v>7759</v>
      </c>
      <c r="O643" s="15" t="s">
        <v>7033</v>
      </c>
    </row>
    <row r="644" spans="1:19" x14ac:dyDescent="0.3">
      <c r="A644" s="15" t="s">
        <v>3478</v>
      </c>
      <c r="B644" s="12" t="str">
        <f>IFERROR(INDEX(Mots!$B:$B,MATCH($A644,Mots!$A:$A,0)),"introuvable")</f>
        <v>appeler</v>
      </c>
      <c r="N644" s="15" t="s">
        <v>7759</v>
      </c>
    </row>
    <row r="645" spans="1:19" x14ac:dyDescent="0.3">
      <c r="A645" s="15" t="s">
        <v>3486</v>
      </c>
      <c r="B645" s="12" t="str">
        <f>IFERROR(INDEX(Mots!$B:$B,MATCH($A645,Mots!$A:$A,0)),"introuvable")</f>
        <v>apprendre</v>
      </c>
      <c r="N645" s="15" t="s">
        <v>7033</v>
      </c>
      <c r="O645" s="15" t="s">
        <v>7764</v>
      </c>
    </row>
    <row r="646" spans="1:19" x14ac:dyDescent="0.3">
      <c r="A646" s="15" t="s">
        <v>3498</v>
      </c>
      <c r="B646" s="12" t="str">
        <f>IFERROR(INDEX(Mots!$B:$B,MATCH($A646,Mots!$A:$A,0)),"introuvable")</f>
        <v>arrondi</v>
      </c>
      <c r="S646" s="15" t="s">
        <v>4450</v>
      </c>
    </row>
    <row r="647" spans="1:19" x14ac:dyDescent="0.3">
      <c r="A647" s="15" t="s">
        <v>3505</v>
      </c>
      <c r="B647" s="12" t="str">
        <f>IFERROR(INDEX(Mots!$B:$B,MATCH($A647,Mots!$A:$A,0)),"introuvable")</f>
        <v>assez</v>
      </c>
      <c r="G647" s="15" t="s">
        <v>4961</v>
      </c>
    </row>
    <row r="648" spans="1:19" x14ac:dyDescent="0.3">
      <c r="A648" s="15" t="s">
        <v>3509</v>
      </c>
      <c r="B648" s="12" t="str">
        <f>IFERROR(INDEX(Mots!$B:$B,MATCH($A648,Mots!$A:$A,0)),"introuvable")</f>
        <v>attendre</v>
      </c>
      <c r="N648" s="15" t="s">
        <v>3440</v>
      </c>
    </row>
    <row r="649" spans="1:19" x14ac:dyDescent="0.3">
      <c r="A649" s="15" t="s">
        <v>3516</v>
      </c>
      <c r="B649" s="12" t="str">
        <f>IFERROR(INDEX(Mots!$B:$B,MATCH($A649,Mots!$A:$A,0)),"introuvable")</f>
        <v>aussi</v>
      </c>
      <c r="G649" s="15" t="s">
        <v>7812</v>
      </c>
    </row>
    <row r="650" spans="1:19" x14ac:dyDescent="0.3">
      <c r="A650" s="15" t="s">
        <v>3520</v>
      </c>
      <c r="B650" s="12" t="str">
        <f>IFERROR(INDEX(Mots!$B:$B,MATCH($A650,Mots!$A:$A,0)),"introuvable")</f>
        <v>autant</v>
      </c>
      <c r="G650" s="15" t="s">
        <v>4961</v>
      </c>
    </row>
    <row r="651" spans="1:19" x14ac:dyDescent="0.3">
      <c r="A651" s="15" t="s">
        <v>3524</v>
      </c>
      <c r="B651" s="12" t="str">
        <f>IFERROR(INDEX(Mots!$B:$B,MATCH($A651,Mots!$A:$A,0)),"introuvable")</f>
        <v>autour</v>
      </c>
      <c r="G651" s="15" t="s">
        <v>7812</v>
      </c>
    </row>
    <row r="652" spans="1:19" x14ac:dyDescent="0.3">
      <c r="A652" s="15" t="s">
        <v>3533</v>
      </c>
      <c r="B652" s="12" t="str">
        <f>IFERROR(INDEX(Mots!$B:$B,MATCH($A652,Mots!$A:$A,0)),"introuvable")</f>
        <v>avouer</v>
      </c>
      <c r="N652" s="15" t="s">
        <v>7759</v>
      </c>
    </row>
    <row r="653" spans="1:19" x14ac:dyDescent="0.3">
      <c r="A653" s="15" t="s">
        <v>3537</v>
      </c>
      <c r="B653" s="12" t="str">
        <f>IFERROR(INDEX(Mots!$B:$B,MATCH($A653,Mots!$A:$A,0)),"introuvable")</f>
        <v>beaucoup</v>
      </c>
      <c r="G653" s="15" t="s">
        <v>4961</v>
      </c>
    </row>
    <row r="654" spans="1:19" x14ac:dyDescent="0.3">
      <c r="A654" s="15" t="s">
        <v>3541</v>
      </c>
      <c r="B654" s="12" t="str">
        <f>IFERROR(INDEX(Mots!$B:$B,MATCH($A654,Mots!$A:$A,0)),"introuvable")</f>
        <v>bien</v>
      </c>
      <c r="G654" s="15" t="s">
        <v>7812</v>
      </c>
    </row>
    <row r="655" spans="1:19" x14ac:dyDescent="0.3">
      <c r="A655" s="15" t="s">
        <v>3548</v>
      </c>
      <c r="B655" s="12" t="str">
        <f>IFERROR(INDEX(Mots!$B:$B,MATCH($A655,Mots!$A:$A,0)),"introuvable")</f>
        <v>bientôt</v>
      </c>
      <c r="G655" s="15" t="s">
        <v>7806</v>
      </c>
    </row>
    <row r="656" spans="1:19" x14ac:dyDescent="0.3">
      <c r="A656" s="15" t="s">
        <v>3553</v>
      </c>
      <c r="B656" s="12" t="str">
        <f>IFERROR(INDEX(Mots!$B:$B,MATCH($A656,Mots!$A:$A,0)),"introuvable")</f>
        <v>boire</v>
      </c>
      <c r="I656" s="15" t="s">
        <v>702</v>
      </c>
      <c r="N656" s="15" t="s">
        <v>7718</v>
      </c>
    </row>
    <row r="657" spans="1:23" x14ac:dyDescent="0.3">
      <c r="A657" s="15" t="s">
        <v>9516</v>
      </c>
      <c r="B657" s="12" t="str">
        <f>IFERROR(INDEX(Mots!$B:$B,MATCH($A657,Mots!$A:$A,0)),"introuvable")</f>
        <v>brun</v>
      </c>
      <c r="S657" s="15" t="s">
        <v>2325</v>
      </c>
    </row>
    <row r="658" spans="1:23" x14ac:dyDescent="0.3">
      <c r="A658" s="8" t="s">
        <v>9498</v>
      </c>
      <c r="B658" s="12" t="str">
        <f>IFERROR(INDEX(Mots!$B:$B,MATCH($A658,Mots!$A:$A,0)),"introuvable")</f>
        <v>cassé</v>
      </c>
      <c r="S658" s="15" t="s">
        <v>7777</v>
      </c>
    </row>
    <row r="659" spans="1:23" x14ac:dyDescent="0.3">
      <c r="A659" s="15" t="s">
        <v>3587</v>
      </c>
      <c r="B659" s="12" t="str">
        <f>IFERROR(INDEX(Mots!$B:$B,MATCH($A659,Mots!$A:$A,0)),"introuvable")</f>
        <v>changer</v>
      </c>
      <c r="I659" s="15" t="s">
        <v>3785</v>
      </c>
      <c r="N659" s="15" t="s">
        <v>7764</v>
      </c>
    </row>
    <row r="660" spans="1:23" x14ac:dyDescent="0.3">
      <c r="A660" s="15" t="s">
        <v>3593</v>
      </c>
      <c r="B660" s="12" t="str">
        <f>IFERROR(INDEX(Mots!$B:$B,MATCH($A660,Mots!$A:$A,0)),"introuvable")</f>
        <v>chanter</v>
      </c>
      <c r="I660" s="15" t="s">
        <v>7716</v>
      </c>
      <c r="N660" s="15" t="s">
        <v>7730</v>
      </c>
      <c r="O660" s="15" t="s">
        <v>7759</v>
      </c>
    </row>
    <row r="661" spans="1:23" x14ac:dyDescent="0.3">
      <c r="A661" s="15" t="s">
        <v>3608</v>
      </c>
      <c r="B661" s="12" t="str">
        <f>IFERROR(INDEX(Mots!$B:$B,MATCH($A661,Mots!$A:$A,0)),"introuvable")</f>
        <v>choisir</v>
      </c>
      <c r="N661" s="15" t="s">
        <v>7764</v>
      </c>
    </row>
    <row r="662" spans="1:23" x14ac:dyDescent="0.3">
      <c r="A662" s="15" t="s">
        <v>3615</v>
      </c>
      <c r="B662" s="12" t="str">
        <f>IFERROR(INDEX(Mots!$B:$B,MATCH($A662,Mots!$A:$A,0)),"introuvable")</f>
        <v>Christophe Germanier</v>
      </c>
      <c r="W662" s="15" t="s">
        <v>7789</v>
      </c>
    </row>
    <row r="663" spans="1:23" x14ac:dyDescent="0.3">
      <c r="A663" s="15" t="s">
        <v>3619</v>
      </c>
      <c r="B663" s="12" t="str">
        <f>IFERROR(INDEX(Mots!$B:$B,MATCH($A663,Mots!$A:$A,0)),"introuvable")</f>
        <v>chuchoter</v>
      </c>
      <c r="N663" s="15" t="s">
        <v>7759</v>
      </c>
    </row>
    <row r="664" spans="1:23" x14ac:dyDescent="0.3">
      <c r="A664" s="15" t="s">
        <v>3626</v>
      </c>
      <c r="B664" s="12" t="str">
        <f>IFERROR(INDEX(Mots!$B:$B,MATCH($A664,Mots!$A:$A,0)),"introuvable")</f>
        <v>Claudine Fumeaux</v>
      </c>
      <c r="W664" s="15" t="s">
        <v>7789</v>
      </c>
    </row>
    <row r="665" spans="1:23" x14ac:dyDescent="0.3">
      <c r="A665" s="15" t="s">
        <v>3630</v>
      </c>
      <c r="B665" s="12" t="str">
        <f>IFERROR(INDEX(Mots!$B:$B,MATCH($A665,Mots!$A:$A,0)),"introuvable")</f>
        <v>collant</v>
      </c>
      <c r="S665" s="15" t="s">
        <v>7366</v>
      </c>
    </row>
    <row r="666" spans="1:23" x14ac:dyDescent="0.3">
      <c r="A666" s="8" t="s">
        <v>9484</v>
      </c>
      <c r="B666" s="12" t="str">
        <f>IFERROR(INDEX(Mots!$B:$B,MATCH($A666,Mots!$A:$A,0)),"introuvable")</f>
        <v>colorée</v>
      </c>
      <c r="S666" s="15" t="s">
        <v>2325</v>
      </c>
      <c r="T666" s="15" t="s">
        <v>7779</v>
      </c>
    </row>
    <row r="667" spans="1:23" x14ac:dyDescent="0.3">
      <c r="A667" s="15" t="s">
        <v>3646</v>
      </c>
      <c r="B667" s="12" t="str">
        <f>IFERROR(INDEX(Mots!$B:$B,MATCH($A667,Mots!$A:$A,0)),"introuvable")</f>
        <v>comparer</v>
      </c>
      <c r="N667" s="15" t="s">
        <v>7764</v>
      </c>
    </row>
    <row r="668" spans="1:23" x14ac:dyDescent="0.3">
      <c r="A668" s="15" t="s">
        <v>3657</v>
      </c>
      <c r="B668" s="12" t="str">
        <f>IFERROR(INDEX(Mots!$B:$B,MATCH($A668,Mots!$A:$A,0)),"introuvable")</f>
        <v>comprendre</v>
      </c>
      <c r="N668" s="15" t="s">
        <v>7033</v>
      </c>
      <c r="O668" s="15" t="s">
        <v>7764</v>
      </c>
    </row>
    <row r="669" spans="1:23" x14ac:dyDescent="0.3">
      <c r="A669" s="15" t="s">
        <v>3663</v>
      </c>
      <c r="B669" s="12" t="str">
        <f>IFERROR(INDEX(Mots!$B:$B,MATCH($A669,Mots!$A:$A,0)),"introuvable")</f>
        <v>compter</v>
      </c>
      <c r="I669" s="15" t="s">
        <v>73</v>
      </c>
      <c r="N669" s="15" t="s">
        <v>7759</v>
      </c>
      <c r="O669" s="15" t="s">
        <v>7033</v>
      </c>
    </row>
    <row r="670" spans="1:23" x14ac:dyDescent="0.3">
      <c r="A670" s="15" t="s">
        <v>3677</v>
      </c>
      <c r="B670" s="12" t="str">
        <f>IFERROR(INDEX(Mots!$B:$B,MATCH($A670,Mots!$A:$A,0)),"introuvable")</f>
        <v>connaître</v>
      </c>
      <c r="N670" s="15" t="s">
        <v>7033</v>
      </c>
    </row>
    <row r="671" spans="1:23" x14ac:dyDescent="0.3">
      <c r="A671" s="15" t="s">
        <v>3681</v>
      </c>
      <c r="B671" s="12" t="str">
        <f>IFERROR(INDEX(Mots!$B:$B,MATCH($A671,Mots!$A:$A,0)),"introuvable")</f>
        <v>conseiller</v>
      </c>
      <c r="N671" s="15" t="s">
        <v>7759</v>
      </c>
    </row>
    <row r="672" spans="1:23" x14ac:dyDescent="0.3">
      <c r="A672" s="15" t="s">
        <v>3697</v>
      </c>
      <c r="B672" s="12" t="str">
        <f>IFERROR(INDEX(Mots!$B:$B,MATCH($A672,Mots!$A:$A,0)),"introuvable")</f>
        <v>coupant</v>
      </c>
      <c r="G672" s="15" t="s">
        <v>7812</v>
      </c>
    </row>
    <row r="673" spans="1:23" x14ac:dyDescent="0.3">
      <c r="A673" s="15" t="s">
        <v>3710</v>
      </c>
      <c r="B673" s="12" t="str">
        <f>IFERROR(INDEX(Mots!$B:$B,MATCH($A673,Mots!$A:$A,0)),"introuvable")</f>
        <v>courir</v>
      </c>
      <c r="I673" s="15" t="s">
        <v>3785</v>
      </c>
      <c r="N673" s="15" t="s">
        <v>7727</v>
      </c>
    </row>
    <row r="674" spans="1:23" x14ac:dyDescent="0.3">
      <c r="A674" s="15" t="s">
        <v>3718</v>
      </c>
      <c r="B674" s="12" t="str">
        <f>IFERROR(INDEX(Mots!$B:$B,MATCH($A674,Mots!$A:$A,0)),"introuvable")</f>
        <v>creux</v>
      </c>
      <c r="S674" s="15" t="s">
        <v>7777</v>
      </c>
    </row>
    <row r="675" spans="1:23" x14ac:dyDescent="0.3">
      <c r="A675" s="15" t="s">
        <v>3725</v>
      </c>
      <c r="B675" s="12" t="str">
        <f>IFERROR(INDEX(Mots!$B:$B,MATCH($A675,Mots!$A:$A,0)),"introuvable")</f>
        <v>crier</v>
      </c>
      <c r="N675" s="15" t="s">
        <v>7759</v>
      </c>
    </row>
    <row r="676" spans="1:23" x14ac:dyDescent="0.3">
      <c r="A676" s="15" t="s">
        <v>3733</v>
      </c>
      <c r="B676" s="12" t="str">
        <f>IFERROR(INDEX(Mots!$B:$B,MATCH($A676,Mots!$A:$A,0)),"introuvable")</f>
        <v>croire</v>
      </c>
      <c r="N676" s="15" t="s">
        <v>7033</v>
      </c>
    </row>
    <row r="677" spans="1:23" x14ac:dyDescent="0.3">
      <c r="A677" s="15" t="s">
        <v>3739</v>
      </c>
      <c r="B677" s="12" t="str">
        <f>IFERROR(INDEX(Mots!$B:$B,MATCH($A677,Mots!$A:$A,0)),"introuvable")</f>
        <v>cuire</v>
      </c>
      <c r="I677" s="15" t="s">
        <v>702</v>
      </c>
      <c r="N677" s="15" t="s">
        <v>7718</v>
      </c>
      <c r="O677" s="15" t="s">
        <v>7720</v>
      </c>
      <c r="P677" s="15" t="s">
        <v>7764</v>
      </c>
    </row>
    <row r="678" spans="1:23" x14ac:dyDescent="0.3">
      <c r="A678" s="15" t="s">
        <v>3747</v>
      </c>
      <c r="B678" s="12" t="str">
        <f>IFERROR(INDEX(Mots!$B:$B,MATCH($A678,Mots!$A:$A,0)),"introuvable")</f>
        <v>d'abord</v>
      </c>
      <c r="G678" s="15" t="s">
        <v>7812</v>
      </c>
    </row>
    <row r="679" spans="1:23" x14ac:dyDescent="0.3">
      <c r="A679" s="15" t="s">
        <v>3754</v>
      </c>
      <c r="B679" s="12" t="str">
        <f>IFERROR(INDEX(Mots!$B:$B,MATCH($A679,Mots!$A:$A,0)),"introuvable")</f>
        <v>Damien Lagger</v>
      </c>
      <c r="W679" s="15" t="s">
        <v>7792</v>
      </c>
    </row>
    <row r="680" spans="1:23" x14ac:dyDescent="0.3">
      <c r="A680" s="15" t="s">
        <v>3758</v>
      </c>
      <c r="B680" s="12" t="str">
        <f>IFERROR(INDEX(Mots!$B:$B,MATCH($A680,Mots!$A:$A,0)),"introuvable")</f>
        <v>dangereux</v>
      </c>
      <c r="S680" s="15" t="s">
        <v>7777</v>
      </c>
    </row>
    <row r="681" spans="1:23" x14ac:dyDescent="0.3">
      <c r="A681" s="15" t="s">
        <v>3764</v>
      </c>
      <c r="B681" s="12" t="str">
        <f>IFERROR(INDEX(Mots!$B:$B,MATCH($A681,Mots!$A:$A,0)),"introuvable")</f>
        <v>danser</v>
      </c>
      <c r="I681" s="15" t="s">
        <v>7716</v>
      </c>
      <c r="N681" s="15" t="s">
        <v>7730</v>
      </c>
    </row>
    <row r="682" spans="1:23" x14ac:dyDescent="0.3">
      <c r="A682" s="15" t="s">
        <v>3772</v>
      </c>
      <c r="B682" s="12" t="str">
        <f>IFERROR(INDEX(Mots!$B:$B,MATCH($A682,Mots!$A:$A,0)),"introuvable")</f>
        <v>décider</v>
      </c>
      <c r="N682" s="15" t="s">
        <v>7033</v>
      </c>
    </row>
    <row r="683" spans="1:23" x14ac:dyDescent="0.3">
      <c r="A683" s="15" t="s">
        <v>3780</v>
      </c>
      <c r="B683" s="12" t="str">
        <f>IFERROR(INDEX(Mots!$B:$B,MATCH($A683,Mots!$A:$A,0)),"introuvable")</f>
        <v>dedans</v>
      </c>
      <c r="G683" s="15" t="s">
        <v>7812</v>
      </c>
    </row>
    <row r="684" spans="1:23" x14ac:dyDescent="0.3">
      <c r="A684" s="15" t="s">
        <v>3785</v>
      </c>
      <c r="B684" s="12" t="str">
        <f>IFERROR(INDEX(Mots!$B:$B,MATCH($A684,Mots!$A:$A,0)),"introuvable")</f>
        <v>dehors</v>
      </c>
      <c r="G684" s="15" t="s">
        <v>7812</v>
      </c>
    </row>
    <row r="685" spans="1:23" x14ac:dyDescent="0.3">
      <c r="A685" s="15" t="s">
        <v>3789</v>
      </c>
      <c r="B685" s="12" t="str">
        <f>IFERROR(INDEX(Mots!$B:$B,MATCH($A685,Mots!$A:$A,0)),"introuvable")</f>
        <v>déjà</v>
      </c>
      <c r="G685" s="15" t="s">
        <v>7806</v>
      </c>
    </row>
    <row r="686" spans="1:23" x14ac:dyDescent="0.3">
      <c r="A686" s="15" t="s">
        <v>3794</v>
      </c>
      <c r="B686" s="12" t="str">
        <f>IFERROR(INDEX(Mots!$B:$B,MATCH($A686,Mots!$A:$A,0)),"introuvable")</f>
        <v>demander</v>
      </c>
      <c r="N686" s="15" t="s">
        <v>7759</v>
      </c>
    </row>
    <row r="687" spans="1:23" x14ac:dyDescent="0.3">
      <c r="A687" s="15" t="s">
        <v>3809</v>
      </c>
      <c r="B687" s="12" t="str">
        <f>IFERROR(INDEX(Mots!$B:$B,MATCH($A687,Mots!$A:$A,0)),"introuvable")</f>
        <v>deviner</v>
      </c>
      <c r="N687" s="15" t="s">
        <v>7033</v>
      </c>
    </row>
    <row r="688" spans="1:23" x14ac:dyDescent="0.3">
      <c r="A688" s="15" t="s">
        <v>3818</v>
      </c>
      <c r="B688" s="12" t="str">
        <f>IFERROR(INDEX(Mots!$B:$B,MATCH($A688,Mots!$A:$A,0)),"introuvable")</f>
        <v>dire</v>
      </c>
      <c r="N688" s="15" t="s">
        <v>7759</v>
      </c>
    </row>
    <row r="689" spans="1:21" x14ac:dyDescent="0.3">
      <c r="A689" s="15" t="s">
        <v>3830</v>
      </c>
      <c r="B689" s="12" t="str">
        <f>IFERROR(INDEX(Mots!$B:$B,MATCH($A689,Mots!$A:$A,0)),"introuvable")</f>
        <v>donner</v>
      </c>
      <c r="N689" s="15" t="s">
        <v>7764</v>
      </c>
    </row>
    <row r="690" spans="1:21" x14ac:dyDescent="0.3">
      <c r="A690" s="15" t="s">
        <v>3836</v>
      </c>
      <c r="B690" s="12" t="str">
        <f>IFERROR(INDEX(Mots!$B:$B,MATCH($A690,Mots!$A:$A,0)),"introuvable")</f>
        <v>dormir</v>
      </c>
      <c r="I690" s="15" t="s">
        <v>3181</v>
      </c>
      <c r="N690" s="15" t="s">
        <v>7734</v>
      </c>
    </row>
    <row r="691" spans="1:21" x14ac:dyDescent="0.3">
      <c r="A691" s="15" t="s">
        <v>3844</v>
      </c>
      <c r="B691" s="12" t="str">
        <f>IFERROR(INDEX(Mots!$B:$B,MATCH($A691,Mots!$A:$A,0)),"introuvable")</f>
        <v>doux - douce</v>
      </c>
      <c r="S691" s="15" t="s">
        <v>7366</v>
      </c>
      <c r="T691" s="15" t="s">
        <v>5849</v>
      </c>
      <c r="U691" s="15" t="s">
        <v>6204</v>
      </c>
    </row>
    <row r="692" spans="1:21" x14ac:dyDescent="0.3">
      <c r="A692" s="15" t="s">
        <v>3851</v>
      </c>
      <c r="B692" s="12" t="str">
        <f>IFERROR(INDEX(Mots!$B:$B,MATCH($A692,Mots!$A:$A,0)),"introuvable")</f>
        <v>doucement</v>
      </c>
      <c r="G692" s="15" t="s">
        <v>7812</v>
      </c>
    </row>
    <row r="693" spans="1:21" x14ac:dyDescent="0.3">
      <c r="A693" s="15" t="s">
        <v>3857</v>
      </c>
      <c r="B693" s="12" t="str">
        <f>IFERROR(INDEX(Mots!$B:$B,MATCH($A693,Mots!$A:$A,0)),"introuvable")</f>
        <v>douter</v>
      </c>
      <c r="N693" s="15" t="s">
        <v>7033</v>
      </c>
    </row>
    <row r="694" spans="1:21" x14ac:dyDescent="0.3">
      <c r="A694" s="15" t="s">
        <v>3862</v>
      </c>
      <c r="B694" s="12" t="str">
        <f>IFERROR(INDEX(Mots!$B:$B,MATCH($A694,Mots!$A:$A,0)),"introuvable")</f>
        <v>écouter</v>
      </c>
      <c r="N694" s="15" t="s">
        <v>7759</v>
      </c>
    </row>
    <row r="695" spans="1:21" x14ac:dyDescent="0.3">
      <c r="A695" s="15" t="s">
        <v>3870</v>
      </c>
      <c r="B695" s="12" t="str">
        <f>IFERROR(INDEX(Mots!$B:$B,MATCH($A695,Mots!$A:$A,0)),"introuvable")</f>
        <v>écrire</v>
      </c>
      <c r="N695" s="15" t="s">
        <v>7759</v>
      </c>
    </row>
    <row r="696" spans="1:21" x14ac:dyDescent="0.3">
      <c r="A696" s="15" t="s">
        <v>3878</v>
      </c>
      <c r="B696" s="12" t="str">
        <f>IFERROR(INDEX(Mots!$B:$B,MATCH($A696,Mots!$A:$A,0)),"introuvable")</f>
        <v>électrique</v>
      </c>
      <c r="S696" s="15" t="s">
        <v>7777</v>
      </c>
    </row>
    <row r="697" spans="1:21" x14ac:dyDescent="0.3">
      <c r="A697" s="15" t="s">
        <v>3886</v>
      </c>
      <c r="B697" s="12" t="str">
        <f>IFERROR(INDEX(Mots!$B:$B,MATCH($A697,Mots!$A:$A,0)),"introuvable")</f>
        <v>élevé</v>
      </c>
      <c r="S697" s="15" t="s">
        <v>7768</v>
      </c>
      <c r="T697" s="15" t="s">
        <v>7783</v>
      </c>
    </row>
    <row r="698" spans="1:21" x14ac:dyDescent="0.3">
      <c r="A698" s="15" t="s">
        <v>3894</v>
      </c>
      <c r="B698" s="12" t="str">
        <f>IFERROR(INDEX(Mots!$B:$B,MATCH($A698,Mots!$A:$A,0)),"introuvable")</f>
        <v>enfin</v>
      </c>
      <c r="G698" s="15" t="s">
        <v>4370</v>
      </c>
    </row>
    <row r="699" spans="1:21" x14ac:dyDescent="0.3">
      <c r="A699" s="15" t="s">
        <v>3896</v>
      </c>
      <c r="B699" s="12" t="str">
        <f>IFERROR(INDEX(Mots!$B:$B,MATCH($A699,Mots!$A:$A,0)),"introuvable")</f>
        <v>enflammé</v>
      </c>
      <c r="S699" s="15" t="s">
        <v>7771</v>
      </c>
      <c r="T699" s="15" t="s">
        <v>7777</v>
      </c>
    </row>
    <row r="700" spans="1:21" x14ac:dyDescent="0.3">
      <c r="A700" s="15" t="s">
        <v>3902</v>
      </c>
      <c r="B700" s="12" t="str">
        <f>IFERROR(INDEX(Mots!$B:$B,MATCH($A700,Mots!$A:$A,0)),"introuvable")</f>
        <v>ensemble</v>
      </c>
      <c r="G700" s="15" t="s">
        <v>7812</v>
      </c>
    </row>
    <row r="701" spans="1:21" x14ac:dyDescent="0.3">
      <c r="A701" s="15" t="s">
        <v>3906</v>
      </c>
      <c r="B701" s="12" t="str">
        <f>IFERROR(INDEX(Mots!$B:$B,MATCH($A701,Mots!$A:$A,0)),"introuvable")</f>
        <v>ensuite</v>
      </c>
      <c r="G701" s="15" t="s">
        <v>4370</v>
      </c>
    </row>
    <row r="702" spans="1:21" x14ac:dyDescent="0.3">
      <c r="A702" s="15" t="s">
        <v>3916</v>
      </c>
      <c r="B702" s="12" t="str">
        <f>IFERROR(INDEX(Mots!$B:$B,MATCH($A702,Mots!$A:$A,0)),"introuvable")</f>
        <v>entrer</v>
      </c>
      <c r="N702" s="15" t="s">
        <v>7727</v>
      </c>
    </row>
    <row r="703" spans="1:21" x14ac:dyDescent="0.3">
      <c r="A703" s="8" t="s">
        <v>9596</v>
      </c>
      <c r="B703" s="12" t="str">
        <f>IFERROR(INDEX(Mots!$B:$B,MATCH($A703,Mots!$A:$A,0)),"introuvable")</f>
        <v>environ</v>
      </c>
      <c r="G703" s="15" t="s">
        <v>4370</v>
      </c>
    </row>
    <row r="704" spans="1:21" x14ac:dyDescent="0.3">
      <c r="A704" s="15" t="s">
        <v>3929</v>
      </c>
      <c r="B704" s="12" t="str">
        <f>IFERROR(INDEX(Mots!$B:$B,MATCH($A704,Mots!$A:$A,0)),"introuvable")</f>
        <v>essayer</v>
      </c>
      <c r="N704" s="15" t="s">
        <v>7723</v>
      </c>
    </row>
    <row r="705" spans="1:23" x14ac:dyDescent="0.3">
      <c r="A705" s="15" t="s">
        <v>3937</v>
      </c>
      <c r="B705" s="12" t="str">
        <f>IFERROR(INDEX(Mots!$B:$B,MATCH($A705,Mots!$A:$A,0)),"introuvable")</f>
        <v>expliquer</v>
      </c>
      <c r="N705" s="15" t="s">
        <v>7759</v>
      </c>
      <c r="O705" s="15" t="s">
        <v>7033</v>
      </c>
      <c r="P705" s="15" t="s">
        <v>7764</v>
      </c>
    </row>
    <row r="706" spans="1:23" x14ac:dyDescent="0.3">
      <c r="A706" s="15" t="s">
        <v>3941</v>
      </c>
      <c r="B706" s="12" t="str">
        <f>IFERROR(INDEX(Mots!$B:$B,MATCH($A706,Mots!$A:$A,0)),"introuvable")</f>
        <v>exprès</v>
      </c>
      <c r="G706" s="15" t="s">
        <v>4370</v>
      </c>
    </row>
    <row r="707" spans="1:23" x14ac:dyDescent="0.3">
      <c r="A707" s="15" t="s">
        <v>3944</v>
      </c>
      <c r="B707" s="12" t="str">
        <f>IFERROR(INDEX(Mots!$B:$B,MATCH($A707,Mots!$A:$A,0)),"introuvable")</f>
        <v>extérieur</v>
      </c>
      <c r="S707" s="15" t="s">
        <v>7783</v>
      </c>
    </row>
    <row r="708" spans="1:23" x14ac:dyDescent="0.3">
      <c r="A708" s="15" t="s">
        <v>3947</v>
      </c>
      <c r="B708" s="12" t="str">
        <f>IFERROR(INDEX(Mots!$B:$B,MATCH($A708,Mots!$A:$A,0)),"introuvable")</f>
        <v>faire</v>
      </c>
      <c r="N708" s="15" t="s">
        <v>7736</v>
      </c>
    </row>
    <row r="709" spans="1:23" x14ac:dyDescent="0.3">
      <c r="A709" s="15" t="s">
        <v>3959</v>
      </c>
      <c r="B709" s="12" t="str">
        <f>IFERROR(INDEX(Mots!$B:$B,MATCH($A709,Mots!$A:$A,0)),"introuvable")</f>
        <v>féliciter</v>
      </c>
      <c r="I709" s="15" t="s">
        <v>73</v>
      </c>
      <c r="N709" s="15" t="s">
        <v>7759</v>
      </c>
      <c r="O709" s="15" t="s">
        <v>7033</v>
      </c>
    </row>
    <row r="710" spans="1:23" x14ac:dyDescent="0.3">
      <c r="A710" s="15" t="s">
        <v>3971</v>
      </c>
      <c r="B710" s="12" t="str">
        <f>IFERROR(INDEX(Mots!$B:$B,MATCH($A710,Mots!$A:$A,0)),"introuvable")</f>
        <v>fermer</v>
      </c>
      <c r="I710" s="15" t="s">
        <v>34</v>
      </c>
    </row>
    <row r="711" spans="1:23" x14ac:dyDescent="0.3">
      <c r="A711" s="15" t="s">
        <v>3982</v>
      </c>
      <c r="B711" s="12" t="str">
        <f>IFERROR(INDEX(Mots!$B:$B,MATCH($A711,Mots!$A:$A,0)),"introuvable")</f>
        <v>frais - fraîche</v>
      </c>
      <c r="S711" s="15" t="s">
        <v>7771</v>
      </c>
    </row>
    <row r="712" spans="1:23" x14ac:dyDescent="0.3">
      <c r="A712" s="15" t="s">
        <v>3987</v>
      </c>
      <c r="B712" s="12" t="str">
        <f>IFERROR(INDEX(Mots!$B:$B,MATCH($A712,Mots!$A:$A,0)),"introuvable")</f>
        <v>frapper</v>
      </c>
      <c r="N712" s="15" t="s">
        <v>7764</v>
      </c>
    </row>
    <row r="713" spans="1:23" x14ac:dyDescent="0.3">
      <c r="A713" s="15" t="s">
        <v>3995</v>
      </c>
      <c r="B713" s="12" t="str">
        <f>IFERROR(INDEX(Mots!$B:$B,MATCH($A713,Mots!$A:$A,0)),"introuvable")</f>
        <v>gagner</v>
      </c>
      <c r="I713" s="15" t="s">
        <v>73</v>
      </c>
    </row>
    <row r="714" spans="1:23" x14ac:dyDescent="0.3">
      <c r="A714" s="15" t="s">
        <v>4003</v>
      </c>
      <c r="B714" s="12" t="str">
        <f>IFERROR(INDEX(Mots!$B:$B,MATCH($A714,Mots!$A:$A,0)),"introuvable")</f>
        <v>Gauthier Moulin</v>
      </c>
      <c r="N714" s="15" t="s">
        <v>7759</v>
      </c>
    </row>
    <row r="715" spans="1:23" x14ac:dyDescent="0.3">
      <c r="A715" s="15" t="s">
        <v>4007</v>
      </c>
      <c r="B715" s="12" t="str">
        <f>IFERROR(INDEX(Mots!$B:$B,MATCH($A715,Mots!$A:$A,0)),"introuvable")</f>
        <v>gentiment</v>
      </c>
      <c r="G715" s="15" t="s">
        <v>7812</v>
      </c>
    </row>
    <row r="716" spans="1:23" x14ac:dyDescent="0.3">
      <c r="A716" s="15" t="s">
        <v>4009</v>
      </c>
      <c r="B716" s="12" t="str">
        <f>IFERROR(INDEX(Mots!$B:$B,MATCH($A716,Mots!$A:$A,0)),"introuvable")</f>
        <v>goûter</v>
      </c>
      <c r="I716" s="15" t="s">
        <v>702</v>
      </c>
      <c r="N716" s="15" t="s">
        <v>7718</v>
      </c>
    </row>
    <row r="717" spans="1:23" x14ac:dyDescent="0.3">
      <c r="A717" s="15" t="s">
        <v>4017</v>
      </c>
      <c r="B717" s="12" t="str">
        <f>IFERROR(INDEX(Mots!$B:$B,MATCH($A717,Mots!$A:$A,0)),"introuvable")</f>
        <v>grand-maman Léontine</v>
      </c>
      <c r="W717" s="15" t="s">
        <v>29</v>
      </c>
    </row>
    <row r="718" spans="1:23" x14ac:dyDescent="0.3">
      <c r="A718" s="15" t="s">
        <v>4026</v>
      </c>
      <c r="B718" s="12" t="str">
        <f>IFERROR(INDEX(Mots!$B:$B,MATCH($A718,Mots!$A:$A,0)),"introuvable")</f>
        <v>gratuit</v>
      </c>
      <c r="S718" s="15" t="s">
        <v>6204</v>
      </c>
    </row>
    <row r="719" spans="1:23" x14ac:dyDescent="0.3">
      <c r="A719" s="15" t="s">
        <v>9625</v>
      </c>
      <c r="B719" s="12" t="str">
        <f>IFERROR(INDEX(Mots!$B:$B,MATCH($A719,Mots!$A:$A,0)),"introuvable")</f>
        <v>heureux</v>
      </c>
      <c r="S719" s="15" t="s">
        <v>7786</v>
      </c>
    </row>
    <row r="720" spans="1:23" x14ac:dyDescent="0.3">
      <c r="A720" s="15" t="s">
        <v>4038</v>
      </c>
      <c r="B720" s="12" t="str">
        <f>IFERROR(INDEX(Mots!$B:$B,MATCH($A720,Mots!$A:$A,0)),"introuvable")</f>
        <v>ici</v>
      </c>
      <c r="G720" s="15" t="s">
        <v>7812</v>
      </c>
    </row>
    <row r="721" spans="1:20" x14ac:dyDescent="0.3">
      <c r="A721" s="15" t="s">
        <v>4044</v>
      </c>
      <c r="B721" s="12" t="str">
        <f>IFERROR(INDEX(Mots!$B:$B,MATCH($A721,Mots!$A:$A,0)),"introuvable")</f>
        <v>imaginer</v>
      </c>
      <c r="I721" s="15" t="s">
        <v>3785</v>
      </c>
      <c r="N721" s="15" t="s">
        <v>7033</v>
      </c>
    </row>
    <row r="722" spans="1:20" x14ac:dyDescent="0.3">
      <c r="A722" s="15" t="s">
        <v>4049</v>
      </c>
      <c r="B722" s="12" t="str">
        <f>IFERROR(INDEX(Mots!$B:$B,MATCH($A722,Mots!$A:$A,0)),"introuvable")</f>
        <v>important</v>
      </c>
      <c r="S722" s="15" t="s">
        <v>7779</v>
      </c>
    </row>
    <row r="723" spans="1:20" x14ac:dyDescent="0.3">
      <c r="A723" s="15" t="s">
        <v>4054</v>
      </c>
      <c r="B723" s="12" t="str">
        <f>IFERROR(INDEX(Mots!$B:$B,MATCH($A723,Mots!$A:$A,0)),"introuvable")</f>
        <v>intérieur</v>
      </c>
      <c r="S723" s="15" t="s">
        <v>7783</v>
      </c>
    </row>
    <row r="724" spans="1:20" x14ac:dyDescent="0.3">
      <c r="A724" s="15" t="s">
        <v>9546</v>
      </c>
      <c r="B724" s="12" t="str">
        <f>IFERROR(INDEX(Mots!$B:$B,MATCH($A724,Mots!$A:$A,0)),"introuvable")</f>
        <v>joyeux</v>
      </c>
      <c r="S724" s="15" t="s">
        <v>7777</v>
      </c>
      <c r="T724" s="15" t="s">
        <v>7786</v>
      </c>
    </row>
    <row r="725" spans="1:20" x14ac:dyDescent="0.3">
      <c r="A725" s="15" t="s">
        <v>4083</v>
      </c>
      <c r="B725" s="12" t="str">
        <f>IFERROR(INDEX(Mots!$B:$B,MATCH($A725,Mots!$A:$A,0)),"introuvable")</f>
        <v>là</v>
      </c>
      <c r="G725" s="15" t="s">
        <v>4370</v>
      </c>
    </row>
    <row r="726" spans="1:20" x14ac:dyDescent="0.3">
      <c r="A726" s="15" t="s">
        <v>4095</v>
      </c>
      <c r="B726" s="12" t="str">
        <f>IFERROR(INDEX(Mots!$B:$B,MATCH($A726,Mots!$A:$A,0)),"introuvable")</f>
        <v>la balance</v>
      </c>
      <c r="C726" s="15" t="s">
        <v>6837</v>
      </c>
      <c r="G726" s="15" t="s">
        <v>7809</v>
      </c>
    </row>
    <row r="727" spans="1:20" x14ac:dyDescent="0.3">
      <c r="A727" s="15" t="s">
        <v>4126</v>
      </c>
      <c r="B727" s="12" t="str">
        <f>IFERROR(INDEX(Mots!$B:$B,MATCH($A727,Mots!$A:$A,0)),"introuvable")</f>
        <v>la bibliothèque</v>
      </c>
      <c r="I727" s="15" t="s">
        <v>34</v>
      </c>
    </row>
    <row r="728" spans="1:20" x14ac:dyDescent="0.3">
      <c r="A728" s="15" t="s">
        <v>4134</v>
      </c>
      <c r="B728" s="12" t="str">
        <f>IFERROR(INDEX(Mots!$B:$B,MATCH($A728,Mots!$A:$A,0)),"introuvable")</f>
        <v>la blessure</v>
      </c>
      <c r="I728" s="15" t="s">
        <v>5062</v>
      </c>
    </row>
    <row r="729" spans="1:20" x14ac:dyDescent="0.3">
      <c r="A729" s="15" t="s">
        <v>4142</v>
      </c>
      <c r="B729" s="12" t="str">
        <f>IFERROR(INDEX(Mots!$B:$B,MATCH($A729,Mots!$A:$A,0)),"introuvable")</f>
        <v>la boîte</v>
      </c>
      <c r="C729" s="15" t="s">
        <v>828</v>
      </c>
      <c r="I729" s="15" t="s">
        <v>702</v>
      </c>
    </row>
    <row r="730" spans="1:20" x14ac:dyDescent="0.3">
      <c r="A730" s="15" t="s">
        <v>4166</v>
      </c>
      <c r="B730" s="12" t="str">
        <f>IFERROR(INDEX(Mots!$B:$B,MATCH($A730,Mots!$A:$A,0)),"introuvable")</f>
        <v>la boutique</v>
      </c>
      <c r="I730" s="15" t="s">
        <v>82</v>
      </c>
    </row>
    <row r="731" spans="1:20" x14ac:dyDescent="0.3">
      <c r="A731" s="15" t="s">
        <v>4173</v>
      </c>
      <c r="B731" s="12" t="str">
        <f>IFERROR(INDEX(Mots!$B:$B,MATCH($A731,Mots!$A:$A,0)),"introuvable")</f>
        <v>la brise</v>
      </c>
      <c r="I731" s="15" t="s">
        <v>3785</v>
      </c>
    </row>
    <row r="732" spans="1:20" x14ac:dyDescent="0.3">
      <c r="A732" s="15" t="s">
        <v>4177</v>
      </c>
      <c r="B732" s="12" t="str">
        <f>IFERROR(INDEX(Mots!$B:$B,MATCH($A732,Mots!$A:$A,0)),"introuvable")</f>
        <v>la caisse</v>
      </c>
      <c r="I732" s="15" t="s">
        <v>82</v>
      </c>
    </row>
    <row r="733" spans="1:20" x14ac:dyDescent="0.3">
      <c r="A733" s="15" t="s">
        <v>4185</v>
      </c>
      <c r="B733" s="12" t="str">
        <f>IFERROR(INDEX(Mots!$B:$B,MATCH($A733,Mots!$A:$A,0)),"introuvable")</f>
        <v>la campagne</v>
      </c>
      <c r="I733" s="15" t="s">
        <v>3785</v>
      </c>
      <c r="J733" s="15" t="s">
        <v>82</v>
      </c>
    </row>
    <row r="734" spans="1:20" x14ac:dyDescent="0.3">
      <c r="A734" s="15" t="s">
        <v>4189</v>
      </c>
      <c r="B734" s="12" t="str">
        <f>IFERROR(INDEX(Mots!$B:$B,MATCH($A734,Mots!$A:$A,0)),"introuvable")</f>
        <v>la cascade</v>
      </c>
      <c r="I734" s="15" t="s">
        <v>3785</v>
      </c>
    </row>
    <row r="735" spans="1:20" x14ac:dyDescent="0.3">
      <c r="A735" s="15" t="s">
        <v>4206</v>
      </c>
      <c r="B735" s="12" t="str">
        <f>IFERROR(INDEX(Mots!$B:$B,MATCH($A735,Mots!$A:$A,0)),"introuvable")</f>
        <v>la cave</v>
      </c>
      <c r="I735" s="15" t="s">
        <v>34</v>
      </c>
      <c r="J735" s="15" t="s">
        <v>3785</v>
      </c>
    </row>
    <row r="736" spans="1:20" x14ac:dyDescent="0.3">
      <c r="A736" s="15" t="s">
        <v>415</v>
      </c>
      <c r="B736" s="12" t="str">
        <f>IFERROR(INDEX(Mots!$B:$B,MATCH($A736,Mots!$A:$A,0)),"introuvable")</f>
        <v>la chose</v>
      </c>
      <c r="C736" s="15" t="s">
        <v>6837</v>
      </c>
      <c r="I736" s="15" t="s">
        <v>702</v>
      </c>
      <c r="J736" s="15" t="s">
        <v>34</v>
      </c>
      <c r="N736" s="15" t="s">
        <v>7759</v>
      </c>
    </row>
    <row r="737" spans="1:17" x14ac:dyDescent="0.3">
      <c r="A737" s="15" t="s">
        <v>4226</v>
      </c>
      <c r="B737" s="12" t="str">
        <f>IFERROR(INDEX(Mots!$B:$B,MATCH($A737,Mots!$A:$A,0)),"introuvable")</f>
        <v>la circulation</v>
      </c>
      <c r="I737" s="15" t="s">
        <v>2851</v>
      </c>
    </row>
    <row r="738" spans="1:17" x14ac:dyDescent="0.3">
      <c r="A738" s="15" t="s">
        <v>4234</v>
      </c>
      <c r="B738" s="12" t="str">
        <f>IFERROR(INDEX(Mots!$B:$B,MATCH($A738,Mots!$A:$A,0)),"introuvable")</f>
        <v>la clairière</v>
      </c>
      <c r="I738" s="15" t="s">
        <v>3785</v>
      </c>
    </row>
    <row r="739" spans="1:17" x14ac:dyDescent="0.3">
      <c r="A739" s="15" t="s">
        <v>4263</v>
      </c>
      <c r="B739" s="12" t="str">
        <f>IFERROR(INDEX(Mots!$B:$B,MATCH($A739,Mots!$A:$A,0)),"introuvable")</f>
        <v>la collection</v>
      </c>
      <c r="C739" s="15" t="s">
        <v>6837</v>
      </c>
    </row>
    <row r="740" spans="1:17" x14ac:dyDescent="0.3">
      <c r="A740" s="15" t="s">
        <v>4271</v>
      </c>
      <c r="B740" s="12" t="str">
        <f>IFERROR(INDEX(Mots!$B:$B,MATCH($A740,Mots!$A:$A,0)),"introuvable")</f>
        <v>la colline</v>
      </c>
      <c r="I740" s="15" t="s">
        <v>3785</v>
      </c>
    </row>
    <row r="741" spans="1:17" x14ac:dyDescent="0.3">
      <c r="A741" s="15" t="s">
        <v>4283</v>
      </c>
      <c r="B741" s="12" t="str">
        <f>IFERROR(INDEX(Mots!$B:$B,MATCH($A741,Mots!$A:$A,0)),"introuvable")</f>
        <v>la confiture</v>
      </c>
      <c r="C741" s="15" t="s">
        <v>7747</v>
      </c>
      <c r="I741" s="15" t="s">
        <v>702</v>
      </c>
    </row>
    <row r="742" spans="1:17" x14ac:dyDescent="0.3">
      <c r="A742" s="15" t="s">
        <v>4295</v>
      </c>
      <c r="B742" s="12" t="str">
        <f>IFERROR(INDEX(Mots!$B:$B,MATCH($A742,Mots!$A:$A,0)),"introuvable")</f>
        <v>la construction</v>
      </c>
      <c r="I742" s="15" t="s">
        <v>34</v>
      </c>
    </row>
    <row r="743" spans="1:17" x14ac:dyDescent="0.3">
      <c r="A743" s="15" t="s">
        <v>4303</v>
      </c>
      <c r="B743" s="12" t="str">
        <f>IFERROR(INDEX(Mots!$B:$B,MATCH($A743,Mots!$A:$A,0)),"introuvable")</f>
        <v>la conversation</v>
      </c>
      <c r="G743" s="15" t="s">
        <v>7806</v>
      </c>
    </row>
    <row r="744" spans="1:17" x14ac:dyDescent="0.3">
      <c r="A744" s="15" t="s">
        <v>4307</v>
      </c>
      <c r="B744" s="12" t="str">
        <f>IFERROR(INDEX(Mots!$B:$B,MATCH($A744,Mots!$A:$A,0)),"introuvable")</f>
        <v>la corde</v>
      </c>
      <c r="I744" s="15" t="s">
        <v>3785</v>
      </c>
    </row>
    <row r="745" spans="1:17" x14ac:dyDescent="0.3">
      <c r="A745" s="15" t="s">
        <v>4323</v>
      </c>
      <c r="B745" s="12" t="str">
        <f>IFERROR(INDEX(Mots!$B:$B,MATCH($A745,Mots!$A:$A,0)),"introuvable")</f>
        <v>la couverture</v>
      </c>
      <c r="C745" s="15" t="s">
        <v>4650</v>
      </c>
      <c r="I745" s="15" t="s">
        <v>3181</v>
      </c>
      <c r="N745" s="15" t="s">
        <v>7723</v>
      </c>
    </row>
    <row r="746" spans="1:17" x14ac:dyDescent="0.3">
      <c r="A746" s="15" t="s">
        <v>4339</v>
      </c>
      <c r="B746" s="12" t="str">
        <f>IFERROR(INDEX(Mots!$B:$B,MATCH($A746,Mots!$A:$A,0)),"introuvable")</f>
        <v>la curiosité</v>
      </c>
      <c r="N746" s="15" t="s">
        <v>7033</v>
      </c>
    </row>
    <row r="747" spans="1:17" x14ac:dyDescent="0.3">
      <c r="A747" s="15" t="s">
        <v>4347</v>
      </c>
      <c r="B747" s="12" t="str">
        <f>IFERROR(INDEX(Mots!$B:$B,MATCH($A747,Mots!$A:$A,0)),"introuvable")</f>
        <v>dépenser</v>
      </c>
      <c r="I747" s="15" t="s">
        <v>702</v>
      </c>
      <c r="J747" s="15" t="s">
        <v>73</v>
      </c>
      <c r="N747" s="15" t="s">
        <v>7718</v>
      </c>
      <c r="O747" s="15" t="s">
        <v>7382</v>
      </c>
      <c r="P747" s="15" t="s">
        <v>7033</v>
      </c>
      <c r="Q747" s="15" t="s">
        <v>7764</v>
      </c>
    </row>
    <row r="748" spans="1:17" x14ac:dyDescent="0.3">
      <c r="A748" s="15" t="s">
        <v>4352</v>
      </c>
      <c r="B748" s="12" t="str">
        <f>IFERROR(INDEX(Mots!$B:$B,MATCH($A748,Mots!$A:$A,0)),"introuvable")</f>
        <v>se détendre</v>
      </c>
      <c r="N748" s="15" t="s">
        <v>7734</v>
      </c>
    </row>
    <row r="749" spans="1:17" x14ac:dyDescent="0.3">
      <c r="A749" s="15" t="s">
        <v>4362</v>
      </c>
      <c r="B749" s="12" t="str">
        <f>IFERROR(INDEX(Mots!$B:$B,MATCH($A749,Mots!$A:$A,0)),"introuvable")</f>
        <v>la dispute</v>
      </c>
      <c r="G749" s="15" t="s">
        <v>7806</v>
      </c>
    </row>
    <row r="750" spans="1:17" x14ac:dyDescent="0.3">
      <c r="A750" s="15" t="s">
        <v>4374</v>
      </c>
      <c r="B750" s="12" t="str">
        <f>IFERROR(INDEX(Mots!$B:$B,MATCH($A750,Mots!$A:$A,0)),"introuvable")</f>
        <v>la douleur</v>
      </c>
      <c r="I750" s="15" t="s">
        <v>5062</v>
      </c>
      <c r="N750" s="15" t="s">
        <v>7725</v>
      </c>
    </row>
    <row r="751" spans="1:17" x14ac:dyDescent="0.3">
      <c r="A751" s="15" t="s">
        <v>4378</v>
      </c>
      <c r="B751" s="12" t="str">
        <f>IFERROR(INDEX(Mots!$B:$B,MATCH($A751,Mots!$A:$A,0)),"introuvable")</f>
        <v>la face</v>
      </c>
      <c r="C751" s="15" t="s">
        <v>6837</v>
      </c>
    </row>
    <row r="752" spans="1:17" x14ac:dyDescent="0.3">
      <c r="A752" s="15" t="s">
        <v>4384</v>
      </c>
      <c r="B752" s="12" t="str">
        <f>IFERROR(INDEX(Mots!$B:$B,MATCH($A752,Mots!$A:$A,0)),"introuvable")</f>
        <v>la facture</v>
      </c>
      <c r="I752" s="15" t="s">
        <v>73</v>
      </c>
      <c r="N752" s="15" t="s">
        <v>7382</v>
      </c>
    </row>
    <row r="753" spans="1:14" x14ac:dyDescent="0.3">
      <c r="A753" s="15" t="s">
        <v>4388</v>
      </c>
      <c r="B753" s="12" t="str">
        <f>IFERROR(INDEX(Mots!$B:$B,MATCH($A753,Mots!$A:$A,0)),"introuvable")</f>
        <v>la falaise</v>
      </c>
      <c r="I753" s="15" t="s">
        <v>34</v>
      </c>
    </row>
    <row r="754" spans="1:14" x14ac:dyDescent="0.3">
      <c r="A754" s="15" t="s">
        <v>4392</v>
      </c>
      <c r="B754" s="12" t="str">
        <f>IFERROR(INDEX(Mots!$B:$B,MATCH($A754,Mots!$A:$A,0)),"introuvable")</f>
        <v>la farine</v>
      </c>
      <c r="I754" s="15" t="s">
        <v>702</v>
      </c>
    </row>
    <row r="755" spans="1:14" x14ac:dyDescent="0.3">
      <c r="A755" s="15" t="s">
        <v>278</v>
      </c>
      <c r="B755" s="12" t="str">
        <f>IFERROR(INDEX(Mots!$B:$B,MATCH($A755,Mots!$A:$A,0)),"introuvable")</f>
        <v>la ferme</v>
      </c>
      <c r="I755" s="15" t="s">
        <v>3785</v>
      </c>
    </row>
    <row r="756" spans="1:14" x14ac:dyDescent="0.3">
      <c r="A756" s="15" t="s">
        <v>4412</v>
      </c>
      <c r="B756" s="12" t="str">
        <f>IFERROR(INDEX(Mots!$B:$B,MATCH($A756,Mots!$A:$A,0)),"introuvable")</f>
        <v>la fête</v>
      </c>
      <c r="G756" s="15" t="s">
        <v>7806</v>
      </c>
    </row>
    <row r="757" spans="1:14" x14ac:dyDescent="0.3">
      <c r="A757" s="15" t="s">
        <v>9411</v>
      </c>
      <c r="B757" s="12" t="str">
        <f>IFERROR(INDEX(Mots!$B:$B,MATCH($A757,Mots!$A:$A,0)),"introuvable")</f>
        <v>la feuille d'une plante</v>
      </c>
      <c r="C757" s="15" t="s">
        <v>2816</v>
      </c>
      <c r="D757" t="s">
        <v>7747</v>
      </c>
      <c r="I757" s="15" t="s">
        <v>3785</v>
      </c>
    </row>
    <row r="758" spans="1:14" x14ac:dyDescent="0.3">
      <c r="A758" s="15" t="s">
        <v>4421</v>
      </c>
      <c r="B758" s="12" t="str">
        <f>IFERROR(INDEX(Mots!$B:$B,MATCH($A758,Mots!$A:$A,0)),"introuvable")</f>
        <v>la fièvre</v>
      </c>
      <c r="I758" s="15" t="s">
        <v>5062</v>
      </c>
      <c r="N758" s="15" t="s">
        <v>7723</v>
      </c>
    </row>
    <row r="759" spans="1:14" x14ac:dyDescent="0.3">
      <c r="A759" s="15" t="s">
        <v>4433</v>
      </c>
      <c r="B759" s="12" t="str">
        <f>IFERROR(INDEX(Mots!$B:$B,MATCH($A759,Mots!$A:$A,0)),"introuvable")</f>
        <v>la fois</v>
      </c>
      <c r="N759" s="15" t="s">
        <v>7759</v>
      </c>
    </row>
    <row r="760" spans="1:14" x14ac:dyDescent="0.3">
      <c r="A760" s="15" t="s">
        <v>4455</v>
      </c>
      <c r="B760" s="12" t="str">
        <f>IFERROR(INDEX(Mots!$B:$B,MATCH($A760,Mots!$A:$A,0)),"introuvable")</f>
        <v>la foule</v>
      </c>
      <c r="G760" s="15" t="s">
        <v>6029</v>
      </c>
    </row>
    <row r="761" spans="1:14" x14ac:dyDescent="0.3">
      <c r="A761" s="15" t="s">
        <v>4459</v>
      </c>
      <c r="B761" s="12" t="str">
        <f>IFERROR(INDEX(Mots!$B:$B,MATCH($A761,Mots!$A:$A,0)),"introuvable")</f>
        <v>la friandise</v>
      </c>
      <c r="I761" s="15" t="s">
        <v>702</v>
      </c>
      <c r="N761" s="15" t="s">
        <v>7759</v>
      </c>
    </row>
    <row r="762" spans="1:14" x14ac:dyDescent="0.3">
      <c r="A762" s="15" t="s">
        <v>4470</v>
      </c>
      <c r="B762" s="12" t="str">
        <f>IFERROR(INDEX(Mots!$B:$B,MATCH($A762,Mots!$A:$A,0)),"introuvable")</f>
        <v>la garantie</v>
      </c>
      <c r="I762" s="15" t="s">
        <v>3785</v>
      </c>
      <c r="N762" s="15" t="s">
        <v>7736</v>
      </c>
    </row>
    <row r="763" spans="1:14" x14ac:dyDescent="0.3">
      <c r="A763" s="15" t="s">
        <v>4481</v>
      </c>
      <c r="B763" s="12" t="str">
        <f>IFERROR(INDEX(Mots!$B:$B,MATCH($A763,Mots!$A:$A,0)),"introuvable")</f>
        <v>la glace</v>
      </c>
      <c r="I763" s="15" t="s">
        <v>3785</v>
      </c>
    </row>
    <row r="764" spans="1:14" x14ac:dyDescent="0.3">
      <c r="A764" s="15" t="s">
        <v>4489</v>
      </c>
      <c r="B764" s="12" t="str">
        <f>IFERROR(INDEX(Mots!$B:$B,MATCH($A764,Mots!$A:$A,0)),"introuvable")</f>
        <v>la gorge</v>
      </c>
      <c r="C764" s="15" t="s">
        <v>7747</v>
      </c>
      <c r="N764" s="15" t="s">
        <v>7718</v>
      </c>
    </row>
    <row r="765" spans="1:14" x14ac:dyDescent="0.3">
      <c r="A765" s="15" t="s">
        <v>4498</v>
      </c>
      <c r="B765" s="12" t="str">
        <f>IFERROR(INDEX(Mots!$B:$B,MATCH($A765,Mots!$A:$A,0)),"introuvable")</f>
        <v>la goutte</v>
      </c>
      <c r="N765" s="15" t="s">
        <v>7718</v>
      </c>
    </row>
    <row r="766" spans="1:14" x14ac:dyDescent="0.3">
      <c r="A766" s="15" t="s">
        <v>4502</v>
      </c>
      <c r="B766" s="12" t="str">
        <f>IFERROR(INDEX(Mots!$B:$B,MATCH($A766,Mots!$A:$A,0)),"introuvable")</f>
        <v>la graine</v>
      </c>
      <c r="C766" s="15" t="s">
        <v>2816</v>
      </c>
      <c r="I766" s="15" t="s">
        <v>3785</v>
      </c>
    </row>
    <row r="767" spans="1:14" x14ac:dyDescent="0.3">
      <c r="A767" s="15" t="s">
        <v>4510</v>
      </c>
      <c r="B767" s="12" t="str">
        <f>IFERROR(INDEX(Mots!$B:$B,MATCH($A767,Mots!$A:$A,0)),"introuvable")</f>
        <v>la graisse</v>
      </c>
      <c r="C767" s="15" t="s">
        <v>4650</v>
      </c>
    </row>
    <row r="768" spans="1:14" x14ac:dyDescent="0.3">
      <c r="A768" s="15" t="s">
        <v>4512</v>
      </c>
      <c r="B768" s="12" t="str">
        <f>IFERROR(INDEX(Mots!$B:$B,MATCH($A768,Mots!$A:$A,0)),"introuvable")</f>
        <v>la grille</v>
      </c>
      <c r="C768" s="15" t="s">
        <v>6837</v>
      </c>
      <c r="I768" s="15" t="s">
        <v>2851</v>
      </c>
    </row>
    <row r="769" spans="1:26" x14ac:dyDescent="0.3">
      <c r="A769" s="15" t="s">
        <v>4528</v>
      </c>
      <c r="B769" s="12" t="str">
        <f>IFERROR(INDEX(Mots!$B:$B,MATCH($A769,Mots!$A:$A,0)),"introuvable")</f>
        <v>la guèpe</v>
      </c>
      <c r="C769" s="15" t="s">
        <v>1169</v>
      </c>
      <c r="I769" s="15" t="s">
        <v>3785</v>
      </c>
    </row>
    <row r="770" spans="1:26" x14ac:dyDescent="0.3">
      <c r="A770" s="15" t="s">
        <v>4532</v>
      </c>
      <c r="B770" s="12" t="str">
        <f>IFERROR(INDEX(Mots!$B:$B,MATCH($A770,Mots!$A:$A,0)),"introuvable")</f>
        <v>la guérison</v>
      </c>
      <c r="G770" s="15" t="s">
        <v>7806</v>
      </c>
    </row>
    <row r="771" spans="1:26" x14ac:dyDescent="0.3">
      <c r="A771" s="15" t="s">
        <v>4540</v>
      </c>
      <c r="B771" s="12" t="str">
        <f>IFERROR(INDEX(Mots!$B:$B,MATCH($A771,Mots!$A:$A,0)),"introuvable")</f>
        <v>la honte</v>
      </c>
      <c r="Z771" s="15" t="s">
        <v>7797</v>
      </c>
    </row>
    <row r="772" spans="1:26" x14ac:dyDescent="0.3">
      <c r="A772" s="15" t="s">
        <v>4548</v>
      </c>
      <c r="B772" s="12" t="str">
        <f>IFERROR(INDEX(Mots!$B:$B,MATCH($A772,Mots!$A:$A,0)),"introuvable")</f>
        <v>la jalousie</v>
      </c>
      <c r="Z772" s="15" t="s">
        <v>7797</v>
      </c>
    </row>
    <row r="773" spans="1:26" x14ac:dyDescent="0.3">
      <c r="A773" s="15" t="s">
        <v>4556</v>
      </c>
      <c r="B773" s="12" t="str">
        <f>IFERROR(INDEX(Mots!$B:$B,MATCH($A773,Mots!$A:$A,0)),"introuvable")</f>
        <v>la lame</v>
      </c>
      <c r="I773" s="15" t="s">
        <v>702</v>
      </c>
    </row>
    <row r="774" spans="1:26" x14ac:dyDescent="0.3">
      <c r="A774" s="15" t="s">
        <v>4564</v>
      </c>
      <c r="B774" s="12" t="str">
        <f>IFERROR(INDEX(Mots!$B:$B,MATCH($A774,Mots!$A:$A,0)),"introuvable")</f>
        <v>la larme</v>
      </c>
      <c r="N774" s="15" t="s">
        <v>7718</v>
      </c>
    </row>
    <row r="775" spans="1:26" x14ac:dyDescent="0.3">
      <c r="A775" s="15" t="s">
        <v>4601</v>
      </c>
      <c r="B775" s="12" t="str">
        <f>IFERROR(INDEX(Mots!$B:$B,MATCH($A775,Mots!$A:$A,0)),"introuvable")</f>
        <v>la loupe</v>
      </c>
      <c r="I775" s="15" t="s">
        <v>702</v>
      </c>
    </row>
    <row r="776" spans="1:26" x14ac:dyDescent="0.3">
      <c r="A776" s="15" t="s">
        <v>4621</v>
      </c>
      <c r="B776" s="12" t="str">
        <f>IFERROR(INDEX(Mots!$B:$B,MATCH($A776,Mots!$A:$A,0)),"introuvable")</f>
        <v>la machine</v>
      </c>
      <c r="C776" s="15" t="s">
        <v>5293</v>
      </c>
      <c r="I776" s="15" t="s">
        <v>3785</v>
      </c>
      <c r="J776" s="15" t="s">
        <v>73</v>
      </c>
    </row>
    <row r="777" spans="1:26" x14ac:dyDescent="0.3">
      <c r="A777" s="15" t="s">
        <v>4627</v>
      </c>
      <c r="B777" s="12" t="str">
        <f>IFERROR(INDEX(Mots!$B:$B,MATCH($A777,Mots!$A:$A,0)),"introuvable")</f>
        <v>la maladie</v>
      </c>
      <c r="I777" s="15" t="s">
        <v>5062</v>
      </c>
      <c r="N777" s="15" t="s">
        <v>7725</v>
      </c>
    </row>
    <row r="778" spans="1:26" x14ac:dyDescent="0.3">
      <c r="A778" s="15" t="s">
        <v>4631</v>
      </c>
      <c r="B778" s="12" t="str">
        <f>IFERROR(INDEX(Mots!$B:$B,MATCH($A778,Mots!$A:$A,0)),"introuvable")</f>
        <v>la manche</v>
      </c>
      <c r="C778" s="15" t="s">
        <v>6578</v>
      </c>
      <c r="N778" s="15" t="s">
        <v>7723</v>
      </c>
    </row>
    <row r="779" spans="1:26" x14ac:dyDescent="0.3">
      <c r="A779" s="15" t="s">
        <v>4646</v>
      </c>
      <c r="B779" s="12" t="str">
        <f>IFERROR(INDEX(Mots!$B:$B,MATCH($A779,Mots!$A:$A,0)),"introuvable")</f>
        <v>la masse</v>
      </c>
      <c r="C779" s="15" t="s">
        <v>4650</v>
      </c>
    </row>
    <row r="780" spans="1:26" x14ac:dyDescent="0.3">
      <c r="A780" s="15" t="s">
        <v>4650</v>
      </c>
      <c r="B780" s="12" t="str">
        <f>IFERROR(INDEX(Mots!$B:$B,MATCH($A780,Mots!$A:$A,0)),"introuvable")</f>
        <v>la matière</v>
      </c>
      <c r="C780" s="15" t="s">
        <v>4650</v>
      </c>
      <c r="N780" s="15" t="s">
        <v>7723</v>
      </c>
    </row>
    <row r="781" spans="1:26" x14ac:dyDescent="0.3">
      <c r="A781" s="15" t="s">
        <v>4658</v>
      </c>
      <c r="B781" s="12" t="str">
        <f>IFERROR(INDEX(Mots!$B:$B,MATCH($A781,Mots!$A:$A,0)),"introuvable")</f>
        <v>la mémoire</v>
      </c>
      <c r="N781" s="15" t="s">
        <v>7033</v>
      </c>
    </row>
    <row r="782" spans="1:26" x14ac:dyDescent="0.3">
      <c r="A782" s="15" t="s">
        <v>4662</v>
      </c>
      <c r="B782" s="12" t="str">
        <f>IFERROR(INDEX(Mots!$B:$B,MATCH($A782,Mots!$A:$A,0)),"introuvable")</f>
        <v>la météo</v>
      </c>
      <c r="I782" s="15" t="s">
        <v>3785</v>
      </c>
    </row>
    <row r="783" spans="1:26" x14ac:dyDescent="0.3">
      <c r="A783" s="15" t="s">
        <v>4675</v>
      </c>
      <c r="B783" s="12" t="str">
        <f>IFERROR(INDEX(Mots!$B:$B,MATCH($A783,Mots!$A:$A,0)),"introuvable")</f>
        <v>la montre</v>
      </c>
      <c r="C783" s="15" t="s">
        <v>6837</v>
      </c>
      <c r="G783" s="15" t="s">
        <v>7806</v>
      </c>
      <c r="I783" s="15" t="s">
        <v>34</v>
      </c>
    </row>
    <row r="784" spans="1:26" x14ac:dyDescent="0.3">
      <c r="A784" s="15" t="s">
        <v>4683</v>
      </c>
      <c r="B784" s="12" t="str">
        <f>IFERROR(INDEX(Mots!$B:$B,MATCH($A784,Mots!$A:$A,0)),"introuvable")</f>
        <v>la mousse</v>
      </c>
      <c r="C784" s="15" t="s">
        <v>2816</v>
      </c>
      <c r="I784" s="15" t="s">
        <v>3785</v>
      </c>
    </row>
    <row r="785" spans="1:26" x14ac:dyDescent="0.3">
      <c r="A785" s="15" t="s">
        <v>4691</v>
      </c>
      <c r="B785" s="12" t="str">
        <f>IFERROR(INDEX(Mots!$B:$B,MATCH($A785,Mots!$A:$A,0)),"introuvable")</f>
        <v>la naissance</v>
      </c>
      <c r="G785" s="15" t="s">
        <v>7806</v>
      </c>
    </row>
    <row r="786" spans="1:26" x14ac:dyDescent="0.3">
      <c r="A786" s="15" t="s">
        <v>69</v>
      </c>
      <c r="B786" s="12" t="str">
        <f>IFERROR(INDEX(Mots!$B:$B,MATCH($A786,Mots!$A:$A,0)),"introuvable")</f>
        <v>la nature</v>
      </c>
      <c r="C786" s="15" t="s">
        <v>2816</v>
      </c>
      <c r="I786" s="15" t="s">
        <v>3785</v>
      </c>
    </row>
    <row r="787" spans="1:26" x14ac:dyDescent="0.3">
      <c r="A787" s="15" t="s">
        <v>4698</v>
      </c>
      <c r="B787" s="12" t="str">
        <f>IFERROR(INDEX(Mots!$B:$B,MATCH($A787,Mots!$A:$A,0)),"introuvable")</f>
        <v>la neige</v>
      </c>
      <c r="I787" s="15" t="s">
        <v>3785</v>
      </c>
    </row>
    <row r="788" spans="1:26" x14ac:dyDescent="0.3">
      <c r="A788" s="15" t="s">
        <v>4724</v>
      </c>
      <c r="B788" s="12" t="str">
        <f>IFERROR(INDEX(Mots!$B:$B,MATCH($A788,Mots!$A:$A,0)),"introuvable")</f>
        <v>la panne</v>
      </c>
      <c r="G788" s="15" t="s">
        <v>7806</v>
      </c>
    </row>
    <row r="789" spans="1:26" x14ac:dyDescent="0.3">
      <c r="A789" s="15" t="s">
        <v>4732</v>
      </c>
      <c r="B789" s="12" t="str">
        <f>IFERROR(INDEX(Mots!$B:$B,MATCH($A789,Mots!$A:$A,0)),"introuvable")</f>
        <v>la paroi</v>
      </c>
      <c r="I789" s="15" t="s">
        <v>34</v>
      </c>
    </row>
    <row r="790" spans="1:26" x14ac:dyDescent="0.3">
      <c r="A790" s="15" t="s">
        <v>4750</v>
      </c>
      <c r="B790" s="12" t="str">
        <f>IFERROR(INDEX(Mots!$B:$B,MATCH($A790,Mots!$A:$A,0)),"introuvable")</f>
        <v>la patte</v>
      </c>
      <c r="C790" s="15" t="s">
        <v>1169</v>
      </c>
      <c r="I790" s="15" t="s">
        <v>3785</v>
      </c>
    </row>
    <row r="791" spans="1:26" x14ac:dyDescent="0.3">
      <c r="A791" s="15" t="s">
        <v>4756</v>
      </c>
      <c r="B791" s="12" t="str">
        <f>IFERROR(INDEX(Mots!$B:$B,MATCH($A791,Mots!$A:$A,0)),"introuvable")</f>
        <v>la peine</v>
      </c>
      <c r="Z791" s="15" t="s">
        <v>7797</v>
      </c>
    </row>
    <row r="792" spans="1:26" x14ac:dyDescent="0.3">
      <c r="A792" s="15" t="s">
        <v>4762</v>
      </c>
      <c r="B792" s="12" t="str">
        <f>IFERROR(INDEX(Mots!$B:$B,MATCH($A792,Mots!$A:$A,0)),"introuvable")</f>
        <v>la peinture</v>
      </c>
      <c r="C792" s="15" t="s">
        <v>6837</v>
      </c>
      <c r="I792" s="15" t="s">
        <v>34</v>
      </c>
    </row>
    <row r="793" spans="1:26" x14ac:dyDescent="0.3">
      <c r="A793" s="15" t="s">
        <v>458</v>
      </c>
      <c r="B793" s="12" t="str">
        <f>IFERROR(INDEX(Mots!$B:$B,MATCH($A793,Mots!$A:$A,0)),"introuvable")</f>
        <v>la personne</v>
      </c>
      <c r="I793" s="15" t="s">
        <v>34</v>
      </c>
    </row>
    <row r="794" spans="1:26" x14ac:dyDescent="0.3">
      <c r="A794" s="15" t="s">
        <v>4789</v>
      </c>
      <c r="B794" s="12" t="str">
        <f>IFERROR(INDEX(Mots!$B:$B,MATCH($A794,Mots!$A:$A,0)),"introuvable")</f>
        <v>la pharmacie</v>
      </c>
      <c r="I794" s="15" t="s">
        <v>82</v>
      </c>
      <c r="J794" s="15" t="s">
        <v>5062</v>
      </c>
    </row>
    <row r="795" spans="1:26" x14ac:dyDescent="0.3">
      <c r="A795" s="15" t="s">
        <v>4797</v>
      </c>
      <c r="B795" s="12" t="str">
        <f>IFERROR(INDEX(Mots!$B:$B,MATCH($A795,Mots!$A:$A,0)),"introuvable")</f>
        <v>la photo</v>
      </c>
      <c r="C795" s="15" t="s">
        <v>5293</v>
      </c>
    </row>
    <row r="796" spans="1:26" x14ac:dyDescent="0.3">
      <c r="A796" s="15" t="s">
        <v>4813</v>
      </c>
      <c r="B796" s="12" t="str">
        <f>IFERROR(INDEX(Mots!$B:$B,MATCH($A796,Mots!$A:$A,0)),"introuvable")</f>
        <v>la pince</v>
      </c>
      <c r="C796" s="15" t="s">
        <v>6890</v>
      </c>
      <c r="N796" s="15" t="s">
        <v>7736</v>
      </c>
    </row>
    <row r="797" spans="1:26" x14ac:dyDescent="0.3">
      <c r="A797" s="15" t="s">
        <v>4821</v>
      </c>
      <c r="B797" s="12" t="str">
        <f>IFERROR(INDEX(Mots!$B:$B,MATCH($A797,Mots!$A:$A,0)),"introuvable")</f>
        <v>la piqûre</v>
      </c>
      <c r="C797" s="15" t="s">
        <v>1169</v>
      </c>
      <c r="I797" s="15" t="s">
        <v>3785</v>
      </c>
    </row>
    <row r="798" spans="1:26" x14ac:dyDescent="0.3">
      <c r="A798" s="15" t="s">
        <v>4842</v>
      </c>
      <c r="B798" s="12" t="str">
        <f>IFERROR(INDEX(Mots!$B:$B,MATCH($A798,Mots!$A:$A,0)),"introuvable")</f>
        <v>la place</v>
      </c>
      <c r="I798" s="15" t="s">
        <v>3785</v>
      </c>
      <c r="J798" s="15" t="s">
        <v>82</v>
      </c>
    </row>
    <row r="799" spans="1:26" x14ac:dyDescent="0.3">
      <c r="A799" s="15" t="s">
        <v>4854</v>
      </c>
      <c r="B799" s="12" t="str">
        <f>IFERROR(INDEX(Mots!$B:$B,MATCH($A799,Mots!$A:$A,0)),"introuvable")</f>
        <v>la planète</v>
      </c>
      <c r="I799" s="15" t="s">
        <v>3785</v>
      </c>
    </row>
    <row r="800" spans="1:26" x14ac:dyDescent="0.3">
      <c r="A800" s="15" t="s">
        <v>4862</v>
      </c>
      <c r="B800" s="12" t="str">
        <f>IFERROR(INDEX(Mots!$B:$B,MATCH($A800,Mots!$A:$A,0)),"introuvable")</f>
        <v>la pluie</v>
      </c>
      <c r="I800" s="15" t="s">
        <v>3785</v>
      </c>
    </row>
    <row r="801" spans="1:15" x14ac:dyDescent="0.3">
      <c r="A801" s="15" t="s">
        <v>4870</v>
      </c>
      <c r="B801" s="12" t="str">
        <f>IFERROR(INDEX(Mots!$B:$B,MATCH($A801,Mots!$A:$A,0)),"introuvable")</f>
        <v>la plume</v>
      </c>
      <c r="C801" s="15" t="s">
        <v>1169</v>
      </c>
      <c r="I801" s="15" t="s">
        <v>3785</v>
      </c>
    </row>
    <row r="802" spans="1:15" x14ac:dyDescent="0.3">
      <c r="A802" s="15" t="s">
        <v>4878</v>
      </c>
      <c r="B802" s="12" t="str">
        <f>IFERROR(INDEX(Mots!$B:$B,MATCH($A802,Mots!$A:$A,0)),"introuvable")</f>
        <v>la poche</v>
      </c>
      <c r="C802" s="15" t="s">
        <v>828</v>
      </c>
      <c r="N802" s="15" t="s">
        <v>7723</v>
      </c>
    </row>
    <row r="803" spans="1:15" x14ac:dyDescent="0.3">
      <c r="A803" s="15" t="s">
        <v>4885</v>
      </c>
      <c r="B803" s="12" t="str">
        <f>IFERROR(INDEX(Mots!$B:$B,MATCH($A803,Mots!$A:$A,0)),"introuvable")</f>
        <v>la pommade</v>
      </c>
      <c r="I803" s="15" t="s">
        <v>5062</v>
      </c>
      <c r="N803" s="15" t="s">
        <v>7725</v>
      </c>
    </row>
    <row r="804" spans="1:15" x14ac:dyDescent="0.3">
      <c r="A804" s="15" t="s">
        <v>4899</v>
      </c>
      <c r="B804" s="12" t="str">
        <f>IFERROR(INDEX(Mots!$B:$B,MATCH($A804,Mots!$A:$A,0)),"introuvable")</f>
        <v>la poste</v>
      </c>
      <c r="I804" s="15" t="s">
        <v>82</v>
      </c>
    </row>
    <row r="805" spans="1:15" x14ac:dyDescent="0.3">
      <c r="A805" s="15" t="s">
        <v>4906</v>
      </c>
      <c r="B805" s="12" t="str">
        <f>IFERROR(INDEX(Mots!$B:$B,MATCH($A805,Mots!$A:$A,0)),"introuvable")</f>
        <v>la poubelle</v>
      </c>
      <c r="C805" s="15" t="s">
        <v>6222</v>
      </c>
      <c r="I805" s="15" t="s">
        <v>702</v>
      </c>
    </row>
    <row r="806" spans="1:15" x14ac:dyDescent="0.3">
      <c r="A806" s="15" t="s">
        <v>4914</v>
      </c>
      <c r="B806" s="12" t="str">
        <f>IFERROR(INDEX(Mots!$B:$B,MATCH($A806,Mots!$A:$A,0)),"introuvable")</f>
        <v>la poudre</v>
      </c>
      <c r="C806" s="15" t="s">
        <v>4650</v>
      </c>
      <c r="I806" s="15" t="s">
        <v>702</v>
      </c>
    </row>
    <row r="807" spans="1:15" x14ac:dyDescent="0.3">
      <c r="A807" s="15" t="s">
        <v>4918</v>
      </c>
      <c r="B807" s="12" t="str">
        <f>IFERROR(INDEX(Mots!$B:$B,MATCH($A807,Mots!$A:$A,0)),"introuvable")</f>
        <v>la poussière</v>
      </c>
      <c r="I807" s="15" t="s">
        <v>34</v>
      </c>
      <c r="N807" s="15" t="s">
        <v>6965</v>
      </c>
    </row>
    <row r="808" spans="1:15" x14ac:dyDescent="0.3">
      <c r="A808" s="15" t="s">
        <v>4926</v>
      </c>
      <c r="B808" s="12" t="str">
        <f>IFERROR(INDEX(Mots!$B:$B,MATCH($A808,Mots!$A:$A,0)),"introuvable")</f>
        <v>la prairie</v>
      </c>
      <c r="I808" s="15" t="s">
        <v>3785</v>
      </c>
    </row>
    <row r="809" spans="1:15" x14ac:dyDescent="0.3">
      <c r="A809" s="15" t="s">
        <v>4941</v>
      </c>
      <c r="B809" s="12" t="str">
        <f>IFERROR(INDEX(Mots!$B:$B,MATCH($A809,Mots!$A:$A,0)),"introuvable")</f>
        <v>la promenade</v>
      </c>
      <c r="I809" s="15" t="s">
        <v>82</v>
      </c>
      <c r="N809" s="15" t="s">
        <v>7727</v>
      </c>
      <c r="O809" s="15" t="s">
        <v>7732</v>
      </c>
    </row>
    <row r="810" spans="1:15" x14ac:dyDescent="0.3">
      <c r="A810" s="15" t="s">
        <v>4961</v>
      </c>
      <c r="B810" s="12" t="str">
        <f>IFERROR(INDEX(Mots!$B:$B,MATCH($A810,Mots!$A:$A,0)),"introuvable")</f>
        <v>la quantité</v>
      </c>
      <c r="G810" s="15" t="s">
        <v>6029</v>
      </c>
    </row>
    <row r="811" spans="1:15" x14ac:dyDescent="0.3">
      <c r="A811" s="15" t="s">
        <v>4965</v>
      </c>
      <c r="B811" s="12" t="str">
        <f>IFERROR(INDEX(Mots!$B:$B,MATCH($A811,Mots!$A:$A,0)),"introuvable")</f>
        <v>la question</v>
      </c>
      <c r="N811" s="15" t="s">
        <v>7759</v>
      </c>
    </row>
    <row r="812" spans="1:15" x14ac:dyDescent="0.3">
      <c r="A812" s="15" t="s">
        <v>4977</v>
      </c>
      <c r="B812" s="12" t="str">
        <f>IFERROR(INDEX(Mots!$B:$B,MATCH($A812,Mots!$A:$A,0)),"introuvable")</f>
        <v>la racine</v>
      </c>
      <c r="C812" s="15" t="s">
        <v>2816</v>
      </c>
      <c r="E812" s="15" t="s">
        <v>2816</v>
      </c>
      <c r="I812" s="15" t="s">
        <v>3785</v>
      </c>
    </row>
    <row r="813" spans="1:15" x14ac:dyDescent="0.3">
      <c r="A813" s="15" t="s">
        <v>4985</v>
      </c>
      <c r="B813" s="12" t="str">
        <f>IFERROR(INDEX(Mots!$B:$B,MATCH($A813,Mots!$A:$A,0)),"introuvable")</f>
        <v>la randonnée</v>
      </c>
      <c r="I813" s="15" t="s">
        <v>3785</v>
      </c>
      <c r="N813" s="15" t="s">
        <v>7732</v>
      </c>
    </row>
    <row r="814" spans="1:15" x14ac:dyDescent="0.3">
      <c r="A814" s="15" t="s">
        <v>5005</v>
      </c>
      <c r="B814" s="12" t="str">
        <f>IFERROR(INDEX(Mots!$B:$B,MATCH($A814,Mots!$A:$A,0)),"introuvable")</f>
        <v>la récolte</v>
      </c>
      <c r="C814" s="15" t="s">
        <v>2816</v>
      </c>
      <c r="I814" s="15" t="s">
        <v>3785</v>
      </c>
    </row>
    <row r="815" spans="1:15" x14ac:dyDescent="0.3">
      <c r="A815" s="15" t="s">
        <v>5017</v>
      </c>
      <c r="B815" s="12" t="str">
        <f>IFERROR(INDEX(Mots!$B:$B,MATCH($A815,Mots!$A:$A,0)),"introuvable")</f>
        <v>la rencontre</v>
      </c>
      <c r="G815" s="15" t="s">
        <v>7806</v>
      </c>
    </row>
    <row r="816" spans="1:15" x14ac:dyDescent="0.3">
      <c r="A816" s="15" t="s">
        <v>5029</v>
      </c>
      <c r="B816" s="12" t="str">
        <f>IFERROR(INDEX(Mots!$B:$B,MATCH($A816,Mots!$A:$A,0)),"introuvable")</f>
        <v>la robe</v>
      </c>
      <c r="C816" s="15" t="s">
        <v>6578</v>
      </c>
      <c r="N816" s="15" t="s">
        <v>7723</v>
      </c>
    </row>
    <row r="817" spans="1:15" x14ac:dyDescent="0.3">
      <c r="A817" s="15" t="s">
        <v>5033</v>
      </c>
      <c r="B817" s="12" t="str">
        <f>IFERROR(INDEX(Mots!$B:$B,MATCH($A817,Mots!$A:$A,0)),"introuvable")</f>
        <v>la roche</v>
      </c>
      <c r="C817" s="15" t="s">
        <v>4650</v>
      </c>
      <c r="I817" s="15" t="s">
        <v>3785</v>
      </c>
    </row>
    <row r="818" spans="1:15" x14ac:dyDescent="0.3">
      <c r="A818" s="15" t="s">
        <v>5041</v>
      </c>
      <c r="B818" s="12" t="str">
        <f>IFERROR(INDEX(Mots!$B:$B,MATCH($A818,Mots!$A:$A,0)),"introuvable")</f>
        <v>la rosée</v>
      </c>
      <c r="I818" s="15" t="s">
        <v>3785</v>
      </c>
      <c r="N818" s="15" t="s">
        <v>7718</v>
      </c>
    </row>
    <row r="819" spans="1:15" x14ac:dyDescent="0.3">
      <c r="A819" s="15" t="s">
        <v>5046</v>
      </c>
      <c r="B819" s="12" t="str">
        <f>IFERROR(INDEX(Mots!$B:$B,MATCH($A819,Mots!$A:$A,0)),"introuvable")</f>
        <v>la roue</v>
      </c>
      <c r="C819" s="15" t="s">
        <v>7740</v>
      </c>
      <c r="I819" s="15" t="s">
        <v>34</v>
      </c>
      <c r="J819" s="15" t="s">
        <v>2851</v>
      </c>
      <c r="N819" s="15" t="s">
        <v>7727</v>
      </c>
    </row>
    <row r="820" spans="1:15" x14ac:dyDescent="0.3">
      <c r="A820" s="15" t="s">
        <v>5054</v>
      </c>
      <c r="B820" s="12" t="str">
        <f>IFERROR(INDEX(Mots!$B:$B,MATCH($A820,Mots!$A:$A,0)),"introuvable")</f>
        <v>la saleté</v>
      </c>
      <c r="N820" s="15" t="s">
        <v>6965</v>
      </c>
    </row>
    <row r="821" spans="1:15" x14ac:dyDescent="0.3">
      <c r="A821" s="15" t="s">
        <v>5062</v>
      </c>
      <c r="B821" s="12" t="str">
        <f>IFERROR(INDEX(Mots!$B:$B,MATCH($A821,Mots!$A:$A,0)),"introuvable")</f>
        <v>la santé</v>
      </c>
      <c r="N821" s="15" t="s">
        <v>7725</v>
      </c>
    </row>
    <row r="822" spans="1:15" x14ac:dyDescent="0.3">
      <c r="A822" s="15" t="s">
        <v>5066</v>
      </c>
      <c r="B822" s="12" t="str">
        <f>IFERROR(INDEX(Mots!$B:$B,MATCH($A822,Mots!$A:$A,0)),"introuvable")</f>
        <v>la sauce</v>
      </c>
      <c r="C822" s="15" t="s">
        <v>7747</v>
      </c>
      <c r="I822" s="15" t="s">
        <v>702</v>
      </c>
      <c r="N822" s="15" t="s">
        <v>7718</v>
      </c>
    </row>
    <row r="823" spans="1:15" x14ac:dyDescent="0.3">
      <c r="A823" s="15" t="s">
        <v>5076</v>
      </c>
      <c r="B823" s="12" t="str">
        <f>IFERROR(INDEX(Mots!$B:$B,MATCH($A823,Mots!$A:$A,0)),"introuvable")</f>
        <v>la serviette</v>
      </c>
      <c r="C823" s="15" t="s">
        <v>4650</v>
      </c>
      <c r="I823" s="15" t="s">
        <v>2767</v>
      </c>
      <c r="N823" s="15" t="s">
        <v>7725</v>
      </c>
    </row>
    <row r="824" spans="1:15" x14ac:dyDescent="0.3">
      <c r="A824" s="15" t="s">
        <v>5080</v>
      </c>
      <c r="B824" s="12" t="str">
        <f>IFERROR(INDEX(Mots!$B:$B,MATCH($A824,Mots!$A:$A,0)),"introuvable")</f>
        <v>la signature</v>
      </c>
      <c r="I824" s="15" t="s">
        <v>3785</v>
      </c>
    </row>
    <row r="825" spans="1:15" x14ac:dyDescent="0.3">
      <c r="A825" s="15" t="s">
        <v>5088</v>
      </c>
      <c r="B825" s="12" t="str">
        <f>IFERROR(INDEX(Mots!$B:$B,MATCH($A825,Mots!$A:$A,0)),"introuvable")</f>
        <v>la société</v>
      </c>
      <c r="I825" s="15" t="s">
        <v>3785</v>
      </c>
    </row>
    <row r="826" spans="1:15" x14ac:dyDescent="0.3">
      <c r="A826" s="15" t="s">
        <v>5099</v>
      </c>
      <c r="B826" s="12" t="str">
        <f>IFERROR(INDEX(Mots!$B:$B,MATCH($A826,Mots!$A:$A,0)),"introuvable")</f>
        <v>la sortie</v>
      </c>
      <c r="I826" s="15" t="s">
        <v>34</v>
      </c>
      <c r="J826" s="15" t="s">
        <v>82</v>
      </c>
    </row>
    <row r="827" spans="1:15" x14ac:dyDescent="0.3">
      <c r="A827" s="15" t="s">
        <v>5106</v>
      </c>
      <c r="B827" s="12" t="str">
        <f>IFERROR(INDEX(Mots!$B:$B,MATCH($A827,Mots!$A:$A,0)),"introuvable")</f>
        <v>la source</v>
      </c>
      <c r="I827" s="15" t="s">
        <v>3785</v>
      </c>
    </row>
    <row r="828" spans="1:15" x14ac:dyDescent="0.3">
      <c r="A828" s="15" t="s">
        <v>5110</v>
      </c>
      <c r="B828" s="12" t="str">
        <f>IFERROR(INDEX(Mots!$B:$B,MATCH($A828,Mots!$A:$A,0)),"introuvable")</f>
        <v>la sucrerie</v>
      </c>
      <c r="I828" s="15" t="s">
        <v>702</v>
      </c>
    </row>
    <row r="829" spans="1:15" x14ac:dyDescent="0.3">
      <c r="A829" s="15" t="s">
        <v>5113</v>
      </c>
      <c r="B829" s="12" t="str">
        <f>IFERROR(INDEX(Mots!$B:$B,MATCH($A829,Mots!$A:$A,0)),"introuvable")</f>
        <v>la surface</v>
      </c>
      <c r="C829" s="15" t="s">
        <v>7747</v>
      </c>
      <c r="I829" s="15" t="s">
        <v>702</v>
      </c>
    </row>
    <row r="830" spans="1:15" x14ac:dyDescent="0.3">
      <c r="A830" s="15" t="s">
        <v>5117</v>
      </c>
      <c r="B830" s="12" t="str">
        <f>IFERROR(INDEX(Mots!$B:$B,MATCH($A830,Mots!$A:$A,0)),"introuvable")</f>
        <v>la tâche</v>
      </c>
      <c r="I830" s="15" t="s">
        <v>73</v>
      </c>
    </row>
    <row r="831" spans="1:15" x14ac:dyDescent="0.3">
      <c r="A831" s="15" t="s">
        <v>5121</v>
      </c>
      <c r="B831" s="12" t="str">
        <f>IFERROR(INDEX(Mots!$B:$B,MATCH($A831,Mots!$A:$A,0)),"introuvable")</f>
        <v>la tempête</v>
      </c>
      <c r="I831" s="15" t="s">
        <v>3785</v>
      </c>
    </row>
    <row r="832" spans="1:15" x14ac:dyDescent="0.3">
      <c r="A832" s="15" t="s">
        <v>5137</v>
      </c>
      <c r="B832" s="12" t="str">
        <f>IFERROR(INDEX(Mots!$B:$B,MATCH($A832,Mots!$A:$A,0)),"introuvable")</f>
        <v>la tente</v>
      </c>
      <c r="C832" s="15" t="s">
        <v>4650</v>
      </c>
      <c r="I832" s="15" t="s">
        <v>3181</v>
      </c>
      <c r="N832" s="15" t="s">
        <v>7723</v>
      </c>
      <c r="O832" s="15" t="s">
        <v>7734</v>
      </c>
    </row>
    <row r="833" spans="1:26" x14ac:dyDescent="0.3">
      <c r="A833" s="15" t="s">
        <v>5145</v>
      </c>
      <c r="B833" s="12" t="str">
        <f>IFERROR(INDEX(Mots!$B:$B,MATCH($A833,Mots!$A:$A,0)),"introuvable")</f>
        <v>la timidité</v>
      </c>
      <c r="Z833" s="15" t="s">
        <v>7797</v>
      </c>
    </row>
    <row r="834" spans="1:26" x14ac:dyDescent="0.3">
      <c r="A834" s="15" t="s">
        <v>5166</v>
      </c>
      <c r="B834" s="12" t="str">
        <f>IFERROR(INDEX(Mots!$B:$B,MATCH($A834,Mots!$A:$A,0)),"introuvable")</f>
        <v>la valise</v>
      </c>
      <c r="C834" s="15" t="s">
        <v>828</v>
      </c>
    </row>
    <row r="835" spans="1:26" x14ac:dyDescent="0.3">
      <c r="A835" s="15" t="s">
        <v>5174</v>
      </c>
      <c r="B835" s="12" t="str">
        <f>IFERROR(INDEX(Mots!$B:$B,MATCH($A835,Mots!$A:$A,0)),"introuvable")</f>
        <v>la vallée</v>
      </c>
      <c r="I835" s="15" t="s">
        <v>3785</v>
      </c>
    </row>
    <row r="836" spans="1:26" x14ac:dyDescent="0.3">
      <c r="A836" s="15" t="s">
        <v>5178</v>
      </c>
      <c r="B836" s="12" t="str">
        <f>IFERROR(INDEX(Mots!$B:$B,MATCH($A836,Mots!$A:$A,0)),"introuvable")</f>
        <v>la vente</v>
      </c>
      <c r="I836" s="15" t="s">
        <v>3785</v>
      </c>
      <c r="N836" s="15" t="s">
        <v>7382</v>
      </c>
      <c r="O836" s="15" t="s">
        <v>7764</v>
      </c>
    </row>
    <row r="837" spans="1:26" x14ac:dyDescent="0.3">
      <c r="A837" s="15" t="s">
        <v>5195</v>
      </c>
      <c r="B837" s="12" t="str">
        <f>IFERROR(INDEX(Mots!$B:$B,MATCH($A837,Mots!$A:$A,0)),"introuvable")</f>
        <v>la vigne</v>
      </c>
      <c r="C837" s="15" t="s">
        <v>7747</v>
      </c>
      <c r="I837" s="15" t="s">
        <v>702</v>
      </c>
      <c r="J837" s="15" t="s">
        <v>3785</v>
      </c>
    </row>
    <row r="838" spans="1:26" x14ac:dyDescent="0.3">
      <c r="A838" s="15" t="s">
        <v>5199</v>
      </c>
      <c r="B838" s="12" t="str">
        <f>IFERROR(INDEX(Mots!$B:$B,MATCH($A838,Mots!$A:$A,0)),"introuvable")</f>
        <v>la vis</v>
      </c>
      <c r="C838" s="15" t="s">
        <v>4650</v>
      </c>
    </row>
    <row r="839" spans="1:26" x14ac:dyDescent="0.3">
      <c r="A839" s="15" t="s">
        <v>5213</v>
      </c>
      <c r="B839" s="12" t="str">
        <f>IFERROR(INDEX(Mots!$B:$B,MATCH($A839,Mots!$A:$A,0)),"introuvable")</f>
        <v>l'accident</v>
      </c>
      <c r="I839" s="15" t="s">
        <v>2767</v>
      </c>
    </row>
    <row r="840" spans="1:26" x14ac:dyDescent="0.3">
      <c r="A840" s="15" t="s">
        <v>5229</v>
      </c>
      <c r="B840" s="12" t="str">
        <f>IFERROR(INDEX(Mots!$B:$B,MATCH($A840,Mots!$A:$A,0)),"introuvable")</f>
        <v>l'achat</v>
      </c>
      <c r="N840" s="15" t="s">
        <v>7382</v>
      </c>
      <c r="O840" s="15" t="s">
        <v>7764</v>
      </c>
    </row>
    <row r="841" spans="1:26" x14ac:dyDescent="0.3">
      <c r="A841" s="15" t="s">
        <v>5232</v>
      </c>
      <c r="B841" s="12" t="str">
        <f>IFERROR(INDEX(Mots!$B:$B,MATCH($A841,Mots!$A:$A,0)),"introuvable")</f>
        <v>les affaires</v>
      </c>
      <c r="C841" s="15" t="s">
        <v>6837</v>
      </c>
      <c r="I841" s="15" t="s">
        <v>34</v>
      </c>
    </row>
    <row r="842" spans="1:26" x14ac:dyDescent="0.3">
      <c r="A842" s="15" t="s">
        <v>5237</v>
      </c>
      <c r="B842" s="12" t="str">
        <f>IFERROR(INDEX(Mots!$B:$B,MATCH($A842,Mots!$A:$A,0)),"introuvable")</f>
        <v>l'âge</v>
      </c>
      <c r="G842" s="15" t="s">
        <v>7806</v>
      </c>
    </row>
    <row r="843" spans="1:26" x14ac:dyDescent="0.3">
      <c r="A843" s="15" t="s">
        <v>5249</v>
      </c>
      <c r="B843" s="12" t="str">
        <f>IFERROR(INDEX(Mots!$B:$B,MATCH($A843,Mots!$A:$A,0)),"introuvable")</f>
        <v>l'aide</v>
      </c>
      <c r="N843" s="15" t="s">
        <v>7764</v>
      </c>
      <c r="O843" s="15" t="s">
        <v>3440</v>
      </c>
    </row>
    <row r="844" spans="1:26" x14ac:dyDescent="0.3">
      <c r="A844" s="15" t="s">
        <v>5272</v>
      </c>
      <c r="B844" s="12" t="str">
        <f>IFERROR(INDEX(Mots!$B:$B,MATCH($A844,Mots!$A:$A,0)),"introuvable")</f>
        <v>l'allumette</v>
      </c>
      <c r="I844" s="15" t="s">
        <v>34</v>
      </c>
    </row>
    <row r="845" spans="1:26" x14ac:dyDescent="0.3">
      <c r="A845" s="15" t="s">
        <v>5287</v>
      </c>
      <c r="B845" s="12" t="str">
        <f>IFERROR(INDEX(Mots!$B:$B,MATCH($A845,Mots!$A:$A,0)),"introuvable")</f>
        <v>l'anse</v>
      </c>
      <c r="C845" s="15" t="s">
        <v>6837</v>
      </c>
    </row>
    <row r="846" spans="1:26" x14ac:dyDescent="0.3">
      <c r="A846" s="15" t="s">
        <v>5293</v>
      </c>
      <c r="B846" s="12" t="str">
        <f>IFERROR(INDEX(Mots!$B:$B,MATCH($A846,Mots!$A:$A,0)),"introuvable")</f>
        <v>l'appareil</v>
      </c>
      <c r="C846" s="15" t="s">
        <v>6890</v>
      </c>
      <c r="I846" s="15" t="s">
        <v>73</v>
      </c>
    </row>
    <row r="847" spans="1:26" x14ac:dyDescent="0.3">
      <c r="A847" s="15" t="s">
        <v>5297</v>
      </c>
      <c r="B847" s="12" t="str">
        <f>IFERROR(INDEX(Mots!$B:$B,MATCH($A847,Mots!$A:$A,0)),"introuvable")</f>
        <v>l'appartement</v>
      </c>
      <c r="C847" s="15" t="s">
        <v>828</v>
      </c>
      <c r="I847" s="15" t="s">
        <v>34</v>
      </c>
    </row>
    <row r="848" spans="1:26" x14ac:dyDescent="0.3">
      <c r="A848" s="15" t="s">
        <v>5305</v>
      </c>
      <c r="B848" s="12" t="str">
        <f>IFERROR(INDEX(Mots!$B:$B,MATCH($A848,Mots!$A:$A,0)),"introuvable")</f>
        <v>l'arc-en-ciel</v>
      </c>
      <c r="I848" s="15" t="s">
        <v>3785</v>
      </c>
    </row>
    <row r="849" spans="1:15" x14ac:dyDescent="0.3">
      <c r="A849" s="15" t="s">
        <v>5309</v>
      </c>
      <c r="B849" s="12" t="str">
        <f>IFERROR(INDEX(Mots!$B:$B,MATCH($A849,Mots!$A:$A,0)),"introuvable")</f>
        <v>l'attention</v>
      </c>
      <c r="N849" s="15" t="s">
        <v>7759</v>
      </c>
      <c r="O849" s="15" t="s">
        <v>7764</v>
      </c>
    </row>
    <row r="850" spans="1:15" x14ac:dyDescent="0.3">
      <c r="A850" s="15" t="s">
        <v>5313</v>
      </c>
      <c r="B850" s="12" t="str">
        <f>IFERROR(INDEX(Mots!$B:$B,MATCH($A850,Mots!$A:$A,0)),"introuvable")</f>
        <v>l'autoroute</v>
      </c>
      <c r="I850" s="15" t="s">
        <v>2851</v>
      </c>
    </row>
    <row r="851" spans="1:15" x14ac:dyDescent="0.3">
      <c r="A851" s="15" t="s">
        <v>5321</v>
      </c>
      <c r="B851" s="12" t="str">
        <f>IFERROR(INDEX(Mots!$B:$B,MATCH($A851,Mots!$A:$A,0)),"introuvable")</f>
        <v>l'aventure</v>
      </c>
      <c r="I851" s="15" t="s">
        <v>3785</v>
      </c>
    </row>
    <row r="852" spans="1:15" x14ac:dyDescent="0.3">
      <c r="A852" s="15" t="s">
        <v>5331</v>
      </c>
      <c r="B852" s="12" t="str">
        <f>IFERROR(INDEX(Mots!$B:$B,MATCH($A852,Mots!$A:$A,0)),"introuvable")</f>
        <v>laver</v>
      </c>
      <c r="N852" s="15" t="s">
        <v>6965</v>
      </c>
    </row>
    <row r="853" spans="1:15" x14ac:dyDescent="0.3">
      <c r="A853" s="15" t="s">
        <v>5343</v>
      </c>
      <c r="B853" s="12" t="str">
        <f>IFERROR(INDEX(Mots!$B:$B,MATCH($A853,Mots!$A:$A,0)),"introuvable")</f>
        <v>l'avis</v>
      </c>
      <c r="N853" s="15" t="s">
        <v>7759</v>
      </c>
    </row>
    <row r="854" spans="1:15" x14ac:dyDescent="0.3">
      <c r="A854" s="15" t="s">
        <v>5349</v>
      </c>
      <c r="B854" s="12" t="str">
        <f>IFERROR(INDEX(Mots!$B:$B,MATCH($A854,Mots!$A:$A,0)),"introuvable")</f>
        <v>le bagage</v>
      </c>
      <c r="I854" s="15" t="s">
        <v>34</v>
      </c>
    </row>
    <row r="855" spans="1:15" x14ac:dyDescent="0.3">
      <c r="A855" s="15" t="s">
        <v>5353</v>
      </c>
      <c r="B855" s="12" t="str">
        <f>IFERROR(INDEX(Mots!$B:$B,MATCH($A855,Mots!$A:$A,0)),"introuvable")</f>
        <v>le bain</v>
      </c>
      <c r="I855" s="15" t="s">
        <v>2767</v>
      </c>
      <c r="N855" s="15" t="s">
        <v>6965</v>
      </c>
    </row>
    <row r="856" spans="1:15" x14ac:dyDescent="0.3">
      <c r="A856" s="15" t="s">
        <v>5361</v>
      </c>
      <c r="B856" s="12" t="str">
        <f>IFERROR(INDEX(Mots!$B:$B,MATCH($A856,Mots!$A:$A,0)),"introuvable")</f>
        <v>le balai</v>
      </c>
      <c r="C856" s="15" t="s">
        <v>6837</v>
      </c>
      <c r="N856" s="15" t="s">
        <v>6965</v>
      </c>
    </row>
    <row r="857" spans="1:15" x14ac:dyDescent="0.3">
      <c r="A857" s="15" t="s">
        <v>5369</v>
      </c>
      <c r="B857" s="12" t="str">
        <f>IFERROR(INDEX(Mots!$B:$B,MATCH($A857,Mots!$A:$A,0)),"introuvable")</f>
        <v>le balcon</v>
      </c>
      <c r="I857" s="15" t="s">
        <v>34</v>
      </c>
    </row>
    <row r="858" spans="1:15" x14ac:dyDescent="0.3">
      <c r="A858" s="15" t="s">
        <v>5377</v>
      </c>
      <c r="B858" s="12" t="str">
        <f>IFERROR(INDEX(Mots!$B:$B,MATCH($A858,Mots!$A:$A,0)),"introuvable")</f>
        <v>le ballon</v>
      </c>
      <c r="C858" s="15" t="s">
        <v>6837</v>
      </c>
    </row>
    <row r="859" spans="1:15" x14ac:dyDescent="0.3">
      <c r="A859" s="15" t="s">
        <v>5385</v>
      </c>
      <c r="B859" s="12" t="str">
        <f>IFERROR(INDEX(Mots!$B:$B,MATCH($A859,Mots!$A:$A,0)),"introuvable")</f>
        <v>le bandage</v>
      </c>
      <c r="C859" s="15" t="s">
        <v>4650</v>
      </c>
      <c r="I859" s="15" t="s">
        <v>5062</v>
      </c>
      <c r="N859" s="15" t="s">
        <v>7723</v>
      </c>
      <c r="O859" s="15" t="s">
        <v>7725</v>
      </c>
    </row>
    <row r="860" spans="1:15" x14ac:dyDescent="0.3">
      <c r="A860" s="15" t="s">
        <v>5393</v>
      </c>
      <c r="B860" s="12" t="str">
        <f>IFERROR(INDEX(Mots!$B:$B,MATCH($A860,Mots!$A:$A,0)),"introuvable")</f>
        <v>le bâtiment</v>
      </c>
      <c r="C860" s="15" t="s">
        <v>5393</v>
      </c>
      <c r="I860" s="15" t="s">
        <v>34</v>
      </c>
      <c r="J860" s="15" t="s">
        <v>82</v>
      </c>
    </row>
    <row r="861" spans="1:15" x14ac:dyDescent="0.3">
      <c r="A861" s="15" t="s">
        <v>5406</v>
      </c>
      <c r="B861" s="12" t="str">
        <f>IFERROR(INDEX(Mots!$B:$B,MATCH($A861,Mots!$A:$A,0)),"introuvable")</f>
        <v>le beurre</v>
      </c>
      <c r="C861" s="15" t="s">
        <v>7747</v>
      </c>
      <c r="I861" s="15" t="s">
        <v>702</v>
      </c>
      <c r="N861" s="15" t="s">
        <v>7718</v>
      </c>
    </row>
    <row r="862" spans="1:15" x14ac:dyDescent="0.3">
      <c r="A862" s="15" t="s">
        <v>5412</v>
      </c>
      <c r="B862" s="12" t="str">
        <f>IFERROR(INDEX(Mots!$B:$B,MATCH($A862,Mots!$A:$A,0)),"introuvable")</f>
        <v>le billet</v>
      </c>
      <c r="N862" s="15" t="s">
        <v>7727</v>
      </c>
    </row>
    <row r="863" spans="1:15" x14ac:dyDescent="0.3">
      <c r="A863" s="15" t="s">
        <v>5418</v>
      </c>
      <c r="B863" s="12" t="str">
        <f>IFERROR(INDEX(Mots!$B:$B,MATCH($A863,Mots!$A:$A,0)),"introuvable")</f>
        <v>le blé</v>
      </c>
      <c r="C863" s="15" t="s">
        <v>2816</v>
      </c>
      <c r="I863" s="15" t="s">
        <v>702</v>
      </c>
      <c r="J863" s="15" t="s">
        <v>3785</v>
      </c>
    </row>
    <row r="864" spans="1:15" x14ac:dyDescent="0.3">
      <c r="A864" s="15" t="s">
        <v>5426</v>
      </c>
      <c r="B864" s="12" t="str">
        <f>IFERROR(INDEX(Mots!$B:$B,MATCH($A864,Mots!$A:$A,0)),"introuvable")</f>
        <v>le bocal</v>
      </c>
      <c r="I864" s="15" t="s">
        <v>702</v>
      </c>
    </row>
    <row r="865" spans="1:26" x14ac:dyDescent="0.3">
      <c r="A865" s="15" t="s">
        <v>5434</v>
      </c>
      <c r="B865" s="12" t="str">
        <f>IFERROR(INDEX(Mots!$B:$B,MATCH($A865,Mots!$A:$A,0)),"introuvable")</f>
        <v>le bois</v>
      </c>
      <c r="C865" s="15" t="s">
        <v>2816</v>
      </c>
      <c r="I865" s="15" t="s">
        <v>3785</v>
      </c>
    </row>
    <row r="866" spans="1:26" x14ac:dyDescent="0.3">
      <c r="A866" s="15" t="s">
        <v>5442</v>
      </c>
      <c r="B866" s="12" t="str">
        <f>IFERROR(INDEX(Mots!$B:$B,MATCH($A866,Mots!$A:$A,0)),"introuvable")</f>
        <v>le bonbon</v>
      </c>
      <c r="I866" s="15" t="s">
        <v>702</v>
      </c>
    </row>
    <row r="867" spans="1:26" x14ac:dyDescent="0.3">
      <c r="A867" s="15" t="s">
        <v>5455</v>
      </c>
      <c r="B867" s="12" t="str">
        <f>IFERROR(INDEX(Mots!$B:$B,MATCH($A867,Mots!$A:$A,0)),"introuvable")</f>
        <v>le bourgeon</v>
      </c>
      <c r="C867" s="15" t="s">
        <v>2816</v>
      </c>
      <c r="I867" s="15" t="s">
        <v>3785</v>
      </c>
    </row>
    <row r="868" spans="1:26" x14ac:dyDescent="0.3">
      <c r="A868" s="15" t="s">
        <v>5467</v>
      </c>
      <c r="B868" s="12" t="str">
        <f>IFERROR(INDEX(Mots!$B:$B,MATCH($A868,Mots!$A:$A,0)),"introuvable")</f>
        <v>le bouton</v>
      </c>
      <c r="C868" s="15" t="s">
        <v>6578</v>
      </c>
      <c r="N868" s="15" t="s">
        <v>7723</v>
      </c>
    </row>
    <row r="869" spans="1:26" x14ac:dyDescent="0.3">
      <c r="A869" s="15" t="s">
        <v>5471</v>
      </c>
      <c r="B869" s="12" t="str">
        <f>IFERROR(INDEX(Mots!$B:$B,MATCH($A869,Mots!$A:$A,0)),"introuvable")</f>
        <v>le bricolage</v>
      </c>
      <c r="C869" s="15" t="s">
        <v>6837</v>
      </c>
      <c r="N869" s="15" t="s">
        <v>7736</v>
      </c>
    </row>
    <row r="870" spans="1:26" x14ac:dyDescent="0.3">
      <c r="A870" s="15" t="s">
        <v>5487</v>
      </c>
      <c r="B870" s="12" t="str">
        <f>IFERROR(INDEX(Mots!$B:$B,MATCH($A870,Mots!$A:$A,0)),"introuvable")</f>
        <v>le brouillard</v>
      </c>
      <c r="I870" s="15" t="s">
        <v>3785</v>
      </c>
    </row>
    <row r="871" spans="1:26" x14ac:dyDescent="0.3">
      <c r="A871" s="15" t="s">
        <v>5495</v>
      </c>
      <c r="B871" s="12" t="str">
        <f>IFERROR(INDEX(Mots!$B:$B,MATCH($A871,Mots!$A:$A,0)),"introuvable")</f>
        <v>le bruit</v>
      </c>
      <c r="I871" s="15" t="s">
        <v>3785</v>
      </c>
    </row>
    <row r="872" spans="1:26" x14ac:dyDescent="0.3">
      <c r="A872" s="15" t="s">
        <v>5501</v>
      </c>
      <c r="B872" s="12" t="str">
        <f>IFERROR(INDEX(Mots!$B:$B,MATCH($A872,Mots!$A:$A,0)),"introuvable")</f>
        <v>le buisson</v>
      </c>
      <c r="C872" s="15" t="s">
        <v>2816</v>
      </c>
      <c r="I872" s="15" t="s">
        <v>3785</v>
      </c>
    </row>
    <row r="873" spans="1:26" x14ac:dyDescent="0.3">
      <c r="A873" s="15" t="s">
        <v>5517</v>
      </c>
      <c r="B873" s="12" t="str">
        <f>IFERROR(INDEX(Mots!$B:$B,MATCH($A873,Mots!$A:$A,0)),"introuvable")</f>
        <v>le cadeau</v>
      </c>
      <c r="C873" s="15" t="s">
        <v>6837</v>
      </c>
    </row>
    <row r="874" spans="1:26" x14ac:dyDescent="0.3">
      <c r="A874" s="15" t="s">
        <v>5533</v>
      </c>
      <c r="B874" s="12" t="str">
        <f>IFERROR(INDEX(Mots!$B:$B,MATCH($A874,Mots!$A:$A,0)),"introuvable")</f>
        <v>le calcul</v>
      </c>
      <c r="G874" s="15" t="s">
        <v>6029</v>
      </c>
    </row>
    <row r="875" spans="1:26" x14ac:dyDescent="0.3">
      <c r="A875" s="15" t="s">
        <v>5537</v>
      </c>
      <c r="B875" s="12" t="str">
        <f>IFERROR(INDEX(Mots!$B:$B,MATCH($A875,Mots!$A:$A,0)),"introuvable")</f>
        <v>le calme</v>
      </c>
      <c r="N875" s="15" t="s">
        <v>7734</v>
      </c>
    </row>
    <row r="876" spans="1:26" x14ac:dyDescent="0.3">
      <c r="A876" s="15" t="s">
        <v>5549</v>
      </c>
      <c r="B876" s="12" t="str">
        <f>IFERROR(INDEX(Mots!$B:$B,MATCH($A876,Mots!$A:$A,0)),"introuvable")</f>
        <v>le caoutchouc</v>
      </c>
      <c r="C876" s="15" t="s">
        <v>4650</v>
      </c>
      <c r="I876" s="15" t="s">
        <v>2851</v>
      </c>
    </row>
    <row r="877" spans="1:26" x14ac:dyDescent="0.3">
      <c r="A877" s="15" t="s">
        <v>5571</v>
      </c>
      <c r="B877" s="12" t="str">
        <f>IFERROR(INDEX(Mots!$B:$B,MATCH($A877,Mots!$A:$A,0)),"introuvable")</f>
        <v>le chagrin</v>
      </c>
      <c r="Z877" s="15" t="s">
        <v>7797</v>
      </c>
    </row>
    <row r="878" spans="1:26" x14ac:dyDescent="0.3">
      <c r="A878" s="15" t="s">
        <v>5580</v>
      </c>
      <c r="B878" s="12" t="str">
        <f>IFERROR(INDEX(Mots!$B:$B,MATCH($A878,Mots!$A:$A,0)),"introuvable")</f>
        <v>le champ</v>
      </c>
      <c r="C878" s="15" t="s">
        <v>7747</v>
      </c>
      <c r="I878" s="15" t="s">
        <v>702</v>
      </c>
      <c r="J878" s="15" t="s">
        <v>3785</v>
      </c>
    </row>
    <row r="879" spans="1:26" x14ac:dyDescent="0.3">
      <c r="A879" s="15" t="s">
        <v>5588</v>
      </c>
      <c r="B879" s="12" t="str">
        <f>IFERROR(INDEX(Mots!$B:$B,MATCH($A879,Mots!$A:$A,0)),"introuvable")</f>
        <v>le champignon</v>
      </c>
      <c r="C879" s="15" t="s">
        <v>2816</v>
      </c>
      <c r="I879" s="15" t="s">
        <v>3785</v>
      </c>
    </row>
    <row r="880" spans="1:26" x14ac:dyDescent="0.3">
      <c r="A880" s="15" t="s">
        <v>5596</v>
      </c>
      <c r="B880" s="12" t="str">
        <f>IFERROR(INDEX(Mots!$B:$B,MATCH($A880,Mots!$A:$A,0)),"introuvable")</f>
        <v>le champion</v>
      </c>
      <c r="I880" s="15" t="s">
        <v>3785</v>
      </c>
      <c r="J880" s="15" t="s">
        <v>7716</v>
      </c>
      <c r="N880" s="15" t="s">
        <v>7730</v>
      </c>
    </row>
    <row r="881" spans="1:15" x14ac:dyDescent="0.3">
      <c r="A881" s="15" t="s">
        <v>5604</v>
      </c>
      <c r="B881" s="12" t="str">
        <f>IFERROR(INDEX(Mots!$B:$B,MATCH($A881,Mots!$A:$A,0)),"introuvable")</f>
        <v>le chapeau</v>
      </c>
      <c r="N881" s="15" t="s">
        <v>7723</v>
      </c>
    </row>
    <row r="882" spans="1:15" x14ac:dyDescent="0.3">
      <c r="A882" s="15" t="s">
        <v>5608</v>
      </c>
      <c r="B882" s="12" t="str">
        <f>IFERROR(INDEX(Mots!$B:$B,MATCH($A882,Mots!$A:$A,0)),"introuvable")</f>
        <v>le chemin</v>
      </c>
      <c r="I882" s="15" t="s">
        <v>3785</v>
      </c>
      <c r="N882" s="15" t="s">
        <v>7732</v>
      </c>
    </row>
    <row r="883" spans="1:15" x14ac:dyDescent="0.3">
      <c r="A883" s="15" t="s">
        <v>5613</v>
      </c>
      <c r="B883" s="12" t="str">
        <f>IFERROR(INDEX(Mots!$B:$B,MATCH($A883,Mots!$A:$A,0)),"introuvable")</f>
        <v>le choc</v>
      </c>
      <c r="I883" s="15" t="s">
        <v>2767</v>
      </c>
      <c r="J883" s="15" t="s">
        <v>2851</v>
      </c>
    </row>
    <row r="884" spans="1:15" x14ac:dyDescent="0.3">
      <c r="A884" s="15" t="s">
        <v>5620</v>
      </c>
      <c r="B884" s="12" t="str">
        <f>IFERROR(INDEX(Mots!$B:$B,MATCH($A884,Mots!$A:$A,0)),"introuvable")</f>
        <v>le chocolat</v>
      </c>
      <c r="C884" s="15" t="s">
        <v>7747</v>
      </c>
      <c r="I884" s="15" t="s">
        <v>702</v>
      </c>
      <c r="N884" s="15" t="s">
        <v>7718</v>
      </c>
    </row>
    <row r="885" spans="1:15" x14ac:dyDescent="0.3">
      <c r="A885" s="15" t="s">
        <v>5628</v>
      </c>
      <c r="B885" s="12" t="str">
        <f>IFERROR(INDEX(Mots!$B:$B,MATCH($A885,Mots!$A:$A,0)),"introuvable")</f>
        <v>le cintre</v>
      </c>
      <c r="C885" s="15" t="s">
        <v>6578</v>
      </c>
      <c r="N885" s="15" t="s">
        <v>7723</v>
      </c>
    </row>
    <row r="886" spans="1:15" x14ac:dyDescent="0.3">
      <c r="A886" s="15" t="s">
        <v>5636</v>
      </c>
      <c r="B886" s="12" t="str">
        <f>IFERROR(INDEX(Mots!$B:$B,MATCH($A886,Mots!$A:$A,0)),"introuvable")</f>
        <v>le citron</v>
      </c>
      <c r="C886" s="15" t="s">
        <v>7747</v>
      </c>
      <c r="I886" s="15" t="s">
        <v>702</v>
      </c>
      <c r="N886" s="15" t="s">
        <v>7718</v>
      </c>
    </row>
    <row r="887" spans="1:15" x14ac:dyDescent="0.3">
      <c r="A887" s="15" t="s">
        <v>5644</v>
      </c>
      <c r="B887" s="12" t="str">
        <f>IFERROR(INDEX(Mots!$B:$B,MATCH($A887,Mots!$A:$A,0)),"introuvable")</f>
        <v>le clou</v>
      </c>
      <c r="C887" s="15" t="s">
        <v>4650</v>
      </c>
      <c r="N887" s="15" t="s">
        <v>7736</v>
      </c>
    </row>
    <row r="888" spans="1:15" x14ac:dyDescent="0.3">
      <c r="A888" s="15" t="s">
        <v>5651</v>
      </c>
      <c r="B888" s="12" t="str">
        <f>IFERROR(INDEX(Mots!$B:$B,MATCH($A888,Mots!$A:$A,0)),"introuvable")</f>
        <v>le commerce</v>
      </c>
      <c r="I888" s="15" t="s">
        <v>82</v>
      </c>
      <c r="N888" s="15" t="s">
        <v>7382</v>
      </c>
      <c r="O888" s="15" t="s">
        <v>7764</v>
      </c>
    </row>
    <row r="889" spans="1:15" x14ac:dyDescent="0.3">
      <c r="A889" s="15" t="s">
        <v>5660</v>
      </c>
      <c r="B889" s="12" t="str">
        <f>IFERROR(INDEX(Mots!$B:$B,MATCH($A889,Mots!$A:$A,0)),"introuvable")</f>
        <v>le comprimé</v>
      </c>
      <c r="I889" s="15" t="s">
        <v>5062</v>
      </c>
      <c r="N889" s="15" t="s">
        <v>7725</v>
      </c>
    </row>
    <row r="890" spans="1:15" x14ac:dyDescent="0.3">
      <c r="A890" s="15" t="s">
        <v>5672</v>
      </c>
      <c r="B890" s="12" t="str">
        <f>IFERROR(INDEX(Mots!$B:$B,MATCH($A890,Mots!$A:$A,0)),"introuvable")</f>
        <v>le cône</v>
      </c>
      <c r="I890" s="15" t="s">
        <v>3785</v>
      </c>
    </row>
    <row r="891" spans="1:15" x14ac:dyDescent="0.3">
      <c r="A891" s="15" t="s">
        <v>5680</v>
      </c>
      <c r="B891" s="12" t="str">
        <f>IFERROR(INDEX(Mots!$B:$B,MATCH($A891,Mots!$A:$A,0)),"introuvable")</f>
        <v>le copain</v>
      </c>
      <c r="I891" s="15" t="s">
        <v>702</v>
      </c>
    </row>
    <row r="892" spans="1:15" x14ac:dyDescent="0.3">
      <c r="A892" s="15" t="s">
        <v>5706</v>
      </c>
      <c r="B892" s="12" t="str">
        <f>IFERROR(INDEX(Mots!$B:$B,MATCH($A892,Mots!$A:$A,0)),"introuvable")</f>
        <v>le coussin</v>
      </c>
      <c r="I892" s="15" t="s">
        <v>3181</v>
      </c>
      <c r="J892" s="15" t="s">
        <v>817</v>
      </c>
    </row>
    <row r="893" spans="1:15" x14ac:dyDescent="0.3">
      <c r="A893" s="15" t="s">
        <v>5711</v>
      </c>
      <c r="B893" s="12" t="str">
        <f>IFERROR(INDEX(Mots!$B:$B,MATCH($A893,Mots!$A:$A,0)),"introuvable")</f>
        <v>le couvercle</v>
      </c>
      <c r="I893" s="15" t="s">
        <v>702</v>
      </c>
      <c r="N893" s="15" t="s">
        <v>7720</v>
      </c>
    </row>
    <row r="894" spans="1:15" x14ac:dyDescent="0.3">
      <c r="A894" s="15" t="s">
        <v>5719</v>
      </c>
      <c r="B894" s="12" t="str">
        <f>IFERROR(INDEX(Mots!$B:$B,MATCH($A894,Mots!$A:$A,0)),"introuvable")</f>
        <v>le crayon</v>
      </c>
      <c r="C894" s="15" t="s">
        <v>4650</v>
      </c>
    </row>
    <row r="895" spans="1:15" x14ac:dyDescent="0.3">
      <c r="A895" s="15" t="s">
        <v>5732</v>
      </c>
      <c r="B895" s="12" t="str">
        <f>IFERROR(INDEX(Mots!$B:$B,MATCH($A895,Mots!$A:$A,0)),"introuvable")</f>
        <v>le danger</v>
      </c>
      <c r="I895" s="15" t="s">
        <v>2767</v>
      </c>
    </row>
    <row r="896" spans="1:15" x14ac:dyDescent="0.3">
      <c r="A896" s="15" t="s">
        <v>5767</v>
      </c>
      <c r="B896" s="12" t="str">
        <f>IFERROR(INDEX(Mots!$B:$B,MATCH($A896,Mots!$A:$A,0)),"introuvable")</f>
        <v>le déjeuner</v>
      </c>
      <c r="I896" s="15" t="s">
        <v>702</v>
      </c>
      <c r="N896" s="15" t="s">
        <v>7718</v>
      </c>
    </row>
    <row r="897" spans="1:14" x14ac:dyDescent="0.3">
      <c r="A897" s="15" t="s">
        <v>5778</v>
      </c>
      <c r="B897" s="12" t="str">
        <f>IFERROR(INDEX(Mots!$B:$B,MATCH($A897,Mots!$A:$A,0)),"introuvable")</f>
        <v>le dessert</v>
      </c>
      <c r="C897" s="15" t="s">
        <v>7747</v>
      </c>
      <c r="I897" s="15" t="s">
        <v>702</v>
      </c>
      <c r="N897" s="15" t="s">
        <v>7718</v>
      </c>
    </row>
    <row r="898" spans="1:14" x14ac:dyDescent="0.3">
      <c r="A898" s="15" t="s">
        <v>5785</v>
      </c>
      <c r="B898" s="12" t="str">
        <f>IFERROR(INDEX(Mots!$B:$B,MATCH($A898,Mots!$A:$A,0)),"introuvable")</f>
        <v>le devoir</v>
      </c>
      <c r="I898" s="15" t="s">
        <v>34</v>
      </c>
      <c r="J898" s="15" t="s">
        <v>3785</v>
      </c>
      <c r="K898" s="15" t="s">
        <v>82</v>
      </c>
      <c r="L898" s="15" t="s">
        <v>73</v>
      </c>
    </row>
    <row r="899" spans="1:14" x14ac:dyDescent="0.3">
      <c r="A899" s="15" t="s">
        <v>5789</v>
      </c>
      <c r="B899" s="12" t="str">
        <f>IFERROR(INDEX(Mots!$B:$B,MATCH($A899,Mots!$A:$A,0)),"introuvable")</f>
        <v>le dîner</v>
      </c>
      <c r="I899" s="15" t="s">
        <v>702</v>
      </c>
      <c r="N899" s="15" t="s">
        <v>7718</v>
      </c>
    </row>
    <row r="900" spans="1:14" x14ac:dyDescent="0.3">
      <c r="A900" s="15" t="s">
        <v>5793</v>
      </c>
      <c r="B900" s="12" t="str">
        <f>IFERROR(INDEX(Mots!$B:$B,MATCH($A900,Mots!$A:$A,0)),"introuvable")</f>
        <v>le disque</v>
      </c>
      <c r="C900" s="15" t="s">
        <v>7747</v>
      </c>
      <c r="I900" s="15" t="s">
        <v>702</v>
      </c>
    </row>
    <row r="901" spans="1:14" x14ac:dyDescent="0.3">
      <c r="A901" s="15" t="s">
        <v>5797</v>
      </c>
      <c r="B901" s="12" t="str">
        <f>IFERROR(INDEX(Mots!$B:$B,MATCH($A901,Mots!$A:$A,0)),"introuvable")</f>
        <v>le document</v>
      </c>
      <c r="C901" s="15" t="s">
        <v>5797</v>
      </c>
    </row>
    <row r="902" spans="1:14" x14ac:dyDescent="0.3">
      <c r="A902" s="15" t="s">
        <v>5805</v>
      </c>
      <c r="B902" s="12" t="str">
        <f>IFERROR(INDEX(Mots!$B:$B,MATCH($A902,Mots!$A:$A,0)),"introuvable")</f>
        <v>le fer</v>
      </c>
      <c r="C902" s="15" t="s">
        <v>4650</v>
      </c>
    </row>
    <row r="903" spans="1:14" x14ac:dyDescent="0.3">
      <c r="A903" s="15" t="s">
        <v>5825</v>
      </c>
      <c r="B903" s="12" t="str">
        <f>IFERROR(INDEX(Mots!$B:$B,MATCH($A903,Mots!$A:$A,0)),"introuvable")</f>
        <v>le frein</v>
      </c>
      <c r="I903" s="15" t="s">
        <v>2851</v>
      </c>
    </row>
    <row r="904" spans="1:14" x14ac:dyDescent="0.3">
      <c r="A904" s="15" t="s">
        <v>5839</v>
      </c>
      <c r="B904" s="12" t="str">
        <f>IFERROR(INDEX(Mots!$B:$B,MATCH($A904,Mots!$A:$A,0)),"introuvable")</f>
        <v>le gel</v>
      </c>
      <c r="I904" s="15" t="s">
        <v>3785</v>
      </c>
    </row>
    <row r="905" spans="1:14" x14ac:dyDescent="0.3">
      <c r="A905" s="15" t="s">
        <v>5843</v>
      </c>
      <c r="B905" s="12" t="str">
        <f>IFERROR(INDEX(Mots!$B:$B,MATCH($A905,Mots!$A:$A,0)),"introuvable")</f>
        <v>le geste</v>
      </c>
      <c r="C905" s="15" t="s">
        <v>7756</v>
      </c>
      <c r="E905" s="15" t="s">
        <v>46</v>
      </c>
    </row>
    <row r="906" spans="1:14" x14ac:dyDescent="0.3">
      <c r="A906" s="15" t="s">
        <v>5849</v>
      </c>
      <c r="B906" s="12" t="str">
        <f>IFERROR(INDEX(Mots!$B:$B,MATCH($A906,Mots!$A:$A,0)),"introuvable")</f>
        <v>le goût</v>
      </c>
      <c r="N906" s="15" t="s">
        <v>7718</v>
      </c>
    </row>
    <row r="907" spans="1:14" x14ac:dyDescent="0.3">
      <c r="A907" s="15" t="s">
        <v>5872</v>
      </c>
      <c r="B907" s="12" t="str">
        <f>IFERROR(INDEX(Mots!$B:$B,MATCH($A907,Mots!$A:$A,0)),"introuvable")</f>
        <v>le jardin</v>
      </c>
      <c r="C907" s="15" t="s">
        <v>7747</v>
      </c>
      <c r="I907" s="15" t="s">
        <v>702</v>
      </c>
      <c r="J907" s="15" t="s">
        <v>34</v>
      </c>
      <c r="K907" s="15" t="s">
        <v>3785</v>
      </c>
    </row>
    <row r="908" spans="1:14" x14ac:dyDescent="0.3">
      <c r="A908" s="15" t="s">
        <v>5876</v>
      </c>
      <c r="B908" s="12" t="str">
        <f>IFERROR(INDEX(Mots!$B:$B,MATCH($A908,Mots!$A:$A,0)),"introuvable")</f>
        <v>le jardinage</v>
      </c>
      <c r="C908" s="15" t="s">
        <v>2816</v>
      </c>
      <c r="I908" s="15" t="s">
        <v>3785</v>
      </c>
      <c r="N908" s="15" t="s">
        <v>3440</v>
      </c>
    </row>
    <row r="909" spans="1:14" x14ac:dyDescent="0.3">
      <c r="A909" s="15" t="s">
        <v>5887</v>
      </c>
      <c r="B909" s="12" t="str">
        <f>IFERROR(INDEX(Mots!$B:$B,MATCH($A909,Mots!$A:$A,0)),"introuvable")</f>
        <v>le jouet</v>
      </c>
      <c r="C909" s="15" t="s">
        <v>6837</v>
      </c>
    </row>
    <row r="910" spans="1:14" x14ac:dyDescent="0.3">
      <c r="A910" s="15" t="s">
        <v>5891</v>
      </c>
      <c r="B910" s="12" t="str">
        <f>IFERROR(INDEX(Mots!$B:$B,MATCH($A910,Mots!$A:$A,0)),"introuvable")</f>
        <v>le jus</v>
      </c>
      <c r="C910" s="15" t="s">
        <v>7747</v>
      </c>
      <c r="I910" s="15" t="s">
        <v>702</v>
      </c>
    </row>
    <row r="911" spans="1:14" x14ac:dyDescent="0.3">
      <c r="A911" s="15" t="s">
        <v>5899</v>
      </c>
      <c r="B911" s="12" t="str">
        <f>IFERROR(INDEX(Mots!$B:$B,MATCH($A911,Mots!$A:$A,0)),"introuvable")</f>
        <v>le lac</v>
      </c>
      <c r="I911" s="15" t="s">
        <v>3785</v>
      </c>
    </row>
    <row r="912" spans="1:14" x14ac:dyDescent="0.3">
      <c r="A912" s="15" t="s">
        <v>5903</v>
      </c>
      <c r="B912" s="12" t="str">
        <f>IFERROR(INDEX(Mots!$B:$B,MATCH($A912,Mots!$A:$A,0)),"introuvable")</f>
        <v>les produits laitiers</v>
      </c>
      <c r="C912" s="15" t="s">
        <v>7747</v>
      </c>
      <c r="I912" s="15" t="s">
        <v>702</v>
      </c>
      <c r="N912" s="15" t="s">
        <v>7718</v>
      </c>
    </row>
    <row r="913" spans="1:15" x14ac:dyDescent="0.3">
      <c r="A913" s="15" t="s">
        <v>5918</v>
      </c>
      <c r="B913" s="12" t="str">
        <f>IFERROR(INDEX(Mots!$B:$B,MATCH($A913,Mots!$A:$A,0)),"introuvable")</f>
        <v>le livre</v>
      </c>
      <c r="C913" s="15" t="s">
        <v>6837</v>
      </c>
    </row>
    <row r="914" spans="1:15" x14ac:dyDescent="0.3">
      <c r="A914" s="15" t="s">
        <v>5926</v>
      </c>
      <c r="B914" s="12" t="str">
        <f>IFERROR(INDEX(Mots!$B:$B,MATCH($A914,Mots!$A:$A,0)),"introuvable")</f>
        <v>le logement</v>
      </c>
      <c r="I914" s="15" t="s">
        <v>34</v>
      </c>
    </row>
    <row r="915" spans="1:15" x14ac:dyDescent="0.3">
      <c r="A915" s="15" t="s">
        <v>5929</v>
      </c>
      <c r="B915" s="12" t="str">
        <f>IFERROR(INDEX(Mots!$B:$B,MATCH($A915,Mots!$A:$A,0)),"introuvable")</f>
        <v>le maître</v>
      </c>
      <c r="I915" s="15" t="s">
        <v>82</v>
      </c>
    </row>
    <row r="916" spans="1:15" x14ac:dyDescent="0.3">
      <c r="A916" s="15" t="s">
        <v>5937</v>
      </c>
      <c r="B916" s="12" t="str">
        <f>IFERROR(INDEX(Mots!$B:$B,MATCH($A916,Mots!$A:$A,0)),"introuvable")</f>
        <v>le manteau</v>
      </c>
      <c r="C916" s="15" t="s">
        <v>6578</v>
      </c>
      <c r="N916" s="15" t="s">
        <v>7723</v>
      </c>
    </row>
    <row r="917" spans="1:15" x14ac:dyDescent="0.3">
      <c r="A917" s="15" t="s">
        <v>5941</v>
      </c>
      <c r="B917" s="12" t="str">
        <f>IFERROR(INDEX(Mots!$B:$B,MATCH($A917,Mots!$A:$A,0)),"introuvable")</f>
        <v>le marteau</v>
      </c>
      <c r="C917" s="15" t="s">
        <v>6890</v>
      </c>
      <c r="I917" s="15" t="s">
        <v>3785</v>
      </c>
      <c r="N917" s="15" t="s">
        <v>7736</v>
      </c>
    </row>
    <row r="918" spans="1:15" x14ac:dyDescent="0.3">
      <c r="A918" s="15" t="s">
        <v>5957</v>
      </c>
      <c r="B918" s="12" t="str">
        <f>IFERROR(INDEX(Mots!$B:$B,MATCH($A918,Mots!$A:$A,0)),"introuvable")</f>
        <v>le médicament</v>
      </c>
      <c r="I918" s="15" t="s">
        <v>5062</v>
      </c>
      <c r="N918" s="15" t="s">
        <v>7725</v>
      </c>
    </row>
    <row r="919" spans="1:15" x14ac:dyDescent="0.3">
      <c r="A919" s="15" t="s">
        <v>5976</v>
      </c>
      <c r="B919" s="12" t="str">
        <f>IFERROR(INDEX(Mots!$B:$B,MATCH($A919,Mots!$A:$A,0)),"introuvable")</f>
        <v>le métal</v>
      </c>
      <c r="C919" s="15" t="s">
        <v>4650</v>
      </c>
    </row>
    <row r="920" spans="1:15" x14ac:dyDescent="0.3">
      <c r="A920" s="15" t="s">
        <v>5980</v>
      </c>
      <c r="B920" s="12" t="str">
        <f>IFERROR(INDEX(Mots!$B:$B,MATCH($A920,Mots!$A:$A,0)),"introuvable")</f>
        <v>le miel</v>
      </c>
      <c r="C920" s="15" t="s">
        <v>7747</v>
      </c>
      <c r="I920" s="15" t="s">
        <v>702</v>
      </c>
      <c r="N920" s="15" t="s">
        <v>7718</v>
      </c>
    </row>
    <row r="921" spans="1:15" x14ac:dyDescent="0.3">
      <c r="A921" s="15" t="s">
        <v>5989</v>
      </c>
      <c r="B921" s="12" t="str">
        <f>IFERROR(INDEX(Mots!$B:$B,MATCH($A921,Mots!$A:$A,0)),"introuvable")</f>
        <v>le moment</v>
      </c>
      <c r="G921" s="15" t="s">
        <v>7806</v>
      </c>
    </row>
    <row r="922" spans="1:15" x14ac:dyDescent="0.3">
      <c r="A922" s="15" t="s">
        <v>6002</v>
      </c>
      <c r="B922" s="12" t="str">
        <f>IFERROR(INDEX(Mots!$B:$B,MATCH($A922,Mots!$A:$A,0)),"introuvable")</f>
        <v>le moteur</v>
      </c>
      <c r="C922" s="15" t="s">
        <v>7740</v>
      </c>
      <c r="I922" s="15" t="s">
        <v>2851</v>
      </c>
      <c r="N922" s="15" t="s">
        <v>7727</v>
      </c>
      <c r="O922" s="15" t="s">
        <v>7759</v>
      </c>
    </row>
    <row r="923" spans="1:15" x14ac:dyDescent="0.3">
      <c r="A923" s="15" t="s">
        <v>6010</v>
      </c>
      <c r="B923" s="12" t="str">
        <f>IFERROR(INDEX(Mots!$B:$B,MATCH($A923,Mots!$A:$A,0)),"introuvable")</f>
        <v>le mouvement</v>
      </c>
      <c r="I923" s="15" t="s">
        <v>3785</v>
      </c>
      <c r="N923" s="15" t="s">
        <v>7727</v>
      </c>
    </row>
    <row r="924" spans="1:15" x14ac:dyDescent="0.3">
      <c r="A924" s="15" t="s">
        <v>6022</v>
      </c>
      <c r="B924" s="12" t="str">
        <f>IFERROR(INDEX(Mots!$B:$B,MATCH($A924,Mots!$A:$A,0)),"introuvable")</f>
        <v>le niveau</v>
      </c>
      <c r="C924" s="15" t="s">
        <v>5293</v>
      </c>
    </row>
    <row r="925" spans="1:15" x14ac:dyDescent="0.3">
      <c r="A925" s="15" t="s">
        <v>6029</v>
      </c>
      <c r="B925" s="12" t="str">
        <f>IFERROR(INDEX(Mots!$B:$B,MATCH($A925,Mots!$A:$A,0)),"introuvable")</f>
        <v>le nombre</v>
      </c>
      <c r="I925" s="15" t="s">
        <v>73</v>
      </c>
      <c r="N925" s="15" t="s">
        <v>7033</v>
      </c>
    </row>
    <row r="926" spans="1:15" x14ac:dyDescent="0.3">
      <c r="A926" s="15" t="s">
        <v>6033</v>
      </c>
      <c r="B926" s="12" t="str">
        <f>IFERROR(INDEX(Mots!$B:$B,MATCH($A926,Mots!$A:$A,0)),"introuvable")</f>
        <v>le noyau</v>
      </c>
      <c r="C926" s="15" t="s">
        <v>7747</v>
      </c>
      <c r="I926" s="15" t="s">
        <v>702</v>
      </c>
    </row>
    <row r="927" spans="1:15" x14ac:dyDescent="0.3">
      <c r="A927" s="15" t="s">
        <v>6041</v>
      </c>
      <c r="B927" s="12" t="str">
        <f>IFERROR(INDEX(Mots!$B:$B,MATCH($A927,Mots!$A:$A,0)),"introuvable")</f>
        <v>le nuage</v>
      </c>
      <c r="I927" s="15" t="s">
        <v>3785</v>
      </c>
    </row>
    <row r="928" spans="1:15" x14ac:dyDescent="0.3">
      <c r="A928" s="15" t="s">
        <v>6053</v>
      </c>
      <c r="B928" s="12" t="str">
        <f>IFERROR(INDEX(Mots!$B:$B,MATCH($A928,Mots!$A:$A,0)),"introuvable")</f>
        <v>le panier</v>
      </c>
      <c r="C928" s="15" t="s">
        <v>7747</v>
      </c>
      <c r="I928" s="15" t="s">
        <v>702</v>
      </c>
      <c r="J928" s="15" t="s">
        <v>34</v>
      </c>
    </row>
    <row r="929" spans="1:26" x14ac:dyDescent="0.3">
      <c r="A929" s="15" t="s">
        <v>6065</v>
      </c>
      <c r="B929" s="12" t="str">
        <f>IFERROR(INDEX(Mots!$B:$B,MATCH($A929,Mots!$A:$A,0)),"introuvable")</f>
        <v>le pansement</v>
      </c>
      <c r="I929" s="15" t="s">
        <v>5062</v>
      </c>
      <c r="N929" s="15" t="s">
        <v>7725</v>
      </c>
    </row>
    <row r="930" spans="1:26" x14ac:dyDescent="0.3">
      <c r="A930" s="15" t="s">
        <v>6081</v>
      </c>
      <c r="B930" s="12" t="str">
        <f>IFERROR(INDEX(Mots!$B:$B,MATCH($A930,Mots!$A:$A,0)),"introuvable")</f>
        <v>le parapluie</v>
      </c>
      <c r="C930" s="15" t="s">
        <v>6837</v>
      </c>
      <c r="I930" s="15" t="s">
        <v>3785</v>
      </c>
      <c r="N930" s="15" t="s">
        <v>3440</v>
      </c>
    </row>
    <row r="931" spans="1:26" x14ac:dyDescent="0.3">
      <c r="A931" s="15" t="s">
        <v>6089</v>
      </c>
      <c r="B931" s="12" t="str">
        <f>IFERROR(INDEX(Mots!$B:$B,MATCH($A931,Mots!$A:$A,0)),"introuvable")</f>
        <v>le parking</v>
      </c>
      <c r="I931" s="15" t="s">
        <v>82</v>
      </c>
      <c r="J931" s="15" t="s">
        <v>2851</v>
      </c>
    </row>
    <row r="932" spans="1:26" x14ac:dyDescent="0.3">
      <c r="A932" s="15" t="s">
        <v>6097</v>
      </c>
      <c r="B932" s="12" t="str">
        <f>IFERROR(INDEX(Mots!$B:$B,MATCH($A932,Mots!$A:$A,0)),"introuvable")</f>
        <v>partager</v>
      </c>
      <c r="N932" s="15" t="s">
        <v>7764</v>
      </c>
    </row>
    <row r="933" spans="1:26" x14ac:dyDescent="0.3">
      <c r="A933" s="15" t="s">
        <v>6110</v>
      </c>
      <c r="B933" s="12" t="str">
        <f>IFERROR(INDEX(Mots!$B:$B,MATCH($A933,Mots!$A:$A,0)),"introuvable")</f>
        <v>le pays</v>
      </c>
      <c r="N933" s="15" t="s">
        <v>7723</v>
      </c>
    </row>
    <row r="934" spans="1:26" x14ac:dyDescent="0.3">
      <c r="A934" s="15" t="s">
        <v>6118</v>
      </c>
      <c r="B934" s="12" t="str">
        <f>IFERROR(INDEX(Mots!$B:$B,MATCH($A934,Mots!$A:$A,0)),"introuvable")</f>
        <v>le paysage</v>
      </c>
      <c r="I934" s="15" t="s">
        <v>3785</v>
      </c>
    </row>
    <row r="935" spans="1:26" x14ac:dyDescent="0.3">
      <c r="A935" s="15" t="s">
        <v>6122</v>
      </c>
      <c r="B935" s="12" t="str">
        <f>IFERROR(INDEX(Mots!$B:$B,MATCH($A935,Mots!$A:$A,0)),"introuvable")</f>
        <v>le permis</v>
      </c>
      <c r="I935" s="15" t="s">
        <v>2851</v>
      </c>
      <c r="N935" s="15" t="s">
        <v>7727</v>
      </c>
    </row>
    <row r="936" spans="1:26" x14ac:dyDescent="0.3">
      <c r="A936" s="15" t="s">
        <v>6129</v>
      </c>
      <c r="B936" s="12" t="str">
        <f>IFERROR(INDEX(Mots!$B:$B,MATCH($A936,Mots!$A:$A,0)),"introuvable")</f>
        <v>le pharmacien</v>
      </c>
      <c r="W936" s="15" t="s">
        <v>5062</v>
      </c>
    </row>
    <row r="937" spans="1:26" x14ac:dyDescent="0.3">
      <c r="A937" s="15" t="s">
        <v>6133</v>
      </c>
      <c r="B937" s="12" t="str">
        <f>IFERROR(INDEX(Mots!$B:$B,MATCH($A937,Mots!$A:$A,0)),"introuvable")</f>
        <v>le piment</v>
      </c>
      <c r="C937" s="15" t="s">
        <v>7747</v>
      </c>
      <c r="I937" s="15" t="s">
        <v>702</v>
      </c>
    </row>
    <row r="938" spans="1:26" x14ac:dyDescent="0.3">
      <c r="A938" s="15" t="s">
        <v>6140</v>
      </c>
      <c r="B938" s="12" t="str">
        <f>IFERROR(INDEX(Mots!$B:$B,MATCH($A938,Mots!$A:$A,0)),"introuvable")</f>
        <v>le pinceau</v>
      </c>
      <c r="C938" s="15" t="s">
        <v>6837</v>
      </c>
    </row>
    <row r="939" spans="1:26" x14ac:dyDescent="0.3">
      <c r="A939" s="15" t="s">
        <v>6148</v>
      </c>
      <c r="B939" s="12" t="str">
        <f>IFERROR(INDEX(Mots!$B:$B,MATCH($A939,Mots!$A:$A,0)),"introuvable")</f>
        <v>le pique-nique</v>
      </c>
      <c r="I939" s="15" t="s">
        <v>702</v>
      </c>
      <c r="J939" s="15" t="s">
        <v>3785</v>
      </c>
      <c r="N939" s="15" t="s">
        <v>7718</v>
      </c>
    </row>
    <row r="940" spans="1:26" x14ac:dyDescent="0.3">
      <c r="A940" s="15" t="s">
        <v>6156</v>
      </c>
      <c r="B940" s="12" t="str">
        <f>IFERROR(INDEX(Mots!$B:$B,MATCH($A940,Mots!$A:$A,0)),"introuvable")</f>
        <v>le plafond</v>
      </c>
      <c r="I940" s="15" t="s">
        <v>34</v>
      </c>
    </row>
    <row r="941" spans="1:26" x14ac:dyDescent="0.3">
      <c r="A941" s="15" t="s">
        <v>6162</v>
      </c>
      <c r="B941" s="12" t="str">
        <f>IFERROR(INDEX(Mots!$B:$B,MATCH($A941,Mots!$A:$A,0)),"introuvable")</f>
        <v>le plaisir</v>
      </c>
      <c r="Z941" s="15" t="s">
        <v>7795</v>
      </c>
    </row>
    <row r="942" spans="1:26" x14ac:dyDescent="0.3">
      <c r="A942" s="15" t="s">
        <v>6166</v>
      </c>
      <c r="B942" s="12" t="str">
        <f>IFERROR(INDEX(Mots!$B:$B,MATCH($A942,Mots!$A:$A,0)),"introuvable")</f>
        <v>le plancher</v>
      </c>
      <c r="C942" s="15" t="s">
        <v>4650</v>
      </c>
      <c r="I942" s="15" t="s">
        <v>34</v>
      </c>
    </row>
    <row r="943" spans="1:26" x14ac:dyDescent="0.3">
      <c r="A943" s="15" t="s">
        <v>6174</v>
      </c>
      <c r="B943" s="12" t="str">
        <f>IFERROR(INDEX(Mots!$B:$B,MATCH($A943,Mots!$A:$A,0)),"introuvable")</f>
        <v>le plastique</v>
      </c>
      <c r="C943" s="15" t="s">
        <v>4650</v>
      </c>
    </row>
    <row r="944" spans="1:26" x14ac:dyDescent="0.3">
      <c r="A944" s="15" t="s">
        <v>6178</v>
      </c>
      <c r="B944" s="12" t="str">
        <f>IFERROR(INDEX(Mots!$B:$B,MATCH($A944,Mots!$A:$A,0)),"introuvable")</f>
        <v>le plat</v>
      </c>
      <c r="C944" s="15" t="s">
        <v>7747</v>
      </c>
      <c r="I944" s="15" t="s">
        <v>702</v>
      </c>
      <c r="N944" s="15" t="s">
        <v>7720</v>
      </c>
    </row>
    <row r="945" spans="1:14" x14ac:dyDescent="0.3">
      <c r="A945" s="15" t="s">
        <v>6192</v>
      </c>
      <c r="B945" s="12" t="str">
        <f>IFERROR(INDEX(Mots!$B:$B,MATCH($A945,Mots!$A:$A,0)),"introuvable")</f>
        <v>le portefeuille</v>
      </c>
      <c r="C945" s="15" t="s">
        <v>828</v>
      </c>
      <c r="I945" s="15" t="s">
        <v>34</v>
      </c>
    </row>
    <row r="946" spans="1:14" x14ac:dyDescent="0.3">
      <c r="A946" s="15" t="s">
        <v>6196</v>
      </c>
      <c r="B946" s="12" t="str">
        <f>IFERROR(INDEX(Mots!$B:$B,MATCH($A946,Mots!$A:$A,0)),"introuvable")</f>
        <v>le porte-manteau</v>
      </c>
      <c r="C946" s="15" t="s">
        <v>6837</v>
      </c>
      <c r="I946" s="15" t="s">
        <v>34</v>
      </c>
      <c r="N946" s="15" t="s">
        <v>7723</v>
      </c>
    </row>
    <row r="947" spans="1:14" x14ac:dyDescent="0.3">
      <c r="A947" s="15" t="s">
        <v>6216</v>
      </c>
      <c r="B947" s="12" t="str">
        <f>IFERROR(INDEX(Mots!$B:$B,MATCH($A947,Mots!$A:$A,0)),"introuvable")</f>
        <v>le quartier</v>
      </c>
      <c r="I947" s="15" t="s">
        <v>82</v>
      </c>
    </row>
    <row r="948" spans="1:14" x14ac:dyDescent="0.3">
      <c r="A948" s="15" t="s">
        <v>6222</v>
      </c>
      <c r="B948" s="12" t="str">
        <f>IFERROR(INDEX(Mots!$B:$B,MATCH($A948,Mots!$A:$A,0)),"introuvable")</f>
        <v>le récipient</v>
      </c>
      <c r="C948" s="15" t="s">
        <v>6222</v>
      </c>
      <c r="I948" s="15" t="s">
        <v>702</v>
      </c>
    </row>
    <row r="949" spans="1:14" x14ac:dyDescent="0.3">
      <c r="A949" s="15" t="s">
        <v>6239</v>
      </c>
      <c r="B949" s="12" t="str">
        <f>IFERROR(INDEX(Mots!$B:$B,MATCH($A949,Mots!$A:$A,0)),"introuvable")</f>
        <v>le reflet</v>
      </c>
      <c r="I949" s="15" t="s">
        <v>2767</v>
      </c>
    </row>
    <row r="950" spans="1:14" x14ac:dyDescent="0.3">
      <c r="A950" s="15" t="s">
        <v>6255</v>
      </c>
      <c r="B950" s="12" t="str">
        <f>IFERROR(INDEX(Mots!$B:$B,MATCH($A950,Mots!$A:$A,0)),"introuvable")</f>
        <v>le remède</v>
      </c>
      <c r="I950" s="15" t="s">
        <v>5062</v>
      </c>
      <c r="N950" s="15" t="s">
        <v>7725</v>
      </c>
    </row>
    <row r="951" spans="1:14" x14ac:dyDescent="0.3">
      <c r="A951" s="15" t="s">
        <v>6258</v>
      </c>
      <c r="B951" s="12" t="str">
        <f>IFERROR(INDEX(Mots!$B:$B,MATCH($A951,Mots!$A:$A,0)),"introuvable")</f>
        <v>le repas</v>
      </c>
      <c r="C951" s="15" t="s">
        <v>7747</v>
      </c>
      <c r="I951" s="15" t="s">
        <v>702</v>
      </c>
      <c r="N951" s="15" t="s">
        <v>7718</v>
      </c>
    </row>
    <row r="952" spans="1:14" x14ac:dyDescent="0.3">
      <c r="A952" s="15" t="s">
        <v>6262</v>
      </c>
      <c r="B952" s="12" t="str">
        <f>IFERROR(INDEX(Mots!$B:$B,MATCH($A952,Mots!$A:$A,0)),"introuvable")</f>
        <v>le repos</v>
      </c>
      <c r="G952" s="15" t="s">
        <v>7806</v>
      </c>
    </row>
    <row r="953" spans="1:14" x14ac:dyDescent="0.3">
      <c r="A953" s="15" t="s">
        <v>6279</v>
      </c>
      <c r="B953" s="12" t="str">
        <f>IFERROR(INDEX(Mots!$B:$B,MATCH($A953,Mots!$A:$A,0)),"introuvable")</f>
        <v>le rhume</v>
      </c>
      <c r="I953" s="15" t="s">
        <v>5062</v>
      </c>
    </row>
    <row r="954" spans="1:14" x14ac:dyDescent="0.3">
      <c r="A954" s="15" t="s">
        <v>6283</v>
      </c>
      <c r="B954" s="12" t="str">
        <f>IFERROR(INDEX(Mots!$B:$B,MATCH($A954,Mots!$A:$A,0)),"introuvable")</f>
        <v>le rideau</v>
      </c>
      <c r="C954" s="15" t="s">
        <v>4650</v>
      </c>
      <c r="I954" s="15" t="s">
        <v>3181</v>
      </c>
      <c r="N954" s="15" t="s">
        <v>7734</v>
      </c>
    </row>
    <row r="955" spans="1:14" x14ac:dyDescent="0.3">
      <c r="A955" s="15" t="s">
        <v>6291</v>
      </c>
      <c r="B955" s="12" t="str">
        <f>IFERROR(INDEX(Mots!$B:$B,MATCH($A955,Mots!$A:$A,0)),"introuvable")</f>
        <v>le ruban</v>
      </c>
      <c r="C955" s="15" t="s">
        <v>4650</v>
      </c>
      <c r="N955" s="15" t="s">
        <v>7723</v>
      </c>
    </row>
    <row r="956" spans="1:14" x14ac:dyDescent="0.3">
      <c r="A956" s="15" t="s">
        <v>6295</v>
      </c>
      <c r="B956" s="12" t="str">
        <f>IFERROR(INDEX(Mots!$B:$B,MATCH($A956,Mots!$A:$A,0)),"introuvable")</f>
        <v>le rythme</v>
      </c>
      <c r="I956" s="15" t="s">
        <v>7716</v>
      </c>
      <c r="N956" s="15" t="s">
        <v>7730</v>
      </c>
    </row>
    <row r="957" spans="1:14" x14ac:dyDescent="0.3">
      <c r="A957" s="15" t="s">
        <v>6312</v>
      </c>
      <c r="B957" s="12" t="str">
        <f>IFERROR(INDEX(Mots!$B:$B,MATCH($A957,Mots!$A:$A,0)),"introuvable")</f>
        <v>le sac</v>
      </c>
      <c r="C957" s="15" t="s">
        <v>6837</v>
      </c>
      <c r="I957" s="15" t="s">
        <v>34</v>
      </c>
    </row>
    <row r="958" spans="1:14" x14ac:dyDescent="0.3">
      <c r="A958" s="15" t="s">
        <v>6320</v>
      </c>
      <c r="B958" s="12" t="str">
        <f>IFERROR(INDEX(Mots!$B:$B,MATCH($A958,Mots!$A:$A,0)),"introuvable")</f>
        <v>le sac à dos</v>
      </c>
      <c r="C958" s="15" t="s">
        <v>7756</v>
      </c>
      <c r="I958" s="15" t="s">
        <v>34</v>
      </c>
    </row>
    <row r="959" spans="1:14" x14ac:dyDescent="0.3">
      <c r="A959" s="15" t="s">
        <v>6328</v>
      </c>
      <c r="B959" s="12" t="str">
        <f>IFERROR(INDEX(Mots!$B:$B,MATCH($A959,Mots!$A:$A,0)),"introuvable")</f>
        <v>le seau</v>
      </c>
      <c r="C959" s="15" t="s">
        <v>6222</v>
      </c>
      <c r="I959" s="15" t="s">
        <v>702</v>
      </c>
      <c r="J959" s="15" t="s">
        <v>34</v>
      </c>
    </row>
    <row r="960" spans="1:14" x14ac:dyDescent="0.3">
      <c r="A960" s="15" t="s">
        <v>6336</v>
      </c>
      <c r="B960" s="12" t="str">
        <f>IFERROR(INDEX(Mots!$B:$B,MATCH($A960,Mots!$A:$A,0)),"introuvable")</f>
        <v>le secours</v>
      </c>
      <c r="I960" s="15" t="s">
        <v>34</v>
      </c>
    </row>
    <row r="961" spans="1:15" x14ac:dyDescent="0.3">
      <c r="A961" s="15" t="s">
        <v>6349</v>
      </c>
      <c r="B961" s="12" t="str">
        <f>IFERROR(INDEX(Mots!$B:$B,MATCH($A961,Mots!$A:$A,0)),"introuvable")</f>
        <v>le sentier</v>
      </c>
      <c r="I961" s="15" t="s">
        <v>3785</v>
      </c>
      <c r="N961" s="15" t="s">
        <v>7732</v>
      </c>
    </row>
    <row r="962" spans="1:15" x14ac:dyDescent="0.3">
      <c r="A962" s="15" t="s">
        <v>6362</v>
      </c>
      <c r="B962" s="12" t="str">
        <f>IFERROR(INDEX(Mots!$B:$B,MATCH($A962,Mots!$A:$A,0)),"introuvable")</f>
        <v>le signe</v>
      </c>
      <c r="N962" s="15" t="s">
        <v>7759</v>
      </c>
    </row>
    <row r="963" spans="1:15" x14ac:dyDescent="0.3">
      <c r="A963" s="15" t="s">
        <v>6374</v>
      </c>
      <c r="B963" s="12" t="str">
        <f>IFERROR(INDEX(Mots!$B:$B,MATCH($A963,Mots!$A:$A,0)),"introuvable")</f>
        <v>soigner</v>
      </c>
      <c r="I963" s="15" t="s">
        <v>5062</v>
      </c>
      <c r="N963" s="15" t="s">
        <v>7725</v>
      </c>
      <c r="O963" s="15" t="s">
        <v>7764</v>
      </c>
    </row>
    <row r="964" spans="1:15" x14ac:dyDescent="0.3">
      <c r="A964" s="15" t="s">
        <v>6379</v>
      </c>
      <c r="B964" s="12" t="str">
        <f>IFERROR(INDEX(Mots!$B:$B,MATCH($A964,Mots!$A:$A,0)),"introuvable")</f>
        <v>le sol</v>
      </c>
      <c r="I964" s="15" t="s">
        <v>82</v>
      </c>
      <c r="N964" s="15" t="s">
        <v>7732</v>
      </c>
    </row>
    <row r="965" spans="1:15" x14ac:dyDescent="0.3">
      <c r="A965" s="15" t="s">
        <v>6383</v>
      </c>
      <c r="B965" s="12" t="str">
        <f>IFERROR(INDEX(Mots!$B:$B,MATCH($A965,Mots!$A:$A,0)),"introuvable")</f>
        <v>le sommeil</v>
      </c>
      <c r="I965" s="15" t="s">
        <v>3181</v>
      </c>
      <c r="N965" s="15" t="s">
        <v>7734</v>
      </c>
    </row>
    <row r="966" spans="1:15" x14ac:dyDescent="0.3">
      <c r="A966" s="15" t="s">
        <v>6391</v>
      </c>
      <c r="B966" s="12" t="str">
        <f>IFERROR(INDEX(Mots!$B:$B,MATCH($A966,Mots!$A:$A,0)),"introuvable")</f>
        <v>le souvenir</v>
      </c>
      <c r="G966" s="15" t="s">
        <v>7806</v>
      </c>
    </row>
    <row r="967" spans="1:15" x14ac:dyDescent="0.3">
      <c r="A967" s="15" t="s">
        <v>6410</v>
      </c>
      <c r="B967" s="12" t="str">
        <f>IFERROR(INDEX(Mots!$B:$B,MATCH($A967,Mots!$A:$A,0)),"introuvable")</f>
        <v>le stylo</v>
      </c>
      <c r="C967" s="15" t="s">
        <v>6837</v>
      </c>
    </row>
    <row r="968" spans="1:15" x14ac:dyDescent="0.3">
      <c r="A968" s="15" t="s">
        <v>6418</v>
      </c>
      <c r="B968" s="12" t="str">
        <f>IFERROR(INDEX(Mots!$B:$B,MATCH($A968,Mots!$A:$A,0)),"introuvable")</f>
        <v>le tableau</v>
      </c>
      <c r="I968" s="15" t="s">
        <v>702</v>
      </c>
    </row>
    <row r="969" spans="1:15" x14ac:dyDescent="0.3">
      <c r="A969" s="15" t="s">
        <v>6422</v>
      </c>
      <c r="B969" s="12" t="str">
        <f>IFERROR(INDEX(Mots!$B:$B,MATCH($A969,Mots!$A:$A,0)),"introuvable")</f>
        <v>le tablier</v>
      </c>
      <c r="C969" s="15" t="s">
        <v>6578</v>
      </c>
      <c r="N969" s="15" t="s">
        <v>7723</v>
      </c>
    </row>
    <row r="970" spans="1:15" x14ac:dyDescent="0.3">
      <c r="A970" s="15" t="s">
        <v>6438</v>
      </c>
      <c r="B970" s="12" t="str">
        <f>IFERROR(INDEX(Mots!$B:$B,MATCH($A970,Mots!$A:$A,0)),"introuvable")</f>
        <v>le terrain</v>
      </c>
      <c r="C970" s="15" t="s">
        <v>7747</v>
      </c>
      <c r="I970" s="15" t="s">
        <v>702</v>
      </c>
    </row>
    <row r="971" spans="1:15" x14ac:dyDescent="0.3">
      <c r="A971" s="15" t="s">
        <v>6446</v>
      </c>
      <c r="B971" s="12" t="str">
        <f>IFERROR(INDEX(Mots!$B:$B,MATCH($A971,Mots!$A:$A,0)),"introuvable")</f>
        <v>le territoire</v>
      </c>
      <c r="I971" s="15" t="s">
        <v>3785</v>
      </c>
    </row>
    <row r="972" spans="1:15" x14ac:dyDescent="0.3">
      <c r="A972" s="15" t="s">
        <v>6450</v>
      </c>
      <c r="B972" s="12" t="str">
        <f>IFERROR(INDEX(Mots!$B:$B,MATCH($A972,Mots!$A:$A,0)),"introuvable")</f>
        <v>le texte</v>
      </c>
      <c r="N972" s="15" t="s">
        <v>7759</v>
      </c>
    </row>
    <row r="973" spans="1:15" x14ac:dyDescent="0.3">
      <c r="A973" s="15" t="s">
        <v>6457</v>
      </c>
      <c r="B973" s="12" t="str">
        <f>IFERROR(INDEX(Mots!$B:$B,MATCH($A973,Mots!$A:$A,0)),"introuvable")</f>
        <v>le thermomètre</v>
      </c>
      <c r="C973" s="15" t="s">
        <v>6837</v>
      </c>
      <c r="G973" s="15" t="s">
        <v>7771</v>
      </c>
    </row>
    <row r="974" spans="1:15" x14ac:dyDescent="0.3">
      <c r="A974" s="15" t="s">
        <v>6473</v>
      </c>
      <c r="B974" s="12" t="str">
        <f>IFERROR(INDEX(Mots!$B:$B,MATCH($A974,Mots!$A:$A,0)),"introuvable")</f>
        <v>le tiroir</v>
      </c>
      <c r="C974" s="15" t="s">
        <v>828</v>
      </c>
      <c r="I974" s="15" t="s">
        <v>34</v>
      </c>
    </row>
    <row r="975" spans="1:15" x14ac:dyDescent="0.3">
      <c r="A975" s="15" t="s">
        <v>6481</v>
      </c>
      <c r="B975" s="12" t="str">
        <f>IFERROR(INDEX(Mots!$B:$B,MATCH($A975,Mots!$A:$A,0)),"introuvable")</f>
        <v>le tissu</v>
      </c>
      <c r="C975" s="15" t="s">
        <v>6578</v>
      </c>
      <c r="N975" s="15" t="s">
        <v>7723</v>
      </c>
    </row>
    <row r="976" spans="1:15" x14ac:dyDescent="0.3">
      <c r="A976" s="15" t="s">
        <v>6485</v>
      </c>
      <c r="B976" s="12" t="str">
        <f>IFERROR(INDEX(Mots!$B:$B,MATCH($A976,Mots!$A:$A,0)),"introuvable")</f>
        <v>le tonneau</v>
      </c>
      <c r="C976" s="15" t="s">
        <v>4650</v>
      </c>
    </row>
    <row r="977" spans="1:27" x14ac:dyDescent="0.3">
      <c r="A977" s="15" t="s">
        <v>6497</v>
      </c>
      <c r="B977" s="12" t="str">
        <f>IFERROR(INDEX(Mots!$B:$B,MATCH($A977,Mots!$A:$A,0)),"introuvable")</f>
        <v>le tournevis</v>
      </c>
      <c r="C977" s="15" t="s">
        <v>6890</v>
      </c>
      <c r="N977" s="15" t="s">
        <v>7736</v>
      </c>
    </row>
    <row r="978" spans="1:27" x14ac:dyDescent="0.3">
      <c r="A978" s="15" t="s">
        <v>73</v>
      </c>
      <c r="B978" s="12" t="str">
        <f>IFERROR(INDEX(Mots!$B:$B,MATCH($A978,Mots!$A:$A,0)),"introuvable")</f>
        <v>le travail</v>
      </c>
      <c r="I978" s="15" t="s">
        <v>73</v>
      </c>
    </row>
    <row r="979" spans="1:27" x14ac:dyDescent="0.3">
      <c r="A979" s="15" t="s">
        <v>9518</v>
      </c>
      <c r="B979" s="12" t="str">
        <f>IFERROR(INDEX(Mots!$B:$B,MATCH($A979,Mots!$A:$A,0)),"introuvable")</f>
        <v>le tronc</v>
      </c>
      <c r="C979" s="15" t="s">
        <v>2816</v>
      </c>
      <c r="E979" s="15" t="s">
        <v>2816</v>
      </c>
      <c r="I979" s="15" t="s">
        <v>34</v>
      </c>
      <c r="J979" s="15" t="s">
        <v>3785</v>
      </c>
    </row>
    <row r="980" spans="1:27" x14ac:dyDescent="0.3">
      <c r="A980" s="15" t="s">
        <v>6513</v>
      </c>
      <c r="B980" s="12" t="str">
        <f>IFERROR(INDEX(Mots!$B:$B,MATCH($A980,Mots!$A:$A,0)),"introuvable")</f>
        <v>le trottoir</v>
      </c>
      <c r="I980" s="15" t="s">
        <v>82</v>
      </c>
      <c r="N980" s="15" t="s">
        <v>7732</v>
      </c>
    </row>
    <row r="981" spans="1:27" x14ac:dyDescent="0.3">
      <c r="A981" s="15" t="s">
        <v>6533</v>
      </c>
      <c r="B981" s="12" t="str">
        <f>IFERROR(INDEX(Mots!$B:$B,MATCH($A981,Mots!$A:$A,0)),"introuvable")</f>
        <v>le tube</v>
      </c>
      <c r="C981" s="15" t="s">
        <v>6837</v>
      </c>
      <c r="I981" s="15" t="s">
        <v>2767</v>
      </c>
    </row>
    <row r="982" spans="1:27" x14ac:dyDescent="0.3">
      <c r="A982" s="15" t="s">
        <v>6554</v>
      </c>
      <c r="B982" s="12" t="str">
        <f>IFERROR(INDEX(Mots!$B:$B,MATCH($A982,Mots!$A:$A,0)),"introuvable")</f>
        <v>le vaccin</v>
      </c>
      <c r="I982" s="15" t="s">
        <v>5062</v>
      </c>
    </row>
    <row r="983" spans="1:27" x14ac:dyDescent="0.3">
      <c r="A983" s="15" t="s">
        <v>6561</v>
      </c>
      <c r="B983" s="12" t="str">
        <f>IFERROR(INDEX(Mots!$B:$B,MATCH($A983,Mots!$A:$A,0)),"introuvable")</f>
        <v>le velours</v>
      </c>
      <c r="C983" s="15" t="s">
        <v>4650</v>
      </c>
      <c r="I983" s="15" t="s">
        <v>2851</v>
      </c>
      <c r="N983" s="15" t="s">
        <v>7723</v>
      </c>
    </row>
    <row r="984" spans="1:27" x14ac:dyDescent="0.3">
      <c r="A984" s="15" t="s">
        <v>6566</v>
      </c>
      <c r="B984" s="12" t="str">
        <f>IFERROR(INDEX(Mots!$B:$B,MATCH($A984,Mots!$A:$A,0)),"introuvable")</f>
        <v>le vent</v>
      </c>
      <c r="I984" s="15" t="s">
        <v>3785</v>
      </c>
    </row>
    <row r="985" spans="1:27" x14ac:dyDescent="0.3">
      <c r="A985" s="15" t="s">
        <v>6574</v>
      </c>
      <c r="B985" s="12" t="str">
        <f>IFERROR(INDEX(Mots!$B:$B,MATCH($A985,Mots!$A:$A,0)),"introuvable")</f>
        <v>le verbe</v>
      </c>
      <c r="N985" s="15" t="s">
        <v>7759</v>
      </c>
    </row>
    <row r="986" spans="1:27" x14ac:dyDescent="0.3">
      <c r="A986" s="15" t="s">
        <v>6578</v>
      </c>
      <c r="B986" s="12" t="str">
        <f>IFERROR(INDEX(Mots!$B:$B,MATCH($A986,Mots!$A:$A,0)),"introuvable")</f>
        <v>le vêtement</v>
      </c>
      <c r="C986" s="15" t="s">
        <v>6578</v>
      </c>
      <c r="I986" s="15" t="s">
        <v>34</v>
      </c>
      <c r="N986" s="15" t="s">
        <v>7718</v>
      </c>
      <c r="O986" s="15" t="s">
        <v>7723</v>
      </c>
      <c r="P986" s="15" t="s">
        <v>3440</v>
      </c>
    </row>
    <row r="987" spans="1:27" x14ac:dyDescent="0.3">
      <c r="A987" s="15" t="s">
        <v>6582</v>
      </c>
      <c r="B987" s="12" t="str">
        <f>IFERROR(INDEX(Mots!$B:$B,MATCH($A987,Mots!$A:$A,0)),"introuvable")</f>
        <v>le village</v>
      </c>
      <c r="I987" s="15" t="s">
        <v>34</v>
      </c>
      <c r="J987" s="15" t="s">
        <v>3785</v>
      </c>
      <c r="K987" s="15" t="s">
        <v>82</v>
      </c>
    </row>
    <row r="988" spans="1:27" x14ac:dyDescent="0.3">
      <c r="A988" s="15" t="s">
        <v>324</v>
      </c>
      <c r="B988" s="12" t="str">
        <f>IFERROR(INDEX(Mots!$B:$B,MATCH($A988,Mots!$A:$A,0)),"introuvable")</f>
        <v>le visage</v>
      </c>
      <c r="Z988" s="15" t="s">
        <v>7795</v>
      </c>
      <c r="AA988" s="15" t="s">
        <v>7797</v>
      </c>
    </row>
    <row r="989" spans="1:27" x14ac:dyDescent="0.3">
      <c r="A989" s="15" t="s">
        <v>6597</v>
      </c>
      <c r="B989" s="12" t="str">
        <f>IFERROR(INDEX(Mots!$B:$B,MATCH($A989,Mots!$A:$A,0)),"introuvable")</f>
        <v>le voisin</v>
      </c>
      <c r="W989" s="15" t="s">
        <v>7792</v>
      </c>
    </row>
    <row r="990" spans="1:27" x14ac:dyDescent="0.3">
      <c r="A990" s="15" t="s">
        <v>6601</v>
      </c>
      <c r="B990" s="12" t="str">
        <f>IFERROR(INDEX(Mots!$B:$B,MATCH($A990,Mots!$A:$A,0)),"introuvable")</f>
        <v>le vol</v>
      </c>
      <c r="N990" s="15" t="s">
        <v>7764</v>
      </c>
    </row>
    <row r="991" spans="1:27" x14ac:dyDescent="0.3">
      <c r="A991" s="15" t="s">
        <v>6605</v>
      </c>
      <c r="B991" s="12" t="str">
        <f>IFERROR(INDEX(Mots!$B:$B,MATCH($A991,Mots!$A:$A,0)),"introuvable")</f>
        <v>le volume</v>
      </c>
      <c r="I991" s="15" t="s">
        <v>3785</v>
      </c>
    </row>
    <row r="992" spans="1:27" x14ac:dyDescent="0.3">
      <c r="A992" s="15" t="s">
        <v>6612</v>
      </c>
      <c r="B992" s="12" t="str">
        <f>IFERROR(INDEX(Mots!$B:$B,MATCH($A992,Mots!$A:$A,0)),"introuvable")</f>
        <v>l'échelle</v>
      </c>
      <c r="C992" s="15" t="s">
        <v>6837</v>
      </c>
    </row>
    <row r="993" spans="1:26" x14ac:dyDescent="0.3">
      <c r="A993" s="15" t="s">
        <v>6620</v>
      </c>
      <c r="B993" s="12" t="str">
        <f>IFERROR(INDEX(Mots!$B:$B,MATCH($A993,Mots!$A:$A,0)),"introuvable")</f>
        <v>l'éclair</v>
      </c>
      <c r="I993" s="15" t="s">
        <v>3785</v>
      </c>
    </row>
    <row r="994" spans="1:26" x14ac:dyDescent="0.3">
      <c r="A994" s="15" t="s">
        <v>6628</v>
      </c>
      <c r="B994" s="12" t="str">
        <f>IFERROR(INDEX(Mots!$B:$B,MATCH($A994,Mots!$A:$A,0)),"introuvable")</f>
        <v>l'école</v>
      </c>
      <c r="I994" s="15" t="s">
        <v>82</v>
      </c>
    </row>
    <row r="995" spans="1:26" x14ac:dyDescent="0.3">
      <c r="A995" s="15" t="s">
        <v>6636</v>
      </c>
      <c r="B995" s="12" t="str">
        <f>IFERROR(INDEX(Mots!$B:$B,MATCH($A995,Mots!$A:$A,0)),"introuvable")</f>
        <v>l'économie</v>
      </c>
      <c r="I995" s="15" t="s">
        <v>73</v>
      </c>
    </row>
    <row r="996" spans="1:26" x14ac:dyDescent="0.3">
      <c r="A996" s="15" t="s">
        <v>6640</v>
      </c>
      <c r="B996" s="12" t="str">
        <f>IFERROR(INDEX(Mots!$B:$B,MATCH($A996,Mots!$A:$A,0)),"introuvable")</f>
        <v>l'écorce</v>
      </c>
      <c r="C996" s="15" t="s">
        <v>2816</v>
      </c>
      <c r="E996" s="15" t="s">
        <v>2816</v>
      </c>
      <c r="I996" s="15" t="s">
        <v>3785</v>
      </c>
    </row>
    <row r="997" spans="1:26" x14ac:dyDescent="0.3">
      <c r="A997" s="15" t="s">
        <v>6662</v>
      </c>
      <c r="B997" s="12" t="str">
        <f>IFERROR(INDEX(Mots!$B:$B,MATCH($A997,Mots!$A:$A,0)),"introuvable")</f>
        <v>l'élève</v>
      </c>
      <c r="I997" s="15" t="s">
        <v>82</v>
      </c>
      <c r="N997" s="15" t="s">
        <v>7033</v>
      </c>
      <c r="O997" s="15" t="s">
        <v>7764</v>
      </c>
    </row>
    <row r="998" spans="1:26" x14ac:dyDescent="0.3">
      <c r="A998" s="15" t="s">
        <v>6674</v>
      </c>
      <c r="B998" s="12" t="str">
        <f>IFERROR(INDEX(Mots!$B:$B,MATCH($A998,Mots!$A:$A,0)),"introuvable")</f>
        <v>l'engin</v>
      </c>
      <c r="C998" s="15" t="s">
        <v>6890</v>
      </c>
      <c r="I998" s="15" t="s">
        <v>73</v>
      </c>
    </row>
    <row r="999" spans="1:26" x14ac:dyDescent="0.3">
      <c r="A999" s="15" t="s">
        <v>6680</v>
      </c>
      <c r="B999" s="12" t="str">
        <f>IFERROR(INDEX(Mots!$B:$B,MATCH($A999,Mots!$A:$A,0)),"introuvable")</f>
        <v>l'ennui</v>
      </c>
      <c r="Z999" s="15" t="s">
        <v>7797</v>
      </c>
    </row>
    <row r="1000" spans="1:26" x14ac:dyDescent="0.3">
      <c r="A1000" s="15" t="s">
        <v>6684</v>
      </c>
      <c r="B1000" s="12" t="str">
        <f>IFERROR(INDEX(Mots!$B:$B,MATCH($A1000,Mots!$A:$A,0)),"introuvable")</f>
        <v>l'entraide</v>
      </c>
      <c r="N1000" s="15" t="s">
        <v>3440</v>
      </c>
    </row>
    <row r="1001" spans="1:26" x14ac:dyDescent="0.3">
      <c r="A1001" s="15" t="s">
        <v>319</v>
      </c>
      <c r="B1001" s="12" t="str">
        <f>IFERROR(INDEX(Mots!$B:$B,MATCH($A1001,Mots!$A:$A,0)),"introuvable")</f>
        <v>l'entretien</v>
      </c>
      <c r="N1001" s="15" t="s">
        <v>7764</v>
      </c>
    </row>
    <row r="1002" spans="1:26" x14ac:dyDescent="0.3">
      <c r="A1002" s="15" t="s">
        <v>6690</v>
      </c>
      <c r="B1002" s="12" t="str">
        <f>IFERROR(INDEX(Mots!$B:$B,MATCH($A1002,Mots!$A:$A,0)),"introuvable")</f>
        <v>l'enveloppe</v>
      </c>
      <c r="I1002" s="15" t="s">
        <v>2851</v>
      </c>
    </row>
    <row r="1003" spans="1:26" x14ac:dyDescent="0.3">
      <c r="A1003" s="15" t="s">
        <v>6703</v>
      </c>
      <c r="B1003" s="12" t="str">
        <f>IFERROR(INDEX(Mots!$B:$B,MATCH($A1003,Mots!$A:$A,0)),"introuvable")</f>
        <v>l'environnement</v>
      </c>
      <c r="I1003" s="15" t="s">
        <v>3785</v>
      </c>
    </row>
    <row r="1004" spans="1:26" x14ac:dyDescent="0.3">
      <c r="A1004" s="15" t="s">
        <v>6712</v>
      </c>
      <c r="B1004" s="12" t="str">
        <f>IFERROR(INDEX(Mots!$B:$B,MATCH($A1004,Mots!$A:$A,0)),"introuvable")</f>
        <v>l'épice</v>
      </c>
      <c r="N1004" s="15" t="s">
        <v>7718</v>
      </c>
    </row>
    <row r="1005" spans="1:26" x14ac:dyDescent="0.3">
      <c r="A1005" s="15" t="s">
        <v>6718</v>
      </c>
      <c r="B1005" s="12" t="str">
        <f>IFERROR(INDEX(Mots!$B:$B,MATCH($A1005,Mots!$A:$A,0)),"introuvable")</f>
        <v>les ciseaux</v>
      </c>
      <c r="C1005" s="15" t="s">
        <v>6890</v>
      </c>
      <c r="I1005" s="15" t="s">
        <v>702</v>
      </c>
      <c r="N1005" s="15" t="s">
        <v>7720</v>
      </c>
    </row>
    <row r="1006" spans="1:26" x14ac:dyDescent="0.3">
      <c r="A1006" s="15" t="s">
        <v>6725</v>
      </c>
      <c r="B1006" s="12" t="str">
        <f>IFERROR(INDEX(Mots!$B:$B,MATCH($A1006,Mots!$A:$A,0)),"introuvable")</f>
        <v>les jumelles</v>
      </c>
      <c r="C1006" s="15" t="s">
        <v>6837</v>
      </c>
      <c r="I1006" s="15" t="s">
        <v>702</v>
      </c>
    </row>
    <row r="1007" spans="1:26" x14ac:dyDescent="0.3">
      <c r="A1007" s="15" t="s">
        <v>6733</v>
      </c>
      <c r="B1007" s="12" t="str">
        <f>IFERROR(INDEX(Mots!$B:$B,MATCH($A1007,Mots!$A:$A,0)),"introuvable")</f>
        <v>les lunettes</v>
      </c>
      <c r="I1007" s="15" t="s">
        <v>702</v>
      </c>
      <c r="J1007" s="15" t="s">
        <v>34</v>
      </c>
    </row>
    <row r="1008" spans="1:26" x14ac:dyDescent="0.3">
      <c r="A1008" s="15" t="s">
        <v>6737</v>
      </c>
      <c r="B1008" s="12" t="str">
        <f>IFERROR(INDEX(Mots!$B:$B,MATCH($A1008,Mots!$A:$A,0)),"introuvable")</f>
        <v>les vacances</v>
      </c>
      <c r="C1008" s="15" t="s">
        <v>7756</v>
      </c>
      <c r="I1008" s="15" t="s">
        <v>82</v>
      </c>
      <c r="J1008" s="15" t="s">
        <v>73</v>
      </c>
      <c r="N1008" s="15" t="s">
        <v>7734</v>
      </c>
    </row>
    <row r="1009" spans="1:26" x14ac:dyDescent="0.3">
      <c r="A1009" s="15" t="s">
        <v>6748</v>
      </c>
      <c r="B1009" s="12" t="str">
        <f>IFERROR(INDEX(Mots!$B:$B,MATCH($A1009,Mots!$A:$A,0)),"introuvable")</f>
        <v>l'étagère</v>
      </c>
      <c r="C1009" s="15" t="s">
        <v>6837</v>
      </c>
      <c r="I1009" s="15" t="s">
        <v>34</v>
      </c>
    </row>
    <row r="1010" spans="1:26" x14ac:dyDescent="0.3">
      <c r="A1010" s="15" t="s">
        <v>6756</v>
      </c>
      <c r="B1010" s="12" t="str">
        <f>IFERROR(INDEX(Mots!$B:$B,MATCH($A1010,Mots!$A:$A,0)),"introuvable")</f>
        <v>l'étoile</v>
      </c>
      <c r="I1010" s="15" t="s">
        <v>3785</v>
      </c>
    </row>
    <row r="1011" spans="1:26" x14ac:dyDescent="0.3">
      <c r="A1011" s="15" t="s">
        <v>6764</v>
      </c>
      <c r="B1011" s="12" t="str">
        <f>IFERROR(INDEX(Mots!$B:$B,MATCH($A1011,Mots!$A:$A,0)),"introuvable")</f>
        <v>lever</v>
      </c>
      <c r="I1011" s="15" t="s">
        <v>3785</v>
      </c>
      <c r="N1011" s="15" t="s">
        <v>7764</v>
      </c>
    </row>
    <row r="1012" spans="1:26" x14ac:dyDescent="0.3">
      <c r="A1012" s="15" t="s">
        <v>6773</v>
      </c>
      <c r="B1012" s="12" t="str">
        <f>IFERROR(INDEX(Mots!$B:$B,MATCH($A1012,Mots!$A:$A,0)),"introuvable")</f>
        <v>l'exemple</v>
      </c>
      <c r="N1012" s="15" t="s">
        <v>7033</v>
      </c>
      <c r="O1012" s="15" t="s">
        <v>7764</v>
      </c>
      <c r="P1012" s="15" t="s">
        <v>3440</v>
      </c>
    </row>
    <row r="1013" spans="1:26" x14ac:dyDescent="0.3">
      <c r="A1013" s="15" t="s">
        <v>6778</v>
      </c>
      <c r="B1013" s="12" t="str">
        <f>IFERROR(INDEX(Mots!$B:$B,MATCH($A1013,Mots!$A:$A,0)),"introuvable")</f>
        <v>l'histoire</v>
      </c>
      <c r="I1013" s="15" t="s">
        <v>3785</v>
      </c>
    </row>
    <row r="1014" spans="1:26" x14ac:dyDescent="0.3">
      <c r="A1014" s="15" t="s">
        <v>6783</v>
      </c>
      <c r="B1014" s="12" t="str">
        <f>IFERROR(INDEX(Mots!$B:$B,MATCH($A1014,Mots!$A:$A,0)),"introuvable")</f>
        <v>l'horizon</v>
      </c>
      <c r="I1014" s="15" t="s">
        <v>3785</v>
      </c>
    </row>
    <row r="1015" spans="1:26" x14ac:dyDescent="0.3">
      <c r="A1015" s="15" t="s">
        <v>6787</v>
      </c>
      <c r="B1015" s="12" t="str">
        <f>IFERROR(INDEX(Mots!$B:$B,MATCH($A1015,Mots!$A:$A,0)),"introuvable")</f>
        <v>l'idée</v>
      </c>
      <c r="N1015" s="15" t="s">
        <v>7033</v>
      </c>
    </row>
    <row r="1016" spans="1:26" x14ac:dyDescent="0.3">
      <c r="A1016" s="15" t="s">
        <v>6791</v>
      </c>
      <c r="B1016" s="12" t="str">
        <f>IFERROR(INDEX(Mots!$B:$B,MATCH($A1016,Mots!$A:$A,0)),"introuvable")</f>
        <v>l'île</v>
      </c>
      <c r="I1016" s="15" t="s">
        <v>3785</v>
      </c>
    </row>
    <row r="1017" spans="1:26" x14ac:dyDescent="0.3">
      <c r="A1017" s="15" t="s">
        <v>6798</v>
      </c>
      <c r="B1017" s="12" t="str">
        <f>IFERROR(INDEX(Mots!$B:$B,MATCH($A1017,Mots!$A:$A,0)),"introuvable")</f>
        <v>l'immeuble</v>
      </c>
      <c r="I1017" s="15" t="s">
        <v>34</v>
      </c>
      <c r="J1017" s="15" t="s">
        <v>82</v>
      </c>
    </row>
    <row r="1018" spans="1:26" x14ac:dyDescent="0.3">
      <c r="A1018" s="15" t="s">
        <v>6806</v>
      </c>
      <c r="B1018" s="12" t="str">
        <f>IFERROR(INDEX(Mots!$B:$B,MATCH($A1018,Mots!$A:$A,0)),"introuvable")</f>
        <v>l'information</v>
      </c>
      <c r="N1018" s="15" t="s">
        <v>7033</v>
      </c>
    </row>
    <row r="1019" spans="1:26" x14ac:dyDescent="0.3">
      <c r="A1019" s="15" t="s">
        <v>6810</v>
      </c>
      <c r="B1019" s="12" t="str">
        <f>IFERROR(INDEX(Mots!$B:$B,MATCH($A1019,Mots!$A:$A,0)),"introuvable")</f>
        <v>l'inquiétude</v>
      </c>
      <c r="Z1019" s="15" t="s">
        <v>7797</v>
      </c>
    </row>
    <row r="1020" spans="1:26" x14ac:dyDescent="0.3">
      <c r="A1020" s="15" t="s">
        <v>6817</v>
      </c>
      <c r="B1020" s="12" t="str">
        <f>IFERROR(INDEX(Mots!$B:$B,MATCH($A1020,Mots!$A:$A,0)),"introuvable")</f>
        <v>l'instant</v>
      </c>
      <c r="G1020" s="15" t="s">
        <v>7806</v>
      </c>
    </row>
    <row r="1021" spans="1:26" x14ac:dyDescent="0.3">
      <c r="A1021" s="15" t="s">
        <v>6822</v>
      </c>
      <c r="B1021" s="12" t="str">
        <f>IFERROR(INDEX(Mots!$B:$B,MATCH($A1021,Mots!$A:$A,0)),"introuvable")</f>
        <v>l'invitation</v>
      </c>
      <c r="N1021" s="15" t="s">
        <v>7759</v>
      </c>
    </row>
    <row r="1022" spans="1:26" x14ac:dyDescent="0.3">
      <c r="A1022" s="15" t="s">
        <v>6826</v>
      </c>
      <c r="B1022" s="12" t="str">
        <f>IFERROR(INDEX(Mots!$B:$B,MATCH($A1022,Mots!$A:$A,0)),"introuvable")</f>
        <v>l'invité</v>
      </c>
      <c r="I1022" s="15" t="s">
        <v>702</v>
      </c>
      <c r="N1022" s="15" t="s">
        <v>7718</v>
      </c>
    </row>
    <row r="1023" spans="1:26" x14ac:dyDescent="0.3">
      <c r="A1023" s="15" t="s">
        <v>6830</v>
      </c>
      <c r="B1023" s="12" t="str">
        <f>IFERROR(INDEX(Mots!$B:$B,MATCH($A1023,Mots!$A:$A,0)),"introuvable")</f>
        <v>lire</v>
      </c>
      <c r="N1023" s="15" t="s">
        <v>7759</v>
      </c>
      <c r="O1023" s="15" t="s">
        <v>7033</v>
      </c>
      <c r="P1023" s="15" t="s">
        <v>7764</v>
      </c>
    </row>
    <row r="1024" spans="1:26" x14ac:dyDescent="0.3">
      <c r="A1024" s="15" t="s">
        <v>6837</v>
      </c>
      <c r="B1024" s="12" t="str">
        <f>IFERROR(INDEX(Mots!$B:$B,MATCH($A1024,Mots!$A:$A,0)),"introuvable")</f>
        <v>l'objet</v>
      </c>
      <c r="C1024" s="15" t="s">
        <v>6837</v>
      </c>
      <c r="N1024" s="15" t="s">
        <v>7759</v>
      </c>
      <c r="O1024" s="15" t="s">
        <v>7764</v>
      </c>
    </row>
    <row r="1025" spans="1:19" x14ac:dyDescent="0.3">
      <c r="A1025" s="15" t="s">
        <v>6852</v>
      </c>
      <c r="B1025" s="12" t="str">
        <f>IFERROR(INDEX(Mots!$B:$B,MATCH($A1025,Mots!$A:$A,0)),"introuvable")</f>
        <v>l'oeuvre</v>
      </c>
      <c r="I1025" s="15" t="s">
        <v>702</v>
      </c>
    </row>
    <row r="1026" spans="1:19" x14ac:dyDescent="0.3">
      <c r="A1026" s="15" t="s">
        <v>6861</v>
      </c>
      <c r="B1026" s="12" t="str">
        <f>IFERROR(INDEX(Mots!$B:$B,MATCH($A1026,Mots!$A:$A,0)),"introuvable")</f>
        <v>loin</v>
      </c>
      <c r="G1026" s="15" t="s">
        <v>4370</v>
      </c>
    </row>
    <row r="1027" spans="1:19" x14ac:dyDescent="0.3">
      <c r="A1027" s="15" t="s">
        <v>6863</v>
      </c>
      <c r="B1027" s="12" t="str">
        <f>IFERROR(INDEX(Mots!$B:$B,MATCH($A1027,Mots!$A:$A,0)),"introuvable")</f>
        <v>l'oiseau</v>
      </c>
      <c r="C1027" s="15" t="s">
        <v>1169</v>
      </c>
      <c r="I1027" s="15" t="s">
        <v>3785</v>
      </c>
    </row>
    <row r="1028" spans="1:19" x14ac:dyDescent="0.3">
      <c r="A1028" s="15" t="s">
        <v>6871</v>
      </c>
      <c r="B1028" s="12" t="str">
        <f>IFERROR(INDEX(Mots!$B:$B,MATCH($A1028,Mots!$A:$A,0)),"introuvable")</f>
        <v>l'ombre</v>
      </c>
      <c r="I1028" s="15" t="s">
        <v>3785</v>
      </c>
    </row>
    <row r="1029" spans="1:19" x14ac:dyDescent="0.3">
      <c r="A1029" s="15" t="s">
        <v>6878</v>
      </c>
      <c r="B1029" s="12" t="str">
        <f>IFERROR(INDEX(Mots!$B:$B,MATCH($A1029,Mots!$A:$A,0)),"introuvable")</f>
        <v>longtemps</v>
      </c>
      <c r="G1029" s="15" t="s">
        <v>7806</v>
      </c>
    </row>
    <row r="1030" spans="1:19" x14ac:dyDescent="0.3">
      <c r="A1030" s="15" t="s">
        <v>6886</v>
      </c>
      <c r="B1030" s="12" t="str">
        <f>IFERROR(INDEX(Mots!$B:$B,MATCH($A1030,Mots!$A:$A,0)),"introuvable")</f>
        <v>l'ordonnance</v>
      </c>
      <c r="I1030" s="15" t="s">
        <v>5062</v>
      </c>
      <c r="N1030" s="15" t="s">
        <v>7725</v>
      </c>
      <c r="O1030" s="15" t="s">
        <v>7764</v>
      </c>
    </row>
    <row r="1031" spans="1:19" x14ac:dyDescent="0.3">
      <c r="A1031" s="15" t="s">
        <v>6890</v>
      </c>
      <c r="B1031" s="12" t="str">
        <f>IFERROR(INDEX(Mots!$B:$B,MATCH($A1031,Mots!$A:$A,0)),"introuvable")</f>
        <v>l'outil</v>
      </c>
      <c r="C1031" s="15" t="s">
        <v>6890</v>
      </c>
      <c r="I1031" s="15" t="s">
        <v>34</v>
      </c>
    </row>
    <row r="1032" spans="1:19" x14ac:dyDescent="0.3">
      <c r="A1032" s="15" t="s">
        <v>6904</v>
      </c>
      <c r="B1032" s="12" t="str">
        <f>IFERROR(INDEX(Mots!$B:$B,MATCH($A1032,Mots!$A:$A,0)),"introuvable")</f>
        <v>l'usine</v>
      </c>
      <c r="I1032" s="15" t="s">
        <v>82</v>
      </c>
    </row>
    <row r="1033" spans="1:19" x14ac:dyDescent="0.3">
      <c r="A1033" s="8" t="s">
        <v>9599</v>
      </c>
      <c r="B1033" s="12" t="str">
        <f>IFERROR(INDEX(Mots!$B:$B,MATCH($A1033,Mots!$A:$A,0)),"introuvable")</f>
        <v>mal</v>
      </c>
      <c r="G1033" s="15" t="s">
        <v>7812</v>
      </c>
    </row>
    <row r="1034" spans="1:19" x14ac:dyDescent="0.3">
      <c r="A1034" s="15" t="s">
        <v>6915</v>
      </c>
      <c r="B1034" s="12" t="str">
        <f>IFERROR(INDEX(Mots!$B:$B,MATCH($A1034,Mots!$A:$A,0)),"introuvable")</f>
        <v>malin</v>
      </c>
      <c r="S1034" s="15" t="s">
        <v>7777</v>
      </c>
    </row>
    <row r="1035" spans="1:19" x14ac:dyDescent="0.3">
      <c r="A1035" s="15" t="s">
        <v>6920</v>
      </c>
      <c r="B1035" s="12" t="str">
        <f>IFERROR(INDEX(Mots!$B:$B,MATCH($A1035,Mots!$A:$A,0)),"introuvable")</f>
        <v>manger</v>
      </c>
      <c r="I1035" s="15" t="s">
        <v>702</v>
      </c>
      <c r="N1035" s="15" t="s">
        <v>7718</v>
      </c>
    </row>
    <row r="1036" spans="1:19" x14ac:dyDescent="0.3">
      <c r="A1036" s="15" t="s">
        <v>6928</v>
      </c>
      <c r="B1036" s="12" t="str">
        <f>IFERROR(INDEX(Mots!$B:$B,MATCH($A1036,Mots!$A:$A,0)),"introuvable")</f>
        <v>marcher</v>
      </c>
      <c r="I1036" s="15" t="s">
        <v>82</v>
      </c>
      <c r="N1036" s="15" t="s">
        <v>7727</v>
      </c>
      <c r="O1036" s="15" t="s">
        <v>7732</v>
      </c>
    </row>
    <row r="1037" spans="1:19" x14ac:dyDescent="0.3">
      <c r="A1037" s="15" t="s">
        <v>6939</v>
      </c>
      <c r="B1037" s="12" t="str">
        <f>IFERROR(INDEX(Mots!$B:$B,MATCH($A1037,Mots!$A:$A,0)),"introuvable")</f>
        <v>mentir</v>
      </c>
      <c r="N1037" s="15" t="s">
        <v>7759</v>
      </c>
    </row>
    <row r="1038" spans="1:19" x14ac:dyDescent="0.3">
      <c r="A1038" s="15" t="s">
        <v>6942</v>
      </c>
      <c r="B1038" s="12" t="str">
        <f>IFERROR(INDEX(Mots!$B:$B,MATCH($A1038,Mots!$A:$A,0)),"introuvable")</f>
        <v>merveilleux</v>
      </c>
      <c r="S1038" s="15" t="s">
        <v>7779</v>
      </c>
    </row>
    <row r="1039" spans="1:19" x14ac:dyDescent="0.3">
      <c r="A1039" s="15" t="s">
        <v>6956</v>
      </c>
      <c r="B1039" s="12" t="str">
        <f>IFERROR(INDEX(Mots!$B:$B,MATCH($A1039,Mots!$A:$A,0)),"introuvable")</f>
        <v>nager</v>
      </c>
      <c r="I1039" s="15" t="s">
        <v>3785</v>
      </c>
      <c r="N1039" s="15" t="s">
        <v>7727</v>
      </c>
    </row>
    <row r="1040" spans="1:19" x14ac:dyDescent="0.3">
      <c r="A1040" s="15" t="s">
        <v>6964</v>
      </c>
      <c r="B1040" s="12" t="str">
        <f>IFERROR(INDEX(Mots!$B:$B,MATCH($A1040,Mots!$A:$A,0)),"introuvable")</f>
        <v>nettoyer</v>
      </c>
      <c r="N1040" s="15" t="s">
        <v>6965</v>
      </c>
      <c r="O1040" s="15" t="s">
        <v>7764</v>
      </c>
    </row>
    <row r="1041" spans="1:23" x14ac:dyDescent="0.3">
      <c r="A1041" s="15" t="s">
        <v>6972</v>
      </c>
      <c r="B1041" s="12" t="str">
        <f>IFERROR(INDEX(Mots!$B:$B,MATCH($A1041,Mots!$A:$A,0)),"introuvable")</f>
        <v>nombreux</v>
      </c>
      <c r="S1041" s="15" t="s">
        <v>7768</v>
      </c>
    </row>
    <row r="1042" spans="1:23" x14ac:dyDescent="0.3">
      <c r="A1042" s="15" t="s">
        <v>6983</v>
      </c>
      <c r="B1042" s="12" t="str">
        <f>IFERROR(INDEX(Mots!$B:$B,MATCH($A1042,Mots!$A:$A,0)),"introuvable")</f>
        <v>ordonner</v>
      </c>
      <c r="N1042" s="15" t="s">
        <v>7759</v>
      </c>
      <c r="O1042" s="15" t="s">
        <v>7764</v>
      </c>
    </row>
    <row r="1043" spans="1:23" x14ac:dyDescent="0.3">
      <c r="A1043" s="15" t="s">
        <v>6987</v>
      </c>
      <c r="B1043" s="12" t="str">
        <f>IFERROR(INDEX(Mots!$B:$B,MATCH($A1043,Mots!$A:$A,0)),"introuvable")</f>
        <v>oublier</v>
      </c>
      <c r="N1043" s="15" t="s">
        <v>7033</v>
      </c>
    </row>
    <row r="1044" spans="1:23" x14ac:dyDescent="0.3">
      <c r="A1044" s="15" t="s">
        <v>6991</v>
      </c>
      <c r="B1044" s="12" t="str">
        <f>IFERROR(INDEX(Mots!$B:$B,MATCH($A1044,Mots!$A:$A,0)),"introuvable")</f>
        <v>ouvrir</v>
      </c>
      <c r="I1044" s="15" t="s">
        <v>34</v>
      </c>
    </row>
    <row r="1045" spans="1:23" x14ac:dyDescent="0.3">
      <c r="A1045" s="15" t="s">
        <v>7000</v>
      </c>
      <c r="B1045" s="12" t="str">
        <f>IFERROR(INDEX(Mots!$B:$B,MATCH($A1045,Mots!$A:$A,0)),"introuvable")</f>
        <v>parler</v>
      </c>
      <c r="N1045" s="15" t="s">
        <v>7759</v>
      </c>
    </row>
    <row r="1046" spans="1:23" x14ac:dyDescent="0.3">
      <c r="A1046" s="15" t="s">
        <v>7009</v>
      </c>
      <c r="B1046" s="12" t="str">
        <f>IFERROR(INDEX(Mots!$B:$B,MATCH($A1046,Mots!$A:$A,0)),"introuvable")</f>
        <v>partir</v>
      </c>
      <c r="N1046" s="15" t="s">
        <v>7727</v>
      </c>
    </row>
    <row r="1047" spans="1:23" x14ac:dyDescent="0.3">
      <c r="A1047" s="15" t="s">
        <v>7017</v>
      </c>
      <c r="B1047" s="12" t="str">
        <f>IFERROR(INDEX(Mots!$B:$B,MATCH($A1047,Mots!$A:$A,0)),"introuvable")</f>
        <v>partout</v>
      </c>
      <c r="S1047" s="15" t="s">
        <v>4450</v>
      </c>
    </row>
    <row r="1048" spans="1:23" x14ac:dyDescent="0.3">
      <c r="A1048" s="15" t="s">
        <v>7020</v>
      </c>
      <c r="B1048" s="12" t="str">
        <f>IFERROR(INDEX(Mots!$B:$B,MATCH($A1048,Mots!$A:$A,0)),"introuvable")</f>
        <v>payer</v>
      </c>
      <c r="I1048" s="15" t="s">
        <v>73</v>
      </c>
      <c r="N1048" s="15" t="s">
        <v>7382</v>
      </c>
      <c r="O1048" s="15" t="s">
        <v>7764</v>
      </c>
    </row>
    <row r="1049" spans="1:23" x14ac:dyDescent="0.3">
      <c r="A1049" s="15" t="s">
        <v>7032</v>
      </c>
      <c r="B1049" s="12" t="str">
        <f>IFERROR(INDEX(Mots!$B:$B,MATCH($A1049,Mots!$A:$A,0)),"introuvable")</f>
        <v>penser</v>
      </c>
      <c r="N1049" s="15" t="s">
        <v>7033</v>
      </c>
    </row>
    <row r="1050" spans="1:23" x14ac:dyDescent="0.3">
      <c r="A1050" s="15" t="s">
        <v>7036</v>
      </c>
      <c r="B1050" s="12" t="str">
        <f>IFERROR(INDEX(Mots!$B:$B,MATCH($A1050,Mots!$A:$A,0)),"introuvable")</f>
        <v>perdre</v>
      </c>
      <c r="N1050" s="15" t="s">
        <v>7033</v>
      </c>
    </row>
    <row r="1051" spans="1:23" x14ac:dyDescent="0.3">
      <c r="A1051" s="15" t="s">
        <v>7039</v>
      </c>
      <c r="B1051" s="12" t="str">
        <f>IFERROR(INDEX(Mots!$B:$B,MATCH($A1051,Mots!$A:$A,0)),"introuvable")</f>
        <v>peu</v>
      </c>
      <c r="G1051" s="15" t="s">
        <v>4961</v>
      </c>
    </row>
    <row r="1052" spans="1:23" x14ac:dyDescent="0.3">
      <c r="A1052" s="15" t="s">
        <v>7042</v>
      </c>
      <c r="B1052" s="12" t="str">
        <f>IFERROR(INDEX(Mots!$B:$B,MATCH($A1052,Mots!$A:$A,0)),"introuvable")</f>
        <v>Philippe Germanier</v>
      </c>
      <c r="W1052" s="15" t="s">
        <v>7789</v>
      </c>
    </row>
    <row r="1053" spans="1:23" x14ac:dyDescent="0.3">
      <c r="A1053" s="15" t="s">
        <v>7046</v>
      </c>
      <c r="B1053" s="12" t="str">
        <f>IFERROR(INDEX(Mots!$B:$B,MATCH($A1053,Mots!$A:$A,0)),"introuvable")</f>
        <v>piquant</v>
      </c>
      <c r="S1053" s="15" t="s">
        <v>7366</v>
      </c>
      <c r="T1053" s="15" t="s">
        <v>5849</v>
      </c>
    </row>
    <row r="1054" spans="1:23" x14ac:dyDescent="0.3">
      <c r="A1054" s="15" t="s">
        <v>7049</v>
      </c>
      <c r="B1054" s="12" t="str">
        <f>IFERROR(INDEX(Mots!$B:$B,MATCH($A1054,Mots!$A:$A,0)),"introuvable")</f>
        <v>plaindre</v>
      </c>
      <c r="N1054" s="15" t="s">
        <v>7759</v>
      </c>
    </row>
    <row r="1055" spans="1:23" x14ac:dyDescent="0.3">
      <c r="A1055" s="15" t="s">
        <v>9722</v>
      </c>
      <c r="B1055" s="12" t="str">
        <f>IFERROR(INDEX(Mots!$B:$B,MATCH($A1055,Mots!$A:$A,0)),"introuvable")</f>
        <v>plutôt</v>
      </c>
      <c r="G1055" s="15" t="s">
        <v>7806</v>
      </c>
    </row>
    <row r="1056" spans="1:23" x14ac:dyDescent="0.3">
      <c r="A1056" s="15" t="s">
        <v>7063</v>
      </c>
      <c r="B1056" s="12" t="str">
        <f>IFERROR(INDEX(Mots!$B:$B,MATCH($A1056,Mots!$A:$A,0)),"introuvable")</f>
        <v>porter</v>
      </c>
      <c r="I1056" s="15" t="s">
        <v>34</v>
      </c>
      <c r="N1056" s="15" t="s">
        <v>7727</v>
      </c>
    </row>
    <row r="1057" spans="1:20" x14ac:dyDescent="0.3">
      <c r="A1057" s="15" t="s">
        <v>7082</v>
      </c>
      <c r="B1057" s="12" t="str">
        <f>IFERROR(INDEX(Mots!$B:$B,MATCH($A1057,Mots!$A:$A,0)),"introuvable")</f>
        <v>pourtant</v>
      </c>
      <c r="G1057" s="15" t="s">
        <v>7812</v>
      </c>
    </row>
    <row r="1058" spans="1:20" x14ac:dyDescent="0.3">
      <c r="A1058" s="15" t="s">
        <v>7084</v>
      </c>
      <c r="B1058" s="12" t="str">
        <f>IFERROR(INDEX(Mots!$B:$B,MATCH($A1058,Mots!$A:$A,0)),"introuvable")</f>
        <v>pousser</v>
      </c>
      <c r="N1058" s="15" t="s">
        <v>7727</v>
      </c>
    </row>
    <row r="1059" spans="1:20" x14ac:dyDescent="0.3">
      <c r="A1059" s="15" t="s">
        <v>7097</v>
      </c>
      <c r="B1059" s="12" t="str">
        <f>IFERROR(INDEX(Mots!$B:$B,MATCH($A1059,Mots!$A:$A,0)),"introuvable")</f>
        <v>pratique</v>
      </c>
      <c r="S1059" s="15" t="s">
        <v>7781</v>
      </c>
    </row>
    <row r="1060" spans="1:20" x14ac:dyDescent="0.3">
      <c r="A1060" s="15" t="s">
        <v>7107</v>
      </c>
      <c r="B1060" s="12" t="str">
        <f>IFERROR(INDEX(Mots!$B:$B,MATCH($A1060,Mots!$A:$A,0)),"introuvable")</f>
        <v>prendre</v>
      </c>
      <c r="I1060" s="15" t="s">
        <v>702</v>
      </c>
      <c r="N1060" s="15" t="s">
        <v>7718</v>
      </c>
      <c r="O1060" s="15" t="s">
        <v>7764</v>
      </c>
    </row>
    <row r="1061" spans="1:20" x14ac:dyDescent="0.3">
      <c r="A1061" s="15" t="s">
        <v>7114</v>
      </c>
      <c r="B1061" s="12" t="str">
        <f>IFERROR(INDEX(Mots!$B:$B,MATCH($A1061,Mots!$A:$A,0)),"introuvable")</f>
        <v>préparer</v>
      </c>
      <c r="I1061" s="15" t="s">
        <v>702</v>
      </c>
      <c r="N1061" s="15" t="s">
        <v>7718</v>
      </c>
      <c r="O1061" s="15" t="s">
        <v>7736</v>
      </c>
    </row>
    <row r="1062" spans="1:20" x14ac:dyDescent="0.3">
      <c r="A1062" s="15" t="s">
        <v>7121</v>
      </c>
      <c r="B1062" s="12" t="str">
        <f>IFERROR(INDEX(Mots!$B:$B,MATCH($A1062,Mots!$A:$A,0)),"introuvable")</f>
        <v>près (proche)</v>
      </c>
      <c r="G1062" s="15" t="s">
        <v>4370</v>
      </c>
    </row>
    <row r="1063" spans="1:20" x14ac:dyDescent="0.3">
      <c r="A1063" s="15" t="s">
        <v>7124</v>
      </c>
      <c r="B1063" s="12" t="str">
        <f>IFERROR(INDEX(Mots!$B:$B,MATCH($A1063,Mots!$A:$A,0)),"introuvable")</f>
        <v>presque</v>
      </c>
      <c r="G1063" s="15" t="s">
        <v>4370</v>
      </c>
    </row>
    <row r="1064" spans="1:20" x14ac:dyDescent="0.3">
      <c r="A1064" s="15" t="s">
        <v>7126</v>
      </c>
      <c r="B1064" s="12" t="str">
        <f>IFERROR(INDEX(Mots!$B:$B,MATCH($A1064,Mots!$A:$A,0)),"introuvable")</f>
        <v>prêt</v>
      </c>
      <c r="S1064" s="15" t="s">
        <v>7777</v>
      </c>
    </row>
    <row r="1065" spans="1:20" x14ac:dyDescent="0.3">
      <c r="A1065" s="15" t="s">
        <v>7130</v>
      </c>
      <c r="B1065" s="12" t="str">
        <f>IFERROR(INDEX(Mots!$B:$B,MATCH($A1065,Mots!$A:$A,0)),"introuvable")</f>
        <v>prévenir</v>
      </c>
      <c r="N1065" s="15" t="s">
        <v>7759</v>
      </c>
    </row>
    <row r="1066" spans="1:20" x14ac:dyDescent="0.3">
      <c r="A1066" s="15" t="s">
        <v>7134</v>
      </c>
      <c r="B1066" s="12" t="str">
        <f>IFERROR(INDEX(Mots!$B:$B,MATCH($A1066,Mots!$A:$A,0)),"introuvable")</f>
        <v>profond</v>
      </c>
      <c r="S1066" s="15" t="s">
        <v>7768</v>
      </c>
      <c r="T1066" s="15" t="s">
        <v>7783</v>
      </c>
    </row>
    <row r="1067" spans="1:20" x14ac:dyDescent="0.3">
      <c r="A1067" s="15" t="s">
        <v>7138</v>
      </c>
      <c r="B1067" s="12" t="str">
        <f>IFERROR(INDEX(Mots!$B:$B,MATCH($A1067,Mots!$A:$A,0)),"introuvable")</f>
        <v>promettre</v>
      </c>
      <c r="N1067" s="15" t="s">
        <v>7759</v>
      </c>
    </row>
    <row r="1068" spans="1:20" x14ac:dyDescent="0.3">
      <c r="A1068" s="15" t="s">
        <v>7142</v>
      </c>
      <c r="B1068" s="12" t="str">
        <f>IFERROR(INDEX(Mots!$B:$B,MATCH($A1068,Mots!$A:$A,0)),"introuvable")</f>
        <v>raconter</v>
      </c>
      <c r="N1068" s="15" t="s">
        <v>7759</v>
      </c>
    </row>
    <row r="1069" spans="1:20" x14ac:dyDescent="0.3">
      <c r="A1069" s="15" t="s">
        <v>7146</v>
      </c>
      <c r="B1069" s="12" t="str">
        <f>IFERROR(INDEX(Mots!$B:$B,MATCH($A1069,Mots!$A:$A,0)),"introuvable")</f>
        <v>ramasser</v>
      </c>
      <c r="I1069" s="15" t="s">
        <v>3785</v>
      </c>
      <c r="N1069" s="15" t="s">
        <v>7764</v>
      </c>
    </row>
    <row r="1070" spans="1:20" x14ac:dyDescent="0.3">
      <c r="A1070" s="15" t="s">
        <v>7153</v>
      </c>
      <c r="B1070" s="12" t="str">
        <f>IFERROR(INDEX(Mots!$B:$B,MATCH($A1070,Mots!$A:$A,0)),"introuvable")</f>
        <v>ranger</v>
      </c>
      <c r="I1070" s="15" t="s">
        <v>3785</v>
      </c>
    </row>
    <row r="1071" spans="1:20" x14ac:dyDescent="0.3">
      <c r="A1071" s="15" t="s">
        <v>7160</v>
      </c>
      <c r="B1071" s="12" t="str">
        <f>IFERROR(INDEX(Mots!$B:$B,MATCH($A1071,Mots!$A:$A,0)),"introuvable")</f>
        <v>rappeler</v>
      </c>
      <c r="N1071" s="15" t="s">
        <v>7759</v>
      </c>
    </row>
    <row r="1072" spans="1:20" x14ac:dyDescent="0.3">
      <c r="A1072" s="15" t="s">
        <v>7167</v>
      </c>
      <c r="B1072" s="12" t="str">
        <f>IFERROR(INDEX(Mots!$B:$B,MATCH($A1072,Mots!$A:$A,0)),"introuvable")</f>
        <v>réfléchir</v>
      </c>
      <c r="N1072" s="15" t="s">
        <v>7033</v>
      </c>
    </row>
    <row r="1073" spans="1:23" x14ac:dyDescent="0.3">
      <c r="A1073" s="15" t="s">
        <v>7171</v>
      </c>
      <c r="B1073" s="12" t="str">
        <f>IFERROR(INDEX(Mots!$B:$B,MATCH($A1073,Mots!$A:$A,0)),"introuvable")</f>
        <v>refuser</v>
      </c>
      <c r="N1073" s="15" t="s">
        <v>7759</v>
      </c>
    </row>
    <row r="1074" spans="1:23" x14ac:dyDescent="0.3">
      <c r="A1074" s="15" t="s">
        <v>7177</v>
      </c>
      <c r="B1074" s="12" t="str">
        <f>IFERROR(INDEX(Mots!$B:$B,MATCH($A1074,Mots!$A:$A,0)),"introuvable")</f>
        <v>regarder</v>
      </c>
      <c r="N1074" s="15" t="s">
        <v>7764</v>
      </c>
    </row>
    <row r="1075" spans="1:23" x14ac:dyDescent="0.3">
      <c r="A1075" s="15" t="s">
        <v>7185</v>
      </c>
      <c r="B1075" s="12" t="str">
        <f>IFERROR(INDEX(Mots!$B:$B,MATCH($A1075,Mots!$A:$A,0)),"introuvable")</f>
        <v>Régis Evéquoz</v>
      </c>
      <c r="W1075" s="15" t="s">
        <v>7789</v>
      </c>
    </row>
    <row r="1076" spans="1:23" x14ac:dyDescent="0.3">
      <c r="A1076" s="15" t="s">
        <v>7197</v>
      </c>
      <c r="B1076" s="12" t="str">
        <f>IFERROR(INDEX(Mots!$B:$B,MATCH($A1076,Mots!$A:$A,0)),"introuvable")</f>
        <v>remercier</v>
      </c>
      <c r="N1076" s="15" t="s">
        <v>7759</v>
      </c>
    </row>
    <row r="1077" spans="1:23" x14ac:dyDescent="0.3">
      <c r="A1077" s="15" t="s">
        <v>7205</v>
      </c>
      <c r="B1077" s="12" t="str">
        <f>IFERROR(INDEX(Mots!$B:$B,MATCH($A1077,Mots!$A:$A,0)),"introuvable")</f>
        <v>réparer</v>
      </c>
      <c r="I1077" s="15" t="s">
        <v>82</v>
      </c>
      <c r="J1077" s="15" t="s">
        <v>2851</v>
      </c>
      <c r="N1077" s="15" t="s">
        <v>7732</v>
      </c>
      <c r="O1077" s="15" t="s">
        <v>7736</v>
      </c>
    </row>
    <row r="1078" spans="1:23" x14ac:dyDescent="0.3">
      <c r="A1078" s="15" t="s">
        <v>7213</v>
      </c>
      <c r="B1078" s="12" t="str">
        <f>IFERROR(INDEX(Mots!$B:$B,MATCH($A1078,Mots!$A:$A,0)),"introuvable")</f>
        <v>répéter</v>
      </c>
      <c r="N1078" s="15" t="s">
        <v>7759</v>
      </c>
    </row>
    <row r="1079" spans="1:23" x14ac:dyDescent="0.3">
      <c r="A1079" s="15" t="s">
        <v>7219</v>
      </c>
      <c r="B1079" s="12" t="str">
        <f>IFERROR(INDEX(Mots!$B:$B,MATCH($A1079,Mots!$A:$A,0)),"introuvable")</f>
        <v>répondre</v>
      </c>
      <c r="I1079" s="15" t="s">
        <v>3785</v>
      </c>
      <c r="N1079" s="15" t="s">
        <v>7759</v>
      </c>
    </row>
    <row r="1080" spans="1:23" x14ac:dyDescent="0.3">
      <c r="A1080" s="15" t="s">
        <v>7225</v>
      </c>
      <c r="B1080" s="12" t="str">
        <f>IFERROR(INDEX(Mots!$B:$B,MATCH($A1080,Mots!$A:$A,0)),"introuvable")</f>
        <v>résistant</v>
      </c>
      <c r="S1080" s="15" t="s">
        <v>7777</v>
      </c>
    </row>
    <row r="1081" spans="1:23" x14ac:dyDescent="0.3">
      <c r="A1081" s="15" t="s">
        <v>7246</v>
      </c>
      <c r="B1081" s="12" t="str">
        <f>IFERROR(INDEX(Mots!$B:$B,MATCH($A1081,Mots!$A:$A,0)),"introuvable")</f>
        <v>roux</v>
      </c>
      <c r="S1081" s="15" t="s">
        <v>2325</v>
      </c>
    </row>
    <row r="1082" spans="1:23" x14ac:dyDescent="0.3">
      <c r="A1082" s="15" t="s">
        <v>7253</v>
      </c>
      <c r="B1082" s="12" t="str">
        <f>IFERROR(INDEX(Mots!$B:$B,MATCH($A1082,Mots!$A:$A,0)),"introuvable")</f>
        <v>rude</v>
      </c>
      <c r="S1082" s="15" t="s">
        <v>7366</v>
      </c>
      <c r="T1082" s="15" t="s">
        <v>6204</v>
      </c>
    </row>
    <row r="1083" spans="1:23" x14ac:dyDescent="0.3">
      <c r="A1083" s="15" t="s">
        <v>7255</v>
      </c>
      <c r="B1083" s="12" t="str">
        <f>IFERROR(INDEX(Mots!$B:$B,MATCH($A1083,Mots!$A:$A,0)),"introuvable")</f>
        <v>rusé</v>
      </c>
      <c r="S1083" s="15" t="s">
        <v>7777</v>
      </c>
    </row>
    <row r="1084" spans="1:23" x14ac:dyDescent="0.3">
      <c r="A1084" s="15" t="s">
        <v>7260</v>
      </c>
      <c r="B1084" s="12" t="str">
        <f>IFERROR(INDEX(Mots!$B:$B,MATCH($A1084,Mots!$A:$A,0)),"introuvable")</f>
        <v>saluer</v>
      </c>
      <c r="N1084" s="15" t="s">
        <v>7759</v>
      </c>
    </row>
    <row r="1085" spans="1:23" x14ac:dyDescent="0.3">
      <c r="A1085" s="15" t="s">
        <v>7268</v>
      </c>
      <c r="B1085" s="12" t="str">
        <f>IFERROR(INDEX(Mots!$B:$B,MATCH($A1085,Mots!$A:$A,0)),"introuvable")</f>
        <v>s'asseoir</v>
      </c>
      <c r="N1085" s="15" t="s">
        <v>7734</v>
      </c>
    </row>
    <row r="1086" spans="1:23" x14ac:dyDescent="0.3">
      <c r="A1086" s="8" t="s">
        <v>9624</v>
      </c>
      <c r="B1086" s="12" t="str">
        <f>IFERROR(INDEX(Mots!$B:$B,MATCH($A1086,Mots!$A:$A,0)),"introuvable")</f>
        <v>sauvage</v>
      </c>
      <c r="S1086" s="15" t="s">
        <v>7783</v>
      </c>
    </row>
    <row r="1087" spans="1:23" x14ac:dyDescent="0.3">
      <c r="A1087" s="15" t="s">
        <v>7285</v>
      </c>
      <c r="B1087" s="12" t="str">
        <f>IFERROR(INDEX(Mots!$B:$B,MATCH($A1087,Mots!$A:$A,0)),"introuvable")</f>
        <v>savoir</v>
      </c>
      <c r="N1087" s="15" t="s">
        <v>7033</v>
      </c>
    </row>
    <row r="1088" spans="1:23" x14ac:dyDescent="0.3">
      <c r="A1088" s="15" t="s">
        <v>7289</v>
      </c>
      <c r="B1088" s="12" t="str">
        <f>IFERROR(INDEX(Mots!$B:$B,MATCH($A1088,Mots!$A:$A,0)),"introuvable")</f>
        <v>se souvenir</v>
      </c>
      <c r="N1088" s="15" t="s">
        <v>7033</v>
      </c>
      <c r="O1088" s="15" t="s">
        <v>7764</v>
      </c>
    </row>
    <row r="1089" spans="1:23" x14ac:dyDescent="0.3">
      <c r="A1089" s="15" t="s">
        <v>7293</v>
      </c>
      <c r="B1089" s="12" t="str">
        <f>IFERROR(INDEX(Mots!$B:$B,MATCH($A1089,Mots!$A:$A,0)),"introuvable")</f>
        <v>sentir</v>
      </c>
      <c r="N1089" s="15" t="s">
        <v>7762</v>
      </c>
    </row>
    <row r="1090" spans="1:23" x14ac:dyDescent="0.3">
      <c r="A1090" s="15" t="s">
        <v>7314</v>
      </c>
      <c r="B1090" s="12" t="str">
        <f>IFERROR(INDEX(Mots!$B:$B,MATCH($A1090,Mots!$A:$A,0)),"introuvable")</f>
        <v>sortir</v>
      </c>
      <c r="N1090" s="15" t="s">
        <v>7727</v>
      </c>
    </row>
    <row r="1091" spans="1:23" x14ac:dyDescent="0.3">
      <c r="A1091" s="15" t="s">
        <v>7323</v>
      </c>
      <c r="B1091" s="12" t="str">
        <f>IFERROR(INDEX(Mots!$B:$B,MATCH($A1091,Mots!$A:$A,0)),"introuvable")</f>
        <v>souple</v>
      </c>
      <c r="S1091" s="15" t="s">
        <v>7366</v>
      </c>
      <c r="T1091" s="15" t="s">
        <v>7777</v>
      </c>
      <c r="U1091" s="15" t="s">
        <v>7781</v>
      </c>
    </row>
    <row r="1092" spans="1:23" x14ac:dyDescent="0.3">
      <c r="A1092" s="15" t="s">
        <v>7330</v>
      </c>
      <c r="B1092" s="12" t="str">
        <f>IFERROR(INDEX(Mots!$B:$B,MATCH($A1092,Mots!$A:$A,0)),"introuvable")</f>
        <v>Stéphanie Germanier</v>
      </c>
      <c r="W1092" s="15" t="s">
        <v>7789</v>
      </c>
    </row>
    <row r="1093" spans="1:23" x14ac:dyDescent="0.3">
      <c r="A1093" s="15" t="s">
        <v>7334</v>
      </c>
      <c r="B1093" s="12" t="str">
        <f>IFERROR(INDEX(Mots!$B:$B,MATCH($A1093,Mots!$A:$A,0)),"introuvable")</f>
        <v>supplier</v>
      </c>
      <c r="N1093" s="15" t="s">
        <v>7759</v>
      </c>
    </row>
    <row r="1094" spans="1:23" x14ac:dyDescent="0.3">
      <c r="A1094" s="15" t="s">
        <v>7338</v>
      </c>
      <c r="B1094" s="12" t="str">
        <f>IFERROR(INDEX(Mots!$B:$B,MATCH($A1094,Mots!$A:$A,0)),"introuvable")</f>
        <v>surtout</v>
      </c>
      <c r="G1094" s="15" t="s">
        <v>7812</v>
      </c>
    </row>
    <row r="1095" spans="1:23" x14ac:dyDescent="0.3">
      <c r="A1095" s="15" t="s">
        <v>7340</v>
      </c>
      <c r="B1095" s="12" t="str">
        <f>IFERROR(INDEX(Mots!$B:$B,MATCH($A1095,Mots!$A:$A,0)),"introuvable")</f>
        <v>tenir</v>
      </c>
      <c r="N1095" s="15" t="s">
        <v>7764</v>
      </c>
    </row>
    <row r="1096" spans="1:23" x14ac:dyDescent="0.3">
      <c r="A1096" s="15" t="s">
        <v>7346</v>
      </c>
      <c r="B1096" s="12" t="str">
        <f>IFERROR(INDEX(Mots!$B:$B,MATCH($A1096,Mots!$A:$A,0)),"introuvable")</f>
        <v>tiède</v>
      </c>
      <c r="G1096" s="15" t="s">
        <v>7812</v>
      </c>
    </row>
    <row r="1097" spans="1:23" x14ac:dyDescent="0.3">
      <c r="A1097" s="15" t="s">
        <v>7350</v>
      </c>
      <c r="B1097" s="12" t="str">
        <f>IFERROR(INDEX(Mots!$B:$B,MATCH($A1097,Mots!$A:$A,0)),"introuvable")</f>
        <v>tirer</v>
      </c>
      <c r="I1097" s="15" t="s">
        <v>3785</v>
      </c>
      <c r="N1097" s="15" t="s">
        <v>7759</v>
      </c>
    </row>
    <row r="1098" spans="1:23" x14ac:dyDescent="0.3">
      <c r="A1098" s="15" t="s">
        <v>7373</v>
      </c>
      <c r="B1098" s="12" t="str">
        <f>IFERROR(INDEX(Mots!$B:$B,MATCH($A1098,Mots!$A:$A,0)),"introuvable")</f>
        <v>touffu</v>
      </c>
      <c r="S1098" s="15" t="s">
        <v>7779</v>
      </c>
    </row>
    <row r="1099" spans="1:23" x14ac:dyDescent="0.3">
      <c r="A1099" s="15" t="s">
        <v>7375</v>
      </c>
      <c r="B1099" s="12" t="str">
        <f>IFERROR(INDEX(Mots!$B:$B,MATCH($A1099,Mots!$A:$A,0)),"introuvable")</f>
        <v>tranquille</v>
      </c>
      <c r="S1099" s="15" t="s">
        <v>7786</v>
      </c>
    </row>
    <row r="1100" spans="1:23" x14ac:dyDescent="0.3">
      <c r="A1100" s="15" t="s">
        <v>7381</v>
      </c>
      <c r="B1100" s="12" t="str">
        <f>IFERROR(INDEX(Mots!$B:$B,MATCH($A1100,Mots!$A:$A,0)),"introuvable")</f>
        <v>travailler</v>
      </c>
      <c r="I1100" s="15" t="s">
        <v>73</v>
      </c>
      <c r="N1100" s="15" t="s">
        <v>7382</v>
      </c>
    </row>
    <row r="1101" spans="1:23" x14ac:dyDescent="0.3">
      <c r="A1101" s="15" t="s">
        <v>7385</v>
      </c>
      <c r="B1101" s="12" t="str">
        <f>IFERROR(INDEX(Mots!$B:$B,MATCH($A1101,Mots!$A:$A,0)),"introuvable")</f>
        <v>très</v>
      </c>
      <c r="G1101" s="15" t="s">
        <v>7771</v>
      </c>
    </row>
    <row r="1102" spans="1:23" x14ac:dyDescent="0.3">
      <c r="A1102" s="15" t="s">
        <v>7388</v>
      </c>
      <c r="B1102" s="12" t="str">
        <f>IFERROR(INDEX(Mots!$B:$B,MATCH($A1102,Mots!$A:$A,0)),"introuvable")</f>
        <v>trop</v>
      </c>
      <c r="G1102" s="15" t="s">
        <v>4961</v>
      </c>
    </row>
    <row r="1103" spans="1:23" x14ac:dyDescent="0.3">
      <c r="A1103" s="15" t="s">
        <v>7403</v>
      </c>
      <c r="B1103" s="12" t="str">
        <f>IFERROR(INDEX(Mots!$B:$B,MATCH($A1103,Mots!$A:$A,0)),"introuvable")</f>
        <v>velouté</v>
      </c>
      <c r="S1103" s="15" t="s">
        <v>7366</v>
      </c>
      <c r="T1103" s="15" t="s">
        <v>6204</v>
      </c>
    </row>
    <row r="1104" spans="1:23" x14ac:dyDescent="0.3">
      <c r="A1104" s="15" t="s">
        <v>7407</v>
      </c>
      <c r="B1104" s="12" t="str">
        <f>IFERROR(INDEX(Mots!$B:$B,MATCH($A1104,Mots!$A:$A,0)),"introuvable")</f>
        <v>vendre</v>
      </c>
      <c r="I1104" s="15" t="s">
        <v>73</v>
      </c>
      <c r="N1104" s="15" t="s">
        <v>7382</v>
      </c>
      <c r="O1104" s="15" t="s">
        <v>7764</v>
      </c>
    </row>
    <row r="1105" spans="1:20" x14ac:dyDescent="0.3">
      <c r="A1105" s="15" t="s">
        <v>7412</v>
      </c>
      <c r="B1105" s="12" t="str">
        <f>IFERROR(INDEX(Mots!$B:$B,MATCH($A1105,Mots!$A:$A,0)),"introuvable")</f>
        <v>venir</v>
      </c>
      <c r="I1105" s="15" t="s">
        <v>3785</v>
      </c>
      <c r="N1105" s="15" t="s">
        <v>7759</v>
      </c>
    </row>
    <row r="1106" spans="1:20" x14ac:dyDescent="0.3">
      <c r="A1106" s="15" t="s">
        <v>7420</v>
      </c>
      <c r="B1106" s="12" t="str">
        <f>IFERROR(INDEX(Mots!$B:$B,MATCH($A1106,Mots!$A:$A,0)),"introuvable")</f>
        <v>vif - vive</v>
      </c>
      <c r="S1106" s="15" t="s">
        <v>7777</v>
      </c>
      <c r="T1106" s="15" t="s">
        <v>3025</v>
      </c>
    </row>
    <row r="1107" spans="1:20" x14ac:dyDescent="0.3">
      <c r="A1107" s="8" t="s">
        <v>9640</v>
      </c>
      <c r="B1107" s="12" t="str">
        <f>IFERROR(INDEX(Mots!$B:$B,MATCH($A1107,Mots!$A:$A,0)),"introuvable")</f>
        <v>vite</v>
      </c>
      <c r="G1107" s="15" t="s">
        <v>3025</v>
      </c>
    </row>
    <row r="1108" spans="1:20" x14ac:dyDescent="0.3">
      <c r="A1108" s="15" t="s">
        <v>7439</v>
      </c>
      <c r="B1108" s="12" t="str">
        <f>IFERROR(INDEX(Mots!$B:$B,MATCH($A1108,Mots!$A:$A,0)),"introuvable")</f>
        <v>voler</v>
      </c>
      <c r="I1108" s="15" t="s">
        <v>3785</v>
      </c>
      <c r="N1108" s="15" t="s">
        <v>7727</v>
      </c>
    </row>
    <row r="1109" spans="1:20" x14ac:dyDescent="0.3">
      <c r="A1109" s="15" t="s">
        <v>7443</v>
      </c>
      <c r="B1109" s="12" t="str">
        <f>IFERROR(INDEX(Mots!$B:$B,MATCH($A1109,Mots!$A:$A,0)),"introuvable")</f>
        <v>vouloir</v>
      </c>
      <c r="N1109" s="15" t="s">
        <v>7762</v>
      </c>
    </row>
    <row r="1110" spans="1:20" x14ac:dyDescent="0.3">
      <c r="A1110" s="15" t="s">
        <v>7452</v>
      </c>
      <c r="B1110" s="12" t="str">
        <f>IFERROR(INDEX(Mots!$B:$B,MATCH($A1110,Mots!$A:$A,0)),"introuvable")</f>
        <v>zéro</v>
      </c>
      <c r="G1110" s="15" t="s">
        <v>6029</v>
      </c>
    </row>
    <row r="1111" spans="1:20" x14ac:dyDescent="0.3">
      <c r="A1111" s="15" t="s">
        <v>7456</v>
      </c>
      <c r="B1111" s="12" t="str">
        <f>IFERROR(INDEX(Mots!$B:$B,MATCH($A1111,Mots!$A:$A,0)),"introuvable")</f>
        <v>le yogurt</v>
      </c>
      <c r="C1111" s="15" t="s">
        <v>7747</v>
      </c>
      <c r="I1111" s="15" t="s">
        <v>702</v>
      </c>
      <c r="N1111" s="15" t="s">
        <v>7718</v>
      </c>
    </row>
    <row r="1112" spans="1:20" x14ac:dyDescent="0.3">
      <c r="A1112" s="15" t="s">
        <v>7460</v>
      </c>
      <c r="B1112" s="12" t="str">
        <f>IFERROR(INDEX(Mots!$B:$B,MATCH($A1112,Mots!$A:$A,0)),"introuvable")</f>
        <v>le vinaigre</v>
      </c>
      <c r="C1112" s="15" t="s">
        <v>7747</v>
      </c>
      <c r="I1112" s="15" t="s">
        <v>702</v>
      </c>
      <c r="N1112" s="15" t="s">
        <v>7718</v>
      </c>
    </row>
    <row r="1113" spans="1:20" x14ac:dyDescent="0.3">
      <c r="A1113" s="15" t="s">
        <v>117</v>
      </c>
      <c r="B1113" s="12" t="str">
        <f>IFERROR(INDEX(Mots!$B:$B,MATCH($A1113,Mots!$A:$A,0)),"introuvable")</f>
        <v>les accompagnements</v>
      </c>
      <c r="C1113" s="15" t="s">
        <v>7747</v>
      </c>
      <c r="I1113" s="15" t="s">
        <v>702</v>
      </c>
      <c r="N1113" s="15" t="s">
        <v>7718</v>
      </c>
    </row>
    <row r="1114" spans="1:20" x14ac:dyDescent="0.3">
      <c r="A1114" s="15" t="s">
        <v>7468</v>
      </c>
      <c r="B1114" s="12" t="str">
        <f>IFERROR(INDEX(Mots!$B:$B,MATCH($A1114,Mots!$A:$A,0)),"introuvable")</f>
        <v>le tiramisu</v>
      </c>
      <c r="I1114" s="15" t="s">
        <v>702</v>
      </c>
      <c r="N1114" s="15" t="s">
        <v>7718</v>
      </c>
    </row>
    <row r="1115" spans="1:20" x14ac:dyDescent="0.3">
      <c r="A1115" s="15" t="s">
        <v>7472</v>
      </c>
      <c r="B1115" s="12" t="str">
        <f>IFERROR(INDEX(Mots!$B:$B,MATCH($A1115,Mots!$A:$A,0)),"introuvable")</f>
        <v>une coupe aux fraises</v>
      </c>
      <c r="C1115" s="15" t="s">
        <v>7747</v>
      </c>
      <c r="I1115" s="15" t="s">
        <v>702</v>
      </c>
      <c r="N1115" s="15" t="s">
        <v>7718</v>
      </c>
    </row>
    <row r="1116" spans="1:20" x14ac:dyDescent="0.3">
      <c r="A1116" s="15" t="s">
        <v>7476</v>
      </c>
      <c r="B1116" s="12" t="str">
        <f>IFERROR(INDEX(Mots!$B:$B,MATCH($A1116,Mots!$A:$A,0)),"introuvable")</f>
        <v>le big mac chez Mc Donald</v>
      </c>
      <c r="I1116" s="15" t="s">
        <v>702</v>
      </c>
      <c r="N1116" s="15" t="s">
        <v>7718</v>
      </c>
    </row>
    <row r="1117" spans="1:20" x14ac:dyDescent="0.3">
      <c r="A1117" s="15" t="s">
        <v>7480</v>
      </c>
      <c r="B1117" s="12" t="str">
        <f>IFERROR(INDEX(Mots!$B:$B,MATCH($A1117,Mots!$A:$A,0)),"introuvable")</f>
        <v>le carrelage</v>
      </c>
      <c r="I1117" s="15" t="s">
        <v>34</v>
      </c>
    </row>
    <row r="1118" spans="1:20" x14ac:dyDescent="0.3">
      <c r="A1118" s="15" t="s">
        <v>7484</v>
      </c>
      <c r="B1118" s="12" t="str">
        <f>IFERROR(INDEX(Mots!$B:$B,MATCH($A1118,Mots!$A:$A,0)),"introuvable")</f>
        <v>la poignée de la porte</v>
      </c>
      <c r="I1118" s="15" t="s">
        <v>34</v>
      </c>
    </row>
    <row r="1119" spans="1:20" x14ac:dyDescent="0.3">
      <c r="A1119" s="15" t="s">
        <v>7492</v>
      </c>
      <c r="B1119" s="12" t="str">
        <f>IFERROR(INDEX(Mots!$B:$B,MATCH($A1119,Mots!$A:$A,0)),"introuvable")</f>
        <v>la note</v>
      </c>
      <c r="I1119" s="15" t="s">
        <v>7716</v>
      </c>
      <c r="N1119" s="15" t="s">
        <v>7730</v>
      </c>
    </row>
    <row r="1120" spans="1:20" x14ac:dyDescent="0.3">
      <c r="A1120" s="15" t="s">
        <v>7496</v>
      </c>
      <c r="B1120" s="12" t="str">
        <f>IFERROR(INDEX(Mots!$B:$B,MATCH($A1120,Mots!$A:$A,0)),"introuvable")</f>
        <v>la gamme</v>
      </c>
      <c r="I1120" s="15" t="s">
        <v>7716</v>
      </c>
      <c r="N1120" s="15" t="s">
        <v>7730</v>
      </c>
    </row>
    <row r="1121" spans="1:23" x14ac:dyDescent="0.3">
      <c r="A1121" s="15" t="s">
        <v>7500</v>
      </c>
      <c r="B1121" s="12" t="str">
        <f>IFERROR(INDEX(Mots!$B:$B,MATCH($A1121,Mots!$A:$A,0)),"introuvable")</f>
        <v>le métronome</v>
      </c>
      <c r="C1121" s="15" t="s">
        <v>5293</v>
      </c>
      <c r="I1121" s="15" t="s">
        <v>7716</v>
      </c>
      <c r="N1121" s="15" t="s">
        <v>7730</v>
      </c>
    </row>
    <row r="1122" spans="1:23" x14ac:dyDescent="0.3">
      <c r="A1122" s="15" t="s">
        <v>7504</v>
      </c>
      <c r="B1122" s="12" t="str">
        <f>IFERROR(INDEX(Mots!$B:$B,MATCH($A1122,Mots!$A:$A,0)),"introuvable")</f>
        <v>le levier de vitesse</v>
      </c>
      <c r="E1122" s="15" t="s">
        <v>2851</v>
      </c>
      <c r="I1122" s="15" t="s">
        <v>2851</v>
      </c>
      <c r="N1122" s="15" t="s">
        <v>7727</v>
      </c>
    </row>
    <row r="1123" spans="1:23" x14ac:dyDescent="0.3">
      <c r="A1123" s="15" t="s">
        <v>7508</v>
      </c>
      <c r="B1123" s="12" t="str">
        <f>IFERROR(INDEX(Mots!$B:$B,MATCH($A1123,Mots!$A:$A,0)),"introuvable")</f>
        <v>récurrer</v>
      </c>
      <c r="I1123" s="15" t="s">
        <v>34</v>
      </c>
      <c r="N1123" s="15" t="s">
        <v>6965</v>
      </c>
    </row>
    <row r="1124" spans="1:23" x14ac:dyDescent="0.3">
      <c r="A1124" s="15" t="s">
        <v>7512</v>
      </c>
      <c r="B1124" s="12" t="str">
        <f>IFERROR(INDEX(Mots!$B:$B,MATCH($A1124,Mots!$A:$A,0)),"introuvable")</f>
        <v>l'appareil photo</v>
      </c>
      <c r="C1124" s="15" t="s">
        <v>5293</v>
      </c>
    </row>
    <row r="1125" spans="1:23" x14ac:dyDescent="0.3">
      <c r="A1125" s="15" t="s">
        <v>7516</v>
      </c>
      <c r="B1125" s="12" t="str">
        <f>IFERROR(INDEX(Mots!$B:$B,MATCH($A1125,Mots!$A:$A,0)),"introuvable")</f>
        <v>le léopard</v>
      </c>
      <c r="C1125" s="15" t="s">
        <v>2816</v>
      </c>
      <c r="I1125" s="15" t="s">
        <v>3785</v>
      </c>
    </row>
    <row r="1126" spans="1:23" x14ac:dyDescent="0.3">
      <c r="A1126" s="15" t="s">
        <v>7522</v>
      </c>
      <c r="B1126" s="12" t="str">
        <f>IFERROR(INDEX(Mots!$B:$B,MATCH($A1126,Mots!$A:$A,0)),"introuvable")</f>
        <v>le moustique</v>
      </c>
      <c r="C1126" s="15" t="s">
        <v>1169</v>
      </c>
      <c r="I1126" s="15" t="s">
        <v>3785</v>
      </c>
    </row>
    <row r="1127" spans="1:23" x14ac:dyDescent="0.3">
      <c r="A1127" s="15" t="s">
        <v>7526</v>
      </c>
      <c r="B1127" s="12" t="str">
        <f>IFERROR(INDEX(Mots!$B:$B,MATCH($A1127,Mots!$A:$A,0)),"introuvable")</f>
        <v>le maïs</v>
      </c>
      <c r="C1127" s="15" t="s">
        <v>7747</v>
      </c>
      <c r="I1127" s="15" t="s">
        <v>702</v>
      </c>
      <c r="J1127" s="15" t="s">
        <v>3785</v>
      </c>
      <c r="N1127" s="15" t="s">
        <v>7718</v>
      </c>
    </row>
    <row r="1128" spans="1:23" x14ac:dyDescent="0.3">
      <c r="A1128" s="15" t="s">
        <v>7534</v>
      </c>
      <c r="B1128" s="12" t="str">
        <f>IFERROR(INDEX(Mots!$B:$B,MATCH($A1128,Mots!$A:$A,0)),"introuvable")</f>
        <v>tousser</v>
      </c>
      <c r="I1128" s="15" t="s">
        <v>5062</v>
      </c>
      <c r="N1128" s="15" t="s">
        <v>7725</v>
      </c>
    </row>
    <row r="1129" spans="1:23" x14ac:dyDescent="0.3">
      <c r="A1129" s="15" t="s">
        <v>7537</v>
      </c>
      <c r="B1129" s="12" t="str">
        <f>IFERROR(INDEX(Mots!$B:$B,MATCH($A1129,Mots!$A:$A,0)),"introuvable")</f>
        <v>jambon</v>
      </c>
      <c r="C1129" s="15" t="s">
        <v>7747</v>
      </c>
      <c r="I1129" s="15" t="s">
        <v>702</v>
      </c>
      <c r="N1129" s="15" t="s">
        <v>7718</v>
      </c>
    </row>
    <row r="1130" spans="1:23" x14ac:dyDescent="0.3">
      <c r="A1130" s="15" t="s">
        <v>7542</v>
      </c>
      <c r="B1130" s="12" t="str">
        <f>IFERROR(INDEX(Mots!$B:$B,MATCH($A1130,Mots!$A:$A,0)),"introuvable")</f>
        <v>grand-maman Emma</v>
      </c>
      <c r="W1130" s="15" t="s">
        <v>29</v>
      </c>
    </row>
    <row r="1131" spans="1:23" x14ac:dyDescent="0.3">
      <c r="A1131" s="15" t="s">
        <v>7547</v>
      </c>
      <c r="B1131" s="12" t="str">
        <f>IFERROR(INDEX(Mots!$B:$B,MATCH($A1131,Mots!$A:$A,0)),"introuvable")</f>
        <v>grand-papa Maurice</v>
      </c>
      <c r="W1131" s="15" t="s">
        <v>29</v>
      </c>
    </row>
    <row r="1132" spans="1:23" x14ac:dyDescent="0.3">
      <c r="A1132" s="15" t="s">
        <v>7551</v>
      </c>
      <c r="B1132" s="12" t="str">
        <f>IFERROR(INDEX(Mots!$B:$B,MATCH($A1132,Mots!$A:$A,0)),"introuvable")</f>
        <v>l'oncle Bernard</v>
      </c>
      <c r="W1132" s="15" t="s">
        <v>29</v>
      </c>
    </row>
    <row r="1133" spans="1:23" x14ac:dyDescent="0.3">
      <c r="A1133" s="15" t="s">
        <v>7555</v>
      </c>
      <c r="B1133" s="12" t="str">
        <f>IFERROR(INDEX(Mots!$B:$B,MATCH($A1133,Mots!$A:$A,0)),"introuvable")</f>
        <v>l'oncle Marcel</v>
      </c>
      <c r="W1133" s="15" t="s">
        <v>29</v>
      </c>
    </row>
    <row r="1134" spans="1:23" x14ac:dyDescent="0.3">
      <c r="A1134" s="15" t="s">
        <v>7559</v>
      </c>
      <c r="B1134" s="12" t="str">
        <f>IFERROR(INDEX(Mots!$B:$B,MATCH($A1134,Mots!$A:$A,0)),"introuvable")</f>
        <v>tante Lucienne</v>
      </c>
      <c r="W1134" s="15" t="s">
        <v>29</v>
      </c>
    </row>
    <row r="1135" spans="1:23" x14ac:dyDescent="0.3">
      <c r="A1135" s="15" t="s">
        <v>7563</v>
      </c>
      <c r="B1135" s="12" t="str">
        <f>IFERROR(INDEX(Mots!$B:$B,MATCH($A1135,Mots!$A:$A,0)),"introuvable")</f>
        <v>tante Edith</v>
      </c>
      <c r="W1135" s="15" t="s">
        <v>29</v>
      </c>
    </row>
    <row r="1136" spans="1:23" x14ac:dyDescent="0.3">
      <c r="A1136" s="15" t="s">
        <v>7576</v>
      </c>
      <c r="B1136" s="12" t="str">
        <f>IFERROR(INDEX(Mots!$B:$B,MATCH($A1136,Mots!$A:$A,0)),"introuvable")</f>
        <v>interdire</v>
      </c>
      <c r="N1136" s="15" t="s">
        <v>7759</v>
      </c>
    </row>
    <row r="1137" spans="1:15" x14ac:dyDescent="0.3">
      <c r="A1137" s="15" t="s">
        <v>7583</v>
      </c>
      <c r="B1137" s="12" t="str">
        <f>IFERROR(INDEX(Mots!$B:$B,MATCH($A1137,Mots!$A:$A,0)),"introuvable")</f>
        <v>la capsule Nespresso</v>
      </c>
      <c r="C1137" s="15" t="s">
        <v>5293</v>
      </c>
    </row>
    <row r="1138" spans="1:15" x14ac:dyDescent="0.3">
      <c r="A1138" s="15" t="s">
        <v>1656</v>
      </c>
      <c r="B1138" s="12" t="str">
        <f>IFERROR(INDEX(Mots!$B:$B,MATCH($A1138,Mots!$A:$A,0)),"introuvable")</f>
        <v>la terre</v>
      </c>
      <c r="I1138" s="15" t="s">
        <v>3785</v>
      </c>
    </row>
    <row r="1139" spans="1:15" x14ac:dyDescent="0.3">
      <c r="A1139" s="15" t="s">
        <v>6049</v>
      </c>
      <c r="B1139" s="12" t="str">
        <f>IFERROR(INDEX(Mots!$B:$B,MATCH($A1139,Mots!$A:$A,0)),"introuvable")</f>
        <v>le numéro</v>
      </c>
      <c r="I1139" s="15" t="s">
        <v>82</v>
      </c>
    </row>
    <row r="1140" spans="1:15" x14ac:dyDescent="0.3">
      <c r="A1140" s="15" t="s">
        <v>6061</v>
      </c>
      <c r="B1140" s="12" t="str">
        <f>IFERROR(INDEX(Mots!$B:$B,MATCH($A1140,Mots!$A:$A,0)),"introuvable")</f>
        <v>le panneau</v>
      </c>
      <c r="I1140" s="15" t="s">
        <v>82</v>
      </c>
    </row>
    <row r="1141" spans="1:15" x14ac:dyDescent="0.3">
      <c r="A1141" s="15" t="s">
        <v>23</v>
      </c>
      <c r="B1141" s="12" t="str">
        <f>IFERROR(INDEX(Mots!$B:$B,MATCH($A1141,Mots!$A:$A,0)),"introuvable")</f>
        <v>la nourriture</v>
      </c>
      <c r="C1141" s="15" t="s">
        <v>7747</v>
      </c>
      <c r="N1141" s="15" t="s">
        <v>7718</v>
      </c>
    </row>
    <row r="1142" spans="1:15" x14ac:dyDescent="0.3">
      <c r="A1142" s="15" t="s">
        <v>7604</v>
      </c>
      <c r="B1142" s="12" t="str">
        <f>IFERROR(INDEX(Mots!$B:$B,MATCH($A1142,Mots!$A:$A,0)),"introuvable")</f>
        <v>habiter</v>
      </c>
      <c r="I1142" s="15" t="s">
        <v>34</v>
      </c>
      <c r="J1142" s="15" t="s">
        <v>82</v>
      </c>
    </row>
    <row r="1143" spans="1:15" x14ac:dyDescent="0.3">
      <c r="A1143" s="15" t="s">
        <v>7607</v>
      </c>
      <c r="B1143" s="12" t="str">
        <f>IFERROR(INDEX(Mots!$B:$B,MATCH($A1143,Mots!$A:$A,0)),"introuvable")</f>
        <v>éclairer</v>
      </c>
      <c r="I1143" s="15" t="s">
        <v>702</v>
      </c>
      <c r="J1143" s="15" t="s">
        <v>817</v>
      </c>
      <c r="K1143" s="15" t="s">
        <v>73</v>
      </c>
      <c r="N1143" s="15" t="s">
        <v>7764</v>
      </c>
    </row>
    <row r="1144" spans="1:15" x14ac:dyDescent="0.3">
      <c r="A1144" s="15" t="s">
        <v>249</v>
      </c>
      <c r="B1144" s="12" t="str">
        <f>IFERROR(INDEX(Mots!$B:$B,MATCH($A1144,Mots!$A:$A,0)),"introuvable")</f>
        <v>le souper</v>
      </c>
      <c r="I1144" s="15" t="s">
        <v>702</v>
      </c>
      <c r="N1144" s="15" t="s">
        <v>7718</v>
      </c>
    </row>
    <row r="1145" spans="1:15" x14ac:dyDescent="0.3">
      <c r="A1145" s="15" t="s">
        <v>7612</v>
      </c>
      <c r="B1145" s="12" t="str">
        <f>IFERROR(INDEX(Mots!$B:$B,MATCH($A1145,Mots!$A:$A,0)),"introuvable")</f>
        <v>le pommier</v>
      </c>
      <c r="C1145" s="15" t="s">
        <v>2816</v>
      </c>
      <c r="I1145" s="15" t="s">
        <v>3785</v>
      </c>
    </row>
    <row r="1146" spans="1:15" x14ac:dyDescent="0.3">
      <c r="A1146" s="15" t="s">
        <v>7615</v>
      </c>
      <c r="B1146" s="12" t="str">
        <f>IFERROR(INDEX(Mots!$B:$B,MATCH($A1146,Mots!$A:$A,0)),"introuvable")</f>
        <v>griller</v>
      </c>
      <c r="I1146" s="15" t="s">
        <v>702</v>
      </c>
      <c r="N1146" s="15" t="s">
        <v>7718</v>
      </c>
      <c r="O1146" s="15" t="s">
        <v>7720</v>
      </c>
    </row>
    <row r="1147" spans="1:15" x14ac:dyDescent="0.3">
      <c r="A1147" s="15" t="s">
        <v>1169</v>
      </c>
      <c r="B1147" s="12" t="str">
        <f>IFERROR(INDEX(Mots!$B:$B,MATCH($A1147,Mots!$A:$A,0)),"introuvable")</f>
        <v>animal</v>
      </c>
      <c r="C1147" s="15" t="s">
        <v>1169</v>
      </c>
      <c r="I1147" s="15" t="s">
        <v>3785</v>
      </c>
    </row>
    <row r="1148" spans="1:15" x14ac:dyDescent="0.3">
      <c r="A1148" s="15" t="s">
        <v>242</v>
      </c>
      <c r="B1148" s="12" t="str">
        <f>IFERROR(INDEX(Mots!$B:$B,MATCH($A1148,Mots!$A:$A,0)),"introuvable")</f>
        <v>L'assaisonnement</v>
      </c>
      <c r="I1148" s="15" t="s">
        <v>702</v>
      </c>
      <c r="N1148" s="15" t="s">
        <v>7718</v>
      </c>
    </row>
    <row r="1149" spans="1:15" x14ac:dyDescent="0.3">
      <c r="A1149" s="15" t="s">
        <v>7621</v>
      </c>
      <c r="B1149" s="12" t="str">
        <f>IFERROR(INDEX(Mots!$B:$B,MATCH($A1149,Mots!$A:$A,0)),"introuvable")</f>
        <v>conduire</v>
      </c>
      <c r="I1149" s="15" t="s">
        <v>2851</v>
      </c>
      <c r="N1149" s="15" t="s">
        <v>7727</v>
      </c>
    </row>
    <row r="1150" spans="1:15" x14ac:dyDescent="0.3">
      <c r="A1150" s="15" t="s">
        <v>7624</v>
      </c>
      <c r="B1150" s="12" t="str">
        <f>IFERROR(INDEX(Mots!$B:$B,MATCH($A1150,Mots!$A:$A,0)),"introuvable")</f>
        <v>un habit</v>
      </c>
      <c r="C1150" s="15" t="s">
        <v>6578</v>
      </c>
      <c r="I1150" s="15" t="s">
        <v>34</v>
      </c>
      <c r="N1150" s="15" t="s">
        <v>7723</v>
      </c>
    </row>
    <row r="1151" spans="1:15" x14ac:dyDescent="0.3">
      <c r="A1151" s="15" t="s">
        <v>7627</v>
      </c>
      <c r="B1151" s="12" t="str">
        <f>IFERROR(INDEX(Mots!$B:$B,MATCH($A1151,Mots!$A:$A,0)),"introuvable")</f>
        <v>traverser</v>
      </c>
      <c r="I1151" s="15" t="s">
        <v>3785</v>
      </c>
      <c r="J1151" s="15" t="s">
        <v>82</v>
      </c>
    </row>
    <row r="1152" spans="1:15" x14ac:dyDescent="0.3">
      <c r="A1152" s="15" t="s">
        <v>7630</v>
      </c>
      <c r="B1152" s="12" t="str">
        <f>IFERROR(INDEX(Mots!$B:$B,MATCH($A1152,Mots!$A:$A,0)),"introuvable")</f>
        <v>avaler</v>
      </c>
      <c r="N1152" s="15" t="s">
        <v>7718</v>
      </c>
    </row>
    <row r="1153" spans="1:14" x14ac:dyDescent="0.3">
      <c r="A1153" s="15" t="s">
        <v>7632</v>
      </c>
      <c r="B1153" s="12" t="str">
        <f>IFERROR(INDEX(Mots!$B:$B,MATCH($A1153,Mots!$A:$A,0)),"introuvable")</f>
        <v>le verre</v>
      </c>
      <c r="C1153" s="15" t="s">
        <v>4650</v>
      </c>
      <c r="I1153" s="15" t="s">
        <v>702</v>
      </c>
      <c r="N1153" s="15" t="s">
        <v>7718</v>
      </c>
    </row>
    <row r="1154" spans="1:14" x14ac:dyDescent="0.3">
      <c r="A1154" s="15" t="s">
        <v>7650</v>
      </c>
      <c r="B1154" s="12" t="str">
        <f>IFERROR(INDEX(Mots!$B:$B,MATCH($A1154,Mots!$A:$A,0)),"introuvable")</f>
        <v>le produit ou gel de douche</v>
      </c>
      <c r="I1154" s="15" t="s">
        <v>2767</v>
      </c>
      <c r="N1154" s="15" t="s">
        <v>6965</v>
      </c>
    </row>
    <row r="1155" spans="1:14" x14ac:dyDescent="0.3">
      <c r="A1155" s="15" t="s">
        <v>7656</v>
      </c>
      <c r="B1155" s="12" t="str">
        <f>IFERROR(INDEX(Mots!$B:$B,MATCH($A1155,Mots!$A:$A,0)),"introuvable")</f>
        <v>l'aile</v>
      </c>
      <c r="E1155" s="15" t="s">
        <v>1169</v>
      </c>
    </row>
    <row r="1156" spans="1:14" x14ac:dyDescent="0.3">
      <c r="A1156" s="15" t="s">
        <v>7664</v>
      </c>
      <c r="B1156" s="12" t="str">
        <f>IFERROR(INDEX(Mots!$B:$B,MATCH($A1156,Mots!$A:$A,0)),"introuvable")</f>
        <v>l'aile</v>
      </c>
      <c r="E1156" s="15" t="s">
        <v>7740</v>
      </c>
    </row>
    <row r="1157" spans="1:14" x14ac:dyDescent="0.3">
      <c r="A1157" s="15" t="s">
        <v>7672</v>
      </c>
      <c r="B1157" s="12" t="str">
        <f>IFERROR(INDEX(Mots!$B:$B,MATCH($A1157,Mots!$A:$A,0)),"introuvable")</f>
        <v>le virage</v>
      </c>
      <c r="I1157" s="15" t="s">
        <v>2851</v>
      </c>
    </row>
  </sheetData>
  <dataValidations count="1">
    <dataValidation type="list" allowBlank="1" showInputMessage="1" showErrorMessage="1" errorTitle="Valeur inconnue" error="Cette valeur n'existe pas dans la feuille de référence." promptTitle="Liste" prompt="Tag de la famille indiquée dans l'en-tête." sqref="C2:AB1937" xr:uid="{00000000-0002-0000-0800-000000000000}">
      <formula1>liste_tags</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01"/>
  <sheetViews>
    <sheetView workbookViewId="0">
      <pane xSplit="2" ySplit="1" topLeftCell="C146" activePane="bottomRight" state="frozen"/>
      <selection pane="topRight"/>
      <selection pane="bottomLeft"/>
      <selection pane="bottomRight" activeCell="F156" sqref="F156"/>
    </sheetView>
  </sheetViews>
  <sheetFormatPr baseColWidth="10" defaultColWidth="8.796875" defaultRowHeight="17.399999999999999" x14ac:dyDescent="0.4"/>
  <cols>
    <col min="1" max="1" width="24" style="39" customWidth="1"/>
    <col min="2" max="2" width="30" style="39" customWidth="1"/>
    <col min="3" max="5" width="26" style="39" customWidth="1"/>
    <col min="6" max="16384" width="8.796875" style="39"/>
  </cols>
  <sheetData>
    <row r="1" spans="1:5" x14ac:dyDescent="0.4">
      <c r="A1" s="38" t="s">
        <v>7697</v>
      </c>
      <c r="B1" s="38" t="s">
        <v>7698</v>
      </c>
      <c r="C1" s="38" t="s">
        <v>7840</v>
      </c>
      <c r="D1" s="38" t="s">
        <v>7841</v>
      </c>
      <c r="E1" s="38" t="s">
        <v>7842</v>
      </c>
    </row>
    <row r="2" spans="1:5" x14ac:dyDescent="0.4">
      <c r="A2" s="40" t="s">
        <v>6578</v>
      </c>
      <c r="B2" s="41" t="str">
        <f>IFERROR(INDEX(Mots!$B:$B,MATCH($A2,Mots!$A:$A,0)),"introuvable")</f>
        <v>le vêtement</v>
      </c>
      <c r="C2" s="40" t="s">
        <v>9741</v>
      </c>
    </row>
    <row r="3" spans="1:5" x14ac:dyDescent="0.4">
      <c r="A3" s="40" t="s">
        <v>7624</v>
      </c>
      <c r="B3" s="41" t="str">
        <f>IFERROR(INDEX(Mots!$B:$B,MATCH($A3,Mots!$A:$A,0)),"introuvable")</f>
        <v>un habit</v>
      </c>
      <c r="C3" s="40" t="s">
        <v>6579</v>
      </c>
    </row>
    <row r="4" spans="1:5" x14ac:dyDescent="0.4">
      <c r="A4" s="40" t="s">
        <v>553</v>
      </c>
      <c r="B4" s="41" t="str">
        <f>IFERROR(INDEX(Mots!$B:$B,MATCH($A4,Mots!$A:$A,0)),"introuvable")</f>
        <v>la pelouse</v>
      </c>
      <c r="C4" s="40" t="s">
        <v>7843</v>
      </c>
    </row>
    <row r="5" spans="1:5" x14ac:dyDescent="0.4">
      <c r="A5" s="40" t="s">
        <v>705</v>
      </c>
      <c r="B5" s="41" t="str">
        <f>IFERROR(INDEX(Mots!$B:$B,MATCH($A5,Mots!$A:$A,0)),"introuvable")</f>
        <v>le frigo</v>
      </c>
      <c r="C5" s="40" t="s">
        <v>7844</v>
      </c>
    </row>
    <row r="6" spans="1:5" x14ac:dyDescent="0.4">
      <c r="A6" s="40" t="s">
        <v>820</v>
      </c>
      <c r="B6" s="41" t="str">
        <f>IFERROR(INDEX(Mots!$B:$B,MATCH($A6,Mots!$A:$A,0)),"introuvable")</f>
        <v>le canapé</v>
      </c>
      <c r="C6" s="40" t="s">
        <v>7845</v>
      </c>
      <c r="D6" s="40" t="s">
        <v>7846</v>
      </c>
    </row>
    <row r="7" spans="1:5" x14ac:dyDescent="0.4">
      <c r="A7" s="40" t="s">
        <v>434</v>
      </c>
      <c r="B7" s="41" t="str">
        <f>IFERROR(INDEX(Mots!$B:$B,MATCH($A7,Mots!$A:$A,0)),"introuvable")</f>
        <v>le rapport</v>
      </c>
      <c r="C7" s="40" t="s">
        <v>7847</v>
      </c>
    </row>
    <row r="8" spans="1:5" x14ac:dyDescent="0.4">
      <c r="A8" s="40" t="s">
        <v>1841</v>
      </c>
      <c r="B8" s="41" t="str">
        <f>IFERROR(INDEX(Mots!$B:$B,MATCH($A8,Mots!$A:$A,0)),"introuvable")</f>
        <v>le salaire</v>
      </c>
      <c r="C8" s="40" t="s">
        <v>7848</v>
      </c>
    </row>
    <row r="9" spans="1:5" x14ac:dyDescent="0.4">
      <c r="A9" s="40" t="s">
        <v>6204</v>
      </c>
      <c r="B9" s="41" t="str">
        <f>IFERROR(INDEX(Mots!$B:$B,MATCH($A9,Mots!$A:$A,0)),"introuvable")</f>
        <v>le prix</v>
      </c>
      <c r="C9" s="40" t="s">
        <v>7849</v>
      </c>
      <c r="D9" s="40" t="s">
        <v>7850</v>
      </c>
    </row>
    <row r="10" spans="1:5" x14ac:dyDescent="0.4">
      <c r="A10" s="40" t="s">
        <v>2851</v>
      </c>
      <c r="B10" s="41" t="str">
        <f>IFERROR(INDEX(Mots!$B:$B,MATCH($A10,Mots!$A:$A,0)),"introuvable")</f>
        <v>la voiture</v>
      </c>
      <c r="C10" s="40" t="s">
        <v>7851</v>
      </c>
      <c r="D10" s="40" t="s">
        <v>7852</v>
      </c>
    </row>
    <row r="11" spans="1:5" x14ac:dyDescent="0.4">
      <c r="A11" s="40" t="s">
        <v>2839</v>
      </c>
      <c r="B11" s="41" t="str">
        <f>IFERROR(INDEX(Mots!$B:$B,MATCH($A11,Mots!$A:$A,0)),"introuvable")</f>
        <v>le vélo</v>
      </c>
      <c r="C11" s="40" t="s">
        <v>7853</v>
      </c>
    </row>
    <row r="12" spans="1:5" x14ac:dyDescent="0.4">
      <c r="A12" s="40" t="s">
        <v>2160</v>
      </c>
      <c r="B12" s="41" t="str">
        <f>IFERROR(INDEX(Mots!$B:$B,MATCH($A12,Mots!$A:$A,0)),"introuvable")</f>
        <v>le médecin</v>
      </c>
      <c r="C12" s="40" t="s">
        <v>7854</v>
      </c>
    </row>
    <row r="13" spans="1:5" x14ac:dyDescent="0.4">
      <c r="A13" s="40" t="s">
        <v>73</v>
      </c>
      <c r="B13" s="41" t="str">
        <f>IFERROR(INDEX(Mots!$B:$B,MATCH($A13,Mots!$A:$A,0)),"introuvable")</f>
        <v>le travail</v>
      </c>
      <c r="C13" s="40" t="s">
        <v>7855</v>
      </c>
    </row>
    <row r="14" spans="1:5" x14ac:dyDescent="0.4">
      <c r="A14" s="40" t="s">
        <v>5849</v>
      </c>
      <c r="B14" s="41" t="str">
        <f>IFERROR(INDEX(Mots!$B:$B,MATCH($A14,Mots!$A:$A,0)),"introuvable")</f>
        <v>le goût</v>
      </c>
      <c r="C14" s="40" t="s">
        <v>7856</v>
      </c>
    </row>
    <row r="15" spans="1:5" x14ac:dyDescent="0.4">
      <c r="A15" s="40" t="s">
        <v>5517</v>
      </c>
      <c r="B15" s="41" t="str">
        <f>IFERROR(INDEX(Mots!$B:$B,MATCH($A15,Mots!$A:$A,0)),"introuvable")</f>
        <v>le cadeau</v>
      </c>
      <c r="C15" s="40" t="s">
        <v>7857</v>
      </c>
    </row>
    <row r="16" spans="1:5" x14ac:dyDescent="0.4">
      <c r="A16" s="40" t="s">
        <v>2337</v>
      </c>
      <c r="B16" s="41" t="str">
        <f>IFERROR(INDEX(Mots!$B:$B,MATCH($A16,Mots!$A:$A,0)),"introuvable")</f>
        <v>le téléphone ou l'Iphone</v>
      </c>
      <c r="C16" s="40" t="s">
        <v>7858</v>
      </c>
      <c r="D16" s="39" t="s">
        <v>9742</v>
      </c>
    </row>
    <row r="17" spans="1:4" x14ac:dyDescent="0.4">
      <c r="A17" s="40" t="s">
        <v>6208</v>
      </c>
      <c r="B17" s="41" t="str">
        <f>IFERROR(INDEX(Mots!$B:$B,MATCH($A17,Mots!$A:$A,0)),"introuvable")</f>
        <v>le problème</v>
      </c>
      <c r="C17" s="40" t="s">
        <v>7859</v>
      </c>
    </row>
    <row r="18" spans="1:4" x14ac:dyDescent="0.4">
      <c r="A18" s="40" t="s">
        <v>438</v>
      </c>
      <c r="B18" s="41" t="str">
        <f>IFERROR(INDEX(Mots!$B:$B,MATCH($A18,Mots!$A:$A,0)),"introuvable")</f>
        <v>l'entreprise</v>
      </c>
      <c r="C18" s="40" t="s">
        <v>5089</v>
      </c>
    </row>
    <row r="19" spans="1:4" x14ac:dyDescent="0.4">
      <c r="A19" s="40" t="s">
        <v>666</v>
      </c>
      <c r="B19" s="41" t="str">
        <f>IFERROR(INDEX(Mots!$B:$B,MATCH($A19,Mots!$A:$A,0)),"introuvable")</f>
        <v>le public</v>
      </c>
      <c r="C19" s="40" t="s">
        <v>6722</v>
      </c>
      <c r="D19" s="40" t="s">
        <v>7860</v>
      </c>
    </row>
    <row r="20" spans="1:4" x14ac:dyDescent="0.4">
      <c r="A20" s="40" t="s">
        <v>828</v>
      </c>
      <c r="B20" s="41" t="str">
        <f>IFERROR(INDEX(Mots!$B:$B,MATCH($A20,Mots!$A:$A,0)),"introuvable")</f>
        <v>le meuble</v>
      </c>
      <c r="C20" s="40" t="s">
        <v>7861</v>
      </c>
      <c r="D20" s="40"/>
    </row>
    <row r="21" spans="1:4" x14ac:dyDescent="0.4">
      <c r="A21" s="40" t="s">
        <v>1152</v>
      </c>
      <c r="B21" s="41" t="str">
        <f>IFERROR(INDEX(Mots!$B:$B,MATCH($A21,Mots!$A:$A,0)),"introuvable")</f>
        <v>l'uniforme</v>
      </c>
      <c r="C21" s="40" t="s">
        <v>9743</v>
      </c>
      <c r="D21" s="40" t="s">
        <v>7862</v>
      </c>
    </row>
    <row r="22" spans="1:4" x14ac:dyDescent="0.4">
      <c r="A22" s="40" t="s">
        <v>642</v>
      </c>
      <c r="B22" s="41" t="str">
        <f>IFERROR(INDEX(Mots!$B:$B,MATCH($A22,Mots!$A:$A,0)),"introuvable")</f>
        <v>le concert</v>
      </c>
      <c r="C22" s="40" t="s">
        <v>9744</v>
      </c>
      <c r="D22" s="39" t="s">
        <v>7863</v>
      </c>
    </row>
    <row r="23" spans="1:4" x14ac:dyDescent="0.4">
      <c r="A23" s="40" t="s">
        <v>6065</v>
      </c>
      <c r="B23" s="41" t="str">
        <f>IFERROR(INDEX(Mots!$B:$B,MATCH($A23,Mots!$A:$A,0)),"introuvable")</f>
        <v>le pansement</v>
      </c>
      <c r="C23" s="40" t="s">
        <v>7864</v>
      </c>
    </row>
    <row r="24" spans="1:4" x14ac:dyDescent="0.4">
      <c r="A24" s="40" t="s">
        <v>4906</v>
      </c>
      <c r="B24" s="41" t="str">
        <f>IFERROR(INDEX(Mots!$B:$B,MATCH($A24,Mots!$A:$A,0)),"introuvable")</f>
        <v>la poubelle</v>
      </c>
      <c r="C24" s="40" t="s">
        <v>7865</v>
      </c>
    </row>
    <row r="25" spans="1:4" x14ac:dyDescent="0.4">
      <c r="A25" s="40" t="s">
        <v>3233</v>
      </c>
      <c r="B25" s="41" t="str">
        <f>IFERROR(INDEX(Mots!$B:$B,MATCH($A25,Mots!$A:$A,0)),"introuvable")</f>
        <v>l'ordinateur</v>
      </c>
      <c r="C25" s="40" t="s">
        <v>7866</v>
      </c>
    </row>
    <row r="26" spans="1:4" x14ac:dyDescent="0.4">
      <c r="A26" s="40" t="s">
        <v>1390</v>
      </c>
      <c r="B26" s="41" t="str">
        <f>IFERROR(INDEX(Mots!$B:$B,MATCH($A26,Mots!$A:$A,0)),"introuvable")</f>
        <v>le prêt hypothécaire</v>
      </c>
      <c r="C26" s="40" t="s">
        <v>7867</v>
      </c>
    </row>
    <row r="27" spans="1:4" x14ac:dyDescent="0.4">
      <c r="A27" s="40" t="s">
        <v>3509</v>
      </c>
      <c r="B27" s="41" t="str">
        <f>IFERROR(INDEX(Mots!$B:$B,MATCH($A27,Mots!$A:$A,0)),"introuvable")</f>
        <v>attendre</v>
      </c>
      <c r="C27" s="40" t="s">
        <v>7868</v>
      </c>
    </row>
    <row r="28" spans="1:4" x14ac:dyDescent="0.4">
      <c r="A28" s="40" t="s">
        <v>3529</v>
      </c>
      <c r="B28" s="41" t="str">
        <f>IFERROR(INDEX(Mots!$B:$B,MATCH($A28,Mots!$A:$A,0)),"introuvable")</f>
        <v>avoir</v>
      </c>
      <c r="C28" s="40" t="s">
        <v>7869</v>
      </c>
    </row>
    <row r="29" spans="1:4" x14ac:dyDescent="0.4">
      <c r="A29" s="40" t="s">
        <v>3576</v>
      </c>
      <c r="B29" s="41" t="str">
        <f>IFERROR(INDEX(Mots!$B:$B,MATCH($A29,Mots!$A:$A,0)),"introuvable")</f>
        <v>casser</v>
      </c>
      <c r="C29" s="40" t="s">
        <v>7870</v>
      </c>
    </row>
    <row r="30" spans="1:4" x14ac:dyDescent="0.4">
      <c r="A30" s="40" t="s">
        <v>3639</v>
      </c>
      <c r="B30" s="41" t="str">
        <f>IFERROR(INDEX(Mots!$B:$B,MATCH($A30,Mots!$A:$A,0)),"introuvable")</f>
        <v>commencer</v>
      </c>
      <c r="C30" s="40" t="s">
        <v>7871</v>
      </c>
    </row>
    <row r="31" spans="1:4" x14ac:dyDescent="0.4">
      <c r="A31" s="40" t="s">
        <v>3725</v>
      </c>
      <c r="B31" s="41" t="str">
        <f>IFERROR(INDEX(Mots!$B:$B,MATCH($A31,Mots!$A:$A,0)),"introuvable")</f>
        <v>crier</v>
      </c>
      <c r="C31" s="40" t="s">
        <v>7872</v>
      </c>
    </row>
    <row r="32" spans="1:4" x14ac:dyDescent="0.4">
      <c r="A32" s="40" t="s">
        <v>3929</v>
      </c>
      <c r="B32" s="41" t="str">
        <f>IFERROR(INDEX(Mots!$B:$B,MATCH($A32,Mots!$A:$A,0)),"introuvable")</f>
        <v>essayer</v>
      </c>
      <c r="C32" s="40" t="s">
        <v>9745</v>
      </c>
      <c r="D32" s="39" t="s">
        <v>7873</v>
      </c>
    </row>
    <row r="33" spans="1:4" x14ac:dyDescent="0.4">
      <c r="A33" s="40" t="s">
        <v>3978</v>
      </c>
      <c r="B33" s="41" t="str">
        <f>IFERROR(INDEX(Mots!$B:$B,MATCH($A33,Mots!$A:$A,0)),"introuvable")</f>
        <v>finir</v>
      </c>
      <c r="C33" s="40" t="s">
        <v>7874</v>
      </c>
      <c r="D33" s="40" t="s">
        <v>7875</v>
      </c>
    </row>
    <row r="34" spans="1:4" x14ac:dyDescent="0.4">
      <c r="A34" s="40" t="s">
        <v>7000</v>
      </c>
      <c r="B34" s="41" t="str">
        <f>IFERROR(INDEX(Mots!$B:$B,MATCH($A34,Mots!$A:$A,0)),"introuvable")</f>
        <v>parler</v>
      </c>
      <c r="C34" s="40" t="s">
        <v>7876</v>
      </c>
      <c r="D34" s="39" t="s">
        <v>9746</v>
      </c>
    </row>
    <row r="35" spans="1:4" x14ac:dyDescent="0.4">
      <c r="A35" s="40" t="s">
        <v>7020</v>
      </c>
      <c r="B35" s="41" t="str">
        <f>IFERROR(INDEX(Mots!$B:$B,MATCH($A35,Mots!$A:$A,0)),"introuvable")</f>
        <v>payer</v>
      </c>
      <c r="C35" s="40" t="s">
        <v>7877</v>
      </c>
      <c r="D35" s="40"/>
    </row>
    <row r="36" spans="1:4" x14ac:dyDescent="0.4">
      <c r="A36" s="40" t="s">
        <v>7036</v>
      </c>
      <c r="B36" s="41" t="str">
        <f>IFERROR(INDEX(Mots!$B:$B,MATCH($A36,Mots!$A:$A,0)),"introuvable")</f>
        <v>perdre</v>
      </c>
      <c r="C36" s="40" t="s">
        <v>7878</v>
      </c>
    </row>
    <row r="37" spans="1:4" x14ac:dyDescent="0.4">
      <c r="A37" s="40" t="s">
        <v>7228</v>
      </c>
      <c r="B37" s="41" t="str">
        <f>IFERROR(INDEX(Mots!$B:$B,MATCH($A37,Mots!$A:$A,0)),"introuvable")</f>
        <v>rester</v>
      </c>
      <c r="C37" s="40" t="s">
        <v>7879</v>
      </c>
    </row>
    <row r="38" spans="1:4" x14ac:dyDescent="0.4">
      <c r="A38" s="40" t="s">
        <v>7358</v>
      </c>
      <c r="B38" s="41" t="str">
        <f>IFERROR(INDEX(Mots!$B:$B,MATCH($A38,Mots!$A:$A,0)),"introuvable")</f>
        <v>tomber</v>
      </c>
      <c r="C38" s="40" t="s">
        <v>7880</v>
      </c>
    </row>
    <row r="39" spans="1:4" x14ac:dyDescent="0.4">
      <c r="A39" s="40" t="s">
        <v>7443</v>
      </c>
      <c r="B39" s="41" t="str">
        <f>IFERROR(INDEX(Mots!$B:$B,MATCH($A39,Mots!$A:$A,0)),"introuvable")</f>
        <v>vouloir</v>
      </c>
      <c r="C39" s="40" t="s">
        <v>7881</v>
      </c>
      <c r="D39" s="40" t="s">
        <v>7882</v>
      </c>
    </row>
    <row r="40" spans="1:4" x14ac:dyDescent="0.4">
      <c r="A40" s="40" t="s">
        <v>7604</v>
      </c>
      <c r="B40" s="41" t="str">
        <f>IFERROR(INDEX(Mots!$B:$B,MATCH($A40,Mots!$A:$A,0)),"introuvable")</f>
        <v>habiter</v>
      </c>
      <c r="C40" s="40" t="s">
        <v>7883</v>
      </c>
    </row>
    <row r="41" spans="1:4" x14ac:dyDescent="0.4">
      <c r="A41" s="40" t="s">
        <v>6949</v>
      </c>
      <c r="B41" s="41" t="str">
        <f>IFERROR(INDEX(Mots!$B:$B,MATCH($A41,Mots!$A:$A,0)),"introuvable")</f>
        <v>montrer</v>
      </c>
      <c r="C41" s="40" t="s">
        <v>7884</v>
      </c>
      <c r="D41" s="40"/>
    </row>
    <row r="42" spans="1:4" x14ac:dyDescent="0.4">
      <c r="A42" s="40" t="s">
        <v>7205</v>
      </c>
      <c r="B42" s="41" t="str">
        <f>IFERROR(INDEX(Mots!$B:$B,MATCH($A42,Mots!$A:$A,0)),"introuvable")</f>
        <v>réparer</v>
      </c>
      <c r="C42" s="40" t="s">
        <v>9747</v>
      </c>
      <c r="D42" s="40" t="s">
        <v>7885</v>
      </c>
    </row>
    <row r="43" spans="1:4" x14ac:dyDescent="0.4">
      <c r="A43" s="40" t="s">
        <v>7289</v>
      </c>
      <c r="B43" s="41" t="str">
        <f>IFERROR(INDEX(Mots!$B:$B,MATCH($A43,Mots!$A:$A,0)),"introuvable")</f>
        <v>se souvenir</v>
      </c>
      <c r="C43" s="40" t="s">
        <v>7886</v>
      </c>
    </row>
    <row r="44" spans="1:4" x14ac:dyDescent="0.4">
      <c r="A44" s="40" t="s">
        <v>7576</v>
      </c>
      <c r="B44" s="41" t="str">
        <f>IFERROR(INDEX(Mots!$B:$B,MATCH($A44,Mots!$A:$A,0)),"introuvable")</f>
        <v>interdire</v>
      </c>
      <c r="C44" s="40" t="s">
        <v>7887</v>
      </c>
    </row>
    <row r="45" spans="1:4" x14ac:dyDescent="0.4">
      <c r="A45" s="40" t="s">
        <v>7615</v>
      </c>
      <c r="B45" s="41" t="str">
        <f>IFERROR(INDEX(Mots!$B:$B,MATCH($A45,Mots!$A:$A,0)),"introuvable")</f>
        <v>griller</v>
      </c>
      <c r="C45" s="40" t="s">
        <v>7888</v>
      </c>
    </row>
    <row r="46" spans="1:4" x14ac:dyDescent="0.4">
      <c r="A46" s="40" t="s">
        <v>9546</v>
      </c>
      <c r="B46" s="41" t="str">
        <f>IFERROR(INDEX(Mots!$B:$B,MATCH($A46,Mots!$A:$A,0)),"introuvable")</f>
        <v>joyeux</v>
      </c>
      <c r="C46" s="40" t="s">
        <v>7889</v>
      </c>
      <c r="D46" s="39" t="s">
        <v>9748</v>
      </c>
    </row>
    <row r="47" spans="1:4" x14ac:dyDescent="0.4">
      <c r="A47" s="40" t="s">
        <v>6942</v>
      </c>
      <c r="B47" s="41" t="str">
        <f>IFERROR(INDEX(Mots!$B:$B,MATCH($A47,Mots!$A:$A,0)),"introuvable")</f>
        <v>merveilleux</v>
      </c>
      <c r="C47" s="40" t="s">
        <v>9749</v>
      </c>
      <c r="D47" s="40" t="s">
        <v>7890</v>
      </c>
    </row>
    <row r="48" spans="1:4" x14ac:dyDescent="0.4">
      <c r="A48" s="40" t="s">
        <v>9527</v>
      </c>
      <c r="B48" s="41" t="str">
        <f>IFERROR(INDEX(Mots!$B:$B,MATCH($A48,Mots!$A:$A,0)),"introuvable")</f>
        <v>pareil</v>
      </c>
      <c r="C48" s="40" t="s">
        <v>7891</v>
      </c>
      <c r="D48" s="40" t="s">
        <v>7892</v>
      </c>
    </row>
    <row r="49" spans="1:4" x14ac:dyDescent="0.4">
      <c r="A49" s="40" t="s">
        <v>7397</v>
      </c>
      <c r="B49" s="41" t="str">
        <f>IFERROR(INDEX(Mots!$B:$B,MATCH($A49,Mots!$A:$A,0)),"introuvable")</f>
        <v>urgent</v>
      </c>
      <c r="C49" s="40" t="s">
        <v>7893</v>
      </c>
    </row>
    <row r="50" spans="1:4" x14ac:dyDescent="0.4">
      <c r="A50" s="40" t="s">
        <v>3452</v>
      </c>
      <c r="B50" s="41" t="str">
        <f>IFERROR(INDEX(Mots!$B:$B,MATCH($A50,Mots!$A:$A,0)),"introuvable")</f>
        <v>aimable</v>
      </c>
      <c r="C50" s="40" t="s">
        <v>9750</v>
      </c>
      <c r="D50" s="40" t="s">
        <v>7894</v>
      </c>
    </row>
    <row r="51" spans="1:4" x14ac:dyDescent="0.4">
      <c r="A51" s="40" t="s">
        <v>3671</v>
      </c>
      <c r="B51" s="41" t="str">
        <f>IFERROR(INDEX(Mots!$B:$B,MATCH($A51,Mots!$A:$A,0)),"introuvable")</f>
        <v>confortable</v>
      </c>
      <c r="C51" s="40" t="s">
        <v>7796</v>
      </c>
    </row>
    <row r="52" spans="1:4" x14ac:dyDescent="0.4">
      <c r="A52" s="40" t="s">
        <v>4049</v>
      </c>
      <c r="B52" s="41" t="str">
        <f>IFERROR(INDEX(Mots!$B:$B,MATCH($A52,Mots!$A:$A,0)),"introuvable")</f>
        <v>important</v>
      </c>
      <c r="C52" s="40" t="s">
        <v>7895</v>
      </c>
    </row>
    <row r="53" spans="1:4" x14ac:dyDescent="0.4">
      <c r="A53" s="40" t="s">
        <v>4029</v>
      </c>
      <c r="B53" s="41" t="str">
        <f>IFERROR(INDEX(Mots!$B:$B,MATCH($A53,Mots!$A:$A,0)),"introuvable")</f>
        <v>habituel</v>
      </c>
      <c r="C53" s="40" t="s">
        <v>7896</v>
      </c>
    </row>
    <row r="54" spans="1:4" x14ac:dyDescent="0.4">
      <c r="A54" s="40" t="s">
        <v>6915</v>
      </c>
      <c r="B54" s="41" t="str">
        <f>IFERROR(INDEX(Mots!$B:$B,MATCH($A54,Mots!$A:$A,0)),"introuvable")</f>
        <v>malin</v>
      </c>
      <c r="C54" s="40" t="s">
        <v>7897</v>
      </c>
    </row>
    <row r="55" spans="1:4" x14ac:dyDescent="0.4">
      <c r="A55" s="40" t="s">
        <v>7255</v>
      </c>
      <c r="B55" s="41" t="str">
        <f>IFERROR(INDEX(Mots!$B:$B,MATCH($A55,Mots!$A:$A,0)),"introuvable")</f>
        <v>rusé</v>
      </c>
      <c r="C55" s="40" t="s">
        <v>7897</v>
      </c>
    </row>
    <row r="56" spans="1:4" x14ac:dyDescent="0.4">
      <c r="A56" s="40" t="s">
        <v>7323</v>
      </c>
      <c r="B56" s="41" t="str">
        <f>IFERROR(INDEX(Mots!$B:$B,MATCH($A56,Mots!$A:$A,0)),"introuvable")</f>
        <v>souple</v>
      </c>
      <c r="C56" s="40" t="s">
        <v>7898</v>
      </c>
    </row>
    <row r="57" spans="1:4" x14ac:dyDescent="0.4">
      <c r="A57" s="40" t="s">
        <v>7375</v>
      </c>
      <c r="B57" s="41" t="str">
        <f>IFERROR(INDEX(Mots!$B:$B,MATCH($A57,Mots!$A:$A,0)),"introuvable")</f>
        <v>tranquille</v>
      </c>
      <c r="C57" s="40" t="s">
        <v>7899</v>
      </c>
      <c r="D57" s="39" t="s">
        <v>5537</v>
      </c>
    </row>
    <row r="58" spans="1:4" x14ac:dyDescent="0.4">
      <c r="A58" s="40" t="s">
        <v>7449</v>
      </c>
      <c r="B58" s="41" t="str">
        <f>IFERROR(INDEX(Mots!$B:$B,MATCH($A58,Mots!$A:$A,0)),"introuvable")</f>
        <v>vraiment</v>
      </c>
      <c r="C58" s="40" t="s">
        <v>7900</v>
      </c>
      <c r="D58" s="39" t="s">
        <v>9751</v>
      </c>
    </row>
    <row r="59" spans="1:4" x14ac:dyDescent="0.4">
      <c r="A59" s="40" t="s">
        <v>1697</v>
      </c>
      <c r="B59" s="41" t="str">
        <f>IFERROR(INDEX(Mots!$B:$B,MATCH($A59,Mots!$A:$A,0)),"introuvable")</f>
        <v>la peur</v>
      </c>
      <c r="C59" s="40" t="s">
        <v>7901</v>
      </c>
    </row>
    <row r="60" spans="1:4" x14ac:dyDescent="0.4">
      <c r="A60" s="40" t="s">
        <v>1729</v>
      </c>
      <c r="B60" s="41" t="str">
        <f>IFERROR(INDEX(Mots!$B:$B,MATCH($A60,Mots!$A:$A,0)),"introuvable")</f>
        <v>la gratitude</v>
      </c>
      <c r="C60" s="40" t="s">
        <v>7902</v>
      </c>
    </row>
    <row r="61" spans="1:4" x14ac:dyDescent="0.4">
      <c r="A61" s="40" t="s">
        <v>1744</v>
      </c>
      <c r="B61" s="41" t="str">
        <f>IFERROR(INDEX(Mots!$B:$B,MATCH($A61,Mots!$A:$A,0)),"introuvable")</f>
        <v>la surprise</v>
      </c>
      <c r="C61" s="40" t="s">
        <v>7903</v>
      </c>
    </row>
    <row r="62" spans="1:4" x14ac:dyDescent="0.4">
      <c r="A62" s="40" t="s">
        <v>6810</v>
      </c>
      <c r="B62" s="41" t="str">
        <f>IFERROR(INDEX(Mots!$B:$B,MATCH($A62,Mots!$A:$A,0)),"introuvable")</f>
        <v>l'inquiétude</v>
      </c>
      <c r="C62" s="40" t="s">
        <v>7904</v>
      </c>
    </row>
    <row r="63" spans="1:4" x14ac:dyDescent="0.4">
      <c r="A63" s="40" t="s">
        <v>4654</v>
      </c>
      <c r="B63" s="41" t="str">
        <f>IFERROR(INDEX(Mots!$B:$B,MATCH($A63,Mots!$A:$A,0)),"introuvable")</f>
        <v>la méfiance</v>
      </c>
      <c r="C63" s="40" t="s">
        <v>7905</v>
      </c>
    </row>
    <row r="64" spans="1:4" x14ac:dyDescent="0.4">
      <c r="A64" s="40" t="s">
        <v>4362</v>
      </c>
      <c r="B64" s="41" t="str">
        <f>IFERROR(INDEX(Mots!$B:$B,MATCH($A64,Mots!$A:$A,0)),"introuvable")</f>
        <v>la dispute</v>
      </c>
      <c r="C64" s="40" t="s">
        <v>7906</v>
      </c>
      <c r="D64" s="39" t="s">
        <v>9752</v>
      </c>
    </row>
    <row r="65" spans="1:4" x14ac:dyDescent="0.4">
      <c r="A65" s="40" t="s">
        <v>957</v>
      </c>
      <c r="B65" s="41" t="str">
        <f>IFERROR(INDEX(Mots!$B:$B,MATCH($A65,Mots!$A:$A,0)),"introuvable")</f>
        <v>maintenant</v>
      </c>
      <c r="C65" s="40" t="s">
        <v>7907</v>
      </c>
    </row>
    <row r="66" spans="1:4" x14ac:dyDescent="0.4">
      <c r="A66" s="40" t="s">
        <v>988</v>
      </c>
      <c r="B66" s="41" t="str">
        <f>IFERROR(INDEX(Mots!$B:$B,MATCH($A66,Mots!$A:$A,0)),"introuvable")</f>
        <v>parfois</v>
      </c>
      <c r="C66" s="40" t="s">
        <v>7908</v>
      </c>
    </row>
    <row r="67" spans="1:4" x14ac:dyDescent="0.4">
      <c r="A67" s="40" t="s">
        <v>985</v>
      </c>
      <c r="B67" s="41" t="str">
        <f>IFERROR(INDEX(Mots!$B:$B,MATCH($A67,Mots!$A:$A,0)),"introuvable")</f>
        <v>souvent</v>
      </c>
      <c r="C67" s="40" t="s">
        <v>7909</v>
      </c>
    </row>
    <row r="68" spans="1:4" x14ac:dyDescent="0.4">
      <c r="A68" s="40" t="s">
        <v>7124</v>
      </c>
      <c r="B68" s="41" t="str">
        <f>IFERROR(INDEX(Mots!$B:$B,MATCH($A68,Mots!$A:$A,0)),"introuvable")</f>
        <v>presque</v>
      </c>
      <c r="C68" s="40" t="s">
        <v>7910</v>
      </c>
    </row>
    <row r="69" spans="1:4" x14ac:dyDescent="0.4">
      <c r="A69" s="40" t="s">
        <v>9596</v>
      </c>
      <c r="B69" s="41" t="str">
        <f>IFERROR(INDEX(Mots!$B:$B,MATCH($A69,Mots!$A:$A,0)),"introuvable")</f>
        <v>environ</v>
      </c>
      <c r="C69" s="40" t="s">
        <v>7911</v>
      </c>
    </row>
    <row r="70" spans="1:4" x14ac:dyDescent="0.4">
      <c r="A70" s="40" t="s">
        <v>3941</v>
      </c>
      <c r="B70" s="41" t="str">
        <f>IFERROR(INDEX(Mots!$B:$B,MATCH($A70,Mots!$A:$A,0)),"introuvable")</f>
        <v>exprès</v>
      </c>
      <c r="C70" s="40" t="s">
        <v>7912</v>
      </c>
    </row>
    <row r="71" spans="1:4" x14ac:dyDescent="0.4">
      <c r="A71" s="40" t="s">
        <v>7311</v>
      </c>
      <c r="B71" s="41" t="str">
        <f>IFERROR(INDEX(Mots!$B:$B,MATCH($A71,Mots!$A:$A,0)),"introuvable")</f>
        <v>seulement</v>
      </c>
      <c r="C71" s="40" t="s">
        <v>7913</v>
      </c>
    </row>
    <row r="72" spans="1:4" x14ac:dyDescent="0.4">
      <c r="A72" s="40" t="s">
        <v>3505</v>
      </c>
      <c r="B72" s="41" t="str">
        <f>IFERROR(INDEX(Mots!$B:$B,MATCH($A72,Mots!$A:$A,0)),"introuvable")</f>
        <v>assez</v>
      </c>
      <c r="C72" s="40" t="s">
        <v>7914</v>
      </c>
    </row>
    <row r="73" spans="1:4" x14ac:dyDescent="0.4">
      <c r="A73" s="40" t="s">
        <v>3906</v>
      </c>
      <c r="B73" s="41" t="str">
        <f>IFERROR(INDEX(Mots!$B:$B,MATCH($A73,Mots!$A:$A,0)),"introuvable")</f>
        <v>ensuite</v>
      </c>
      <c r="C73" s="40" t="s">
        <v>7915</v>
      </c>
    </row>
    <row r="74" spans="1:4" x14ac:dyDescent="0.4">
      <c r="A74" s="40" t="s">
        <v>3894</v>
      </c>
      <c r="B74" s="41" t="str">
        <f>IFERROR(INDEX(Mots!$B:$B,MATCH($A74,Mots!$A:$A,0)),"introuvable")</f>
        <v>enfin</v>
      </c>
      <c r="C74" s="40" t="s">
        <v>7916</v>
      </c>
    </row>
    <row r="75" spans="1:4" x14ac:dyDescent="0.4">
      <c r="A75" s="40" t="s">
        <v>3564</v>
      </c>
      <c r="B75" s="41" t="str">
        <f>IFERROR(INDEX(Mots!$B:$B,MATCH($A75,Mots!$A:$A,0)),"introuvable")</f>
        <v>brusquement</v>
      </c>
      <c r="C75" s="40" t="s">
        <v>7917</v>
      </c>
    </row>
    <row r="76" spans="1:4" x14ac:dyDescent="0.4">
      <c r="A76" s="40"/>
      <c r="B76" s="41"/>
      <c r="C76" s="40"/>
    </row>
    <row r="77" spans="1:4" x14ac:dyDescent="0.4">
      <c r="A77" s="39" t="s">
        <v>421</v>
      </c>
      <c r="B77" s="41" t="str">
        <f>IFERROR(INDEX(Mots!$B:$B,MATCH($A77,Mots!$A:$A,0)),"introuvable")</f>
        <v>la réunion</v>
      </c>
      <c r="C77" s="40" t="s">
        <v>9753</v>
      </c>
    </row>
    <row r="78" spans="1:4" x14ac:dyDescent="0.4">
      <c r="A78" s="39" t="s">
        <v>446</v>
      </c>
      <c r="B78" s="41" t="str">
        <f>IFERROR(INDEX(Mots!$B:$B,MATCH($A78,Mots!$A:$A,0)),"introuvable")</f>
        <v>l'équipe</v>
      </c>
      <c r="C78" s="40" t="s">
        <v>5862</v>
      </c>
      <c r="D78" s="39" t="s">
        <v>9754</v>
      </c>
    </row>
    <row r="79" spans="1:4" x14ac:dyDescent="0.4">
      <c r="A79" s="39" t="s">
        <v>459</v>
      </c>
      <c r="B79" s="41" t="str">
        <f>IFERROR(INDEX(Mots!$B:$B,MATCH($A79,Mots!$A:$A,0)),"introuvable")</f>
        <v>le mari et la femme</v>
      </c>
      <c r="C79" s="40" t="s">
        <v>9755</v>
      </c>
    </row>
    <row r="80" spans="1:4" x14ac:dyDescent="0.4">
      <c r="A80" s="39" t="s">
        <v>467</v>
      </c>
      <c r="B80" s="41" t="str">
        <f>IFERROR(INDEX(Mots!$B:$B,MATCH($A80,Mots!$A:$A,0)),"introuvable")</f>
        <v>la mère - la maman</v>
      </c>
      <c r="C80" s="40" t="s">
        <v>9756</v>
      </c>
      <c r="D80" s="39" t="s">
        <v>9758</v>
      </c>
    </row>
    <row r="81" spans="1:4" x14ac:dyDescent="0.4">
      <c r="A81" s="39" t="s">
        <v>470</v>
      </c>
      <c r="B81" s="41" t="str">
        <f>IFERROR(INDEX(Mots!$B:$B,MATCH($A81,Mots!$A:$A,0)),"introuvable")</f>
        <v>le père - le papa</v>
      </c>
      <c r="C81" s="40" t="s">
        <v>9757</v>
      </c>
      <c r="D81" s="39" t="s">
        <v>9759</v>
      </c>
    </row>
    <row r="82" spans="1:4" x14ac:dyDescent="0.4">
      <c r="A82" s="39" t="s">
        <v>473</v>
      </c>
      <c r="B82" s="41" t="str">
        <f>IFERROR(INDEX(Mots!$B:$B,MATCH($A82,Mots!$A:$A,0)),"introuvable")</f>
        <v>les enfants</v>
      </c>
      <c r="C82" s="40" t="s">
        <v>9762</v>
      </c>
      <c r="D82" s="40" t="s">
        <v>9761</v>
      </c>
    </row>
    <row r="83" spans="1:4" x14ac:dyDescent="0.4">
      <c r="A83" s="39" t="s">
        <v>481</v>
      </c>
      <c r="B83" s="41" t="str">
        <f>IFERROR(INDEX(Mots!$B:$B,MATCH($A83,Mots!$A:$A,0)),"introuvable")</f>
        <v>le bébé</v>
      </c>
      <c r="C83" s="40" t="s">
        <v>9763</v>
      </c>
    </row>
    <row r="84" spans="1:4" x14ac:dyDescent="0.4">
      <c r="A84" s="39" t="s">
        <v>506</v>
      </c>
      <c r="B84" s="41" t="str">
        <f>IFERROR(INDEX(Mots!$B:$B,MATCH($A84,Mots!$A:$A,0)),"introuvable")</f>
        <v>la grand-mère</v>
      </c>
      <c r="C84" s="40" t="s">
        <v>9764</v>
      </c>
    </row>
    <row r="85" spans="1:4" x14ac:dyDescent="0.4">
      <c r="A85" s="39" t="s">
        <v>510</v>
      </c>
      <c r="B85" s="41" t="str">
        <f>IFERROR(INDEX(Mots!$B:$B,MATCH($A85,Mots!$A:$A,0)),"introuvable")</f>
        <v>le grand-père</v>
      </c>
      <c r="C85" s="40" t="s">
        <v>9765</v>
      </c>
    </row>
    <row r="86" spans="1:4" x14ac:dyDescent="0.4">
      <c r="A86" s="39" t="s">
        <v>526</v>
      </c>
      <c r="B86" s="41" t="str">
        <f>IFERROR(INDEX(Mots!$B:$B,MATCH($A86,Mots!$A:$A,0)),"introuvable")</f>
        <v>la tante</v>
      </c>
      <c r="C86" s="40" t="s">
        <v>9766</v>
      </c>
    </row>
    <row r="87" spans="1:4" x14ac:dyDescent="0.4">
      <c r="A87" s="39" t="s">
        <v>531</v>
      </c>
      <c r="B87" s="41" t="str">
        <f>IFERROR(INDEX(Mots!$B:$B,MATCH($A87,Mots!$A:$A,0)),"introuvable")</f>
        <v>l'oncle</v>
      </c>
      <c r="C87" s="40" t="s">
        <v>9767</v>
      </c>
    </row>
    <row r="88" spans="1:4" x14ac:dyDescent="0.4">
      <c r="A88" s="39" t="s">
        <v>535</v>
      </c>
      <c r="B88" s="41" t="str">
        <f>IFERROR(INDEX(Mots!$B:$B,MATCH($A88,Mots!$A:$A,0)),"introuvable")</f>
        <v>l'homme</v>
      </c>
      <c r="C88" s="40" t="s">
        <v>9768</v>
      </c>
    </row>
    <row r="89" spans="1:4" x14ac:dyDescent="0.4">
      <c r="A89" s="39" t="s">
        <v>544</v>
      </c>
      <c r="B89" s="41" t="str">
        <f>IFERROR(INDEX(Mots!$B:$B,MATCH($A89,Mots!$A:$A,0)),"introuvable")</f>
        <v>la femme</v>
      </c>
      <c r="C89" s="40" t="s">
        <v>9769</v>
      </c>
    </row>
    <row r="90" spans="1:4" x14ac:dyDescent="0.4">
      <c r="A90" s="39" t="s">
        <v>573</v>
      </c>
      <c r="B90" s="41" t="str">
        <f>IFERROR(INDEX(Mots!$B:$B,MATCH($A90,Mots!$A:$A,0)),"introuvable")</f>
        <v>l'essence pour tondeuse</v>
      </c>
      <c r="C90" s="40" t="s">
        <v>9770</v>
      </c>
    </row>
    <row r="91" spans="1:4" x14ac:dyDescent="0.4">
      <c r="A91" s="39" t="s">
        <v>622</v>
      </c>
      <c r="B91" s="41" t="str">
        <f>IFERROR(INDEX(Mots!$B:$B,MATCH($A91,Mots!$A:$A,0)),"introuvable")</f>
        <v>la mélodie</v>
      </c>
      <c r="C91" s="40" t="s">
        <v>5265</v>
      </c>
    </row>
    <row r="92" spans="1:4" x14ac:dyDescent="0.4">
      <c r="A92" s="39" t="s">
        <v>630</v>
      </c>
      <c r="B92" s="41" t="str">
        <f>IFERROR(INDEX(Mots!$B:$B,MATCH($A92,Mots!$A:$A,0)),"introuvable")</f>
        <v>la répétition</v>
      </c>
      <c r="C92" s="40" t="s">
        <v>9771</v>
      </c>
    </row>
    <row r="93" spans="1:4" x14ac:dyDescent="0.4">
      <c r="A93" s="39" t="s">
        <v>634</v>
      </c>
      <c r="B93" s="41" t="str">
        <f>IFERROR(INDEX(Mots!$B:$B,MATCH($A93,Mots!$A:$A,0)),"introuvable")</f>
        <v>la scène</v>
      </c>
      <c r="C93" s="40" t="s">
        <v>9772</v>
      </c>
    </row>
    <row r="94" spans="1:4" x14ac:dyDescent="0.4">
      <c r="A94" s="39" t="s">
        <v>646</v>
      </c>
      <c r="B94" s="41" t="str">
        <f>IFERROR(INDEX(Mots!$B:$B,MATCH($A94,Mots!$A:$A,0)),"introuvable")</f>
        <v>le loisir</v>
      </c>
      <c r="C94" s="40" t="s">
        <v>5870</v>
      </c>
    </row>
    <row r="95" spans="1:4" x14ac:dyDescent="0.4">
      <c r="A95" s="39" t="s">
        <v>678</v>
      </c>
      <c r="B95" s="41" t="str">
        <f>IFERROR(INDEX(Mots!$B:$B,MATCH($A95,Mots!$A:$A,0)),"introuvable")</f>
        <v>le spectacle</v>
      </c>
      <c r="C95" s="40" t="s">
        <v>643</v>
      </c>
      <c r="D95" s="39" t="s">
        <v>9773</v>
      </c>
    </row>
    <row r="96" spans="1:4" x14ac:dyDescent="0.4">
      <c r="A96" s="39" t="s">
        <v>690</v>
      </c>
      <c r="B96" s="41" t="str">
        <f>IFERROR(INDEX(Mots!$B:$B,MATCH($A96,Mots!$A:$A,0)),"introuvable")</f>
        <v>les paroles</v>
      </c>
      <c r="C96" s="40" t="s">
        <v>9774</v>
      </c>
      <c r="D96" s="39" t="s">
        <v>9775</v>
      </c>
    </row>
    <row r="97" spans="1:4" x14ac:dyDescent="0.4">
      <c r="A97" s="39" t="s">
        <v>695</v>
      </c>
      <c r="B97" s="41" t="str">
        <f>IFERROR(INDEX(Mots!$B:$B,MATCH($A97,Mots!$A:$A,0)),"introuvable")</f>
        <v>l'harmonie</v>
      </c>
      <c r="C97" s="40" t="s">
        <v>9776</v>
      </c>
    </row>
    <row r="98" spans="1:4" x14ac:dyDescent="0.4">
      <c r="A98" s="39" t="s">
        <v>710</v>
      </c>
      <c r="B98" s="41" t="str">
        <f>IFERROR(INDEX(Mots!$B:$B,MATCH($A98,Mots!$A:$A,0)),"introuvable")</f>
        <v>le lave-vaisselle</v>
      </c>
      <c r="C98" s="40" t="s">
        <v>9777</v>
      </c>
    </row>
    <row r="99" spans="1:4" x14ac:dyDescent="0.4">
      <c r="A99" s="39" t="s">
        <v>724</v>
      </c>
      <c r="B99" s="41" t="str">
        <f>IFERROR(INDEX(Mots!$B:$B,MATCH($A99,Mots!$A:$A,0)),"introuvable")</f>
        <v>la cuisinière vitroceram</v>
      </c>
      <c r="C99" s="40" t="s">
        <v>9778</v>
      </c>
    </row>
    <row r="100" spans="1:4" x14ac:dyDescent="0.4">
      <c r="A100" s="39" t="s">
        <v>791</v>
      </c>
      <c r="B100" s="41" t="str">
        <f>IFERROR(INDEX(Mots!$B:$B,MATCH($A100,Mots!$A:$A,0)),"introuvable")</f>
        <v>le buffet</v>
      </c>
      <c r="C100" s="40" t="s">
        <v>3206</v>
      </c>
    </row>
    <row r="101" spans="1:4" x14ac:dyDescent="0.4">
      <c r="A101" s="39" t="s">
        <v>802</v>
      </c>
      <c r="B101" s="41" t="str">
        <f>IFERROR(INDEX(Mots!$B:$B,MATCH($A101,Mots!$A:$A,0)),"introuvable")</f>
        <v>le lave-linge</v>
      </c>
      <c r="C101" s="40" t="s">
        <v>9779</v>
      </c>
    </row>
    <row r="102" spans="1:4" x14ac:dyDescent="0.4">
      <c r="A102" s="39" t="s">
        <v>832</v>
      </c>
      <c r="B102" s="41" t="str">
        <f>IFERROR(INDEX(Mots!$B:$B,MATCH($A102,Mots!$A:$A,0)),"introuvable")</f>
        <v>la télévision</v>
      </c>
      <c r="C102" s="40" t="s">
        <v>9780</v>
      </c>
      <c r="D102" s="39" t="s">
        <v>9781</v>
      </c>
    </row>
    <row r="103" spans="1:4" x14ac:dyDescent="0.4">
      <c r="A103" s="39" t="s">
        <v>916</v>
      </c>
      <c r="B103" s="41" t="str">
        <f>IFERROR(INDEX(Mots!$B:$B,MATCH($A103,Mots!$A:$A,0)),"introuvable")</f>
        <v>le siècle</v>
      </c>
      <c r="C103" s="40" t="s">
        <v>9782</v>
      </c>
    </row>
    <row r="104" spans="1:4" x14ac:dyDescent="0.4">
      <c r="A104" s="39" t="s">
        <v>968</v>
      </c>
      <c r="B104" s="41" t="str">
        <f>IFERROR(INDEX(Mots!$B:$B,MATCH($A104,Mots!$A:$A,0)),"introuvable")</f>
        <v>la durée</v>
      </c>
    </row>
    <row r="105" spans="1:4" x14ac:dyDescent="0.4">
      <c r="A105" s="39" t="s">
        <v>1003</v>
      </c>
      <c r="B105" s="41" t="str">
        <f>IFERROR(INDEX(Mots!$B:$B,MATCH($A105,Mots!$A:$A,0)),"introuvable")</f>
        <v>le ventre</v>
      </c>
      <c r="C105" s="40" t="s">
        <v>9783</v>
      </c>
      <c r="D105" s="39" t="s">
        <v>9784</v>
      </c>
    </row>
    <row r="106" spans="1:4" x14ac:dyDescent="0.4">
      <c r="A106" s="39" t="s">
        <v>1013</v>
      </c>
      <c r="B106" s="41" t="str">
        <f>IFERROR(INDEX(Mots!$B:$B,MATCH($A106,Mots!$A:$A,0)),"introuvable")</f>
        <v>le coeur</v>
      </c>
      <c r="C106" s="40" t="s">
        <v>9785</v>
      </c>
    </row>
    <row r="107" spans="1:4" x14ac:dyDescent="0.4">
      <c r="A107" s="39" t="s">
        <v>1029</v>
      </c>
      <c r="B107" s="41" t="str">
        <f>IFERROR(INDEX(Mots!$B:$B,MATCH($A107,Mots!$A:$A,0)),"introuvable")</f>
        <v>la tête</v>
      </c>
      <c r="C107" s="40" t="s">
        <v>9786</v>
      </c>
    </row>
    <row r="108" spans="1:4" x14ac:dyDescent="0.4">
      <c r="A108" s="39" t="s">
        <v>1032</v>
      </c>
      <c r="B108" s="41" t="str">
        <f>IFERROR(INDEX(Mots!$B:$B,MATCH($A108,Mots!$A:$A,0)),"introuvable")</f>
        <v>les cheveux</v>
      </c>
      <c r="C108" s="40" t="s">
        <v>9787</v>
      </c>
    </row>
    <row r="109" spans="1:4" x14ac:dyDescent="0.4">
      <c r="A109" s="39" t="s">
        <v>1147</v>
      </c>
      <c r="B109" s="41" t="str">
        <f>IFERROR(INDEX(Mots!$B:$B,MATCH($A109,Mots!$A:$A,0)),"introuvable")</f>
        <v>le pupitre</v>
      </c>
      <c r="C109" s="40" t="s">
        <v>9788</v>
      </c>
    </row>
    <row r="110" spans="1:4" x14ac:dyDescent="0.4">
      <c r="A110" s="39" t="s">
        <v>1175</v>
      </c>
      <c r="B110" s="41" t="str">
        <f>IFERROR(INDEX(Mots!$B:$B,MATCH($A110,Mots!$A:$A,0)),"introuvable")</f>
        <v>la vache</v>
      </c>
      <c r="C110" s="40" t="s">
        <v>9789</v>
      </c>
    </row>
    <row r="111" spans="1:4" x14ac:dyDescent="0.4">
      <c r="A111" s="39" t="s">
        <v>1180</v>
      </c>
      <c r="B111" s="41" t="str">
        <f>IFERROR(INDEX(Mots!$B:$B,MATCH($A111,Mots!$A:$A,0)),"introuvable")</f>
        <v>le cochon</v>
      </c>
      <c r="C111" s="40" t="s">
        <v>2916</v>
      </c>
      <c r="D111" s="39" t="s">
        <v>9792</v>
      </c>
    </row>
    <row r="112" spans="1:4" x14ac:dyDescent="0.4">
      <c r="A112" s="39" t="s">
        <v>1185</v>
      </c>
      <c r="B112" s="41" t="str">
        <f>IFERROR(INDEX(Mots!$B:$B,MATCH($A112,Mots!$A:$A,0)),"introuvable")</f>
        <v>le mouton</v>
      </c>
      <c r="C112" s="40" t="s">
        <v>9790</v>
      </c>
      <c r="D112" s="39" t="s">
        <v>9791</v>
      </c>
    </row>
    <row r="113" spans="1:4" x14ac:dyDescent="0.4">
      <c r="A113" s="39" t="s">
        <v>1190</v>
      </c>
      <c r="B113" s="41" t="str">
        <f>IFERROR(INDEX(Mots!$B:$B,MATCH($A113,Mots!$A:$A,0)),"introuvable")</f>
        <v>la poule</v>
      </c>
      <c r="C113" s="40" t="s">
        <v>9793</v>
      </c>
      <c r="D113" s="39" t="s">
        <v>9794</v>
      </c>
    </row>
    <row r="114" spans="1:4" x14ac:dyDescent="0.4">
      <c r="A114" s="39" t="s">
        <v>1212</v>
      </c>
      <c r="B114" s="41" t="str">
        <f>IFERROR(INDEX(Mots!$B:$B,MATCH($A114,Mots!$A:$A,0)),"introuvable")</f>
        <v>le chat</v>
      </c>
      <c r="C114" s="40" t="s">
        <v>9795</v>
      </c>
    </row>
    <row r="115" spans="1:4" x14ac:dyDescent="0.4">
      <c r="A115" s="39" t="s">
        <v>1216</v>
      </c>
      <c r="B115" s="41" t="str">
        <f>IFERROR(INDEX(Mots!$B:$B,MATCH($A115,Mots!$A:$A,0)),"introuvable")</f>
        <v>le chien</v>
      </c>
      <c r="C115" s="40" t="s">
        <v>9796</v>
      </c>
    </row>
    <row r="116" spans="1:4" x14ac:dyDescent="0.4">
      <c r="A116" s="39" t="s">
        <v>1398</v>
      </c>
      <c r="B116" s="41" t="str">
        <f>IFERROR(INDEX(Mots!$B:$B,MATCH($A116,Mots!$A:$A,0)),"introuvable")</f>
        <v>la pièce de monnaie</v>
      </c>
      <c r="C116" s="40" t="s">
        <v>9797</v>
      </c>
    </row>
    <row r="117" spans="1:4" x14ac:dyDescent="0.4">
      <c r="A117" s="39" t="s">
        <v>1422</v>
      </c>
      <c r="B117" s="41" t="str">
        <f>IFERROR(INDEX(Mots!$B:$B,MATCH($A117,Mots!$A:$A,0)),"introuvable")</f>
        <v>le virement</v>
      </c>
      <c r="C117" s="40" t="s">
        <v>9798</v>
      </c>
      <c r="D117" s="39" t="s">
        <v>9799</v>
      </c>
    </row>
    <row r="118" spans="1:4" x14ac:dyDescent="0.4">
      <c r="A118" s="39" t="s">
        <v>1568</v>
      </c>
      <c r="B118" s="41" t="str">
        <f>IFERROR(INDEX(Mots!$B:$B,MATCH($A118,Mots!$A:$A,0)),"introuvable")</f>
        <v>les souliers</v>
      </c>
      <c r="C118" s="40" t="s">
        <v>9800</v>
      </c>
      <c r="D118" s="39" t="s">
        <v>9801</v>
      </c>
    </row>
    <row r="119" spans="1:4" x14ac:dyDescent="0.4">
      <c r="A119" s="39" t="s">
        <v>1627</v>
      </c>
      <c r="B119" s="41" t="str">
        <f>IFERROR(INDEX(Mots!$B:$B,MATCH($A119,Mots!$A:$A,0)),"introuvable")</f>
        <v>la rivière</v>
      </c>
      <c r="C119" s="40" t="s">
        <v>9802</v>
      </c>
    </row>
    <row r="120" spans="1:4" x14ac:dyDescent="0.4">
      <c r="A120" s="39" t="s">
        <v>1833</v>
      </c>
      <c r="B120" s="41" t="str">
        <f>IFERROR(INDEX(Mots!$B:$B,MATCH($A120,Mots!$A:$A,0)),"introuvable")</f>
        <v>l'argent</v>
      </c>
      <c r="C120" s="40" t="s">
        <v>9803</v>
      </c>
    </row>
    <row r="121" spans="1:4" x14ac:dyDescent="0.4">
      <c r="A121" s="39" t="s">
        <v>9407</v>
      </c>
      <c r="B121" s="41" t="str">
        <f>IFERROR(INDEX(Mots!$B:$B,MATCH($A121,Mots!$A:$A,0)),"introuvable")</f>
        <v>la pomme de terre</v>
      </c>
      <c r="C121" s="40" t="s">
        <v>9804</v>
      </c>
    </row>
    <row r="122" spans="1:4" x14ac:dyDescent="0.4">
      <c r="A122" s="39" t="s">
        <v>2204</v>
      </c>
      <c r="B122" s="41" t="str">
        <f>IFERROR(INDEX(Mots!$B:$B,MATCH($A122,Mots!$A:$A,0)),"introuvable")</f>
        <v>le cuisinier</v>
      </c>
      <c r="C122" s="40" t="s">
        <v>9805</v>
      </c>
    </row>
    <row r="123" spans="1:4" x14ac:dyDescent="0.4">
      <c r="A123" s="39" t="s">
        <v>2329</v>
      </c>
      <c r="B123" s="41" t="str">
        <f>IFERROR(INDEX(Mots!$B:$B,MATCH($A123,Mots!$A:$A,0)),"introuvable")</f>
        <v>le chargeur</v>
      </c>
      <c r="C123" s="40" t="s">
        <v>3395</v>
      </c>
    </row>
    <row r="124" spans="1:4" x14ac:dyDescent="0.4">
      <c r="A124" s="39" t="s">
        <v>2333</v>
      </c>
      <c r="B124" s="41" t="str">
        <f>IFERROR(INDEX(Mots!$B:$B,MATCH($A124,Mots!$A:$A,0)),"introuvable")</f>
        <v>le porte-monnaie</v>
      </c>
      <c r="C124" s="40" t="s">
        <v>9806</v>
      </c>
    </row>
    <row r="125" spans="1:4" x14ac:dyDescent="0.4">
      <c r="A125" s="39" t="s">
        <v>2725</v>
      </c>
      <c r="B125" s="41" t="str">
        <f>IFERROR(INDEX(Mots!$B:$B,MATCH($A125,Mots!$A:$A,0)),"introuvable")</f>
        <v>l'ami</v>
      </c>
      <c r="C125" s="40" t="s">
        <v>5681</v>
      </c>
      <c r="D125" s="39" t="s">
        <v>9807</v>
      </c>
    </row>
    <row r="126" spans="1:4" x14ac:dyDescent="0.4">
      <c r="A126" s="39" t="s">
        <v>2737</v>
      </c>
      <c r="B126" s="41" t="str">
        <f>IFERROR(INDEX(Mots!$B:$B,MATCH($A126,Mots!$A:$A,0)),"introuvable")</f>
        <v>le magasin</v>
      </c>
      <c r="C126" s="40" t="s">
        <v>5652</v>
      </c>
    </row>
    <row r="127" spans="1:4" x14ac:dyDescent="0.4">
      <c r="A127" s="39" t="s">
        <v>2767</v>
      </c>
      <c r="B127" s="41" t="str">
        <f>IFERROR(INDEX(Mots!$B:$B,MATCH($A127,Mots!$A:$A,0)),"introuvable")</f>
        <v>la salle de bain</v>
      </c>
      <c r="C127" s="39" t="s">
        <v>9808</v>
      </c>
    </row>
    <row r="128" spans="1:4" x14ac:dyDescent="0.4">
      <c r="A128" s="39" t="s">
        <v>3164</v>
      </c>
      <c r="B128" s="41" t="str">
        <f>IFERROR(INDEX(Mots!$B:$B,MATCH($A128,Mots!$A:$A,0)),"introuvable")</f>
        <v>le chiffon</v>
      </c>
      <c r="C128" s="40" t="s">
        <v>9809</v>
      </c>
    </row>
    <row r="129" spans="1:3" x14ac:dyDescent="0.4">
      <c r="A129" s="39" t="s">
        <v>3168</v>
      </c>
      <c r="B129" s="41" t="str">
        <f>IFERROR(INDEX(Mots!$B:$B,MATCH($A129,Mots!$A:$A,0)),"introuvable")</f>
        <v>le matériel pour récurrer</v>
      </c>
      <c r="C129" s="40" t="s">
        <v>9810</v>
      </c>
    </row>
    <row r="130" spans="1:3" x14ac:dyDescent="0.4">
      <c r="A130" s="39" t="s">
        <v>3193</v>
      </c>
      <c r="B130" s="41" t="str">
        <f>IFERROR(INDEX(Mots!$B:$B,MATCH($A130,Mots!$A:$A,0)),"introuvable")</f>
        <v>l'oreiller</v>
      </c>
      <c r="C130" s="40" t="s">
        <v>5707</v>
      </c>
    </row>
    <row r="131" spans="1:3" x14ac:dyDescent="0.4">
      <c r="A131" s="39" t="s">
        <v>3208</v>
      </c>
      <c r="B131" s="41" t="str">
        <f>IFERROR(INDEX(Mots!$B:$B,MATCH($A131,Mots!$A:$A,0)),"introuvable")</f>
        <v>la corbeille à linge</v>
      </c>
      <c r="C131" s="39" t="s">
        <v>9811</v>
      </c>
    </row>
    <row r="132" spans="1:3" x14ac:dyDescent="0.4">
      <c r="A132" s="39" t="s">
        <v>3219</v>
      </c>
      <c r="B132" s="41" t="str">
        <f>IFERROR(INDEX(Mots!$B:$B,MATCH($A132,Mots!$A:$A,0)),"introuvable")</f>
        <v>le linge</v>
      </c>
      <c r="C132" s="39" t="s">
        <v>9812</v>
      </c>
    </row>
    <row r="133" spans="1:3" x14ac:dyDescent="0.4">
      <c r="A133" s="39" t="s">
        <v>3238</v>
      </c>
      <c r="B133" s="41" t="str">
        <f>IFERROR(INDEX(Mots!$B:$B,MATCH($A133,Mots!$A:$A,0)),"introuvable")</f>
        <v>l'essence</v>
      </c>
      <c r="C133" s="39" t="s">
        <v>9770</v>
      </c>
    </row>
    <row r="134" spans="1:3" x14ac:dyDescent="0.4">
      <c r="A134" s="39" t="s">
        <v>3262</v>
      </c>
      <c r="B134" s="41" t="str">
        <f>IFERROR(INDEX(Mots!$B:$B,MATCH($A134,Mots!$A:$A,0)),"introuvable")</f>
        <v>les bas</v>
      </c>
      <c r="C134" s="39" t="s">
        <v>9813</v>
      </c>
    </row>
    <row r="135" spans="1:3" x14ac:dyDescent="0.4">
      <c r="A135" s="39" t="s">
        <v>3275</v>
      </c>
      <c r="B135" s="41" t="str">
        <f>IFERROR(INDEX(Mots!$B:$B,MATCH($A135,Mots!$A:$A,0)),"introuvable")</f>
        <v>les cuissettes</v>
      </c>
      <c r="C135" s="39" t="s">
        <v>9814</v>
      </c>
    </row>
    <row r="136" spans="1:3" x14ac:dyDescent="0.4">
      <c r="A136" s="39" t="s">
        <v>34</v>
      </c>
      <c r="B136" s="41" t="str">
        <f>IFERROR(INDEX(Mots!$B:$B,MATCH($A136,Mots!$A:$A,0)),"introuvable")</f>
        <v>la maison</v>
      </c>
      <c r="C136" s="39" t="s">
        <v>9815</v>
      </c>
    </row>
    <row r="137" spans="1:3" x14ac:dyDescent="0.4">
      <c r="A137" s="39" t="s">
        <v>3386</v>
      </c>
      <c r="B137" s="41" t="str">
        <f>IFERROR(INDEX(Mots!$B:$B,MATCH($A137,Mots!$A:$A,0)),"introuvable")</f>
        <v>la barrière</v>
      </c>
      <c r="C137" s="39" t="s">
        <v>9816</v>
      </c>
    </row>
    <row r="138" spans="1:3" x14ac:dyDescent="0.4">
      <c r="A138" s="39" t="s">
        <v>3410</v>
      </c>
      <c r="B138" s="41" t="str">
        <f>IFERROR(INDEX(Mots!$B:$B,MATCH($A138,Mots!$A:$A,0)),"introuvable")</f>
        <v>accepter</v>
      </c>
      <c r="C138" s="39" t="s">
        <v>8996</v>
      </c>
    </row>
    <row r="139" spans="1:3" x14ac:dyDescent="0.4">
      <c r="A139" s="39" t="s">
        <v>3447</v>
      </c>
      <c r="B139" s="41" t="str">
        <f>IFERROR(INDEX(Mots!$B:$B,MATCH($A139,Mots!$A:$A,0)),"introuvable")</f>
        <v>ailleurs</v>
      </c>
      <c r="C139" s="39" t="s">
        <v>9817</v>
      </c>
    </row>
    <row r="140" spans="1:3" x14ac:dyDescent="0.4">
      <c r="A140" s="39" t="s">
        <v>3455</v>
      </c>
      <c r="B140" s="41" t="str">
        <f>IFERROR(INDEX(Mots!$B:$B,MATCH($A140,Mots!$A:$A,0)),"introuvable")</f>
        <v>aimer</v>
      </c>
      <c r="C140" s="39" t="s">
        <v>9818</v>
      </c>
    </row>
    <row r="141" spans="1:3" x14ac:dyDescent="0.4">
      <c r="A141" s="39" t="s">
        <v>3471</v>
      </c>
      <c r="B141" s="41" t="str">
        <f>IFERROR(INDEX(Mots!$B:$B,MATCH($A141,Mots!$A:$A,0)),"introuvable")</f>
        <v>annoncer</v>
      </c>
      <c r="C141" s="39" t="s">
        <v>3819</v>
      </c>
    </row>
    <row r="142" spans="1:3" x14ac:dyDescent="0.4">
      <c r="A142" s="39" t="s">
        <v>3486</v>
      </c>
      <c r="B142" s="41" t="str">
        <f>IFERROR(INDEX(Mots!$B:$B,MATCH($A142,Mots!$A:$A,0)),"introuvable")</f>
        <v>apprendre</v>
      </c>
      <c r="C142" s="39" t="s">
        <v>9819</v>
      </c>
    </row>
    <row r="143" spans="1:3" x14ac:dyDescent="0.4">
      <c r="A143" s="39" t="s">
        <v>3533</v>
      </c>
      <c r="B143" s="41" t="str">
        <f>IFERROR(INDEX(Mots!$B:$B,MATCH($A143,Mots!$A:$A,0)),"introuvable")</f>
        <v>avouer</v>
      </c>
      <c r="C143" s="39" t="s">
        <v>9820</v>
      </c>
    </row>
    <row r="144" spans="1:3" x14ac:dyDescent="0.4">
      <c r="A144" s="39" t="s">
        <v>3541</v>
      </c>
      <c r="B144" s="41" t="str">
        <f>IFERROR(INDEX(Mots!$B:$B,MATCH($A144,Mots!$A:$A,0)),"introuvable")</f>
        <v>bien</v>
      </c>
      <c r="C144" s="39" t="s">
        <v>9821</v>
      </c>
    </row>
    <row r="145" spans="1:5" x14ac:dyDescent="0.4">
      <c r="A145" s="39" t="s">
        <v>3566</v>
      </c>
      <c r="B145" s="41" t="str">
        <f>IFERROR(INDEX(Mots!$B:$B,MATCH($A145,Mots!$A:$A,0)),"introuvable")</f>
        <v>cacher</v>
      </c>
      <c r="C145" s="39" t="s">
        <v>9822</v>
      </c>
    </row>
    <row r="146" spans="1:5" x14ac:dyDescent="0.4">
      <c r="A146" s="39" t="s">
        <v>3619</v>
      </c>
      <c r="B146" s="41" t="str">
        <f>IFERROR(INDEX(Mots!$B:$B,MATCH($A146,Mots!$A:$A,0)),"introuvable")</f>
        <v>chuchoter</v>
      </c>
      <c r="C146" s="39" t="s">
        <v>8299</v>
      </c>
    </row>
    <row r="147" spans="1:5" x14ac:dyDescent="0.4">
      <c r="A147" s="39" t="s">
        <v>3653</v>
      </c>
      <c r="B147" s="41" t="str">
        <f>IFERROR(INDEX(Mots!$B:$B,MATCH($A147,Mots!$A:$A,0)),"introuvable")</f>
        <v>complet</v>
      </c>
      <c r="C147" s="39" t="s">
        <v>9760</v>
      </c>
    </row>
    <row r="148" spans="1:5" x14ac:dyDescent="0.4">
      <c r="A148" s="39" t="s">
        <v>3657</v>
      </c>
      <c r="B148" s="41" t="str">
        <f>IFERROR(INDEX(Mots!$B:$B,MATCH($A148,Mots!$A:$A,0)),"introuvable")</f>
        <v>comprendre</v>
      </c>
      <c r="C148" s="39" t="s">
        <v>9823</v>
      </c>
    </row>
    <row r="149" spans="1:5" x14ac:dyDescent="0.4">
      <c r="A149" s="39" t="s">
        <v>3677</v>
      </c>
      <c r="B149" s="41" t="str">
        <f>IFERROR(INDEX(Mots!$B:$B,MATCH($A149,Mots!$A:$A,0)),"introuvable")</f>
        <v>connaître</v>
      </c>
      <c r="C149" s="39" t="s">
        <v>7286</v>
      </c>
    </row>
    <row r="150" spans="1:5" x14ac:dyDescent="0.4">
      <c r="A150" s="39" t="s">
        <v>3692</v>
      </c>
      <c r="B150" s="41" t="str">
        <f>IFERROR(INDEX(Mots!$B:$B,MATCH($A150,Mots!$A:$A,0)),"introuvable")</f>
        <v>correct</v>
      </c>
      <c r="C150" s="39" t="s">
        <v>4080</v>
      </c>
      <c r="D150" s="39" t="s">
        <v>9824</v>
      </c>
    </row>
    <row r="151" spans="1:5" x14ac:dyDescent="0.4">
      <c r="A151" s="39" t="s">
        <v>3697</v>
      </c>
      <c r="B151" s="41" t="str">
        <f>IFERROR(INDEX(Mots!$B:$B,MATCH($A151,Mots!$A:$A,0)),"introuvable")</f>
        <v>coupant</v>
      </c>
      <c r="C151" s="39" t="s">
        <v>9825</v>
      </c>
    </row>
    <row r="152" spans="1:5" x14ac:dyDescent="0.4">
      <c r="A152" s="39" t="s">
        <v>3702</v>
      </c>
      <c r="B152" s="41" t="str">
        <f>IFERROR(INDEX(Mots!$B:$B,MATCH($A152,Mots!$A:$A,0)),"introuvable")</f>
        <v>couper</v>
      </c>
      <c r="C152" s="39" t="s">
        <v>9826</v>
      </c>
    </row>
    <row r="153" spans="1:5" x14ac:dyDescent="0.4">
      <c r="A153" s="39" t="s">
        <v>3718</v>
      </c>
      <c r="B153" s="41" t="str">
        <f>IFERROR(INDEX(Mots!$B:$B,MATCH($A153,Mots!$A:$A,0)),"introuvable")</f>
        <v>creux</v>
      </c>
      <c r="C153" s="39" t="s">
        <v>6517</v>
      </c>
    </row>
    <row r="154" spans="1:5" x14ac:dyDescent="0.4">
      <c r="A154" s="39" t="s">
        <v>3739</v>
      </c>
      <c r="B154" s="41" t="str">
        <f>IFERROR(INDEX(Mots!$B:$B,MATCH($A154,Mots!$A:$A,0)),"introuvable")</f>
        <v>cuire</v>
      </c>
      <c r="C154" s="39" t="s">
        <v>7643</v>
      </c>
    </row>
    <row r="155" spans="1:5" x14ac:dyDescent="0.4">
      <c r="A155" s="39" t="s">
        <v>3823</v>
      </c>
      <c r="B155" s="41" t="str">
        <f>IFERROR(INDEX(Mots!$B:$B,MATCH($A155,Mots!$A:$A,0)),"introuvable")</f>
        <v>disponible</v>
      </c>
      <c r="C155" s="39" t="s">
        <v>9827</v>
      </c>
    </row>
    <row r="156" spans="1:5" x14ac:dyDescent="0.4">
      <c r="A156" s="39" t="s">
        <v>3886</v>
      </c>
      <c r="B156" s="41" t="str">
        <f>IFERROR(INDEX(Mots!$B:$B,MATCH($A156,Mots!$A:$A,0)),"introuvable")</f>
        <v>élevé</v>
      </c>
      <c r="C156" s="39" t="s">
        <v>9828</v>
      </c>
      <c r="D156" s="39" t="s">
        <v>10019</v>
      </c>
      <c r="E156" s="39" t="s">
        <v>10020</v>
      </c>
    </row>
    <row r="157" spans="1:5" x14ac:dyDescent="0.4">
      <c r="A157" s="39" t="s">
        <v>3896</v>
      </c>
      <c r="B157" s="41" t="str">
        <f>IFERROR(INDEX(Mots!$B:$B,MATCH($A157,Mots!$A:$A,0)),"introuvable")</f>
        <v>enflammé</v>
      </c>
      <c r="C157" s="39" t="s">
        <v>4061</v>
      </c>
    </row>
    <row r="158" spans="1:5" x14ac:dyDescent="0.4">
      <c r="A158" s="39" t="s">
        <v>3925</v>
      </c>
      <c r="B158" s="41" t="str">
        <f>IFERROR(INDEX(Mots!$B:$B,MATCH($A158,Mots!$A:$A,0)),"introuvable")</f>
        <v>équitable</v>
      </c>
      <c r="C158" s="39" t="s">
        <v>4080</v>
      </c>
      <c r="D158" s="39" t="s">
        <v>3692</v>
      </c>
    </row>
    <row r="159" spans="1:5" x14ac:dyDescent="0.4">
      <c r="A159" s="39" t="s">
        <v>3935</v>
      </c>
      <c r="B159" s="41" t="str">
        <f>IFERROR(INDEX(Mots!$B:$B,MATCH($A159,Mots!$A:$A,0)),"introuvable")</f>
        <v>exact</v>
      </c>
      <c r="C159" s="39" t="s">
        <v>4080</v>
      </c>
      <c r="D159" s="39" t="s">
        <v>3692</v>
      </c>
    </row>
    <row r="160" spans="1:5" x14ac:dyDescent="0.4">
      <c r="A160" s="39" t="s">
        <v>3937</v>
      </c>
      <c r="B160" s="41" t="str">
        <f>IFERROR(INDEX(Mots!$B:$B,MATCH($A160,Mots!$A:$A,0)),"introuvable")</f>
        <v>expliquer</v>
      </c>
      <c r="C160" s="39" t="s">
        <v>9829</v>
      </c>
    </row>
    <row r="161" spans="1:4" x14ac:dyDescent="0.4">
      <c r="A161" s="39" t="s">
        <v>3951</v>
      </c>
      <c r="B161" s="41" t="str">
        <f>IFERROR(INDEX(Mots!$B:$B,MATCH($A161,Mots!$A:$A,0)),"introuvable")</f>
        <v>fatigué</v>
      </c>
      <c r="C161" s="39" t="s">
        <v>9831</v>
      </c>
      <c r="D161" s="39" t="s">
        <v>9830</v>
      </c>
    </row>
    <row r="162" spans="1:4" x14ac:dyDescent="0.4">
      <c r="A162" s="39" t="s">
        <v>3987</v>
      </c>
      <c r="B162" s="41" t="str">
        <f>IFERROR(INDEX(Mots!$B:$B,MATCH($A162,Mots!$A:$A,0)),"introuvable")</f>
        <v>frapper</v>
      </c>
      <c r="C162" s="39" t="s">
        <v>9832</v>
      </c>
    </row>
    <row r="163" spans="1:4" x14ac:dyDescent="0.4">
      <c r="A163" s="39" t="s">
        <v>9625</v>
      </c>
      <c r="B163" s="41" t="str">
        <f>IFERROR(INDEX(Mots!$B:$B,MATCH($A163,Mots!$A:$A,0)),"introuvable")</f>
        <v>heureux</v>
      </c>
      <c r="C163" s="39" t="s">
        <v>9748</v>
      </c>
    </row>
    <row r="164" spans="1:4" x14ac:dyDescent="0.4">
      <c r="A164" s="39" t="s">
        <v>4044</v>
      </c>
      <c r="B164" s="41" t="str">
        <f>IFERROR(INDEX(Mots!$B:$B,MATCH($A164,Mots!$A:$A,0)),"introuvable")</f>
        <v>imaginer</v>
      </c>
      <c r="C164" s="39" t="s">
        <v>9833</v>
      </c>
    </row>
    <row r="165" spans="1:4" x14ac:dyDescent="0.4">
      <c r="A165" s="39" t="s">
        <v>4060</v>
      </c>
      <c r="B165" s="41" t="str">
        <f>IFERROR(INDEX(Mots!$B:$B,MATCH($A165,Mots!$A:$A,0)),"introuvable")</f>
        <v>irrité</v>
      </c>
      <c r="C165" s="39" t="s">
        <v>3897</v>
      </c>
    </row>
    <row r="166" spans="1:4" x14ac:dyDescent="0.4">
      <c r="A166" s="39" t="s">
        <v>4064</v>
      </c>
      <c r="B166" s="41" t="str">
        <f>IFERROR(INDEX(Mots!$B:$B,MATCH($A166,Mots!$A:$A,0)),"introuvable")</f>
        <v>jeter</v>
      </c>
      <c r="C166" s="39" t="s">
        <v>5280</v>
      </c>
    </row>
    <row r="167" spans="1:4" x14ac:dyDescent="0.4">
      <c r="A167" s="39" t="s">
        <v>4080</v>
      </c>
      <c r="B167" s="41" t="str">
        <f>IFERROR(INDEX(Mots!$B:$B,MATCH($A167,Mots!$A:$A,0)),"introuvable")</f>
        <v>juste</v>
      </c>
      <c r="C167" s="39" t="s">
        <v>3692</v>
      </c>
      <c r="D167" s="39" t="s">
        <v>3935</v>
      </c>
    </row>
    <row r="168" spans="1:4" x14ac:dyDescent="0.4">
      <c r="A168" s="39" t="s">
        <v>4087</v>
      </c>
      <c r="B168" s="41" t="str">
        <f>IFERROR(INDEX(Mots!$B:$B,MATCH($A168,Mots!$A:$A,0)),"introuvable")</f>
        <v>la bagarre</v>
      </c>
      <c r="C168" s="39" t="s">
        <v>4614</v>
      </c>
    </row>
    <row r="169" spans="1:4" x14ac:dyDescent="0.4">
      <c r="A169" s="39" t="s">
        <v>4095</v>
      </c>
      <c r="B169" s="41" t="str">
        <f>IFERROR(INDEX(Mots!$B:$B,MATCH($A169,Mots!$A:$A,0)),"introuvable")</f>
        <v>la balance</v>
      </c>
      <c r="C169" s="39" t="s">
        <v>7810</v>
      </c>
      <c r="D169" s="39" t="s">
        <v>9834</v>
      </c>
    </row>
    <row r="170" spans="1:4" x14ac:dyDescent="0.4">
      <c r="A170" s="39" t="s">
        <v>4103</v>
      </c>
      <c r="B170" s="41" t="str">
        <f>IFERROR(INDEX(Mots!$B:$B,MATCH($A170,Mots!$A:$A,0)),"introuvable")</f>
        <v>la balle</v>
      </c>
      <c r="C170" s="39" t="s">
        <v>4159</v>
      </c>
    </row>
    <row r="171" spans="1:4" x14ac:dyDescent="0.4">
      <c r="A171" s="39" t="s">
        <v>4158</v>
      </c>
      <c r="B171" s="41" t="str">
        <f>IFERROR(INDEX(Mots!$B:$B,MATCH($A171,Mots!$A:$A,0)),"introuvable")</f>
        <v>la boule</v>
      </c>
      <c r="C171" s="39" t="s">
        <v>4104</v>
      </c>
    </row>
    <row r="172" spans="1:4" x14ac:dyDescent="0.4">
      <c r="A172" s="39" t="s">
        <v>4166</v>
      </c>
      <c r="B172" s="41" t="str">
        <f>IFERROR(INDEX(Mots!$B:$B,MATCH($A172,Mots!$A:$A,0)),"introuvable")</f>
        <v>la boutique</v>
      </c>
      <c r="C172" s="39" t="s">
        <v>2738</v>
      </c>
    </row>
    <row r="173" spans="1:4" x14ac:dyDescent="0.4">
      <c r="A173" s="39" t="s">
        <v>4189</v>
      </c>
      <c r="B173" s="41" t="str">
        <f>IFERROR(INDEX(Mots!$B:$B,MATCH($A173,Mots!$A:$A,0)),"introuvable")</f>
        <v>la cascade</v>
      </c>
      <c r="C173" s="39" t="s">
        <v>9835</v>
      </c>
    </row>
    <row r="174" spans="1:4" x14ac:dyDescent="0.4">
      <c r="A174" s="39" t="s">
        <v>89</v>
      </c>
      <c r="B174" s="41" t="str">
        <f>IFERROR(INDEX(Mots!$B:$B,MATCH($A174,Mots!$A:$A,0)),"introuvable")</f>
        <v>la catégorie</v>
      </c>
      <c r="C174" s="39" t="s">
        <v>9836</v>
      </c>
    </row>
    <row r="175" spans="1:4" x14ac:dyDescent="0.4">
      <c r="A175" s="39" t="s">
        <v>415</v>
      </c>
      <c r="B175" s="41" t="str">
        <f>IFERROR(INDEX(Mots!$B:$B,MATCH($A175,Mots!$A:$A,0)),"introuvable")</f>
        <v>la chose</v>
      </c>
      <c r="C175" s="39" t="s">
        <v>6838</v>
      </c>
    </row>
    <row r="176" spans="1:4" x14ac:dyDescent="0.4">
      <c r="A176" s="39" t="s">
        <v>4226</v>
      </c>
      <c r="B176" s="41" t="str">
        <f>IFERROR(INDEX(Mots!$B:$B,MATCH($A176,Mots!$A:$A,0)),"introuvable")</f>
        <v>la circulation</v>
      </c>
      <c r="C176" s="39" t="s">
        <v>9837</v>
      </c>
    </row>
    <row r="177" spans="1:4" x14ac:dyDescent="0.4">
      <c r="A177" s="39" t="s">
        <v>4234</v>
      </c>
      <c r="B177" s="41" t="str">
        <f>IFERROR(INDEX(Mots!$B:$B,MATCH($A177,Mots!$A:$A,0)),"introuvable")</f>
        <v>la clairière</v>
      </c>
      <c r="C177" s="39" t="s">
        <v>4927</v>
      </c>
    </row>
    <row r="178" spans="1:4" x14ac:dyDescent="0.4">
      <c r="A178" s="39" t="s">
        <v>4291</v>
      </c>
      <c r="B178" s="41" t="str">
        <f>IFERROR(INDEX(Mots!$B:$B,MATCH($A178,Mots!$A:$A,0)),"introuvable")</f>
        <v>la consigne</v>
      </c>
      <c r="C178" s="39" t="s">
        <v>9838</v>
      </c>
    </row>
    <row r="179" spans="1:4" x14ac:dyDescent="0.4">
      <c r="A179" s="39" t="s">
        <v>4295</v>
      </c>
      <c r="B179" s="41" t="str">
        <f>IFERROR(INDEX(Mots!$B:$B,MATCH($A179,Mots!$A:$A,0)),"introuvable")</f>
        <v>la construction</v>
      </c>
      <c r="C179" s="39" t="s">
        <v>9839</v>
      </c>
    </row>
    <row r="180" spans="1:4" x14ac:dyDescent="0.4">
      <c r="A180" s="39" t="s">
        <v>4303</v>
      </c>
      <c r="B180" s="41" t="str">
        <f>IFERROR(INDEX(Mots!$B:$B,MATCH($A180,Mots!$A:$A,0)),"introuvable")</f>
        <v>la conversation</v>
      </c>
      <c r="C180" s="39" t="s">
        <v>9840</v>
      </c>
    </row>
    <row r="181" spans="1:4" x14ac:dyDescent="0.4">
      <c r="A181" s="39" t="s">
        <v>4352</v>
      </c>
      <c r="B181" s="41" t="str">
        <f>IFERROR(INDEX(Mots!$B:$B,MATCH($A181,Mots!$A:$A,0)),"introuvable")</f>
        <v>se détendre</v>
      </c>
      <c r="C181" s="39" t="s">
        <v>9841</v>
      </c>
      <c r="D181" s="39" t="s">
        <v>9842</v>
      </c>
    </row>
    <row r="182" spans="1:4" x14ac:dyDescent="0.4">
      <c r="A182" s="39" t="s">
        <v>4455</v>
      </c>
      <c r="B182" s="41" t="str">
        <f>IFERROR(INDEX(Mots!$B:$B,MATCH($A182,Mots!$A:$A,0)),"introuvable")</f>
        <v>la foule</v>
      </c>
      <c r="C182" s="39" t="s">
        <v>5994</v>
      </c>
      <c r="D182" s="39" t="s">
        <v>9843</v>
      </c>
    </row>
    <row r="183" spans="1:4" x14ac:dyDescent="0.4">
      <c r="A183" s="39" t="s">
        <v>4459</v>
      </c>
      <c r="B183" s="41" t="str">
        <f>IFERROR(INDEX(Mots!$B:$B,MATCH($A183,Mots!$A:$A,0)),"introuvable")</f>
        <v>la friandise</v>
      </c>
      <c r="C183" s="39" t="s">
        <v>5443</v>
      </c>
    </row>
    <row r="184" spans="1:4" x14ac:dyDescent="0.4">
      <c r="A184" s="39" t="s">
        <v>4467</v>
      </c>
      <c r="B184" s="41" t="str">
        <f>IFERROR(INDEX(Mots!$B:$B,MATCH($A184,Mots!$A:$A,0)),"introuvable")</f>
        <v>la gaieté</v>
      </c>
      <c r="C184" s="39" t="s">
        <v>1737</v>
      </c>
      <c r="D184" s="39" t="s">
        <v>9844</v>
      </c>
    </row>
    <row r="185" spans="1:4" x14ac:dyDescent="0.4">
      <c r="A185" s="39" t="s">
        <v>4552</v>
      </c>
      <c r="B185" s="41" t="str">
        <f>IFERROR(INDEX(Mots!$B:$B,MATCH($A185,Mots!$A:$A,0)),"introuvable")</f>
        <v>la journée</v>
      </c>
      <c r="C185" s="39" t="s">
        <v>881</v>
      </c>
    </row>
    <row r="186" spans="1:4" x14ac:dyDescent="0.4">
      <c r="A186" s="39" t="s">
        <v>4580</v>
      </c>
      <c r="B186" s="41" t="str">
        <f>IFERROR(INDEX(Mots!$B:$B,MATCH($A186,Mots!$A:$A,0)),"introuvable")</f>
        <v>la ligne</v>
      </c>
      <c r="C186" s="39" t="s">
        <v>6505</v>
      </c>
    </row>
    <row r="187" spans="1:4" x14ac:dyDescent="0.4">
      <c r="A187" s="39" t="s">
        <v>4613</v>
      </c>
      <c r="B187" s="41" t="str">
        <f>IFERROR(INDEX(Mots!$B:$B,MATCH($A187,Mots!$A:$A,0)),"introuvable")</f>
        <v>la lutte</v>
      </c>
      <c r="C187" s="39" t="s">
        <v>4088</v>
      </c>
    </row>
    <row r="188" spans="1:4" x14ac:dyDescent="0.4">
      <c r="A188" s="39" t="s">
        <v>4635</v>
      </c>
      <c r="B188" s="41" t="str">
        <f>IFERROR(INDEX(Mots!$B:$B,MATCH($A188,Mots!$A:$A,0)),"introuvable")</f>
        <v>la manière</v>
      </c>
      <c r="C188" s="39" t="s">
        <v>9845</v>
      </c>
    </row>
    <row r="189" spans="1:4" x14ac:dyDescent="0.4">
      <c r="A189" s="39" t="s">
        <v>4646</v>
      </c>
      <c r="B189" s="41" t="str">
        <f>IFERROR(INDEX(Mots!$B:$B,MATCH($A189,Mots!$A:$A,0)),"introuvable")</f>
        <v>la masse</v>
      </c>
      <c r="C189" s="39" t="s">
        <v>4843</v>
      </c>
    </row>
    <row r="190" spans="1:4" x14ac:dyDescent="0.4">
      <c r="A190" s="39" t="s">
        <v>4702</v>
      </c>
      <c r="B190" s="41" t="str">
        <f>IFERROR(INDEX(Mots!$B:$B,MATCH($A190,Mots!$A:$A,0)),"introuvable")</f>
        <v>la nouvelle</v>
      </c>
      <c r="C190" s="39" t="s">
        <v>6807</v>
      </c>
    </row>
    <row r="191" spans="1:4" x14ac:dyDescent="0.4">
      <c r="A191" s="39" t="s">
        <v>4710</v>
      </c>
      <c r="B191" s="41" t="str">
        <f>IFERROR(INDEX(Mots!$B:$B,MATCH($A191,Mots!$A:$A,0)),"introuvable")</f>
        <v>la nuance</v>
      </c>
      <c r="C191" s="39" t="s">
        <v>9846</v>
      </c>
    </row>
    <row r="192" spans="1:4" x14ac:dyDescent="0.4">
      <c r="A192" s="39" t="s">
        <v>4732</v>
      </c>
      <c r="B192" s="41" t="str">
        <f>IFERROR(INDEX(Mots!$B:$B,MATCH($A192,Mots!$A:$A,0)),"introuvable")</f>
        <v>la paroi</v>
      </c>
      <c r="C192" s="39" t="s">
        <v>3375</v>
      </c>
    </row>
    <row r="193" spans="1:4" x14ac:dyDescent="0.4">
      <c r="A193" s="39" t="s">
        <v>4743</v>
      </c>
      <c r="B193" s="41" t="str">
        <f>IFERROR(INDEX(Mots!$B:$B,MATCH($A193,Mots!$A:$A,0)),"introuvable")</f>
        <v>la partie</v>
      </c>
    </row>
    <row r="194" spans="1:4" x14ac:dyDescent="0.4">
      <c r="A194" s="39" t="s">
        <v>4770</v>
      </c>
      <c r="B194" s="41" t="str">
        <f>IFERROR(INDEX(Mots!$B:$B,MATCH($A194,Mots!$A:$A,0)),"introuvable")</f>
        <v>la pensée</v>
      </c>
      <c r="C194" s="39" t="s">
        <v>6788</v>
      </c>
    </row>
    <row r="195" spans="1:4" x14ac:dyDescent="0.4">
      <c r="A195" s="39" t="s">
        <v>4805</v>
      </c>
      <c r="B195" s="41" t="str">
        <f>IFERROR(INDEX(Mots!$B:$B,MATCH($A195,Mots!$A:$A,0)),"introuvable")</f>
        <v>la pierre</v>
      </c>
      <c r="C195" s="39" t="s">
        <v>9786</v>
      </c>
    </row>
    <row r="196" spans="1:4" x14ac:dyDescent="0.4">
      <c r="A196" s="39" t="s">
        <v>4893</v>
      </c>
      <c r="B196" s="41" t="str">
        <f>IFERROR(INDEX(Mots!$B:$B,MATCH($A196,Mots!$A:$A,0)),"introuvable")</f>
        <v>la possibilité</v>
      </c>
      <c r="C196" s="39" t="s">
        <v>9847</v>
      </c>
    </row>
    <row r="197" spans="1:4" x14ac:dyDescent="0.4">
      <c r="A197" s="39" t="s">
        <v>4918</v>
      </c>
      <c r="B197" s="41" t="str">
        <f>IFERROR(INDEX(Mots!$B:$B,MATCH($A197,Mots!$A:$A,0)),"introuvable")</f>
        <v>la poussière</v>
      </c>
      <c r="C197" s="39" t="s">
        <v>5055</v>
      </c>
    </row>
    <row r="198" spans="1:4" x14ac:dyDescent="0.4">
      <c r="A198" s="39" t="s">
        <v>4926</v>
      </c>
      <c r="B198" s="41" t="str">
        <f>IFERROR(INDEX(Mots!$B:$B,MATCH($A198,Mots!$A:$A,0)),"introuvable")</f>
        <v>la prairie</v>
      </c>
      <c r="C198" s="39" t="s">
        <v>4235</v>
      </c>
      <c r="D198" s="39" t="s">
        <v>9848</v>
      </c>
    </row>
    <row r="199" spans="1:4" x14ac:dyDescent="0.4">
      <c r="A199" s="39" t="s">
        <v>4941</v>
      </c>
      <c r="B199" s="41" t="str">
        <f>IFERROR(INDEX(Mots!$B:$B,MATCH($A199,Mots!$A:$A,0)),"introuvable")</f>
        <v>la promenade</v>
      </c>
      <c r="C199" s="39" t="s">
        <v>9849</v>
      </c>
      <c r="D199" s="39" t="s">
        <v>9850</v>
      </c>
    </row>
    <row r="200" spans="1:4" x14ac:dyDescent="0.4">
      <c r="A200" s="39" t="s">
        <v>4985</v>
      </c>
      <c r="B200" s="41" t="str">
        <f>IFERROR(INDEX(Mots!$B:$B,MATCH($A200,Mots!$A:$A,0)),"introuvable")</f>
        <v>la randonnée</v>
      </c>
      <c r="C200" s="39" t="s">
        <v>9850</v>
      </c>
    </row>
    <row r="201" spans="1:4" x14ac:dyDescent="0.4">
      <c r="A201" s="39" t="s">
        <v>4993</v>
      </c>
      <c r="B201" s="41" t="str">
        <f>IFERROR(INDEX(Mots!$B:$B,MATCH($A201,Mots!$A:$A,0)),"introuvable")</f>
        <v>la rapidité</v>
      </c>
      <c r="C201" s="39" t="s">
        <v>3026</v>
      </c>
    </row>
    <row r="202" spans="1:4" x14ac:dyDescent="0.4">
      <c r="A202" s="39" t="s">
        <v>5005</v>
      </c>
      <c r="B202" s="41" t="str">
        <f>IFERROR(INDEX(Mots!$B:$B,MATCH($A202,Mots!$A:$A,0)),"introuvable")</f>
        <v>la récolte</v>
      </c>
      <c r="C202" s="39" t="s">
        <v>9851</v>
      </c>
    </row>
    <row r="203" spans="1:4" x14ac:dyDescent="0.4">
      <c r="A203" s="39" t="s">
        <v>5013</v>
      </c>
      <c r="B203" s="41" t="str">
        <f>IFERROR(INDEX(Mots!$B:$B,MATCH($A203,Mots!$A:$A,0)),"introuvable")</f>
        <v>la réconciliation</v>
      </c>
      <c r="C203" s="39" t="s">
        <v>9852</v>
      </c>
    </row>
    <row r="204" spans="1:4" x14ac:dyDescent="0.4">
      <c r="A204" s="39" t="s">
        <v>5054</v>
      </c>
      <c r="B204" s="41" t="str">
        <f>IFERROR(INDEX(Mots!$B:$B,MATCH($A204,Mots!$A:$A,0)),"introuvable")</f>
        <v>la saleté</v>
      </c>
      <c r="C204" s="39" t="s">
        <v>4919</v>
      </c>
    </row>
    <row r="205" spans="1:4" x14ac:dyDescent="0.4">
      <c r="A205" s="39" t="s">
        <v>5076</v>
      </c>
      <c r="B205" s="41" t="str">
        <f>IFERROR(INDEX(Mots!$B:$B,MATCH($A205,Mots!$A:$A,0)),"introuvable")</f>
        <v>la serviette</v>
      </c>
      <c r="C205" s="39" t="s">
        <v>3220</v>
      </c>
    </row>
    <row r="206" spans="1:4" x14ac:dyDescent="0.4">
      <c r="A206" s="39" t="s">
        <v>5088</v>
      </c>
      <c r="B206" s="41" t="str">
        <f>IFERROR(INDEX(Mots!$B:$B,MATCH($A206,Mots!$A:$A,0)),"introuvable")</f>
        <v>la société</v>
      </c>
      <c r="C206" s="39" t="s">
        <v>439</v>
      </c>
    </row>
    <row r="207" spans="1:4" x14ac:dyDescent="0.4">
      <c r="A207" s="39" t="s">
        <v>5092</v>
      </c>
      <c r="B207" s="41" t="str">
        <f>IFERROR(INDEX(Mots!$B:$B,MATCH($A207,Mots!$A:$A,0)),"introuvable")</f>
        <v>la somme</v>
      </c>
      <c r="C207" s="39" t="s">
        <v>6494</v>
      </c>
    </row>
    <row r="208" spans="1:4" x14ac:dyDescent="0.4">
      <c r="A208" s="39" t="s">
        <v>5096</v>
      </c>
      <c r="B208" s="41" t="str">
        <f>IFERROR(INDEX(Mots!$B:$B,MATCH($A208,Mots!$A:$A,0)),"introuvable")</f>
        <v>la sorte</v>
      </c>
      <c r="C208" s="39" t="s">
        <v>6550</v>
      </c>
    </row>
    <row r="209" spans="1:4" x14ac:dyDescent="0.4">
      <c r="A209" s="39" t="s">
        <v>5110</v>
      </c>
      <c r="B209" s="41" t="str">
        <f>IFERROR(INDEX(Mots!$B:$B,MATCH($A209,Mots!$A:$A,0)),"introuvable")</f>
        <v>la sucrerie</v>
      </c>
      <c r="C209" s="39" t="s">
        <v>4460</v>
      </c>
    </row>
    <row r="210" spans="1:4" x14ac:dyDescent="0.4">
      <c r="A210" s="39" t="s">
        <v>5121</v>
      </c>
      <c r="B210" s="41" t="str">
        <f>IFERROR(INDEX(Mots!$B:$B,MATCH($A210,Mots!$A:$A,0)),"introuvable")</f>
        <v>la tempête</v>
      </c>
      <c r="C210" s="39" t="s">
        <v>6883</v>
      </c>
    </row>
    <row r="211" spans="1:4" x14ac:dyDescent="0.4">
      <c r="A211" s="39" t="s">
        <v>5152</v>
      </c>
      <c r="B211" s="41" t="str">
        <f>IFERROR(INDEX(Mots!$B:$B,MATCH($A211,Mots!$A:$A,0)),"introuvable")</f>
        <v>la toux</v>
      </c>
      <c r="C211" s="39" t="s">
        <v>9853</v>
      </c>
    </row>
    <row r="212" spans="1:4" x14ac:dyDescent="0.4">
      <c r="A212" s="39" t="s">
        <v>5279</v>
      </c>
      <c r="B212" s="41" t="str">
        <f>IFERROR(INDEX(Mots!$B:$B,MATCH($A212,Mots!$A:$A,0)),"introuvable")</f>
        <v>lancer</v>
      </c>
      <c r="C212" s="39" t="s">
        <v>4065</v>
      </c>
    </row>
    <row r="213" spans="1:4" x14ac:dyDescent="0.4">
      <c r="A213" s="39" t="s">
        <v>5287</v>
      </c>
      <c r="B213" s="41" t="str">
        <f>IFERROR(INDEX(Mots!$B:$B,MATCH($A213,Mots!$A:$A,0)),"introuvable")</f>
        <v>l'anse</v>
      </c>
      <c r="C213" s="39" t="s">
        <v>9854</v>
      </c>
    </row>
    <row r="214" spans="1:4" x14ac:dyDescent="0.4">
      <c r="A214" s="39" t="s">
        <v>5331</v>
      </c>
      <c r="B214" s="41" t="str">
        <f>IFERROR(INDEX(Mots!$B:$B,MATCH($A214,Mots!$A:$A,0)),"introuvable")</f>
        <v>laver</v>
      </c>
      <c r="C214" s="39" t="s">
        <v>6965</v>
      </c>
    </row>
    <row r="215" spans="1:4" x14ac:dyDescent="0.4">
      <c r="A215" s="39" t="s">
        <v>5343</v>
      </c>
      <c r="B215" s="41" t="str">
        <f>IFERROR(INDEX(Mots!$B:$B,MATCH($A215,Mots!$A:$A,0)),"introuvable")</f>
        <v>l'avis</v>
      </c>
      <c r="C215" s="39" t="s">
        <v>6788</v>
      </c>
    </row>
    <row r="216" spans="1:4" x14ac:dyDescent="0.4">
      <c r="A216" s="39" t="s">
        <v>5349</v>
      </c>
      <c r="B216" s="41" t="str">
        <f>IFERROR(INDEX(Mots!$B:$B,MATCH($A216,Mots!$A:$A,0)),"introuvable")</f>
        <v>le bagage</v>
      </c>
      <c r="C216" s="39" t="s">
        <v>5167</v>
      </c>
    </row>
    <row r="217" spans="1:4" x14ac:dyDescent="0.4">
      <c r="A217" s="39" t="s">
        <v>5463</v>
      </c>
      <c r="B217" s="41" t="str">
        <f>IFERROR(INDEX(Mots!$B:$B,MATCH($A217,Mots!$A:$A,0)),"introuvable")</f>
        <v>le bout</v>
      </c>
      <c r="C217" s="39" t="s">
        <v>4426</v>
      </c>
    </row>
    <row r="218" spans="1:4" x14ac:dyDescent="0.4">
      <c r="A218" s="39" t="s">
        <v>5562</v>
      </c>
      <c r="B218" s="41" t="str">
        <f>IFERROR(INDEX(Mots!$B:$B,MATCH($A218,Mots!$A:$A,0)),"introuvable")</f>
        <v>le cas</v>
      </c>
      <c r="C218" s="39" t="s">
        <v>5085</v>
      </c>
    </row>
    <row r="219" spans="1:4" x14ac:dyDescent="0.4">
      <c r="A219" s="39" t="s">
        <v>5567</v>
      </c>
      <c r="B219" s="41" t="str">
        <f>IFERROR(INDEX(Mots!$B:$B,MATCH($A219,Mots!$A:$A,0)),"introuvable")</f>
        <v>le centre</v>
      </c>
      <c r="C219" s="39" t="s">
        <v>5985</v>
      </c>
    </row>
    <row r="220" spans="1:4" x14ac:dyDescent="0.4">
      <c r="A220" s="39" t="s">
        <v>5571</v>
      </c>
      <c r="B220" s="41" t="str">
        <f>IFERROR(INDEX(Mots!$B:$B,MATCH($A220,Mots!$A:$A,0)),"introuvable")</f>
        <v>le chagrin</v>
      </c>
      <c r="C220" s="39" t="s">
        <v>4757</v>
      </c>
    </row>
    <row r="221" spans="1:4" x14ac:dyDescent="0.4">
      <c r="A221" s="39" t="s">
        <v>5596</v>
      </c>
      <c r="B221" s="41" t="str">
        <f>IFERROR(INDEX(Mots!$B:$B,MATCH($A221,Mots!$A:$A,0)),"introuvable")</f>
        <v>le champion</v>
      </c>
      <c r="C221" s="39" t="s">
        <v>9855</v>
      </c>
      <c r="D221" s="39" t="s">
        <v>6559</v>
      </c>
    </row>
    <row r="222" spans="1:4" x14ac:dyDescent="0.4">
      <c r="A222" s="39" t="s">
        <v>5608</v>
      </c>
      <c r="B222" s="41" t="str">
        <f>IFERROR(INDEX(Mots!$B:$B,MATCH($A222,Mots!$A:$A,0)),"introuvable")</f>
        <v>le chemin</v>
      </c>
      <c r="C222" s="39" t="s">
        <v>6350</v>
      </c>
    </row>
    <row r="223" spans="1:4" x14ac:dyDescent="0.4">
      <c r="A223" s="39" t="s">
        <v>5628</v>
      </c>
      <c r="B223" s="41" t="str">
        <f>IFERROR(INDEX(Mots!$B:$B,MATCH($A223,Mots!$A:$A,0)),"introuvable")</f>
        <v>le cintre</v>
      </c>
      <c r="C223" s="39" t="s">
        <v>9856</v>
      </c>
    </row>
    <row r="224" spans="1:4" x14ac:dyDescent="0.4">
      <c r="A224" s="39" t="s">
        <v>5648</v>
      </c>
      <c r="B224" s="41" t="str">
        <f>IFERROR(INDEX(Mots!$B:$B,MATCH($A224,Mots!$A:$A,0)),"introuvable")</f>
        <v>le combat</v>
      </c>
      <c r="C224" s="39" t="s">
        <v>4614</v>
      </c>
      <c r="D224" s="39" t="s">
        <v>4088</v>
      </c>
    </row>
    <row r="225" spans="1:5" x14ac:dyDescent="0.4">
      <c r="A225" s="39" t="s">
        <v>5651</v>
      </c>
      <c r="B225" s="41" t="str">
        <f>IFERROR(INDEX(Mots!$B:$B,MATCH($A225,Mots!$A:$A,0)),"introuvable")</f>
        <v>le commerce</v>
      </c>
      <c r="C225" s="39" t="s">
        <v>2738</v>
      </c>
      <c r="D225" s="39" t="s">
        <v>4167</v>
      </c>
    </row>
    <row r="226" spans="1:5" x14ac:dyDescent="0.4">
      <c r="A226" s="39" t="s">
        <v>5655</v>
      </c>
      <c r="B226" s="41" t="str">
        <f>IFERROR(INDEX(Mots!$B:$B,MATCH($A226,Mots!$A:$A,0)),"introuvable")</f>
        <v>le complice</v>
      </c>
      <c r="C226" s="39" t="s">
        <v>2726</v>
      </c>
      <c r="D226" s="39" t="s">
        <v>5681</v>
      </c>
    </row>
    <row r="227" spans="1:5" x14ac:dyDescent="0.4">
      <c r="A227" s="39" t="s">
        <v>5660</v>
      </c>
      <c r="B227" s="41" t="str">
        <f>IFERROR(INDEX(Mots!$B:$B,MATCH($A227,Mots!$A:$A,0)),"introuvable")</f>
        <v>le comprimé</v>
      </c>
      <c r="C227" s="39" t="s">
        <v>5958</v>
      </c>
    </row>
    <row r="228" spans="1:5" x14ac:dyDescent="0.4">
      <c r="A228" s="39" t="s">
        <v>5680</v>
      </c>
      <c r="B228" s="41" t="str">
        <f>IFERROR(INDEX(Mots!$B:$B,MATCH($A228,Mots!$A:$A,0)),"introuvable")</f>
        <v>le copain</v>
      </c>
      <c r="C228" s="39" t="s">
        <v>2726</v>
      </c>
      <c r="D228" s="39" t="s">
        <v>5656</v>
      </c>
    </row>
    <row r="229" spans="1:5" x14ac:dyDescent="0.4">
      <c r="A229" s="39" t="s">
        <v>5706</v>
      </c>
      <c r="B229" s="41" t="str">
        <f>IFERROR(INDEX(Mots!$B:$B,MATCH($A229,Mots!$A:$A,0)),"introuvable")</f>
        <v>le coussin</v>
      </c>
      <c r="C229" s="39" t="s">
        <v>3194</v>
      </c>
    </row>
    <row r="230" spans="1:5" x14ac:dyDescent="0.4">
      <c r="A230" s="39" t="s">
        <v>5774</v>
      </c>
      <c r="B230" s="41" t="str">
        <f>IFERROR(INDEX(Mots!$B:$B,MATCH($A230,Mots!$A:$A,0)),"introuvable")</f>
        <v>le désir</v>
      </c>
      <c r="C230" s="39" t="s">
        <v>6387</v>
      </c>
    </row>
    <row r="231" spans="1:5" x14ac:dyDescent="0.4">
      <c r="A231" s="39" t="s">
        <v>5801</v>
      </c>
      <c r="B231" s="41" t="str">
        <f>IFERROR(INDEX(Mots!$B:$B,MATCH($A231,Mots!$A:$A,0)),"introuvable")</f>
        <v>le dommage</v>
      </c>
      <c r="C231" s="39" t="s">
        <v>5752</v>
      </c>
    </row>
    <row r="232" spans="1:5" x14ac:dyDescent="0.4">
      <c r="A232" s="39" t="s">
        <v>5861</v>
      </c>
      <c r="B232" s="41" t="str">
        <f>IFERROR(INDEX(Mots!$B:$B,MATCH($A232,Mots!$A:$A,0)),"introuvable")</f>
        <v>le groupe</v>
      </c>
      <c r="C232" s="39" t="s">
        <v>447</v>
      </c>
      <c r="D232" s="39" t="s">
        <v>9754</v>
      </c>
    </row>
    <row r="233" spans="1:5" x14ac:dyDescent="0.4">
      <c r="A233" s="39" t="s">
        <v>5869</v>
      </c>
      <c r="B233" s="41" t="str">
        <f>IFERROR(INDEX(Mots!$B:$B,MATCH($A233,Mots!$A:$A,0)),"introuvable")</f>
        <v>le hobby</v>
      </c>
      <c r="C233" s="39" t="s">
        <v>647</v>
      </c>
    </row>
    <row r="234" spans="1:5" x14ac:dyDescent="0.4">
      <c r="A234" s="39" t="s">
        <v>5908</v>
      </c>
      <c r="B234" s="41" t="str">
        <f>IFERROR(INDEX(Mots!$B:$B,MATCH($A234,Mots!$A:$A,0)),"introuvable")</f>
        <v>le lien</v>
      </c>
      <c r="C234" s="39" t="s">
        <v>9857</v>
      </c>
    </row>
    <row r="235" spans="1:5" x14ac:dyDescent="0.4">
      <c r="A235" s="39" t="s">
        <v>5918</v>
      </c>
      <c r="B235" s="41" t="str">
        <f>IFERROR(INDEX(Mots!$B:$B,MATCH($A235,Mots!$A:$A,0)),"introuvable")</f>
        <v>le livre</v>
      </c>
      <c r="C235" s="39" t="s">
        <v>9858</v>
      </c>
    </row>
    <row r="236" spans="1:5" x14ac:dyDescent="0.4">
      <c r="A236" s="39" t="s">
        <v>5926</v>
      </c>
      <c r="B236" s="41" t="str">
        <f>IFERROR(INDEX(Mots!$B:$B,MATCH($A236,Mots!$A:$A,0)),"introuvable")</f>
        <v>le logement</v>
      </c>
      <c r="C236" s="39" t="s">
        <v>5298</v>
      </c>
      <c r="D236" s="39" t="s">
        <v>3336</v>
      </c>
      <c r="E236" s="39" t="s">
        <v>3345</v>
      </c>
    </row>
    <row r="237" spans="1:5" x14ac:dyDescent="0.4">
      <c r="A237" s="39" t="s">
        <v>5929</v>
      </c>
      <c r="B237" s="41" t="str">
        <f>IFERROR(INDEX(Mots!$B:$B,MATCH($A237,Mots!$A:$A,0)),"introuvable")</f>
        <v>le maître</v>
      </c>
      <c r="C237" s="39" t="s">
        <v>9859</v>
      </c>
      <c r="D237" s="39" t="s">
        <v>2221</v>
      </c>
      <c r="E237" s="39" t="s">
        <v>9860</v>
      </c>
    </row>
    <row r="238" spans="1:5" x14ac:dyDescent="0.4">
      <c r="A238" s="39" t="s">
        <v>5957</v>
      </c>
      <c r="B238" s="41" t="str">
        <f>IFERROR(INDEX(Mots!$B:$B,MATCH($A238,Mots!$A:$A,0)),"introuvable")</f>
        <v>le médicament</v>
      </c>
      <c r="C238" s="39" t="s">
        <v>5661</v>
      </c>
      <c r="D238" s="39" t="s">
        <v>9861</v>
      </c>
    </row>
    <row r="239" spans="1:5" x14ac:dyDescent="0.4">
      <c r="A239" s="39" t="s">
        <v>5989</v>
      </c>
      <c r="B239" s="41" t="str">
        <f>IFERROR(INDEX(Mots!$B:$B,MATCH($A239,Mots!$A:$A,0)),"introuvable")</f>
        <v>le moment</v>
      </c>
      <c r="C239" s="39" t="s">
        <v>6818</v>
      </c>
    </row>
    <row r="240" spans="1:5" x14ac:dyDescent="0.4">
      <c r="A240" s="39" t="s">
        <v>5993</v>
      </c>
      <c r="B240" s="41" t="str">
        <f>IFERROR(INDEX(Mots!$B:$B,MATCH($A240,Mots!$A:$A,0)),"introuvable")</f>
        <v>le monde</v>
      </c>
      <c r="C240" s="39" t="s">
        <v>1649</v>
      </c>
    </row>
    <row r="241" spans="1:4" x14ac:dyDescent="0.4">
      <c r="A241" s="39" t="s">
        <v>5996</v>
      </c>
      <c r="B241" s="41" t="str">
        <f>IFERROR(INDEX(Mots!$B:$B,MATCH($A241,Mots!$A:$A,0)),"introuvable")</f>
        <v>le morceau</v>
      </c>
      <c r="C241" s="39" t="s">
        <v>5464</v>
      </c>
      <c r="D241" s="39" t="s">
        <v>4744</v>
      </c>
    </row>
    <row r="242" spans="1:4" x14ac:dyDescent="0.4">
      <c r="A242" s="39" t="s">
        <v>6022</v>
      </c>
      <c r="B242" s="41" t="str">
        <f>IFERROR(INDEX(Mots!$B:$B,MATCH($A242,Mots!$A:$A,0)),"introuvable")</f>
        <v>le niveau</v>
      </c>
      <c r="C242" s="39" t="s">
        <v>9862</v>
      </c>
    </row>
    <row r="243" spans="1:4" x14ac:dyDescent="0.4">
      <c r="A243" s="39" t="s">
        <v>6162</v>
      </c>
      <c r="B243" s="41" t="str">
        <f>IFERROR(INDEX(Mots!$B:$B,MATCH($A243,Mots!$A:$A,0)),"introuvable")</f>
        <v>le plaisir</v>
      </c>
      <c r="C243" s="39" t="s">
        <v>1737</v>
      </c>
    </row>
    <row r="244" spans="1:4" x14ac:dyDescent="0.4">
      <c r="A244" s="39" t="s">
        <v>6192</v>
      </c>
      <c r="B244" s="41" t="str">
        <f>IFERROR(INDEX(Mots!$B:$B,MATCH($A244,Mots!$A:$A,0)),"introuvable")</f>
        <v>le portefeuille</v>
      </c>
      <c r="C244" s="39" t="s">
        <v>2334</v>
      </c>
    </row>
    <row r="245" spans="1:4" x14ac:dyDescent="0.4">
      <c r="A245" s="39" t="s">
        <v>6216</v>
      </c>
      <c r="B245" s="41" t="str">
        <f>IFERROR(INDEX(Mots!$B:$B,MATCH($A245,Mots!$A:$A,0)),"introuvable")</f>
        <v>le quartier</v>
      </c>
      <c r="C245" s="39" t="s">
        <v>4744</v>
      </c>
    </row>
    <row r="246" spans="1:4" x14ac:dyDescent="0.4">
      <c r="A246" s="39" t="s">
        <v>6228</v>
      </c>
      <c r="B246" s="41" t="str">
        <f>IFERROR(INDEX(Mots!$B:$B,MATCH($A246,Mots!$A:$A,0)),"introuvable")</f>
        <v>le récit</v>
      </c>
      <c r="C246" s="39" t="s">
        <v>6779</v>
      </c>
    </row>
    <row r="247" spans="1:4" x14ac:dyDescent="0.4">
      <c r="A247" s="39" t="s">
        <v>6235</v>
      </c>
      <c r="B247" s="41" t="str">
        <f>IFERROR(INDEX(Mots!$B:$B,MATCH($A247,Mots!$A:$A,0)),"introuvable")</f>
        <v>le reçu</v>
      </c>
      <c r="C247" s="39" t="s">
        <v>9863</v>
      </c>
    </row>
    <row r="248" spans="1:4" x14ac:dyDescent="0.4">
      <c r="A248" s="39" t="s">
        <v>6255</v>
      </c>
      <c r="B248" s="41" t="str">
        <f>IFERROR(INDEX(Mots!$B:$B,MATCH($A248,Mots!$A:$A,0)),"introuvable")</f>
        <v>le remède</v>
      </c>
      <c r="C248" s="39" t="s">
        <v>5958</v>
      </c>
    </row>
    <row r="249" spans="1:4" x14ac:dyDescent="0.4">
      <c r="A249" s="39" t="s">
        <v>6328</v>
      </c>
      <c r="B249" s="41" t="str">
        <f>IFERROR(INDEX(Mots!$B:$B,MATCH($A249,Mots!$A:$A,0)),"introuvable")</f>
        <v>le seau</v>
      </c>
      <c r="C249" s="39" t="s">
        <v>9784</v>
      </c>
    </row>
    <row r="250" spans="1:4" x14ac:dyDescent="0.4">
      <c r="A250" s="39" t="s">
        <v>6349</v>
      </c>
      <c r="B250" s="41" t="str">
        <f>IFERROR(INDEX(Mots!$B:$B,MATCH($A250,Mots!$A:$A,0)),"introuvable")</f>
        <v>le sentier</v>
      </c>
      <c r="C250" s="39" t="s">
        <v>5609</v>
      </c>
    </row>
    <row r="251" spans="1:4" x14ac:dyDescent="0.4">
      <c r="A251" s="39" t="s">
        <v>6362</v>
      </c>
      <c r="B251" s="41" t="str">
        <f>IFERROR(INDEX(Mots!$B:$B,MATCH($A251,Mots!$A:$A,0)),"introuvable")</f>
        <v>le signe</v>
      </c>
      <c r="C251" s="39" t="s">
        <v>5844</v>
      </c>
    </row>
    <row r="252" spans="1:4" x14ac:dyDescent="0.4">
      <c r="A252" s="39" t="s">
        <v>6386</v>
      </c>
      <c r="B252" s="41" t="str">
        <f>IFERROR(INDEX(Mots!$B:$B,MATCH($A252,Mots!$A:$A,0)),"introuvable")</f>
        <v>le souhait</v>
      </c>
      <c r="C252" s="39" t="s">
        <v>5775</v>
      </c>
      <c r="D252" s="39" t="s">
        <v>1774</v>
      </c>
    </row>
    <row r="253" spans="1:4" x14ac:dyDescent="0.4">
      <c r="A253" s="39" t="s">
        <v>6430</v>
      </c>
      <c r="B253" s="41" t="str">
        <f>IFERROR(INDEX(Mots!$B:$B,MATCH($A253,Mots!$A:$A,0)),"introuvable")</f>
        <v>le tas</v>
      </c>
      <c r="C253" s="39" t="s">
        <v>9864</v>
      </c>
    </row>
    <row r="254" spans="1:4" x14ac:dyDescent="0.4">
      <c r="A254" s="39" t="s">
        <v>6504</v>
      </c>
      <c r="B254" s="41" t="str">
        <f>IFERROR(INDEX(Mots!$B:$B,MATCH($A254,Mots!$A:$A,0)),"introuvable")</f>
        <v>le trait</v>
      </c>
      <c r="C254" s="39" t="s">
        <v>4581</v>
      </c>
    </row>
    <row r="255" spans="1:4" x14ac:dyDescent="0.4">
      <c r="A255" s="39" t="s">
        <v>6549</v>
      </c>
      <c r="B255" s="41" t="str">
        <f>IFERROR(INDEX(Mots!$B:$B,MATCH($A255,Mots!$A:$A,0)),"introuvable")</f>
        <v>le type</v>
      </c>
      <c r="C255" s="39" t="s">
        <v>5097</v>
      </c>
    </row>
    <row r="256" spans="1:4" x14ac:dyDescent="0.4">
      <c r="A256" s="39" t="s">
        <v>6558</v>
      </c>
      <c r="B256" s="41" t="str">
        <f>IFERROR(INDEX(Mots!$B:$B,MATCH($A256,Mots!$A:$A,0)),"introuvable")</f>
        <v>le vainqueur</v>
      </c>
      <c r="C256" s="39" t="s">
        <v>9855</v>
      </c>
      <c r="D256" s="39" t="s">
        <v>5597</v>
      </c>
    </row>
    <row r="257" spans="1:4" x14ac:dyDescent="0.4">
      <c r="A257" s="39" t="s">
        <v>324</v>
      </c>
      <c r="B257" s="41" t="str">
        <f>IFERROR(INDEX(Mots!$B:$B,MATCH($A257,Mots!$A:$A,0)),"introuvable")</f>
        <v>le visage</v>
      </c>
      <c r="C257" s="39" t="s">
        <v>9865</v>
      </c>
    </row>
    <row r="258" spans="1:4" x14ac:dyDescent="0.4">
      <c r="A258" s="39" t="s">
        <v>6636</v>
      </c>
      <c r="B258" s="41" t="str">
        <f>IFERROR(INDEX(Mots!$B:$B,MATCH($A258,Mots!$A:$A,0)),"introuvable")</f>
        <v>l'économie</v>
      </c>
      <c r="C258" s="39" t="s">
        <v>9866</v>
      </c>
    </row>
    <row r="259" spans="1:4" x14ac:dyDescent="0.4">
      <c r="A259" s="39" t="s">
        <v>6670</v>
      </c>
      <c r="B259" s="41" t="str">
        <f>IFERROR(INDEX(Mots!$B:$B,MATCH($A259,Mots!$A:$A,0)),"introuvable")</f>
        <v>l'endroit</v>
      </c>
      <c r="C259" s="39" t="s">
        <v>9867</v>
      </c>
    </row>
    <row r="260" spans="1:4" x14ac:dyDescent="0.4">
      <c r="A260" s="39" t="s">
        <v>6698</v>
      </c>
      <c r="B260" s="41" t="str">
        <f>IFERROR(INDEX(Mots!$B:$B,MATCH($A260,Mots!$A:$A,0)),"introuvable")</f>
        <v>l'envie</v>
      </c>
      <c r="C260" s="39" t="s">
        <v>6387</v>
      </c>
    </row>
    <row r="261" spans="1:4" x14ac:dyDescent="0.4">
      <c r="A261" s="39" t="s">
        <v>6715</v>
      </c>
      <c r="B261" s="41" t="str">
        <f>IFERROR(INDEX(Mots!$B:$B,MATCH($A261,Mots!$A:$A,0)),"introuvable")</f>
        <v>l'erreur</v>
      </c>
      <c r="C261" s="39" t="s">
        <v>4401</v>
      </c>
    </row>
    <row r="262" spans="1:4" x14ac:dyDescent="0.4">
      <c r="A262" s="39" t="s">
        <v>6721</v>
      </c>
      <c r="B262" s="41" t="str">
        <f>IFERROR(INDEX(Mots!$B:$B,MATCH($A262,Mots!$A:$A,0)),"introuvable")</f>
        <v>les gens</v>
      </c>
      <c r="C262" s="39" t="s">
        <v>9868</v>
      </c>
    </row>
    <row r="263" spans="1:4" x14ac:dyDescent="0.4">
      <c r="A263" s="39" t="s">
        <v>6764</v>
      </c>
      <c r="B263" s="41" t="str">
        <f>IFERROR(INDEX(Mots!$B:$B,MATCH($A263,Mots!$A:$A,0)),"introuvable")</f>
        <v>lever</v>
      </c>
      <c r="C263" s="39" t="s">
        <v>9869</v>
      </c>
    </row>
    <row r="264" spans="1:4" x14ac:dyDescent="0.4">
      <c r="A264" s="39" t="s">
        <v>6767</v>
      </c>
      <c r="B264" s="41" t="str">
        <f>IFERROR(INDEX(Mots!$B:$B,MATCH($A264,Mots!$A:$A,0)),"introuvable")</f>
        <v>l'excursion</v>
      </c>
      <c r="C264" s="39" t="s">
        <v>5207</v>
      </c>
    </row>
    <row r="265" spans="1:4" x14ac:dyDescent="0.4">
      <c r="A265" s="39" t="s">
        <v>6778</v>
      </c>
      <c r="B265" s="41" t="str">
        <f>IFERROR(INDEX(Mots!$B:$B,MATCH($A265,Mots!$A:$A,0)),"introuvable")</f>
        <v>l'histoire</v>
      </c>
      <c r="C265" s="39" t="s">
        <v>6229</v>
      </c>
    </row>
    <row r="266" spans="1:4" x14ac:dyDescent="0.4">
      <c r="A266" s="39" t="s">
        <v>6795</v>
      </c>
      <c r="B266" s="41" t="str">
        <f>IFERROR(INDEX(Mots!$B:$B,MATCH($A266,Mots!$A:$A,0)),"introuvable")</f>
        <v>l'image</v>
      </c>
      <c r="C266" s="39" t="s">
        <v>4798</v>
      </c>
    </row>
    <row r="267" spans="1:4" x14ac:dyDescent="0.4">
      <c r="A267" s="39" t="s">
        <v>6798</v>
      </c>
      <c r="B267" s="41" t="str">
        <f>IFERROR(INDEX(Mots!$B:$B,MATCH($A267,Mots!$A:$A,0)),"introuvable")</f>
        <v>l'immeuble</v>
      </c>
      <c r="C267" s="39" t="s">
        <v>5394</v>
      </c>
    </row>
    <row r="268" spans="1:4" x14ac:dyDescent="0.4">
      <c r="A268" s="39" t="s">
        <v>6806</v>
      </c>
      <c r="B268" s="41" t="str">
        <f>IFERROR(INDEX(Mots!$B:$B,MATCH($A268,Mots!$A:$A,0)),"introuvable")</f>
        <v>l'information</v>
      </c>
      <c r="C268" s="39" t="s">
        <v>4703</v>
      </c>
      <c r="D268" s="39" t="s">
        <v>4292</v>
      </c>
    </row>
    <row r="269" spans="1:4" x14ac:dyDescent="0.4">
      <c r="A269" s="39" t="s">
        <v>6817</v>
      </c>
      <c r="B269" s="41" t="str">
        <f>IFERROR(INDEX(Mots!$B:$B,MATCH($A269,Mots!$A:$A,0)),"introuvable")</f>
        <v>l'instant</v>
      </c>
      <c r="C269" s="39" t="s">
        <v>5990</v>
      </c>
    </row>
    <row r="270" spans="1:4" x14ac:dyDescent="0.4">
      <c r="A270" s="39" t="s">
        <v>6837</v>
      </c>
      <c r="B270" s="41" t="str">
        <f>IFERROR(INDEX(Mots!$B:$B,MATCH($A270,Mots!$A:$A,0)),"introuvable")</f>
        <v>l'objet</v>
      </c>
      <c r="C270" s="39" t="s">
        <v>4221</v>
      </c>
      <c r="D270" s="39" t="s">
        <v>9870</v>
      </c>
    </row>
    <row r="271" spans="1:4" x14ac:dyDescent="0.4">
      <c r="A271" s="39" t="s">
        <v>6852</v>
      </c>
      <c r="B271" s="41" t="str">
        <f>IFERROR(INDEX(Mots!$B:$B,MATCH($A271,Mots!$A:$A,0)),"introuvable")</f>
        <v>l'oeuvre</v>
      </c>
      <c r="C271" s="39" t="s">
        <v>9871</v>
      </c>
    </row>
    <row r="272" spans="1:4" x14ac:dyDescent="0.4">
      <c r="A272" s="39" t="s">
        <v>6882</v>
      </c>
      <c r="B272" s="41" t="str">
        <f>IFERROR(INDEX(Mots!$B:$B,MATCH($A272,Mots!$A:$A,0)),"introuvable")</f>
        <v>l'orage</v>
      </c>
      <c r="C272" s="39" t="s">
        <v>5122</v>
      </c>
    </row>
    <row r="273" spans="1:4" x14ac:dyDescent="0.4">
      <c r="A273" s="39" t="s">
        <v>6900</v>
      </c>
      <c r="B273" s="41" t="str">
        <f>IFERROR(INDEX(Mots!$B:$B,MATCH($A273,Mots!$A:$A,0)),"introuvable")</f>
        <v>l'usage</v>
      </c>
      <c r="C273" s="39" t="s">
        <v>9872</v>
      </c>
    </row>
    <row r="274" spans="1:4" x14ac:dyDescent="0.4">
      <c r="A274" s="39" t="s">
        <v>6964</v>
      </c>
      <c r="B274" s="41" t="str">
        <f>IFERROR(INDEX(Mots!$B:$B,MATCH($A274,Mots!$A:$A,0)),"introuvable")</f>
        <v>nettoyer</v>
      </c>
      <c r="C274" s="39" t="s">
        <v>5332</v>
      </c>
    </row>
    <row r="275" spans="1:4" x14ac:dyDescent="0.4">
      <c r="A275" s="39" t="s">
        <v>6972</v>
      </c>
      <c r="B275" s="41" t="str">
        <f>IFERROR(INDEX(Mots!$B:$B,MATCH($A275,Mots!$A:$A,0)),"introuvable")</f>
        <v>nombreux</v>
      </c>
      <c r="C275" s="39" t="s">
        <v>3537</v>
      </c>
    </row>
    <row r="276" spans="1:4" x14ac:dyDescent="0.4">
      <c r="A276" s="39" t="s">
        <v>6983</v>
      </c>
      <c r="B276" s="41" t="str">
        <f>IFERROR(INDEX(Mots!$B:$B,MATCH($A276,Mots!$A:$A,0)),"introuvable")</f>
        <v>ordonner</v>
      </c>
      <c r="C276" s="39" t="s">
        <v>9873</v>
      </c>
    </row>
    <row r="277" spans="1:4" x14ac:dyDescent="0.4">
      <c r="A277" s="39" t="s">
        <v>7009</v>
      </c>
      <c r="B277" s="41" t="str">
        <f>IFERROR(INDEX(Mots!$B:$B,MATCH($A277,Mots!$A:$A,0)),"introuvable")</f>
        <v>partir</v>
      </c>
      <c r="C277" s="39" t="s">
        <v>9874</v>
      </c>
    </row>
    <row r="278" spans="1:4" x14ac:dyDescent="0.4">
      <c r="A278" s="39" t="s">
        <v>7097</v>
      </c>
      <c r="B278" s="41" t="str">
        <f>IFERROR(INDEX(Mots!$B:$B,MATCH($A278,Mots!$A:$A,0)),"introuvable")</f>
        <v>pratique</v>
      </c>
      <c r="C278" s="39" t="s">
        <v>7401</v>
      </c>
    </row>
    <row r="279" spans="1:4" x14ac:dyDescent="0.4">
      <c r="A279" s="39" t="s">
        <v>7130</v>
      </c>
      <c r="B279" s="41" t="str">
        <f>IFERROR(INDEX(Mots!$B:$B,MATCH($A279,Mots!$A:$A,0)),"introuvable")</f>
        <v>prévenir</v>
      </c>
      <c r="C279" s="39" t="s">
        <v>9875</v>
      </c>
      <c r="D279" s="39" t="s">
        <v>9876</v>
      </c>
    </row>
    <row r="280" spans="1:4" x14ac:dyDescent="0.4">
      <c r="A280" s="39" t="s">
        <v>7138</v>
      </c>
      <c r="B280" s="41" t="str">
        <f>IFERROR(INDEX(Mots!$B:$B,MATCH($A280,Mots!$A:$A,0)),"introuvable")</f>
        <v>promettre</v>
      </c>
      <c r="C280" s="39" t="s">
        <v>9877</v>
      </c>
    </row>
    <row r="281" spans="1:4" x14ac:dyDescent="0.4">
      <c r="A281" s="39" t="s">
        <v>7142</v>
      </c>
      <c r="B281" s="41" t="str">
        <f>IFERROR(INDEX(Mots!$B:$B,MATCH($A281,Mots!$A:$A,0)),"introuvable")</f>
        <v>raconter</v>
      </c>
      <c r="C281" s="39" t="s">
        <v>3819</v>
      </c>
    </row>
    <row r="282" spans="1:4" x14ac:dyDescent="0.4">
      <c r="A282" s="39" t="s">
        <v>7167</v>
      </c>
      <c r="B282" s="41" t="str">
        <f>IFERROR(INDEX(Mots!$B:$B,MATCH($A282,Mots!$A:$A,0)),"introuvable")</f>
        <v>réfléchir</v>
      </c>
      <c r="C282" s="39" t="s">
        <v>7033</v>
      </c>
    </row>
    <row r="283" spans="1:4" x14ac:dyDescent="0.4">
      <c r="A283" s="39" t="s">
        <v>7189</v>
      </c>
      <c r="B283" s="41" t="str">
        <f>IFERROR(INDEX(Mots!$B:$B,MATCH($A283,Mots!$A:$A,0)),"introuvable")</f>
        <v>régulier</v>
      </c>
      <c r="C283" s="39" t="s">
        <v>9878</v>
      </c>
    </row>
    <row r="284" spans="1:4" x14ac:dyDescent="0.4">
      <c r="A284" s="39" t="s">
        <v>7192</v>
      </c>
      <c r="B284" s="41" t="str">
        <f>IFERROR(INDEX(Mots!$B:$B,MATCH($A284,Mots!$A:$A,0)),"introuvable")</f>
        <v>remarquer</v>
      </c>
      <c r="C284" s="39" t="s">
        <v>9879</v>
      </c>
    </row>
    <row r="285" spans="1:4" x14ac:dyDescent="0.4">
      <c r="A285" s="39" t="s">
        <v>7225</v>
      </c>
      <c r="B285" s="41" t="str">
        <f>IFERROR(INDEX(Mots!$B:$B,MATCH($A285,Mots!$A:$A,0)),"introuvable")</f>
        <v>résistant</v>
      </c>
      <c r="C285" s="39" t="s">
        <v>9880</v>
      </c>
    </row>
    <row r="286" spans="1:4" x14ac:dyDescent="0.4">
      <c r="A286" s="39" t="s">
        <v>7234</v>
      </c>
      <c r="B286" s="41" t="str">
        <f>IFERROR(INDEX(Mots!$B:$B,MATCH($A286,Mots!$A:$A,0)),"introuvable")</f>
        <v>réussir</v>
      </c>
      <c r="C286" s="39" t="s">
        <v>9881</v>
      </c>
    </row>
    <row r="287" spans="1:4" x14ac:dyDescent="0.4">
      <c r="A287" s="39" t="s">
        <v>7253</v>
      </c>
      <c r="B287" s="41" t="str">
        <f>IFERROR(INDEX(Mots!$B:$B,MATCH($A287,Mots!$A:$A,0)),"introuvable")</f>
        <v>rude</v>
      </c>
      <c r="C287" s="39" t="s">
        <v>9882</v>
      </c>
    </row>
    <row r="288" spans="1:4" x14ac:dyDescent="0.4">
      <c r="A288" s="39" t="s">
        <v>7334</v>
      </c>
      <c r="B288" s="41" t="str">
        <f>IFERROR(INDEX(Mots!$B:$B,MATCH($A288,Mots!$A:$A,0)),"introuvable")</f>
        <v>supplier</v>
      </c>
      <c r="C288" s="39" t="s">
        <v>9883</v>
      </c>
    </row>
    <row r="289" spans="1:5" x14ac:dyDescent="0.4">
      <c r="A289" s="39" t="s">
        <v>7373</v>
      </c>
      <c r="B289" s="41" t="str">
        <f>IFERROR(INDEX(Mots!$B:$B,MATCH($A289,Mots!$A:$A,0)),"introuvable")</f>
        <v>touffu</v>
      </c>
      <c r="C289" s="39" t="s">
        <v>9884</v>
      </c>
    </row>
    <row r="290" spans="1:5" x14ac:dyDescent="0.4">
      <c r="A290" s="39" t="s">
        <v>7381</v>
      </c>
      <c r="B290" s="41" t="str">
        <f>IFERROR(INDEX(Mots!$B:$B,MATCH($A290,Mots!$A:$A,0)),"introuvable")</f>
        <v>travailler</v>
      </c>
      <c r="C290" s="39" t="s">
        <v>9885</v>
      </c>
    </row>
    <row r="291" spans="1:5" x14ac:dyDescent="0.4">
      <c r="A291" s="39" t="s">
        <v>7400</v>
      </c>
      <c r="B291" s="41" t="str">
        <f>IFERROR(INDEX(Mots!$B:$B,MATCH($A291,Mots!$A:$A,0)),"introuvable")</f>
        <v>utile</v>
      </c>
      <c r="C291" s="39" t="s">
        <v>7098</v>
      </c>
    </row>
    <row r="292" spans="1:5" x14ac:dyDescent="0.4">
      <c r="A292" s="39" t="s">
        <v>7403</v>
      </c>
      <c r="B292" s="41" t="str">
        <f>IFERROR(INDEX(Mots!$B:$B,MATCH($A292,Mots!$A:$A,0)),"introuvable")</f>
        <v>velouté</v>
      </c>
      <c r="C292" s="39" t="s">
        <v>2715</v>
      </c>
      <c r="D292" s="39" t="s">
        <v>9886</v>
      </c>
    </row>
    <row r="293" spans="1:5" x14ac:dyDescent="0.4">
      <c r="A293" s="39" t="s">
        <v>7420</v>
      </c>
      <c r="B293" s="41" t="str">
        <f>IFERROR(INDEX(Mots!$B:$B,MATCH($A293,Mots!$A:$A,0)),"introuvable")</f>
        <v>vif - vive</v>
      </c>
      <c r="C293" s="39" t="s">
        <v>9887</v>
      </c>
    </row>
    <row r="294" spans="1:5" x14ac:dyDescent="0.4">
      <c r="A294" s="39" t="s">
        <v>7452</v>
      </c>
      <c r="B294" s="41" t="str">
        <f>IFERROR(INDEX(Mots!$B:$B,MATCH($A294,Mots!$A:$A,0)),"introuvable")</f>
        <v>zéro</v>
      </c>
      <c r="C294" s="39" t="s">
        <v>9888</v>
      </c>
      <c r="D294" s="39" t="s">
        <v>9889</v>
      </c>
    </row>
    <row r="295" spans="1:5" x14ac:dyDescent="0.4">
      <c r="A295" s="39" t="s">
        <v>7508</v>
      </c>
      <c r="B295" s="41" t="str">
        <f>IFERROR(INDEX(Mots!$B:$B,MATCH($A295,Mots!$A:$A,0)),"introuvable")</f>
        <v>récurrer</v>
      </c>
      <c r="C295" s="39" t="s">
        <v>9890</v>
      </c>
    </row>
    <row r="296" spans="1:5" x14ac:dyDescent="0.4">
      <c r="A296" s="39" t="s">
        <v>7571</v>
      </c>
      <c r="B296" s="41" t="str">
        <f>IFERROR(INDEX(Mots!$B:$B,MATCH($A296,Mots!$A:$A,0)),"introuvable")</f>
        <v>quitter</v>
      </c>
      <c r="C296" s="39" t="s">
        <v>7010</v>
      </c>
    </row>
    <row r="297" spans="1:5" x14ac:dyDescent="0.4">
      <c r="A297" s="39" t="s">
        <v>7621</v>
      </c>
      <c r="B297" s="41" t="str">
        <f>IFERROR(INDEX(Mots!$B:$B,MATCH($A297,Mots!$A:$A,0)),"introuvable")</f>
        <v>conduire</v>
      </c>
      <c r="C297" s="39" t="s">
        <v>9891</v>
      </c>
    </row>
    <row r="298" spans="1:5" x14ac:dyDescent="0.4">
      <c r="A298" s="39" t="s">
        <v>7771</v>
      </c>
      <c r="B298" s="41" t="str">
        <f>IFERROR(INDEX(Mots!$B:$B,MATCH($A298,Mots!$A:$A,0)),"introuvable")</f>
        <v>la température</v>
      </c>
      <c r="C298" s="39" t="s">
        <v>4217</v>
      </c>
    </row>
    <row r="299" spans="1:5" x14ac:dyDescent="0.4">
      <c r="A299" s="39" t="s">
        <v>9547</v>
      </c>
      <c r="B299" s="41" t="str">
        <f>IFERROR(INDEX(Mots!$B:$B,MATCH($A299,Mots!$A:$A,0)),"introuvable")</f>
        <v>la sueur</v>
      </c>
      <c r="C299" s="39" t="s">
        <v>9892</v>
      </c>
    </row>
    <row r="300" spans="1:5" x14ac:dyDescent="0.4">
      <c r="A300" s="25" t="s">
        <v>2373</v>
      </c>
      <c r="B300" s="39" t="s">
        <v>10015</v>
      </c>
      <c r="C300" s="39" t="s">
        <v>10016</v>
      </c>
      <c r="D300" s="39" t="s">
        <v>10017</v>
      </c>
      <c r="E300" s="39" t="s">
        <v>7890</v>
      </c>
    </row>
    <row r="301" spans="1:5" x14ac:dyDescent="0.4">
      <c r="A301" s="25" t="s">
        <v>2388</v>
      </c>
      <c r="B301" s="39" t="s">
        <v>7375</v>
      </c>
      <c r="C301" s="39" t="s">
        <v>10018</v>
      </c>
    </row>
  </sheetData>
  <autoFilter ref="A1:E1" xr:uid="{5335D8EE-57B4-4647-9E6D-7E24C3B8EDF4}"/>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20"/>
  <sheetViews>
    <sheetView workbookViewId="0">
      <pane xSplit="2" ySplit="1" topLeftCell="C1004" activePane="bottomRight" state="frozen"/>
      <selection pane="topRight"/>
      <selection pane="bottomLeft"/>
      <selection pane="bottomRight" activeCell="C1019" sqref="C1019"/>
    </sheetView>
  </sheetViews>
  <sheetFormatPr baseColWidth="10" defaultColWidth="8.796875" defaultRowHeight="15.6" x14ac:dyDescent="0.35"/>
  <cols>
    <col min="1" max="1" width="24" style="25" customWidth="1"/>
    <col min="2" max="2" width="26" style="25" customWidth="1"/>
    <col min="3" max="12" width="60" style="25" customWidth="1"/>
    <col min="13" max="16384" width="8.796875" style="25"/>
  </cols>
  <sheetData>
    <row r="1" spans="1:12" x14ac:dyDescent="0.35">
      <c r="A1" s="42" t="s">
        <v>7697</v>
      </c>
      <c r="B1" s="42" t="s">
        <v>7698</v>
      </c>
      <c r="C1" s="42" t="s">
        <v>10037</v>
      </c>
      <c r="D1" s="42" t="s">
        <v>7918</v>
      </c>
      <c r="E1" s="42" t="s">
        <v>7919</v>
      </c>
      <c r="F1" s="42" t="s">
        <v>7920</v>
      </c>
      <c r="G1" s="42" t="s">
        <v>7921</v>
      </c>
      <c r="H1" s="42" t="s">
        <v>7922</v>
      </c>
      <c r="I1" s="42" t="s">
        <v>7923</v>
      </c>
      <c r="J1" s="42" t="s">
        <v>7924</v>
      </c>
      <c r="K1" s="42" t="s">
        <v>7925</v>
      </c>
      <c r="L1" s="42" t="s">
        <v>7926</v>
      </c>
    </row>
    <row r="2" spans="1:12" x14ac:dyDescent="0.35">
      <c r="A2" s="24" t="s">
        <v>410</v>
      </c>
      <c r="B2" s="43" t="str">
        <f>IFERROR(INDEX(Mots!$B:$B,MATCH($A2,Mots!$A:$A,0)),"introuvable")</f>
        <v>le sandwich</v>
      </c>
      <c r="C2" s="24" t="s">
        <v>7927</v>
      </c>
    </row>
    <row r="3" spans="1:12" x14ac:dyDescent="0.35">
      <c r="A3" s="24" t="s">
        <v>416</v>
      </c>
      <c r="B3" s="43" t="str">
        <f>IFERROR(INDEX(Mots!$B:$B,MATCH($A3,Mots!$A:$A,0)),"introuvable")</f>
        <v>la lettre</v>
      </c>
      <c r="C3" s="24" t="s">
        <v>9893</v>
      </c>
    </row>
    <row r="4" spans="1:12" x14ac:dyDescent="0.35">
      <c r="A4" s="24" t="s">
        <v>421</v>
      </c>
      <c r="B4" s="43" t="str">
        <f>IFERROR(INDEX(Mots!$B:$B,MATCH($A4,Mots!$A:$A,0)),"introuvable")</f>
        <v>la réunion</v>
      </c>
      <c r="C4" s="24" t="s">
        <v>7928</v>
      </c>
    </row>
    <row r="5" spans="1:12" x14ac:dyDescent="0.35">
      <c r="A5" s="24" t="s">
        <v>426</v>
      </c>
      <c r="B5" s="43" t="str">
        <f>IFERROR(INDEX(Mots!$B:$B,MATCH($A5,Mots!$A:$A,0)),"introuvable")</f>
        <v>le bureau (meuble)</v>
      </c>
      <c r="C5" s="24" t="s">
        <v>7929</v>
      </c>
    </row>
    <row r="6" spans="1:12" x14ac:dyDescent="0.35">
      <c r="A6" s="24" t="s">
        <v>438</v>
      </c>
      <c r="B6" s="43" t="str">
        <f>IFERROR(INDEX(Mots!$B:$B,MATCH($A6,Mots!$A:$A,0)),"introuvable")</f>
        <v>l'entreprise</v>
      </c>
      <c r="C6" s="24" t="s">
        <v>7930</v>
      </c>
    </row>
    <row r="7" spans="1:12" x14ac:dyDescent="0.35">
      <c r="A7" s="24" t="s">
        <v>446</v>
      </c>
      <c r="B7" s="43" t="str">
        <f>IFERROR(INDEX(Mots!$B:$B,MATCH($A7,Mots!$A:$A,0)),"introuvable")</f>
        <v>l'équipe</v>
      </c>
      <c r="C7" s="24" t="s">
        <v>7931</v>
      </c>
    </row>
    <row r="8" spans="1:12" x14ac:dyDescent="0.35">
      <c r="A8" s="24" t="s">
        <v>29</v>
      </c>
      <c r="B8" s="43" t="str">
        <f>IFERROR(INDEX(Mots!$B:$B,MATCH($A8,Mots!$A:$A,0)),"introuvable")</f>
        <v>la famille</v>
      </c>
      <c r="C8" s="24" t="s">
        <v>7932</v>
      </c>
    </row>
    <row r="9" spans="1:12" x14ac:dyDescent="0.35">
      <c r="A9" s="24" t="s">
        <v>459</v>
      </c>
      <c r="B9" s="43" t="str">
        <f>IFERROR(INDEX(Mots!$B:$B,MATCH($A9,Mots!$A:$A,0)),"introuvable")</f>
        <v>le mari et la femme</v>
      </c>
      <c r="C9" s="24" t="s">
        <v>7933</v>
      </c>
    </row>
    <row r="10" spans="1:12" x14ac:dyDescent="0.35">
      <c r="A10" s="24" t="s">
        <v>467</v>
      </c>
      <c r="B10" s="43" t="str">
        <f>IFERROR(INDEX(Mots!$B:$B,MATCH($A10,Mots!$A:$A,0)),"introuvable")</f>
        <v>la mère - la maman</v>
      </c>
      <c r="C10" s="24" t="s">
        <v>7934</v>
      </c>
    </row>
    <row r="11" spans="1:12" x14ac:dyDescent="0.35">
      <c r="A11" s="24" t="s">
        <v>470</v>
      </c>
      <c r="B11" s="43" t="str">
        <f>IFERROR(INDEX(Mots!$B:$B,MATCH($A11,Mots!$A:$A,0)),"introuvable")</f>
        <v>le père - le papa</v>
      </c>
      <c r="C11" s="24" t="s">
        <v>7935</v>
      </c>
    </row>
    <row r="12" spans="1:12" x14ac:dyDescent="0.35">
      <c r="A12" s="24" t="s">
        <v>473</v>
      </c>
      <c r="B12" s="43" t="str">
        <f>IFERROR(INDEX(Mots!$B:$B,MATCH($A12,Mots!$A:$A,0)),"introuvable")</f>
        <v>les enfants</v>
      </c>
      <c r="C12" s="24" t="s">
        <v>7936</v>
      </c>
    </row>
    <row r="13" spans="1:12" x14ac:dyDescent="0.35">
      <c r="A13" s="24" t="s">
        <v>481</v>
      </c>
      <c r="B13" s="43" t="str">
        <f>IFERROR(INDEX(Mots!$B:$B,MATCH($A13,Mots!$A:$A,0)),"introuvable")</f>
        <v>le bébé</v>
      </c>
      <c r="C13" s="24" t="s">
        <v>7937</v>
      </c>
    </row>
    <row r="14" spans="1:12" x14ac:dyDescent="0.35">
      <c r="A14" s="24" t="s">
        <v>490</v>
      </c>
      <c r="B14" s="43" t="str">
        <f>IFERROR(INDEX(Mots!$B:$B,MATCH($A14,Mots!$A:$A,0)),"introuvable")</f>
        <v>la fille</v>
      </c>
      <c r="C14" s="24" t="s">
        <v>7938</v>
      </c>
    </row>
    <row r="15" spans="1:12" x14ac:dyDescent="0.35">
      <c r="A15" s="24" t="s">
        <v>499</v>
      </c>
      <c r="B15" s="43" t="str">
        <f>IFERROR(INDEX(Mots!$B:$B,MATCH($A15,Mots!$A:$A,0)),"introuvable")</f>
        <v>le fils</v>
      </c>
      <c r="C15" s="24" t="s">
        <v>7939</v>
      </c>
    </row>
    <row r="16" spans="1:12" x14ac:dyDescent="0.35">
      <c r="A16" s="24" t="s">
        <v>506</v>
      </c>
      <c r="B16" s="43" t="str">
        <f>IFERROR(INDEX(Mots!$B:$B,MATCH($A16,Mots!$A:$A,0)),"introuvable")</f>
        <v>la grand-mère</v>
      </c>
      <c r="C16" s="24" t="s">
        <v>7940</v>
      </c>
    </row>
    <row r="17" spans="1:4" x14ac:dyDescent="0.35">
      <c r="A17" s="24" t="s">
        <v>510</v>
      </c>
      <c r="B17" s="43" t="str">
        <f>IFERROR(INDEX(Mots!$B:$B,MATCH($A17,Mots!$A:$A,0)),"introuvable")</f>
        <v>le grand-père</v>
      </c>
      <c r="C17" s="24" t="s">
        <v>7941</v>
      </c>
    </row>
    <row r="18" spans="1:4" x14ac:dyDescent="0.35">
      <c r="A18" s="24" t="s">
        <v>514</v>
      </c>
      <c r="B18" s="43" t="str">
        <f>IFERROR(INDEX(Mots!$B:$B,MATCH($A18,Mots!$A:$A,0)),"introuvable")</f>
        <v>la soeur</v>
      </c>
      <c r="C18" s="24" t="s">
        <v>7942</v>
      </c>
    </row>
    <row r="19" spans="1:4" x14ac:dyDescent="0.35">
      <c r="A19" s="24" t="s">
        <v>521</v>
      </c>
      <c r="B19" s="43" t="str">
        <f>IFERROR(INDEX(Mots!$B:$B,MATCH($A19,Mots!$A:$A,0)),"introuvable")</f>
        <v>le frère</v>
      </c>
      <c r="C19" s="24" t="s">
        <v>7943</v>
      </c>
    </row>
    <row r="20" spans="1:4" x14ac:dyDescent="0.35">
      <c r="A20" s="24" t="s">
        <v>526</v>
      </c>
      <c r="B20" s="43" t="str">
        <f>IFERROR(INDEX(Mots!$B:$B,MATCH($A20,Mots!$A:$A,0)),"introuvable")</f>
        <v>la tante</v>
      </c>
      <c r="C20" s="24" t="s">
        <v>7944</v>
      </c>
    </row>
    <row r="21" spans="1:4" x14ac:dyDescent="0.35">
      <c r="A21" s="24" t="s">
        <v>531</v>
      </c>
      <c r="B21" s="43" t="str">
        <f>IFERROR(INDEX(Mots!$B:$B,MATCH($A21,Mots!$A:$A,0)),"introuvable")</f>
        <v>l'oncle</v>
      </c>
      <c r="C21" s="24" t="s">
        <v>7945</v>
      </c>
    </row>
    <row r="22" spans="1:4" x14ac:dyDescent="0.35">
      <c r="A22" s="24" t="s">
        <v>535</v>
      </c>
      <c r="B22" s="43" t="str">
        <f>IFERROR(INDEX(Mots!$B:$B,MATCH($A22,Mots!$A:$A,0)),"introuvable")</f>
        <v>l'homme</v>
      </c>
      <c r="C22" s="24" t="s">
        <v>9894</v>
      </c>
    </row>
    <row r="23" spans="1:4" x14ac:dyDescent="0.35">
      <c r="A23" s="24" t="s">
        <v>544</v>
      </c>
      <c r="B23" s="43" t="str">
        <f>IFERROR(INDEX(Mots!$B:$B,MATCH($A23,Mots!$A:$A,0)),"introuvable")</f>
        <v>la femme</v>
      </c>
      <c r="C23" s="24" t="s">
        <v>7946</v>
      </c>
    </row>
    <row r="24" spans="1:4" x14ac:dyDescent="0.35">
      <c r="A24" s="24" t="s">
        <v>553</v>
      </c>
      <c r="B24" s="43" t="str">
        <f>IFERROR(INDEX(Mots!$B:$B,MATCH($A24,Mots!$A:$A,0)),"introuvable")</f>
        <v>la pelouse</v>
      </c>
      <c r="C24" s="24" t="s">
        <v>9896</v>
      </c>
      <c r="D24" s="24" t="s">
        <v>9895</v>
      </c>
    </row>
    <row r="25" spans="1:4" x14ac:dyDescent="0.35">
      <c r="A25" s="24" t="s">
        <v>557</v>
      </c>
      <c r="B25" s="43" t="str">
        <f>IFERROR(INDEX(Mots!$B:$B,MATCH($A25,Mots!$A:$A,0)),"introuvable")</f>
        <v>la table de jardin</v>
      </c>
      <c r="C25" s="24" t="s">
        <v>7947</v>
      </c>
    </row>
    <row r="26" spans="1:4" x14ac:dyDescent="0.35">
      <c r="A26" s="24" t="s">
        <v>561</v>
      </c>
      <c r="B26" s="43" t="str">
        <f>IFERROR(INDEX(Mots!$B:$B,MATCH($A26,Mots!$A:$A,0)),"introuvable")</f>
        <v>la haie de thujas</v>
      </c>
      <c r="C26" s="24" t="s">
        <v>7948</v>
      </c>
    </row>
    <row r="27" spans="1:4" x14ac:dyDescent="0.35">
      <c r="A27" s="24" t="s">
        <v>565</v>
      </c>
      <c r="B27" s="43" t="str">
        <f>IFERROR(INDEX(Mots!$B:$B,MATCH($A27,Mots!$A:$A,0)),"introuvable")</f>
        <v>l'arrosage automatique</v>
      </c>
      <c r="C27" s="24" t="s">
        <v>7949</v>
      </c>
    </row>
    <row r="28" spans="1:4" x14ac:dyDescent="0.35">
      <c r="A28" s="24" t="s">
        <v>569</v>
      </c>
      <c r="B28" s="43" t="str">
        <f>IFERROR(INDEX(Mots!$B:$B,MATCH($A28,Mots!$A:$A,0)),"introuvable")</f>
        <v>la tondeuse à gazon</v>
      </c>
      <c r="C28" s="24" t="s">
        <v>7950</v>
      </c>
    </row>
    <row r="29" spans="1:4" x14ac:dyDescent="0.35">
      <c r="A29" s="24" t="s">
        <v>573</v>
      </c>
      <c r="B29" s="43" t="str">
        <f>IFERROR(INDEX(Mots!$B:$B,MATCH($A29,Mots!$A:$A,0)),"introuvable")</f>
        <v>l'essence pour tondeuse</v>
      </c>
      <c r="C29" s="24" t="s">
        <v>9897</v>
      </c>
    </row>
    <row r="30" spans="1:4" x14ac:dyDescent="0.35">
      <c r="A30" s="24" t="s">
        <v>615</v>
      </c>
      <c r="B30" s="43" t="str">
        <f>IFERROR(INDEX(Mots!$B:$B,MATCH($A30,Mots!$A:$A,0)),"introuvable")</f>
        <v>la chorale</v>
      </c>
      <c r="C30" s="24" t="s">
        <v>7951</v>
      </c>
      <c r="D30" s="24" t="s">
        <v>7952</v>
      </c>
    </row>
    <row r="31" spans="1:4" x14ac:dyDescent="0.35">
      <c r="A31" s="24" t="s">
        <v>638</v>
      </c>
      <c r="B31" s="43" t="str">
        <f>IFERROR(INDEX(Mots!$B:$B,MATCH($A31,Mots!$A:$A,0)),"introuvable")</f>
        <v>le directeur</v>
      </c>
      <c r="C31" s="24" t="s">
        <v>7953</v>
      </c>
    </row>
    <row r="32" spans="1:4" x14ac:dyDescent="0.35">
      <c r="A32" s="24" t="s">
        <v>702</v>
      </c>
      <c r="B32" s="43" t="str">
        <f>IFERROR(INDEX(Mots!$B:$B,MATCH($A32,Mots!$A:$A,0)),"introuvable")</f>
        <v>la cuisine</v>
      </c>
      <c r="C32" s="24" t="s">
        <v>9898</v>
      </c>
      <c r="D32" s="24" t="s">
        <v>7954</v>
      </c>
    </row>
    <row r="33" spans="1:4" x14ac:dyDescent="0.35">
      <c r="A33" s="24" t="s">
        <v>705</v>
      </c>
      <c r="B33" s="43" t="str">
        <f>IFERROR(INDEX(Mots!$B:$B,MATCH($A33,Mots!$A:$A,0)),"introuvable")</f>
        <v>le frigo</v>
      </c>
      <c r="C33" s="24" t="s">
        <v>9899</v>
      </c>
    </row>
    <row r="34" spans="1:4" x14ac:dyDescent="0.35">
      <c r="A34" s="24" t="s">
        <v>710</v>
      </c>
      <c r="B34" s="43" t="str">
        <f>IFERROR(INDEX(Mots!$B:$B,MATCH($A34,Mots!$A:$A,0)),"introuvable")</f>
        <v>le lave-vaisselle</v>
      </c>
      <c r="C34" s="24" t="s">
        <v>7955</v>
      </c>
      <c r="D34" s="25" t="s">
        <v>9902</v>
      </c>
    </row>
    <row r="35" spans="1:4" x14ac:dyDescent="0.35">
      <c r="A35" s="24" t="s">
        <v>713</v>
      </c>
      <c r="B35" s="43" t="str">
        <f>IFERROR(INDEX(Mots!$B:$B,MATCH($A35,Mots!$A:$A,0)),"introuvable")</f>
        <v>le four</v>
      </c>
      <c r="C35" s="24" t="s">
        <v>7956</v>
      </c>
    </row>
    <row r="36" spans="1:4" x14ac:dyDescent="0.35">
      <c r="A36" s="24" t="s">
        <v>717</v>
      </c>
      <c r="B36" s="43" t="str">
        <f>IFERROR(INDEX(Mots!$B:$B,MATCH($A36,Mots!$A:$A,0)),"introuvable")</f>
        <v>le micro onde</v>
      </c>
      <c r="C36" s="24" t="s">
        <v>7957</v>
      </c>
    </row>
    <row r="37" spans="1:4" x14ac:dyDescent="0.35">
      <c r="A37" s="24" t="s">
        <v>724</v>
      </c>
      <c r="B37" s="43" t="str">
        <f>IFERROR(INDEX(Mots!$B:$B,MATCH($A37,Mots!$A:$A,0)),"introuvable")</f>
        <v>la cuisinière vitroceram</v>
      </c>
      <c r="C37" s="24" t="s">
        <v>9907</v>
      </c>
    </row>
    <row r="38" spans="1:4" x14ac:dyDescent="0.35">
      <c r="A38" s="24" t="s">
        <v>728</v>
      </c>
      <c r="B38" s="43" t="str">
        <f>IFERROR(INDEX(Mots!$B:$B,MATCH($A38,Mots!$A:$A,0)),"introuvable")</f>
        <v>la machine à café</v>
      </c>
      <c r="C38" s="24" t="s">
        <v>9901</v>
      </c>
      <c r="D38" s="25" t="s">
        <v>9900</v>
      </c>
    </row>
    <row r="39" spans="1:4" x14ac:dyDescent="0.35">
      <c r="A39" s="24" t="s">
        <v>733</v>
      </c>
      <c r="B39" s="43" t="str">
        <f>IFERROR(INDEX(Mots!$B:$B,MATCH($A39,Mots!$A:$A,0)),"introuvable")</f>
        <v>le verre</v>
      </c>
      <c r="C39" s="24" t="s">
        <v>7958</v>
      </c>
      <c r="D39" s="25" t="s">
        <v>9903</v>
      </c>
    </row>
    <row r="40" spans="1:4" x14ac:dyDescent="0.35">
      <c r="A40" s="24" t="s">
        <v>737</v>
      </c>
      <c r="B40" s="43" t="str">
        <f>IFERROR(INDEX(Mots!$B:$B,MATCH($A40,Mots!$A:$A,0)),"introuvable")</f>
        <v>la tasse</v>
      </c>
      <c r="C40" s="24" t="s">
        <v>7959</v>
      </c>
    </row>
    <row r="41" spans="1:4" x14ac:dyDescent="0.35">
      <c r="A41" s="24" t="s">
        <v>9483</v>
      </c>
      <c r="B41" s="43" t="str">
        <f>IFERROR(INDEX(Mots!$B:$B,MATCH($A41,Mots!$A:$A,0)),"introuvable")</f>
        <v>le pot ou la mesure</v>
      </c>
      <c r="C41" s="24" t="s">
        <v>7960</v>
      </c>
    </row>
    <row r="42" spans="1:4" x14ac:dyDescent="0.35">
      <c r="A42" s="24" t="s">
        <v>746</v>
      </c>
      <c r="B42" s="43" t="str">
        <f>IFERROR(INDEX(Mots!$B:$B,MATCH($A42,Mots!$A:$A,0)),"introuvable")</f>
        <v>l'assiette</v>
      </c>
      <c r="C42" s="24" t="s">
        <v>7961</v>
      </c>
    </row>
    <row r="43" spans="1:4" x14ac:dyDescent="0.35">
      <c r="A43" s="24" t="s">
        <v>750</v>
      </c>
      <c r="B43" s="43" t="str">
        <f>IFERROR(INDEX(Mots!$B:$B,MATCH($A43,Mots!$A:$A,0)),"introuvable")</f>
        <v>la fourchette</v>
      </c>
      <c r="C43" s="24" t="s">
        <v>7962</v>
      </c>
    </row>
    <row r="44" spans="1:4" x14ac:dyDescent="0.35">
      <c r="A44" s="24" t="s">
        <v>753</v>
      </c>
      <c r="B44" s="43" t="str">
        <f>IFERROR(INDEX(Mots!$B:$B,MATCH($A44,Mots!$A:$A,0)),"introuvable")</f>
        <v>la cuillère</v>
      </c>
      <c r="C44" s="24" t="s">
        <v>7963</v>
      </c>
    </row>
    <row r="45" spans="1:4" x14ac:dyDescent="0.35">
      <c r="A45" s="24" t="s">
        <v>756</v>
      </c>
      <c r="B45" s="43" t="str">
        <f>IFERROR(INDEX(Mots!$B:$B,MATCH($A45,Mots!$A:$A,0)),"introuvable")</f>
        <v>le couteau</v>
      </c>
      <c r="C45" s="24" t="s">
        <v>9904</v>
      </c>
    </row>
    <row r="46" spans="1:4" x14ac:dyDescent="0.35">
      <c r="A46" s="24" t="s">
        <v>760</v>
      </c>
      <c r="B46" s="43" t="str">
        <f>IFERROR(INDEX(Mots!$B:$B,MATCH($A46,Mots!$A:$A,0)),"introuvable")</f>
        <v>la casserole</v>
      </c>
      <c r="C46" s="24" t="s">
        <v>7964</v>
      </c>
    </row>
    <row r="47" spans="1:4" x14ac:dyDescent="0.35">
      <c r="A47" s="24" t="s">
        <v>10047</v>
      </c>
      <c r="B47" s="43" t="str">
        <f>IFERROR(INDEX(Mots!$B:$B,MATCH($A47,Mots!$A:$A,0)),"introuvable")</f>
        <v>la marmite</v>
      </c>
      <c r="C47" s="24" t="s">
        <v>10051</v>
      </c>
    </row>
    <row r="48" spans="1:4" x14ac:dyDescent="0.35">
      <c r="A48" s="24" t="s">
        <v>764</v>
      </c>
      <c r="B48" s="43" t="str">
        <f>IFERROR(INDEX(Mots!$B:$B,MATCH($A48,Mots!$A:$A,0)),"introuvable")</f>
        <v>la poêle</v>
      </c>
      <c r="C48" s="24" t="s">
        <v>9905</v>
      </c>
    </row>
    <row r="49" spans="1:5" x14ac:dyDescent="0.35">
      <c r="A49" s="24" t="s">
        <v>767</v>
      </c>
      <c r="B49" s="43" t="str">
        <f>IFERROR(INDEX(Mots!$B:$B,MATCH($A49,Mots!$A:$A,0)),"introuvable")</f>
        <v>l'évier ou la plonge</v>
      </c>
      <c r="C49" s="24" t="s">
        <v>7965</v>
      </c>
    </row>
    <row r="50" spans="1:5" x14ac:dyDescent="0.35">
      <c r="A50" s="24" t="s">
        <v>779</v>
      </c>
      <c r="B50" s="43" t="str">
        <f>IFERROR(INDEX(Mots!$B:$B,MATCH($A50,Mots!$A:$A,0)),"introuvable")</f>
        <v>le robinet</v>
      </c>
      <c r="C50" s="24" t="s">
        <v>7966</v>
      </c>
      <c r="D50" s="25" t="s">
        <v>9906</v>
      </c>
    </row>
    <row r="51" spans="1:5" x14ac:dyDescent="0.35">
      <c r="A51" s="24" t="s">
        <v>782</v>
      </c>
      <c r="B51" s="43" t="str">
        <f>IFERROR(INDEX(Mots!$B:$B,MATCH($A51,Mots!$A:$A,0)),"introuvable")</f>
        <v>la table</v>
      </c>
      <c r="C51" s="24" t="s">
        <v>7967</v>
      </c>
      <c r="D51" s="25" t="s">
        <v>9908</v>
      </c>
    </row>
    <row r="52" spans="1:5" x14ac:dyDescent="0.35">
      <c r="A52" s="24" t="s">
        <v>786</v>
      </c>
      <c r="B52" s="43" t="str">
        <f>IFERROR(INDEX(Mots!$B:$B,MATCH($A52,Mots!$A:$A,0)),"introuvable")</f>
        <v>la chaise</v>
      </c>
      <c r="C52" s="25" t="s">
        <v>9909</v>
      </c>
    </row>
    <row r="53" spans="1:5" x14ac:dyDescent="0.35">
      <c r="A53" s="24" t="s">
        <v>791</v>
      </c>
      <c r="B53" s="43" t="str">
        <f>IFERROR(INDEX(Mots!$B:$B,MATCH($A53,Mots!$A:$A,0)),"introuvable")</f>
        <v>le buffet</v>
      </c>
      <c r="C53" s="24" t="s">
        <v>7968</v>
      </c>
    </row>
    <row r="54" spans="1:5" x14ac:dyDescent="0.35">
      <c r="A54" s="24" t="s">
        <v>802</v>
      </c>
      <c r="B54" s="43" t="str">
        <f>IFERROR(INDEX(Mots!$B:$B,MATCH($A54,Mots!$A:$A,0)),"introuvable")</f>
        <v>le lave-linge</v>
      </c>
      <c r="C54" s="24" t="s">
        <v>9910</v>
      </c>
      <c r="D54" s="25" t="s">
        <v>9911</v>
      </c>
    </row>
    <row r="55" spans="1:5" x14ac:dyDescent="0.35">
      <c r="A55" s="24" t="s">
        <v>808</v>
      </c>
      <c r="B55" s="43" t="str">
        <f>IFERROR(INDEX(Mots!$B:$B,MATCH($A55,Mots!$A:$A,0)),"introuvable")</f>
        <v>le sèche-linge</v>
      </c>
      <c r="C55" s="24" t="s">
        <v>9912</v>
      </c>
      <c r="D55" s="24" t="s">
        <v>7969</v>
      </c>
    </row>
    <row r="56" spans="1:5" x14ac:dyDescent="0.35">
      <c r="A56" s="24" t="s">
        <v>812</v>
      </c>
      <c r="B56" s="43" t="str">
        <f>IFERROR(INDEX(Mots!$B:$B,MATCH($A56,Mots!$A:$A,0)),"introuvable")</f>
        <v>le fer à repasser</v>
      </c>
      <c r="C56" s="24" t="s">
        <v>7970</v>
      </c>
    </row>
    <row r="57" spans="1:5" x14ac:dyDescent="0.35">
      <c r="A57" s="24" t="s">
        <v>817</v>
      </c>
      <c r="B57" s="43" t="str">
        <f>IFERROR(INDEX(Mots!$B:$B,MATCH($A57,Mots!$A:$A,0)),"introuvable")</f>
        <v>le salon</v>
      </c>
      <c r="C57" s="24" t="s">
        <v>7971</v>
      </c>
    </row>
    <row r="58" spans="1:5" x14ac:dyDescent="0.35">
      <c r="A58" s="24" t="s">
        <v>820</v>
      </c>
      <c r="B58" s="43" t="str">
        <f>IFERROR(INDEX(Mots!$B:$B,MATCH($A58,Mots!$A:$A,0)),"introuvable")</f>
        <v>le canapé</v>
      </c>
      <c r="C58" s="24" t="s">
        <v>9913</v>
      </c>
      <c r="D58" s="25" t="s">
        <v>9914</v>
      </c>
    </row>
    <row r="59" spans="1:5" x14ac:dyDescent="0.35">
      <c r="A59" s="24" t="s">
        <v>823</v>
      </c>
      <c r="B59" s="43" t="str">
        <f>IFERROR(INDEX(Mots!$B:$B,MATCH($A59,Mots!$A:$A,0)),"introuvable")</f>
        <v>le fauteuil</v>
      </c>
      <c r="C59" s="24" t="s">
        <v>7972</v>
      </c>
    </row>
    <row r="60" spans="1:5" x14ac:dyDescent="0.35">
      <c r="A60" s="24" t="s">
        <v>828</v>
      </c>
      <c r="B60" s="43" t="str">
        <f>IFERROR(INDEX(Mots!$B:$B,MATCH($A60,Mots!$A:$A,0)),"introuvable")</f>
        <v>le meuble</v>
      </c>
      <c r="C60" s="24" t="s">
        <v>7973</v>
      </c>
    </row>
    <row r="61" spans="1:5" x14ac:dyDescent="0.35">
      <c r="A61" s="24" t="s">
        <v>832</v>
      </c>
      <c r="B61" s="43" t="str">
        <f>IFERROR(INDEX(Mots!$B:$B,MATCH($A61,Mots!$A:$A,0)),"introuvable")</f>
        <v>la télévision</v>
      </c>
      <c r="C61" s="24" t="s">
        <v>7974</v>
      </c>
    </row>
    <row r="62" spans="1:5" x14ac:dyDescent="0.35">
      <c r="A62" s="24" t="s">
        <v>835</v>
      </c>
      <c r="B62" s="43" t="str">
        <f>IFERROR(INDEX(Mots!$B:$B,MATCH($A62,Mots!$A:$A,0)),"introuvable")</f>
        <v>la lampe</v>
      </c>
      <c r="C62" s="24" t="s">
        <v>9915</v>
      </c>
    </row>
    <row r="63" spans="1:5" x14ac:dyDescent="0.35">
      <c r="A63" s="24" t="s">
        <v>867</v>
      </c>
      <c r="B63" s="43" t="str">
        <f>IFERROR(INDEX(Mots!$B:$B,MATCH($A63,Mots!$A:$A,0)),"introuvable")</f>
        <v>la seconde</v>
      </c>
      <c r="C63" s="24" t="s">
        <v>9917</v>
      </c>
      <c r="D63" s="24" t="s">
        <v>9916</v>
      </c>
      <c r="E63" s="25" t="s">
        <v>9919</v>
      </c>
    </row>
    <row r="64" spans="1:5" x14ac:dyDescent="0.35">
      <c r="A64" s="24" t="s">
        <v>876</v>
      </c>
      <c r="B64" s="43" t="str">
        <f>IFERROR(INDEX(Mots!$B:$B,MATCH($A64,Mots!$A:$A,0)),"introuvable")</f>
        <v>l'heure</v>
      </c>
      <c r="C64" s="24" t="s">
        <v>9918</v>
      </c>
      <c r="D64" s="24" t="s">
        <v>7975</v>
      </c>
      <c r="E64" s="25" t="s">
        <v>9920</v>
      </c>
    </row>
    <row r="65" spans="1:5" x14ac:dyDescent="0.35">
      <c r="A65" s="24" t="s">
        <v>880</v>
      </c>
      <c r="B65" s="43" t="str">
        <f>IFERROR(INDEX(Mots!$B:$B,MATCH($A65,Mots!$A:$A,0)),"introuvable")</f>
        <v>le jour</v>
      </c>
      <c r="C65" s="24" t="s">
        <v>7976</v>
      </c>
      <c r="D65" s="25" t="s">
        <v>9922</v>
      </c>
    </row>
    <row r="66" spans="1:5" x14ac:dyDescent="0.35">
      <c r="A66" s="24" t="s">
        <v>904</v>
      </c>
      <c r="B66" s="43" t="str">
        <f>IFERROR(INDEX(Mots!$B:$B,MATCH($A66,Mots!$A:$A,0)),"introuvable")</f>
        <v>la semaine</v>
      </c>
      <c r="C66" s="24" t="s">
        <v>7976</v>
      </c>
      <c r="D66" s="25" t="s">
        <v>9921</v>
      </c>
    </row>
    <row r="67" spans="1:5" x14ac:dyDescent="0.35">
      <c r="A67" s="24" t="s">
        <v>908</v>
      </c>
      <c r="B67" s="43" t="str">
        <f>IFERROR(INDEX(Mots!$B:$B,MATCH($A67,Mots!$A:$A,0)),"introuvable")</f>
        <v>le mois</v>
      </c>
      <c r="C67" s="24" t="s">
        <v>7977</v>
      </c>
      <c r="D67" s="25" t="s">
        <v>9923</v>
      </c>
      <c r="E67" s="25" t="s">
        <v>9924</v>
      </c>
    </row>
    <row r="68" spans="1:5" x14ac:dyDescent="0.35">
      <c r="A68" s="24" t="s">
        <v>912</v>
      </c>
      <c r="B68" s="43" t="str">
        <f>IFERROR(INDEX(Mots!$B:$B,MATCH($A68,Mots!$A:$A,0)),"introuvable")</f>
        <v>l'année</v>
      </c>
      <c r="C68" s="24" t="s">
        <v>7978</v>
      </c>
      <c r="D68" s="25" t="s">
        <v>9925</v>
      </c>
    </row>
    <row r="69" spans="1:5" x14ac:dyDescent="0.35">
      <c r="A69" s="24" t="s">
        <v>1003</v>
      </c>
      <c r="B69" s="43" t="str">
        <f>IFERROR(INDEX(Mots!$B:$B,MATCH($A69,Mots!$A:$A,0)),"introuvable")</f>
        <v>le ventre</v>
      </c>
      <c r="C69" s="24" t="s">
        <v>7979</v>
      </c>
      <c r="D69" s="25" t="s">
        <v>9926</v>
      </c>
    </row>
    <row r="70" spans="1:5" x14ac:dyDescent="0.35">
      <c r="A70" s="24" t="s">
        <v>1008</v>
      </c>
      <c r="B70" s="43" t="str">
        <f>IFERROR(INDEX(Mots!$B:$B,MATCH($A70,Mots!$A:$A,0)),"introuvable")</f>
        <v>le dos</v>
      </c>
      <c r="C70" s="24" t="s">
        <v>9927</v>
      </c>
      <c r="D70" s="25" t="s">
        <v>9928</v>
      </c>
    </row>
    <row r="71" spans="1:5" x14ac:dyDescent="0.35">
      <c r="A71" s="24" t="s">
        <v>1013</v>
      </c>
      <c r="B71" s="43" t="str">
        <f>IFERROR(INDEX(Mots!$B:$B,MATCH($A71,Mots!$A:$A,0)),"introuvable")</f>
        <v>le coeur</v>
      </c>
      <c r="C71" s="24" t="s">
        <v>7980</v>
      </c>
    </row>
    <row r="72" spans="1:5" x14ac:dyDescent="0.35">
      <c r="A72" s="24" t="s">
        <v>1029</v>
      </c>
      <c r="B72" s="43" t="str">
        <f>IFERROR(INDEX(Mots!$B:$B,MATCH($A72,Mots!$A:$A,0)),"introuvable")</f>
        <v>la tête</v>
      </c>
      <c r="C72" s="24" t="s">
        <v>7981</v>
      </c>
    </row>
    <row r="73" spans="1:5" x14ac:dyDescent="0.35">
      <c r="A73" s="24" t="s">
        <v>1032</v>
      </c>
      <c r="B73" s="43" t="str">
        <f>IFERROR(INDEX(Mots!$B:$B,MATCH($A73,Mots!$A:$A,0)),"introuvable")</f>
        <v>les cheveux</v>
      </c>
      <c r="C73" s="24" t="s">
        <v>7982</v>
      </c>
    </row>
    <row r="74" spans="1:5" x14ac:dyDescent="0.35">
      <c r="A74" s="24" t="s">
        <v>1037</v>
      </c>
      <c r="B74" s="43" t="str">
        <f>IFERROR(INDEX(Mots!$B:$B,MATCH($A74,Mots!$A:$A,0)),"introuvable")</f>
        <v>l'oeil</v>
      </c>
      <c r="C74" s="24" t="s">
        <v>7983</v>
      </c>
      <c r="D74" s="25" t="s">
        <v>9929</v>
      </c>
      <c r="E74" s="25" t="s">
        <v>9931</v>
      </c>
    </row>
    <row r="75" spans="1:5" x14ac:dyDescent="0.35">
      <c r="A75" s="24" t="s">
        <v>1042</v>
      </c>
      <c r="B75" s="43" t="str">
        <f>IFERROR(INDEX(Mots!$B:$B,MATCH($A75,Mots!$A:$A,0)),"introuvable")</f>
        <v>le nez</v>
      </c>
      <c r="C75" s="24" t="s">
        <v>7984</v>
      </c>
      <c r="D75" s="25" t="s">
        <v>9930</v>
      </c>
    </row>
    <row r="76" spans="1:5" x14ac:dyDescent="0.35">
      <c r="A76" s="24" t="s">
        <v>1051</v>
      </c>
      <c r="B76" s="43" t="str">
        <f>IFERROR(INDEX(Mots!$B:$B,MATCH($A76,Mots!$A:$A,0)),"introuvable")</f>
        <v>la bouche</v>
      </c>
      <c r="C76" s="24" t="s">
        <v>7985</v>
      </c>
    </row>
    <row r="77" spans="1:5" x14ac:dyDescent="0.35">
      <c r="A77" s="24" t="s">
        <v>1055</v>
      </c>
      <c r="B77" s="43" t="str">
        <f>IFERROR(INDEX(Mots!$B:$B,MATCH($A77,Mots!$A:$A,0)),"introuvable")</f>
        <v>la dent</v>
      </c>
      <c r="C77" s="24" t="s">
        <v>7986</v>
      </c>
      <c r="D77" s="25" t="s">
        <v>9932</v>
      </c>
    </row>
    <row r="78" spans="1:5" x14ac:dyDescent="0.35">
      <c r="A78" s="24" t="s">
        <v>1060</v>
      </c>
      <c r="B78" s="43" t="str">
        <f>IFERROR(INDEX(Mots!$B:$B,MATCH($A78,Mots!$A:$A,0)),"introuvable")</f>
        <v>l'oreille</v>
      </c>
      <c r="C78" s="24" t="s">
        <v>7987</v>
      </c>
      <c r="D78" s="25" t="s">
        <v>9933</v>
      </c>
    </row>
    <row r="79" spans="1:5" x14ac:dyDescent="0.35">
      <c r="A79" s="24" t="s">
        <v>1085</v>
      </c>
      <c r="B79" s="43" t="str">
        <f>IFERROR(INDEX(Mots!$B:$B,MATCH($A79,Mots!$A:$A,0)),"introuvable")</f>
        <v>la casquette</v>
      </c>
      <c r="C79" s="24" t="s">
        <v>7988</v>
      </c>
    </row>
    <row r="80" spans="1:5" x14ac:dyDescent="0.35">
      <c r="A80" s="24" t="s">
        <v>1090</v>
      </c>
      <c r="B80" s="43" t="str">
        <f>IFERROR(INDEX(Mots!$B:$B,MATCH($A80,Mots!$A:$A,0)),"introuvable")</f>
        <v>la ceinture</v>
      </c>
      <c r="C80" s="24" t="s">
        <v>7989</v>
      </c>
      <c r="D80" s="25" t="s">
        <v>9934</v>
      </c>
    </row>
    <row r="81" spans="1:4" x14ac:dyDescent="0.35">
      <c r="A81" s="24" t="s">
        <v>1114</v>
      </c>
      <c r="B81" s="43" t="str">
        <f>IFERROR(INDEX(Mots!$B:$B,MATCH($A81,Mots!$A:$A,0)),"introuvable")</f>
        <v>la sourdine Cup</v>
      </c>
      <c r="C81" s="24" t="s">
        <v>9935</v>
      </c>
    </row>
    <row r="82" spans="1:4" x14ac:dyDescent="0.35">
      <c r="A82" s="24" t="s">
        <v>1117</v>
      </c>
      <c r="B82" s="43" t="str">
        <f>IFERROR(INDEX(Mots!$B:$B,MATCH($A82,Mots!$A:$A,0)),"introuvable")</f>
        <v>la sourdine straignt ou metal</v>
      </c>
      <c r="C82" s="24" t="s">
        <v>9935</v>
      </c>
    </row>
    <row r="83" spans="1:4" x14ac:dyDescent="0.35">
      <c r="A83" s="24" t="s">
        <v>1120</v>
      </c>
      <c r="B83" s="43" t="str">
        <f>IFERROR(INDEX(Mots!$B:$B,MATCH($A83,Mots!$A:$A,0)),"introuvable")</f>
        <v>l'embouchure</v>
      </c>
      <c r="C83" s="24" t="s">
        <v>9936</v>
      </c>
      <c r="D83" s="25" t="s">
        <v>9937</v>
      </c>
    </row>
    <row r="84" spans="1:4" x14ac:dyDescent="0.35">
      <c r="A84" s="24" t="s">
        <v>1124</v>
      </c>
      <c r="B84" s="43" t="str">
        <f>IFERROR(INDEX(Mots!$B:$B,MATCH($A84,Mots!$A:$A,0)),"introuvable")</f>
        <v>les pistons</v>
      </c>
      <c r="C84" s="24" t="s">
        <v>7990</v>
      </c>
      <c r="D84" s="25" t="s">
        <v>9938</v>
      </c>
    </row>
    <row r="85" spans="1:4" x14ac:dyDescent="0.35">
      <c r="A85" s="24" t="s">
        <v>1127</v>
      </c>
      <c r="B85" s="43" t="str">
        <f>IFERROR(INDEX(Mots!$B:$B,MATCH($A85,Mots!$A:$A,0)),"introuvable")</f>
        <v>la coulisse</v>
      </c>
      <c r="C85" s="24" t="s">
        <v>7991</v>
      </c>
      <c r="D85" s="25" t="s">
        <v>9939</v>
      </c>
    </row>
    <row r="86" spans="1:4" x14ac:dyDescent="0.35">
      <c r="A86" s="24" t="s">
        <v>1131</v>
      </c>
      <c r="B86" s="43" t="str">
        <f>IFERROR(INDEX(Mots!$B:$B,MATCH($A86,Mots!$A:$A,0)),"introuvable")</f>
        <v>le coffre</v>
      </c>
      <c r="C86" s="24" t="s">
        <v>9940</v>
      </c>
      <c r="D86" s="25" t="s">
        <v>9941</v>
      </c>
    </row>
    <row r="87" spans="1:4" x14ac:dyDescent="0.35">
      <c r="A87" s="24" t="s">
        <v>1135</v>
      </c>
      <c r="B87" s="43" t="str">
        <f>IFERROR(INDEX(Mots!$B:$B,MATCH($A87,Mots!$A:$A,0)),"introuvable")</f>
        <v>l'huile</v>
      </c>
      <c r="C87" s="24" t="s">
        <v>7992</v>
      </c>
    </row>
    <row r="88" spans="1:4" x14ac:dyDescent="0.35">
      <c r="A88" s="24" t="s">
        <v>1139</v>
      </c>
      <c r="B88" s="43" t="str">
        <f>IFERROR(INDEX(Mots!$B:$B,MATCH($A88,Mots!$A:$A,0)),"introuvable")</f>
        <v>la graisse</v>
      </c>
      <c r="C88" s="24" t="s">
        <v>9942</v>
      </c>
    </row>
    <row r="89" spans="1:4" x14ac:dyDescent="0.35">
      <c r="A89" s="24" t="s">
        <v>1143</v>
      </c>
      <c r="B89" s="43" t="str">
        <f>IFERROR(INDEX(Mots!$B:$B,MATCH($A89,Mots!$A:$A,0)),"introuvable")</f>
        <v>les brosses</v>
      </c>
      <c r="C89" s="24" t="s">
        <v>9943</v>
      </c>
    </row>
    <row r="90" spans="1:4" x14ac:dyDescent="0.35">
      <c r="A90" s="24" t="s">
        <v>1147</v>
      </c>
      <c r="B90" s="43" t="str">
        <f>IFERROR(INDEX(Mots!$B:$B,MATCH($A90,Mots!$A:$A,0)),"introuvable")</f>
        <v>le pupitre</v>
      </c>
      <c r="C90" s="24" t="s">
        <v>9944</v>
      </c>
    </row>
    <row r="91" spans="1:4" x14ac:dyDescent="0.35">
      <c r="A91" s="24" t="s">
        <v>1152</v>
      </c>
      <c r="B91" s="43" t="str">
        <f>IFERROR(INDEX(Mots!$B:$B,MATCH($A91,Mots!$A:$A,0)),"introuvable")</f>
        <v>l'uniforme</v>
      </c>
      <c r="C91" s="24" t="s">
        <v>7993</v>
      </c>
      <c r="D91" s="24" t="s">
        <v>7994</v>
      </c>
    </row>
    <row r="92" spans="1:4" x14ac:dyDescent="0.35">
      <c r="A92" s="24" t="s">
        <v>1157</v>
      </c>
      <c r="B92" s="43" t="str">
        <f>IFERROR(INDEX(Mots!$B:$B,MATCH($A92,Mots!$A:$A,0)),"introuvable")</f>
        <v>des pâtes</v>
      </c>
      <c r="C92" s="24" t="s">
        <v>9945</v>
      </c>
      <c r="D92" s="25" t="s">
        <v>9948</v>
      </c>
    </row>
    <row r="93" spans="1:4" x14ac:dyDescent="0.35">
      <c r="A93" s="24" t="s">
        <v>1161</v>
      </c>
      <c r="B93" s="43" t="str">
        <f>IFERROR(INDEX(Mots!$B:$B,MATCH($A93,Mots!$A:$A,0)),"introuvable")</f>
        <v>le riz</v>
      </c>
      <c r="C93" s="24" t="s">
        <v>9946</v>
      </c>
      <c r="D93" s="25" t="s">
        <v>9947</v>
      </c>
    </row>
    <row r="94" spans="1:4" x14ac:dyDescent="0.35">
      <c r="A94" s="24" t="s">
        <v>1175</v>
      </c>
      <c r="B94" s="43" t="str">
        <f>IFERROR(INDEX(Mots!$B:$B,MATCH($A94,Mots!$A:$A,0)),"introuvable")</f>
        <v>la vache</v>
      </c>
      <c r="C94" s="24" t="s">
        <v>7995</v>
      </c>
      <c r="D94" s="25" t="s">
        <v>9951</v>
      </c>
    </row>
    <row r="95" spans="1:4" x14ac:dyDescent="0.35">
      <c r="A95" s="24" t="s">
        <v>1180</v>
      </c>
      <c r="B95" s="43" t="str">
        <f>IFERROR(INDEX(Mots!$B:$B,MATCH($A95,Mots!$A:$A,0)),"introuvable")</f>
        <v>le cochon</v>
      </c>
      <c r="C95" s="24" t="s">
        <v>7996</v>
      </c>
      <c r="D95" s="25" t="s">
        <v>9954</v>
      </c>
    </row>
    <row r="96" spans="1:4" x14ac:dyDescent="0.35">
      <c r="A96" s="24" t="s">
        <v>1185</v>
      </c>
      <c r="B96" s="43" t="str">
        <f>IFERROR(INDEX(Mots!$B:$B,MATCH($A96,Mots!$A:$A,0)),"introuvable")</f>
        <v>le mouton</v>
      </c>
      <c r="C96" s="24" t="s">
        <v>9949</v>
      </c>
      <c r="D96" s="25" t="s">
        <v>9953</v>
      </c>
    </row>
    <row r="97" spans="1:4" x14ac:dyDescent="0.35">
      <c r="A97" s="24" t="s">
        <v>1190</v>
      </c>
      <c r="B97" s="43" t="str">
        <f>IFERROR(INDEX(Mots!$B:$B,MATCH($A97,Mots!$A:$A,0)),"introuvable")</f>
        <v>la poule</v>
      </c>
      <c r="C97" s="24" t="s">
        <v>7997</v>
      </c>
      <c r="D97" s="25" t="s">
        <v>9952</v>
      </c>
    </row>
    <row r="98" spans="1:4" x14ac:dyDescent="0.35">
      <c r="A98" s="24" t="s">
        <v>1195</v>
      </c>
      <c r="B98" s="43" t="str">
        <f>IFERROR(INDEX(Mots!$B:$B,MATCH($A98,Mots!$A:$A,0)),"introuvable")</f>
        <v>la chèvre</v>
      </c>
      <c r="C98" s="24" t="s">
        <v>7998</v>
      </c>
      <c r="D98" s="25" t="s">
        <v>9955</v>
      </c>
    </row>
    <row r="99" spans="1:4" x14ac:dyDescent="0.35">
      <c r="A99" s="24" t="s">
        <v>1204</v>
      </c>
      <c r="B99" s="43" t="str">
        <f>IFERROR(INDEX(Mots!$B:$B,MATCH($A99,Mots!$A:$A,0)),"introuvable")</f>
        <v>le cheval</v>
      </c>
      <c r="C99" s="24" t="s">
        <v>7999</v>
      </c>
      <c r="D99" s="25" t="s">
        <v>9956</v>
      </c>
    </row>
    <row r="100" spans="1:4" x14ac:dyDescent="0.35">
      <c r="A100" s="24" t="s">
        <v>1212</v>
      </c>
      <c r="B100" s="43" t="str">
        <f>IFERROR(INDEX(Mots!$B:$B,MATCH($A100,Mots!$A:$A,0)),"introuvable")</f>
        <v>le chat</v>
      </c>
      <c r="C100" s="24" t="s">
        <v>9950</v>
      </c>
      <c r="D100" s="25" t="s">
        <v>9957</v>
      </c>
    </row>
    <row r="101" spans="1:4" x14ac:dyDescent="0.35">
      <c r="A101" s="24" t="s">
        <v>1216</v>
      </c>
      <c r="B101" s="43" t="str">
        <f>IFERROR(INDEX(Mots!$B:$B,MATCH($A101,Mots!$A:$A,0)),"introuvable")</f>
        <v>le chien</v>
      </c>
      <c r="C101" s="24" t="s">
        <v>1172</v>
      </c>
      <c r="D101" s="25" t="s">
        <v>9958</v>
      </c>
    </row>
    <row r="102" spans="1:4" x14ac:dyDescent="0.35">
      <c r="A102" s="24" t="s">
        <v>1220</v>
      </c>
      <c r="B102" s="43" t="str">
        <f>IFERROR(INDEX(Mots!$B:$B,MATCH($A102,Mots!$A:$A,0)),"introuvable")</f>
        <v>le lapin</v>
      </c>
      <c r="C102" s="24" t="s">
        <v>8000</v>
      </c>
      <c r="D102" s="25" t="s">
        <v>9959</v>
      </c>
    </row>
    <row r="103" spans="1:4" x14ac:dyDescent="0.35">
      <c r="A103" s="24" t="s">
        <v>1229</v>
      </c>
      <c r="B103" s="43" t="str">
        <f>IFERROR(INDEX(Mots!$B:$B,MATCH($A103,Mots!$A:$A,0)),"introuvable")</f>
        <v>la souris</v>
      </c>
      <c r="C103" s="24" t="s">
        <v>8001</v>
      </c>
    </row>
    <row r="104" spans="1:4" x14ac:dyDescent="0.35">
      <c r="A104" s="24" t="s">
        <v>1248</v>
      </c>
      <c r="B104" s="43" t="str">
        <f>IFERROR(INDEX(Mots!$B:$B,MATCH($A104,Mots!$A:$A,0)),"introuvable")</f>
        <v>le loup</v>
      </c>
      <c r="C104" s="24" t="s">
        <v>8002</v>
      </c>
      <c r="D104" s="25" t="s">
        <v>9960</v>
      </c>
    </row>
    <row r="105" spans="1:4" x14ac:dyDescent="0.35">
      <c r="A105" s="24" t="s">
        <v>1252</v>
      </c>
      <c r="B105" s="43" t="str">
        <f>IFERROR(INDEX(Mots!$B:$B,MATCH($A105,Mots!$A:$A,0)),"introuvable")</f>
        <v>le chevreuil</v>
      </c>
      <c r="C105" s="24" t="s">
        <v>8003</v>
      </c>
      <c r="D105" s="25" t="s">
        <v>9961</v>
      </c>
    </row>
    <row r="106" spans="1:4" x14ac:dyDescent="0.35">
      <c r="A106" s="24" t="s">
        <v>1261</v>
      </c>
      <c r="B106" s="43" t="str">
        <f>IFERROR(INDEX(Mots!$B:$B,MATCH($A106,Mots!$A:$A,0)),"introuvable")</f>
        <v>la biche</v>
      </c>
      <c r="C106" s="24" t="s">
        <v>8004</v>
      </c>
      <c r="D106" s="25" t="s">
        <v>9962</v>
      </c>
    </row>
    <row r="107" spans="1:4" x14ac:dyDescent="0.35">
      <c r="A107" s="24" t="s">
        <v>1265</v>
      </c>
      <c r="B107" s="43" t="str">
        <f>IFERROR(INDEX(Mots!$B:$B,MATCH($A107,Mots!$A:$A,0)),"introuvable")</f>
        <v>le cerf</v>
      </c>
      <c r="C107" s="24" t="s">
        <v>8005</v>
      </c>
      <c r="D107" s="25" t="s">
        <v>9962</v>
      </c>
    </row>
    <row r="108" spans="1:4" x14ac:dyDescent="0.35">
      <c r="A108" s="24" t="s">
        <v>1269</v>
      </c>
      <c r="B108" s="43" t="str">
        <f>IFERROR(INDEX(Mots!$B:$B,MATCH($A108,Mots!$A:$A,0)),"introuvable")</f>
        <v>le bouquetin</v>
      </c>
      <c r="C108" s="24" t="s">
        <v>8006</v>
      </c>
    </row>
    <row r="109" spans="1:4" x14ac:dyDescent="0.35">
      <c r="A109" s="24" t="s">
        <v>1274</v>
      </c>
      <c r="B109" s="43" t="str">
        <f>IFERROR(INDEX(Mots!$B:$B,MATCH($A109,Mots!$A:$A,0)),"introuvable")</f>
        <v>le poisson</v>
      </c>
      <c r="C109" s="24" t="s">
        <v>8007</v>
      </c>
    </row>
    <row r="110" spans="1:4" x14ac:dyDescent="0.35">
      <c r="A110" s="24" t="s">
        <v>1279</v>
      </c>
      <c r="B110" s="43" t="str">
        <f>IFERROR(INDEX(Mots!$B:$B,MATCH($A110,Mots!$A:$A,0)),"introuvable")</f>
        <v>le serpent</v>
      </c>
      <c r="C110" s="24" t="s">
        <v>8008</v>
      </c>
    </row>
    <row r="111" spans="1:4" x14ac:dyDescent="0.35">
      <c r="A111" s="24" t="s">
        <v>1288</v>
      </c>
      <c r="B111" s="43" t="str">
        <f>IFERROR(INDEX(Mots!$B:$B,MATCH($A111,Mots!$A:$A,0)),"introuvable")</f>
        <v>l'éléphant</v>
      </c>
      <c r="C111" s="24" t="s">
        <v>8009</v>
      </c>
      <c r="D111" s="25" t="s">
        <v>9963</v>
      </c>
    </row>
    <row r="112" spans="1:4" x14ac:dyDescent="0.35">
      <c r="A112" s="24" t="s">
        <v>1293</v>
      </c>
      <c r="B112" s="43" t="str">
        <f>IFERROR(INDEX(Mots!$B:$B,MATCH($A112,Mots!$A:$A,0)),"introuvable")</f>
        <v>le lion</v>
      </c>
      <c r="C112" s="24" t="s">
        <v>9964</v>
      </c>
      <c r="D112" s="24" t="s">
        <v>8010</v>
      </c>
    </row>
    <row r="113" spans="1:4" x14ac:dyDescent="0.35">
      <c r="A113" s="24" t="s">
        <v>1298</v>
      </c>
      <c r="B113" s="43" t="str">
        <f>IFERROR(INDEX(Mots!$B:$B,MATCH($A113,Mots!$A:$A,0)),"introuvable")</f>
        <v>le tigre</v>
      </c>
      <c r="C113" s="24" t="s">
        <v>9965</v>
      </c>
    </row>
    <row r="114" spans="1:4" x14ac:dyDescent="0.35">
      <c r="A114" s="24" t="s">
        <v>1335</v>
      </c>
      <c r="B114" s="43" t="str">
        <f>IFERROR(INDEX(Mots!$B:$B,MATCH($A114,Mots!$A:$A,0)),"introuvable")</f>
        <v>le sucre</v>
      </c>
      <c r="C114" s="24" t="s">
        <v>9966</v>
      </c>
    </row>
    <row r="115" spans="1:4" x14ac:dyDescent="0.35">
      <c r="A115" s="24" t="s">
        <v>1340</v>
      </c>
      <c r="B115" s="43" t="str">
        <f>IFERROR(INDEX(Mots!$B:$B,MATCH($A115,Mots!$A:$A,0)),"introuvable")</f>
        <v>le sel</v>
      </c>
      <c r="C115" s="24" t="s">
        <v>8011</v>
      </c>
    </row>
    <row r="116" spans="1:4" x14ac:dyDescent="0.35">
      <c r="A116" s="24" t="s">
        <v>1345</v>
      </c>
      <c r="B116" s="43" t="str">
        <f>IFERROR(INDEX(Mots!$B:$B,MATCH($A116,Mots!$A:$A,0)),"introuvable")</f>
        <v>le poivre</v>
      </c>
      <c r="C116" s="24" t="s">
        <v>8012</v>
      </c>
    </row>
    <row r="117" spans="1:4" x14ac:dyDescent="0.35">
      <c r="A117" s="24" t="s">
        <v>1350</v>
      </c>
      <c r="B117" s="43" t="str">
        <f>IFERROR(INDEX(Mots!$B:$B,MATCH($A117,Mots!$A:$A,0)),"introuvable")</f>
        <v>l'arôme Maggy</v>
      </c>
      <c r="C117" s="24" t="s">
        <v>8013</v>
      </c>
    </row>
    <row r="118" spans="1:4" x14ac:dyDescent="0.35">
      <c r="A118" s="24" t="s">
        <v>1355</v>
      </c>
      <c r="B118" s="43" t="str">
        <f>IFERROR(INDEX(Mots!$B:$B,MATCH($A118,Mots!$A:$A,0)),"introuvable")</f>
        <v>le curry</v>
      </c>
      <c r="C118" s="24" t="s">
        <v>8014</v>
      </c>
    </row>
    <row r="119" spans="1:4" x14ac:dyDescent="0.35">
      <c r="A119" s="24" t="s">
        <v>9459</v>
      </c>
      <c r="B119" s="43" t="str">
        <f>IFERROR(INDEX(Mots!$B:$B,MATCH($A119,Mots!$A:$A,0)),"introuvable")</f>
        <v>la carte</v>
      </c>
      <c r="C119" s="24" t="s">
        <v>8015</v>
      </c>
      <c r="D119" s="25" t="s">
        <v>9967</v>
      </c>
    </row>
    <row r="120" spans="1:4" x14ac:dyDescent="0.35">
      <c r="A120" s="24" t="s">
        <v>1439</v>
      </c>
      <c r="B120" s="43" t="str">
        <f>IFERROR(INDEX(Mots!$B:$B,MATCH($A120,Mots!$A:$A,0)),"introuvable")</f>
        <v>l'église</v>
      </c>
      <c r="C120" s="24" t="s">
        <v>9968</v>
      </c>
    </row>
    <row r="121" spans="1:4" x14ac:dyDescent="0.35">
      <c r="A121" s="24" t="s">
        <v>1490</v>
      </c>
      <c r="B121" s="43" t="str">
        <f>IFERROR(INDEX(Mots!$B:$B,MATCH($A121,Mots!$A:$A,0)),"introuvable")</f>
        <v>la gare</v>
      </c>
      <c r="C121" s="24" t="s">
        <v>9969</v>
      </c>
    </row>
    <row r="122" spans="1:4" x14ac:dyDescent="0.35">
      <c r="A122" s="24" t="s">
        <v>1499</v>
      </c>
      <c r="B122" s="43" t="str">
        <f>IFERROR(INDEX(Mots!$B:$B,MATCH($A122,Mots!$A:$A,0)),"introuvable")</f>
        <v>l'aéroport</v>
      </c>
      <c r="C122" s="24" t="s">
        <v>8016</v>
      </c>
    </row>
    <row r="123" spans="1:4" x14ac:dyDescent="0.35">
      <c r="A123" s="24" t="s">
        <v>1508</v>
      </c>
      <c r="B123" s="43" t="str">
        <f>IFERROR(INDEX(Mots!$B:$B,MATCH($A123,Mots!$A:$A,0)),"introuvable")</f>
        <v>le musée</v>
      </c>
      <c r="C123" s="24" t="s">
        <v>8017</v>
      </c>
    </row>
    <row r="124" spans="1:4" x14ac:dyDescent="0.35">
      <c r="A124" s="24" t="s">
        <v>1513</v>
      </c>
      <c r="B124" s="43" t="str">
        <f>IFERROR(INDEX(Mots!$B:$B,MATCH($A124,Mots!$A:$A,0)),"introuvable")</f>
        <v>une bière limonade</v>
      </c>
      <c r="C124" s="24" t="s">
        <v>8018</v>
      </c>
    </row>
    <row r="125" spans="1:4" x14ac:dyDescent="0.35">
      <c r="A125" s="24" t="s">
        <v>1517</v>
      </c>
      <c r="B125" s="43" t="str">
        <f>IFERROR(INDEX(Mots!$B:$B,MATCH($A125,Mots!$A:$A,0)),"introuvable")</f>
        <v>un verre de vin rouge</v>
      </c>
      <c r="C125" s="24" t="s">
        <v>8019</v>
      </c>
    </row>
    <row r="126" spans="1:4" x14ac:dyDescent="0.35">
      <c r="A126" s="24" t="s">
        <v>1521</v>
      </c>
      <c r="B126" s="43" t="str">
        <f>IFERROR(INDEX(Mots!$B:$B,MATCH($A126,Mots!$A:$A,0)),"introuvable")</f>
        <v>un verre de vin blanc</v>
      </c>
      <c r="C126" s="24" t="s">
        <v>8020</v>
      </c>
    </row>
    <row r="127" spans="1:4" x14ac:dyDescent="0.35">
      <c r="A127" s="24" t="s">
        <v>1525</v>
      </c>
      <c r="B127" s="43" t="str">
        <f>IFERROR(INDEX(Mots!$B:$B,MATCH($A127,Mots!$A:$A,0)),"introuvable")</f>
        <v>une suze henniez</v>
      </c>
      <c r="C127" s="24" t="s">
        <v>8021</v>
      </c>
    </row>
    <row r="128" spans="1:4" x14ac:dyDescent="0.35">
      <c r="A128" s="24" t="s">
        <v>1533</v>
      </c>
      <c r="B128" s="43" t="str">
        <f>IFERROR(INDEX(Mots!$B:$B,MATCH($A128,Mots!$A:$A,0)),"introuvable")</f>
        <v>une eau minérale</v>
      </c>
      <c r="C128" s="24" t="s">
        <v>8022</v>
      </c>
    </row>
    <row r="129" spans="1:4" x14ac:dyDescent="0.35">
      <c r="A129" s="24" t="s">
        <v>1537</v>
      </c>
      <c r="B129" s="43" t="str">
        <f>IFERROR(INDEX(Mots!$B:$B,MATCH($A129,Mots!$A:$A,0)),"introuvable")</f>
        <v>un henniez cassis</v>
      </c>
      <c r="C129" s="24" t="s">
        <v>8023</v>
      </c>
    </row>
    <row r="130" spans="1:4" x14ac:dyDescent="0.35">
      <c r="A130" s="24" t="s">
        <v>1540</v>
      </c>
      <c r="B130" s="43" t="str">
        <f>IFERROR(INDEX(Mots!$B:$B,MATCH($A130,Mots!$A:$A,0)),"introuvable")</f>
        <v>un Coca Cola</v>
      </c>
      <c r="C130" s="24" t="s">
        <v>9970</v>
      </c>
    </row>
    <row r="131" spans="1:4" x14ac:dyDescent="0.35">
      <c r="A131" s="24" t="s">
        <v>1545</v>
      </c>
      <c r="B131" s="43" t="str">
        <f>IFERROR(INDEX(Mots!$B:$B,MATCH($A131,Mots!$A:$A,0)),"introuvable")</f>
        <v>un grapefruit</v>
      </c>
      <c r="C131" s="24" t="s">
        <v>8024</v>
      </c>
    </row>
    <row r="132" spans="1:4" x14ac:dyDescent="0.35">
      <c r="A132" s="24" t="s">
        <v>1548</v>
      </c>
      <c r="B132" s="43" t="str">
        <f>IFERROR(INDEX(Mots!$B:$B,MATCH($A132,Mots!$A:$A,0)),"introuvable")</f>
        <v>un jus de pomme</v>
      </c>
      <c r="C132" s="24" t="s">
        <v>9971</v>
      </c>
    </row>
    <row r="133" spans="1:4" x14ac:dyDescent="0.35">
      <c r="A133" s="24" t="s">
        <v>1552</v>
      </c>
      <c r="B133" s="43" t="str">
        <f>IFERROR(INDEX(Mots!$B:$B,MATCH($A133,Mots!$A:$A,0)),"introuvable")</f>
        <v>un jus d'orange</v>
      </c>
      <c r="C133" s="24" t="s">
        <v>9972</v>
      </c>
    </row>
    <row r="134" spans="1:4" x14ac:dyDescent="0.35">
      <c r="A134" s="24" t="s">
        <v>1555</v>
      </c>
      <c r="B134" s="43" t="str">
        <f>IFERROR(INDEX(Mots!$B:$B,MATCH($A134,Mots!$A:$A,0)),"introuvable")</f>
        <v>un Sprite</v>
      </c>
      <c r="C134" s="24" t="s">
        <v>9973</v>
      </c>
      <c r="D134" s="25" t="s">
        <v>9974</v>
      </c>
    </row>
    <row r="135" spans="1:4" x14ac:dyDescent="0.35">
      <c r="A135" s="24" t="s">
        <v>1558</v>
      </c>
      <c r="B135" s="43" t="str">
        <f>IFERROR(INDEX(Mots!$B:$B,MATCH($A135,Mots!$A:$A,0)),"introuvable")</f>
        <v>le sirop</v>
      </c>
      <c r="C135" s="24" t="s">
        <v>9975</v>
      </c>
      <c r="D135" s="25" t="s">
        <v>9976</v>
      </c>
    </row>
    <row r="136" spans="1:4" x14ac:dyDescent="0.35">
      <c r="A136" s="24" t="s">
        <v>1563</v>
      </c>
      <c r="B136" s="43" t="str">
        <f>IFERROR(INDEX(Mots!$B:$B,MATCH($A136,Mots!$A:$A,0)),"introuvable")</f>
        <v>les baskets</v>
      </c>
      <c r="C136" s="24" t="s">
        <v>8025</v>
      </c>
    </row>
    <row r="137" spans="1:4" x14ac:dyDescent="0.35">
      <c r="A137" s="24" t="s">
        <v>1568</v>
      </c>
      <c r="B137" s="43" t="str">
        <f>IFERROR(INDEX(Mots!$B:$B,MATCH($A137,Mots!$A:$A,0)),"introuvable")</f>
        <v>les souliers</v>
      </c>
      <c r="C137" s="24" t="s">
        <v>9977</v>
      </c>
    </row>
    <row r="138" spans="1:4" x14ac:dyDescent="0.35">
      <c r="A138" s="24" t="s">
        <v>1576</v>
      </c>
      <c r="B138" s="43" t="str">
        <f>IFERROR(INDEX(Mots!$B:$B,MATCH($A138,Mots!$A:$A,0)),"introuvable")</f>
        <v>les bottillons</v>
      </c>
      <c r="C138" s="24" t="s">
        <v>8026</v>
      </c>
    </row>
    <row r="139" spans="1:4" x14ac:dyDescent="0.35">
      <c r="A139" s="24" t="s">
        <v>1581</v>
      </c>
      <c r="B139" s="43" t="str">
        <f>IFERROR(INDEX(Mots!$B:$B,MATCH($A139,Mots!$A:$A,0)),"introuvable")</f>
        <v>la viande</v>
      </c>
      <c r="C139" s="24" t="s">
        <v>8027</v>
      </c>
    </row>
    <row r="140" spans="1:4" x14ac:dyDescent="0.35">
      <c r="A140" s="24" t="s">
        <v>1585</v>
      </c>
      <c r="B140" s="43" t="str">
        <f>IFERROR(INDEX(Mots!$B:$B,MATCH($A140,Mots!$A:$A,0)),"introuvable")</f>
        <v>le lait</v>
      </c>
      <c r="C140" s="24" t="s">
        <v>9978</v>
      </c>
    </row>
    <row r="141" spans="1:4" x14ac:dyDescent="0.35">
      <c r="A141" s="24" t="s">
        <v>1594</v>
      </c>
      <c r="B141" s="43" t="str">
        <f>IFERROR(INDEX(Mots!$B:$B,MATCH($A141,Mots!$A:$A,0)),"introuvable")</f>
        <v>l'huile</v>
      </c>
      <c r="C141" s="24" t="s">
        <v>9979</v>
      </c>
      <c r="D141" s="25" t="s">
        <v>9980</v>
      </c>
    </row>
    <row r="142" spans="1:4" x14ac:dyDescent="0.35">
      <c r="A142" s="24" t="s">
        <v>1598</v>
      </c>
      <c r="B142" s="43" t="str">
        <f>IFERROR(INDEX(Mots!$B:$B,MATCH($A142,Mots!$A:$A,0)),"introuvable")</f>
        <v>l'oeuf</v>
      </c>
      <c r="C142" s="24" t="s">
        <v>9981</v>
      </c>
    </row>
    <row r="143" spans="1:4" x14ac:dyDescent="0.35">
      <c r="A143" s="24" t="s">
        <v>1603</v>
      </c>
      <c r="B143" s="43" t="str">
        <f>IFERROR(INDEX(Mots!$B:$B,MATCH($A143,Mots!$A:$A,0)),"introuvable")</f>
        <v>le gâteau</v>
      </c>
      <c r="C143" s="24" t="s">
        <v>8028</v>
      </c>
      <c r="D143" s="25" t="s">
        <v>9982</v>
      </c>
    </row>
    <row r="144" spans="1:4" x14ac:dyDescent="0.35">
      <c r="A144" s="24" t="s">
        <v>1608</v>
      </c>
      <c r="B144" s="43" t="str">
        <f>IFERROR(INDEX(Mots!$B:$B,MATCH($A144,Mots!$A:$A,0)),"introuvable")</f>
        <v>la forêt</v>
      </c>
      <c r="C144" s="24" t="s">
        <v>9983</v>
      </c>
      <c r="D144" s="25" t="s">
        <v>9984</v>
      </c>
    </row>
    <row r="145" spans="1:5" x14ac:dyDescent="0.35">
      <c r="A145" s="24" t="s">
        <v>1617</v>
      </c>
      <c r="B145" s="43" t="str">
        <f>IFERROR(INDEX(Mots!$B:$B,MATCH($A145,Mots!$A:$A,0)),"introuvable")</f>
        <v>la mer</v>
      </c>
      <c r="C145" s="24" t="s">
        <v>8029</v>
      </c>
    </row>
    <row r="146" spans="1:5" x14ac:dyDescent="0.35">
      <c r="A146" s="24" t="s">
        <v>1622</v>
      </c>
      <c r="B146" s="43" t="str">
        <f>IFERROR(INDEX(Mots!$B:$B,MATCH($A146,Mots!$A:$A,0)),"introuvable")</f>
        <v>la montagne</v>
      </c>
      <c r="C146" s="24" t="s">
        <v>9985</v>
      </c>
      <c r="D146" s="24" t="s">
        <v>9986</v>
      </c>
      <c r="E146" s="25" t="s">
        <v>9987</v>
      </c>
    </row>
    <row r="147" spans="1:5" x14ac:dyDescent="0.35">
      <c r="A147" s="24" t="s">
        <v>1627</v>
      </c>
      <c r="B147" s="43" t="str">
        <f>IFERROR(INDEX(Mots!$B:$B,MATCH($A147,Mots!$A:$A,0)),"introuvable")</f>
        <v>la rivière</v>
      </c>
      <c r="C147" s="24" t="s">
        <v>8030</v>
      </c>
      <c r="D147" s="25" t="s">
        <v>9988</v>
      </c>
    </row>
    <row r="148" spans="1:5" x14ac:dyDescent="0.35">
      <c r="A148" s="24" t="s">
        <v>1630</v>
      </c>
      <c r="B148" s="43" t="str">
        <f>IFERROR(INDEX(Mots!$B:$B,MATCH($A148,Mots!$A:$A,0)),"introuvable")</f>
        <v>le rocher</v>
      </c>
      <c r="C148" s="24" t="s">
        <v>8031</v>
      </c>
    </row>
    <row r="149" spans="1:5" x14ac:dyDescent="0.35">
      <c r="A149" s="24" t="s">
        <v>1639</v>
      </c>
      <c r="B149" s="43" t="str">
        <f>IFERROR(INDEX(Mots!$B:$B,MATCH($A149,Mots!$A:$A,0)),"introuvable")</f>
        <v>la lune</v>
      </c>
      <c r="C149" s="24" t="s">
        <v>9989</v>
      </c>
      <c r="D149" s="25" t="s">
        <v>9990</v>
      </c>
    </row>
    <row r="150" spans="1:5" x14ac:dyDescent="0.35">
      <c r="A150" s="24" t="s">
        <v>1648</v>
      </c>
      <c r="B150" s="43" t="str">
        <f>IFERROR(INDEX(Mots!$B:$B,MATCH($A150,Mots!$A:$A,0)),"introuvable")</f>
        <v>la terre</v>
      </c>
      <c r="C150" s="24" t="s">
        <v>9991</v>
      </c>
    </row>
    <row r="151" spans="1:5" x14ac:dyDescent="0.35">
      <c r="A151" s="24" t="s">
        <v>1661</v>
      </c>
      <c r="B151" s="43" t="str">
        <f>IFERROR(INDEX(Mots!$B:$B,MATCH($A151,Mots!$A:$A,0)),"introuvable")</f>
        <v>le ciel</v>
      </c>
      <c r="C151" s="24" t="s">
        <v>8032</v>
      </c>
    </row>
    <row r="152" spans="1:5" x14ac:dyDescent="0.35">
      <c r="A152" s="24" t="s">
        <v>1665</v>
      </c>
      <c r="B152" s="43" t="str">
        <f>IFERROR(INDEX(Mots!$B:$B,MATCH($A152,Mots!$A:$A,0)),"introuvable")</f>
        <v>le feu</v>
      </c>
      <c r="C152" s="24" t="s">
        <v>8033</v>
      </c>
      <c r="D152" s="25" t="s">
        <v>9992</v>
      </c>
      <c r="E152" s="25" t="s">
        <v>9993</v>
      </c>
    </row>
    <row r="153" spans="1:5" x14ac:dyDescent="0.35">
      <c r="A153" s="24" t="s">
        <v>1669</v>
      </c>
      <c r="B153" s="43" t="str">
        <f>IFERROR(INDEX(Mots!$B:$B,MATCH($A153,Mots!$A:$A,0)),"introuvable")</f>
        <v>le soleil</v>
      </c>
      <c r="C153" s="24" t="s">
        <v>8034</v>
      </c>
      <c r="D153" s="25" t="s">
        <v>9994</v>
      </c>
    </row>
    <row r="154" spans="1:5" x14ac:dyDescent="0.35">
      <c r="A154" s="24" t="s">
        <v>1678</v>
      </c>
      <c r="B154" s="43" t="str">
        <f>IFERROR(INDEX(Mots!$B:$B,MATCH($A154,Mots!$A:$A,0)),"introuvable")</f>
        <v>l'eau</v>
      </c>
      <c r="C154" s="24" t="s">
        <v>8035</v>
      </c>
    </row>
    <row r="155" spans="1:5" x14ac:dyDescent="0.35">
      <c r="A155" s="24" t="s">
        <v>1686</v>
      </c>
      <c r="B155" s="43" t="str">
        <f>IFERROR(INDEX(Mots!$B:$B,MATCH($A155,Mots!$A:$A,0)),"introuvable")</f>
        <v>l'incendie</v>
      </c>
      <c r="C155" s="24" t="s">
        <v>8036</v>
      </c>
      <c r="D155" s="25" t="s">
        <v>9995</v>
      </c>
    </row>
    <row r="156" spans="1:5" x14ac:dyDescent="0.35">
      <c r="A156" s="24" t="s">
        <v>1690</v>
      </c>
      <c r="B156" s="43" t="str">
        <f>IFERROR(INDEX(Mots!$B:$B,MATCH($A156,Mots!$A:$A,0)),"introuvable")</f>
        <v>la colère</v>
      </c>
      <c r="C156" s="24" t="s">
        <v>8037</v>
      </c>
    </row>
    <row r="157" spans="1:5" x14ac:dyDescent="0.35">
      <c r="A157" s="24" t="s">
        <v>1697</v>
      </c>
      <c r="B157" s="43" t="str">
        <f>IFERROR(INDEX(Mots!$B:$B,MATCH($A157,Mots!$A:$A,0)),"introuvable")</f>
        <v>la peur</v>
      </c>
      <c r="C157" s="24" t="s">
        <v>8038</v>
      </c>
    </row>
    <row r="158" spans="1:5" x14ac:dyDescent="0.35">
      <c r="A158" s="24" t="s">
        <v>1703</v>
      </c>
      <c r="B158" s="43" t="str">
        <f>IFERROR(INDEX(Mots!$B:$B,MATCH($A158,Mots!$A:$A,0)),"introuvable")</f>
        <v>la solitude</v>
      </c>
      <c r="C158" s="24" t="s">
        <v>8039</v>
      </c>
    </row>
    <row r="159" spans="1:5" x14ac:dyDescent="0.35">
      <c r="A159" s="24" t="s">
        <v>1711</v>
      </c>
      <c r="B159" s="43" t="str">
        <f>IFERROR(INDEX(Mots!$B:$B,MATCH($A159,Mots!$A:$A,0)),"introuvable")</f>
        <v>la tristesse</v>
      </c>
      <c r="C159" s="24" t="s">
        <v>8040</v>
      </c>
    </row>
    <row r="160" spans="1:5" x14ac:dyDescent="0.35">
      <c r="A160" s="24" t="s">
        <v>1718</v>
      </c>
      <c r="B160" s="43" t="str">
        <f>IFERROR(INDEX(Mots!$B:$B,MATCH($A160,Mots!$A:$A,0)),"introuvable")</f>
        <v>la confiance</v>
      </c>
      <c r="C160" s="24" t="s">
        <v>8041</v>
      </c>
    </row>
    <row r="161" spans="1:4" x14ac:dyDescent="0.35">
      <c r="A161" s="24" t="s">
        <v>1723</v>
      </c>
      <c r="B161" s="43" t="str">
        <f>IFERROR(INDEX(Mots!$B:$B,MATCH($A161,Mots!$A:$A,0)),"introuvable")</f>
        <v>la fierté</v>
      </c>
      <c r="C161" s="24" t="s">
        <v>8042</v>
      </c>
    </row>
    <row r="162" spans="1:4" x14ac:dyDescent="0.35">
      <c r="A162" s="24" t="s">
        <v>1729</v>
      </c>
      <c r="B162" s="43" t="str">
        <f>IFERROR(INDEX(Mots!$B:$B,MATCH($A162,Mots!$A:$A,0)),"introuvable")</f>
        <v>la gratitude</v>
      </c>
      <c r="C162" s="24" t="s">
        <v>8043</v>
      </c>
    </row>
    <row r="163" spans="1:4" x14ac:dyDescent="0.35">
      <c r="A163" s="24" t="s">
        <v>1736</v>
      </c>
      <c r="B163" s="43" t="str">
        <f>IFERROR(INDEX(Mots!$B:$B,MATCH($A163,Mots!$A:$A,0)),"introuvable")</f>
        <v>la joie</v>
      </c>
      <c r="C163" s="24" t="s">
        <v>8044</v>
      </c>
    </row>
    <row r="164" spans="1:4" x14ac:dyDescent="0.35">
      <c r="A164" s="24" t="s">
        <v>1744</v>
      </c>
      <c r="B164" s="43" t="str">
        <f>IFERROR(INDEX(Mots!$B:$B,MATCH($A164,Mots!$A:$A,0)),"introuvable")</f>
        <v>la surprise</v>
      </c>
      <c r="C164" s="24" t="s">
        <v>8045</v>
      </c>
    </row>
    <row r="165" spans="1:4" x14ac:dyDescent="0.35">
      <c r="A165" s="24" t="s">
        <v>1750</v>
      </c>
      <c r="B165" s="43" t="str">
        <f>IFERROR(INDEX(Mots!$B:$B,MATCH($A165,Mots!$A:$A,0)),"introuvable")</f>
        <v>l'amour</v>
      </c>
      <c r="C165" s="24" t="s">
        <v>8046</v>
      </c>
    </row>
    <row r="166" spans="1:4" x14ac:dyDescent="0.35">
      <c r="A166" s="24" t="s">
        <v>1758</v>
      </c>
      <c r="B166" s="43" t="str">
        <f>IFERROR(INDEX(Mots!$B:$B,MATCH($A166,Mots!$A:$A,0)),"introuvable")</f>
        <v>le bonheur</v>
      </c>
      <c r="C166" s="24" t="s">
        <v>8047</v>
      </c>
    </row>
    <row r="167" spans="1:4" x14ac:dyDescent="0.35">
      <c r="A167" s="24" t="s">
        <v>1764</v>
      </c>
      <c r="B167" s="43" t="str">
        <f>IFERROR(INDEX(Mots!$B:$B,MATCH($A167,Mots!$A:$A,0)),"introuvable")</f>
        <v>le courage</v>
      </c>
      <c r="C167" s="24" t="s">
        <v>8048</v>
      </c>
    </row>
    <row r="168" spans="1:4" x14ac:dyDescent="0.35">
      <c r="A168" s="24" t="s">
        <v>1773</v>
      </c>
      <c r="B168" s="43" t="str">
        <f>IFERROR(INDEX(Mots!$B:$B,MATCH($A168,Mots!$A:$A,0)),"introuvable")</f>
        <v>le rêve</v>
      </c>
      <c r="C168" s="24" t="s">
        <v>8049</v>
      </c>
      <c r="D168" s="24" t="s">
        <v>8050</v>
      </c>
    </row>
    <row r="169" spans="1:4" x14ac:dyDescent="0.35">
      <c r="A169" s="24" t="s">
        <v>1778</v>
      </c>
      <c r="B169" s="43" t="str">
        <f>IFERROR(INDEX(Mots!$B:$B,MATCH($A169,Mots!$A:$A,0)),"introuvable")</f>
        <v>l'espoir</v>
      </c>
      <c r="C169" s="24" t="s">
        <v>8051</v>
      </c>
    </row>
    <row r="170" spans="1:4" x14ac:dyDescent="0.35">
      <c r="A170" s="24" t="s">
        <v>1833</v>
      </c>
      <c r="B170" s="43" t="str">
        <f>IFERROR(INDEX(Mots!$B:$B,MATCH($A170,Mots!$A:$A,0)),"introuvable")</f>
        <v>l'argent</v>
      </c>
      <c r="C170" s="24" t="s">
        <v>8052</v>
      </c>
    </row>
    <row r="171" spans="1:4" x14ac:dyDescent="0.35">
      <c r="A171" s="24" t="s">
        <v>1841</v>
      </c>
      <c r="B171" s="43" t="str">
        <f>IFERROR(INDEX(Mots!$B:$B,MATCH($A171,Mots!$A:$A,0)),"introuvable")</f>
        <v>le salaire</v>
      </c>
      <c r="C171" s="24" t="s">
        <v>8053</v>
      </c>
    </row>
    <row r="172" spans="1:4" x14ac:dyDescent="0.35">
      <c r="A172" s="24" t="s">
        <v>1846</v>
      </c>
      <c r="B172" s="43" t="str">
        <f>IFERROR(INDEX(Mots!$B:$B,MATCH($A172,Mots!$A:$A,0)),"introuvable")</f>
        <v>le fruit</v>
      </c>
      <c r="C172" s="24" t="s">
        <v>8054</v>
      </c>
      <c r="D172" s="25" t="s">
        <v>9996</v>
      </c>
    </row>
    <row r="173" spans="1:4" x14ac:dyDescent="0.35">
      <c r="A173" s="24" t="s">
        <v>1954</v>
      </c>
      <c r="B173" s="43" t="str">
        <f>IFERROR(INDEX(Mots!$B:$B,MATCH($A173,Mots!$A:$A,0)),"introuvable")</f>
        <v>la batterie</v>
      </c>
      <c r="C173" s="24" t="s">
        <v>9997</v>
      </c>
      <c r="D173" s="24" t="s">
        <v>8055</v>
      </c>
    </row>
    <row r="174" spans="1:4" x14ac:dyDescent="0.35">
      <c r="A174" s="24" t="s">
        <v>1958</v>
      </c>
      <c r="B174" s="43" t="str">
        <f>IFERROR(INDEX(Mots!$B:$B,MATCH($A174,Mots!$A:$A,0)),"introuvable")</f>
        <v>la grosse caisse</v>
      </c>
      <c r="C174" s="24" t="s">
        <v>8056</v>
      </c>
    </row>
    <row r="175" spans="1:4" x14ac:dyDescent="0.35">
      <c r="A175" s="24" t="s">
        <v>1962</v>
      </c>
      <c r="B175" s="43" t="str">
        <f>IFERROR(INDEX(Mots!$B:$B,MATCH($A175,Mots!$A:$A,0)),"introuvable")</f>
        <v>les cymbales</v>
      </c>
      <c r="C175" s="24" t="s">
        <v>8057</v>
      </c>
    </row>
    <row r="176" spans="1:4" x14ac:dyDescent="0.35">
      <c r="A176" s="24" t="s">
        <v>1965</v>
      </c>
      <c r="B176" s="43" t="str">
        <f>IFERROR(INDEX(Mots!$B:$B,MATCH($A176,Mots!$A:$A,0)),"introuvable")</f>
        <v>les timbales</v>
      </c>
      <c r="C176" s="24" t="s">
        <v>8058</v>
      </c>
    </row>
    <row r="177" spans="1:4" x14ac:dyDescent="0.35">
      <c r="A177" s="24" t="s">
        <v>1968</v>
      </c>
      <c r="B177" s="43" t="str">
        <f>IFERROR(INDEX(Mots!$B:$B,MATCH($A177,Mots!$A:$A,0)),"introuvable")</f>
        <v>le xylophone</v>
      </c>
      <c r="C177" s="24" t="s">
        <v>8059</v>
      </c>
      <c r="D177" s="25" t="s">
        <v>9999</v>
      </c>
    </row>
    <row r="178" spans="1:4" x14ac:dyDescent="0.35">
      <c r="A178" s="24" t="s">
        <v>1971</v>
      </c>
      <c r="B178" s="43" t="str">
        <f>IFERROR(INDEX(Mots!$B:$B,MATCH($A178,Mots!$A:$A,0)),"introuvable")</f>
        <v>le vibraphone</v>
      </c>
      <c r="C178" s="24" t="s">
        <v>9998</v>
      </c>
      <c r="D178" s="25" t="s">
        <v>10000</v>
      </c>
    </row>
    <row r="179" spans="1:4" x14ac:dyDescent="0.35">
      <c r="A179" s="24" t="s">
        <v>1974</v>
      </c>
      <c r="B179" s="43" t="str">
        <f>IFERROR(INDEX(Mots!$B:$B,MATCH($A179,Mots!$A:$A,0)),"introuvable")</f>
        <v>le marimba</v>
      </c>
      <c r="C179" s="24" t="s">
        <v>8060</v>
      </c>
    </row>
    <row r="180" spans="1:4" x14ac:dyDescent="0.35">
      <c r="A180" s="24" t="s">
        <v>1985</v>
      </c>
      <c r="B180" s="43" t="str">
        <f>IFERROR(INDEX(Mots!$B:$B,MATCH($A180,Mots!$A:$A,0)),"introuvable")</f>
        <v>le cornet</v>
      </c>
      <c r="C180" s="24" t="s">
        <v>8061</v>
      </c>
    </row>
    <row r="181" spans="1:4" x14ac:dyDescent="0.35">
      <c r="A181" s="24" t="s">
        <v>1988</v>
      </c>
      <c r="B181" s="43" t="str">
        <f>IFERROR(INDEX(Mots!$B:$B,MATCH($A181,Mots!$A:$A,0)),"introuvable")</f>
        <v>le bugle</v>
      </c>
      <c r="C181" s="24" t="s">
        <v>8062</v>
      </c>
    </row>
    <row r="182" spans="1:4" x14ac:dyDescent="0.35">
      <c r="A182" s="24" t="s">
        <v>1992</v>
      </c>
      <c r="B182" s="43" t="str">
        <f>IFERROR(INDEX(Mots!$B:$B,MATCH($A182,Mots!$A:$A,0)),"introuvable")</f>
        <v>l'alto</v>
      </c>
      <c r="C182" s="24" t="s">
        <v>8063</v>
      </c>
    </row>
    <row r="183" spans="1:4" x14ac:dyDescent="0.35">
      <c r="A183" s="24" t="s">
        <v>1996</v>
      </c>
      <c r="B183" s="43" t="str">
        <f>IFERROR(INDEX(Mots!$B:$B,MATCH($A183,Mots!$A:$A,0)),"introuvable")</f>
        <v>le baryton</v>
      </c>
      <c r="C183" s="24" t="s">
        <v>8064</v>
      </c>
    </row>
    <row r="184" spans="1:4" x14ac:dyDescent="0.35">
      <c r="A184" s="24" t="s">
        <v>2000</v>
      </c>
      <c r="B184" s="43" t="str">
        <f>IFERROR(INDEX(Mots!$B:$B,MATCH($A184,Mots!$A:$A,0)),"introuvable")</f>
        <v>l'euphonium</v>
      </c>
      <c r="C184" s="24" t="s">
        <v>8065</v>
      </c>
    </row>
    <row r="185" spans="1:4" x14ac:dyDescent="0.35">
      <c r="A185" s="24" t="s">
        <v>2004</v>
      </c>
      <c r="B185" s="43" t="str">
        <f>IFERROR(INDEX(Mots!$B:$B,MATCH($A185,Mots!$A:$A,0)),"introuvable")</f>
        <v>la basse</v>
      </c>
      <c r="C185" s="24" t="s">
        <v>8066</v>
      </c>
    </row>
    <row r="186" spans="1:4" x14ac:dyDescent="0.35">
      <c r="A186" s="24" t="s">
        <v>2008</v>
      </c>
      <c r="B186" s="43" t="str">
        <f>IFERROR(INDEX(Mots!$B:$B,MATCH($A186,Mots!$A:$A,0)),"introuvable")</f>
        <v>le trombone</v>
      </c>
      <c r="C186" s="24" t="s">
        <v>8067</v>
      </c>
    </row>
    <row r="187" spans="1:4" x14ac:dyDescent="0.35">
      <c r="A187" s="24" t="s">
        <v>2012</v>
      </c>
      <c r="B187" s="43" t="str">
        <f>IFERROR(INDEX(Mots!$B:$B,MATCH($A187,Mots!$A:$A,0)),"introuvable")</f>
        <v>le légume</v>
      </c>
      <c r="C187" s="24" t="s">
        <v>8068</v>
      </c>
    </row>
    <row r="188" spans="1:4" x14ac:dyDescent="0.35">
      <c r="A188" s="24" t="s">
        <v>9407</v>
      </c>
      <c r="B188" s="43" t="str">
        <f>IFERROR(INDEX(Mots!$B:$B,MATCH($A188,Mots!$A:$A,0)),"introuvable")</f>
        <v>la pomme de terre</v>
      </c>
      <c r="C188" s="24" t="s">
        <v>10001</v>
      </c>
      <c r="D188" s="24" t="s">
        <v>10002</v>
      </c>
    </row>
    <row r="189" spans="1:4" x14ac:dyDescent="0.35">
      <c r="A189" s="24" t="s">
        <v>2020</v>
      </c>
      <c r="B189" s="43" t="str">
        <f>IFERROR(INDEX(Mots!$B:$B,MATCH($A189,Mots!$A:$A,0)),"introuvable")</f>
        <v>la carotte</v>
      </c>
      <c r="C189" s="24" t="s">
        <v>8069</v>
      </c>
    </row>
    <row r="190" spans="1:4" x14ac:dyDescent="0.35">
      <c r="A190" s="24" t="s">
        <v>2024</v>
      </c>
      <c r="B190" s="43" t="str">
        <f>IFERROR(INDEX(Mots!$B:$B,MATCH($A190,Mots!$A:$A,0)),"introuvable")</f>
        <v>la tomate</v>
      </c>
      <c r="C190" s="24" t="s">
        <v>10003</v>
      </c>
      <c r="D190" s="24" t="s">
        <v>8070</v>
      </c>
    </row>
    <row r="191" spans="1:4" x14ac:dyDescent="0.35">
      <c r="A191" s="24" t="s">
        <v>2028</v>
      </c>
      <c r="B191" s="43" t="str">
        <f>IFERROR(INDEX(Mots!$B:$B,MATCH($A191,Mots!$A:$A,0)),"introuvable")</f>
        <v>le chou-fleur</v>
      </c>
      <c r="C191" s="24" t="s">
        <v>8071</v>
      </c>
    </row>
    <row r="192" spans="1:4" x14ac:dyDescent="0.35">
      <c r="A192" s="24" t="s">
        <v>2032</v>
      </c>
      <c r="B192" s="43" t="str">
        <f>IFERROR(INDEX(Mots!$B:$B,MATCH($A192,Mots!$A:$A,0)),"introuvable")</f>
        <v>le poireau</v>
      </c>
      <c r="C192" s="24" t="s">
        <v>8072</v>
      </c>
    </row>
    <row r="193" spans="1:5" x14ac:dyDescent="0.35">
      <c r="A193" s="24" t="s">
        <v>2044</v>
      </c>
      <c r="B193" s="43" t="str">
        <f>IFERROR(INDEX(Mots!$B:$B,MATCH($A193,Mots!$A:$A,0)),"introuvable")</f>
        <v>la courgette</v>
      </c>
      <c r="C193" s="24" t="s">
        <v>8073</v>
      </c>
    </row>
    <row r="194" spans="1:5" x14ac:dyDescent="0.35">
      <c r="A194" s="24" t="s">
        <v>82</v>
      </c>
      <c r="B194" s="43" t="str">
        <f>IFERROR(INDEX(Mots!$B:$B,MATCH($A194,Mots!$A:$A,0)),"introuvable")</f>
        <v>la ville</v>
      </c>
      <c r="C194" s="24" t="s">
        <v>10004</v>
      </c>
      <c r="D194" s="24" t="s">
        <v>8074</v>
      </c>
    </row>
    <row r="195" spans="1:5" x14ac:dyDescent="0.35">
      <c r="A195" s="24" t="s">
        <v>2080</v>
      </c>
      <c r="B195" s="43" t="str">
        <f>IFERROR(INDEX(Mots!$B:$B,MATCH($A195,Mots!$A:$A,0)),"introuvable")</f>
        <v>la rue</v>
      </c>
      <c r="C195" s="24" t="s">
        <v>10005</v>
      </c>
    </row>
    <row r="196" spans="1:5" x14ac:dyDescent="0.35">
      <c r="A196" s="24" t="s">
        <v>2089</v>
      </c>
      <c r="B196" s="43" t="str">
        <f>IFERROR(INDEX(Mots!$B:$B,MATCH($A196,Mots!$A:$A,0)),"introuvable")</f>
        <v>le pont</v>
      </c>
      <c r="C196" s="24" t="s">
        <v>10006</v>
      </c>
      <c r="D196" s="25" t="s">
        <v>10007</v>
      </c>
    </row>
    <row r="197" spans="1:5" x14ac:dyDescent="0.35">
      <c r="A197" s="24" t="s">
        <v>2098</v>
      </c>
      <c r="B197" s="43" t="str">
        <f>IFERROR(INDEX(Mots!$B:$B,MATCH($A197,Mots!$A:$A,0)),"introuvable")</f>
        <v>le parc</v>
      </c>
      <c r="C197" s="24" t="s">
        <v>10008</v>
      </c>
    </row>
    <row r="198" spans="1:5" x14ac:dyDescent="0.35">
      <c r="A198" s="24" t="s">
        <v>2119</v>
      </c>
      <c r="B198" s="43" t="str">
        <f>IFERROR(INDEX(Mots!$B:$B,MATCH($A198,Mots!$A:$A,0)),"introuvable")</f>
        <v>le doigt</v>
      </c>
      <c r="C198" s="24" t="s">
        <v>10009</v>
      </c>
      <c r="D198" s="24" t="s">
        <v>8075</v>
      </c>
    </row>
    <row r="199" spans="1:5" x14ac:dyDescent="0.35">
      <c r="A199" s="24" t="s">
        <v>2123</v>
      </c>
      <c r="B199" s="43" t="str">
        <f>IFERROR(INDEX(Mots!$B:$B,MATCH($A199,Mots!$A:$A,0)),"introuvable")</f>
        <v>la main</v>
      </c>
      <c r="C199" s="24" t="s">
        <v>8076</v>
      </c>
      <c r="D199" s="25" t="s">
        <v>10010</v>
      </c>
    </row>
    <row r="200" spans="1:5" x14ac:dyDescent="0.35">
      <c r="A200" s="24" t="s">
        <v>2128</v>
      </c>
      <c r="B200" s="43" t="str">
        <f>IFERROR(INDEX(Mots!$B:$B,MATCH($A200,Mots!$A:$A,0)),"introuvable")</f>
        <v>le bras</v>
      </c>
      <c r="C200" s="24" t="s">
        <v>8077</v>
      </c>
    </row>
    <row r="201" spans="1:5" x14ac:dyDescent="0.35">
      <c r="A201" s="24" t="s">
        <v>2133</v>
      </c>
      <c r="B201" s="43" t="str">
        <f>IFERROR(INDEX(Mots!$B:$B,MATCH($A201,Mots!$A:$A,0)),"introuvable")</f>
        <v>la jambe</v>
      </c>
      <c r="C201" s="24" t="s">
        <v>10011</v>
      </c>
      <c r="D201" s="24" t="s">
        <v>8078</v>
      </c>
    </row>
    <row r="202" spans="1:5" x14ac:dyDescent="0.35">
      <c r="A202" s="24" t="s">
        <v>2138</v>
      </c>
      <c r="B202" s="43" t="str">
        <f>IFERROR(INDEX(Mots!$B:$B,MATCH($A202,Mots!$A:$A,0)),"introuvable")</f>
        <v>la cuisse</v>
      </c>
      <c r="C202" s="24" t="s">
        <v>8079</v>
      </c>
    </row>
    <row r="203" spans="1:5" x14ac:dyDescent="0.35">
      <c r="A203" s="24" t="s">
        <v>2143</v>
      </c>
      <c r="B203" s="43" t="str">
        <f>IFERROR(INDEX(Mots!$B:$B,MATCH($A203,Mots!$A:$A,0)),"introuvable")</f>
        <v>le pied</v>
      </c>
      <c r="C203" s="24" t="s">
        <v>8080</v>
      </c>
    </row>
    <row r="204" spans="1:5" x14ac:dyDescent="0.35">
      <c r="A204" s="24" t="s">
        <v>2160</v>
      </c>
      <c r="B204" s="43" t="str">
        <f>IFERROR(INDEX(Mots!$B:$B,MATCH($A204,Mots!$A:$A,0)),"introuvable")</f>
        <v>le médecin</v>
      </c>
      <c r="C204" s="24" t="s">
        <v>8081</v>
      </c>
    </row>
    <row r="205" spans="1:5" x14ac:dyDescent="0.35">
      <c r="A205" s="24" t="s">
        <v>2173</v>
      </c>
      <c r="B205" s="43" t="str">
        <f>IFERROR(INDEX(Mots!$B:$B,MATCH($A205,Mots!$A:$A,0)),"introuvable")</f>
        <v>le policier</v>
      </c>
      <c r="C205" s="24" t="s">
        <v>8082</v>
      </c>
    </row>
    <row r="206" spans="1:5" x14ac:dyDescent="0.35">
      <c r="A206" s="24" t="s">
        <v>2220</v>
      </c>
      <c r="B206" s="43" t="str">
        <f>IFERROR(INDEX(Mots!$B:$B,MATCH($A206,Mots!$A:$A,0)),"introuvable")</f>
        <v>le professeur</v>
      </c>
      <c r="C206" s="24" t="s">
        <v>8083</v>
      </c>
    </row>
    <row r="207" spans="1:5" x14ac:dyDescent="0.35">
      <c r="A207" s="24" t="s">
        <v>2337</v>
      </c>
      <c r="B207" s="43" t="str">
        <f>IFERROR(INDEX(Mots!$B:$B,MATCH($A207,Mots!$A:$A,0)),"introuvable")</f>
        <v>le téléphone ou l'Iphone</v>
      </c>
      <c r="C207" s="24" t="s">
        <v>8084</v>
      </c>
      <c r="D207" s="24" t="s">
        <v>10012</v>
      </c>
      <c r="E207" s="24" t="s">
        <v>10013</v>
      </c>
    </row>
    <row r="208" spans="1:5" x14ac:dyDescent="0.35">
      <c r="A208" s="24" t="s">
        <v>2373</v>
      </c>
      <c r="B208" s="43" t="str">
        <f>IFERROR(INDEX(Mots!$B:$B,MATCH($A208,Mots!$A:$A,0)),"introuvable")</f>
        <v>beau  ↔  laid</v>
      </c>
      <c r="C208" s="24" t="s">
        <v>10014</v>
      </c>
    </row>
    <row r="209" spans="1:4" x14ac:dyDescent="0.35">
      <c r="A209" s="24" t="s">
        <v>2411</v>
      </c>
      <c r="B209" s="43" t="str">
        <f>IFERROR(INDEX(Mots!$B:$B,MATCH($A209,Mots!$A:$A,0)),"introuvable")</f>
        <v>content  ↔  triste</v>
      </c>
      <c r="C209" s="24" t="s">
        <v>8085</v>
      </c>
    </row>
    <row r="210" spans="1:4" x14ac:dyDescent="0.35">
      <c r="A210" s="24" t="s">
        <v>2437</v>
      </c>
      <c r="B210" s="43" t="str">
        <f>IFERROR(INDEX(Mots!$B:$B,MATCH($A210,Mots!$A:$A,0)),"introuvable")</f>
        <v>dur  ↔  mou</v>
      </c>
      <c r="C210" s="24" t="s">
        <v>8086</v>
      </c>
    </row>
    <row r="211" spans="1:4" x14ac:dyDescent="0.35">
      <c r="A211" s="24" t="s">
        <v>2449</v>
      </c>
      <c r="B211" s="43" t="str">
        <f>IFERROR(INDEX(Mots!$B:$B,MATCH($A211,Mots!$A:$A,0)),"introuvable")</f>
        <v>facile  ↔  difficile</v>
      </c>
      <c r="C211" s="24" t="s">
        <v>8087</v>
      </c>
    </row>
    <row r="212" spans="1:4" x14ac:dyDescent="0.35">
      <c r="A212" s="24" t="s">
        <v>2485</v>
      </c>
      <c r="B212" s="43" t="str">
        <f>IFERROR(INDEX(Mots!$B:$B,MATCH($A212,Mots!$A:$A,0)),"introuvable")</f>
        <v>haut  ↔  bas</v>
      </c>
      <c r="C212" s="24" t="s">
        <v>8088</v>
      </c>
    </row>
    <row r="213" spans="1:4" x14ac:dyDescent="0.35">
      <c r="A213" s="24" t="s">
        <v>2555</v>
      </c>
      <c r="B213" s="43" t="str">
        <f>IFERROR(INDEX(Mots!$B:$B,MATCH($A213,Mots!$A:$A,0)),"introuvable")</f>
        <v>rapide  ↔  lent</v>
      </c>
      <c r="C213" s="24" t="s">
        <v>10021</v>
      </c>
      <c r="D213" s="25" t="s">
        <v>10022</v>
      </c>
    </row>
    <row r="214" spans="1:4" x14ac:dyDescent="0.35">
      <c r="A214" s="24" t="s">
        <v>2579</v>
      </c>
      <c r="B214" s="43" t="str">
        <f>IFERROR(INDEX(Mots!$B:$B,MATCH($A214,Mots!$A:$A,0)),"introuvable")</f>
        <v>silencieux  ↔  bruyant</v>
      </c>
      <c r="C214" s="24" t="s">
        <v>10023</v>
      </c>
      <c r="D214" s="25" t="s">
        <v>10024</v>
      </c>
    </row>
    <row r="215" spans="1:4" x14ac:dyDescent="0.35">
      <c r="A215" s="24" t="s">
        <v>2643</v>
      </c>
      <c r="B215" s="43" t="str">
        <f>IFERROR(INDEX(Mots!$B:$B,MATCH($A215,Mots!$A:$A,0)),"introuvable")</f>
        <v>l'aigle</v>
      </c>
      <c r="C215" s="24" t="s">
        <v>8089</v>
      </c>
    </row>
    <row r="216" spans="1:4" x14ac:dyDescent="0.35">
      <c r="A216" s="24" t="s">
        <v>2652</v>
      </c>
      <c r="B216" s="43" t="str">
        <f>IFERROR(INDEX(Mots!$B:$B,MATCH($A216,Mots!$A:$A,0)),"introuvable")</f>
        <v>le gypaète barbu</v>
      </c>
      <c r="C216" s="24" t="s">
        <v>8090</v>
      </c>
    </row>
    <row r="217" spans="1:4" x14ac:dyDescent="0.35">
      <c r="A217" s="24" t="s">
        <v>2657</v>
      </c>
      <c r="B217" s="43" t="str">
        <f>IFERROR(INDEX(Mots!$B:$B,MATCH($A217,Mots!$A:$A,0)),"introuvable")</f>
        <v>le moineau</v>
      </c>
      <c r="C217" s="24" t="s">
        <v>10025</v>
      </c>
      <c r="D217" s="25" t="s">
        <v>10026</v>
      </c>
    </row>
    <row r="218" spans="1:4" x14ac:dyDescent="0.35">
      <c r="A218" s="24" t="s">
        <v>2662</v>
      </c>
      <c r="B218" s="43" t="str">
        <f>IFERROR(INDEX(Mots!$B:$B,MATCH($A218,Mots!$A:$A,0)),"introuvable")</f>
        <v>le pigeon</v>
      </c>
      <c r="C218" s="24" t="s">
        <v>8091</v>
      </c>
    </row>
    <row r="219" spans="1:4" x14ac:dyDescent="0.35">
      <c r="A219" s="24" t="s">
        <v>2666</v>
      </c>
      <c r="B219" s="43" t="str">
        <f>IFERROR(INDEX(Mots!$B:$B,MATCH($A219,Mots!$A:$A,0)),"introuvable")</f>
        <v>une pizza</v>
      </c>
      <c r="C219" s="24" t="s">
        <v>8092</v>
      </c>
    </row>
    <row r="220" spans="1:4" x14ac:dyDescent="0.35">
      <c r="A220" s="24" t="s">
        <v>2675</v>
      </c>
      <c r="B220" s="43" t="str">
        <f>IFERROR(INDEX(Mots!$B:$B,MATCH($A220,Mots!$A:$A,0)),"introuvable")</f>
        <v>les lasagnes</v>
      </c>
      <c r="C220" s="24" t="s">
        <v>8093</v>
      </c>
    </row>
    <row r="221" spans="1:4" x14ac:dyDescent="0.35">
      <c r="A221" s="24" t="s">
        <v>2684</v>
      </c>
      <c r="B221" s="43" t="str">
        <f>IFERROR(INDEX(Mots!$B:$B,MATCH($A221,Mots!$A:$A,0)),"introuvable")</f>
        <v>les spaghetti</v>
      </c>
      <c r="C221" s="24" t="s">
        <v>8094</v>
      </c>
    </row>
    <row r="222" spans="1:4" x14ac:dyDescent="0.35">
      <c r="A222" s="24" t="s">
        <v>2693</v>
      </c>
      <c r="B222" s="43" t="str">
        <f>IFERROR(INDEX(Mots!$B:$B,MATCH($A222,Mots!$A:$A,0)),"introuvable")</f>
        <v>un oeuf au plat</v>
      </c>
      <c r="C222" s="24" t="s">
        <v>8095</v>
      </c>
    </row>
    <row r="223" spans="1:4" x14ac:dyDescent="0.35">
      <c r="A223" s="24" t="s">
        <v>2698</v>
      </c>
      <c r="B223" s="43" t="str">
        <f>IFERROR(INDEX(Mots!$B:$B,MATCH($A223,Mots!$A:$A,0)),"introuvable")</f>
        <v>l'omelette</v>
      </c>
      <c r="C223" s="24" t="s">
        <v>8096</v>
      </c>
    </row>
    <row r="224" spans="1:4" x14ac:dyDescent="0.35">
      <c r="A224" s="24" t="s">
        <v>2714</v>
      </c>
      <c r="B224" s="43" t="str">
        <f>IFERROR(INDEX(Mots!$B:$B,MATCH($A224,Mots!$A:$A,0)),"introuvable")</f>
        <v>la soupe</v>
      </c>
      <c r="C224" s="24" t="s">
        <v>8097</v>
      </c>
    </row>
    <row r="225" spans="1:4" x14ac:dyDescent="0.35">
      <c r="A225" s="24" t="s">
        <v>2719</v>
      </c>
      <c r="B225" s="43" t="str">
        <f>IFERROR(INDEX(Mots!$B:$B,MATCH($A225,Mots!$A:$A,0)),"introuvable")</f>
        <v>des filets de perche</v>
      </c>
      <c r="C225" s="24" t="s">
        <v>8098</v>
      </c>
    </row>
    <row r="226" spans="1:4" x14ac:dyDescent="0.35">
      <c r="A226" s="24" t="s">
        <v>2722</v>
      </c>
      <c r="B226" s="43" t="str">
        <f>IFERROR(INDEX(Mots!$B:$B,MATCH($A226,Mots!$A:$A,0)),"introuvable")</f>
        <v>un filet de truite</v>
      </c>
      <c r="C226" s="24" t="s">
        <v>8099</v>
      </c>
    </row>
    <row r="227" spans="1:4" x14ac:dyDescent="0.35">
      <c r="A227" s="24" t="s">
        <v>2725</v>
      </c>
      <c r="B227" s="43" t="str">
        <f>IFERROR(INDEX(Mots!$B:$B,MATCH($A227,Mots!$A:$A,0)),"introuvable")</f>
        <v>l'ami</v>
      </c>
      <c r="C227" s="24" t="s">
        <v>10027</v>
      </c>
      <c r="D227" s="24" t="s">
        <v>8100</v>
      </c>
    </row>
    <row r="228" spans="1:4" x14ac:dyDescent="0.35">
      <c r="A228" s="24" t="s">
        <v>2730</v>
      </c>
      <c r="B228" s="43" t="str">
        <f>IFERROR(INDEX(Mots!$B:$B,MATCH($A228,Mots!$A:$A,0)),"introuvable")</f>
        <v>la banque</v>
      </c>
      <c r="C228" s="24" t="s">
        <v>10028</v>
      </c>
    </row>
    <row r="229" spans="1:4" x14ac:dyDescent="0.35">
      <c r="A229" s="24" t="s">
        <v>2737</v>
      </c>
      <c r="B229" s="43" t="str">
        <f>IFERROR(INDEX(Mots!$B:$B,MATCH($A229,Mots!$A:$A,0)),"introuvable")</f>
        <v>le magasin</v>
      </c>
      <c r="C229" s="24" t="s">
        <v>10029</v>
      </c>
    </row>
    <row r="230" spans="1:4" x14ac:dyDescent="0.35">
      <c r="A230" s="24" t="s">
        <v>9417</v>
      </c>
      <c r="B230" s="43" t="str">
        <f>IFERROR(INDEX(Mots!$B:$B,MATCH($A230,Mots!$A:$A,0)),"introuvable")</f>
        <v>le marché</v>
      </c>
      <c r="C230" s="24" t="s">
        <v>8101</v>
      </c>
    </row>
    <row r="231" spans="1:4" x14ac:dyDescent="0.35">
      <c r="A231" s="24" t="s">
        <v>2749</v>
      </c>
      <c r="B231" s="43" t="str">
        <f>IFERROR(INDEX(Mots!$B:$B,MATCH($A231,Mots!$A:$A,0)),"introuvable")</f>
        <v>le restaurant</v>
      </c>
      <c r="C231" s="24" t="s">
        <v>8102</v>
      </c>
    </row>
    <row r="232" spans="1:4" x14ac:dyDescent="0.35">
      <c r="A232" s="24" t="s">
        <v>2758</v>
      </c>
      <c r="B232" s="43" t="str">
        <f>IFERROR(INDEX(Mots!$B:$B,MATCH($A232,Mots!$A:$A,0)),"introuvable")</f>
        <v>l'hôtel</v>
      </c>
      <c r="C232" s="24" t="s">
        <v>8103</v>
      </c>
    </row>
    <row r="233" spans="1:4" x14ac:dyDescent="0.35">
      <c r="A233" s="24" t="s">
        <v>2767</v>
      </c>
      <c r="B233" s="43" t="str">
        <f>IFERROR(INDEX(Mots!$B:$B,MATCH($A233,Mots!$A:$A,0)),"introuvable")</f>
        <v>la salle de bain</v>
      </c>
      <c r="C233" s="24" t="s">
        <v>8104</v>
      </c>
    </row>
    <row r="234" spans="1:4" x14ac:dyDescent="0.35">
      <c r="A234" s="24" t="s">
        <v>2770</v>
      </c>
      <c r="B234" s="43" t="str">
        <f>IFERROR(INDEX(Mots!$B:$B,MATCH($A234,Mots!$A:$A,0)),"introuvable")</f>
        <v>le lavabo</v>
      </c>
      <c r="C234" s="24" t="s">
        <v>8105</v>
      </c>
    </row>
    <row r="235" spans="1:4" x14ac:dyDescent="0.35">
      <c r="A235" s="24" t="s">
        <v>2773</v>
      </c>
      <c r="B235" s="43" t="str">
        <f>IFERROR(INDEX(Mots!$B:$B,MATCH($A235,Mots!$A:$A,0)),"introuvable")</f>
        <v>le savon</v>
      </c>
      <c r="C235" s="24" t="s">
        <v>8106</v>
      </c>
    </row>
    <row r="236" spans="1:4" x14ac:dyDescent="0.35">
      <c r="A236" s="24" t="s">
        <v>2777</v>
      </c>
      <c r="B236" s="43" t="str">
        <f>IFERROR(INDEX(Mots!$B:$B,MATCH($A236,Mots!$A:$A,0)),"introuvable")</f>
        <v>le miroir</v>
      </c>
      <c r="C236" s="24" t="s">
        <v>8107</v>
      </c>
    </row>
    <row r="237" spans="1:4" x14ac:dyDescent="0.35">
      <c r="A237" s="24" t="s">
        <v>2780</v>
      </c>
      <c r="B237" s="43" t="str">
        <f>IFERROR(INDEX(Mots!$B:$B,MATCH($A237,Mots!$A:$A,0)),"introuvable")</f>
        <v>le WC</v>
      </c>
      <c r="C237" s="24" t="s">
        <v>8108</v>
      </c>
    </row>
    <row r="238" spans="1:4" x14ac:dyDescent="0.35">
      <c r="A238" s="24" t="s">
        <v>2784</v>
      </c>
      <c r="B238" s="43" t="str">
        <f>IFERROR(INDEX(Mots!$B:$B,MATCH($A238,Mots!$A:$A,0)),"introuvable")</f>
        <v>la douche</v>
      </c>
      <c r="C238" s="24" t="s">
        <v>8109</v>
      </c>
    </row>
    <row r="239" spans="1:4" x14ac:dyDescent="0.35">
      <c r="A239" s="24" t="s">
        <v>2788</v>
      </c>
      <c r="B239" s="43" t="str">
        <f>IFERROR(INDEX(Mots!$B:$B,MATCH($A239,Mots!$A:$A,0)),"introuvable")</f>
        <v>la baignoire</v>
      </c>
      <c r="C239" s="24" t="s">
        <v>8110</v>
      </c>
    </row>
    <row r="240" spans="1:4" x14ac:dyDescent="0.35">
      <c r="A240" s="24" t="s">
        <v>2791</v>
      </c>
      <c r="B240" s="43" t="str">
        <f>IFERROR(INDEX(Mots!$B:$B,MATCH($A240,Mots!$A:$A,0)),"introuvable")</f>
        <v>le rasoir</v>
      </c>
      <c r="C240" s="24" t="s">
        <v>8111</v>
      </c>
    </row>
    <row r="241" spans="1:4" x14ac:dyDescent="0.35">
      <c r="A241" s="24" t="s">
        <v>2795</v>
      </c>
      <c r="B241" s="43" t="str">
        <f>IFERROR(INDEX(Mots!$B:$B,MATCH($A241,Mots!$A:$A,0)),"introuvable")</f>
        <v>le déodorant</v>
      </c>
      <c r="C241" s="24" t="s">
        <v>10030</v>
      </c>
    </row>
    <row r="242" spans="1:4" x14ac:dyDescent="0.35">
      <c r="A242" s="24" t="s">
        <v>2798</v>
      </c>
      <c r="B242" s="43" t="str">
        <f>IFERROR(INDEX(Mots!$B:$B,MATCH($A242,Mots!$A:$A,0)),"introuvable")</f>
        <v>le dentifrice</v>
      </c>
      <c r="C242" s="24" t="s">
        <v>8112</v>
      </c>
    </row>
    <row r="243" spans="1:4" x14ac:dyDescent="0.35">
      <c r="A243" s="24" t="s">
        <v>2802</v>
      </c>
      <c r="B243" s="43" t="str">
        <f>IFERROR(INDEX(Mots!$B:$B,MATCH($A243,Mots!$A:$A,0)),"introuvable")</f>
        <v>la brosse à dents</v>
      </c>
      <c r="C243" s="24" t="s">
        <v>8113</v>
      </c>
    </row>
    <row r="244" spans="1:4" x14ac:dyDescent="0.35">
      <c r="A244" s="24" t="s">
        <v>2809</v>
      </c>
      <c r="B244" s="43" t="str">
        <f>IFERROR(INDEX(Mots!$B:$B,MATCH($A244,Mots!$A:$A,0)),"introuvable")</f>
        <v>la fleur</v>
      </c>
      <c r="C244" s="24" t="s">
        <v>8114</v>
      </c>
    </row>
    <row r="245" spans="1:4" x14ac:dyDescent="0.35">
      <c r="A245" s="24" t="s">
        <v>2816</v>
      </c>
      <c r="B245" s="43" t="str">
        <f>IFERROR(INDEX(Mots!$B:$B,MATCH($A245,Mots!$A:$A,0)),"introuvable")</f>
        <v>la plante</v>
      </c>
      <c r="C245" s="24" t="s">
        <v>8115</v>
      </c>
    </row>
    <row r="246" spans="1:4" x14ac:dyDescent="0.35">
      <c r="A246" s="24" t="s">
        <v>2825</v>
      </c>
      <c r="B246" s="43" t="str">
        <f>IFERROR(INDEX(Mots!$B:$B,MATCH($A246,Mots!$A:$A,0)),"introuvable")</f>
        <v>l'arbre</v>
      </c>
      <c r="C246" s="24" t="s">
        <v>10031</v>
      </c>
    </row>
    <row r="247" spans="1:4" x14ac:dyDescent="0.35">
      <c r="A247" s="24" t="s">
        <v>2830</v>
      </c>
      <c r="B247" s="43" t="str">
        <f>IFERROR(INDEX(Mots!$B:$B,MATCH($A247,Mots!$A:$A,0)),"introuvable")</f>
        <v>l'herbe</v>
      </c>
      <c r="C247" s="24" t="s">
        <v>10032</v>
      </c>
      <c r="D247" s="25" t="s">
        <v>10033</v>
      </c>
    </row>
    <row r="248" spans="1:4" x14ac:dyDescent="0.35">
      <c r="A248" s="24" t="s">
        <v>2839</v>
      </c>
      <c r="B248" s="43" t="str">
        <f>IFERROR(INDEX(Mots!$B:$B,MATCH($A248,Mots!$A:$A,0)),"introuvable")</f>
        <v>le vélo</v>
      </c>
      <c r="C248" s="24" t="s">
        <v>8116</v>
      </c>
    </row>
    <row r="249" spans="1:4" x14ac:dyDescent="0.35">
      <c r="A249" s="24" t="s">
        <v>2848</v>
      </c>
      <c r="B249" s="43" t="str">
        <f>IFERROR(INDEX(Mots!$B:$B,MATCH($A249,Mots!$A:$A,0)),"introuvable")</f>
        <v>la moto</v>
      </c>
      <c r="C249" s="24" t="s">
        <v>8117</v>
      </c>
    </row>
    <row r="250" spans="1:4" x14ac:dyDescent="0.35">
      <c r="A250" s="24" t="s">
        <v>2851</v>
      </c>
      <c r="B250" s="43" t="str">
        <f>IFERROR(INDEX(Mots!$B:$B,MATCH($A250,Mots!$A:$A,0)),"introuvable")</f>
        <v>la voiture</v>
      </c>
      <c r="C250" s="24" t="s">
        <v>10034</v>
      </c>
    </row>
    <row r="251" spans="1:4" x14ac:dyDescent="0.35">
      <c r="A251" s="24" t="s">
        <v>2854</v>
      </c>
      <c r="B251" s="43" t="str">
        <f>IFERROR(INDEX(Mots!$B:$B,MATCH($A251,Mots!$A:$A,0)),"introuvable")</f>
        <v>le pickup</v>
      </c>
      <c r="C251" s="24" t="s">
        <v>10035</v>
      </c>
    </row>
    <row r="252" spans="1:4" x14ac:dyDescent="0.35">
      <c r="A252" s="24" t="s">
        <v>2857</v>
      </c>
      <c r="B252" s="43" t="str">
        <f>IFERROR(INDEX(Mots!$B:$B,MATCH($A252,Mots!$A:$A,0)),"introuvable")</f>
        <v>le  car postal</v>
      </c>
      <c r="C252" s="24" t="s">
        <v>8118</v>
      </c>
    </row>
    <row r="253" spans="1:4" x14ac:dyDescent="0.35">
      <c r="A253" s="24" t="s">
        <v>2861</v>
      </c>
      <c r="B253" s="43" t="str">
        <f>IFERROR(INDEX(Mots!$B:$B,MATCH($A253,Mots!$A:$A,0)),"introuvable")</f>
        <v>le camion</v>
      </c>
      <c r="C253" s="24" t="s">
        <v>8119</v>
      </c>
    </row>
    <row r="254" spans="1:4" x14ac:dyDescent="0.35">
      <c r="A254" s="24" t="s">
        <v>2864</v>
      </c>
      <c r="B254" s="43" t="str">
        <f>IFERROR(INDEX(Mots!$B:$B,MATCH($A254,Mots!$A:$A,0)),"introuvable")</f>
        <v>le tracteur</v>
      </c>
      <c r="C254" s="24" t="s">
        <v>10036</v>
      </c>
    </row>
    <row r="255" spans="1:4" x14ac:dyDescent="0.35">
      <c r="A255" s="24" t="s">
        <v>2867</v>
      </c>
      <c r="B255" s="43" t="str">
        <f>IFERROR(INDEX(Mots!$B:$B,MATCH($A255,Mots!$A:$A,0)),"introuvable")</f>
        <v>le train</v>
      </c>
      <c r="C255" s="24" t="s">
        <v>10038</v>
      </c>
    </row>
    <row r="256" spans="1:4" x14ac:dyDescent="0.35">
      <c r="A256" s="24" t="s">
        <v>2876</v>
      </c>
      <c r="B256" s="43" t="str">
        <f>IFERROR(INDEX(Mots!$B:$B,MATCH($A256,Mots!$A:$A,0)),"introuvable")</f>
        <v>la route</v>
      </c>
      <c r="C256" s="24" t="s">
        <v>8120</v>
      </c>
    </row>
    <row r="257" spans="1:3" x14ac:dyDescent="0.35">
      <c r="A257" s="24" t="s">
        <v>2881</v>
      </c>
      <c r="B257" s="43" t="str">
        <f>IFERROR(INDEX(Mots!$B:$B,MATCH($A257,Mots!$A:$A,0)),"introuvable")</f>
        <v>les feux de circulation</v>
      </c>
      <c r="C257" s="24" t="s">
        <v>8121</v>
      </c>
    </row>
    <row r="258" spans="1:3" x14ac:dyDescent="0.35">
      <c r="A258" s="24" t="s">
        <v>2889</v>
      </c>
      <c r="B258" s="43" t="str">
        <f>IFERROR(INDEX(Mots!$B:$B,MATCH($A258,Mots!$A:$A,0)),"introuvable")</f>
        <v>l'avion</v>
      </c>
      <c r="C258" s="24" t="s">
        <v>8122</v>
      </c>
    </row>
    <row r="259" spans="1:3" x14ac:dyDescent="0.35">
      <c r="A259" s="24" t="s">
        <v>2894</v>
      </c>
      <c r="B259" s="43" t="str">
        <f>IFERROR(INDEX(Mots!$B:$B,MATCH($A259,Mots!$A:$A,0)),"introuvable")</f>
        <v>l'helicoptère</v>
      </c>
      <c r="C259" s="24" t="s">
        <v>8123</v>
      </c>
    </row>
    <row r="260" spans="1:3" x14ac:dyDescent="0.35">
      <c r="A260" s="24" t="s">
        <v>2898</v>
      </c>
      <c r="B260" s="43" t="str">
        <f>IFERROR(INDEX(Mots!$B:$B,MATCH($A260,Mots!$A:$A,0)),"introuvable")</f>
        <v>le bateau</v>
      </c>
      <c r="C260" s="24" t="s">
        <v>8124</v>
      </c>
    </row>
    <row r="261" spans="1:3" x14ac:dyDescent="0.35">
      <c r="A261" s="24" t="s">
        <v>2906</v>
      </c>
      <c r="B261" s="43" t="str">
        <f>IFERROR(INDEX(Mots!$B:$B,MATCH($A261,Mots!$A:$A,0)),"introuvable")</f>
        <v>du rôti de boeuf</v>
      </c>
      <c r="C261" s="24" t="s">
        <v>8125</v>
      </c>
    </row>
    <row r="262" spans="1:3" x14ac:dyDescent="0.35">
      <c r="A262" s="24" t="s">
        <v>2908</v>
      </c>
      <c r="B262" s="43" t="str">
        <f>IFERROR(INDEX(Mots!$B:$B,MATCH($A262,Mots!$A:$A,0)),"introuvable")</f>
        <v>le boeuf</v>
      </c>
      <c r="C262" s="24" t="s">
        <v>8126</v>
      </c>
    </row>
    <row r="263" spans="1:3" x14ac:dyDescent="0.35">
      <c r="A263" s="24" t="s">
        <v>2912</v>
      </c>
      <c r="B263" s="43" t="str">
        <f>IFERROR(INDEX(Mots!$B:$B,MATCH($A263,Mots!$A:$A,0)),"introuvable")</f>
        <v>un steack de boeuf frites</v>
      </c>
      <c r="C263" s="24" t="s">
        <v>8127</v>
      </c>
    </row>
    <row r="264" spans="1:3" x14ac:dyDescent="0.35">
      <c r="A264" s="24" t="s">
        <v>2915</v>
      </c>
      <c r="B264" s="43" t="str">
        <f>IFERROR(INDEX(Mots!$B:$B,MATCH($A264,Mots!$A:$A,0)),"introuvable")</f>
        <v>le porc</v>
      </c>
      <c r="C264" s="24" t="s">
        <v>8128</v>
      </c>
    </row>
    <row r="265" spans="1:3" x14ac:dyDescent="0.35">
      <c r="A265" s="24" t="s">
        <v>2919</v>
      </c>
      <c r="B265" s="43" t="str">
        <f>IFERROR(INDEX(Mots!$B:$B,MATCH($A265,Mots!$A:$A,0)),"introuvable")</f>
        <v>du filet mignon de porc</v>
      </c>
      <c r="C265" s="24" t="s">
        <v>8129</v>
      </c>
    </row>
    <row r="266" spans="1:3" x14ac:dyDescent="0.35">
      <c r="A266" s="24" t="s">
        <v>2923</v>
      </c>
      <c r="B266" s="43" t="str">
        <f>IFERROR(INDEX(Mots!$B:$B,MATCH($A266,Mots!$A:$A,0)),"introuvable")</f>
        <v>du rôti de porc</v>
      </c>
      <c r="C266" s="24" t="s">
        <v>8130</v>
      </c>
    </row>
    <row r="267" spans="1:3" x14ac:dyDescent="0.35">
      <c r="A267" s="24" t="s">
        <v>2925</v>
      </c>
      <c r="B267" s="43" t="str">
        <f>IFERROR(INDEX(Mots!$B:$B,MATCH($A267,Mots!$A:$A,0)),"introuvable")</f>
        <v>une côtelette de porc</v>
      </c>
      <c r="C267" s="24" t="s">
        <v>8131</v>
      </c>
    </row>
    <row r="268" spans="1:3" x14ac:dyDescent="0.35">
      <c r="A268" s="24" t="s">
        <v>2929</v>
      </c>
      <c r="B268" s="43" t="str">
        <f>IFERROR(INDEX(Mots!$B:$B,MATCH($A268,Mots!$A:$A,0)),"introuvable")</f>
        <v>le poulet</v>
      </c>
      <c r="C268" s="24" t="s">
        <v>8132</v>
      </c>
    </row>
    <row r="269" spans="1:3" x14ac:dyDescent="0.35">
      <c r="A269" s="24" t="s">
        <v>2935</v>
      </c>
      <c r="B269" s="43" t="str">
        <f>IFERROR(INDEX(Mots!$B:$B,MATCH($A269,Mots!$A:$A,0)),"introuvable")</f>
        <v>un blanc de poulet</v>
      </c>
      <c r="C269" s="24" t="s">
        <v>8133</v>
      </c>
    </row>
    <row r="270" spans="1:3" x14ac:dyDescent="0.35">
      <c r="A270" s="24" t="s">
        <v>2939</v>
      </c>
      <c r="B270" s="43" t="str">
        <f>IFERROR(INDEX(Mots!$B:$B,MATCH($A270,Mots!$A:$A,0)),"introuvable")</f>
        <v>une cuisse de poulet</v>
      </c>
      <c r="C270" s="24" t="s">
        <v>8134</v>
      </c>
    </row>
    <row r="271" spans="1:3" x14ac:dyDescent="0.35">
      <c r="A271" s="24" t="s">
        <v>2943</v>
      </c>
      <c r="B271" s="43" t="str">
        <f>IFERROR(INDEX(Mots!$B:$B,MATCH($A271,Mots!$A:$A,0)),"introuvable")</f>
        <v>du poulet au curry</v>
      </c>
      <c r="C271" s="24" t="s">
        <v>8135</v>
      </c>
    </row>
    <row r="272" spans="1:3" x14ac:dyDescent="0.35">
      <c r="A272" s="24" t="s">
        <v>2946</v>
      </c>
      <c r="B272" s="43" t="str">
        <f>IFERROR(INDEX(Mots!$B:$B,MATCH($A272,Mots!$A:$A,0)),"introuvable")</f>
        <v>Dacia Duster</v>
      </c>
      <c r="C272" s="24" t="s">
        <v>8136</v>
      </c>
    </row>
    <row r="273" spans="1:3" x14ac:dyDescent="0.35">
      <c r="A273" s="24" t="s">
        <v>2949</v>
      </c>
      <c r="B273" s="43" t="str">
        <f>IFERROR(INDEX(Mots!$B:$B,MATCH($A273,Mots!$A:$A,0)),"introuvable")</f>
        <v>le pare-brise</v>
      </c>
      <c r="C273" s="24" t="s">
        <v>8137</v>
      </c>
    </row>
    <row r="274" spans="1:3" x14ac:dyDescent="0.35">
      <c r="A274" s="24" t="s">
        <v>2953</v>
      </c>
      <c r="B274" s="43" t="str">
        <f>IFERROR(INDEX(Mots!$B:$B,MATCH($A274,Mots!$A:$A,0)),"introuvable")</f>
        <v>les essuie glace</v>
      </c>
      <c r="C274" s="24" t="s">
        <v>8138</v>
      </c>
    </row>
    <row r="275" spans="1:3" x14ac:dyDescent="0.35">
      <c r="A275" s="24" t="s">
        <v>2956</v>
      </c>
      <c r="B275" s="43" t="str">
        <f>IFERROR(INDEX(Mots!$B:$B,MATCH($A275,Mots!$A:$A,0)),"introuvable")</f>
        <v>le capot</v>
      </c>
      <c r="C275" s="24" t="s">
        <v>8139</v>
      </c>
    </row>
    <row r="276" spans="1:3" x14ac:dyDescent="0.35">
      <c r="A276" s="24" t="s">
        <v>2959</v>
      </c>
      <c r="B276" s="43" t="str">
        <f>IFERROR(INDEX(Mots!$B:$B,MATCH($A276,Mots!$A:$A,0)),"introuvable")</f>
        <v>l'aile</v>
      </c>
      <c r="C276" s="24" t="s">
        <v>8140</v>
      </c>
    </row>
    <row r="277" spans="1:3" x14ac:dyDescent="0.35">
      <c r="A277" s="24" t="s">
        <v>2962</v>
      </c>
      <c r="B277" s="43" t="str">
        <f>IFERROR(INDEX(Mots!$B:$B,MATCH($A277,Mots!$A:$A,0)),"introuvable")</f>
        <v>le pare-chocs</v>
      </c>
      <c r="C277" s="24" t="s">
        <v>8141</v>
      </c>
    </row>
    <row r="278" spans="1:3" x14ac:dyDescent="0.35">
      <c r="A278" s="24" t="s">
        <v>9653</v>
      </c>
      <c r="B278" s="43" t="str">
        <f>IFERROR(INDEX(Mots!$B:$B,MATCH($A278,Mots!$A:$A,0)),"introuvable")</f>
        <v>la jante</v>
      </c>
      <c r="C278" s="24" t="s">
        <v>8142</v>
      </c>
    </row>
    <row r="279" spans="1:3" x14ac:dyDescent="0.35">
      <c r="A279" s="24" t="s">
        <v>9652</v>
      </c>
      <c r="B279" s="43" t="str">
        <f>IFERROR(INDEX(Mots!$B:$B,MATCH($A279,Mots!$A:$A,0)),"introuvable")</f>
        <v>le pneu</v>
      </c>
      <c r="C279" s="24" t="s">
        <v>8143</v>
      </c>
    </row>
    <row r="280" spans="1:3" x14ac:dyDescent="0.35">
      <c r="A280" s="24" t="s">
        <v>3006</v>
      </c>
      <c r="B280" s="43" t="str">
        <f>IFERROR(INDEX(Mots!$B:$B,MATCH($A280,Mots!$A:$A,0)),"introuvable")</f>
        <v>le siège</v>
      </c>
      <c r="C280" s="24" t="s">
        <v>8144</v>
      </c>
    </row>
    <row r="281" spans="1:3" x14ac:dyDescent="0.35">
      <c r="A281" s="24" t="s">
        <v>3009</v>
      </c>
      <c r="B281" s="43" t="str">
        <f>IFERROR(INDEX(Mots!$B:$B,MATCH($A281,Mots!$A:$A,0)),"introuvable")</f>
        <v>le volant</v>
      </c>
      <c r="C281" s="24" t="s">
        <v>8145</v>
      </c>
    </row>
    <row r="282" spans="1:3" x14ac:dyDescent="0.35">
      <c r="A282" s="24" t="s">
        <v>3018</v>
      </c>
      <c r="B282" s="43" t="str">
        <f>IFERROR(INDEX(Mots!$B:$B,MATCH($A282,Mots!$A:$A,0)),"introuvable")</f>
        <v>le tableau de bord</v>
      </c>
      <c r="C282" s="24" t="s">
        <v>8146</v>
      </c>
    </row>
    <row r="283" spans="1:3" x14ac:dyDescent="0.35">
      <c r="A283" s="24" t="s">
        <v>3022</v>
      </c>
      <c r="B283" s="43" t="str">
        <f>IFERROR(INDEX(Mots!$B:$B,MATCH($A283,Mots!$A:$A,0)),"introuvable")</f>
        <v>le coffre</v>
      </c>
      <c r="C283" s="24" t="s">
        <v>8147</v>
      </c>
    </row>
    <row r="284" spans="1:3" x14ac:dyDescent="0.35">
      <c r="A284" s="24" t="s">
        <v>3033</v>
      </c>
      <c r="B284" s="43" t="str">
        <f>IFERROR(INDEX(Mots!$B:$B,MATCH($A284,Mots!$A:$A,0)),"introuvable")</f>
        <v>mes enfants</v>
      </c>
      <c r="C284" s="24" t="s">
        <v>8148</v>
      </c>
    </row>
    <row r="285" spans="1:3" x14ac:dyDescent="0.35">
      <c r="A285" s="24" t="s">
        <v>3036</v>
      </c>
      <c r="B285" s="43" t="str">
        <f>IFERROR(INDEX(Mots!$B:$B,MATCH($A285,Mots!$A:$A,0)),"introuvable")</f>
        <v>Mathilde</v>
      </c>
      <c r="C285" s="24" t="s">
        <v>8149</v>
      </c>
    </row>
    <row r="286" spans="1:3" x14ac:dyDescent="0.35">
      <c r="A286" s="24" t="s">
        <v>3039</v>
      </c>
      <c r="B286" s="43" t="str">
        <f>IFERROR(INDEX(Mots!$B:$B,MATCH($A286,Mots!$A:$A,0)),"introuvable")</f>
        <v>Julien</v>
      </c>
      <c r="C286" s="24" t="s">
        <v>8150</v>
      </c>
    </row>
    <row r="287" spans="1:3" x14ac:dyDescent="0.35">
      <c r="A287" s="24" t="s">
        <v>3043</v>
      </c>
      <c r="B287" s="43" t="str">
        <f>IFERROR(INDEX(Mots!$B:$B,MATCH($A287,Mots!$A:$A,0)),"introuvable")</f>
        <v>Emma</v>
      </c>
      <c r="C287" s="24" t="s">
        <v>8151</v>
      </c>
    </row>
    <row r="288" spans="1:3" x14ac:dyDescent="0.35">
      <c r="A288" s="24" t="s">
        <v>3047</v>
      </c>
      <c r="B288" s="43" t="str">
        <f>IFERROR(INDEX(Mots!$B:$B,MATCH($A288,Mots!$A:$A,0)),"introuvable")</f>
        <v>Loïc</v>
      </c>
      <c r="C288" s="24" t="s">
        <v>8152</v>
      </c>
    </row>
    <row r="289" spans="1:3" x14ac:dyDescent="0.35">
      <c r="A289" s="24" t="s">
        <v>3149</v>
      </c>
      <c r="B289" s="43" t="str">
        <f>IFERROR(INDEX(Mots!$B:$B,MATCH($A289,Mots!$A:$A,0)),"introuvable")</f>
        <v>faire les vitres</v>
      </c>
      <c r="C289" s="24" t="s">
        <v>8153</v>
      </c>
    </row>
    <row r="290" spans="1:3" x14ac:dyDescent="0.35">
      <c r="A290" s="24" t="s">
        <v>3156</v>
      </c>
      <c r="B290" s="43" t="str">
        <f>IFERROR(INDEX(Mots!$B:$B,MATCH($A290,Mots!$A:$A,0)),"introuvable")</f>
        <v>l'aspirateur</v>
      </c>
      <c r="C290" s="24" t="s">
        <v>8154</v>
      </c>
    </row>
    <row r="291" spans="1:3" x14ac:dyDescent="0.35">
      <c r="A291" s="24" t="s">
        <v>3168</v>
      </c>
      <c r="B291" s="43" t="str">
        <f>IFERROR(INDEX(Mots!$B:$B,MATCH($A291,Mots!$A:$A,0)),"introuvable")</f>
        <v>le matériel pour récurrer</v>
      </c>
      <c r="C291" s="24" t="s">
        <v>8155</v>
      </c>
    </row>
    <row r="292" spans="1:3" x14ac:dyDescent="0.35">
      <c r="A292" s="24" t="s">
        <v>3173</v>
      </c>
      <c r="B292" s="43" t="str">
        <f>IFERROR(INDEX(Mots!$B:$B,MATCH($A292,Mots!$A:$A,0)),"introuvable")</f>
        <v>le meister proper</v>
      </c>
      <c r="C292" s="24" t="s">
        <v>8156</v>
      </c>
    </row>
    <row r="293" spans="1:3" x14ac:dyDescent="0.35">
      <c r="A293" s="24" t="s">
        <v>3181</v>
      </c>
      <c r="B293" s="43" t="str">
        <f>IFERROR(INDEX(Mots!$B:$B,MATCH($A293,Mots!$A:$A,0)),"introuvable")</f>
        <v>la chambre</v>
      </c>
      <c r="C293" s="24" t="s">
        <v>8157</v>
      </c>
    </row>
    <row r="294" spans="1:3" x14ac:dyDescent="0.35">
      <c r="A294" s="24" t="s">
        <v>3185</v>
      </c>
      <c r="B294" s="43" t="str">
        <f>IFERROR(INDEX(Mots!$B:$B,MATCH($A294,Mots!$A:$A,0)),"introuvable")</f>
        <v>le lit</v>
      </c>
      <c r="C294" s="24" t="s">
        <v>8158</v>
      </c>
    </row>
    <row r="295" spans="1:3" x14ac:dyDescent="0.35">
      <c r="A295" s="24" t="s">
        <v>3188</v>
      </c>
      <c r="B295" s="43" t="str">
        <f>IFERROR(INDEX(Mots!$B:$B,MATCH($A295,Mots!$A:$A,0)),"introuvable")</f>
        <v>le matelas</v>
      </c>
      <c r="C295" s="24" t="s">
        <v>8159</v>
      </c>
    </row>
    <row r="296" spans="1:3" x14ac:dyDescent="0.35">
      <c r="A296" s="24" t="s">
        <v>3193</v>
      </c>
      <c r="B296" s="43" t="str">
        <f>IFERROR(INDEX(Mots!$B:$B,MATCH($A296,Mots!$A:$A,0)),"introuvable")</f>
        <v>l'oreiller</v>
      </c>
      <c r="C296" s="24" t="s">
        <v>8160</v>
      </c>
    </row>
    <row r="297" spans="1:3" x14ac:dyDescent="0.35">
      <c r="A297" s="24" t="s">
        <v>3197</v>
      </c>
      <c r="B297" s="43" t="str">
        <f>IFERROR(INDEX(Mots!$B:$B,MATCH($A297,Mots!$A:$A,0)),"introuvable")</f>
        <v>le duvet</v>
      </c>
      <c r="C297" s="24" t="s">
        <v>8161</v>
      </c>
    </row>
    <row r="298" spans="1:3" x14ac:dyDescent="0.35">
      <c r="A298" s="24" t="s">
        <v>3200</v>
      </c>
      <c r="B298" s="43" t="str">
        <f>IFERROR(INDEX(Mots!$B:$B,MATCH($A298,Mots!$A:$A,0)),"introuvable")</f>
        <v>le réveil</v>
      </c>
      <c r="C298" s="24" t="s">
        <v>8162</v>
      </c>
    </row>
    <row r="299" spans="1:3" x14ac:dyDescent="0.35">
      <c r="A299" s="24" t="s">
        <v>3205</v>
      </c>
      <c r="B299" s="43" t="str">
        <f>IFERROR(INDEX(Mots!$B:$B,MATCH($A299,Mots!$A:$A,0)),"introuvable")</f>
        <v>l'armoire</v>
      </c>
      <c r="C299" s="24" t="s">
        <v>8163</v>
      </c>
    </row>
    <row r="300" spans="1:3" x14ac:dyDescent="0.35">
      <c r="A300" s="24" t="s">
        <v>3208</v>
      </c>
      <c r="B300" s="43" t="str">
        <f>IFERROR(INDEX(Mots!$B:$B,MATCH($A300,Mots!$A:$A,0)),"introuvable")</f>
        <v>la corbeille à linge</v>
      </c>
      <c r="C300" s="24" t="s">
        <v>8164</v>
      </c>
    </row>
    <row r="301" spans="1:3" x14ac:dyDescent="0.35">
      <c r="A301" s="24" t="s">
        <v>3211</v>
      </c>
      <c r="B301" s="43" t="str">
        <f>IFERROR(INDEX(Mots!$B:$B,MATCH($A301,Mots!$A:$A,0)),"introuvable")</f>
        <v>le panier à linge</v>
      </c>
      <c r="C301" s="24" t="s">
        <v>8165</v>
      </c>
    </row>
    <row r="302" spans="1:3" x14ac:dyDescent="0.35">
      <c r="A302" s="24" t="s">
        <v>3223</v>
      </c>
      <c r="B302" s="43" t="str">
        <f>IFERROR(INDEX(Mots!$B:$B,MATCH($A302,Mots!$A:$A,0)),"introuvable")</f>
        <v>le bureau</v>
      </c>
      <c r="C302" s="24" t="s">
        <v>8166</v>
      </c>
    </row>
    <row r="303" spans="1:3" x14ac:dyDescent="0.35">
      <c r="A303" s="24" t="s">
        <v>3226</v>
      </c>
      <c r="B303" s="43" t="str">
        <f>IFERROR(INDEX(Mots!$B:$B,MATCH($A303,Mots!$A:$A,0)),"introuvable")</f>
        <v>le classeur</v>
      </c>
      <c r="C303" s="24" t="s">
        <v>8167</v>
      </c>
    </row>
    <row r="304" spans="1:3" x14ac:dyDescent="0.35">
      <c r="A304" s="24" t="s">
        <v>3233</v>
      </c>
      <c r="B304" s="43" t="str">
        <f>IFERROR(INDEX(Mots!$B:$B,MATCH($A304,Mots!$A:$A,0)),"introuvable")</f>
        <v>l'ordinateur</v>
      </c>
      <c r="C304" s="24" t="s">
        <v>8168</v>
      </c>
    </row>
    <row r="305" spans="1:3" x14ac:dyDescent="0.35">
      <c r="A305" s="24" t="s">
        <v>3238</v>
      </c>
      <c r="B305" s="43" t="str">
        <f>IFERROR(INDEX(Mots!$B:$B,MATCH($A305,Mots!$A:$A,0)),"introuvable")</f>
        <v>l'essence</v>
      </c>
      <c r="C305" s="24" t="s">
        <v>8169</v>
      </c>
    </row>
    <row r="306" spans="1:3" x14ac:dyDescent="0.35">
      <c r="A306" s="24" t="s">
        <v>3242</v>
      </c>
      <c r="B306" s="43" t="str">
        <f>IFERROR(INDEX(Mots!$B:$B,MATCH($A306,Mots!$A:$A,0)),"introuvable")</f>
        <v>la jauge d'huile</v>
      </c>
      <c r="C306" s="24" t="s">
        <v>8170</v>
      </c>
    </row>
    <row r="307" spans="1:3" x14ac:dyDescent="0.35">
      <c r="A307" s="24" t="s">
        <v>3245</v>
      </c>
      <c r="B307" s="43" t="str">
        <f>IFERROR(INDEX(Mots!$B:$B,MATCH($A307,Mots!$A:$A,0)),"introuvable")</f>
        <v>l'huile moteur</v>
      </c>
      <c r="C307" s="24" t="s">
        <v>8171</v>
      </c>
    </row>
    <row r="308" spans="1:3" x14ac:dyDescent="0.35">
      <c r="A308" s="24" t="s">
        <v>3249</v>
      </c>
      <c r="B308" s="43" t="str">
        <f>IFERROR(INDEX(Mots!$B:$B,MATCH($A308,Mots!$A:$A,0)),"introuvable")</f>
        <v>le liquide lave-glace</v>
      </c>
      <c r="C308" s="24" t="s">
        <v>8172</v>
      </c>
    </row>
    <row r="309" spans="1:3" x14ac:dyDescent="0.35">
      <c r="A309" s="24" t="s">
        <v>3258</v>
      </c>
      <c r="B309" s="43" t="str">
        <f>IFERROR(INDEX(Mots!$B:$B,MATCH($A309,Mots!$A:$A,0)),"introuvable")</f>
        <v>la paire de slip</v>
      </c>
      <c r="C309" s="24" t="s">
        <v>8173</v>
      </c>
    </row>
    <row r="310" spans="1:3" x14ac:dyDescent="0.35">
      <c r="A310" s="24" t="s">
        <v>3262</v>
      </c>
      <c r="B310" s="43" t="str">
        <f>IFERROR(INDEX(Mots!$B:$B,MATCH($A310,Mots!$A:$A,0)),"introuvable")</f>
        <v>les bas</v>
      </c>
      <c r="C310" s="24" t="s">
        <v>8174</v>
      </c>
    </row>
    <row r="311" spans="1:3" x14ac:dyDescent="0.35">
      <c r="A311" s="24" t="s">
        <v>3267</v>
      </c>
      <c r="B311" s="43" t="str">
        <f>IFERROR(INDEX(Mots!$B:$B,MATCH($A311,Mots!$A:$A,0)),"introuvable")</f>
        <v>le pantalon</v>
      </c>
      <c r="C311" s="24" t="s">
        <v>8175</v>
      </c>
    </row>
    <row r="312" spans="1:3" x14ac:dyDescent="0.35">
      <c r="A312" s="24" t="s">
        <v>3272</v>
      </c>
      <c r="B312" s="43" t="str">
        <f>IFERROR(INDEX(Mots!$B:$B,MATCH($A312,Mots!$A:$A,0)),"introuvable")</f>
        <v>le jeans (pantalon)</v>
      </c>
      <c r="C312" s="24" t="s">
        <v>8176</v>
      </c>
    </row>
    <row r="313" spans="1:3" x14ac:dyDescent="0.35">
      <c r="A313" s="24" t="s">
        <v>3275</v>
      </c>
      <c r="B313" s="43" t="str">
        <f>IFERROR(INDEX(Mots!$B:$B,MATCH($A313,Mots!$A:$A,0)),"introuvable")</f>
        <v>les cuissettes</v>
      </c>
      <c r="C313" s="24" t="s">
        <v>8177</v>
      </c>
    </row>
    <row r="314" spans="1:3" x14ac:dyDescent="0.35">
      <c r="A314" s="24" t="s">
        <v>3284</v>
      </c>
      <c r="B314" s="43" t="str">
        <f>IFERROR(INDEX(Mots!$B:$B,MATCH($A314,Mots!$A:$A,0)),"introuvable")</f>
        <v>le juste-au-corps</v>
      </c>
      <c r="C314" s="24" t="s">
        <v>8178</v>
      </c>
    </row>
    <row r="315" spans="1:3" x14ac:dyDescent="0.35">
      <c r="A315" s="24" t="s">
        <v>3288</v>
      </c>
      <c r="B315" s="43" t="str">
        <f>IFERROR(INDEX(Mots!$B:$B,MATCH($A315,Mots!$A:$A,0)),"introuvable")</f>
        <v>le t-shirt</v>
      </c>
      <c r="C315" s="24" t="s">
        <v>8179</v>
      </c>
    </row>
    <row r="316" spans="1:3" x14ac:dyDescent="0.35">
      <c r="A316" s="24" t="s">
        <v>3292</v>
      </c>
      <c r="B316" s="43" t="str">
        <f>IFERROR(INDEX(Mots!$B:$B,MATCH($A316,Mots!$A:$A,0)),"introuvable")</f>
        <v>la chemise</v>
      </c>
      <c r="C316" s="24" t="s">
        <v>8180</v>
      </c>
    </row>
    <row r="317" spans="1:3" x14ac:dyDescent="0.35">
      <c r="A317" s="24" t="s">
        <v>3301</v>
      </c>
      <c r="B317" s="43" t="str">
        <f>IFERROR(INDEX(Mots!$B:$B,MATCH($A317,Mots!$A:$A,0)),"introuvable")</f>
        <v>le polo</v>
      </c>
      <c r="C317" s="24" t="s">
        <v>8181</v>
      </c>
    </row>
    <row r="318" spans="1:3" x14ac:dyDescent="0.35">
      <c r="A318" s="24" t="s">
        <v>9460</v>
      </c>
      <c r="B318" s="43" t="str">
        <f>IFERROR(INDEX(Mots!$B:$B,MATCH($A318,Mots!$A:$A,0)),"introuvable")</f>
        <v>le pull ou pullover</v>
      </c>
      <c r="C318" s="24" t="s">
        <v>8182</v>
      </c>
    </row>
    <row r="319" spans="1:3" x14ac:dyDescent="0.35">
      <c r="A319" s="24" t="s">
        <v>3309</v>
      </c>
      <c r="B319" s="43" t="str">
        <f>IFERROR(INDEX(Mots!$B:$B,MATCH($A319,Mots!$A:$A,0)),"introuvable")</f>
        <v>la veste</v>
      </c>
      <c r="C319" s="24" t="s">
        <v>8183</v>
      </c>
    </row>
    <row r="320" spans="1:3" x14ac:dyDescent="0.35">
      <c r="A320" s="24" t="s">
        <v>3313</v>
      </c>
      <c r="B320" s="43" t="str">
        <f>IFERROR(INDEX(Mots!$B:$B,MATCH($A320,Mots!$A:$A,0)),"introuvable")</f>
        <v>le pain</v>
      </c>
      <c r="C320" s="24" t="s">
        <v>8184</v>
      </c>
    </row>
    <row r="321" spans="1:3" x14ac:dyDescent="0.35">
      <c r="A321" s="24" t="s">
        <v>3317</v>
      </c>
      <c r="B321" s="43" t="str">
        <f>IFERROR(INDEX(Mots!$B:$B,MATCH($A321,Mots!$A:$A,0)),"introuvable")</f>
        <v>le gendarme</v>
      </c>
      <c r="C321" s="24" t="s">
        <v>8185</v>
      </c>
    </row>
    <row r="322" spans="1:3" x14ac:dyDescent="0.35">
      <c r="A322" s="24" t="s">
        <v>3322</v>
      </c>
      <c r="B322" s="43" t="str">
        <f>IFERROR(INDEX(Mots!$B:$B,MATCH($A322,Mots!$A:$A,0)),"introuvable")</f>
        <v>la saucisse</v>
      </c>
      <c r="C322" s="24" t="s">
        <v>8186</v>
      </c>
    </row>
    <row r="323" spans="1:3" x14ac:dyDescent="0.35">
      <c r="A323" s="24" t="s">
        <v>3326</v>
      </c>
      <c r="B323" s="43" t="str">
        <f>IFERROR(INDEX(Mots!$B:$B,MATCH($A323,Mots!$A:$A,0)),"introuvable")</f>
        <v>le café</v>
      </c>
      <c r="C323" s="24" t="s">
        <v>8187</v>
      </c>
    </row>
    <row r="324" spans="1:3" x14ac:dyDescent="0.35">
      <c r="A324" s="24" t="s">
        <v>3332</v>
      </c>
      <c r="B324" s="43" t="str">
        <f>IFERROR(INDEX(Mots!$B:$B,MATCH($A324,Mots!$A:$A,0)),"introuvable")</f>
        <v>le fromage</v>
      </c>
      <c r="C324" s="24" t="s">
        <v>8188</v>
      </c>
    </row>
    <row r="325" spans="1:3" x14ac:dyDescent="0.35">
      <c r="A325" s="24" t="s">
        <v>34</v>
      </c>
      <c r="B325" s="43" t="str">
        <f>IFERROR(INDEX(Mots!$B:$B,MATCH($A325,Mots!$A:$A,0)),"introuvable")</f>
        <v>la maison</v>
      </c>
      <c r="C325" s="24" t="s">
        <v>8189</v>
      </c>
    </row>
    <row r="326" spans="1:3" x14ac:dyDescent="0.35">
      <c r="A326" s="24" t="s">
        <v>3344</v>
      </c>
      <c r="B326" s="43" t="str">
        <f>IFERROR(INDEX(Mots!$B:$B,MATCH($A326,Mots!$A:$A,0)),"introuvable")</f>
        <v>le chalet</v>
      </c>
      <c r="C326" s="24" t="s">
        <v>8190</v>
      </c>
    </row>
    <row r="327" spans="1:3" x14ac:dyDescent="0.35">
      <c r="A327" s="24" t="s">
        <v>3347</v>
      </c>
      <c r="B327" s="43" t="str">
        <f>IFERROR(INDEX(Mots!$B:$B,MATCH($A327,Mots!$A:$A,0)),"introuvable")</f>
        <v>le garage</v>
      </c>
      <c r="C327" s="24" t="s">
        <v>8191</v>
      </c>
    </row>
    <row r="328" spans="1:3" x14ac:dyDescent="0.35">
      <c r="A328" s="24" t="s">
        <v>3350</v>
      </c>
      <c r="B328" s="43" t="str">
        <f>IFERROR(INDEX(Mots!$B:$B,MATCH($A328,Mots!$A:$A,0)),"introuvable")</f>
        <v>la porte</v>
      </c>
      <c r="C328" s="24" t="s">
        <v>8192</v>
      </c>
    </row>
    <row r="329" spans="1:3" x14ac:dyDescent="0.35">
      <c r="A329" s="24" t="s">
        <v>3354</v>
      </c>
      <c r="B329" s="43" t="str">
        <f>IFERROR(INDEX(Mots!$B:$B,MATCH($A329,Mots!$A:$A,0)),"introuvable")</f>
        <v>la fenêtre</v>
      </c>
      <c r="C329" s="24" t="s">
        <v>8193</v>
      </c>
    </row>
    <row r="330" spans="1:3" x14ac:dyDescent="0.35">
      <c r="A330" s="24" t="s">
        <v>3364</v>
      </c>
      <c r="B330" s="43" t="str">
        <f>IFERROR(INDEX(Mots!$B:$B,MATCH($A330,Mots!$A:$A,0)),"introuvable")</f>
        <v>l'escalier</v>
      </c>
      <c r="C330" s="24" t="s">
        <v>8194</v>
      </c>
    </row>
    <row r="331" spans="1:3" x14ac:dyDescent="0.35">
      <c r="A331" s="24" t="s">
        <v>3368</v>
      </c>
      <c r="B331" s="43" t="str">
        <f>IFERROR(INDEX(Mots!$B:$B,MATCH($A331,Mots!$A:$A,0)),"introuvable")</f>
        <v>l'ampoule</v>
      </c>
      <c r="C331" s="24" t="s">
        <v>8195</v>
      </c>
    </row>
    <row r="332" spans="1:3" x14ac:dyDescent="0.35">
      <c r="A332" s="24" t="s">
        <v>9553</v>
      </c>
      <c r="B332" s="43" t="str">
        <f>IFERROR(INDEX(Mots!$B:$B,MATCH($A332,Mots!$A:$A,0)),"introuvable")</f>
        <v>l'interrupteur</v>
      </c>
      <c r="C332" s="24" t="s">
        <v>8196</v>
      </c>
    </row>
    <row r="333" spans="1:3" x14ac:dyDescent="0.35">
      <c r="A333" s="24" t="s">
        <v>3371</v>
      </c>
      <c r="B333" s="43" t="str">
        <f>IFERROR(INDEX(Mots!$B:$B,MATCH($A333,Mots!$A:$A,0)),"introuvable")</f>
        <v>les fusibles pour l'électricité</v>
      </c>
      <c r="C333" s="24" t="s">
        <v>8197</v>
      </c>
    </row>
    <row r="334" spans="1:3" x14ac:dyDescent="0.35">
      <c r="A334" s="24" t="s">
        <v>3374</v>
      </c>
      <c r="B334" s="43" t="str">
        <f>IFERROR(INDEX(Mots!$B:$B,MATCH($A334,Mots!$A:$A,0)),"introuvable")</f>
        <v>le mur</v>
      </c>
      <c r="C334" s="24" t="s">
        <v>8198</v>
      </c>
    </row>
    <row r="335" spans="1:3" x14ac:dyDescent="0.35">
      <c r="A335" s="24" t="s">
        <v>3378</v>
      </c>
      <c r="B335" s="43" t="str">
        <f>IFERROR(INDEX(Mots!$B:$B,MATCH($A335,Mots!$A:$A,0)),"introuvable")</f>
        <v>le toit</v>
      </c>
      <c r="C335" s="24" t="s">
        <v>8199</v>
      </c>
    </row>
    <row r="336" spans="1:3" x14ac:dyDescent="0.35">
      <c r="A336" s="24" t="s">
        <v>3383</v>
      </c>
      <c r="B336" s="43" t="str">
        <f>IFERROR(INDEX(Mots!$B:$B,MATCH($A336,Mots!$A:$A,0)),"introuvable")</f>
        <v>le chéneau</v>
      </c>
      <c r="C336" s="24" t="s">
        <v>8200</v>
      </c>
    </row>
    <row r="337" spans="1:4" x14ac:dyDescent="0.35">
      <c r="A337" s="24" t="s">
        <v>3509</v>
      </c>
      <c r="B337" s="43" t="str">
        <f>IFERROR(INDEX(Mots!$B:$B,MATCH($A337,Mots!$A:$A,0)),"introuvable")</f>
        <v>attendre</v>
      </c>
      <c r="C337" s="24" t="s">
        <v>8201</v>
      </c>
    </row>
    <row r="338" spans="1:4" x14ac:dyDescent="0.35">
      <c r="A338" s="24" t="s">
        <v>3516</v>
      </c>
      <c r="B338" s="43" t="str">
        <f>IFERROR(INDEX(Mots!$B:$B,MATCH($A338,Mots!$A:$A,0)),"introuvable")</f>
        <v>aussi</v>
      </c>
      <c r="C338" s="24" t="s">
        <v>8202</v>
      </c>
    </row>
    <row r="339" spans="1:4" x14ac:dyDescent="0.35">
      <c r="A339" s="24" t="s">
        <v>3587</v>
      </c>
      <c r="B339" s="43" t="str">
        <f>IFERROR(INDEX(Mots!$B:$B,MATCH($A339,Mots!$A:$A,0)),"introuvable")</f>
        <v>changer</v>
      </c>
      <c r="C339" s="24" t="s">
        <v>8203</v>
      </c>
    </row>
    <row r="340" spans="1:4" x14ac:dyDescent="0.35">
      <c r="A340" s="24" t="s">
        <v>3608</v>
      </c>
      <c r="B340" s="43" t="str">
        <f>IFERROR(INDEX(Mots!$B:$B,MATCH($A340,Mots!$A:$A,0)),"introuvable")</f>
        <v>choisir</v>
      </c>
      <c r="C340" s="24" t="s">
        <v>8204</v>
      </c>
    </row>
    <row r="341" spans="1:4" x14ac:dyDescent="0.35">
      <c r="A341" s="24" t="s">
        <v>3619</v>
      </c>
      <c r="B341" s="43" t="str">
        <f>IFERROR(INDEX(Mots!$B:$B,MATCH($A341,Mots!$A:$A,0)),"introuvable")</f>
        <v>chuchoter</v>
      </c>
      <c r="C341" s="24" t="s">
        <v>8205</v>
      </c>
    </row>
    <row r="342" spans="1:4" x14ac:dyDescent="0.35">
      <c r="A342" s="24" t="s">
        <v>3639</v>
      </c>
      <c r="B342" s="43" t="str">
        <f>IFERROR(INDEX(Mots!$B:$B,MATCH($A342,Mots!$A:$A,0)),"introuvable")</f>
        <v>commencer</v>
      </c>
      <c r="C342" s="24" t="s">
        <v>8206</v>
      </c>
    </row>
    <row r="343" spans="1:4" x14ac:dyDescent="0.35">
      <c r="A343" s="24" t="s">
        <v>3646</v>
      </c>
      <c r="B343" s="43" t="str">
        <f>IFERROR(INDEX(Mots!$B:$B,MATCH($A343,Mots!$A:$A,0)),"introuvable")</f>
        <v>comparer</v>
      </c>
      <c r="C343" s="24" t="s">
        <v>8207</v>
      </c>
    </row>
    <row r="344" spans="1:4" x14ac:dyDescent="0.35">
      <c r="A344" s="24" t="s">
        <v>3697</v>
      </c>
      <c r="B344" s="43" t="str">
        <f>IFERROR(INDEX(Mots!$B:$B,MATCH($A344,Mots!$A:$A,0)),"introuvable")</f>
        <v>coupant</v>
      </c>
      <c r="C344" s="24" t="s">
        <v>8208</v>
      </c>
    </row>
    <row r="345" spans="1:4" x14ac:dyDescent="0.35">
      <c r="A345" s="24" t="s">
        <v>3886</v>
      </c>
      <c r="B345" s="43" t="str">
        <f>IFERROR(INDEX(Mots!$B:$B,MATCH($A345,Mots!$A:$A,0)),"introuvable")</f>
        <v>élevé</v>
      </c>
      <c r="C345" s="24" t="s">
        <v>8209</v>
      </c>
      <c r="D345" s="24" t="s">
        <v>8210</v>
      </c>
    </row>
    <row r="346" spans="1:4" x14ac:dyDescent="0.35">
      <c r="A346" s="24" t="s">
        <v>3971</v>
      </c>
      <c r="B346" s="43" t="str">
        <f>IFERROR(INDEX(Mots!$B:$B,MATCH($A346,Mots!$A:$A,0)),"introuvable")</f>
        <v>fermer</v>
      </c>
      <c r="C346" s="24" t="s">
        <v>8211</v>
      </c>
    </row>
    <row r="347" spans="1:4" x14ac:dyDescent="0.35">
      <c r="A347" s="24" t="s">
        <v>415</v>
      </c>
      <c r="B347" s="43" t="str">
        <f>IFERROR(INDEX(Mots!$B:$B,MATCH($A347,Mots!$A:$A,0)),"introuvable")</f>
        <v>la chose</v>
      </c>
      <c r="C347" s="24" t="s">
        <v>8212</v>
      </c>
    </row>
    <row r="348" spans="1:4" x14ac:dyDescent="0.35">
      <c r="A348" s="24" t="s">
        <v>4263</v>
      </c>
      <c r="B348" s="43" t="str">
        <f>IFERROR(INDEX(Mots!$B:$B,MATCH($A348,Mots!$A:$A,0)),"introuvable")</f>
        <v>la collection</v>
      </c>
      <c r="C348" s="24" t="s">
        <v>8213</v>
      </c>
    </row>
    <row r="349" spans="1:4" x14ac:dyDescent="0.35">
      <c r="A349" s="24" t="s">
        <v>4378</v>
      </c>
      <c r="B349" s="43" t="str">
        <f>IFERROR(INDEX(Mots!$B:$B,MATCH($A349,Mots!$A:$A,0)),"introuvable")</f>
        <v>la face</v>
      </c>
      <c r="C349" s="24" t="s">
        <v>8214</v>
      </c>
      <c r="D349" s="24" t="s">
        <v>8215</v>
      </c>
    </row>
    <row r="350" spans="1:4" x14ac:dyDescent="0.35">
      <c r="A350" s="24" t="s">
        <v>4425</v>
      </c>
      <c r="B350" s="43" t="str">
        <f>IFERROR(INDEX(Mots!$B:$B,MATCH($A350,Mots!$A:$A,0)),"introuvable")</f>
        <v>la fin</v>
      </c>
      <c r="C350" s="24" t="s">
        <v>8216</v>
      </c>
      <c r="D350" s="24" t="s">
        <v>8217</v>
      </c>
    </row>
    <row r="351" spans="1:4" x14ac:dyDescent="0.35">
      <c r="A351" s="24" t="s">
        <v>4605</v>
      </c>
      <c r="B351" s="43" t="str">
        <f>IFERROR(INDEX(Mots!$B:$B,MATCH($A351,Mots!$A:$A,0)),"introuvable")</f>
        <v>la lumière</v>
      </c>
      <c r="C351" s="24" t="s">
        <v>8218</v>
      </c>
    </row>
    <row r="352" spans="1:4" x14ac:dyDescent="0.35">
      <c r="A352" s="24" t="s">
        <v>4654</v>
      </c>
      <c r="B352" s="43" t="str">
        <f>IFERROR(INDEX(Mots!$B:$B,MATCH($A352,Mots!$A:$A,0)),"introuvable")</f>
        <v>la méfiance</v>
      </c>
      <c r="C352" s="24" t="s">
        <v>8219</v>
      </c>
    </row>
    <row r="353" spans="1:4" x14ac:dyDescent="0.35">
      <c r="A353" s="24" t="s">
        <v>4732</v>
      </c>
      <c r="B353" s="43" t="str">
        <f>IFERROR(INDEX(Mots!$B:$B,MATCH($A353,Mots!$A:$A,0)),"introuvable")</f>
        <v>la paroi</v>
      </c>
      <c r="C353" s="24" t="s">
        <v>8220</v>
      </c>
      <c r="D353" s="24" t="s">
        <v>8221</v>
      </c>
    </row>
    <row r="354" spans="1:4" x14ac:dyDescent="0.35">
      <c r="A354" s="24" t="s">
        <v>5110</v>
      </c>
      <c r="B354" s="43" t="str">
        <f>IFERROR(INDEX(Mots!$B:$B,MATCH($A354,Mots!$A:$A,0)),"introuvable")</f>
        <v>la sucrerie</v>
      </c>
      <c r="C354" s="24" t="s">
        <v>8222</v>
      </c>
    </row>
    <row r="355" spans="1:4" x14ac:dyDescent="0.35">
      <c r="A355" s="24" t="s">
        <v>5182</v>
      </c>
      <c r="B355" s="43" t="str">
        <f>IFERROR(INDEX(Mots!$B:$B,MATCH($A355,Mots!$A:$A,0)),"introuvable")</f>
        <v>la vérité</v>
      </c>
      <c r="C355" s="24" t="s">
        <v>8223</v>
      </c>
    </row>
    <row r="356" spans="1:4" x14ac:dyDescent="0.35">
      <c r="A356" s="24" t="s">
        <v>5195</v>
      </c>
      <c r="B356" s="43" t="str">
        <f>IFERROR(INDEX(Mots!$B:$B,MATCH($A356,Mots!$A:$A,0)),"introuvable")</f>
        <v>la vigne</v>
      </c>
      <c r="C356" s="24" t="s">
        <v>8224</v>
      </c>
    </row>
    <row r="357" spans="1:4" x14ac:dyDescent="0.35">
      <c r="A357" s="24" t="s">
        <v>5287</v>
      </c>
      <c r="B357" s="43" t="str">
        <f>IFERROR(INDEX(Mots!$B:$B,MATCH($A357,Mots!$A:$A,0)),"introuvable")</f>
        <v>l'anse</v>
      </c>
      <c r="C357" s="24" t="s">
        <v>8220</v>
      </c>
      <c r="D357" s="24" t="s">
        <v>8225</v>
      </c>
    </row>
    <row r="358" spans="1:4" x14ac:dyDescent="0.35">
      <c r="A358" s="24" t="s">
        <v>5293</v>
      </c>
      <c r="B358" s="43" t="str">
        <f>IFERROR(INDEX(Mots!$B:$B,MATCH($A358,Mots!$A:$A,0)),"introuvable")</f>
        <v>l'appareil</v>
      </c>
      <c r="C358" s="24" t="s">
        <v>8226</v>
      </c>
    </row>
    <row r="359" spans="1:4" x14ac:dyDescent="0.35">
      <c r="A359" s="24" t="s">
        <v>5343</v>
      </c>
      <c r="B359" s="43" t="str">
        <f>IFERROR(INDEX(Mots!$B:$B,MATCH($A359,Mots!$A:$A,0)),"introuvable")</f>
        <v>l'avis</v>
      </c>
      <c r="C359" s="24" t="s">
        <v>8227</v>
      </c>
    </row>
    <row r="360" spans="1:4" x14ac:dyDescent="0.35">
      <c r="A360" s="24" t="s">
        <v>5711</v>
      </c>
      <c r="B360" s="43" t="str">
        <f>IFERROR(INDEX(Mots!$B:$B,MATCH($A360,Mots!$A:$A,0)),"introuvable")</f>
        <v>le couvercle</v>
      </c>
      <c r="C360" s="24" t="s">
        <v>8228</v>
      </c>
      <c r="D360" s="24" t="s">
        <v>8229</v>
      </c>
    </row>
    <row r="361" spans="1:4" x14ac:dyDescent="0.35">
      <c r="A361" s="24" t="s">
        <v>5778</v>
      </c>
      <c r="B361" s="43" t="str">
        <f>IFERROR(INDEX(Mots!$B:$B,MATCH($A361,Mots!$A:$A,0)),"introuvable")</f>
        <v>le dessert</v>
      </c>
      <c r="C361" s="24" t="s">
        <v>8230</v>
      </c>
      <c r="D361" s="24" t="s">
        <v>8231</v>
      </c>
    </row>
    <row r="362" spans="1:4" x14ac:dyDescent="0.35">
      <c r="A362" s="24" t="s">
        <v>5793</v>
      </c>
      <c r="B362" s="43" t="str">
        <f>IFERROR(INDEX(Mots!$B:$B,MATCH($A362,Mots!$A:$A,0)),"introuvable")</f>
        <v>le disque</v>
      </c>
      <c r="C362" s="24" t="s">
        <v>8232</v>
      </c>
    </row>
    <row r="363" spans="1:4" x14ac:dyDescent="0.35">
      <c r="A363" s="24" t="s">
        <v>5926</v>
      </c>
      <c r="B363" s="43" t="str">
        <f>IFERROR(INDEX(Mots!$B:$B,MATCH($A363,Mots!$A:$A,0)),"introuvable")</f>
        <v>le logement</v>
      </c>
      <c r="C363" s="24" t="s">
        <v>8233</v>
      </c>
      <c r="D363" s="24" t="s">
        <v>8234</v>
      </c>
    </row>
    <row r="364" spans="1:4" x14ac:dyDescent="0.35">
      <c r="A364" s="24" t="s">
        <v>5969</v>
      </c>
      <c r="B364" s="43" t="str">
        <f>IFERROR(INDEX(Mots!$B:$B,MATCH($A364,Mots!$A:$A,0)),"introuvable")</f>
        <v>le mensonge</v>
      </c>
      <c r="C364" s="24" t="s">
        <v>8235</v>
      </c>
    </row>
    <row r="365" spans="1:4" x14ac:dyDescent="0.35">
      <c r="A365" s="24" t="s">
        <v>6049</v>
      </c>
      <c r="B365" s="43" t="str">
        <f>IFERROR(INDEX(Mots!$B:$B,MATCH($A365,Mots!$A:$A,0)),"introuvable")</f>
        <v>le numéro</v>
      </c>
      <c r="C365" s="24" t="s">
        <v>8236</v>
      </c>
      <c r="D365" s="24" t="s">
        <v>8237</v>
      </c>
    </row>
    <row r="366" spans="1:4" x14ac:dyDescent="0.35">
      <c r="A366" s="24" t="s">
        <v>6097</v>
      </c>
      <c r="B366" s="43" t="str">
        <f>IFERROR(INDEX(Mots!$B:$B,MATCH($A366,Mots!$A:$A,0)),"introuvable")</f>
        <v>partager</v>
      </c>
      <c r="C366" s="24" t="s">
        <v>8238</v>
      </c>
    </row>
    <row r="367" spans="1:4" x14ac:dyDescent="0.35">
      <c r="A367" s="24" t="s">
        <v>6102</v>
      </c>
      <c r="B367" s="43" t="str">
        <f>IFERROR(INDEX(Mots!$B:$B,MATCH($A367,Mots!$A:$A,0)),"introuvable")</f>
        <v>le passage</v>
      </c>
      <c r="C367" s="24" t="s">
        <v>8239</v>
      </c>
      <c r="D367" s="24" t="s">
        <v>8240</v>
      </c>
    </row>
    <row r="368" spans="1:4" x14ac:dyDescent="0.35">
      <c r="A368" s="24" t="s">
        <v>6344</v>
      </c>
      <c r="B368" s="43" t="str">
        <f>IFERROR(INDEX(Mots!$B:$B,MATCH($A368,Mots!$A:$A,0)),"introuvable")</f>
        <v>le secteur</v>
      </c>
      <c r="C368" s="24" t="s">
        <v>8241</v>
      </c>
    </row>
    <row r="369" spans="1:8" x14ac:dyDescent="0.35">
      <c r="A369" s="24" t="s">
        <v>6533</v>
      </c>
      <c r="B369" s="43" t="str">
        <f>IFERROR(INDEX(Mots!$B:$B,MATCH($A369,Mots!$A:$A,0)),"introuvable")</f>
        <v>le tube</v>
      </c>
      <c r="C369" s="24" t="s">
        <v>8242</v>
      </c>
      <c r="D369" s="24" t="s">
        <v>8243</v>
      </c>
    </row>
    <row r="370" spans="1:8" x14ac:dyDescent="0.35">
      <c r="A370" s="24" t="s">
        <v>6773</v>
      </c>
      <c r="B370" s="43" t="str">
        <f>IFERROR(INDEX(Mots!$B:$B,MATCH($A370,Mots!$A:$A,0)),"introuvable")</f>
        <v>l'exemple</v>
      </c>
      <c r="C370" s="24" t="s">
        <v>8244</v>
      </c>
    </row>
    <row r="371" spans="1:8" x14ac:dyDescent="0.35">
      <c r="A371" s="24" t="s">
        <v>6795</v>
      </c>
      <c r="B371" s="43" t="str">
        <f>IFERROR(INDEX(Mots!$B:$B,MATCH($A371,Mots!$A:$A,0)),"introuvable")</f>
        <v>l'image</v>
      </c>
      <c r="C371" s="24" t="s">
        <v>8245</v>
      </c>
    </row>
    <row r="372" spans="1:8" x14ac:dyDescent="0.35">
      <c r="A372" s="24" t="s">
        <v>6830</v>
      </c>
      <c r="B372" s="43" t="str">
        <f>IFERROR(INDEX(Mots!$B:$B,MATCH($A372,Mots!$A:$A,0)),"introuvable")</f>
        <v>lire</v>
      </c>
      <c r="C372" s="24" t="s">
        <v>8246</v>
      </c>
    </row>
    <row r="373" spans="1:8" x14ac:dyDescent="0.35">
      <c r="A373" s="24" t="s">
        <v>6837</v>
      </c>
      <c r="B373" s="43" t="str">
        <f>IFERROR(INDEX(Mots!$B:$B,MATCH($A373,Mots!$A:$A,0)),"introuvable")</f>
        <v>l'objet</v>
      </c>
      <c r="C373" s="24" t="s">
        <v>8247</v>
      </c>
      <c r="D373" s="24" t="s">
        <v>8248</v>
      </c>
      <c r="E373" s="24" t="s">
        <v>8249</v>
      </c>
      <c r="F373" s="24" t="s">
        <v>8250</v>
      </c>
      <c r="G373" s="24" t="s">
        <v>8251</v>
      </c>
      <c r="H373" s="24" t="s">
        <v>8252</v>
      </c>
    </row>
    <row r="374" spans="1:8" x14ac:dyDescent="0.35">
      <c r="A374" s="24" t="s">
        <v>6871</v>
      </c>
      <c r="B374" s="43" t="str">
        <f>IFERROR(INDEX(Mots!$B:$B,MATCH($A374,Mots!$A:$A,0)),"introuvable")</f>
        <v>l'ombre</v>
      </c>
      <c r="C374" s="24" t="s">
        <v>8253</v>
      </c>
      <c r="D374" s="24" t="s">
        <v>8254</v>
      </c>
    </row>
    <row r="375" spans="1:8" x14ac:dyDescent="0.35">
      <c r="A375" s="24" t="s">
        <v>6945</v>
      </c>
      <c r="B375" s="43" t="str">
        <f>IFERROR(INDEX(Mots!$B:$B,MATCH($A375,Mots!$A:$A,0)),"introuvable")</f>
        <v>monter</v>
      </c>
      <c r="C375" s="24" t="s">
        <v>8255</v>
      </c>
    </row>
    <row r="376" spans="1:8" x14ac:dyDescent="0.35">
      <c r="A376" s="24" t="s">
        <v>7071</v>
      </c>
      <c r="B376" s="43" t="str">
        <f>IFERROR(INDEX(Mots!$B:$B,MATCH($A376,Mots!$A:$A,0)),"introuvable")</f>
        <v>poser</v>
      </c>
      <c r="C376" s="24" t="s">
        <v>8256</v>
      </c>
      <c r="D376" s="24" t="s">
        <v>8257</v>
      </c>
      <c r="E376" s="24" t="s">
        <v>8258</v>
      </c>
      <c r="F376" s="24" t="s">
        <v>8259</v>
      </c>
    </row>
    <row r="377" spans="1:8" x14ac:dyDescent="0.35">
      <c r="A377" s="24" t="s">
        <v>7107</v>
      </c>
      <c r="B377" s="43" t="str">
        <f>IFERROR(INDEX(Mots!$B:$B,MATCH($A377,Mots!$A:$A,0)),"introuvable")</f>
        <v>prendre</v>
      </c>
      <c r="C377" s="24" t="s">
        <v>8260</v>
      </c>
      <c r="D377" s="24" t="s">
        <v>8261</v>
      </c>
      <c r="E377" s="24" t="s">
        <v>8262</v>
      </c>
    </row>
    <row r="378" spans="1:8" x14ac:dyDescent="0.35">
      <c r="A378" s="24" t="s">
        <v>7153</v>
      </c>
      <c r="B378" s="43" t="str">
        <f>IFERROR(INDEX(Mots!$B:$B,MATCH($A378,Mots!$A:$A,0)),"introuvable")</f>
        <v>ranger</v>
      </c>
      <c r="C378" s="24" t="s">
        <v>8263</v>
      </c>
      <c r="D378" s="24" t="s">
        <v>8264</v>
      </c>
    </row>
    <row r="379" spans="1:8" x14ac:dyDescent="0.35">
      <c r="A379" s="24" t="s">
        <v>7205</v>
      </c>
      <c r="B379" s="43" t="str">
        <f>IFERROR(INDEX(Mots!$B:$B,MATCH($A379,Mots!$A:$A,0)),"introuvable")</f>
        <v>réparer</v>
      </c>
      <c r="C379" s="24" t="s">
        <v>8265</v>
      </c>
    </row>
    <row r="380" spans="1:8" x14ac:dyDescent="0.35">
      <c r="A380" s="24" t="s">
        <v>7301</v>
      </c>
      <c r="B380" s="43" t="str">
        <f>IFERROR(INDEX(Mots!$B:$B,MATCH($A380,Mots!$A:$A,0)),"introuvable")</f>
        <v>serrer</v>
      </c>
      <c r="C380" s="24" t="s">
        <v>8266</v>
      </c>
    </row>
    <row r="381" spans="1:8" x14ac:dyDescent="0.35">
      <c r="A381" s="24" t="s">
        <v>7425</v>
      </c>
      <c r="B381" s="43" t="str">
        <f>IFERROR(INDEX(Mots!$B:$B,MATCH($A381,Mots!$A:$A,0)),"introuvable")</f>
        <v>vitré</v>
      </c>
      <c r="C381" s="24" t="s">
        <v>8267</v>
      </c>
      <c r="D381" s="24" t="s">
        <v>8268</v>
      </c>
    </row>
    <row r="382" spans="1:8" x14ac:dyDescent="0.35">
      <c r="A382" s="24" t="s">
        <v>7456</v>
      </c>
      <c r="B382" s="43" t="str">
        <f>IFERROR(INDEX(Mots!$B:$B,MATCH($A382,Mots!$A:$A,0)),"introuvable")</f>
        <v>le yogurt</v>
      </c>
      <c r="C382" s="24" t="s">
        <v>8269</v>
      </c>
    </row>
    <row r="383" spans="1:8" x14ac:dyDescent="0.35">
      <c r="A383" s="24" t="s">
        <v>7476</v>
      </c>
      <c r="B383" s="43" t="str">
        <f>IFERROR(INDEX(Mots!$B:$B,MATCH($A383,Mots!$A:$A,0)),"introuvable")</f>
        <v>le big mac chez Mc Donald</v>
      </c>
      <c r="C383" s="24" t="s">
        <v>8270</v>
      </c>
    </row>
    <row r="384" spans="1:8" x14ac:dyDescent="0.35">
      <c r="A384" s="24" t="s">
        <v>7496</v>
      </c>
      <c r="B384" s="43" t="str">
        <f>IFERROR(INDEX(Mots!$B:$B,MATCH($A384,Mots!$A:$A,0)),"introuvable")</f>
        <v>la gamme</v>
      </c>
      <c r="C384" s="24" t="s">
        <v>8271</v>
      </c>
    </row>
    <row r="385" spans="1:9" x14ac:dyDescent="0.35">
      <c r="A385" s="24" t="s">
        <v>7500</v>
      </c>
      <c r="B385" s="43" t="str">
        <f>IFERROR(INDEX(Mots!$B:$B,MATCH($A385,Mots!$A:$A,0)),"introuvable")</f>
        <v>le métronome</v>
      </c>
      <c r="C385" s="24" t="s">
        <v>8272</v>
      </c>
    </row>
    <row r="386" spans="1:9" x14ac:dyDescent="0.35">
      <c r="A386" s="24" t="s">
        <v>7512</v>
      </c>
      <c r="B386" s="43" t="str">
        <f>IFERROR(INDEX(Mots!$B:$B,MATCH($A386,Mots!$A:$A,0)),"introuvable")</f>
        <v>l'appareil photo</v>
      </c>
      <c r="C386" s="24" t="s">
        <v>8273</v>
      </c>
    </row>
    <row r="387" spans="1:9" x14ac:dyDescent="0.35">
      <c r="A387" s="24" t="s">
        <v>7522</v>
      </c>
      <c r="B387" s="43" t="str">
        <f>IFERROR(INDEX(Mots!$B:$B,MATCH($A387,Mots!$A:$A,0)),"introuvable")</f>
        <v>le moustique</v>
      </c>
      <c r="C387" s="24" t="s">
        <v>8274</v>
      </c>
    </row>
    <row r="388" spans="1:9" x14ac:dyDescent="0.35">
      <c r="A388" s="24" t="s">
        <v>7571</v>
      </c>
      <c r="B388" s="43" t="str">
        <f>IFERROR(INDEX(Mots!$B:$B,MATCH($A388,Mots!$A:$A,0)),"introuvable")</f>
        <v>quitter</v>
      </c>
      <c r="C388" s="24" t="s">
        <v>8275</v>
      </c>
    </row>
    <row r="389" spans="1:9" x14ac:dyDescent="0.35">
      <c r="A389" s="24" t="s">
        <v>7576</v>
      </c>
      <c r="B389" s="43" t="str">
        <f>IFERROR(INDEX(Mots!$B:$B,MATCH($A389,Mots!$A:$A,0)),"introuvable")</f>
        <v>interdire</v>
      </c>
      <c r="C389" s="24" t="s">
        <v>8276</v>
      </c>
    </row>
    <row r="390" spans="1:9" x14ac:dyDescent="0.35">
      <c r="A390" s="24" t="s">
        <v>7580</v>
      </c>
      <c r="B390" s="43" t="str">
        <f>IFERROR(INDEX(Mots!$B:$B,MATCH($A390,Mots!$A:$A,0)),"introuvable")</f>
        <v>arriver</v>
      </c>
      <c r="C390" s="24" t="s">
        <v>8277</v>
      </c>
    </row>
    <row r="391" spans="1:9" x14ac:dyDescent="0.35">
      <c r="A391" s="24" t="s">
        <v>1017</v>
      </c>
      <c r="B391" s="43" t="str">
        <f>IFERROR(INDEX(Mots!$B:$B,MATCH($A391,Mots!$A:$A,0)),"introuvable")</f>
        <v>la poitrine</v>
      </c>
      <c r="C391" s="24" t="s">
        <v>8278</v>
      </c>
      <c r="I391" s="24" t="s">
        <v>8279</v>
      </c>
    </row>
    <row r="392" spans="1:9" x14ac:dyDescent="0.35">
      <c r="A392" s="24" t="s">
        <v>1021</v>
      </c>
      <c r="B392" s="43" t="str">
        <f>IFERROR(INDEX(Mots!$B:$B,MATCH($A392,Mots!$A:$A,0)),"introuvable")</f>
        <v>le torse</v>
      </c>
      <c r="C392" s="24" t="s">
        <v>8280</v>
      </c>
      <c r="I392" s="24" t="s">
        <v>8281</v>
      </c>
    </row>
    <row r="393" spans="1:9" x14ac:dyDescent="0.35">
      <c r="A393" s="24" t="s">
        <v>1025</v>
      </c>
      <c r="B393" s="43" t="str">
        <f>IFERROR(INDEX(Mots!$B:$B,MATCH($A393,Mots!$A:$A,0)),"introuvable")</f>
        <v>l'épaule</v>
      </c>
      <c r="C393" s="24" t="s">
        <v>8282</v>
      </c>
      <c r="I393" s="24" t="s">
        <v>8283</v>
      </c>
    </row>
    <row r="394" spans="1:9" x14ac:dyDescent="0.35">
      <c r="A394" s="24" t="s">
        <v>1065</v>
      </c>
      <c r="B394" s="43" t="str">
        <f>IFERROR(INDEX(Mots!$B:$B,MATCH($A394,Mots!$A:$A,0)),"introuvable")</f>
        <v>la joue</v>
      </c>
      <c r="C394" s="24" t="s">
        <v>8284</v>
      </c>
      <c r="I394" s="24" t="s">
        <v>8285</v>
      </c>
    </row>
    <row r="395" spans="1:9" x14ac:dyDescent="0.35">
      <c r="A395" s="24" t="s">
        <v>1069</v>
      </c>
      <c r="B395" s="43" t="str">
        <f>IFERROR(INDEX(Mots!$B:$B,MATCH($A395,Mots!$A:$A,0)),"introuvable")</f>
        <v>la langue</v>
      </c>
      <c r="C395" s="24" t="s">
        <v>8286</v>
      </c>
      <c r="I395" s="24" t="s">
        <v>8287</v>
      </c>
    </row>
    <row r="396" spans="1:9" x14ac:dyDescent="0.35">
      <c r="A396" s="24" t="s">
        <v>1073</v>
      </c>
      <c r="B396" s="43" t="str">
        <f>IFERROR(INDEX(Mots!$B:$B,MATCH($A396,Mots!$A:$A,0)),"introuvable")</f>
        <v>la lèvre</v>
      </c>
      <c r="C396" s="24" t="s">
        <v>8288</v>
      </c>
    </row>
    <row r="397" spans="1:9" x14ac:dyDescent="0.35">
      <c r="A397" s="24" t="s">
        <v>1077</v>
      </c>
      <c r="B397" s="43" t="str">
        <f>IFERROR(INDEX(Mots!$B:$B,MATCH($A397,Mots!$A:$A,0)),"introuvable")</f>
        <v>le cou</v>
      </c>
      <c r="C397" s="24" t="s">
        <v>8289</v>
      </c>
      <c r="I397" s="24" t="s">
        <v>8290</v>
      </c>
    </row>
    <row r="398" spans="1:9" x14ac:dyDescent="0.35">
      <c r="A398" s="24" t="s">
        <v>1081</v>
      </c>
      <c r="B398" s="43" t="str">
        <f>IFERROR(INDEX(Mots!$B:$B,MATCH($A398,Mots!$A:$A,0)),"introuvable")</f>
        <v>le front</v>
      </c>
      <c r="C398" s="24" t="s">
        <v>8291</v>
      </c>
    </row>
    <row r="399" spans="1:9" x14ac:dyDescent="0.35">
      <c r="A399" s="24" t="s">
        <v>2152</v>
      </c>
      <c r="B399" s="43" t="str">
        <f>IFERROR(INDEX(Mots!$B:$B,MATCH($A399,Mots!$A:$A,0)),"introuvable")</f>
        <v>le coude</v>
      </c>
      <c r="C399" s="24" t="s">
        <v>8292</v>
      </c>
      <c r="I399" s="24" t="s">
        <v>8293</v>
      </c>
    </row>
    <row r="400" spans="1:9" x14ac:dyDescent="0.35">
      <c r="A400" s="24" t="s">
        <v>2156</v>
      </c>
      <c r="B400" s="43" t="str">
        <f>IFERROR(INDEX(Mots!$B:$B,MATCH($A400,Mots!$A:$A,0)),"introuvable")</f>
        <v>le genou</v>
      </c>
      <c r="C400" s="24" t="s">
        <v>8294</v>
      </c>
      <c r="I400" s="24" t="s">
        <v>8295</v>
      </c>
    </row>
    <row r="401" spans="1:9" x14ac:dyDescent="0.35">
      <c r="A401" s="24" t="s">
        <v>3114</v>
      </c>
      <c r="B401" s="43" t="str">
        <f>IFERROR(INDEX(Mots!$B:$B,MATCH($A401,Mots!$A:$A,0)),"introuvable")</f>
        <v>la peau</v>
      </c>
      <c r="C401" s="24" t="s">
        <v>8296</v>
      </c>
      <c r="I401" s="24" t="s">
        <v>8297</v>
      </c>
    </row>
    <row r="402" spans="1:9" x14ac:dyDescent="0.35">
      <c r="A402" s="24" t="s">
        <v>3117</v>
      </c>
      <c r="B402" s="43" t="str">
        <f>IFERROR(INDEX(Mots!$B:$B,MATCH($A402,Mots!$A:$A,0)),"introuvable")</f>
        <v>la voix</v>
      </c>
      <c r="C402" s="24" t="s">
        <v>8298</v>
      </c>
      <c r="I402" s="24" t="s">
        <v>8299</v>
      </c>
    </row>
    <row r="403" spans="1:9" x14ac:dyDescent="0.35">
      <c r="A403" s="24" t="s">
        <v>3121</v>
      </c>
      <c r="B403" s="43" t="str">
        <f>IFERROR(INDEX(Mots!$B:$B,MATCH($A403,Mots!$A:$A,0)),"introuvable")</f>
        <v>le cerveau</v>
      </c>
      <c r="C403" s="24" t="s">
        <v>8300</v>
      </c>
    </row>
    <row r="404" spans="1:9" x14ac:dyDescent="0.35">
      <c r="A404" s="24" t="s">
        <v>3125</v>
      </c>
      <c r="B404" s="43" t="str">
        <f>IFERROR(INDEX(Mots!$B:$B,MATCH($A404,Mots!$A:$A,0)),"introuvable")</f>
        <v>le muscle</v>
      </c>
      <c r="C404" s="24" t="s">
        <v>8301</v>
      </c>
    </row>
    <row r="405" spans="1:9" x14ac:dyDescent="0.35">
      <c r="A405" s="24" t="s">
        <v>3129</v>
      </c>
      <c r="B405" s="43" t="str">
        <f>IFERROR(INDEX(Mots!$B:$B,MATCH($A405,Mots!$A:$A,0)),"introuvable")</f>
        <v>le sang</v>
      </c>
      <c r="C405" s="24" t="s">
        <v>8302</v>
      </c>
      <c r="I405" s="24" t="s">
        <v>8303</v>
      </c>
    </row>
    <row r="406" spans="1:9" x14ac:dyDescent="0.35">
      <c r="A406" s="24" t="s">
        <v>3133</v>
      </c>
      <c r="B406" s="43" t="str">
        <f>IFERROR(INDEX(Mots!$B:$B,MATCH($A406,Mots!$A:$A,0)),"introuvable")</f>
        <v>le squelette</v>
      </c>
      <c r="C406" s="24" t="s">
        <v>8304</v>
      </c>
    </row>
    <row r="407" spans="1:9" x14ac:dyDescent="0.35">
      <c r="A407" s="24" t="s">
        <v>3137</v>
      </c>
      <c r="B407" s="43" t="str">
        <f>IFERROR(INDEX(Mots!$B:$B,MATCH($A407,Mots!$A:$A,0)),"introuvable")</f>
        <v>l'estomac</v>
      </c>
      <c r="C407" s="24" t="s">
        <v>8305</v>
      </c>
      <c r="I407" s="24" t="s">
        <v>8306</v>
      </c>
    </row>
    <row r="408" spans="1:9" x14ac:dyDescent="0.35">
      <c r="A408" s="24" t="s">
        <v>3141</v>
      </c>
      <c r="B408" s="43" t="str">
        <f>IFERROR(INDEX(Mots!$B:$B,MATCH($A408,Mots!$A:$A,0)),"introuvable")</f>
        <v>l'ongle</v>
      </c>
      <c r="C408" s="24" t="s">
        <v>8307</v>
      </c>
      <c r="I408" s="24" t="s">
        <v>8308</v>
      </c>
    </row>
    <row r="409" spans="1:9" x14ac:dyDescent="0.35">
      <c r="A409" s="24" t="s">
        <v>3145</v>
      </c>
      <c r="B409" s="43" t="str">
        <f>IFERROR(INDEX(Mots!$B:$B,MATCH($A409,Mots!$A:$A,0)),"introuvable")</f>
        <v>l'os</v>
      </c>
      <c r="C409" s="24" t="s">
        <v>8309</v>
      </c>
    </row>
    <row r="410" spans="1:9" x14ac:dyDescent="0.35">
      <c r="A410" s="24" t="s">
        <v>1094</v>
      </c>
      <c r="B410" s="43" t="str">
        <f>IFERROR(INDEX(Mots!$B:$B,MATCH($A410,Mots!$A:$A,0)),"introuvable")</f>
        <v>le bonnet</v>
      </c>
      <c r="C410" s="24" t="s">
        <v>8310</v>
      </c>
      <c r="I410" s="24" t="s">
        <v>8311</v>
      </c>
    </row>
    <row r="411" spans="1:9" x14ac:dyDescent="0.35">
      <c r="A411" s="24" t="s">
        <v>1098</v>
      </c>
      <c r="B411" s="43" t="str">
        <f>IFERROR(INDEX(Mots!$B:$B,MATCH($A411,Mots!$A:$A,0)),"introuvable")</f>
        <v>le gant</v>
      </c>
      <c r="C411" s="24" t="s">
        <v>8312</v>
      </c>
      <c r="I411" s="24" t="s">
        <v>8313</v>
      </c>
    </row>
    <row r="412" spans="1:9" x14ac:dyDescent="0.35">
      <c r="A412" s="24" t="s">
        <v>1106</v>
      </c>
      <c r="B412" s="43" t="str">
        <f>IFERROR(INDEX(Mots!$B:$B,MATCH($A412,Mots!$A:$A,0)),"introuvable")</f>
        <v>l'écharpe</v>
      </c>
      <c r="C412" s="24" t="s">
        <v>8314</v>
      </c>
      <c r="I412" s="24" t="s">
        <v>8315</v>
      </c>
    </row>
    <row r="413" spans="1:9" x14ac:dyDescent="0.35">
      <c r="A413" s="24" t="s">
        <v>3280</v>
      </c>
      <c r="B413" s="43" t="str">
        <f>IFERROR(INDEX(Mots!$B:$B,MATCH($A413,Mots!$A:$A,0)),"introuvable")</f>
        <v>la jupe</v>
      </c>
      <c r="C413" s="24" t="s">
        <v>8316</v>
      </c>
      <c r="I413" s="24" t="s">
        <v>8317</v>
      </c>
    </row>
    <row r="414" spans="1:9" x14ac:dyDescent="0.35">
      <c r="A414" s="24" t="s">
        <v>9642</v>
      </c>
      <c r="B414" s="43" t="str">
        <f>IFERROR(INDEX(Mots!$B:$B,MATCH($A414,Mots!$A:$A,0)),"introuvable")</f>
        <v>la bouteille</v>
      </c>
      <c r="C414" s="24" t="s">
        <v>8318</v>
      </c>
      <c r="I414" s="24" t="s">
        <v>8319</v>
      </c>
    </row>
    <row r="415" spans="1:9" x14ac:dyDescent="0.35">
      <c r="A415" s="24" t="s">
        <v>794</v>
      </c>
      <c r="B415" s="43" t="str">
        <f>IFERROR(INDEX(Mots!$B:$B,MATCH($A415,Mots!$A:$A,0)),"introuvable")</f>
        <v>la vaisselle</v>
      </c>
      <c r="C415" s="24" t="s">
        <v>8320</v>
      </c>
      <c r="I415" s="24" t="s">
        <v>8321</v>
      </c>
    </row>
    <row r="416" spans="1:9" x14ac:dyDescent="0.35">
      <c r="A416" s="24" t="s">
        <v>1529</v>
      </c>
      <c r="B416" s="43" t="str">
        <f>IFERROR(INDEX(Mots!$B:$B,MATCH($A416,Mots!$A:$A,0)),"introuvable")</f>
        <v>le thé</v>
      </c>
      <c r="C416" s="24" t="s">
        <v>8322</v>
      </c>
      <c r="I416" s="24" t="s">
        <v>8323</v>
      </c>
    </row>
    <row r="417" spans="1:9" x14ac:dyDescent="0.35">
      <c r="A417" s="24" t="s">
        <v>1852</v>
      </c>
      <c r="B417" s="43" t="str">
        <f>IFERROR(INDEX(Mots!$B:$B,MATCH($A417,Mots!$A:$A,0)),"introuvable")</f>
        <v>la pomme</v>
      </c>
      <c r="C417" s="24" t="s">
        <v>8324</v>
      </c>
      <c r="I417" s="24" t="s">
        <v>8325</v>
      </c>
    </row>
    <row r="418" spans="1:9" x14ac:dyDescent="0.35">
      <c r="A418" s="24" t="s">
        <v>1857</v>
      </c>
      <c r="B418" s="43" t="str">
        <f>IFERROR(INDEX(Mots!$B:$B,MATCH($A418,Mots!$A:$A,0)),"introuvable")</f>
        <v>la poire</v>
      </c>
      <c r="C418" s="24" t="s">
        <v>8326</v>
      </c>
    </row>
    <row r="419" spans="1:9" x14ac:dyDescent="0.35">
      <c r="A419" s="24" t="s">
        <v>1862</v>
      </c>
      <c r="B419" s="43" t="str">
        <f>IFERROR(INDEX(Mots!$B:$B,MATCH($A419,Mots!$A:$A,0)),"introuvable")</f>
        <v>le pruneau</v>
      </c>
      <c r="C419" s="24" t="s">
        <v>8327</v>
      </c>
      <c r="I419" s="24" t="s">
        <v>8328</v>
      </c>
    </row>
    <row r="420" spans="1:9" x14ac:dyDescent="0.35">
      <c r="A420" s="24" t="s">
        <v>1867</v>
      </c>
      <c r="B420" s="43" t="str">
        <f>IFERROR(INDEX(Mots!$B:$B,MATCH($A420,Mots!$A:$A,0)),"introuvable")</f>
        <v>la cerise</v>
      </c>
      <c r="C420" s="24" t="s">
        <v>8329</v>
      </c>
    </row>
    <row r="421" spans="1:9" x14ac:dyDescent="0.35">
      <c r="A421" s="24" t="s">
        <v>1872</v>
      </c>
      <c r="B421" s="43" t="str">
        <f>IFERROR(INDEX(Mots!$B:$B,MATCH($A421,Mots!$A:$A,0)),"introuvable")</f>
        <v>l'abricot</v>
      </c>
      <c r="C421" s="24" t="s">
        <v>8330</v>
      </c>
    </row>
    <row r="422" spans="1:9" x14ac:dyDescent="0.35">
      <c r="A422" s="24" t="s">
        <v>1876</v>
      </c>
      <c r="B422" s="43" t="str">
        <f>IFERROR(INDEX(Mots!$B:$B,MATCH($A422,Mots!$A:$A,0)),"introuvable")</f>
        <v>la fraise</v>
      </c>
      <c r="C422" s="24" t="s">
        <v>8331</v>
      </c>
      <c r="I422" s="24" t="s">
        <v>8332</v>
      </c>
    </row>
    <row r="423" spans="1:9" x14ac:dyDescent="0.35">
      <c r="A423" s="24" t="s">
        <v>1880</v>
      </c>
      <c r="B423" s="43" t="str">
        <f>IFERROR(INDEX(Mots!$B:$B,MATCH($A423,Mots!$A:$A,0)),"introuvable")</f>
        <v>la framboise</v>
      </c>
      <c r="C423" s="24" t="s">
        <v>8333</v>
      </c>
    </row>
    <row r="424" spans="1:9" x14ac:dyDescent="0.35">
      <c r="A424" s="24" t="s">
        <v>1884</v>
      </c>
      <c r="B424" s="43" t="str">
        <f>IFERROR(INDEX(Mots!$B:$B,MATCH($A424,Mots!$A:$A,0)),"introuvable")</f>
        <v>la banane</v>
      </c>
      <c r="C424" s="24" t="s">
        <v>8334</v>
      </c>
      <c r="I424" s="24" t="s">
        <v>8335</v>
      </c>
    </row>
    <row r="425" spans="1:9" x14ac:dyDescent="0.35">
      <c r="A425" s="24" t="s">
        <v>1889</v>
      </c>
      <c r="B425" s="43" t="str">
        <f>IFERROR(INDEX(Mots!$B:$B,MATCH($A425,Mots!$A:$A,0)),"introuvable")</f>
        <v>l'orange</v>
      </c>
      <c r="C425" s="24" t="s">
        <v>8336</v>
      </c>
      <c r="I425" s="24" t="s">
        <v>8337</v>
      </c>
    </row>
    <row r="426" spans="1:9" x14ac:dyDescent="0.35">
      <c r="A426" s="24" t="s">
        <v>1894</v>
      </c>
      <c r="B426" s="43" t="str">
        <f>IFERROR(INDEX(Mots!$B:$B,MATCH($A426,Mots!$A:$A,0)),"introuvable")</f>
        <v>la mandarine</v>
      </c>
      <c r="C426" s="24" t="s">
        <v>8338</v>
      </c>
    </row>
    <row r="427" spans="1:9" x14ac:dyDescent="0.35">
      <c r="A427" s="24" t="s">
        <v>1899</v>
      </c>
      <c r="B427" s="43" t="str">
        <f>IFERROR(INDEX(Mots!$B:$B,MATCH($A427,Mots!$A:$A,0)),"introuvable")</f>
        <v>l'avocat</v>
      </c>
      <c r="C427" s="24" t="s">
        <v>8339</v>
      </c>
    </row>
    <row r="428" spans="1:9" x14ac:dyDescent="0.35">
      <c r="A428" s="24" t="s">
        <v>1903</v>
      </c>
      <c r="B428" s="43" t="str">
        <f>IFERROR(INDEX(Mots!$B:$B,MATCH($A428,Mots!$A:$A,0)),"introuvable")</f>
        <v>la noix</v>
      </c>
      <c r="C428" s="24" t="s">
        <v>8340</v>
      </c>
      <c r="I428" s="24" t="s">
        <v>8341</v>
      </c>
    </row>
    <row r="429" spans="1:9" x14ac:dyDescent="0.35">
      <c r="A429" s="24" t="s">
        <v>1907</v>
      </c>
      <c r="B429" s="43" t="str">
        <f>IFERROR(INDEX(Mots!$B:$B,MATCH($A429,Mots!$A:$A,0)),"introuvable")</f>
        <v>la pêche</v>
      </c>
      <c r="C429" s="24" t="s">
        <v>8342</v>
      </c>
    </row>
    <row r="430" spans="1:9" x14ac:dyDescent="0.35">
      <c r="A430" s="24" t="s">
        <v>1911</v>
      </c>
      <c r="B430" s="43" t="str">
        <f>IFERROR(INDEX(Mots!$B:$B,MATCH($A430,Mots!$A:$A,0)),"introuvable")</f>
        <v>le raisin</v>
      </c>
      <c r="C430" s="24" t="s">
        <v>8343</v>
      </c>
    </row>
    <row r="431" spans="1:9" x14ac:dyDescent="0.35">
      <c r="A431" s="24" t="s">
        <v>2036</v>
      </c>
      <c r="B431" s="43" t="str">
        <f>IFERROR(INDEX(Mots!$B:$B,MATCH($A431,Mots!$A:$A,0)),"introuvable")</f>
        <v>le brocoli</v>
      </c>
      <c r="C431" s="24" t="s">
        <v>8344</v>
      </c>
    </row>
    <row r="432" spans="1:9" x14ac:dyDescent="0.35">
      <c r="A432" s="24" t="s">
        <v>2040</v>
      </c>
      <c r="B432" s="43" t="str">
        <f>IFERROR(INDEX(Mots!$B:$B,MATCH($A432,Mots!$A:$A,0)),"introuvable")</f>
        <v>l'asperge</v>
      </c>
      <c r="C432" s="24" t="s">
        <v>8345</v>
      </c>
    </row>
    <row r="433" spans="1:9" x14ac:dyDescent="0.35">
      <c r="A433" s="24" t="s">
        <v>2048</v>
      </c>
      <c r="B433" s="43" t="str">
        <f>IFERROR(INDEX(Mots!$B:$B,MATCH($A433,Mots!$A:$A,0)),"introuvable")</f>
        <v>la salade (laitue)</v>
      </c>
      <c r="C433" s="24" t="s">
        <v>8346</v>
      </c>
      <c r="I433" s="24" t="s">
        <v>8347</v>
      </c>
    </row>
    <row r="434" spans="1:9" x14ac:dyDescent="0.35">
      <c r="A434" s="24" t="s">
        <v>2055</v>
      </c>
      <c r="B434" s="43" t="str">
        <f>IFERROR(INDEX(Mots!$B:$B,MATCH($A434,Mots!$A:$A,0)),"introuvable")</f>
        <v>la betterave à salade</v>
      </c>
      <c r="C434" s="24" t="s">
        <v>8348</v>
      </c>
    </row>
    <row r="435" spans="1:9" x14ac:dyDescent="0.35">
      <c r="A435" s="24" t="s">
        <v>2059</v>
      </c>
      <c r="B435" s="43" t="str">
        <f>IFERROR(INDEX(Mots!$B:$B,MATCH($A435,Mots!$A:$A,0)),"introuvable")</f>
        <v>le haricot</v>
      </c>
      <c r="C435" s="24" t="s">
        <v>8349</v>
      </c>
    </row>
    <row r="436" spans="1:9" x14ac:dyDescent="0.35">
      <c r="A436" s="24" t="s">
        <v>2063</v>
      </c>
      <c r="B436" s="43" t="str">
        <f>IFERROR(INDEX(Mots!$B:$B,MATCH($A436,Mots!$A:$A,0)),"introuvable")</f>
        <v>l'oignon</v>
      </c>
      <c r="C436" s="24" t="s">
        <v>8350</v>
      </c>
      <c r="I436" s="24" t="s">
        <v>8351</v>
      </c>
    </row>
    <row r="437" spans="1:9" x14ac:dyDescent="0.35">
      <c r="A437" s="24" t="s">
        <v>2680</v>
      </c>
      <c r="B437" s="43" t="str">
        <f>IFERROR(INDEX(Mots!$B:$B,MATCH($A437,Mots!$A:$A,0)),"introuvable")</f>
        <v>les cornettes</v>
      </c>
      <c r="C437" s="24" t="s">
        <v>8352</v>
      </c>
    </row>
    <row r="438" spans="1:9" x14ac:dyDescent="0.35">
      <c r="A438" s="24" t="s">
        <v>2689</v>
      </c>
      <c r="B438" s="43" t="str">
        <f>IFERROR(INDEX(Mots!$B:$B,MATCH($A438,Mots!$A:$A,0)),"introuvable")</f>
        <v>les pennes</v>
      </c>
      <c r="C438" s="24" t="s">
        <v>8353</v>
      </c>
    </row>
    <row r="439" spans="1:9" x14ac:dyDescent="0.35">
      <c r="A439" s="24" t="s">
        <v>2702</v>
      </c>
      <c r="B439" s="43" t="str">
        <f>IFERROR(INDEX(Mots!$B:$B,MATCH($A439,Mots!$A:$A,0)),"introuvable")</f>
        <v>la polenta</v>
      </c>
      <c r="C439" s="24" t="s">
        <v>8354</v>
      </c>
    </row>
    <row r="440" spans="1:9" x14ac:dyDescent="0.35">
      <c r="A440" s="24" t="s">
        <v>2706</v>
      </c>
      <c r="B440" s="43" t="str">
        <f>IFERROR(INDEX(Mots!$B:$B,MATCH($A440,Mots!$A:$A,0)),"introuvable")</f>
        <v>la fondue</v>
      </c>
      <c r="C440" s="24" t="s">
        <v>8355</v>
      </c>
      <c r="I440" s="24" t="s">
        <v>8356</v>
      </c>
    </row>
    <row r="441" spans="1:9" x14ac:dyDescent="0.35">
      <c r="A441" s="24" t="s">
        <v>2710</v>
      </c>
      <c r="B441" s="43" t="str">
        <f>IFERROR(INDEX(Mots!$B:$B,MATCH($A441,Mots!$A:$A,0)),"introuvable")</f>
        <v>la raclette</v>
      </c>
      <c r="C441" s="24" t="s">
        <v>8357</v>
      </c>
      <c r="I441" s="24" t="s">
        <v>8358</v>
      </c>
    </row>
    <row r="442" spans="1:9" x14ac:dyDescent="0.35">
      <c r="A442" s="24" t="s">
        <v>771</v>
      </c>
      <c r="B442" s="43" t="str">
        <f>IFERROR(INDEX(Mots!$B:$B,MATCH($A442,Mots!$A:$A,0)),"introuvable")</f>
        <v>le caquelon et le réchaud</v>
      </c>
      <c r="C442" s="24" t="s">
        <v>8359</v>
      </c>
    </row>
    <row r="443" spans="1:9" x14ac:dyDescent="0.35">
      <c r="A443" s="24" t="s">
        <v>3152</v>
      </c>
      <c r="B443" s="43" t="str">
        <f>IFERROR(INDEX(Mots!$B:$B,MATCH($A443,Mots!$A:$A,0)),"introuvable")</f>
        <v>la serpillière</v>
      </c>
      <c r="C443" s="24" t="s">
        <v>8360</v>
      </c>
      <c r="I443" s="24" t="s">
        <v>8361</v>
      </c>
    </row>
    <row r="444" spans="1:9" x14ac:dyDescent="0.35">
      <c r="A444" s="24" t="s">
        <v>3164</v>
      </c>
      <c r="B444" s="43" t="str">
        <f>IFERROR(INDEX(Mots!$B:$B,MATCH($A444,Mots!$A:$A,0)),"introuvable")</f>
        <v>le chiffon</v>
      </c>
      <c r="C444" s="24" t="s">
        <v>8362</v>
      </c>
      <c r="I444" s="24" t="s">
        <v>8363</v>
      </c>
    </row>
    <row r="445" spans="1:9" x14ac:dyDescent="0.35">
      <c r="A445" s="24" t="s">
        <v>3177</v>
      </c>
      <c r="B445" s="43" t="str">
        <f>IFERROR(INDEX(Mots!$B:$B,MATCH($A445,Mots!$A:$A,0)),"introuvable")</f>
        <v>l'éponge</v>
      </c>
      <c r="C445" s="24" t="s">
        <v>8364</v>
      </c>
      <c r="I445" s="24" t="s">
        <v>8365</v>
      </c>
    </row>
    <row r="446" spans="1:9" x14ac:dyDescent="0.35">
      <c r="A446" s="24" t="s">
        <v>3215</v>
      </c>
      <c r="B446" s="43" t="str">
        <f>IFERROR(INDEX(Mots!$B:$B,MATCH($A446,Mots!$A:$A,0)),"introuvable")</f>
        <v>la lessive</v>
      </c>
      <c r="C446" s="24" t="s">
        <v>8366</v>
      </c>
      <c r="I446" s="24" t="s">
        <v>8367</v>
      </c>
    </row>
    <row r="447" spans="1:9" x14ac:dyDescent="0.35">
      <c r="A447" s="24" t="s">
        <v>3219</v>
      </c>
      <c r="B447" s="43" t="str">
        <f>IFERROR(INDEX(Mots!$B:$B,MATCH($A447,Mots!$A:$A,0)),"introuvable")</f>
        <v>le linge</v>
      </c>
      <c r="C447" s="24" t="s">
        <v>8368</v>
      </c>
      <c r="I447" s="24" t="s">
        <v>8369</v>
      </c>
    </row>
    <row r="448" spans="1:9" x14ac:dyDescent="0.35">
      <c r="A448" s="24" t="s">
        <v>3254</v>
      </c>
      <c r="B448" s="43" t="str">
        <f>IFERROR(INDEX(Mots!$B:$B,MATCH($A448,Mots!$A:$A,0)),"introuvable")</f>
        <v>l'entonnoir</v>
      </c>
      <c r="C448" s="24" t="s">
        <v>8370</v>
      </c>
    </row>
    <row r="449" spans="1:9" x14ac:dyDescent="0.35">
      <c r="A449" s="24" t="s">
        <v>2321</v>
      </c>
      <c r="B449" s="43" t="str">
        <f>IFERROR(INDEX(Mots!$B:$B,MATCH($A449,Mots!$A:$A,0)),"introuvable")</f>
        <v>la clé</v>
      </c>
      <c r="C449" s="24" t="s">
        <v>8371</v>
      </c>
      <c r="I449" s="24" t="s">
        <v>8372</v>
      </c>
    </row>
    <row r="450" spans="1:9" x14ac:dyDescent="0.35">
      <c r="A450" s="24" t="s">
        <v>2333</v>
      </c>
      <c r="B450" s="43" t="str">
        <f>IFERROR(INDEX(Mots!$B:$B,MATCH($A450,Mots!$A:$A,0)),"introuvable")</f>
        <v>le porte-monnaie</v>
      </c>
      <c r="C450" s="24" t="s">
        <v>8373</v>
      </c>
    </row>
    <row r="451" spans="1:9" x14ac:dyDescent="0.35">
      <c r="A451" s="24" t="s">
        <v>2970</v>
      </c>
      <c r="B451" s="43" t="str">
        <f>IFERROR(INDEX(Mots!$B:$B,MATCH($A451,Mots!$A:$A,0)),"introuvable")</f>
        <v>la portière</v>
      </c>
      <c r="C451" s="24" t="s">
        <v>8374</v>
      </c>
      <c r="I451" s="24" t="s">
        <v>8375</v>
      </c>
    </row>
    <row r="452" spans="1:9" x14ac:dyDescent="0.35">
      <c r="A452" s="24" t="s">
        <v>2978</v>
      </c>
      <c r="B452" s="43" t="str">
        <f>IFERROR(INDEX(Mots!$B:$B,MATCH($A452,Mots!$A:$A,0)),"introuvable")</f>
        <v>le clignotant</v>
      </c>
      <c r="C452" s="24" t="s">
        <v>8376</v>
      </c>
      <c r="I452" s="24" t="s">
        <v>8377</v>
      </c>
    </row>
    <row r="453" spans="1:9" x14ac:dyDescent="0.35">
      <c r="A453" s="24" t="s">
        <v>2982</v>
      </c>
      <c r="B453" s="43" t="str">
        <f>IFERROR(INDEX(Mots!$B:$B,MATCH($A453,Mots!$A:$A,0)),"introuvable")</f>
        <v>le klaxon</v>
      </c>
      <c r="C453" s="24" t="s">
        <v>8378</v>
      </c>
      <c r="I453" s="24" t="s">
        <v>8379</v>
      </c>
    </row>
    <row r="454" spans="1:9" x14ac:dyDescent="0.35">
      <c r="A454" s="24" t="s">
        <v>2990</v>
      </c>
      <c r="B454" s="43" t="str">
        <f>IFERROR(INDEX(Mots!$B:$B,MATCH($A454,Mots!$A:$A,0)),"introuvable")</f>
        <v>le phare</v>
      </c>
      <c r="C454" s="24" t="s">
        <v>8380</v>
      </c>
      <c r="I454" s="24" t="s">
        <v>8381</v>
      </c>
    </row>
    <row r="455" spans="1:9" x14ac:dyDescent="0.35">
      <c r="A455" s="24" t="s">
        <v>2998</v>
      </c>
      <c r="B455" s="43" t="str">
        <f>IFERROR(INDEX(Mots!$B:$B,MATCH($A455,Mots!$A:$A,0)),"introuvable")</f>
        <v>le rétroviseur</v>
      </c>
      <c r="C455" s="24" t="s">
        <v>8382</v>
      </c>
    </row>
    <row r="456" spans="1:9" x14ac:dyDescent="0.35">
      <c r="A456" s="24" t="s">
        <v>3025</v>
      </c>
      <c r="B456" s="43" t="str">
        <f>IFERROR(INDEX(Mots!$B:$B,MATCH($A456,Mots!$A:$A,0)),"introuvable")</f>
        <v>la vitesse</v>
      </c>
      <c r="C456" s="24" t="s">
        <v>8383</v>
      </c>
      <c r="I456" s="24" t="s">
        <v>8384</v>
      </c>
    </row>
    <row r="457" spans="1:9" x14ac:dyDescent="0.35">
      <c r="A457" s="24" t="s">
        <v>1398</v>
      </c>
      <c r="B457" s="43" t="str">
        <f>IFERROR(INDEX(Mots!$B:$B,MATCH($A457,Mots!$A:$A,0)),"introuvable")</f>
        <v>la pièce de monnaie</v>
      </c>
      <c r="C457" s="24" t="s">
        <v>8385</v>
      </c>
    </row>
    <row r="458" spans="1:9" x14ac:dyDescent="0.35">
      <c r="A458" s="24" t="s">
        <v>1402</v>
      </c>
      <c r="B458" s="43" t="str">
        <f>IFERROR(INDEX(Mots!$B:$B,MATCH($A458,Mots!$A:$A,0)),"introuvable")</f>
        <v>le code</v>
      </c>
      <c r="C458" s="24" t="s">
        <v>8386</v>
      </c>
      <c r="I458" s="24" t="s">
        <v>8387</v>
      </c>
    </row>
    <row r="459" spans="1:9" x14ac:dyDescent="0.35">
      <c r="A459" s="24" t="s">
        <v>1406</v>
      </c>
      <c r="B459" s="43" t="str">
        <f>IFERROR(INDEX(Mots!$B:$B,MATCH($A459,Mots!$A:$A,0)),"introuvable")</f>
        <v>le compte</v>
      </c>
      <c r="C459" s="24" t="s">
        <v>8388</v>
      </c>
    </row>
    <row r="460" spans="1:9" x14ac:dyDescent="0.35">
      <c r="A460" s="24" t="s">
        <v>1410</v>
      </c>
      <c r="B460" s="43" t="str">
        <f>IFERROR(INDEX(Mots!$B:$B,MATCH($A460,Mots!$A:$A,0)),"introuvable")</f>
        <v>le guichet</v>
      </c>
      <c r="C460" s="24" t="s">
        <v>8389</v>
      </c>
      <c r="I460" s="24" t="s">
        <v>8390</v>
      </c>
    </row>
    <row r="461" spans="1:9" x14ac:dyDescent="0.35">
      <c r="A461" s="24" t="s">
        <v>1414</v>
      </c>
      <c r="B461" s="43" t="str">
        <f>IFERROR(INDEX(Mots!$B:$B,MATCH($A461,Mots!$A:$A,0)),"introuvable")</f>
        <v>le retrait</v>
      </c>
      <c r="C461" s="24" t="s">
        <v>8391</v>
      </c>
      <c r="I461" s="24" t="s">
        <v>8392</v>
      </c>
    </row>
    <row r="462" spans="1:9" x14ac:dyDescent="0.35">
      <c r="A462" s="24" t="s">
        <v>1418</v>
      </c>
      <c r="B462" s="43" t="str">
        <f>IFERROR(INDEX(Mots!$B:$B,MATCH($A462,Mots!$A:$A,0)),"introuvable")</f>
        <v>le solde</v>
      </c>
      <c r="C462" s="24" t="s">
        <v>8393</v>
      </c>
    </row>
    <row r="463" spans="1:9" x14ac:dyDescent="0.35">
      <c r="A463" s="24" t="s">
        <v>1422</v>
      </c>
      <c r="B463" s="43" t="str">
        <f>IFERROR(INDEX(Mots!$B:$B,MATCH($A463,Mots!$A:$A,0)),"introuvable")</f>
        <v>le virement</v>
      </c>
      <c r="C463" s="24" t="s">
        <v>8394</v>
      </c>
      <c r="I463" s="24" t="s">
        <v>8395</v>
      </c>
    </row>
    <row r="464" spans="1:9" x14ac:dyDescent="0.35">
      <c r="A464" s="24" t="s">
        <v>1390</v>
      </c>
      <c r="B464" s="43" t="str">
        <f>IFERROR(INDEX(Mots!$B:$B,MATCH($A464,Mots!$A:$A,0)),"introuvable")</f>
        <v>le prêt hypothécaire</v>
      </c>
      <c r="C464" s="24" t="s">
        <v>8396</v>
      </c>
    </row>
    <row r="465" spans="1:9" x14ac:dyDescent="0.35">
      <c r="A465" s="24" t="s">
        <v>678</v>
      </c>
      <c r="B465" s="43" t="str">
        <f>IFERROR(INDEX(Mots!$B:$B,MATCH($A465,Mots!$A:$A,0)),"introuvable")</f>
        <v>le spectacle</v>
      </c>
      <c r="C465" s="24" t="s">
        <v>8397</v>
      </c>
      <c r="I465" s="24" t="s">
        <v>8398</v>
      </c>
    </row>
    <row r="466" spans="1:9" x14ac:dyDescent="0.35">
      <c r="A466" s="24" t="s">
        <v>3410</v>
      </c>
      <c r="B466" s="43" t="str">
        <f>IFERROR(INDEX(Mots!$B:$B,MATCH($A466,Mots!$A:$A,0)),"introuvable")</f>
        <v>accepter</v>
      </c>
      <c r="C466" s="24" t="s">
        <v>8399</v>
      </c>
      <c r="I466" s="24" t="s">
        <v>8400</v>
      </c>
    </row>
    <row r="467" spans="1:9" x14ac:dyDescent="0.35">
      <c r="A467" s="24" t="s">
        <v>3419</v>
      </c>
      <c r="B467" s="43" t="str">
        <f>IFERROR(INDEX(Mots!$B:$B,MATCH($A467,Mots!$A:$A,0)),"introuvable")</f>
        <v>acheter</v>
      </c>
      <c r="C467" s="24" t="s">
        <v>8401</v>
      </c>
      <c r="I467" s="24" t="s">
        <v>8402</v>
      </c>
    </row>
    <row r="468" spans="1:9" x14ac:dyDescent="0.35">
      <c r="A468" s="24" t="s">
        <v>3439</v>
      </c>
      <c r="B468" s="43" t="str">
        <f>IFERROR(INDEX(Mots!$B:$B,MATCH($A468,Mots!$A:$A,0)),"introuvable")</f>
        <v>aider</v>
      </c>
      <c r="C468" s="24" t="s">
        <v>8403</v>
      </c>
      <c r="I468" s="24" t="s">
        <v>8404</v>
      </c>
    </row>
    <row r="469" spans="1:9" x14ac:dyDescent="0.35">
      <c r="A469" s="24" t="s">
        <v>3455</v>
      </c>
      <c r="B469" s="43" t="str">
        <f>IFERROR(INDEX(Mots!$B:$B,MATCH($A469,Mots!$A:$A,0)),"introuvable")</f>
        <v>aimer</v>
      </c>
      <c r="C469" s="24" t="s">
        <v>8405</v>
      </c>
      <c r="I469" s="24" t="s">
        <v>8406</v>
      </c>
    </row>
    <row r="470" spans="1:9" x14ac:dyDescent="0.35">
      <c r="A470" s="24" t="s">
        <v>3463</v>
      </c>
      <c r="B470" s="43" t="str">
        <f>IFERROR(INDEX(Mots!$B:$B,MATCH($A470,Mots!$A:$A,0)),"introuvable")</f>
        <v>aller</v>
      </c>
      <c r="C470" s="24" t="s">
        <v>8407</v>
      </c>
      <c r="I470" s="24" t="s">
        <v>8408</v>
      </c>
    </row>
    <row r="471" spans="1:9" x14ac:dyDescent="0.35">
      <c r="A471" s="24" t="s">
        <v>3471</v>
      </c>
      <c r="B471" s="43" t="str">
        <f>IFERROR(INDEX(Mots!$B:$B,MATCH($A471,Mots!$A:$A,0)),"introuvable")</f>
        <v>annoncer</v>
      </c>
      <c r="C471" s="24" t="s">
        <v>8409</v>
      </c>
      <c r="I471" s="24" t="s">
        <v>8410</v>
      </c>
    </row>
    <row r="472" spans="1:9" x14ac:dyDescent="0.35">
      <c r="A472" s="24" t="s">
        <v>3478</v>
      </c>
      <c r="B472" s="43" t="str">
        <f>IFERROR(INDEX(Mots!$B:$B,MATCH($A472,Mots!$A:$A,0)),"introuvable")</f>
        <v>appeler</v>
      </c>
      <c r="C472" s="24" t="s">
        <v>8411</v>
      </c>
      <c r="I472" s="24" t="s">
        <v>8412</v>
      </c>
    </row>
    <row r="473" spans="1:9" x14ac:dyDescent="0.35">
      <c r="A473" s="24" t="s">
        <v>3486</v>
      </c>
      <c r="B473" s="43" t="str">
        <f>IFERROR(INDEX(Mots!$B:$B,MATCH($A473,Mots!$A:$A,0)),"introuvable")</f>
        <v>apprendre</v>
      </c>
      <c r="C473" s="24" t="s">
        <v>8413</v>
      </c>
      <c r="I473" s="24" t="s">
        <v>8414</v>
      </c>
    </row>
    <row r="474" spans="1:9" x14ac:dyDescent="0.35">
      <c r="A474" s="24" t="s">
        <v>3529</v>
      </c>
      <c r="B474" s="43" t="str">
        <f>IFERROR(INDEX(Mots!$B:$B,MATCH($A474,Mots!$A:$A,0)),"introuvable")</f>
        <v>avoir</v>
      </c>
      <c r="C474" s="24" t="s">
        <v>8415</v>
      </c>
      <c r="I474" s="24" t="s">
        <v>8416</v>
      </c>
    </row>
    <row r="475" spans="1:9" x14ac:dyDescent="0.35">
      <c r="A475" s="24" t="s">
        <v>3533</v>
      </c>
      <c r="B475" s="43" t="str">
        <f>IFERROR(INDEX(Mots!$B:$B,MATCH($A475,Mots!$A:$A,0)),"introuvable")</f>
        <v>avouer</v>
      </c>
      <c r="C475" s="24" t="s">
        <v>8417</v>
      </c>
      <c r="I475" s="24" t="s">
        <v>8418</v>
      </c>
    </row>
    <row r="476" spans="1:9" x14ac:dyDescent="0.35">
      <c r="A476" s="24" t="s">
        <v>3553</v>
      </c>
      <c r="B476" s="43" t="str">
        <f>IFERROR(INDEX(Mots!$B:$B,MATCH($A476,Mots!$A:$A,0)),"introuvable")</f>
        <v>boire</v>
      </c>
      <c r="C476" s="24" t="s">
        <v>8419</v>
      </c>
      <c r="I476" s="24" t="s">
        <v>8420</v>
      </c>
    </row>
    <row r="477" spans="1:9" x14ac:dyDescent="0.35">
      <c r="A477" s="24" t="s">
        <v>3566</v>
      </c>
      <c r="B477" s="43" t="str">
        <f>IFERROR(INDEX(Mots!$B:$B,MATCH($A477,Mots!$A:$A,0)),"introuvable")</f>
        <v>cacher</v>
      </c>
      <c r="C477" s="24" t="s">
        <v>8421</v>
      </c>
      <c r="I477" s="24" t="s">
        <v>8422</v>
      </c>
    </row>
    <row r="478" spans="1:9" x14ac:dyDescent="0.35">
      <c r="A478" s="24" t="s">
        <v>3576</v>
      </c>
      <c r="B478" s="43" t="str">
        <f>IFERROR(INDEX(Mots!$B:$B,MATCH($A478,Mots!$A:$A,0)),"introuvable")</f>
        <v>casser</v>
      </c>
      <c r="C478" s="24" t="s">
        <v>8423</v>
      </c>
      <c r="I478" s="24" t="s">
        <v>8424</v>
      </c>
    </row>
    <row r="479" spans="1:9" x14ac:dyDescent="0.35">
      <c r="A479" s="24" t="s">
        <v>3593</v>
      </c>
      <c r="B479" s="43" t="str">
        <f>IFERROR(INDEX(Mots!$B:$B,MATCH($A479,Mots!$A:$A,0)),"introuvable")</f>
        <v>chanter</v>
      </c>
      <c r="C479" s="24" t="s">
        <v>8425</v>
      </c>
      <c r="I479" s="24" t="s">
        <v>8426</v>
      </c>
    </row>
    <row r="480" spans="1:9" x14ac:dyDescent="0.35">
      <c r="A480" s="24" t="s">
        <v>3601</v>
      </c>
      <c r="B480" s="43" t="str">
        <f>IFERROR(INDEX(Mots!$B:$B,MATCH($A480,Mots!$A:$A,0)),"introuvable")</f>
        <v>chercher</v>
      </c>
      <c r="C480" s="24" t="s">
        <v>8427</v>
      </c>
      <c r="I480" s="24" t="s">
        <v>8428</v>
      </c>
    </row>
    <row r="481" spans="1:9" x14ac:dyDescent="0.35">
      <c r="A481" s="24" t="s">
        <v>3657</v>
      </c>
      <c r="B481" s="43" t="str">
        <f>IFERROR(INDEX(Mots!$B:$B,MATCH($A481,Mots!$A:$A,0)),"introuvable")</f>
        <v>comprendre</v>
      </c>
      <c r="C481" s="24" t="s">
        <v>8429</v>
      </c>
      <c r="I481" s="24" t="s">
        <v>8430</v>
      </c>
    </row>
    <row r="482" spans="1:9" x14ac:dyDescent="0.35">
      <c r="A482" s="24" t="s">
        <v>3663</v>
      </c>
      <c r="B482" s="43" t="str">
        <f>IFERROR(INDEX(Mots!$B:$B,MATCH($A482,Mots!$A:$A,0)),"introuvable")</f>
        <v>compter</v>
      </c>
      <c r="C482" s="24" t="s">
        <v>8431</v>
      </c>
      <c r="I482" s="24" t="s">
        <v>8432</v>
      </c>
    </row>
    <row r="483" spans="1:9" x14ac:dyDescent="0.35">
      <c r="A483" s="24" t="s">
        <v>3677</v>
      </c>
      <c r="B483" s="43" t="str">
        <f>IFERROR(INDEX(Mots!$B:$B,MATCH($A483,Mots!$A:$A,0)),"introuvable")</f>
        <v>connaître</v>
      </c>
      <c r="C483" s="24" t="s">
        <v>8433</v>
      </c>
      <c r="I483" s="24" t="s">
        <v>8434</v>
      </c>
    </row>
    <row r="484" spans="1:9" x14ac:dyDescent="0.35">
      <c r="A484" s="24" t="s">
        <v>3681</v>
      </c>
      <c r="B484" s="43" t="str">
        <f>IFERROR(INDEX(Mots!$B:$B,MATCH($A484,Mots!$A:$A,0)),"introuvable")</f>
        <v>conseiller</v>
      </c>
      <c r="C484" s="24" t="s">
        <v>8435</v>
      </c>
      <c r="I484" s="24" t="s">
        <v>8436</v>
      </c>
    </row>
    <row r="485" spans="1:9" x14ac:dyDescent="0.35">
      <c r="A485" s="24" t="s">
        <v>3702</v>
      </c>
      <c r="B485" s="43" t="str">
        <f>IFERROR(INDEX(Mots!$B:$B,MATCH($A485,Mots!$A:$A,0)),"introuvable")</f>
        <v>couper</v>
      </c>
      <c r="C485" s="24" t="s">
        <v>8437</v>
      </c>
      <c r="I485" s="24" t="s">
        <v>8438</v>
      </c>
    </row>
    <row r="486" spans="1:9" x14ac:dyDescent="0.35">
      <c r="A486" s="24" t="s">
        <v>3710</v>
      </c>
      <c r="B486" s="43" t="str">
        <f>IFERROR(INDEX(Mots!$B:$B,MATCH($A486,Mots!$A:$A,0)),"introuvable")</f>
        <v>courir</v>
      </c>
      <c r="C486" s="24" t="s">
        <v>8439</v>
      </c>
      <c r="I486" s="24" t="s">
        <v>8440</v>
      </c>
    </row>
    <row r="487" spans="1:9" x14ac:dyDescent="0.35">
      <c r="A487" s="24" t="s">
        <v>3725</v>
      </c>
      <c r="B487" s="43" t="str">
        <f>IFERROR(INDEX(Mots!$B:$B,MATCH($A487,Mots!$A:$A,0)),"introuvable")</f>
        <v>crier</v>
      </c>
      <c r="C487" s="24" t="s">
        <v>8441</v>
      </c>
      <c r="I487" s="24" t="s">
        <v>8442</v>
      </c>
    </row>
    <row r="488" spans="1:9" x14ac:dyDescent="0.35">
      <c r="A488" s="24" t="s">
        <v>3733</v>
      </c>
      <c r="B488" s="43" t="str">
        <f>IFERROR(INDEX(Mots!$B:$B,MATCH($A488,Mots!$A:$A,0)),"introuvable")</f>
        <v>croire</v>
      </c>
      <c r="C488" s="24" t="s">
        <v>8443</v>
      </c>
    </row>
    <row r="489" spans="1:9" x14ac:dyDescent="0.35">
      <c r="A489" s="24" t="s">
        <v>3739</v>
      </c>
      <c r="B489" s="43" t="str">
        <f>IFERROR(INDEX(Mots!$B:$B,MATCH($A489,Mots!$A:$A,0)),"introuvable")</f>
        <v>cuire</v>
      </c>
      <c r="C489" s="24" t="s">
        <v>8444</v>
      </c>
      <c r="I489" s="24" t="s">
        <v>8445</v>
      </c>
    </row>
    <row r="490" spans="1:9" x14ac:dyDescent="0.35">
      <c r="A490" s="24" t="s">
        <v>3764</v>
      </c>
      <c r="B490" s="43" t="str">
        <f>IFERROR(INDEX(Mots!$B:$B,MATCH($A490,Mots!$A:$A,0)),"introuvable")</f>
        <v>danser</v>
      </c>
      <c r="C490" s="24" t="s">
        <v>8446</v>
      </c>
      <c r="I490" s="24" t="s">
        <v>8447</v>
      </c>
    </row>
    <row r="491" spans="1:9" x14ac:dyDescent="0.35">
      <c r="A491" s="24" t="s">
        <v>3772</v>
      </c>
      <c r="B491" s="43" t="str">
        <f>IFERROR(INDEX(Mots!$B:$B,MATCH($A491,Mots!$A:$A,0)),"introuvable")</f>
        <v>décider</v>
      </c>
      <c r="C491" s="24" t="s">
        <v>8448</v>
      </c>
      <c r="I491" s="24" t="s">
        <v>8449</v>
      </c>
    </row>
    <row r="492" spans="1:9" x14ac:dyDescent="0.35">
      <c r="A492" s="24" t="s">
        <v>3794</v>
      </c>
      <c r="B492" s="43" t="str">
        <f>IFERROR(INDEX(Mots!$B:$B,MATCH($A492,Mots!$A:$A,0)),"introuvable")</f>
        <v>demander</v>
      </c>
      <c r="C492" s="24" t="s">
        <v>8450</v>
      </c>
      <c r="I492" s="24" t="s">
        <v>8451</v>
      </c>
    </row>
    <row r="493" spans="1:9" x14ac:dyDescent="0.35">
      <c r="A493" s="24" t="s">
        <v>3801</v>
      </c>
      <c r="B493" s="43" t="str">
        <f>IFERROR(INDEX(Mots!$B:$B,MATCH($A493,Mots!$A:$A,0)),"introuvable")</f>
        <v>descendre</v>
      </c>
      <c r="C493" s="24" t="s">
        <v>8452</v>
      </c>
      <c r="I493" s="24" t="s">
        <v>8453</v>
      </c>
    </row>
    <row r="494" spans="1:9" x14ac:dyDescent="0.35">
      <c r="A494" s="24" t="s">
        <v>3809</v>
      </c>
      <c r="B494" s="43" t="str">
        <f>IFERROR(INDEX(Mots!$B:$B,MATCH($A494,Mots!$A:$A,0)),"introuvable")</f>
        <v>deviner</v>
      </c>
      <c r="C494" s="24" t="s">
        <v>8454</v>
      </c>
      <c r="I494" s="24" t="s">
        <v>8455</v>
      </c>
    </row>
    <row r="495" spans="1:9" x14ac:dyDescent="0.35">
      <c r="A495" s="24" t="s">
        <v>3818</v>
      </c>
      <c r="B495" s="43" t="str">
        <f>IFERROR(INDEX(Mots!$B:$B,MATCH($A495,Mots!$A:$A,0)),"introuvable")</f>
        <v>dire</v>
      </c>
      <c r="C495" s="24" t="s">
        <v>8456</v>
      </c>
      <c r="I495" s="24" t="s">
        <v>8457</v>
      </c>
    </row>
    <row r="496" spans="1:9" x14ac:dyDescent="0.35">
      <c r="A496" s="24" t="s">
        <v>3830</v>
      </c>
      <c r="B496" s="43" t="str">
        <f>IFERROR(INDEX(Mots!$B:$B,MATCH($A496,Mots!$A:$A,0)),"introuvable")</f>
        <v>donner</v>
      </c>
      <c r="C496" s="24" t="s">
        <v>8458</v>
      </c>
      <c r="I496" s="24" t="s">
        <v>8459</v>
      </c>
    </row>
    <row r="497" spans="1:9" x14ac:dyDescent="0.35">
      <c r="A497" s="24" t="s">
        <v>3836</v>
      </c>
      <c r="B497" s="43" t="str">
        <f>IFERROR(INDEX(Mots!$B:$B,MATCH($A497,Mots!$A:$A,0)),"introuvable")</f>
        <v>dormir</v>
      </c>
      <c r="C497" s="24" t="s">
        <v>8460</v>
      </c>
      <c r="I497" s="24" t="s">
        <v>8461</v>
      </c>
    </row>
    <row r="498" spans="1:9" x14ac:dyDescent="0.35">
      <c r="A498" s="24" t="s">
        <v>3857</v>
      </c>
      <c r="B498" s="43" t="str">
        <f>IFERROR(INDEX(Mots!$B:$B,MATCH($A498,Mots!$A:$A,0)),"introuvable")</f>
        <v>douter</v>
      </c>
      <c r="C498" s="24" t="s">
        <v>8462</v>
      </c>
    </row>
    <row r="499" spans="1:9" x14ac:dyDescent="0.35">
      <c r="A499" s="24" t="s">
        <v>3862</v>
      </c>
      <c r="B499" s="43" t="str">
        <f>IFERROR(INDEX(Mots!$B:$B,MATCH($A499,Mots!$A:$A,0)),"introuvable")</f>
        <v>écouter</v>
      </c>
      <c r="C499" s="24" t="s">
        <v>8463</v>
      </c>
      <c r="I499" s="24" t="s">
        <v>8464</v>
      </c>
    </row>
    <row r="500" spans="1:9" x14ac:dyDescent="0.35">
      <c r="A500" s="24" t="s">
        <v>3870</v>
      </c>
      <c r="B500" s="43" t="str">
        <f>IFERROR(INDEX(Mots!$B:$B,MATCH($A500,Mots!$A:$A,0)),"introuvable")</f>
        <v>écrire</v>
      </c>
      <c r="C500" s="24" t="s">
        <v>8465</v>
      </c>
      <c r="I500" s="24" t="s">
        <v>8466</v>
      </c>
    </row>
    <row r="501" spans="1:9" x14ac:dyDescent="0.35">
      <c r="A501" s="24" t="s">
        <v>3908</v>
      </c>
      <c r="B501" s="43" t="str">
        <f>IFERROR(INDEX(Mots!$B:$B,MATCH($A501,Mots!$A:$A,0)),"introuvable")</f>
        <v>entendre</v>
      </c>
      <c r="C501" s="24" t="s">
        <v>8467</v>
      </c>
      <c r="I501" s="24" t="s">
        <v>8468</v>
      </c>
    </row>
    <row r="502" spans="1:9" x14ac:dyDescent="0.35">
      <c r="A502" s="24" t="s">
        <v>3916</v>
      </c>
      <c r="B502" s="43" t="str">
        <f>IFERROR(INDEX(Mots!$B:$B,MATCH($A502,Mots!$A:$A,0)),"introuvable")</f>
        <v>entrer</v>
      </c>
      <c r="C502" s="24" t="s">
        <v>8469</v>
      </c>
      <c r="I502" s="24" t="s">
        <v>8470</v>
      </c>
    </row>
    <row r="503" spans="1:9" x14ac:dyDescent="0.35">
      <c r="A503" s="24" t="s">
        <v>3929</v>
      </c>
      <c r="B503" s="43" t="str">
        <f>IFERROR(INDEX(Mots!$B:$B,MATCH($A503,Mots!$A:$A,0)),"introuvable")</f>
        <v>essayer</v>
      </c>
      <c r="C503" s="24" t="s">
        <v>8471</v>
      </c>
      <c r="I503" s="24" t="s">
        <v>8472</v>
      </c>
    </row>
    <row r="504" spans="1:9" x14ac:dyDescent="0.35">
      <c r="A504" s="24" t="s">
        <v>3937</v>
      </c>
      <c r="B504" s="43" t="str">
        <f>IFERROR(INDEX(Mots!$B:$B,MATCH($A504,Mots!$A:$A,0)),"introuvable")</f>
        <v>expliquer</v>
      </c>
      <c r="C504" s="24" t="s">
        <v>8473</v>
      </c>
      <c r="I504" s="24" t="s">
        <v>8474</v>
      </c>
    </row>
    <row r="505" spans="1:9" x14ac:dyDescent="0.35">
      <c r="A505" s="24" t="s">
        <v>3947</v>
      </c>
      <c r="B505" s="43" t="str">
        <f>IFERROR(INDEX(Mots!$B:$B,MATCH($A505,Mots!$A:$A,0)),"introuvable")</f>
        <v>faire</v>
      </c>
      <c r="C505" s="24" t="s">
        <v>8475</v>
      </c>
      <c r="I505" s="24" t="s">
        <v>8476</v>
      </c>
    </row>
    <row r="506" spans="1:9" x14ac:dyDescent="0.35">
      <c r="A506" s="24" t="s">
        <v>3959</v>
      </c>
      <c r="B506" s="43" t="str">
        <f>IFERROR(INDEX(Mots!$B:$B,MATCH($A506,Mots!$A:$A,0)),"introuvable")</f>
        <v>féliciter</v>
      </c>
      <c r="C506" s="24" t="s">
        <v>8477</v>
      </c>
      <c r="I506" s="24" t="s">
        <v>8478</v>
      </c>
    </row>
    <row r="507" spans="1:9" x14ac:dyDescent="0.35">
      <c r="A507" s="24" t="s">
        <v>3978</v>
      </c>
      <c r="B507" s="43" t="str">
        <f>IFERROR(INDEX(Mots!$B:$B,MATCH($A507,Mots!$A:$A,0)),"introuvable")</f>
        <v>finir</v>
      </c>
      <c r="C507" s="24" t="s">
        <v>8479</v>
      </c>
      <c r="I507" s="24" t="s">
        <v>8480</v>
      </c>
    </row>
    <row r="508" spans="1:9" x14ac:dyDescent="0.35">
      <c r="A508" s="24" t="s">
        <v>3987</v>
      </c>
      <c r="B508" s="43" t="str">
        <f>IFERROR(INDEX(Mots!$B:$B,MATCH($A508,Mots!$A:$A,0)),"introuvable")</f>
        <v>frapper</v>
      </c>
      <c r="C508" s="24" t="s">
        <v>8481</v>
      </c>
      <c r="I508" s="24" t="s">
        <v>8482</v>
      </c>
    </row>
    <row r="509" spans="1:9" x14ac:dyDescent="0.35">
      <c r="A509" s="24" t="s">
        <v>3995</v>
      </c>
      <c r="B509" s="43" t="str">
        <f>IFERROR(INDEX(Mots!$B:$B,MATCH($A509,Mots!$A:$A,0)),"introuvable")</f>
        <v>gagner</v>
      </c>
      <c r="C509" s="24" t="s">
        <v>8483</v>
      </c>
      <c r="I509" s="24" t="s">
        <v>8484</v>
      </c>
    </row>
    <row r="510" spans="1:9" x14ac:dyDescent="0.35">
      <c r="A510" s="24" t="s">
        <v>4009</v>
      </c>
      <c r="B510" s="43" t="str">
        <f>IFERROR(INDEX(Mots!$B:$B,MATCH($A510,Mots!$A:$A,0)),"introuvable")</f>
        <v>goûter</v>
      </c>
      <c r="C510" s="24" t="s">
        <v>8485</v>
      </c>
      <c r="I510" s="24" t="s">
        <v>8486</v>
      </c>
    </row>
    <row r="511" spans="1:9" x14ac:dyDescent="0.35">
      <c r="A511" s="24" t="s">
        <v>4044</v>
      </c>
      <c r="B511" s="43" t="str">
        <f>IFERROR(INDEX(Mots!$B:$B,MATCH($A511,Mots!$A:$A,0)),"introuvable")</f>
        <v>imaginer</v>
      </c>
      <c r="C511" s="24" t="s">
        <v>8487</v>
      </c>
    </row>
    <row r="512" spans="1:9" x14ac:dyDescent="0.35">
      <c r="A512" s="24" t="s">
        <v>4064</v>
      </c>
      <c r="B512" s="43" t="str">
        <f>IFERROR(INDEX(Mots!$B:$B,MATCH($A512,Mots!$A:$A,0)),"introuvable")</f>
        <v>jeter</v>
      </c>
      <c r="C512" s="24" t="s">
        <v>8488</v>
      </c>
      <c r="I512" s="24" t="s">
        <v>8489</v>
      </c>
    </row>
    <row r="513" spans="1:9" x14ac:dyDescent="0.35">
      <c r="A513" s="24" t="s">
        <v>4070</v>
      </c>
      <c r="B513" s="43" t="str">
        <f>IFERROR(INDEX(Mots!$B:$B,MATCH($A513,Mots!$A:$A,0)),"introuvable")</f>
        <v>jouer</v>
      </c>
      <c r="C513" s="24" t="s">
        <v>8490</v>
      </c>
      <c r="I513" s="24" t="s">
        <v>8491</v>
      </c>
    </row>
    <row r="514" spans="1:9" x14ac:dyDescent="0.35">
      <c r="A514" s="24" t="s">
        <v>4347</v>
      </c>
      <c r="B514" s="43" t="str">
        <f>IFERROR(INDEX(Mots!$B:$B,MATCH($A514,Mots!$A:$A,0)),"introuvable")</f>
        <v>dépenser</v>
      </c>
      <c r="C514" s="24" t="s">
        <v>8492</v>
      </c>
      <c r="I514" s="24" t="s">
        <v>8493</v>
      </c>
    </row>
    <row r="515" spans="1:9" x14ac:dyDescent="0.35">
      <c r="A515" s="24" t="s">
        <v>4352</v>
      </c>
      <c r="B515" s="43" t="str">
        <f>IFERROR(INDEX(Mots!$B:$B,MATCH($A515,Mots!$A:$A,0)),"introuvable")</f>
        <v>se détendre</v>
      </c>
      <c r="C515" s="24" t="s">
        <v>8494</v>
      </c>
      <c r="I515" s="24" t="s">
        <v>8495</v>
      </c>
    </row>
    <row r="516" spans="1:9" x14ac:dyDescent="0.35">
      <c r="A516" s="24" t="s">
        <v>5279</v>
      </c>
      <c r="B516" s="43" t="str">
        <f>IFERROR(INDEX(Mots!$B:$B,MATCH($A516,Mots!$A:$A,0)),"introuvable")</f>
        <v>lancer</v>
      </c>
      <c r="C516" s="24" t="s">
        <v>8496</v>
      </c>
      <c r="I516" s="24" t="s">
        <v>8497</v>
      </c>
    </row>
    <row r="517" spans="1:9" x14ac:dyDescent="0.35">
      <c r="A517" s="24" t="s">
        <v>5331</v>
      </c>
      <c r="B517" s="43" t="str">
        <f>IFERROR(INDEX(Mots!$B:$B,MATCH($A517,Mots!$A:$A,0)),"introuvable")</f>
        <v>laver</v>
      </c>
      <c r="C517" s="24" t="s">
        <v>8498</v>
      </c>
      <c r="I517" s="24" t="s">
        <v>8499</v>
      </c>
    </row>
    <row r="518" spans="1:9" x14ac:dyDescent="0.35">
      <c r="A518" s="24" t="s">
        <v>6374</v>
      </c>
      <c r="B518" s="43" t="str">
        <f>IFERROR(INDEX(Mots!$B:$B,MATCH($A518,Mots!$A:$A,0)),"introuvable")</f>
        <v>soigner</v>
      </c>
      <c r="C518" s="24" t="s">
        <v>8500</v>
      </c>
      <c r="I518" s="24" t="s">
        <v>8501</v>
      </c>
    </row>
    <row r="519" spans="1:9" x14ac:dyDescent="0.35">
      <c r="A519" s="24" t="s">
        <v>6764</v>
      </c>
      <c r="B519" s="43" t="str">
        <f>IFERROR(INDEX(Mots!$B:$B,MATCH($A519,Mots!$A:$A,0)),"introuvable")</f>
        <v>lever</v>
      </c>
      <c r="C519" s="24" t="s">
        <v>8502</v>
      </c>
      <c r="I519" s="24" t="s">
        <v>8503</v>
      </c>
    </row>
    <row r="520" spans="1:9" x14ac:dyDescent="0.35">
      <c r="A520" s="24" t="s">
        <v>6920</v>
      </c>
      <c r="B520" s="43" t="str">
        <f>IFERROR(INDEX(Mots!$B:$B,MATCH($A520,Mots!$A:$A,0)),"introuvable")</f>
        <v>manger</v>
      </c>
      <c r="C520" s="24" t="s">
        <v>8504</v>
      </c>
      <c r="I520" s="24" t="s">
        <v>8505</v>
      </c>
    </row>
    <row r="521" spans="1:9" x14ac:dyDescent="0.35">
      <c r="A521" s="24" t="s">
        <v>6928</v>
      </c>
      <c r="B521" s="43" t="str">
        <f>IFERROR(INDEX(Mots!$B:$B,MATCH($A521,Mots!$A:$A,0)),"introuvable")</f>
        <v>marcher</v>
      </c>
      <c r="C521" s="24" t="s">
        <v>8506</v>
      </c>
      <c r="I521" s="24" t="s">
        <v>8507</v>
      </c>
    </row>
    <row r="522" spans="1:9" x14ac:dyDescent="0.35">
      <c r="A522" s="24" t="s">
        <v>6939</v>
      </c>
      <c r="B522" s="43" t="str">
        <f>IFERROR(INDEX(Mots!$B:$B,MATCH($A522,Mots!$A:$A,0)),"introuvable")</f>
        <v>mentir</v>
      </c>
      <c r="C522" s="24" t="s">
        <v>8508</v>
      </c>
    </row>
    <row r="523" spans="1:9" x14ac:dyDescent="0.35">
      <c r="A523" s="24" t="s">
        <v>6949</v>
      </c>
      <c r="B523" s="43" t="str">
        <f>IFERROR(INDEX(Mots!$B:$B,MATCH($A523,Mots!$A:$A,0)),"introuvable")</f>
        <v>montrer</v>
      </c>
      <c r="C523" s="24" t="s">
        <v>8509</v>
      </c>
      <c r="I523" s="24" t="s">
        <v>8510</v>
      </c>
    </row>
    <row r="524" spans="1:9" x14ac:dyDescent="0.35">
      <c r="A524" s="24" t="s">
        <v>6956</v>
      </c>
      <c r="B524" s="43" t="str">
        <f>IFERROR(INDEX(Mots!$B:$B,MATCH($A524,Mots!$A:$A,0)),"introuvable")</f>
        <v>nager</v>
      </c>
      <c r="C524" s="24" t="s">
        <v>8511</v>
      </c>
      <c r="I524" s="24" t="s">
        <v>8512</v>
      </c>
    </row>
    <row r="525" spans="1:9" x14ac:dyDescent="0.35">
      <c r="A525" s="24" t="s">
        <v>6964</v>
      </c>
      <c r="B525" s="43" t="str">
        <f>IFERROR(INDEX(Mots!$B:$B,MATCH($A525,Mots!$A:$A,0)),"introuvable")</f>
        <v>nettoyer</v>
      </c>
      <c r="C525" s="24" t="s">
        <v>8513</v>
      </c>
      <c r="I525" s="24" t="s">
        <v>8514</v>
      </c>
    </row>
    <row r="526" spans="1:9" x14ac:dyDescent="0.35">
      <c r="A526" s="24" t="s">
        <v>6983</v>
      </c>
      <c r="B526" s="43" t="str">
        <f>IFERROR(INDEX(Mots!$B:$B,MATCH($A526,Mots!$A:$A,0)),"introuvable")</f>
        <v>ordonner</v>
      </c>
      <c r="C526" s="24" t="s">
        <v>8515</v>
      </c>
    </row>
    <row r="527" spans="1:9" x14ac:dyDescent="0.35">
      <c r="A527" s="24" t="s">
        <v>6987</v>
      </c>
      <c r="B527" s="43" t="str">
        <f>IFERROR(INDEX(Mots!$B:$B,MATCH($A527,Mots!$A:$A,0)),"introuvable")</f>
        <v>oublier</v>
      </c>
      <c r="C527" s="24" t="s">
        <v>8516</v>
      </c>
      <c r="I527" s="24" t="s">
        <v>8517</v>
      </c>
    </row>
    <row r="528" spans="1:9" x14ac:dyDescent="0.35">
      <c r="A528" s="24" t="s">
        <v>6991</v>
      </c>
      <c r="B528" s="43" t="str">
        <f>IFERROR(INDEX(Mots!$B:$B,MATCH($A528,Mots!$A:$A,0)),"introuvable")</f>
        <v>ouvrir</v>
      </c>
      <c r="C528" s="24" t="s">
        <v>8518</v>
      </c>
      <c r="I528" s="24" t="s">
        <v>8519</v>
      </c>
    </row>
    <row r="529" spans="1:9" x14ac:dyDescent="0.35">
      <c r="A529" s="24" t="s">
        <v>7000</v>
      </c>
      <c r="B529" s="43" t="str">
        <f>IFERROR(INDEX(Mots!$B:$B,MATCH($A529,Mots!$A:$A,0)),"introuvable")</f>
        <v>parler</v>
      </c>
      <c r="C529" s="24" t="s">
        <v>8520</v>
      </c>
      <c r="I529" s="24" t="s">
        <v>8521</v>
      </c>
    </row>
    <row r="530" spans="1:9" x14ac:dyDescent="0.35">
      <c r="A530" s="24" t="s">
        <v>7009</v>
      </c>
      <c r="B530" s="43" t="str">
        <f>IFERROR(INDEX(Mots!$B:$B,MATCH($A530,Mots!$A:$A,0)),"introuvable")</f>
        <v>partir</v>
      </c>
      <c r="C530" s="24" t="s">
        <v>8522</v>
      </c>
      <c r="I530" s="24" t="s">
        <v>8523</v>
      </c>
    </row>
    <row r="531" spans="1:9" x14ac:dyDescent="0.35">
      <c r="A531" s="24" t="s">
        <v>7020</v>
      </c>
      <c r="B531" s="43" t="str">
        <f>IFERROR(INDEX(Mots!$B:$B,MATCH($A531,Mots!$A:$A,0)),"introuvable")</f>
        <v>payer</v>
      </c>
      <c r="C531" s="24" t="s">
        <v>8524</v>
      </c>
      <c r="I531" s="24" t="s">
        <v>8525</v>
      </c>
    </row>
    <row r="532" spans="1:9" x14ac:dyDescent="0.35">
      <c r="A532" s="24" t="s">
        <v>7032</v>
      </c>
      <c r="B532" s="43" t="str">
        <f>IFERROR(INDEX(Mots!$B:$B,MATCH($A532,Mots!$A:$A,0)),"introuvable")</f>
        <v>penser</v>
      </c>
      <c r="C532" s="24" t="s">
        <v>8526</v>
      </c>
      <c r="I532" s="24" t="s">
        <v>8527</v>
      </c>
    </row>
    <row r="533" spans="1:9" x14ac:dyDescent="0.35">
      <c r="A533" s="24" t="s">
        <v>7036</v>
      </c>
      <c r="B533" s="43" t="str">
        <f>IFERROR(INDEX(Mots!$B:$B,MATCH($A533,Mots!$A:$A,0)),"introuvable")</f>
        <v>perdre</v>
      </c>
      <c r="C533" s="24" t="s">
        <v>8528</v>
      </c>
      <c r="I533" s="24" t="s">
        <v>8529</v>
      </c>
    </row>
    <row r="534" spans="1:9" x14ac:dyDescent="0.35">
      <c r="A534" s="24" t="s">
        <v>7049</v>
      </c>
      <c r="B534" s="43" t="str">
        <f>IFERROR(INDEX(Mots!$B:$B,MATCH($A534,Mots!$A:$A,0)),"introuvable")</f>
        <v>plaindre</v>
      </c>
      <c r="C534" s="24" t="s">
        <v>8530</v>
      </c>
    </row>
    <row r="535" spans="1:9" x14ac:dyDescent="0.35">
      <c r="A535" s="24" t="s">
        <v>7053</v>
      </c>
      <c r="B535" s="43" t="str">
        <f>IFERROR(INDEX(Mots!$B:$B,MATCH($A535,Mots!$A:$A,0)),"introuvable")</f>
        <v>pleurer</v>
      </c>
      <c r="C535" s="24" t="s">
        <v>8531</v>
      </c>
    </row>
    <row r="536" spans="1:9" x14ac:dyDescent="0.35">
      <c r="A536" s="24" t="s">
        <v>7063</v>
      </c>
      <c r="B536" s="43" t="str">
        <f>IFERROR(INDEX(Mots!$B:$B,MATCH($A536,Mots!$A:$A,0)),"introuvable")</f>
        <v>porter</v>
      </c>
      <c r="C536" s="24" t="s">
        <v>8532</v>
      </c>
      <c r="I536" s="24" t="s">
        <v>8533</v>
      </c>
    </row>
    <row r="537" spans="1:9" x14ac:dyDescent="0.35">
      <c r="A537" s="24" t="s">
        <v>7084</v>
      </c>
      <c r="B537" s="43" t="str">
        <f>IFERROR(INDEX(Mots!$B:$B,MATCH($A537,Mots!$A:$A,0)),"introuvable")</f>
        <v>pousser</v>
      </c>
      <c r="C537" s="24" t="s">
        <v>8534</v>
      </c>
      <c r="I537" s="24" t="s">
        <v>8535</v>
      </c>
    </row>
    <row r="538" spans="1:9" x14ac:dyDescent="0.35">
      <c r="A538" s="24" t="s">
        <v>7114</v>
      </c>
      <c r="B538" s="43" t="str">
        <f>IFERROR(INDEX(Mots!$B:$B,MATCH($A538,Mots!$A:$A,0)),"introuvable")</f>
        <v>préparer</v>
      </c>
      <c r="C538" s="24" t="s">
        <v>8536</v>
      </c>
      <c r="I538" s="24" t="s">
        <v>8537</v>
      </c>
    </row>
    <row r="539" spans="1:9" x14ac:dyDescent="0.35">
      <c r="A539" s="24" t="s">
        <v>7130</v>
      </c>
      <c r="B539" s="43" t="str">
        <f>IFERROR(INDEX(Mots!$B:$B,MATCH($A539,Mots!$A:$A,0)),"introuvable")</f>
        <v>prévenir</v>
      </c>
      <c r="C539" s="24" t="s">
        <v>8538</v>
      </c>
      <c r="I539" s="24" t="s">
        <v>8539</v>
      </c>
    </row>
    <row r="540" spans="1:9" x14ac:dyDescent="0.35">
      <c r="A540" s="24" t="s">
        <v>7138</v>
      </c>
      <c r="B540" s="43" t="str">
        <f>IFERROR(INDEX(Mots!$B:$B,MATCH($A540,Mots!$A:$A,0)),"introuvable")</f>
        <v>promettre</v>
      </c>
      <c r="C540" s="24" t="s">
        <v>8540</v>
      </c>
      <c r="I540" s="24" t="s">
        <v>8541</v>
      </c>
    </row>
    <row r="541" spans="1:9" x14ac:dyDescent="0.35">
      <c r="A541" s="24" t="s">
        <v>7142</v>
      </c>
      <c r="B541" s="43" t="str">
        <f>IFERROR(INDEX(Mots!$B:$B,MATCH($A541,Mots!$A:$A,0)),"introuvable")</f>
        <v>raconter</v>
      </c>
      <c r="C541" s="24" t="s">
        <v>8542</v>
      </c>
      <c r="I541" s="24" t="s">
        <v>8543</v>
      </c>
    </row>
    <row r="542" spans="1:9" x14ac:dyDescent="0.35">
      <c r="A542" s="24" t="s">
        <v>7146</v>
      </c>
      <c r="B542" s="43" t="str">
        <f>IFERROR(INDEX(Mots!$B:$B,MATCH($A542,Mots!$A:$A,0)),"introuvable")</f>
        <v>ramasser</v>
      </c>
      <c r="C542" s="24" t="s">
        <v>8544</v>
      </c>
      <c r="I542" s="24" t="s">
        <v>8545</v>
      </c>
    </row>
    <row r="543" spans="1:9" x14ac:dyDescent="0.35">
      <c r="A543" s="24" t="s">
        <v>7160</v>
      </c>
      <c r="B543" s="43" t="str">
        <f>IFERROR(INDEX(Mots!$B:$B,MATCH($A543,Mots!$A:$A,0)),"introuvable")</f>
        <v>rappeler</v>
      </c>
      <c r="C543" s="24" t="s">
        <v>8546</v>
      </c>
      <c r="I543" s="24" t="s">
        <v>8547</v>
      </c>
    </row>
    <row r="544" spans="1:9" x14ac:dyDescent="0.35">
      <c r="A544" s="24" t="s">
        <v>7167</v>
      </c>
      <c r="B544" s="43" t="str">
        <f>IFERROR(INDEX(Mots!$B:$B,MATCH($A544,Mots!$A:$A,0)),"introuvable")</f>
        <v>réfléchir</v>
      </c>
      <c r="C544" s="24" t="s">
        <v>8548</v>
      </c>
      <c r="I544" s="24" t="s">
        <v>8549</v>
      </c>
    </row>
    <row r="545" spans="1:9" x14ac:dyDescent="0.35">
      <c r="A545" s="24" t="s">
        <v>7171</v>
      </c>
      <c r="B545" s="43" t="str">
        <f>IFERROR(INDEX(Mots!$B:$B,MATCH($A545,Mots!$A:$A,0)),"introuvable")</f>
        <v>refuser</v>
      </c>
      <c r="C545" s="24" t="s">
        <v>8550</v>
      </c>
      <c r="I545" s="24" t="s">
        <v>8551</v>
      </c>
    </row>
    <row r="546" spans="1:9" x14ac:dyDescent="0.35">
      <c r="A546" s="24" t="s">
        <v>7177</v>
      </c>
      <c r="B546" s="43" t="str">
        <f>IFERROR(INDEX(Mots!$B:$B,MATCH($A546,Mots!$A:$A,0)),"introuvable")</f>
        <v>regarder</v>
      </c>
      <c r="C546" s="24" t="s">
        <v>8552</v>
      </c>
      <c r="I546" s="24" t="s">
        <v>8553</v>
      </c>
    </row>
    <row r="547" spans="1:9" x14ac:dyDescent="0.35">
      <c r="A547" s="24" t="s">
        <v>7192</v>
      </c>
      <c r="B547" s="43" t="str">
        <f>IFERROR(INDEX(Mots!$B:$B,MATCH($A547,Mots!$A:$A,0)),"introuvable")</f>
        <v>remarquer</v>
      </c>
      <c r="C547" s="24" t="s">
        <v>8554</v>
      </c>
    </row>
    <row r="548" spans="1:9" x14ac:dyDescent="0.35">
      <c r="A548" s="24" t="s">
        <v>7197</v>
      </c>
      <c r="B548" s="43" t="str">
        <f>IFERROR(INDEX(Mots!$B:$B,MATCH($A548,Mots!$A:$A,0)),"introuvable")</f>
        <v>remercier</v>
      </c>
      <c r="C548" s="24" t="s">
        <v>8555</v>
      </c>
      <c r="I548" s="24" t="s">
        <v>8556</v>
      </c>
    </row>
    <row r="549" spans="1:9" x14ac:dyDescent="0.35">
      <c r="A549" s="24" t="s">
        <v>7213</v>
      </c>
      <c r="B549" s="43" t="str">
        <f>IFERROR(INDEX(Mots!$B:$B,MATCH($A549,Mots!$A:$A,0)),"introuvable")</f>
        <v>répéter</v>
      </c>
      <c r="C549" s="24" t="s">
        <v>8557</v>
      </c>
      <c r="I549" s="24" t="s">
        <v>8558</v>
      </c>
    </row>
    <row r="550" spans="1:9" x14ac:dyDescent="0.35">
      <c r="A550" s="24" t="s">
        <v>7219</v>
      </c>
      <c r="B550" s="43" t="str">
        <f>IFERROR(INDEX(Mots!$B:$B,MATCH($A550,Mots!$A:$A,0)),"introuvable")</f>
        <v>répondre</v>
      </c>
      <c r="C550" s="24" t="s">
        <v>8559</v>
      </c>
      <c r="I550" s="24" t="s">
        <v>8560</v>
      </c>
    </row>
    <row r="551" spans="1:9" x14ac:dyDescent="0.35">
      <c r="A551" s="24" t="s">
        <v>7228</v>
      </c>
      <c r="B551" s="43" t="str">
        <f>IFERROR(INDEX(Mots!$B:$B,MATCH($A551,Mots!$A:$A,0)),"introuvable")</f>
        <v>rester</v>
      </c>
      <c r="C551" s="24" t="s">
        <v>8561</v>
      </c>
      <c r="I551" s="24" t="s">
        <v>8562</v>
      </c>
    </row>
    <row r="552" spans="1:9" x14ac:dyDescent="0.35">
      <c r="A552" s="24" t="s">
        <v>7234</v>
      </c>
      <c r="B552" s="43" t="str">
        <f>IFERROR(INDEX(Mots!$B:$B,MATCH($A552,Mots!$A:$A,0)),"introuvable")</f>
        <v>réussir</v>
      </c>
      <c r="C552" s="24" t="s">
        <v>8563</v>
      </c>
      <c r="I552" s="24" t="s">
        <v>8564</v>
      </c>
    </row>
    <row r="553" spans="1:9" x14ac:dyDescent="0.35">
      <c r="A553" s="24" t="s">
        <v>7238</v>
      </c>
      <c r="B553" s="43" t="str">
        <f>IFERROR(INDEX(Mots!$B:$B,MATCH($A553,Mots!$A:$A,0)),"introuvable")</f>
        <v>rire</v>
      </c>
      <c r="C553" s="24" t="s">
        <v>8565</v>
      </c>
    </row>
    <row r="554" spans="1:9" x14ac:dyDescent="0.35">
      <c r="A554" s="24" t="s">
        <v>7260</v>
      </c>
      <c r="B554" s="43" t="str">
        <f>IFERROR(INDEX(Mots!$B:$B,MATCH($A554,Mots!$A:$A,0)),"introuvable")</f>
        <v>saluer</v>
      </c>
      <c r="C554" s="24" t="s">
        <v>8566</v>
      </c>
      <c r="I554" s="24" t="s">
        <v>8567</v>
      </c>
    </row>
    <row r="555" spans="1:9" x14ac:dyDescent="0.35">
      <c r="A555" s="24" t="s">
        <v>7268</v>
      </c>
      <c r="B555" s="43" t="str">
        <f>IFERROR(INDEX(Mots!$B:$B,MATCH($A555,Mots!$A:$A,0)),"introuvable")</f>
        <v>s'asseoir</v>
      </c>
      <c r="C555" s="24" t="s">
        <v>8568</v>
      </c>
      <c r="I555" s="24" t="s">
        <v>8569</v>
      </c>
    </row>
    <row r="556" spans="1:9" x14ac:dyDescent="0.35">
      <c r="A556" s="24" t="s">
        <v>7275</v>
      </c>
      <c r="B556" s="43" t="str">
        <f>IFERROR(INDEX(Mots!$B:$B,MATCH($A556,Mots!$A:$A,0)),"introuvable")</f>
        <v>sauter</v>
      </c>
      <c r="C556" s="24" t="s">
        <v>8570</v>
      </c>
    </row>
    <row r="557" spans="1:9" x14ac:dyDescent="0.35">
      <c r="A557" s="24" t="s">
        <v>7285</v>
      </c>
      <c r="B557" s="43" t="str">
        <f>IFERROR(INDEX(Mots!$B:$B,MATCH($A557,Mots!$A:$A,0)),"introuvable")</f>
        <v>savoir</v>
      </c>
      <c r="C557" s="24" t="s">
        <v>8571</v>
      </c>
      <c r="I557" s="24" t="s">
        <v>8572</v>
      </c>
    </row>
    <row r="558" spans="1:9" x14ac:dyDescent="0.35">
      <c r="A558" s="24" t="s">
        <v>7289</v>
      </c>
      <c r="B558" s="43" t="str">
        <f>IFERROR(INDEX(Mots!$B:$B,MATCH($A558,Mots!$A:$A,0)),"introuvable")</f>
        <v>se souvenir</v>
      </c>
      <c r="C558" s="24" t="s">
        <v>8573</v>
      </c>
      <c r="I558" s="24" t="s">
        <v>8574</v>
      </c>
    </row>
    <row r="559" spans="1:9" x14ac:dyDescent="0.35">
      <c r="A559" s="24" t="s">
        <v>7293</v>
      </c>
      <c r="B559" s="43" t="str">
        <f>IFERROR(INDEX(Mots!$B:$B,MATCH($A559,Mots!$A:$A,0)),"introuvable")</f>
        <v>sentir</v>
      </c>
      <c r="C559" s="24" t="s">
        <v>8575</v>
      </c>
      <c r="I559" s="24" t="s">
        <v>8576</v>
      </c>
    </row>
    <row r="560" spans="1:9" x14ac:dyDescent="0.35">
      <c r="A560" s="24" t="s">
        <v>7314</v>
      </c>
      <c r="B560" s="43" t="str">
        <f>IFERROR(INDEX(Mots!$B:$B,MATCH($A560,Mots!$A:$A,0)),"introuvable")</f>
        <v>sortir</v>
      </c>
      <c r="C560" s="24" t="s">
        <v>8577</v>
      </c>
      <c r="I560" s="24" t="s">
        <v>8578</v>
      </c>
    </row>
    <row r="561" spans="1:9" x14ac:dyDescent="0.35">
      <c r="A561" s="24" t="s">
        <v>7334</v>
      </c>
      <c r="B561" s="43" t="str">
        <f>IFERROR(INDEX(Mots!$B:$B,MATCH($A561,Mots!$A:$A,0)),"introuvable")</f>
        <v>supplier</v>
      </c>
      <c r="C561" s="24" t="s">
        <v>8579</v>
      </c>
    </row>
    <row r="562" spans="1:9" x14ac:dyDescent="0.35">
      <c r="A562" s="24" t="s">
        <v>7340</v>
      </c>
      <c r="B562" s="43" t="str">
        <f>IFERROR(INDEX(Mots!$B:$B,MATCH($A562,Mots!$A:$A,0)),"introuvable")</f>
        <v>tenir</v>
      </c>
      <c r="C562" s="24" t="s">
        <v>8580</v>
      </c>
      <c r="I562" s="24" t="s">
        <v>8581</v>
      </c>
    </row>
    <row r="563" spans="1:9" x14ac:dyDescent="0.35">
      <c r="A563" s="24" t="s">
        <v>7350</v>
      </c>
      <c r="B563" s="43" t="str">
        <f>IFERROR(INDEX(Mots!$B:$B,MATCH($A563,Mots!$A:$A,0)),"introuvable")</f>
        <v>tirer</v>
      </c>
      <c r="C563" s="24" t="s">
        <v>8582</v>
      </c>
      <c r="I563" s="24" t="s">
        <v>8583</v>
      </c>
    </row>
    <row r="564" spans="1:9" x14ac:dyDescent="0.35">
      <c r="A564" s="24" t="s">
        <v>7358</v>
      </c>
      <c r="B564" s="43" t="str">
        <f>IFERROR(INDEX(Mots!$B:$B,MATCH($A564,Mots!$A:$A,0)),"introuvable")</f>
        <v>tomber</v>
      </c>
      <c r="C564" s="24" t="s">
        <v>8584</v>
      </c>
      <c r="I564" s="24" t="s">
        <v>8585</v>
      </c>
    </row>
    <row r="565" spans="1:9" x14ac:dyDescent="0.35">
      <c r="A565" s="24" t="s">
        <v>7365</v>
      </c>
      <c r="B565" s="43" t="str">
        <f>IFERROR(INDEX(Mots!$B:$B,MATCH($A565,Mots!$A:$A,0)),"introuvable")</f>
        <v>toucher</v>
      </c>
      <c r="C565" s="24" t="s">
        <v>8586</v>
      </c>
    </row>
    <row r="566" spans="1:9" x14ac:dyDescent="0.35">
      <c r="A566" s="24" t="s">
        <v>7381</v>
      </c>
      <c r="B566" s="43" t="str">
        <f>IFERROR(INDEX(Mots!$B:$B,MATCH($A566,Mots!$A:$A,0)),"introuvable")</f>
        <v>travailler</v>
      </c>
      <c r="C566" s="24" t="s">
        <v>8587</v>
      </c>
      <c r="I566" s="24" t="s">
        <v>8588</v>
      </c>
    </row>
    <row r="567" spans="1:9" x14ac:dyDescent="0.35">
      <c r="A567" s="24" t="s">
        <v>7392</v>
      </c>
      <c r="B567" s="43" t="str">
        <f>IFERROR(INDEX(Mots!$B:$B,MATCH($A567,Mots!$A:$A,0)),"introuvable")</f>
        <v>trouver</v>
      </c>
      <c r="C567" s="24" t="s">
        <v>8589</v>
      </c>
      <c r="I567" s="24" t="s">
        <v>8590</v>
      </c>
    </row>
    <row r="568" spans="1:9" x14ac:dyDescent="0.35">
      <c r="A568" s="24" t="s">
        <v>7407</v>
      </c>
      <c r="B568" s="43" t="str">
        <f>IFERROR(INDEX(Mots!$B:$B,MATCH($A568,Mots!$A:$A,0)),"introuvable")</f>
        <v>vendre</v>
      </c>
      <c r="C568" s="24" t="s">
        <v>8591</v>
      </c>
      <c r="I568" s="24" t="s">
        <v>8592</v>
      </c>
    </row>
    <row r="569" spans="1:9" x14ac:dyDescent="0.35">
      <c r="A569" s="24" t="s">
        <v>7412</v>
      </c>
      <c r="B569" s="43" t="str">
        <f>IFERROR(INDEX(Mots!$B:$B,MATCH($A569,Mots!$A:$A,0)),"introuvable")</f>
        <v>venir</v>
      </c>
      <c r="C569" s="24" t="s">
        <v>8593</v>
      </c>
      <c r="I569" s="24" t="s">
        <v>8594</v>
      </c>
    </row>
    <row r="570" spans="1:9" x14ac:dyDescent="0.35">
      <c r="A570" s="24" t="s">
        <v>7432</v>
      </c>
      <c r="B570" s="43" t="str">
        <f>IFERROR(INDEX(Mots!$B:$B,MATCH($A570,Mots!$A:$A,0)),"introuvable")</f>
        <v>voir</v>
      </c>
      <c r="C570" s="24" t="s">
        <v>8595</v>
      </c>
      <c r="I570" s="24" t="s">
        <v>8596</v>
      </c>
    </row>
    <row r="571" spans="1:9" x14ac:dyDescent="0.35">
      <c r="A571" s="24" t="s">
        <v>7439</v>
      </c>
      <c r="B571" s="43" t="str">
        <f>IFERROR(INDEX(Mots!$B:$B,MATCH($A571,Mots!$A:$A,0)),"introuvable")</f>
        <v>voler</v>
      </c>
      <c r="C571" s="24" t="s">
        <v>8597</v>
      </c>
      <c r="I571" s="24" t="s">
        <v>8598</v>
      </c>
    </row>
    <row r="572" spans="1:9" x14ac:dyDescent="0.35">
      <c r="A572" s="24" t="s">
        <v>7443</v>
      </c>
      <c r="B572" s="43" t="str">
        <f>IFERROR(INDEX(Mots!$B:$B,MATCH($A572,Mots!$A:$A,0)),"introuvable")</f>
        <v>vouloir</v>
      </c>
      <c r="C572" s="24" t="s">
        <v>8599</v>
      </c>
      <c r="I572" s="24" t="s">
        <v>8600</v>
      </c>
    </row>
    <row r="573" spans="1:9" x14ac:dyDescent="0.35">
      <c r="A573" s="24" t="s">
        <v>7508</v>
      </c>
      <c r="B573" s="43" t="str">
        <f>IFERROR(INDEX(Mots!$B:$B,MATCH($A573,Mots!$A:$A,0)),"introuvable")</f>
        <v>récurrer</v>
      </c>
      <c r="C573" s="24" t="s">
        <v>8601</v>
      </c>
      <c r="I573" s="24" t="s">
        <v>8602</v>
      </c>
    </row>
    <row r="574" spans="1:9" x14ac:dyDescent="0.35">
      <c r="A574" s="24" t="s">
        <v>7534</v>
      </c>
      <c r="B574" s="43" t="str">
        <f>IFERROR(INDEX(Mots!$B:$B,MATCH($A574,Mots!$A:$A,0)),"introuvable")</f>
        <v>tousser</v>
      </c>
      <c r="C574" s="24" t="s">
        <v>8603</v>
      </c>
      <c r="I574" s="24" t="s">
        <v>8604</v>
      </c>
    </row>
    <row r="575" spans="1:9" x14ac:dyDescent="0.35">
      <c r="A575" s="24" t="s">
        <v>7604</v>
      </c>
      <c r="B575" s="43" t="str">
        <f>IFERROR(INDEX(Mots!$B:$B,MATCH($A575,Mots!$A:$A,0)),"introuvable")</f>
        <v>habiter</v>
      </c>
      <c r="C575" s="24" t="s">
        <v>8605</v>
      </c>
      <c r="I575" s="24" t="s">
        <v>8606</v>
      </c>
    </row>
    <row r="576" spans="1:9" x14ac:dyDescent="0.35">
      <c r="A576" s="24" t="s">
        <v>7607</v>
      </c>
      <c r="B576" s="43" t="str">
        <f>IFERROR(INDEX(Mots!$B:$B,MATCH($A576,Mots!$A:$A,0)),"introuvable")</f>
        <v>éclairer</v>
      </c>
      <c r="C576" s="24" t="s">
        <v>8607</v>
      </c>
      <c r="I576" s="24" t="s">
        <v>8608</v>
      </c>
    </row>
    <row r="577" spans="1:9" x14ac:dyDescent="0.35">
      <c r="A577" s="24" t="s">
        <v>7615</v>
      </c>
      <c r="B577" s="43" t="str">
        <f>IFERROR(INDEX(Mots!$B:$B,MATCH($A577,Mots!$A:$A,0)),"introuvable")</f>
        <v>griller</v>
      </c>
      <c r="C577" s="24" t="s">
        <v>8609</v>
      </c>
      <c r="I577" s="24" t="s">
        <v>8610</v>
      </c>
    </row>
    <row r="578" spans="1:9" x14ac:dyDescent="0.35">
      <c r="A578" s="24" t="s">
        <v>7621</v>
      </c>
      <c r="B578" s="43" t="str">
        <f>IFERROR(INDEX(Mots!$B:$B,MATCH($A578,Mots!$A:$A,0)),"introuvable")</f>
        <v>conduire</v>
      </c>
      <c r="C578" s="24" t="s">
        <v>8611</v>
      </c>
      <c r="I578" s="24" t="s">
        <v>8612</v>
      </c>
    </row>
    <row r="579" spans="1:9" x14ac:dyDescent="0.35">
      <c r="A579" s="24" t="s">
        <v>7627</v>
      </c>
      <c r="B579" s="43" t="str">
        <f>IFERROR(INDEX(Mots!$B:$B,MATCH($A579,Mots!$A:$A,0)),"introuvable")</f>
        <v>traverser</v>
      </c>
      <c r="C579" s="24" t="s">
        <v>8613</v>
      </c>
      <c r="I579" s="24" t="s">
        <v>8614</v>
      </c>
    </row>
    <row r="580" spans="1:9" x14ac:dyDescent="0.35">
      <c r="A580" s="24" t="s">
        <v>7630</v>
      </c>
      <c r="B580" s="43" t="str">
        <f>IFERROR(INDEX(Mots!$B:$B,MATCH($A580,Mots!$A:$A,0)),"introuvable")</f>
        <v>avaler</v>
      </c>
      <c r="C580" s="24" t="s">
        <v>8615</v>
      </c>
      <c r="I580" s="24" t="s">
        <v>8616</v>
      </c>
    </row>
    <row r="581" spans="1:9" x14ac:dyDescent="0.35">
      <c r="A581" s="24" t="s">
        <v>7642</v>
      </c>
      <c r="B581" s="43" t="str">
        <f>IFERROR(INDEX(Mots!$B:$B,MATCH($A581,Mots!$A:$A,0)),"introuvable")</f>
        <v>chauffer</v>
      </c>
      <c r="C581" s="24" t="s">
        <v>8617</v>
      </c>
      <c r="I581" s="24" t="s">
        <v>8618</v>
      </c>
    </row>
    <row r="582" spans="1:9" x14ac:dyDescent="0.35">
      <c r="A582" s="24" t="s">
        <v>7644</v>
      </c>
      <c r="B582" s="43" t="str">
        <f>IFERROR(INDEX(Mots!$B:$B,MATCH($A582,Mots!$A:$A,0)),"introuvable")</f>
        <v>transporter</v>
      </c>
      <c r="C582" s="24" t="s">
        <v>8619</v>
      </c>
      <c r="I582" s="24" t="s">
        <v>8620</v>
      </c>
    </row>
    <row r="583" spans="1:9" x14ac:dyDescent="0.35">
      <c r="A583" s="24" t="s">
        <v>7648</v>
      </c>
      <c r="B583" s="43" t="str">
        <f>IFERROR(INDEX(Mots!$B:$B,MATCH($A583,Mots!$A:$A,0)),"introuvable")</f>
        <v>ramper</v>
      </c>
      <c r="C583" s="24" t="s">
        <v>8621</v>
      </c>
      <c r="I583" s="24" t="s">
        <v>8622</v>
      </c>
    </row>
    <row r="584" spans="1:9" x14ac:dyDescent="0.35">
      <c r="A584" s="24" t="s">
        <v>1238</v>
      </c>
      <c r="B584" s="43" t="str">
        <f>IFERROR(INDEX(Mots!$B:$B,MATCH($A584,Mots!$A:$A,0)),"introuvable")</f>
        <v>l'écureuil</v>
      </c>
      <c r="C584" s="24" t="s">
        <v>8623</v>
      </c>
    </row>
    <row r="585" spans="1:9" x14ac:dyDescent="0.35">
      <c r="A585" s="24" t="s">
        <v>1243</v>
      </c>
      <c r="B585" s="43" t="str">
        <f>IFERROR(INDEX(Mots!$B:$B,MATCH($A585,Mots!$A:$A,0)),"introuvable")</f>
        <v>la marmotte</v>
      </c>
      <c r="C585" s="24" t="s">
        <v>8624</v>
      </c>
    </row>
    <row r="586" spans="1:9" x14ac:dyDescent="0.35">
      <c r="A586" s="24" t="s">
        <v>1257</v>
      </c>
      <c r="B586" s="43" t="str">
        <f>IFERROR(INDEX(Mots!$B:$B,MATCH($A586,Mots!$A:$A,0)),"introuvable")</f>
        <v>le chamois</v>
      </c>
      <c r="C586" s="24" t="s">
        <v>8625</v>
      </c>
    </row>
    <row r="587" spans="1:9" x14ac:dyDescent="0.35">
      <c r="A587" s="24" t="s">
        <v>2304</v>
      </c>
      <c r="B587" s="43" t="str">
        <f>IFERROR(INDEX(Mots!$B:$B,MATCH($A587,Mots!$A:$A,0)),"introuvable")</f>
        <v>blanc</v>
      </c>
      <c r="C587" s="24" t="s">
        <v>8626</v>
      </c>
      <c r="I587" s="24" t="s">
        <v>8627</v>
      </c>
    </row>
    <row r="588" spans="1:9" x14ac:dyDescent="0.35">
      <c r="A588" s="24" t="s">
        <v>2309</v>
      </c>
      <c r="B588" s="43" t="str">
        <f>IFERROR(INDEX(Mots!$B:$B,MATCH($A588,Mots!$A:$A,0)),"introuvable")</f>
        <v>bleu</v>
      </c>
      <c r="C588" s="24" t="s">
        <v>8032</v>
      </c>
      <c r="I588" s="24" t="s">
        <v>8628</v>
      </c>
    </row>
    <row r="589" spans="1:9" x14ac:dyDescent="0.35">
      <c r="A589" s="24" t="s">
        <v>2313</v>
      </c>
      <c r="B589" s="43" t="str">
        <f>IFERROR(INDEX(Mots!$B:$B,MATCH($A589,Mots!$A:$A,0)),"introuvable")</f>
        <v>gris</v>
      </c>
      <c r="C589" s="24" t="s">
        <v>8629</v>
      </c>
      <c r="I589" s="24" t="s">
        <v>8630</v>
      </c>
    </row>
    <row r="590" spans="1:9" x14ac:dyDescent="0.35">
      <c r="A590" s="24" t="s">
        <v>2317</v>
      </c>
      <c r="B590" s="43" t="str">
        <f>IFERROR(INDEX(Mots!$B:$B,MATCH($A590,Mots!$A:$A,0)),"introuvable")</f>
        <v>jaune</v>
      </c>
      <c r="C590" s="24" t="s">
        <v>8631</v>
      </c>
    </row>
    <row r="591" spans="1:9" x14ac:dyDescent="0.35">
      <c r="A591" s="24" t="s">
        <v>2325</v>
      </c>
      <c r="B591" s="43" t="str">
        <f>IFERROR(INDEX(Mots!$B:$B,MATCH($A591,Mots!$A:$A,0)),"introuvable")</f>
        <v>la couleur</v>
      </c>
      <c r="C591" s="24" t="s">
        <v>8632</v>
      </c>
      <c r="I591" s="24" t="s">
        <v>8633</v>
      </c>
    </row>
    <row r="592" spans="1:9" x14ac:dyDescent="0.35">
      <c r="A592" s="24" t="s">
        <v>2346</v>
      </c>
      <c r="B592" s="43" t="str">
        <f>IFERROR(INDEX(Mots!$B:$B,MATCH($A592,Mots!$A:$A,0)),"introuvable")</f>
        <v>marron</v>
      </c>
      <c r="C592" s="24" t="s">
        <v>8634</v>
      </c>
    </row>
    <row r="593" spans="1:9" x14ac:dyDescent="0.35">
      <c r="A593" s="24" t="s">
        <v>2350</v>
      </c>
      <c r="B593" s="43" t="str">
        <f>IFERROR(INDEX(Mots!$B:$B,MATCH($A593,Mots!$A:$A,0)),"introuvable")</f>
        <v>noir</v>
      </c>
      <c r="C593" s="24" t="s">
        <v>8635</v>
      </c>
      <c r="I593" s="24" t="s">
        <v>8636</v>
      </c>
    </row>
    <row r="594" spans="1:9" x14ac:dyDescent="0.35">
      <c r="A594" s="24" t="s">
        <v>2354</v>
      </c>
      <c r="B594" s="43" t="str">
        <f>IFERROR(INDEX(Mots!$B:$B,MATCH($A594,Mots!$A:$A,0)),"introuvable")</f>
        <v>orange</v>
      </c>
      <c r="C594" s="24" t="s">
        <v>8637</v>
      </c>
    </row>
    <row r="595" spans="1:9" x14ac:dyDescent="0.35">
      <c r="A595" s="24" t="s">
        <v>2357</v>
      </c>
      <c r="B595" s="43" t="str">
        <f>IFERROR(INDEX(Mots!$B:$B,MATCH($A595,Mots!$A:$A,0)),"introuvable")</f>
        <v>rose</v>
      </c>
      <c r="C595" s="24" t="s">
        <v>8638</v>
      </c>
    </row>
    <row r="596" spans="1:9" x14ac:dyDescent="0.35">
      <c r="A596" s="24" t="s">
        <v>2361</v>
      </c>
      <c r="B596" s="43" t="str">
        <f>IFERROR(INDEX(Mots!$B:$B,MATCH($A596,Mots!$A:$A,0)),"introuvable")</f>
        <v>rouge</v>
      </c>
      <c r="C596" s="24" t="s">
        <v>8639</v>
      </c>
      <c r="I596" s="24" t="s">
        <v>8640</v>
      </c>
    </row>
    <row r="597" spans="1:9" x14ac:dyDescent="0.35">
      <c r="A597" s="24" t="s">
        <v>2365</v>
      </c>
      <c r="B597" s="43" t="str">
        <f>IFERROR(INDEX(Mots!$B:$B,MATCH($A597,Mots!$A:$A,0)),"introuvable")</f>
        <v>vert</v>
      </c>
      <c r="C597" s="24" t="s">
        <v>8641</v>
      </c>
      <c r="I597" s="24" t="s">
        <v>8642</v>
      </c>
    </row>
    <row r="598" spans="1:9" x14ac:dyDescent="0.35">
      <c r="A598" s="24" t="s">
        <v>7246</v>
      </c>
      <c r="B598" s="43" t="str">
        <f>IFERROR(INDEX(Mots!$B:$B,MATCH($A598,Mots!$A:$A,0)),"introuvable")</f>
        <v>roux</v>
      </c>
      <c r="C598" s="24" t="s">
        <v>8643</v>
      </c>
    </row>
    <row r="599" spans="1:9" x14ac:dyDescent="0.35">
      <c r="A599" s="24" t="s">
        <v>9516</v>
      </c>
      <c r="B599" s="43" t="str">
        <f>IFERROR(INDEX(Mots!$B:$B,MATCH($A599,Mots!$A:$A,0)),"introuvable")</f>
        <v>brun</v>
      </c>
      <c r="C599" s="24" t="s">
        <v>8644</v>
      </c>
    </row>
    <row r="600" spans="1:9" x14ac:dyDescent="0.35">
      <c r="A600" s="24" t="s">
        <v>2600</v>
      </c>
      <c r="B600" s="43" t="str">
        <f>IFERROR(INDEX(Mots!$B:$B,MATCH($A600,Mots!$A:$A,0)),"introuvable")</f>
        <v>carré</v>
      </c>
      <c r="C600" s="24" t="s">
        <v>8645</v>
      </c>
    </row>
    <row r="601" spans="1:9" x14ac:dyDescent="0.35">
      <c r="A601" s="24" t="s">
        <v>2604</v>
      </c>
      <c r="B601" s="43" t="str">
        <f>IFERROR(INDEX(Mots!$B:$B,MATCH($A601,Mots!$A:$A,0)),"introuvable")</f>
        <v>triangle</v>
      </c>
      <c r="C601" s="24" t="s">
        <v>8646</v>
      </c>
    </row>
    <row r="602" spans="1:9" x14ac:dyDescent="0.35">
      <c r="A602" s="24" t="s">
        <v>2608</v>
      </c>
      <c r="B602" s="43" t="str">
        <f>IFERROR(INDEX(Mots!$B:$B,MATCH($A602,Mots!$A:$A,0)),"introuvable")</f>
        <v>courbe</v>
      </c>
      <c r="C602" s="24" t="s">
        <v>8647</v>
      </c>
    </row>
    <row r="603" spans="1:9" x14ac:dyDescent="0.35">
      <c r="A603" s="24" t="s">
        <v>2611</v>
      </c>
      <c r="B603" s="43" t="str">
        <f>IFERROR(INDEX(Mots!$B:$B,MATCH($A603,Mots!$A:$A,0)),"introuvable")</f>
        <v>droit</v>
      </c>
      <c r="C603" s="24" t="s">
        <v>8648</v>
      </c>
      <c r="I603" s="24" t="s">
        <v>8649</v>
      </c>
    </row>
    <row r="604" spans="1:9" x14ac:dyDescent="0.35">
      <c r="A604" s="24" t="s">
        <v>2614</v>
      </c>
      <c r="B604" s="43" t="str">
        <f>IFERROR(INDEX(Mots!$B:$B,MATCH($A604,Mots!$A:$A,0)),"introuvable")</f>
        <v>la hauteur</v>
      </c>
      <c r="C604" s="24" t="s">
        <v>8650</v>
      </c>
      <c r="I604" s="24" t="s">
        <v>8651</v>
      </c>
    </row>
    <row r="605" spans="1:9" x14ac:dyDescent="0.35">
      <c r="A605" s="24" t="s">
        <v>2618</v>
      </c>
      <c r="B605" s="43" t="str">
        <f>IFERROR(INDEX(Mots!$B:$B,MATCH($A605,Mots!$A:$A,0)),"introuvable")</f>
        <v>la largeur</v>
      </c>
      <c r="C605" s="24" t="s">
        <v>8652</v>
      </c>
    </row>
    <row r="606" spans="1:9" x14ac:dyDescent="0.35">
      <c r="A606" s="24" t="s">
        <v>2622</v>
      </c>
      <c r="B606" s="43" t="str">
        <f>IFERROR(INDEX(Mots!$B:$B,MATCH($A606,Mots!$A:$A,0)),"introuvable")</f>
        <v>la longueur</v>
      </c>
      <c r="C606" s="24" t="s">
        <v>8653</v>
      </c>
    </row>
    <row r="607" spans="1:9" x14ac:dyDescent="0.35">
      <c r="A607" s="24" t="s">
        <v>2626</v>
      </c>
      <c r="B607" s="43" t="str">
        <f>IFERROR(INDEX(Mots!$B:$B,MATCH($A607,Mots!$A:$A,0)),"introuvable")</f>
        <v>le cercle</v>
      </c>
      <c r="C607" s="24" t="s">
        <v>8654</v>
      </c>
      <c r="I607" s="24" t="s">
        <v>8655</v>
      </c>
    </row>
    <row r="608" spans="1:9" x14ac:dyDescent="0.35">
      <c r="A608" s="24" t="s">
        <v>9600</v>
      </c>
      <c r="B608" s="43" t="str">
        <f>IFERROR(INDEX(Mots!$B:$B,MATCH($A608,Mots!$A:$A,0)),"introuvable")</f>
        <v>le rectangle</v>
      </c>
      <c r="C608" s="24" t="s">
        <v>8656</v>
      </c>
    </row>
    <row r="609" spans="1:9" x14ac:dyDescent="0.35">
      <c r="A609" s="24" t="s">
        <v>2633</v>
      </c>
      <c r="B609" s="43" t="str">
        <f>IFERROR(INDEX(Mots!$B:$B,MATCH($A609,Mots!$A:$A,0)),"introuvable")</f>
        <v>l'épaisseur</v>
      </c>
      <c r="C609" s="24" t="s">
        <v>8657</v>
      </c>
    </row>
    <row r="610" spans="1:9" x14ac:dyDescent="0.35">
      <c r="A610" s="24" t="s">
        <v>2637</v>
      </c>
      <c r="B610" s="43" t="str">
        <f>IFERROR(INDEX(Mots!$B:$B,MATCH($A610,Mots!$A:$A,0)),"introuvable")</f>
        <v>pointu</v>
      </c>
      <c r="C610" s="24" t="s">
        <v>8658</v>
      </c>
    </row>
    <row r="611" spans="1:9" x14ac:dyDescent="0.35">
      <c r="A611" s="24" t="s">
        <v>2640</v>
      </c>
      <c r="B611" s="43" t="str">
        <f>IFERROR(INDEX(Mots!$B:$B,MATCH($A611,Mots!$A:$A,0)),"introuvable")</f>
        <v>rond</v>
      </c>
      <c r="C611" s="24" t="s">
        <v>8659</v>
      </c>
    </row>
    <row r="612" spans="1:9" x14ac:dyDescent="0.35">
      <c r="A612" s="24" t="s">
        <v>3498</v>
      </c>
      <c r="B612" s="43" t="str">
        <f>IFERROR(INDEX(Mots!$B:$B,MATCH($A612,Mots!$A:$A,0)),"introuvable")</f>
        <v>arrondi</v>
      </c>
      <c r="C612" s="24" t="s">
        <v>8660</v>
      </c>
    </row>
    <row r="613" spans="1:9" x14ac:dyDescent="0.35">
      <c r="A613" s="24" t="s">
        <v>2394</v>
      </c>
      <c r="B613" s="43" t="str">
        <f>IFERROR(INDEX(Mots!$B:$B,MATCH($A613,Mots!$A:$A,0)),"introuvable")</f>
        <v>chaud  ↔  froid</v>
      </c>
      <c r="C613" s="25" t="s">
        <v>10039</v>
      </c>
      <c r="I613" s="24" t="s">
        <v>8661</v>
      </c>
    </row>
    <row r="614" spans="1:9" x14ac:dyDescent="0.35">
      <c r="A614" s="24" t="s">
        <v>2474</v>
      </c>
      <c r="B614" s="43" t="str">
        <f>IFERROR(INDEX(Mots!$B:$B,MATCH($A614,Mots!$A:$A,0)),"introuvable")</f>
        <v>grand  ↔  petit</v>
      </c>
      <c r="C614" s="25" t="s">
        <v>10040</v>
      </c>
      <c r="I614" s="24" t="s">
        <v>8662</v>
      </c>
    </row>
    <row r="615" spans="1:9" x14ac:dyDescent="0.35">
      <c r="A615" s="24" t="s">
        <v>2549</v>
      </c>
      <c r="B615" s="43" t="str">
        <f>IFERROR(INDEX(Mots!$B:$B,MATCH($A615,Mots!$A:$A,0)),"introuvable")</f>
        <v>propre  ↔  sale</v>
      </c>
      <c r="C615" s="25" t="s">
        <v>10041</v>
      </c>
      <c r="I615" s="24" t="s">
        <v>8663</v>
      </c>
    </row>
    <row r="616" spans="1:9" x14ac:dyDescent="0.35">
      <c r="A616" s="24" t="s">
        <v>2461</v>
      </c>
      <c r="B616" s="43" t="str">
        <f>IFERROR(INDEX(Mots!$B:$B,MATCH($A616,Mots!$A:$A,0)),"introuvable")</f>
        <v>fort  ↔  faible</v>
      </c>
      <c r="I616" s="24" t="s">
        <v>8664</v>
      </c>
    </row>
    <row r="617" spans="1:9" x14ac:dyDescent="0.35">
      <c r="A617" s="24" t="s">
        <v>2497</v>
      </c>
      <c r="B617" s="43" t="str">
        <f>IFERROR(INDEX(Mots!$B:$B,MATCH($A617,Mots!$A:$A,0)),"introuvable")</f>
        <v>jeune  ↔  vieux</v>
      </c>
      <c r="I617" s="24" t="s">
        <v>8665</v>
      </c>
    </row>
    <row r="618" spans="1:9" x14ac:dyDescent="0.35">
      <c r="A618" s="24" t="s">
        <v>2588</v>
      </c>
      <c r="B618" s="43" t="str">
        <f>IFERROR(INDEX(Mots!$B:$B,MATCH($A618,Mots!$A:$A,0)),"introuvable")</f>
        <v>vide  ↔  plein</v>
      </c>
      <c r="I618" s="24" t="s">
        <v>8666</v>
      </c>
    </row>
    <row r="619" spans="1:9" x14ac:dyDescent="0.35">
      <c r="A619" s="24" t="s">
        <v>2455</v>
      </c>
      <c r="B619" s="43" t="str">
        <f>IFERROR(INDEX(Mots!$B:$B,MATCH($A619,Mots!$A:$A,0)),"introuvable")</f>
        <v>fermé  ↔  ouvert</v>
      </c>
      <c r="I619" s="24" t="s">
        <v>8667</v>
      </c>
    </row>
    <row r="620" spans="1:9" x14ac:dyDescent="0.35">
      <c r="A620" s="24" t="s">
        <v>2573</v>
      </c>
      <c r="B620" s="43" t="str">
        <f>IFERROR(INDEX(Mots!$B:$B,MATCH($A620,Mots!$A:$A,0)),"introuvable")</f>
        <v>sec  ↔  mouillé</v>
      </c>
      <c r="I620" s="24" t="s">
        <v>8668</v>
      </c>
    </row>
    <row r="621" spans="1:9" x14ac:dyDescent="0.35">
      <c r="A621" s="24" t="s">
        <v>2519</v>
      </c>
      <c r="B621" s="43" t="str">
        <f>IFERROR(INDEX(Mots!$B:$B,MATCH($A621,Mots!$A:$A,0)),"introuvable")</f>
        <v>lourd  ↔  léger</v>
      </c>
      <c r="I621" s="24" t="s">
        <v>8669</v>
      </c>
    </row>
    <row r="622" spans="1:9" x14ac:dyDescent="0.35">
      <c r="A622" s="24" t="s">
        <v>2400</v>
      </c>
      <c r="B622" s="43" t="str">
        <f>IFERROR(INDEX(Mots!$B:$B,MATCH($A622,Mots!$A:$A,0)),"introuvable")</f>
        <v>cher  ↔  bon marché</v>
      </c>
      <c r="I622" s="24" t="s">
        <v>8670</v>
      </c>
    </row>
    <row r="623" spans="1:9" x14ac:dyDescent="0.35">
      <c r="A623" s="24" t="s">
        <v>2567</v>
      </c>
      <c r="B623" s="43" t="str">
        <f>IFERROR(INDEX(Mots!$B:$B,MATCH($A623,Mots!$A:$A,0)),"introuvable")</f>
        <v>sain  ↔  malade</v>
      </c>
      <c r="I623" s="24" t="s">
        <v>8671</v>
      </c>
    </row>
    <row r="624" spans="1:9" x14ac:dyDescent="0.35">
      <c r="A624" s="24" t="s">
        <v>2584</v>
      </c>
      <c r="B624" s="43" t="str">
        <f>IFERROR(INDEX(Mots!$B:$B,MATCH($A624,Mots!$A:$A,0)),"introuvable")</f>
        <v>sucré  ↔  salé</v>
      </c>
      <c r="I624" s="24" t="s">
        <v>8672</v>
      </c>
    </row>
    <row r="625" spans="1:9" x14ac:dyDescent="0.35">
      <c r="A625" s="24" t="s">
        <v>2405</v>
      </c>
      <c r="B625" s="43" t="str">
        <f>IFERROR(INDEX(Mots!$B:$B,MATCH($A625,Mots!$A:$A,0)),"introuvable")</f>
        <v>clair  ↔  sombre</v>
      </c>
      <c r="I625" s="24" t="s">
        <v>8673</v>
      </c>
    </row>
    <row r="626" spans="1:9" x14ac:dyDescent="0.35">
      <c r="A626" s="24" t="s">
        <v>2513</v>
      </c>
      <c r="B626" s="43" t="str">
        <f>IFERROR(INDEX(Mots!$B:$B,MATCH($A626,Mots!$A:$A,0)),"introuvable")</f>
        <v>long  ↔  court</v>
      </c>
      <c r="I626" s="24" t="s">
        <v>8674</v>
      </c>
    </row>
    <row r="627" spans="1:9" x14ac:dyDescent="0.35">
      <c r="A627" s="24" t="s">
        <v>2467</v>
      </c>
      <c r="B627" s="43" t="str">
        <f>IFERROR(INDEX(Mots!$B:$B,MATCH($A627,Mots!$A:$A,0)),"introuvable")</f>
        <v>gentil  ↔  méchant</v>
      </c>
      <c r="I627" s="24" t="s">
        <v>8675</v>
      </c>
    </row>
    <row r="628" spans="1:9" x14ac:dyDescent="0.35">
      <c r="A628" s="24" t="s">
        <v>2594</v>
      </c>
      <c r="B628" s="43" t="str">
        <f>IFERROR(INDEX(Mots!$B:$B,MATCH($A628,Mots!$A:$A,0)),"introuvable")</f>
        <v>vrai  ↔  faux</v>
      </c>
      <c r="I628" s="24" t="s">
        <v>8676</v>
      </c>
    </row>
    <row r="629" spans="1:9" x14ac:dyDescent="0.35">
      <c r="A629" s="24" t="s">
        <v>2378</v>
      </c>
      <c r="B629" s="43" t="str">
        <f>IFERROR(INDEX(Mots!$B:$B,MATCH($A629,Mots!$A:$A,0)),"introuvable")</f>
        <v>bon  ↔  mauvais</v>
      </c>
      <c r="I629" s="24" t="s">
        <v>8677</v>
      </c>
    </row>
    <row r="630" spans="1:9" x14ac:dyDescent="0.35">
      <c r="A630" s="24" t="s">
        <v>2388</v>
      </c>
      <c r="B630" s="43" t="str">
        <f>IFERROR(INDEX(Mots!$B:$B,MATCH($A630,Mots!$A:$A,0)),"introuvable")</f>
        <v>calme  ↔  agité (énervé)</v>
      </c>
      <c r="I630" s="24" t="s">
        <v>8678</v>
      </c>
    </row>
    <row r="631" spans="1:9" x14ac:dyDescent="0.35">
      <c r="A631" s="24" t="s">
        <v>2509</v>
      </c>
      <c r="B631" s="43" t="str">
        <f>IFERROR(INDEX(Mots!$B:$B,MATCH($A631,Mots!$A:$A,0)),"introuvable")</f>
        <v>libre  ↔  occupé</v>
      </c>
      <c r="I631" s="24" t="s">
        <v>8679</v>
      </c>
    </row>
    <row r="632" spans="1:9" x14ac:dyDescent="0.35">
      <c r="A632" s="24" t="s">
        <v>2537</v>
      </c>
      <c r="B632" s="43" t="str">
        <f>IFERROR(INDEX(Mots!$B:$B,MATCH($A632,Mots!$A:$A,0)),"introuvable")</f>
        <v>premier  ↔  dernier</v>
      </c>
      <c r="I632" s="24" t="s">
        <v>8680</v>
      </c>
    </row>
    <row r="633" spans="1:9" x14ac:dyDescent="0.35">
      <c r="A633" s="24" t="s">
        <v>2543</v>
      </c>
      <c r="B633" s="43" t="str">
        <f>IFERROR(INDEX(Mots!$B:$B,MATCH($A633,Mots!$A:$A,0)),"introuvable")</f>
        <v>proche  ↔  éloigné</v>
      </c>
      <c r="I633" s="24" t="s">
        <v>8681</v>
      </c>
    </row>
    <row r="634" spans="1:9" x14ac:dyDescent="0.35">
      <c r="A634" s="24" t="s">
        <v>2561</v>
      </c>
      <c r="B634" s="43" t="str">
        <f>IFERROR(INDEX(Mots!$B:$B,MATCH($A634,Mots!$A:$A,0)),"introuvable")</f>
        <v>riche  ↔  pauvre</v>
      </c>
    </row>
    <row r="635" spans="1:9" x14ac:dyDescent="0.35">
      <c r="A635" s="24" t="s">
        <v>2443</v>
      </c>
      <c r="B635" s="43" t="str">
        <f>IFERROR(INDEX(Mots!$B:$B,MATCH($A635,Mots!$A:$A,0)),"introuvable")</f>
        <v>épais  ↔  fin</v>
      </c>
    </row>
    <row r="636" spans="1:9" x14ac:dyDescent="0.35">
      <c r="A636" s="24" t="s">
        <v>2480</v>
      </c>
      <c r="B636" s="43" t="str">
        <f>IFERROR(INDEX(Mots!$B:$B,MATCH($A636,Mots!$A:$A,0)),"introuvable")</f>
        <v>gros  ↔  mince</v>
      </c>
    </row>
    <row r="637" spans="1:9" x14ac:dyDescent="0.35">
      <c r="A637" s="24" t="s">
        <v>2503</v>
      </c>
      <c r="B637" s="43" t="str">
        <f>IFERROR(INDEX(Mots!$B:$B,MATCH($A637,Mots!$A:$A,0)),"introuvable")</f>
        <v>large  ↔  étroit</v>
      </c>
    </row>
    <row r="638" spans="1:9" x14ac:dyDescent="0.35">
      <c r="A638" s="24" t="s">
        <v>2525</v>
      </c>
      <c r="B638" s="43" t="str">
        <f>IFERROR(INDEX(Mots!$B:$B,MATCH($A638,Mots!$A:$A,0)),"introuvable")</f>
        <v>neuf  ↔  usé</v>
      </c>
      <c r="I638" s="24" t="s">
        <v>8682</v>
      </c>
    </row>
    <row r="639" spans="1:9" x14ac:dyDescent="0.35">
      <c r="A639" s="24" t="s">
        <v>2531</v>
      </c>
      <c r="B639" s="43" t="str">
        <f>IFERROR(INDEX(Mots!$B:$B,MATCH($A639,Mots!$A:$A,0)),"introuvable")</f>
        <v>nouveau  ↔  ancien</v>
      </c>
      <c r="I639" s="24" t="s">
        <v>8683</v>
      </c>
    </row>
    <row r="640" spans="1:9" x14ac:dyDescent="0.35">
      <c r="A640" s="24" t="s">
        <v>2431</v>
      </c>
      <c r="B640" s="43" t="str">
        <f>IFERROR(INDEX(Mots!$B:$B,MATCH($A640,Mots!$A:$A,0)),"introuvable")</f>
        <v>drôle  ↔  sérieux</v>
      </c>
      <c r="I640" s="24" t="s">
        <v>8684</v>
      </c>
    </row>
    <row r="641" spans="1:9" x14ac:dyDescent="0.35">
      <c r="A641" s="24" t="s">
        <v>2417</v>
      </c>
      <c r="B641" s="43" t="str">
        <f>IFERROR(INDEX(Mots!$B:$B,MATCH($A641,Mots!$A:$A,0)),"introuvable")</f>
        <v>courageux  ↔  peureux</v>
      </c>
      <c r="I641" s="24" t="s">
        <v>8685</v>
      </c>
    </row>
    <row r="642" spans="1:9" x14ac:dyDescent="0.35">
      <c r="A642" s="24" t="s">
        <v>2491</v>
      </c>
      <c r="B642" s="43" t="str">
        <f>IFERROR(INDEX(Mots!$B:$B,MATCH($A642,Mots!$A:$A,0)),"introuvable")</f>
        <v>intelligent  ↔  bête</v>
      </c>
    </row>
    <row r="643" spans="1:9" x14ac:dyDescent="0.35">
      <c r="A643" s="24" t="s">
        <v>2369</v>
      </c>
      <c r="B643" s="43" t="str">
        <f>IFERROR(INDEX(Mots!$B:$B,MATCH($A643,Mots!$A:$A,0)),"introuvable")</f>
        <v>amer  ↔  acide</v>
      </c>
    </row>
    <row r="644" spans="1:9" x14ac:dyDescent="0.35">
      <c r="A644" s="24" t="s">
        <v>2384</v>
      </c>
      <c r="B644" s="43" t="str">
        <f>IFERROR(INDEX(Mots!$B:$B,MATCH($A644,Mots!$A:$A,0)),"introuvable")</f>
        <v>brillant  ↔  terne</v>
      </c>
    </row>
    <row r="645" spans="1:9" x14ac:dyDescent="0.35">
      <c r="A645" s="24" t="s">
        <v>2423</v>
      </c>
      <c r="B645" s="43" t="str">
        <f>IFERROR(INDEX(Mots!$B:$B,MATCH($A645,Mots!$A:$A,0)),"introuvable")</f>
        <v>dessus  ↔  dessous</v>
      </c>
      <c r="I645" s="24" t="s">
        <v>8686</v>
      </c>
    </row>
    <row r="646" spans="1:9" x14ac:dyDescent="0.35">
      <c r="A646" s="24" t="s">
        <v>2427</v>
      </c>
      <c r="B646" s="43" t="str">
        <f>IFERROR(INDEX(Mots!$B:$B,MATCH($A646,Mots!$A:$A,0)),"introuvable")</f>
        <v>devant  ↔  derrière</v>
      </c>
      <c r="I646" s="24" t="s">
        <v>8687</v>
      </c>
    </row>
    <row r="647" spans="1:9" x14ac:dyDescent="0.35">
      <c r="A647" s="24" t="s">
        <v>3427</v>
      </c>
      <c r="B647" s="43" t="str">
        <f>IFERROR(INDEX(Mots!$B:$B,MATCH($A647,Mots!$A:$A,0)),"introuvable")</f>
        <v>adulte</v>
      </c>
      <c r="C647" s="24" t="s">
        <v>8688</v>
      </c>
    </row>
    <row r="648" spans="1:9" x14ac:dyDescent="0.35">
      <c r="A648" s="24" t="s">
        <v>3434</v>
      </c>
      <c r="B648" s="43" t="str">
        <f>IFERROR(INDEX(Mots!$B:$B,MATCH($A648,Mots!$A:$A,0)),"introuvable")</f>
        <v>désagréable</v>
      </c>
      <c r="C648" s="24" t="s">
        <v>8689</v>
      </c>
    </row>
    <row r="649" spans="1:9" x14ac:dyDescent="0.35">
      <c r="A649" s="24" t="s">
        <v>3452</v>
      </c>
      <c r="B649" s="43" t="str">
        <f>IFERROR(INDEX(Mots!$B:$B,MATCH($A649,Mots!$A:$A,0)),"introuvable")</f>
        <v>aimable</v>
      </c>
      <c r="C649" s="24" t="s">
        <v>8690</v>
      </c>
    </row>
    <row r="650" spans="1:9" x14ac:dyDescent="0.35">
      <c r="A650" s="24" t="s">
        <v>3490</v>
      </c>
      <c r="B650" s="43" t="str">
        <f>IFERROR(INDEX(Mots!$B:$B,MATCH($A650,Mots!$A:$A,0)),"introuvable")</f>
        <v>armé</v>
      </c>
      <c r="C650" s="24" t="s">
        <v>8691</v>
      </c>
      <c r="I650" s="24" t="s">
        <v>8692</v>
      </c>
    </row>
    <row r="651" spans="1:9" x14ac:dyDescent="0.35">
      <c r="A651" s="24" t="s">
        <v>3564</v>
      </c>
      <c r="B651" s="43" t="str">
        <f>IFERROR(INDEX(Mots!$B:$B,MATCH($A651,Mots!$A:$A,0)),"introuvable")</f>
        <v>brusquement</v>
      </c>
      <c r="C651" s="24" t="s">
        <v>8693</v>
      </c>
    </row>
    <row r="652" spans="1:9" x14ac:dyDescent="0.35">
      <c r="A652" s="24" t="s">
        <v>9498</v>
      </c>
      <c r="B652" s="43" t="str">
        <f>IFERROR(INDEX(Mots!$B:$B,MATCH($A652,Mots!$A:$A,0)),"introuvable")</f>
        <v>cassé</v>
      </c>
      <c r="C652" s="24" t="s">
        <v>8694</v>
      </c>
      <c r="I652" s="24" t="s">
        <v>8695</v>
      </c>
    </row>
    <row r="653" spans="1:9" x14ac:dyDescent="0.35">
      <c r="A653" s="24" t="s">
        <v>3584</v>
      </c>
      <c r="B653" s="43" t="str">
        <f>IFERROR(INDEX(Mots!$B:$B,MATCH($A653,Mots!$A:$A,0)),"introuvable")</f>
        <v>certain</v>
      </c>
      <c r="C653" s="24" t="s">
        <v>8696</v>
      </c>
      <c r="I653" s="24" t="s">
        <v>8697</v>
      </c>
    </row>
    <row r="654" spans="1:9" x14ac:dyDescent="0.35">
      <c r="A654" s="24" t="s">
        <v>3630</v>
      </c>
      <c r="B654" s="43" t="str">
        <f>IFERROR(INDEX(Mots!$B:$B,MATCH($A654,Mots!$A:$A,0)),"introuvable")</f>
        <v>collant</v>
      </c>
      <c r="C654" s="24" t="s">
        <v>8698</v>
      </c>
    </row>
    <row r="655" spans="1:9" x14ac:dyDescent="0.35">
      <c r="A655" s="24" t="s">
        <v>9484</v>
      </c>
      <c r="B655" s="43" t="str">
        <f>IFERROR(INDEX(Mots!$B:$B,MATCH($A655,Mots!$A:$A,0)),"introuvable")</f>
        <v>colorée</v>
      </c>
      <c r="C655" s="24" t="s">
        <v>8699</v>
      </c>
    </row>
    <row r="656" spans="1:9" x14ac:dyDescent="0.35">
      <c r="A656" s="24" t="s">
        <v>3653</v>
      </c>
      <c r="B656" s="43" t="str">
        <f>IFERROR(INDEX(Mots!$B:$B,MATCH($A656,Mots!$A:$A,0)),"introuvable")</f>
        <v>complet</v>
      </c>
      <c r="C656" s="24" t="s">
        <v>8700</v>
      </c>
      <c r="I656" s="24" t="s">
        <v>8701</v>
      </c>
    </row>
    <row r="657" spans="1:9" x14ac:dyDescent="0.35">
      <c r="A657" s="24" t="s">
        <v>3671</v>
      </c>
      <c r="B657" s="43" t="str">
        <f>IFERROR(INDEX(Mots!$B:$B,MATCH($A657,Mots!$A:$A,0)),"introuvable")</f>
        <v>confortable</v>
      </c>
      <c r="C657" s="24" t="s">
        <v>8702</v>
      </c>
    </row>
    <row r="658" spans="1:9" x14ac:dyDescent="0.35">
      <c r="A658" s="24" t="s">
        <v>3692</v>
      </c>
      <c r="B658" s="43" t="str">
        <f>IFERROR(INDEX(Mots!$B:$B,MATCH($A658,Mots!$A:$A,0)),"introuvable")</f>
        <v>correct</v>
      </c>
      <c r="C658" s="24" t="s">
        <v>8703</v>
      </c>
      <c r="I658" s="24" t="s">
        <v>8704</v>
      </c>
    </row>
    <row r="659" spans="1:9" x14ac:dyDescent="0.35">
      <c r="A659" s="24" t="s">
        <v>3718</v>
      </c>
      <c r="B659" s="43" t="str">
        <f>IFERROR(INDEX(Mots!$B:$B,MATCH($A659,Mots!$A:$A,0)),"introuvable")</f>
        <v>creux</v>
      </c>
      <c r="C659" s="24" t="s">
        <v>8705</v>
      </c>
    </row>
    <row r="660" spans="1:9" x14ac:dyDescent="0.35">
      <c r="A660" s="24" t="s">
        <v>3758</v>
      </c>
      <c r="B660" s="43" t="str">
        <f>IFERROR(INDEX(Mots!$B:$B,MATCH($A660,Mots!$A:$A,0)),"introuvable")</f>
        <v>dangereux</v>
      </c>
      <c r="C660" s="24" t="s">
        <v>8706</v>
      </c>
      <c r="I660" s="24" t="s">
        <v>8707</v>
      </c>
    </row>
    <row r="661" spans="1:9" x14ac:dyDescent="0.35">
      <c r="A661" s="24" t="s">
        <v>9526</v>
      </c>
      <c r="B661" s="43" t="str">
        <f>IFERROR(INDEX(Mots!$B:$B,MATCH($A661,Mots!$A:$A,0)),"introuvable")</f>
        <v>différent</v>
      </c>
      <c r="C661" s="24" t="s">
        <v>8708</v>
      </c>
    </row>
    <row r="662" spans="1:9" x14ac:dyDescent="0.35">
      <c r="A662" s="24" t="s">
        <v>3823</v>
      </c>
      <c r="B662" s="43" t="str">
        <f>IFERROR(INDEX(Mots!$B:$B,MATCH($A662,Mots!$A:$A,0)),"introuvable")</f>
        <v>disponible</v>
      </c>
      <c r="C662" s="24" t="s">
        <v>8709</v>
      </c>
      <c r="I662" s="24" t="s">
        <v>8710</v>
      </c>
    </row>
    <row r="663" spans="1:9" x14ac:dyDescent="0.35">
      <c r="A663" s="24" t="s">
        <v>3844</v>
      </c>
      <c r="B663" s="43" t="str">
        <f>IFERROR(INDEX(Mots!$B:$B,MATCH($A663,Mots!$A:$A,0)),"introuvable")</f>
        <v>doux - douce</v>
      </c>
      <c r="C663" s="24" t="s">
        <v>8711</v>
      </c>
      <c r="I663" s="24" t="s">
        <v>8712</v>
      </c>
    </row>
    <row r="664" spans="1:9" x14ac:dyDescent="0.35">
      <c r="A664" s="24" t="s">
        <v>3878</v>
      </c>
      <c r="B664" s="43" t="str">
        <f>IFERROR(INDEX(Mots!$B:$B,MATCH($A664,Mots!$A:$A,0)),"introuvable")</f>
        <v>électrique</v>
      </c>
      <c r="C664" s="24" t="s">
        <v>8713</v>
      </c>
    </row>
    <row r="665" spans="1:9" x14ac:dyDescent="0.35">
      <c r="A665" s="24" t="s">
        <v>3896</v>
      </c>
      <c r="B665" s="43" t="str">
        <f>IFERROR(INDEX(Mots!$B:$B,MATCH($A665,Mots!$A:$A,0)),"introuvable")</f>
        <v>enflammé</v>
      </c>
      <c r="C665" s="24" t="s">
        <v>8714</v>
      </c>
      <c r="I665" s="24" t="s">
        <v>8715</v>
      </c>
    </row>
    <row r="666" spans="1:9" x14ac:dyDescent="0.35">
      <c r="A666" s="24" t="s">
        <v>3913</v>
      </c>
      <c r="B666" s="43" t="str">
        <f>IFERROR(INDEX(Mots!$B:$B,MATCH($A666,Mots!$A:$A,0)),"introuvable")</f>
        <v>entier</v>
      </c>
      <c r="C666" s="24" t="s">
        <v>8716</v>
      </c>
    </row>
    <row r="667" spans="1:9" x14ac:dyDescent="0.35">
      <c r="A667" s="24" t="s">
        <v>3925</v>
      </c>
      <c r="B667" s="43" t="str">
        <f>IFERROR(INDEX(Mots!$B:$B,MATCH($A667,Mots!$A:$A,0)),"introuvable")</f>
        <v>équitable</v>
      </c>
      <c r="C667" s="24" t="s">
        <v>8717</v>
      </c>
    </row>
    <row r="668" spans="1:9" x14ac:dyDescent="0.35">
      <c r="A668" s="24" t="s">
        <v>3935</v>
      </c>
      <c r="B668" s="43" t="str">
        <f>IFERROR(INDEX(Mots!$B:$B,MATCH($A668,Mots!$A:$A,0)),"introuvable")</f>
        <v>exact</v>
      </c>
      <c r="C668" s="24" t="s">
        <v>8718</v>
      </c>
      <c r="I668" s="24" t="s">
        <v>8719</v>
      </c>
    </row>
    <row r="669" spans="1:9" x14ac:dyDescent="0.35">
      <c r="A669" s="24" t="s">
        <v>3944</v>
      </c>
      <c r="B669" s="43" t="str">
        <f>IFERROR(INDEX(Mots!$B:$B,MATCH($A669,Mots!$A:$A,0)),"introuvable")</f>
        <v>extérieur</v>
      </c>
      <c r="C669" s="24" t="s">
        <v>8720</v>
      </c>
    </row>
    <row r="670" spans="1:9" x14ac:dyDescent="0.35">
      <c r="A670" s="24" t="s">
        <v>3951</v>
      </c>
      <c r="B670" s="43" t="str">
        <f>IFERROR(INDEX(Mots!$B:$B,MATCH($A670,Mots!$A:$A,0)),"introuvable")</f>
        <v>fatigué</v>
      </c>
      <c r="C670" s="24" t="s">
        <v>8721</v>
      </c>
      <c r="I670" s="24" t="s">
        <v>8722</v>
      </c>
    </row>
    <row r="671" spans="1:9" x14ac:dyDescent="0.35">
      <c r="A671" s="24" t="s">
        <v>3967</v>
      </c>
      <c r="B671" s="43" t="str">
        <f>IFERROR(INDEX(Mots!$B:$B,MATCH($A671,Mots!$A:$A,0)),"introuvable")</f>
        <v>féminin</v>
      </c>
      <c r="C671" s="24" t="s">
        <v>8723</v>
      </c>
    </row>
    <row r="672" spans="1:9" x14ac:dyDescent="0.35">
      <c r="A672" s="24" t="s">
        <v>3982</v>
      </c>
      <c r="B672" s="43" t="str">
        <f>IFERROR(INDEX(Mots!$B:$B,MATCH($A672,Mots!$A:$A,0)),"introuvable")</f>
        <v>frais - fraîche</v>
      </c>
      <c r="C672" s="24" t="s">
        <v>8724</v>
      </c>
      <c r="I672" s="24" t="s">
        <v>8725</v>
      </c>
    </row>
    <row r="673" spans="1:9" x14ac:dyDescent="0.35">
      <c r="A673" s="24" t="s">
        <v>4021</v>
      </c>
      <c r="B673" s="43" t="str">
        <f>IFERROR(INDEX(Mots!$B:$B,MATCH($A673,Mots!$A:$A,0)),"introuvable")</f>
        <v>gras - grasse</v>
      </c>
      <c r="C673" s="24" t="s">
        <v>8726</v>
      </c>
    </row>
    <row r="674" spans="1:9" x14ac:dyDescent="0.35">
      <c r="A674" s="24" t="s">
        <v>4026</v>
      </c>
      <c r="B674" s="43" t="str">
        <f>IFERROR(INDEX(Mots!$B:$B,MATCH($A674,Mots!$A:$A,0)),"introuvable")</f>
        <v>gratuit</v>
      </c>
      <c r="C674" s="24" t="s">
        <v>8727</v>
      </c>
      <c r="I674" s="24" t="s">
        <v>8728</v>
      </c>
    </row>
    <row r="675" spans="1:9" x14ac:dyDescent="0.35">
      <c r="A675" s="24" t="s">
        <v>4029</v>
      </c>
      <c r="B675" s="43" t="str">
        <f>IFERROR(INDEX(Mots!$B:$B,MATCH($A675,Mots!$A:$A,0)),"introuvable")</f>
        <v>habituel</v>
      </c>
      <c r="C675" s="24" t="s">
        <v>8729</v>
      </c>
      <c r="I675" s="24" t="s">
        <v>8730</v>
      </c>
    </row>
    <row r="676" spans="1:9" x14ac:dyDescent="0.35">
      <c r="A676" s="24" t="s">
        <v>9625</v>
      </c>
      <c r="B676" s="43" t="str">
        <f>IFERROR(INDEX(Mots!$B:$B,MATCH($A676,Mots!$A:$A,0)),"introuvable")</f>
        <v>heureux</v>
      </c>
      <c r="C676" s="24" t="s">
        <v>8731</v>
      </c>
      <c r="I676" s="24" t="s">
        <v>8732</v>
      </c>
    </row>
    <row r="677" spans="1:9" x14ac:dyDescent="0.35">
      <c r="A677" s="24" t="s">
        <v>4034</v>
      </c>
      <c r="B677" s="43" t="str">
        <f>IFERROR(INDEX(Mots!$B:$B,MATCH($A677,Mots!$A:$A,0)),"introuvable")</f>
        <v>humain</v>
      </c>
      <c r="C677" s="24" t="s">
        <v>8733</v>
      </c>
      <c r="I677" s="24" t="s">
        <v>8734</v>
      </c>
    </row>
    <row r="678" spans="1:9" x14ac:dyDescent="0.35">
      <c r="A678" s="24" t="s">
        <v>4049</v>
      </c>
      <c r="B678" s="43" t="str">
        <f>IFERROR(INDEX(Mots!$B:$B,MATCH($A678,Mots!$A:$A,0)),"introuvable")</f>
        <v>important</v>
      </c>
      <c r="C678" s="24" t="s">
        <v>8735</v>
      </c>
      <c r="I678" s="24" t="s">
        <v>8736</v>
      </c>
    </row>
    <row r="679" spans="1:9" x14ac:dyDescent="0.35">
      <c r="A679" s="24" t="s">
        <v>4054</v>
      </c>
      <c r="B679" s="43" t="str">
        <f>IFERROR(INDEX(Mots!$B:$B,MATCH($A679,Mots!$A:$A,0)),"introuvable")</f>
        <v>intérieur</v>
      </c>
      <c r="C679" s="24" t="s">
        <v>8737</v>
      </c>
    </row>
    <row r="680" spans="1:9" x14ac:dyDescent="0.35">
      <c r="A680" s="24" t="s">
        <v>4057</v>
      </c>
      <c r="B680" s="43" t="str">
        <f>IFERROR(INDEX(Mots!$B:$B,MATCH($A680,Mots!$A:$A,0)),"introuvable")</f>
        <v>invisible</v>
      </c>
      <c r="C680" s="24" t="s">
        <v>8738</v>
      </c>
    </row>
    <row r="681" spans="1:9" x14ac:dyDescent="0.35">
      <c r="A681" s="24" t="s">
        <v>4060</v>
      </c>
      <c r="B681" s="43" t="str">
        <f>IFERROR(INDEX(Mots!$B:$B,MATCH($A681,Mots!$A:$A,0)),"introuvable")</f>
        <v>irrité</v>
      </c>
      <c r="C681" s="24" t="s">
        <v>8739</v>
      </c>
    </row>
    <row r="682" spans="1:9" x14ac:dyDescent="0.35">
      <c r="A682" s="24" t="s">
        <v>9546</v>
      </c>
      <c r="B682" s="43" t="str">
        <f>IFERROR(INDEX(Mots!$B:$B,MATCH($A682,Mots!$A:$A,0)),"introuvable")</f>
        <v>joyeux</v>
      </c>
      <c r="C682" s="24" t="s">
        <v>8740</v>
      </c>
      <c r="I682" s="24" t="s">
        <v>8741</v>
      </c>
    </row>
    <row r="683" spans="1:9" x14ac:dyDescent="0.35">
      <c r="A683" s="24" t="s">
        <v>4080</v>
      </c>
      <c r="B683" s="43" t="str">
        <f>IFERROR(INDEX(Mots!$B:$B,MATCH($A683,Mots!$A:$A,0)),"introuvable")</f>
        <v>juste</v>
      </c>
      <c r="C683" s="24" t="s">
        <v>8742</v>
      </c>
      <c r="I683" s="24" t="s">
        <v>8743</v>
      </c>
    </row>
    <row r="684" spans="1:9" x14ac:dyDescent="0.35">
      <c r="A684" s="24" t="s">
        <v>6915</v>
      </c>
      <c r="B684" s="43" t="str">
        <f>IFERROR(INDEX(Mots!$B:$B,MATCH($A684,Mots!$A:$A,0)),"introuvable")</f>
        <v>malin</v>
      </c>
      <c r="C684" s="24" t="s">
        <v>8744</v>
      </c>
    </row>
    <row r="685" spans="1:9" x14ac:dyDescent="0.35">
      <c r="A685" s="24" t="s">
        <v>6936</v>
      </c>
      <c r="B685" s="43" t="str">
        <f>IFERROR(INDEX(Mots!$B:$B,MATCH($A685,Mots!$A:$A,0)),"introuvable")</f>
        <v>masculin</v>
      </c>
      <c r="C685" s="24" t="s">
        <v>8745</v>
      </c>
    </row>
    <row r="686" spans="1:9" x14ac:dyDescent="0.35">
      <c r="A686" s="24" t="s">
        <v>6942</v>
      </c>
      <c r="B686" s="43" t="str">
        <f>IFERROR(INDEX(Mots!$B:$B,MATCH($A686,Mots!$A:$A,0)),"introuvable")</f>
        <v>merveilleux</v>
      </c>
      <c r="C686" s="24" t="s">
        <v>8746</v>
      </c>
    </row>
    <row r="687" spans="1:9" x14ac:dyDescent="0.35">
      <c r="A687" s="24" t="s">
        <v>6972</v>
      </c>
      <c r="B687" s="43" t="str">
        <f>IFERROR(INDEX(Mots!$B:$B,MATCH($A687,Mots!$A:$A,0)),"introuvable")</f>
        <v>nombreux</v>
      </c>
      <c r="C687" s="24" t="s">
        <v>8747</v>
      </c>
    </row>
    <row r="688" spans="1:9" x14ac:dyDescent="0.35">
      <c r="A688" s="24" t="s">
        <v>6976</v>
      </c>
      <c r="B688" s="43" t="str">
        <f>IFERROR(INDEX(Mots!$B:$B,MATCH($A688,Mots!$A:$A,0)),"introuvable")</f>
        <v>nu</v>
      </c>
      <c r="C688" s="24" t="s">
        <v>8748</v>
      </c>
      <c r="I688" s="24" t="s">
        <v>8749</v>
      </c>
    </row>
    <row r="689" spans="1:9" x14ac:dyDescent="0.35">
      <c r="A689" s="24" t="s">
        <v>9527</v>
      </c>
      <c r="B689" s="43" t="str">
        <f>IFERROR(INDEX(Mots!$B:$B,MATCH($A689,Mots!$A:$A,0)),"introuvable")</f>
        <v>pareil</v>
      </c>
      <c r="C689" s="24" t="s">
        <v>8750</v>
      </c>
      <c r="I689" s="24" t="s">
        <v>8751</v>
      </c>
    </row>
    <row r="690" spans="1:9" x14ac:dyDescent="0.35">
      <c r="A690" s="24" t="s">
        <v>7017</v>
      </c>
      <c r="B690" s="43" t="str">
        <f>IFERROR(INDEX(Mots!$B:$B,MATCH($A690,Mots!$A:$A,0)),"introuvable")</f>
        <v>partout</v>
      </c>
      <c r="C690" s="24" t="s">
        <v>8752</v>
      </c>
      <c r="I690" s="24" t="s">
        <v>8753</v>
      </c>
    </row>
    <row r="691" spans="1:9" x14ac:dyDescent="0.35">
      <c r="A691" s="24" t="s">
        <v>7046</v>
      </c>
      <c r="B691" s="43" t="str">
        <f>IFERROR(INDEX(Mots!$B:$B,MATCH($A691,Mots!$A:$A,0)),"introuvable")</f>
        <v>piquant</v>
      </c>
      <c r="C691" s="24" t="s">
        <v>8754</v>
      </c>
    </row>
    <row r="692" spans="1:9" x14ac:dyDescent="0.35">
      <c r="A692" s="24" t="s">
        <v>7079</v>
      </c>
      <c r="B692" s="43" t="str">
        <f>IFERROR(INDEX(Mots!$B:$B,MATCH($A692,Mots!$A:$A,0)),"introuvable")</f>
        <v>possible</v>
      </c>
      <c r="C692" s="24" t="s">
        <v>8755</v>
      </c>
      <c r="I692" s="24" t="s">
        <v>8756</v>
      </c>
    </row>
    <row r="693" spans="1:9" x14ac:dyDescent="0.35">
      <c r="A693" s="24" t="s">
        <v>7097</v>
      </c>
      <c r="B693" s="43" t="str">
        <f>IFERROR(INDEX(Mots!$B:$B,MATCH($A693,Mots!$A:$A,0)),"introuvable")</f>
        <v>pratique</v>
      </c>
      <c r="C693" s="24" t="s">
        <v>8757</v>
      </c>
      <c r="I693" s="24" t="s">
        <v>8758</v>
      </c>
    </row>
    <row r="694" spans="1:9" x14ac:dyDescent="0.35">
      <c r="A694" s="24" t="s">
        <v>7100</v>
      </c>
      <c r="B694" s="43" t="str">
        <f>IFERROR(INDEX(Mots!$B:$B,MATCH($A694,Mots!$A:$A,0)),"introuvable")</f>
        <v>précis</v>
      </c>
      <c r="C694" s="24" t="s">
        <v>8759</v>
      </c>
    </row>
    <row r="695" spans="1:9" x14ac:dyDescent="0.35">
      <c r="A695" s="24" t="s">
        <v>7103</v>
      </c>
      <c r="B695" s="43" t="str">
        <f>IFERROR(INDEX(Mots!$B:$B,MATCH($A695,Mots!$A:$A,0)),"introuvable")</f>
        <v>préféré</v>
      </c>
      <c r="C695" s="24" t="s">
        <v>8760</v>
      </c>
      <c r="I695" s="24" t="s">
        <v>8761</v>
      </c>
    </row>
    <row r="696" spans="1:9" x14ac:dyDescent="0.35">
      <c r="A696" s="24" t="s">
        <v>7126</v>
      </c>
      <c r="B696" s="43" t="str">
        <f>IFERROR(INDEX(Mots!$B:$B,MATCH($A696,Mots!$A:$A,0)),"introuvable")</f>
        <v>prêt</v>
      </c>
      <c r="C696" s="24" t="s">
        <v>8762</v>
      </c>
      <c r="I696" s="24" t="s">
        <v>8763</v>
      </c>
    </row>
    <row r="697" spans="1:9" x14ac:dyDescent="0.35">
      <c r="A697" s="24" t="s">
        <v>7134</v>
      </c>
      <c r="B697" s="43" t="str">
        <f>IFERROR(INDEX(Mots!$B:$B,MATCH($A697,Mots!$A:$A,0)),"introuvable")</f>
        <v>profond</v>
      </c>
      <c r="C697" s="24" t="s">
        <v>8764</v>
      </c>
    </row>
    <row r="698" spans="1:9" x14ac:dyDescent="0.35">
      <c r="A698" s="24" t="s">
        <v>7164</v>
      </c>
      <c r="B698" s="43" t="str">
        <f>IFERROR(INDEX(Mots!$B:$B,MATCH($A698,Mots!$A:$A,0)),"introuvable")</f>
        <v>rarement</v>
      </c>
      <c r="C698" s="24" t="s">
        <v>8765</v>
      </c>
    </row>
    <row r="699" spans="1:9" x14ac:dyDescent="0.35">
      <c r="A699" s="24" t="s">
        <v>7189</v>
      </c>
      <c r="B699" s="43" t="str">
        <f>IFERROR(INDEX(Mots!$B:$B,MATCH($A699,Mots!$A:$A,0)),"introuvable")</f>
        <v>régulier</v>
      </c>
      <c r="C699" s="24" t="s">
        <v>8766</v>
      </c>
    </row>
    <row r="700" spans="1:9" x14ac:dyDescent="0.35">
      <c r="A700" s="24" t="s">
        <v>7225</v>
      </c>
      <c r="B700" s="43" t="str">
        <f>IFERROR(INDEX(Mots!$B:$B,MATCH($A700,Mots!$A:$A,0)),"introuvable")</f>
        <v>résistant</v>
      </c>
      <c r="C700" s="24" t="s">
        <v>8767</v>
      </c>
    </row>
    <row r="701" spans="1:9" x14ac:dyDescent="0.35">
      <c r="A701" s="24" t="s">
        <v>7253</v>
      </c>
      <c r="B701" s="43" t="str">
        <f>IFERROR(INDEX(Mots!$B:$B,MATCH($A701,Mots!$A:$A,0)),"introuvable")</f>
        <v>rude</v>
      </c>
      <c r="C701" s="24" t="s">
        <v>8768</v>
      </c>
    </row>
    <row r="702" spans="1:9" x14ac:dyDescent="0.35">
      <c r="A702" s="24" t="s">
        <v>7255</v>
      </c>
      <c r="B702" s="43" t="str">
        <f>IFERROR(INDEX(Mots!$B:$B,MATCH($A702,Mots!$A:$A,0)),"introuvable")</f>
        <v>rusé</v>
      </c>
      <c r="C702" s="24" t="s">
        <v>8769</v>
      </c>
    </row>
    <row r="703" spans="1:9" x14ac:dyDescent="0.35">
      <c r="A703" s="24" t="s">
        <v>9624</v>
      </c>
      <c r="B703" s="43" t="str">
        <f>IFERROR(INDEX(Mots!$B:$B,MATCH($A703,Mots!$A:$A,0)),"introuvable")</f>
        <v>sauvage</v>
      </c>
      <c r="C703" s="24" t="s">
        <v>8770</v>
      </c>
      <c r="I703" s="24" t="s">
        <v>8771</v>
      </c>
    </row>
    <row r="704" spans="1:9" x14ac:dyDescent="0.35">
      <c r="A704" s="24" t="s">
        <v>7309</v>
      </c>
      <c r="B704" s="43" t="str">
        <f>IFERROR(INDEX(Mots!$B:$B,MATCH($A704,Mots!$A:$A,0)),"introuvable")</f>
        <v>seul</v>
      </c>
      <c r="C704" s="24" t="s">
        <v>8772</v>
      </c>
      <c r="I704" s="24" t="s">
        <v>8773</v>
      </c>
    </row>
    <row r="705" spans="1:9" x14ac:dyDescent="0.35">
      <c r="A705" s="24" t="s">
        <v>7311</v>
      </c>
      <c r="B705" s="43" t="str">
        <f>IFERROR(INDEX(Mots!$B:$B,MATCH($A705,Mots!$A:$A,0)),"introuvable")</f>
        <v>seulement</v>
      </c>
      <c r="C705" s="24" t="s">
        <v>8774</v>
      </c>
    </row>
    <row r="706" spans="1:9" x14ac:dyDescent="0.35">
      <c r="A706" s="24" t="s">
        <v>7321</v>
      </c>
      <c r="B706" s="43" t="str">
        <f>IFERROR(INDEX(Mots!$B:$B,MATCH($A706,Mots!$A:$A,0)),"introuvable")</f>
        <v>soudain</v>
      </c>
      <c r="C706" s="24" t="s">
        <v>8775</v>
      </c>
      <c r="I706" s="24" t="s">
        <v>8776</v>
      </c>
    </row>
    <row r="707" spans="1:9" x14ac:dyDescent="0.35">
      <c r="A707" s="24" t="s">
        <v>7323</v>
      </c>
      <c r="B707" s="43" t="str">
        <f>IFERROR(INDEX(Mots!$B:$B,MATCH($A707,Mots!$A:$A,0)),"introuvable")</f>
        <v>souple</v>
      </c>
      <c r="C707" s="24" t="s">
        <v>8777</v>
      </c>
    </row>
    <row r="708" spans="1:9" x14ac:dyDescent="0.35">
      <c r="A708" s="24" t="s">
        <v>7373</v>
      </c>
      <c r="B708" s="43" t="str">
        <f>IFERROR(INDEX(Mots!$B:$B,MATCH($A708,Mots!$A:$A,0)),"introuvable")</f>
        <v>touffu</v>
      </c>
      <c r="C708" s="24" t="s">
        <v>8778</v>
      </c>
    </row>
    <row r="709" spans="1:9" x14ac:dyDescent="0.35">
      <c r="A709" s="24" t="s">
        <v>7375</v>
      </c>
      <c r="B709" s="43" t="str">
        <f>IFERROR(INDEX(Mots!$B:$B,MATCH($A709,Mots!$A:$A,0)),"introuvable")</f>
        <v>tranquille</v>
      </c>
      <c r="C709" s="24" t="s">
        <v>8779</v>
      </c>
      <c r="I709" s="24" t="s">
        <v>8780</v>
      </c>
    </row>
    <row r="710" spans="1:9" x14ac:dyDescent="0.35">
      <c r="A710" s="24" t="s">
        <v>7378</v>
      </c>
      <c r="B710" s="43" t="str">
        <f>IFERROR(INDEX(Mots!$B:$B,MATCH($A710,Mots!$A:$A,0)),"introuvable")</f>
        <v>transparent</v>
      </c>
      <c r="C710" s="24" t="s">
        <v>8781</v>
      </c>
    </row>
    <row r="711" spans="1:9" x14ac:dyDescent="0.35">
      <c r="A711" s="24" t="s">
        <v>607</v>
      </c>
      <c r="B711" s="43" t="str">
        <f>IFERROR(INDEX(Mots!$B:$B,MATCH($A711,Mots!$A:$A,0)),"introuvable")</f>
        <v>la baguette</v>
      </c>
      <c r="C711" s="24" t="s">
        <v>8782</v>
      </c>
    </row>
    <row r="712" spans="1:9" x14ac:dyDescent="0.35">
      <c r="A712" s="24" t="s">
        <v>611</v>
      </c>
      <c r="B712" s="43" t="str">
        <f>IFERROR(INDEX(Mots!$B:$B,MATCH($A712,Mots!$A:$A,0)),"introuvable")</f>
        <v>la chanson</v>
      </c>
      <c r="C712" s="24" t="s">
        <v>8783</v>
      </c>
      <c r="I712" s="24" t="s">
        <v>8426</v>
      </c>
    </row>
    <row r="713" spans="1:9" x14ac:dyDescent="0.35">
      <c r="A713" s="24" t="s">
        <v>618</v>
      </c>
      <c r="B713" s="43" t="str">
        <f>IFERROR(INDEX(Mots!$B:$B,MATCH($A713,Mots!$A:$A,0)),"introuvable")</f>
        <v>la danse</v>
      </c>
      <c r="C713" s="24" t="s">
        <v>8784</v>
      </c>
    </row>
    <row r="714" spans="1:9" x14ac:dyDescent="0.35">
      <c r="A714" s="24" t="s">
        <v>622</v>
      </c>
      <c r="B714" s="43" t="str">
        <f>IFERROR(INDEX(Mots!$B:$B,MATCH($A714,Mots!$A:$A,0)),"introuvable")</f>
        <v>la mélodie</v>
      </c>
      <c r="C714" s="24" t="s">
        <v>8785</v>
      </c>
    </row>
    <row r="715" spans="1:9" x14ac:dyDescent="0.35">
      <c r="A715" s="24" t="s">
        <v>626</v>
      </c>
      <c r="B715" s="43" t="str">
        <f>IFERROR(INDEX(Mots!$B:$B,MATCH($A715,Mots!$A:$A,0)),"introuvable")</f>
        <v>la partition</v>
      </c>
      <c r="C715" s="24" t="s">
        <v>8786</v>
      </c>
      <c r="I715" s="24" t="s">
        <v>8787</v>
      </c>
    </row>
    <row r="716" spans="1:9" x14ac:dyDescent="0.35">
      <c r="A716" s="24" t="s">
        <v>630</v>
      </c>
      <c r="B716" s="43" t="str">
        <f>IFERROR(INDEX(Mots!$B:$B,MATCH($A716,Mots!$A:$A,0)),"introuvable")</f>
        <v>la répétition</v>
      </c>
      <c r="C716" s="24" t="s">
        <v>8788</v>
      </c>
      <c r="I716" s="24" t="s">
        <v>8789</v>
      </c>
    </row>
    <row r="717" spans="1:9" x14ac:dyDescent="0.35">
      <c r="A717" s="24" t="s">
        <v>634</v>
      </c>
      <c r="B717" s="43" t="str">
        <f>IFERROR(INDEX(Mots!$B:$B,MATCH($A717,Mots!$A:$A,0)),"introuvable")</f>
        <v>la scène</v>
      </c>
      <c r="C717" s="24" t="s">
        <v>8790</v>
      </c>
      <c r="I717" s="24" t="s">
        <v>8791</v>
      </c>
    </row>
    <row r="718" spans="1:9" x14ac:dyDescent="0.35">
      <c r="A718" s="24" t="s">
        <v>642</v>
      </c>
      <c r="B718" s="43" t="str">
        <f>IFERROR(INDEX(Mots!$B:$B,MATCH($A718,Mots!$A:$A,0)),"introuvable")</f>
        <v>le concert</v>
      </c>
      <c r="C718" s="24" t="s">
        <v>8792</v>
      </c>
      <c r="I718" s="24" t="s">
        <v>8793</v>
      </c>
    </row>
    <row r="719" spans="1:9" x14ac:dyDescent="0.35">
      <c r="A719" s="24" t="s">
        <v>666</v>
      </c>
      <c r="B719" s="43" t="str">
        <f>IFERROR(INDEX(Mots!$B:$B,MATCH($A719,Mots!$A:$A,0)),"introuvable")</f>
        <v>le public</v>
      </c>
      <c r="C719" s="24" t="s">
        <v>8794</v>
      </c>
    </row>
    <row r="720" spans="1:9" x14ac:dyDescent="0.35">
      <c r="A720" s="24" t="s">
        <v>670</v>
      </c>
      <c r="B720" s="43" t="str">
        <f>IFERROR(INDEX(Mots!$B:$B,MATCH($A720,Mots!$A:$A,0)),"introuvable")</f>
        <v>le son</v>
      </c>
      <c r="C720" s="24" t="s">
        <v>8795</v>
      </c>
    </row>
    <row r="721" spans="1:9" x14ac:dyDescent="0.35">
      <c r="A721" s="24" t="s">
        <v>674</v>
      </c>
      <c r="B721" s="43" t="str">
        <f>IFERROR(INDEX(Mots!$B:$B,MATCH($A721,Mots!$A:$A,0)),"introuvable")</f>
        <v>le souffle</v>
      </c>
      <c r="C721" s="24" t="s">
        <v>8796</v>
      </c>
      <c r="I721" s="24" t="s">
        <v>8797</v>
      </c>
    </row>
    <row r="722" spans="1:9" x14ac:dyDescent="0.35">
      <c r="A722" s="24" t="s">
        <v>686</v>
      </c>
      <c r="B722" s="43" t="str">
        <f>IFERROR(INDEX(Mots!$B:$B,MATCH($A722,Mots!$A:$A,0)),"introuvable")</f>
        <v>les applaudissements</v>
      </c>
      <c r="C722" s="24" t="s">
        <v>8798</v>
      </c>
    </row>
    <row r="723" spans="1:9" x14ac:dyDescent="0.35">
      <c r="A723" s="24" t="s">
        <v>690</v>
      </c>
      <c r="B723" s="43" t="str">
        <f>IFERROR(INDEX(Mots!$B:$B,MATCH($A723,Mots!$A:$A,0)),"introuvable")</f>
        <v>les paroles</v>
      </c>
      <c r="C723" s="24" t="s">
        <v>8799</v>
      </c>
      <c r="I723" s="24" t="s">
        <v>8800</v>
      </c>
    </row>
    <row r="724" spans="1:9" x14ac:dyDescent="0.35">
      <c r="A724" s="24" t="s">
        <v>695</v>
      </c>
      <c r="B724" s="43" t="str">
        <f>IFERROR(INDEX(Mots!$B:$B,MATCH($A724,Mots!$A:$A,0)),"introuvable")</f>
        <v>l'harmonie</v>
      </c>
      <c r="C724" s="24" t="s">
        <v>8801</v>
      </c>
    </row>
    <row r="725" spans="1:9" x14ac:dyDescent="0.35">
      <c r="A725" s="24" t="s">
        <v>839</v>
      </c>
      <c r="B725" s="43" t="str">
        <f>IFERROR(INDEX(Mots!$B:$B,MATCH($A725,Mots!$A:$A,0)),"introuvable")</f>
        <v>la portée et les mesures</v>
      </c>
      <c r="C725" s="24" t="s">
        <v>8802</v>
      </c>
    </row>
    <row r="726" spans="1:9" x14ac:dyDescent="0.35">
      <c r="A726" s="24" t="s">
        <v>843</v>
      </c>
      <c r="B726" s="43" t="str">
        <f>IFERROR(INDEX(Mots!$B:$B,MATCH($A726,Mots!$A:$A,0)),"introuvable")</f>
        <v>la clé de sol</v>
      </c>
      <c r="C726" s="24" t="s">
        <v>8803</v>
      </c>
    </row>
    <row r="727" spans="1:9" x14ac:dyDescent="0.35">
      <c r="A727" s="24" t="s">
        <v>847</v>
      </c>
      <c r="B727" s="43" t="str">
        <f>IFERROR(INDEX(Mots!$B:$B,MATCH($A727,Mots!$A:$A,0)),"introuvable")</f>
        <v>les figures de notes</v>
      </c>
      <c r="C727" s="24" t="s">
        <v>8804</v>
      </c>
    </row>
    <row r="728" spans="1:9" x14ac:dyDescent="0.35">
      <c r="A728" s="24" t="s">
        <v>851</v>
      </c>
      <c r="B728" s="43" t="str">
        <f>IFERROR(INDEX(Mots!$B:$B,MATCH($A728,Mots!$A:$A,0)),"introuvable")</f>
        <v>les altérations</v>
      </c>
      <c r="C728" s="24" t="s">
        <v>8805</v>
      </c>
    </row>
    <row r="729" spans="1:9" x14ac:dyDescent="0.35">
      <c r="A729" s="24" t="s">
        <v>855</v>
      </c>
      <c r="B729" s="43" t="str">
        <f>IFERROR(INDEX(Mots!$B:$B,MATCH($A729,Mots!$A:$A,0)),"introuvable")</f>
        <v>les silences</v>
      </c>
      <c r="C729" s="24" t="s">
        <v>8806</v>
      </c>
    </row>
    <row r="730" spans="1:9" x14ac:dyDescent="0.35">
      <c r="A730" s="24" t="s">
        <v>859</v>
      </c>
      <c r="B730" s="43" t="str">
        <f>IFERROR(INDEX(Mots!$B:$B,MATCH($A730,Mots!$A:$A,0)),"introuvable")</f>
        <v>les nuances</v>
      </c>
      <c r="C730" s="24" t="s">
        <v>8807</v>
      </c>
    </row>
    <row r="731" spans="1:9" x14ac:dyDescent="0.35">
      <c r="A731" s="24" t="s">
        <v>863</v>
      </c>
      <c r="B731" s="43" t="str">
        <f>IFERROR(INDEX(Mots!$B:$B,MATCH($A731,Mots!$A:$A,0)),"introuvable")</f>
        <v>le crescendo et decrescendo</v>
      </c>
      <c r="C731" s="24" t="s">
        <v>8808</v>
      </c>
    </row>
    <row r="732" spans="1:9" x14ac:dyDescent="0.35">
      <c r="A732" s="24" t="s">
        <v>9695</v>
      </c>
      <c r="B732" s="43" t="str">
        <f>IFERROR(INDEX(Mots!$B:$B,MATCH($A732,Mots!$A:$A,0)),"introuvable")</f>
        <v>le défilé - le concours de marche</v>
      </c>
      <c r="C732" s="24" t="s">
        <v>8809</v>
      </c>
      <c r="I732" s="24" t="s">
        <v>8810</v>
      </c>
    </row>
    <row r="733" spans="1:9" x14ac:dyDescent="0.35">
      <c r="A733" s="24" t="s">
        <v>1942</v>
      </c>
      <c r="B733" s="43" t="str">
        <f>IFERROR(INDEX(Mots!$B:$B,MATCH($A733,Mots!$A:$A,0)),"introuvable")</f>
        <v>la guitare</v>
      </c>
      <c r="C733" s="24" t="s">
        <v>8811</v>
      </c>
      <c r="I733" s="24" t="s">
        <v>8812</v>
      </c>
    </row>
    <row r="734" spans="1:9" x14ac:dyDescent="0.35">
      <c r="A734" s="24" t="s">
        <v>1950</v>
      </c>
      <c r="B734" s="43" t="str">
        <f>IFERROR(INDEX(Mots!$B:$B,MATCH($A734,Mots!$A:$A,0)),"introuvable")</f>
        <v>le piano</v>
      </c>
      <c r="C734" s="24" t="s">
        <v>8813</v>
      </c>
      <c r="I734" s="24" t="s">
        <v>8814</v>
      </c>
    </row>
    <row r="735" spans="1:9" x14ac:dyDescent="0.35">
      <c r="A735" s="24" t="s">
        <v>1977</v>
      </c>
      <c r="B735" s="43" t="str">
        <f>IFERROR(INDEX(Mots!$B:$B,MATCH($A735,Mots!$A:$A,0)),"introuvable")</f>
        <v>le tambour</v>
      </c>
      <c r="C735" s="24" t="s">
        <v>8815</v>
      </c>
      <c r="I735" s="24" t="s">
        <v>8816</v>
      </c>
    </row>
    <row r="736" spans="1:9" x14ac:dyDescent="0.35">
      <c r="A736" s="24" t="s">
        <v>585</v>
      </c>
      <c r="B736" s="43" t="str">
        <f>IFERROR(INDEX(Mots!$B:$B,MATCH($A736,Mots!$A:$A,0)),"introuvable")</f>
        <v>le don d'honneur (argent)</v>
      </c>
      <c r="C736" s="24" t="s">
        <v>8817</v>
      </c>
    </row>
    <row r="737" spans="1:9" x14ac:dyDescent="0.35">
      <c r="A737" s="24" t="s">
        <v>653</v>
      </c>
      <c r="B737" s="43" t="str">
        <f>IFERROR(INDEX(Mots!$B:$B,MATCH($A737,Mots!$A:$A,0)),"introuvable")</f>
        <v>le loto</v>
      </c>
      <c r="C737" s="24" t="s">
        <v>8818</v>
      </c>
      <c r="I737" s="24" t="s">
        <v>8819</v>
      </c>
    </row>
    <row r="738" spans="1:9" x14ac:dyDescent="0.35">
      <c r="A738" s="24" t="s">
        <v>646</v>
      </c>
      <c r="B738" s="43" t="str">
        <f>IFERROR(INDEX(Mots!$B:$B,MATCH($A738,Mots!$A:$A,0)),"introuvable")</f>
        <v>le loisir</v>
      </c>
      <c r="C738" s="24" t="s">
        <v>8820</v>
      </c>
    </row>
    <row r="739" spans="1:9" x14ac:dyDescent="0.35">
      <c r="A739" s="24" t="s">
        <v>798</v>
      </c>
      <c r="B739" s="43" t="str">
        <f>IFERROR(INDEX(Mots!$B:$B,MATCH($A739,Mots!$A:$A,0)),"introuvable")</f>
        <v>le dossier</v>
      </c>
      <c r="C739" s="24" t="s">
        <v>8821</v>
      </c>
    </row>
    <row r="740" spans="1:9" x14ac:dyDescent="0.35">
      <c r="A740" s="24" t="s">
        <v>775</v>
      </c>
      <c r="B740" s="43" t="str">
        <f>IFERROR(INDEX(Mots!$B:$B,MATCH($A740,Mots!$A:$A,0)),"introuvable")</f>
        <v>la grille à raclette</v>
      </c>
      <c r="C740" s="24" t="s">
        <v>8822</v>
      </c>
    </row>
    <row r="741" spans="1:9" x14ac:dyDescent="0.35">
      <c r="A741" s="24" t="s">
        <v>2329</v>
      </c>
      <c r="B741" s="43" t="str">
        <f>IFERROR(INDEX(Mots!$B:$B,MATCH($A741,Mots!$A:$A,0)),"introuvable")</f>
        <v>le chargeur</v>
      </c>
      <c r="C741" s="24" t="s">
        <v>8823</v>
      </c>
    </row>
    <row r="742" spans="1:9" x14ac:dyDescent="0.35">
      <c r="A742" s="24" t="s">
        <v>3229</v>
      </c>
      <c r="B742" s="43" t="str">
        <f>IFERROR(INDEX(Mots!$B:$B,MATCH($A742,Mots!$A:$A,0)),"introuvable")</f>
        <v>la calculatrice</v>
      </c>
      <c r="C742" s="24" t="s">
        <v>8824</v>
      </c>
    </row>
    <row r="743" spans="1:9" x14ac:dyDescent="0.35">
      <c r="A743" s="24" t="s">
        <v>10088</v>
      </c>
      <c r="B743" s="43" t="str">
        <f>IFERROR(INDEX(Mots!$B:$B,MATCH($A743,Mots!$A:$A,0)),"introuvable")</f>
        <v>le store</v>
      </c>
      <c r="C743" s="24" t="s">
        <v>10104</v>
      </c>
      <c r="I743" s="24" t="s">
        <v>10105</v>
      </c>
    </row>
    <row r="744" spans="1:9" x14ac:dyDescent="0.35">
      <c r="A744" s="24" t="s">
        <v>3360</v>
      </c>
      <c r="B744" s="43" t="str">
        <f>IFERROR(INDEX(Mots!$B:$B,MATCH($A744,Mots!$A:$A,0)),"introuvable")</f>
        <v>les volets</v>
      </c>
      <c r="C744" s="24" t="s">
        <v>8825</v>
      </c>
      <c r="I744" s="24" t="s">
        <v>8826</v>
      </c>
    </row>
    <row r="745" spans="1:9" x14ac:dyDescent="0.35">
      <c r="A745" s="24" t="s">
        <v>3386</v>
      </c>
      <c r="B745" s="43" t="str">
        <f>IFERROR(INDEX(Mots!$B:$B,MATCH($A745,Mots!$A:$A,0)),"introuvable")</f>
        <v>la barrière</v>
      </c>
      <c r="C745" s="24" t="s">
        <v>8827</v>
      </c>
    </row>
    <row r="746" spans="1:9" x14ac:dyDescent="0.35">
      <c r="A746" s="24" t="s">
        <v>3394</v>
      </c>
      <c r="B746" s="43" t="str">
        <f>IFERROR(INDEX(Mots!$B:$B,MATCH($A746,Mots!$A:$A,0)),"introuvable")</f>
        <v>la prise</v>
      </c>
      <c r="C746" s="24" t="s">
        <v>8828</v>
      </c>
      <c r="I746" s="24" t="s">
        <v>8829</v>
      </c>
    </row>
    <row r="747" spans="1:9" x14ac:dyDescent="0.35">
      <c r="A747" s="24" t="s">
        <v>3398</v>
      </c>
      <c r="B747" s="43" t="str">
        <f>IFERROR(INDEX(Mots!$B:$B,MATCH($A747,Mots!$A:$A,0)),"introuvable")</f>
        <v>la serrure</v>
      </c>
      <c r="C747" s="24" t="s">
        <v>8830</v>
      </c>
    </row>
    <row r="748" spans="1:9" x14ac:dyDescent="0.35">
      <c r="A748" s="24" t="s">
        <v>3402</v>
      </c>
      <c r="B748" s="43" t="str">
        <f>IFERROR(INDEX(Mots!$B:$B,MATCH($A748,Mots!$A:$A,0)),"introuvable")</f>
        <v>le fourneau à bois</v>
      </c>
      <c r="C748" s="24" t="s">
        <v>8831</v>
      </c>
    </row>
    <row r="749" spans="1:9" x14ac:dyDescent="0.35">
      <c r="A749" s="24" t="s">
        <v>3406</v>
      </c>
      <c r="B749" s="43" t="str">
        <f>IFERROR(INDEX(Mots!$B:$B,MATCH($A749,Mots!$A:$A,0)),"introuvable")</f>
        <v>le fourneau à pellets</v>
      </c>
      <c r="C749" s="24" t="s">
        <v>8832</v>
      </c>
    </row>
    <row r="750" spans="1:9" x14ac:dyDescent="0.35">
      <c r="A750" s="24" t="s">
        <v>4142</v>
      </c>
      <c r="B750" s="43" t="str">
        <f>IFERROR(INDEX(Mots!$B:$B,MATCH($A750,Mots!$A:$A,0)),"introuvable")</f>
        <v>la boîte</v>
      </c>
      <c r="C750" s="24" t="s">
        <v>8833</v>
      </c>
      <c r="I750" s="24" t="s">
        <v>8834</v>
      </c>
    </row>
    <row r="751" spans="1:9" x14ac:dyDescent="0.35">
      <c r="A751" s="24" t="s">
        <v>4150</v>
      </c>
      <c r="B751" s="43" t="str">
        <f>IFERROR(INDEX(Mots!$B:$B,MATCH($A751,Mots!$A:$A,0)),"introuvable")</f>
        <v>la bougie</v>
      </c>
      <c r="C751" s="24" t="s">
        <v>8835</v>
      </c>
      <c r="I751" s="24" t="s">
        <v>8836</v>
      </c>
    </row>
    <row r="752" spans="1:9" x14ac:dyDescent="0.35">
      <c r="A752" s="24" t="s">
        <v>4258</v>
      </c>
      <c r="B752" s="43" t="str">
        <f>IFERROR(INDEX(Mots!$B:$B,MATCH($A752,Mots!$A:$A,0)),"introuvable")</f>
        <v>la colle</v>
      </c>
      <c r="C752" s="24" t="s">
        <v>8837</v>
      </c>
      <c r="I752" s="24" t="s">
        <v>8838</v>
      </c>
    </row>
    <row r="753" spans="1:9" x14ac:dyDescent="0.35">
      <c r="A753" s="24" t="s">
        <v>4323</v>
      </c>
      <c r="B753" s="43" t="str">
        <f>IFERROR(INDEX(Mots!$B:$B,MATCH($A753,Mots!$A:$A,0)),"introuvable")</f>
        <v>la couverture</v>
      </c>
      <c r="C753" s="24" t="s">
        <v>8839</v>
      </c>
      <c r="I753" s="24" t="s">
        <v>8840</v>
      </c>
    </row>
    <row r="754" spans="1:9" x14ac:dyDescent="0.35">
      <c r="A754" s="24" t="s">
        <v>4307</v>
      </c>
      <c r="B754" s="43" t="str">
        <f>IFERROR(INDEX(Mots!$B:$B,MATCH($A754,Mots!$A:$A,0)),"introuvable")</f>
        <v>la corde</v>
      </c>
      <c r="C754" s="24" t="s">
        <v>8841</v>
      </c>
    </row>
    <row r="755" spans="1:9" x14ac:dyDescent="0.35">
      <c r="A755" s="24" t="s">
        <v>4512</v>
      </c>
      <c r="B755" s="43" t="str">
        <f>IFERROR(INDEX(Mots!$B:$B,MATCH($A755,Mots!$A:$A,0)),"introuvable")</f>
        <v>la grille</v>
      </c>
      <c r="C755" s="24" t="s">
        <v>8842</v>
      </c>
    </row>
    <row r="756" spans="1:9" x14ac:dyDescent="0.35">
      <c r="A756" s="24" t="s">
        <v>4250</v>
      </c>
      <c r="B756" s="43" t="str">
        <f>IFERROR(INDEX(Mots!$B:$B,MATCH($A756,Mots!$A:$A,0)),"introuvable")</f>
        <v>la clôture</v>
      </c>
      <c r="C756" s="24" t="s">
        <v>8843</v>
      </c>
    </row>
    <row r="757" spans="1:9" x14ac:dyDescent="0.35">
      <c r="A757" s="24" t="s">
        <v>4556</v>
      </c>
      <c r="B757" s="43" t="str">
        <f>IFERROR(INDEX(Mots!$B:$B,MATCH($A757,Mots!$A:$A,0)),"introuvable")</f>
        <v>la lame</v>
      </c>
      <c r="C757" s="24" t="s">
        <v>8844</v>
      </c>
    </row>
    <row r="758" spans="1:9" x14ac:dyDescent="0.35">
      <c r="A758" s="24" t="s">
        <v>4601</v>
      </c>
      <c r="B758" s="43" t="str">
        <f>IFERROR(INDEX(Mots!$B:$B,MATCH($A758,Mots!$A:$A,0)),"introuvable")</f>
        <v>la loupe</v>
      </c>
      <c r="C758" s="24" t="s">
        <v>8845</v>
      </c>
    </row>
    <row r="759" spans="1:9" x14ac:dyDescent="0.35">
      <c r="A759" s="24" t="s">
        <v>4621</v>
      </c>
      <c r="B759" s="43" t="str">
        <f>IFERROR(INDEX(Mots!$B:$B,MATCH($A759,Mots!$A:$A,0)),"introuvable")</f>
        <v>la machine</v>
      </c>
      <c r="C759" s="24" t="s">
        <v>8846</v>
      </c>
    </row>
    <row r="760" spans="1:9" x14ac:dyDescent="0.35">
      <c r="A760" s="24" t="s">
        <v>4631</v>
      </c>
      <c r="B760" s="43" t="str">
        <f>IFERROR(INDEX(Mots!$B:$B,MATCH($A760,Mots!$A:$A,0)),"introuvable")</f>
        <v>la manche</v>
      </c>
      <c r="C760" s="24" t="s">
        <v>8847</v>
      </c>
      <c r="I760" s="24" t="s">
        <v>8848</v>
      </c>
    </row>
    <row r="761" spans="1:9" x14ac:dyDescent="0.35">
      <c r="A761" s="24" t="s">
        <v>4095</v>
      </c>
      <c r="B761" s="43" t="str">
        <f>IFERROR(INDEX(Mots!$B:$B,MATCH($A761,Mots!$A:$A,0)),"introuvable")</f>
        <v>la balance</v>
      </c>
      <c r="C761" s="24" t="s">
        <v>8849</v>
      </c>
    </row>
    <row r="762" spans="1:9" x14ac:dyDescent="0.35">
      <c r="A762" s="24" t="s">
        <v>4103</v>
      </c>
      <c r="B762" s="43" t="str">
        <f>IFERROR(INDEX(Mots!$B:$B,MATCH($A762,Mots!$A:$A,0)),"introuvable")</f>
        <v>la balle</v>
      </c>
      <c r="C762" s="24" t="s">
        <v>8850</v>
      </c>
      <c r="I762" s="24" t="s">
        <v>8851</v>
      </c>
    </row>
    <row r="763" spans="1:9" x14ac:dyDescent="0.35">
      <c r="A763" s="24" t="s">
        <v>4206</v>
      </c>
      <c r="B763" s="43" t="str">
        <f>IFERROR(INDEX(Mots!$B:$B,MATCH($A763,Mots!$A:$A,0)),"introuvable")</f>
        <v>la cave</v>
      </c>
      <c r="C763" s="24" t="s">
        <v>8852</v>
      </c>
      <c r="I763" s="24" t="s">
        <v>8853</v>
      </c>
    </row>
    <row r="764" spans="1:9" x14ac:dyDescent="0.35">
      <c r="A764" s="24" t="s">
        <v>4343</v>
      </c>
      <c r="B764" s="43" t="str">
        <f>IFERROR(INDEX(Mots!$B:$B,MATCH($A764,Mots!$A:$A,0)),"introuvable")</f>
        <v>la cuve pour le vin</v>
      </c>
      <c r="C764" s="24" t="s">
        <v>8854</v>
      </c>
    </row>
    <row r="765" spans="1:9" x14ac:dyDescent="0.35">
      <c r="A765" s="24" t="s">
        <v>4158</v>
      </c>
      <c r="B765" s="43" t="str">
        <f>IFERROR(INDEX(Mots!$B:$B,MATCH($A765,Mots!$A:$A,0)),"introuvable")</f>
        <v>la boule</v>
      </c>
      <c r="C765" s="24" t="s">
        <v>8855</v>
      </c>
      <c r="I765" s="24" t="s">
        <v>8856</v>
      </c>
    </row>
    <row r="766" spans="1:9" x14ac:dyDescent="0.35">
      <c r="A766" s="24" t="s">
        <v>2805</v>
      </c>
      <c r="B766" s="43" t="str">
        <f>IFERROR(INDEX(Mots!$B:$B,MATCH($A766,Mots!$A:$A,0)),"introuvable")</f>
        <v>la branche d'un arbre</v>
      </c>
      <c r="C766" s="24" t="s">
        <v>8857</v>
      </c>
    </row>
    <row r="767" spans="1:9" x14ac:dyDescent="0.35">
      <c r="A767" s="24" t="s">
        <v>9411</v>
      </c>
      <c r="B767" s="43" t="str">
        <f>IFERROR(INDEX(Mots!$B:$B,MATCH($A767,Mots!$A:$A,0)),"introuvable")</f>
        <v>la feuille d'une plante</v>
      </c>
      <c r="C767" s="24" t="s">
        <v>8859</v>
      </c>
      <c r="D767" s="25" t="s">
        <v>8858</v>
      </c>
    </row>
    <row r="768" spans="1:9" x14ac:dyDescent="0.35">
      <c r="A768" s="24" t="s">
        <v>4173</v>
      </c>
      <c r="B768" s="43" t="str">
        <f>IFERROR(INDEX(Mots!$B:$B,MATCH($A768,Mots!$A:$A,0)),"introuvable")</f>
        <v>la brise</v>
      </c>
      <c r="C768" s="24" t="s">
        <v>8860</v>
      </c>
    </row>
    <row r="769" spans="1:9" x14ac:dyDescent="0.35">
      <c r="A769" s="24" t="s">
        <v>4185</v>
      </c>
      <c r="B769" s="43" t="str">
        <f>IFERROR(INDEX(Mots!$B:$B,MATCH($A769,Mots!$A:$A,0)),"introuvable")</f>
        <v>la campagne</v>
      </c>
      <c r="C769" s="24" t="s">
        <v>8861</v>
      </c>
      <c r="I769" s="24" t="s">
        <v>8862</v>
      </c>
    </row>
    <row r="770" spans="1:9" x14ac:dyDescent="0.35">
      <c r="A770" s="24" t="s">
        <v>4189</v>
      </c>
      <c r="B770" s="43" t="str">
        <f>IFERROR(INDEX(Mots!$B:$B,MATCH($A770,Mots!$A:$A,0)),"introuvable")</f>
        <v>la cascade</v>
      </c>
      <c r="C770" s="24" t="s">
        <v>8863</v>
      </c>
    </row>
    <row r="771" spans="1:9" x14ac:dyDescent="0.35">
      <c r="A771" s="24" t="s">
        <v>4271</v>
      </c>
      <c r="B771" s="43" t="str">
        <f>IFERROR(INDEX(Mots!$B:$B,MATCH($A771,Mots!$A:$A,0)),"introuvable")</f>
        <v>la colline</v>
      </c>
      <c r="C771" s="24" t="s">
        <v>8864</v>
      </c>
    </row>
    <row r="772" spans="1:9" x14ac:dyDescent="0.35">
      <c r="A772" s="24" t="s">
        <v>4388</v>
      </c>
      <c r="B772" s="43" t="str">
        <f>IFERROR(INDEX(Mots!$B:$B,MATCH($A772,Mots!$A:$A,0)),"introuvable")</f>
        <v>la falaise</v>
      </c>
      <c r="C772" s="24" t="s">
        <v>8865</v>
      </c>
    </row>
    <row r="773" spans="1:9" x14ac:dyDescent="0.35">
      <c r="A773" s="24" t="s">
        <v>4438</v>
      </c>
      <c r="B773" s="43" t="str">
        <f>IFERROR(INDEX(Mots!$B:$B,MATCH($A773,Mots!$A:$A,0)),"introuvable")</f>
        <v>la fontaine</v>
      </c>
      <c r="C773" s="24" t="s">
        <v>8866</v>
      </c>
    </row>
    <row r="774" spans="1:9" x14ac:dyDescent="0.35">
      <c r="A774" s="24" t="s">
        <v>4481</v>
      </c>
      <c r="B774" s="43" t="str">
        <f>IFERROR(INDEX(Mots!$B:$B,MATCH($A774,Mots!$A:$A,0)),"introuvable")</f>
        <v>la glace</v>
      </c>
      <c r="C774" s="24" t="s">
        <v>8867</v>
      </c>
    </row>
    <row r="775" spans="1:9" x14ac:dyDescent="0.35">
      <c r="A775" s="24" t="s">
        <v>4498</v>
      </c>
      <c r="B775" s="43" t="str">
        <f>IFERROR(INDEX(Mots!$B:$B,MATCH($A775,Mots!$A:$A,0)),"introuvable")</f>
        <v>la goutte</v>
      </c>
      <c r="C775" s="24" t="s">
        <v>8868</v>
      </c>
      <c r="I775" s="24" t="s">
        <v>8869</v>
      </c>
    </row>
    <row r="776" spans="1:9" x14ac:dyDescent="0.35">
      <c r="A776" s="24" t="s">
        <v>4502</v>
      </c>
      <c r="B776" s="43" t="str">
        <f>IFERROR(INDEX(Mots!$B:$B,MATCH($A776,Mots!$A:$A,0)),"introuvable")</f>
        <v>la graine</v>
      </c>
      <c r="C776" s="24" t="s">
        <v>8870</v>
      </c>
      <c r="I776" s="24" t="s">
        <v>8871</v>
      </c>
    </row>
    <row r="777" spans="1:9" x14ac:dyDescent="0.35">
      <c r="A777" s="24" t="s">
        <v>4520</v>
      </c>
      <c r="B777" s="43" t="str">
        <f>IFERROR(INDEX(Mots!$B:$B,MATCH($A777,Mots!$A:$A,0)),"introuvable")</f>
        <v>la grotte</v>
      </c>
      <c r="C777" s="24" t="s">
        <v>8872</v>
      </c>
    </row>
    <row r="778" spans="1:9" x14ac:dyDescent="0.35">
      <c r="A778" s="24" t="s">
        <v>4642</v>
      </c>
      <c r="B778" s="43" t="str">
        <f>IFERROR(INDEX(Mots!$B:$B,MATCH($A778,Mots!$A:$A,0)),"introuvable")</f>
        <v>la marée</v>
      </c>
      <c r="C778" s="24" t="s">
        <v>8873</v>
      </c>
    </row>
    <row r="779" spans="1:9" x14ac:dyDescent="0.35">
      <c r="A779" s="24" t="s">
        <v>4662</v>
      </c>
      <c r="B779" s="43" t="str">
        <f>IFERROR(INDEX(Mots!$B:$B,MATCH($A779,Mots!$A:$A,0)),"introuvable")</f>
        <v>la météo</v>
      </c>
      <c r="C779" s="24" t="s">
        <v>8874</v>
      </c>
      <c r="I779" s="24" t="s">
        <v>8875</v>
      </c>
    </row>
    <row r="780" spans="1:9" x14ac:dyDescent="0.35">
      <c r="A780" s="24" t="s">
        <v>1656</v>
      </c>
      <c r="B780" s="43" t="str">
        <f>IFERROR(INDEX(Mots!$B:$B,MATCH($A780,Mots!$A:$A,0)),"introuvable")</f>
        <v>la terre</v>
      </c>
      <c r="C780" s="24" t="s">
        <v>8876</v>
      </c>
    </row>
    <row r="781" spans="1:9" x14ac:dyDescent="0.35">
      <c r="A781" s="24" t="s">
        <v>4216</v>
      </c>
      <c r="B781" s="43" t="str">
        <f>IFERROR(INDEX(Mots!$B:$B,MATCH($A781,Mots!$A:$A,0)),"introuvable")</f>
        <v>la chaleur</v>
      </c>
      <c r="C781" s="24" t="s">
        <v>8877</v>
      </c>
      <c r="I781" s="24" t="s">
        <v>8878</v>
      </c>
    </row>
    <row r="782" spans="1:9" x14ac:dyDescent="0.35">
      <c r="A782" s="24" t="s">
        <v>4210</v>
      </c>
      <c r="B782" s="43" t="str">
        <f>IFERROR(INDEX(Mots!$B:$B,MATCH($A782,Mots!$A:$A,0)),"introuvable")</f>
        <v>la chair</v>
      </c>
      <c r="C782" s="24" t="s">
        <v>8879</v>
      </c>
    </row>
    <row r="783" spans="1:9" x14ac:dyDescent="0.35">
      <c r="A783" s="24" t="s">
        <v>4374</v>
      </c>
      <c r="B783" s="43" t="str">
        <f>IFERROR(INDEX(Mots!$B:$B,MATCH($A783,Mots!$A:$A,0)),"introuvable")</f>
        <v>la douleur</v>
      </c>
      <c r="C783" s="24" t="s">
        <v>8880</v>
      </c>
      <c r="I783" s="24" t="s">
        <v>8881</v>
      </c>
    </row>
    <row r="784" spans="1:9" x14ac:dyDescent="0.35">
      <c r="A784" s="24" t="s">
        <v>4421</v>
      </c>
      <c r="B784" s="43" t="str">
        <f>IFERROR(INDEX(Mots!$B:$B,MATCH($A784,Mots!$A:$A,0)),"introuvable")</f>
        <v>la fièvre</v>
      </c>
      <c r="C784" s="24" t="s">
        <v>8882</v>
      </c>
      <c r="I784" s="24" t="s">
        <v>8883</v>
      </c>
    </row>
    <row r="785" spans="1:9" x14ac:dyDescent="0.35">
      <c r="A785" s="24" t="s">
        <v>4489</v>
      </c>
      <c r="B785" s="43" t="str">
        <f>IFERROR(INDEX(Mots!$B:$B,MATCH($A785,Mots!$A:$A,0)),"introuvable")</f>
        <v>la gorge</v>
      </c>
      <c r="C785" s="24" t="s">
        <v>8884</v>
      </c>
      <c r="I785" s="24" t="s">
        <v>8885</v>
      </c>
    </row>
    <row r="786" spans="1:9" x14ac:dyDescent="0.35">
      <c r="A786" s="24" t="s">
        <v>4564</v>
      </c>
      <c r="B786" s="43" t="str">
        <f>IFERROR(INDEX(Mots!$B:$B,MATCH($A786,Mots!$A:$A,0)),"introuvable")</f>
        <v>la larme</v>
      </c>
      <c r="C786" s="24" t="s">
        <v>8886</v>
      </c>
      <c r="I786" s="24" t="s">
        <v>8887</v>
      </c>
    </row>
    <row r="787" spans="1:9" x14ac:dyDescent="0.35">
      <c r="A787" s="24" t="s">
        <v>4627</v>
      </c>
      <c r="B787" s="43" t="str">
        <f>IFERROR(INDEX(Mots!$B:$B,MATCH($A787,Mots!$A:$A,0)),"introuvable")</f>
        <v>la maladie</v>
      </c>
      <c r="C787" s="24" t="s">
        <v>8888</v>
      </c>
    </row>
    <row r="788" spans="1:9" x14ac:dyDescent="0.35">
      <c r="A788" s="24" t="s">
        <v>4658</v>
      </c>
      <c r="B788" s="43" t="str">
        <f>IFERROR(INDEX(Mots!$B:$B,MATCH($A788,Mots!$A:$A,0)),"introuvable")</f>
        <v>la mémoire</v>
      </c>
      <c r="C788" s="24" t="s">
        <v>8889</v>
      </c>
      <c r="I788" s="24" t="s">
        <v>8890</v>
      </c>
    </row>
    <row r="789" spans="1:9" x14ac:dyDescent="0.35">
      <c r="A789" s="24" t="s">
        <v>4510</v>
      </c>
      <c r="B789" s="43" t="str">
        <f>IFERROR(INDEX(Mots!$B:$B,MATCH($A789,Mots!$A:$A,0)),"introuvable")</f>
        <v>la graisse</v>
      </c>
      <c r="C789" s="24" t="s">
        <v>8891</v>
      </c>
    </row>
    <row r="790" spans="1:9" x14ac:dyDescent="0.35">
      <c r="A790" s="24" t="s">
        <v>4283</v>
      </c>
      <c r="B790" s="43" t="str">
        <f>IFERROR(INDEX(Mots!$B:$B,MATCH($A790,Mots!$A:$A,0)),"introuvable")</f>
        <v>la confiture</v>
      </c>
      <c r="C790" s="24" t="s">
        <v>8892</v>
      </c>
      <c r="I790" s="24" t="s">
        <v>8893</v>
      </c>
    </row>
    <row r="791" spans="1:9" x14ac:dyDescent="0.35">
      <c r="A791" s="24" t="s">
        <v>4331</v>
      </c>
      <c r="B791" s="43" t="str">
        <f>IFERROR(INDEX(Mots!$B:$B,MATCH($A791,Mots!$A:$A,0)),"introuvable")</f>
        <v>la crème</v>
      </c>
      <c r="C791" s="24" t="s">
        <v>8894</v>
      </c>
    </row>
    <row r="792" spans="1:9" x14ac:dyDescent="0.35">
      <c r="A792" s="24" t="s">
        <v>4392</v>
      </c>
      <c r="B792" s="43" t="str">
        <f>IFERROR(INDEX(Mots!$B:$B,MATCH($A792,Mots!$A:$A,0)),"introuvable")</f>
        <v>la farine</v>
      </c>
      <c r="C792" s="24" t="s">
        <v>8895</v>
      </c>
    </row>
    <row r="793" spans="1:9" x14ac:dyDescent="0.35">
      <c r="A793" s="24" t="s">
        <v>4459</v>
      </c>
      <c r="B793" s="43" t="str">
        <f>IFERROR(INDEX(Mots!$B:$B,MATCH($A793,Mots!$A:$A,0)),"introuvable")</f>
        <v>la friandise</v>
      </c>
      <c r="C793" s="24" t="s">
        <v>8896</v>
      </c>
    </row>
    <row r="794" spans="1:9" x14ac:dyDescent="0.35">
      <c r="A794" s="24" t="s">
        <v>434</v>
      </c>
      <c r="B794" s="43" t="str">
        <f>IFERROR(INDEX(Mots!$B:$B,MATCH($A794,Mots!$A:$A,0)),"introuvable")</f>
        <v>le rapport</v>
      </c>
      <c r="C794" s="24" t="s">
        <v>8897</v>
      </c>
      <c r="I794" s="24" t="s">
        <v>8898</v>
      </c>
    </row>
    <row r="795" spans="1:9" x14ac:dyDescent="0.35">
      <c r="A795" s="24" t="s">
        <v>4087</v>
      </c>
      <c r="B795" s="43" t="str">
        <f>IFERROR(INDEX(Mots!$B:$B,MATCH($A795,Mots!$A:$A,0)),"introuvable")</f>
        <v>la bagarre</v>
      </c>
      <c r="C795" s="24" t="s">
        <v>8899</v>
      </c>
    </row>
    <row r="796" spans="1:9" x14ac:dyDescent="0.35">
      <c r="A796" s="24" t="s">
        <v>4119</v>
      </c>
      <c r="B796" s="43" t="str">
        <f>IFERROR(INDEX(Mots!$B:$B,MATCH($A796,Mots!$A:$A,0)),"introuvable")</f>
        <v>la bataille</v>
      </c>
      <c r="C796" s="24" t="s">
        <v>8900</v>
      </c>
    </row>
    <row r="797" spans="1:9" x14ac:dyDescent="0.35">
      <c r="A797" s="24" t="s">
        <v>4111</v>
      </c>
      <c r="B797" s="43" t="str">
        <f>IFERROR(INDEX(Mots!$B:$B,MATCH($A797,Mots!$A:$A,0)),"introuvable")</f>
        <v>la bande</v>
      </c>
      <c r="C797" s="24" t="s">
        <v>8901</v>
      </c>
      <c r="I797" s="24" t="s">
        <v>8902</v>
      </c>
    </row>
    <row r="798" spans="1:9" x14ac:dyDescent="0.35">
      <c r="A798" s="24" t="s">
        <v>89</v>
      </c>
      <c r="B798" s="43" t="str">
        <f>IFERROR(INDEX(Mots!$B:$B,MATCH($A798,Mots!$A:$A,0)),"introuvable")</f>
        <v>la catégorie</v>
      </c>
      <c r="C798" s="24" t="s">
        <v>8903</v>
      </c>
    </row>
    <row r="799" spans="1:9" x14ac:dyDescent="0.35">
      <c r="A799" s="24" t="s">
        <v>4226</v>
      </c>
      <c r="B799" s="43" t="str">
        <f>IFERROR(INDEX(Mots!$B:$B,MATCH($A799,Mots!$A:$A,0)),"introuvable")</f>
        <v>la circulation</v>
      </c>
      <c r="C799" s="24" t="s">
        <v>8904</v>
      </c>
    </row>
    <row r="800" spans="1:9" x14ac:dyDescent="0.35">
      <c r="A800" s="24" t="s">
        <v>4279</v>
      </c>
      <c r="B800" s="43" t="str">
        <f>IFERROR(INDEX(Mots!$B:$B,MATCH($A800,Mots!$A:$A,0)),"introuvable")</f>
        <v>la compagnie</v>
      </c>
      <c r="C800" s="24" t="s">
        <v>8905</v>
      </c>
      <c r="I800" s="24" t="s">
        <v>8906</v>
      </c>
    </row>
    <row r="801" spans="1:9" x14ac:dyDescent="0.35">
      <c r="A801" s="24" t="s">
        <v>4291</v>
      </c>
      <c r="B801" s="43" t="str">
        <f>IFERROR(INDEX(Mots!$B:$B,MATCH($A801,Mots!$A:$A,0)),"introuvable")</f>
        <v>la consigne</v>
      </c>
      <c r="C801" s="24" t="s">
        <v>8907</v>
      </c>
      <c r="I801" s="24" t="s">
        <v>8908</v>
      </c>
    </row>
    <row r="802" spans="1:9" x14ac:dyDescent="0.35">
      <c r="A802" s="24" t="s">
        <v>4295</v>
      </c>
      <c r="B802" s="43" t="str">
        <f>IFERROR(INDEX(Mots!$B:$B,MATCH($A802,Mots!$A:$A,0)),"introuvable")</f>
        <v>la construction</v>
      </c>
      <c r="C802" s="24" t="s">
        <v>8909</v>
      </c>
    </row>
    <row r="803" spans="1:9" x14ac:dyDescent="0.35">
      <c r="A803" s="24" t="s">
        <v>4315</v>
      </c>
      <c r="B803" s="43" t="str">
        <f>IFERROR(INDEX(Mots!$B:$B,MATCH($A803,Mots!$A:$A,0)),"introuvable")</f>
        <v>la course</v>
      </c>
      <c r="C803" s="24" t="s">
        <v>8910</v>
      </c>
      <c r="I803" s="24" t="s">
        <v>8911</v>
      </c>
    </row>
    <row r="804" spans="1:9" x14ac:dyDescent="0.35">
      <c r="A804" s="24" t="s">
        <v>4339</v>
      </c>
      <c r="B804" s="43" t="str">
        <f>IFERROR(INDEX(Mots!$B:$B,MATCH($A804,Mots!$A:$A,0)),"introuvable")</f>
        <v>la curiosité</v>
      </c>
      <c r="C804" s="24" t="s">
        <v>8912</v>
      </c>
    </row>
    <row r="805" spans="1:9" x14ac:dyDescent="0.35">
      <c r="A805" s="24" t="s">
        <v>4357</v>
      </c>
      <c r="B805" s="43" t="str">
        <f>IFERROR(INDEX(Mots!$B:$B,MATCH($A805,Mots!$A:$A,0)),"introuvable")</f>
        <v>la différence</v>
      </c>
      <c r="C805" s="24" t="s">
        <v>8913</v>
      </c>
      <c r="I805" s="24" t="s">
        <v>8914</v>
      </c>
    </row>
    <row r="806" spans="1:9" x14ac:dyDescent="0.35">
      <c r="A806" s="24" t="s">
        <v>4384</v>
      </c>
      <c r="B806" s="43" t="str">
        <f>IFERROR(INDEX(Mots!$B:$B,MATCH($A806,Mots!$A:$A,0)),"introuvable")</f>
        <v>la facture</v>
      </c>
      <c r="C806" s="24" t="s">
        <v>8915</v>
      </c>
      <c r="I806" s="24" t="s">
        <v>8916</v>
      </c>
    </row>
    <row r="807" spans="1:9" x14ac:dyDescent="0.35">
      <c r="A807" s="24" t="s">
        <v>4400</v>
      </c>
      <c r="B807" s="43" t="str">
        <f>IFERROR(INDEX(Mots!$B:$B,MATCH($A807,Mots!$A:$A,0)),"introuvable")</f>
        <v>la faute</v>
      </c>
      <c r="C807" s="24" t="s">
        <v>8917</v>
      </c>
      <c r="I807" s="24" t="s">
        <v>8918</v>
      </c>
    </row>
    <row r="808" spans="1:9" x14ac:dyDescent="0.35">
      <c r="A808" s="24" t="s">
        <v>4429</v>
      </c>
      <c r="B808" s="43" t="str">
        <f>IFERROR(INDEX(Mots!$B:$B,MATCH($A808,Mots!$A:$A,0)),"introuvable")</f>
        <v>la flamme</v>
      </c>
      <c r="C808" s="24" t="s">
        <v>8919</v>
      </c>
    </row>
    <row r="809" spans="1:9" x14ac:dyDescent="0.35">
      <c r="A809" s="24" t="s">
        <v>4433</v>
      </c>
      <c r="B809" s="43" t="str">
        <f>IFERROR(INDEX(Mots!$B:$B,MATCH($A809,Mots!$A:$A,0)),"introuvable")</f>
        <v>la fois</v>
      </c>
      <c r="C809" s="24" t="s">
        <v>8920</v>
      </c>
      <c r="I809" s="24" t="s">
        <v>8921</v>
      </c>
    </row>
    <row r="810" spans="1:9" x14ac:dyDescent="0.35">
      <c r="A810" s="24" t="s">
        <v>4446</v>
      </c>
      <c r="B810" s="43" t="str">
        <f>IFERROR(INDEX(Mots!$B:$B,MATCH($A810,Mots!$A:$A,0)),"introuvable")</f>
        <v>la force</v>
      </c>
      <c r="C810" s="24" t="s">
        <v>8922</v>
      </c>
      <c r="I810" s="24" t="s">
        <v>8923</v>
      </c>
    </row>
    <row r="811" spans="1:9" x14ac:dyDescent="0.35">
      <c r="A811" s="24" t="s">
        <v>4450</v>
      </c>
      <c r="B811" s="43" t="str">
        <f>IFERROR(INDEX(Mots!$B:$B,MATCH($A811,Mots!$A:$A,0)),"introuvable")</f>
        <v>la forme</v>
      </c>
      <c r="C811" s="24" t="s">
        <v>8924</v>
      </c>
      <c r="I811" s="24" t="s">
        <v>8925</v>
      </c>
    </row>
    <row r="812" spans="1:9" x14ac:dyDescent="0.35">
      <c r="A812" s="24" t="s">
        <v>4467</v>
      </c>
      <c r="B812" s="43" t="str">
        <f>IFERROR(INDEX(Mots!$B:$B,MATCH($A812,Mots!$A:$A,0)),"introuvable")</f>
        <v>la gaieté</v>
      </c>
      <c r="C812" s="24" t="s">
        <v>8926</v>
      </c>
    </row>
    <row r="813" spans="1:9" x14ac:dyDescent="0.35">
      <c r="A813" s="24" t="s">
        <v>4470</v>
      </c>
      <c r="B813" s="43" t="str">
        <f>IFERROR(INDEX(Mots!$B:$B,MATCH($A813,Mots!$A:$A,0)),"introuvable")</f>
        <v>la garantie</v>
      </c>
      <c r="C813" s="24" t="s">
        <v>8927</v>
      </c>
      <c r="I813" s="24" t="s">
        <v>8928</v>
      </c>
    </row>
    <row r="814" spans="1:9" x14ac:dyDescent="0.35">
      <c r="A814" s="24" t="s">
        <v>4477</v>
      </c>
      <c r="B814" s="43" t="str">
        <f>IFERROR(INDEX(Mots!$B:$B,MATCH($A814,Mots!$A:$A,0)),"introuvable")</f>
        <v>la gentillesse</v>
      </c>
      <c r="C814" s="24" t="s">
        <v>8929</v>
      </c>
    </row>
    <row r="815" spans="1:9" x14ac:dyDescent="0.35">
      <c r="A815" s="24" t="s">
        <v>4536</v>
      </c>
      <c r="B815" s="43" t="str">
        <f>IFERROR(INDEX(Mots!$B:$B,MATCH($A815,Mots!$A:$A,0)),"introuvable")</f>
        <v>la guerre</v>
      </c>
      <c r="C815" s="24" t="s">
        <v>8930</v>
      </c>
    </row>
    <row r="816" spans="1:9" x14ac:dyDescent="0.35">
      <c r="A816" s="24" t="s">
        <v>4552</v>
      </c>
      <c r="B816" s="43" t="str">
        <f>IFERROR(INDEX(Mots!$B:$B,MATCH($A816,Mots!$A:$A,0)),"introuvable")</f>
        <v>la journée</v>
      </c>
      <c r="C816" s="24" t="s">
        <v>8931</v>
      </c>
      <c r="I816" s="24" t="s">
        <v>8932</v>
      </c>
    </row>
    <row r="817" spans="1:9" x14ac:dyDescent="0.35">
      <c r="A817" s="24" t="s">
        <v>4572</v>
      </c>
      <c r="B817" s="43" t="str">
        <f>IFERROR(INDEX(Mots!$B:$B,MATCH($A817,Mots!$A:$A,0)),"introuvable")</f>
        <v>la lecture</v>
      </c>
      <c r="C817" s="24" t="s">
        <v>8933</v>
      </c>
    </row>
    <row r="818" spans="1:9" x14ac:dyDescent="0.35">
      <c r="A818" s="24" t="s">
        <v>4580</v>
      </c>
      <c r="B818" s="43" t="str">
        <f>IFERROR(INDEX(Mots!$B:$B,MATCH($A818,Mots!$A:$A,0)),"introuvable")</f>
        <v>la ligne</v>
      </c>
      <c r="C818" s="24" t="s">
        <v>8934</v>
      </c>
      <c r="I818" s="24" t="s">
        <v>8935</v>
      </c>
    </row>
    <row r="819" spans="1:9" x14ac:dyDescent="0.35">
      <c r="A819" s="24" t="s">
        <v>4592</v>
      </c>
      <c r="B819" s="43" t="str">
        <f>IFERROR(INDEX(Mots!$B:$B,MATCH($A819,Mots!$A:$A,0)),"introuvable")</f>
        <v>la liste</v>
      </c>
      <c r="C819" s="24" t="s">
        <v>8936</v>
      </c>
      <c r="I819" s="24" t="s">
        <v>8937</v>
      </c>
    </row>
    <row r="820" spans="1:9" x14ac:dyDescent="0.35">
      <c r="A820" s="24" t="s">
        <v>4597</v>
      </c>
      <c r="B820" s="43" t="str">
        <f>IFERROR(INDEX(Mots!$B:$B,MATCH($A820,Mots!$A:$A,0)),"introuvable")</f>
        <v>la loi</v>
      </c>
      <c r="C820" s="24" t="s">
        <v>8938</v>
      </c>
    </row>
    <row r="821" spans="1:9" x14ac:dyDescent="0.35">
      <c r="A821" s="24" t="s">
        <v>4613</v>
      </c>
      <c r="B821" s="43" t="str">
        <f>IFERROR(INDEX(Mots!$B:$B,MATCH($A821,Mots!$A:$A,0)),"introuvable")</f>
        <v>la lutte</v>
      </c>
      <c r="C821" s="24" t="s">
        <v>8939</v>
      </c>
    </row>
    <row r="822" spans="1:9" x14ac:dyDescent="0.35">
      <c r="A822" s="24" t="s">
        <v>4635</v>
      </c>
      <c r="B822" s="43" t="str">
        <f>IFERROR(INDEX(Mots!$B:$B,MATCH($A822,Mots!$A:$A,0)),"introuvable")</f>
        <v>la manière</v>
      </c>
      <c r="C822" s="24" t="s">
        <v>8940</v>
      </c>
      <c r="I822" s="24" t="s">
        <v>8941</v>
      </c>
    </row>
    <row r="823" spans="1:9" x14ac:dyDescent="0.35">
      <c r="A823" s="24" t="s">
        <v>4646</v>
      </c>
      <c r="B823" s="43" t="str">
        <f>IFERROR(INDEX(Mots!$B:$B,MATCH($A823,Mots!$A:$A,0)),"introuvable")</f>
        <v>la masse</v>
      </c>
      <c r="C823" s="24" t="s">
        <v>8942</v>
      </c>
    </row>
    <row r="824" spans="1:9" x14ac:dyDescent="0.35">
      <c r="A824" s="24" t="s">
        <v>4650</v>
      </c>
      <c r="B824" s="43" t="str">
        <f>IFERROR(INDEX(Mots!$B:$B,MATCH($A824,Mots!$A:$A,0)),"introuvable")</f>
        <v>la matière</v>
      </c>
      <c r="C824" s="24" t="s">
        <v>8943</v>
      </c>
    </row>
    <row r="825" spans="1:9" x14ac:dyDescent="0.35">
      <c r="A825" s="24" t="s">
        <v>4669</v>
      </c>
      <c r="B825" s="43" t="str">
        <f>IFERROR(INDEX(Mots!$B:$B,MATCH($A825,Mots!$A:$A,0)),"introuvable")</f>
        <v>la moitié</v>
      </c>
      <c r="C825" s="24" t="s">
        <v>8944</v>
      </c>
      <c r="I825" s="24" t="s">
        <v>8945</v>
      </c>
    </row>
    <row r="826" spans="1:9" x14ac:dyDescent="0.35">
      <c r="A826" s="24" t="s">
        <v>1426</v>
      </c>
      <c r="B826" s="43" t="str">
        <f>IFERROR(INDEX(Mots!$B:$B,MATCH($A826,Mots!$A:$A,0)),"introuvable")</f>
        <v>l'intérêt</v>
      </c>
      <c r="C826" s="24" t="s">
        <v>8946</v>
      </c>
    </row>
    <row r="827" spans="1:9" x14ac:dyDescent="0.35">
      <c r="A827" s="24" t="s">
        <v>5005</v>
      </c>
      <c r="B827" s="43" t="str">
        <f>IFERROR(INDEX(Mots!$B:$B,MATCH($A827,Mots!$A:$A,0)),"introuvable")</f>
        <v>la récolte</v>
      </c>
      <c r="C827" s="24" t="s">
        <v>8947</v>
      </c>
      <c r="I827" s="24" t="s">
        <v>8948</v>
      </c>
    </row>
    <row r="828" spans="1:9" x14ac:dyDescent="0.35">
      <c r="A828" s="24" t="s">
        <v>5013</v>
      </c>
      <c r="B828" s="43" t="str">
        <f>IFERROR(INDEX(Mots!$B:$B,MATCH($A828,Mots!$A:$A,0)),"introuvable")</f>
        <v>la réconciliation</v>
      </c>
      <c r="C828" s="24" t="s">
        <v>8949</v>
      </c>
    </row>
    <row r="829" spans="1:9" x14ac:dyDescent="0.35">
      <c r="A829" s="24" t="s">
        <v>5021</v>
      </c>
      <c r="B829" s="43" t="str">
        <f>IFERROR(INDEX(Mots!$B:$B,MATCH($A829,Mots!$A:$A,0)),"introuvable")</f>
        <v>la réparation</v>
      </c>
      <c r="C829" s="24" t="s">
        <v>8950</v>
      </c>
    </row>
    <row r="830" spans="1:9" x14ac:dyDescent="0.35">
      <c r="A830" s="24" t="s">
        <v>5025</v>
      </c>
      <c r="B830" s="43" t="str">
        <f>IFERROR(INDEX(Mots!$B:$B,MATCH($A830,Mots!$A:$A,0)),"introuvable")</f>
        <v>la réponse</v>
      </c>
      <c r="C830" s="24" t="s">
        <v>8951</v>
      </c>
      <c r="I830" s="24" t="s">
        <v>8952</v>
      </c>
    </row>
    <row r="831" spans="1:9" x14ac:dyDescent="0.35">
      <c r="A831" s="24" t="s">
        <v>5029</v>
      </c>
      <c r="B831" s="43" t="str">
        <f>IFERROR(INDEX(Mots!$B:$B,MATCH($A831,Mots!$A:$A,0)),"introuvable")</f>
        <v>la robe</v>
      </c>
      <c r="C831" s="24" t="s">
        <v>8953</v>
      </c>
      <c r="I831" s="24" t="s">
        <v>8954</v>
      </c>
    </row>
    <row r="832" spans="1:9" x14ac:dyDescent="0.35">
      <c r="A832" s="24" t="s">
        <v>5033</v>
      </c>
      <c r="B832" s="43" t="str">
        <f>IFERROR(INDEX(Mots!$B:$B,MATCH($A832,Mots!$A:$A,0)),"introuvable")</f>
        <v>la roche</v>
      </c>
      <c r="C832" s="24" t="s">
        <v>8955</v>
      </c>
    </row>
    <row r="833" spans="1:9" x14ac:dyDescent="0.35">
      <c r="A833" s="24" t="s">
        <v>5041</v>
      </c>
      <c r="B833" s="43" t="str">
        <f>IFERROR(INDEX(Mots!$B:$B,MATCH($A833,Mots!$A:$A,0)),"introuvable")</f>
        <v>la rosée</v>
      </c>
      <c r="C833" s="24" t="s">
        <v>8956</v>
      </c>
    </row>
    <row r="834" spans="1:9" x14ac:dyDescent="0.35">
      <c r="A834" s="24" t="s">
        <v>5046</v>
      </c>
      <c r="B834" s="43" t="str">
        <f>IFERROR(INDEX(Mots!$B:$B,MATCH($A834,Mots!$A:$A,0)),"introuvable")</f>
        <v>la roue</v>
      </c>
      <c r="C834" s="24" t="s">
        <v>8957</v>
      </c>
      <c r="I834" s="24" t="s">
        <v>8958</v>
      </c>
    </row>
    <row r="835" spans="1:9" x14ac:dyDescent="0.35">
      <c r="A835" s="24" t="s">
        <v>5054</v>
      </c>
      <c r="B835" s="43" t="str">
        <f>IFERROR(INDEX(Mots!$B:$B,MATCH($A835,Mots!$A:$A,0)),"introuvable")</f>
        <v>la saleté</v>
      </c>
      <c r="C835" s="24" t="s">
        <v>8959</v>
      </c>
    </row>
    <row r="836" spans="1:9" x14ac:dyDescent="0.35">
      <c r="A836" s="24" t="s">
        <v>5062</v>
      </c>
      <c r="B836" s="43" t="str">
        <f>IFERROR(INDEX(Mots!$B:$B,MATCH($A836,Mots!$A:$A,0)),"introuvable")</f>
        <v>la santé</v>
      </c>
      <c r="C836" s="24" t="s">
        <v>8960</v>
      </c>
      <c r="I836" s="24" t="s">
        <v>8961</v>
      </c>
    </row>
    <row r="837" spans="1:9" x14ac:dyDescent="0.35">
      <c r="A837" s="24" t="s">
        <v>5066</v>
      </c>
      <c r="B837" s="43" t="str">
        <f>IFERROR(INDEX(Mots!$B:$B,MATCH($A837,Mots!$A:$A,0)),"introuvable")</f>
        <v>la sauce</v>
      </c>
      <c r="C837" s="24" t="s">
        <v>8962</v>
      </c>
      <c r="I837" s="24" t="s">
        <v>8963</v>
      </c>
    </row>
    <row r="838" spans="1:9" x14ac:dyDescent="0.35">
      <c r="A838" s="24" t="s">
        <v>5076</v>
      </c>
      <c r="B838" s="43" t="str">
        <f>IFERROR(INDEX(Mots!$B:$B,MATCH($A838,Mots!$A:$A,0)),"introuvable")</f>
        <v>la serviette</v>
      </c>
      <c r="C838" s="24" t="s">
        <v>8964</v>
      </c>
    </row>
    <row r="839" spans="1:9" x14ac:dyDescent="0.35">
      <c r="A839" s="24" t="s">
        <v>5080</v>
      </c>
      <c r="B839" s="43" t="str">
        <f>IFERROR(INDEX(Mots!$B:$B,MATCH($A839,Mots!$A:$A,0)),"introuvable")</f>
        <v>la signature</v>
      </c>
      <c r="C839" s="24" t="s">
        <v>8965</v>
      </c>
      <c r="I839" s="24" t="s">
        <v>8966</v>
      </c>
    </row>
    <row r="840" spans="1:9" x14ac:dyDescent="0.35">
      <c r="A840" s="24" t="s">
        <v>5084</v>
      </c>
      <c r="B840" s="43" t="str">
        <f>IFERROR(INDEX(Mots!$B:$B,MATCH($A840,Mots!$A:$A,0)),"introuvable")</f>
        <v>la situation</v>
      </c>
      <c r="C840" s="24" t="s">
        <v>8967</v>
      </c>
    </row>
    <row r="841" spans="1:9" x14ac:dyDescent="0.35">
      <c r="A841" s="24" t="s">
        <v>5088</v>
      </c>
      <c r="B841" s="43" t="str">
        <f>IFERROR(INDEX(Mots!$B:$B,MATCH($A841,Mots!$A:$A,0)),"introuvable")</f>
        <v>la société</v>
      </c>
      <c r="C841" s="24" t="s">
        <v>8968</v>
      </c>
    </row>
    <row r="842" spans="1:9" x14ac:dyDescent="0.35">
      <c r="A842" s="24" t="s">
        <v>5092</v>
      </c>
      <c r="B842" s="43" t="str">
        <f>IFERROR(INDEX(Mots!$B:$B,MATCH($A842,Mots!$A:$A,0)),"introuvable")</f>
        <v>la somme</v>
      </c>
      <c r="C842" s="24" t="s">
        <v>8969</v>
      </c>
      <c r="I842" s="24" t="s">
        <v>8970</v>
      </c>
    </row>
    <row r="843" spans="1:9" x14ac:dyDescent="0.35">
      <c r="A843" s="24" t="s">
        <v>5096</v>
      </c>
      <c r="B843" s="43" t="str">
        <f>IFERROR(INDEX(Mots!$B:$B,MATCH($A843,Mots!$A:$A,0)),"introuvable")</f>
        <v>la sorte</v>
      </c>
      <c r="C843" s="24" t="s">
        <v>8971</v>
      </c>
      <c r="I843" s="24" t="s">
        <v>8972</v>
      </c>
    </row>
    <row r="844" spans="1:9" x14ac:dyDescent="0.35">
      <c r="A844" s="24" t="s">
        <v>5113</v>
      </c>
      <c r="B844" s="43" t="str">
        <f>IFERROR(INDEX(Mots!$B:$B,MATCH($A844,Mots!$A:$A,0)),"introuvable")</f>
        <v>la surface</v>
      </c>
      <c r="C844" s="24" t="s">
        <v>8973</v>
      </c>
    </row>
    <row r="845" spans="1:9" x14ac:dyDescent="0.35">
      <c r="A845" s="24" t="s">
        <v>5117</v>
      </c>
      <c r="B845" s="43" t="str">
        <f>IFERROR(INDEX(Mots!$B:$B,MATCH($A845,Mots!$A:$A,0)),"introuvable")</f>
        <v>la tâche</v>
      </c>
      <c r="C845" s="24" t="s">
        <v>8974</v>
      </c>
    </row>
    <row r="846" spans="1:9" x14ac:dyDescent="0.35">
      <c r="A846" s="24" t="s">
        <v>5121</v>
      </c>
      <c r="B846" s="43" t="str">
        <f>IFERROR(INDEX(Mots!$B:$B,MATCH($A846,Mots!$A:$A,0)),"introuvable")</f>
        <v>la tempête</v>
      </c>
      <c r="C846" s="24" t="s">
        <v>8975</v>
      </c>
    </row>
    <row r="847" spans="1:9" x14ac:dyDescent="0.35">
      <c r="A847" s="24" t="s">
        <v>5129</v>
      </c>
      <c r="B847" s="43" t="str">
        <f>IFERROR(INDEX(Mots!$B:$B,MATCH($A847,Mots!$A:$A,0)),"introuvable")</f>
        <v>la tendresse</v>
      </c>
      <c r="C847" s="24" t="s">
        <v>8976</v>
      </c>
      <c r="I847" s="24" t="s">
        <v>8977</v>
      </c>
    </row>
    <row r="848" spans="1:9" x14ac:dyDescent="0.35">
      <c r="A848" s="24" t="s">
        <v>5137</v>
      </c>
      <c r="B848" s="43" t="str">
        <f>IFERROR(INDEX(Mots!$B:$B,MATCH($A848,Mots!$A:$A,0)),"introuvable")</f>
        <v>la tente</v>
      </c>
      <c r="C848" s="24" t="s">
        <v>8978</v>
      </c>
      <c r="I848" s="24" t="s">
        <v>8979</v>
      </c>
    </row>
    <row r="849" spans="1:9" x14ac:dyDescent="0.35">
      <c r="A849" s="24" t="s">
        <v>5152</v>
      </c>
      <c r="B849" s="43" t="str">
        <f>IFERROR(INDEX(Mots!$B:$B,MATCH($A849,Mots!$A:$A,0)),"introuvable")</f>
        <v>la toux</v>
      </c>
      <c r="C849" s="24" t="s">
        <v>8980</v>
      </c>
    </row>
    <row r="850" spans="1:9" x14ac:dyDescent="0.35">
      <c r="A850" s="24" t="s">
        <v>5158</v>
      </c>
      <c r="B850" s="43" t="str">
        <f>IFERROR(INDEX(Mots!$B:$B,MATCH($A850,Mots!$A:$A,0)),"introuvable")</f>
        <v>la vague</v>
      </c>
      <c r="C850" s="24" t="s">
        <v>8981</v>
      </c>
    </row>
    <row r="851" spans="1:9" x14ac:dyDescent="0.35">
      <c r="A851" s="24" t="s">
        <v>5166</v>
      </c>
      <c r="B851" s="43" t="str">
        <f>IFERROR(INDEX(Mots!$B:$B,MATCH($A851,Mots!$A:$A,0)),"introuvable")</f>
        <v>la valise</v>
      </c>
      <c r="C851" s="24" t="s">
        <v>8982</v>
      </c>
      <c r="I851" s="24" t="s">
        <v>8983</v>
      </c>
    </row>
    <row r="852" spans="1:9" x14ac:dyDescent="0.35">
      <c r="A852" s="24" t="s">
        <v>5174</v>
      </c>
      <c r="B852" s="43" t="str">
        <f>IFERROR(INDEX(Mots!$B:$B,MATCH($A852,Mots!$A:$A,0)),"introuvable")</f>
        <v>la vallée</v>
      </c>
      <c r="C852" s="24" t="s">
        <v>8984</v>
      </c>
    </row>
    <row r="853" spans="1:9" x14ac:dyDescent="0.35">
      <c r="A853" s="24" t="s">
        <v>5178</v>
      </c>
      <c r="B853" s="43" t="str">
        <f>IFERROR(INDEX(Mots!$B:$B,MATCH($A853,Mots!$A:$A,0)),"introuvable")</f>
        <v>la vente</v>
      </c>
      <c r="C853" s="24" t="s">
        <v>8985</v>
      </c>
    </row>
    <row r="854" spans="1:9" x14ac:dyDescent="0.35">
      <c r="A854" s="24" t="s">
        <v>5191</v>
      </c>
      <c r="B854" s="43" t="str">
        <f>IFERROR(INDEX(Mots!$B:$B,MATCH($A854,Mots!$A:$A,0)),"introuvable")</f>
        <v>la vie</v>
      </c>
      <c r="C854" s="24" t="s">
        <v>8986</v>
      </c>
      <c r="I854" s="24" t="s">
        <v>8987</v>
      </c>
    </row>
    <row r="855" spans="1:9" x14ac:dyDescent="0.35">
      <c r="A855" s="24" t="s">
        <v>5199</v>
      </c>
      <c r="B855" s="43" t="str">
        <f>IFERROR(INDEX(Mots!$B:$B,MATCH($A855,Mots!$A:$A,0)),"introuvable")</f>
        <v>la vis</v>
      </c>
      <c r="C855" s="24" t="s">
        <v>8988</v>
      </c>
      <c r="I855" s="24" t="s">
        <v>8989</v>
      </c>
    </row>
    <row r="856" spans="1:9" x14ac:dyDescent="0.35">
      <c r="A856" s="24" t="s">
        <v>5206</v>
      </c>
      <c r="B856" s="43" t="str">
        <f>IFERROR(INDEX(Mots!$B:$B,MATCH($A856,Mots!$A:$A,0)),"introuvable")</f>
        <v>la visite</v>
      </c>
      <c r="C856" s="24" t="s">
        <v>8990</v>
      </c>
      <c r="I856" s="24" t="s">
        <v>8991</v>
      </c>
    </row>
    <row r="857" spans="1:9" x14ac:dyDescent="0.35">
      <c r="A857" s="24" t="s">
        <v>5209</v>
      </c>
      <c r="B857" s="43" t="str">
        <f>IFERROR(INDEX(Mots!$B:$B,MATCH($A857,Mots!$A:$A,0)),"introuvable")</f>
        <v>la zone</v>
      </c>
      <c r="C857" s="24" t="s">
        <v>8992</v>
      </c>
    </row>
    <row r="858" spans="1:9" x14ac:dyDescent="0.35">
      <c r="A858" s="24" t="s">
        <v>5213</v>
      </c>
      <c r="B858" s="43" t="str">
        <f>IFERROR(INDEX(Mots!$B:$B,MATCH($A858,Mots!$A:$A,0)),"introuvable")</f>
        <v>l'accident</v>
      </c>
      <c r="C858" s="24" t="s">
        <v>8993</v>
      </c>
      <c r="I858" s="24" t="s">
        <v>8994</v>
      </c>
    </row>
    <row r="859" spans="1:9" x14ac:dyDescent="0.35">
      <c r="A859" s="24" t="s">
        <v>5221</v>
      </c>
      <c r="B859" s="43" t="str">
        <f>IFERROR(INDEX(Mots!$B:$B,MATCH($A859,Mots!$A:$A,0)),"introuvable")</f>
        <v>l'accord</v>
      </c>
      <c r="C859" s="24" t="s">
        <v>8995</v>
      </c>
      <c r="I859" s="24" t="s">
        <v>8996</v>
      </c>
    </row>
    <row r="860" spans="1:9" x14ac:dyDescent="0.35">
      <c r="A860" s="24" t="s">
        <v>5229</v>
      </c>
      <c r="B860" s="43" t="str">
        <f>IFERROR(INDEX(Mots!$B:$B,MATCH($A860,Mots!$A:$A,0)),"introuvable")</f>
        <v>l'achat</v>
      </c>
      <c r="C860" s="24" t="s">
        <v>8997</v>
      </c>
      <c r="I860" s="24" t="s">
        <v>8998</v>
      </c>
    </row>
    <row r="861" spans="1:9" x14ac:dyDescent="0.35">
      <c r="A861" s="24" t="s">
        <v>5232</v>
      </c>
      <c r="B861" s="43" t="str">
        <f>IFERROR(INDEX(Mots!$B:$B,MATCH($A861,Mots!$A:$A,0)),"introuvable")</f>
        <v>les affaires</v>
      </c>
      <c r="C861" s="24" t="s">
        <v>8999</v>
      </c>
      <c r="I861" s="24" t="s">
        <v>9000</v>
      </c>
    </row>
    <row r="862" spans="1:9" x14ac:dyDescent="0.35">
      <c r="A862" s="24" t="s">
        <v>5245</v>
      </c>
      <c r="B862" s="43" t="str">
        <f>IFERROR(INDEX(Mots!$B:$B,MATCH($A862,Mots!$A:$A,0)),"introuvable")</f>
        <v>l'agitation</v>
      </c>
      <c r="C862" s="24" t="s">
        <v>9001</v>
      </c>
    </row>
    <row r="863" spans="1:9" x14ac:dyDescent="0.35">
      <c r="A863" s="24" t="s">
        <v>5249</v>
      </c>
      <c r="B863" s="43" t="str">
        <f>IFERROR(INDEX(Mots!$B:$B,MATCH($A863,Mots!$A:$A,0)),"introuvable")</f>
        <v>l'aide</v>
      </c>
      <c r="C863" s="24" t="s">
        <v>9002</v>
      </c>
      <c r="I863" s="24" t="s">
        <v>9003</v>
      </c>
    </row>
    <row r="864" spans="1:9" x14ac:dyDescent="0.35">
      <c r="A864" s="24" t="s">
        <v>5256</v>
      </c>
      <c r="B864" s="43" t="str">
        <f>IFERROR(INDEX(Mots!$B:$B,MATCH($A864,Mots!$A:$A,0)),"introuvable")</f>
        <v>l'aiguille</v>
      </c>
      <c r="C864" s="24" t="s">
        <v>9004</v>
      </c>
    </row>
    <row r="865" spans="1:9" x14ac:dyDescent="0.35">
      <c r="A865" s="24" t="s">
        <v>5264</v>
      </c>
      <c r="B865" s="43" t="str">
        <f>IFERROR(INDEX(Mots!$B:$B,MATCH($A865,Mots!$A:$A,0)),"introuvable")</f>
        <v>l'air</v>
      </c>
      <c r="C865" s="24" t="s">
        <v>9005</v>
      </c>
      <c r="I865" s="24" t="s">
        <v>9006</v>
      </c>
    </row>
    <row r="866" spans="1:9" x14ac:dyDescent="0.35">
      <c r="A866" s="24" t="s">
        <v>5268</v>
      </c>
      <c r="B866" s="43" t="str">
        <f>IFERROR(INDEX(Mots!$B:$B,MATCH($A866,Mots!$A:$A,0)),"introuvable")</f>
        <v>l'allergie</v>
      </c>
      <c r="C866" s="24" t="s">
        <v>9007</v>
      </c>
      <c r="I866" s="24" t="s">
        <v>9008</v>
      </c>
    </row>
    <row r="867" spans="1:9" x14ac:dyDescent="0.35">
      <c r="A867" s="24" t="s">
        <v>5272</v>
      </c>
      <c r="B867" s="43" t="str">
        <f>IFERROR(INDEX(Mots!$B:$B,MATCH($A867,Mots!$A:$A,0)),"introuvable")</f>
        <v>l'allumette</v>
      </c>
      <c r="C867" s="24" t="s">
        <v>9009</v>
      </c>
      <c r="I867" s="24" t="s">
        <v>9010</v>
      </c>
    </row>
    <row r="868" spans="1:9" x14ac:dyDescent="0.35">
      <c r="A868" s="24" t="s">
        <v>9513</v>
      </c>
      <c r="B868" s="43" t="str">
        <f>IFERROR(INDEX(Mots!$B:$B,MATCH($A868,Mots!$A:$A,0)),"introuvable")</f>
        <v>l'amitié</v>
      </c>
      <c r="C868" s="24" t="s">
        <v>9011</v>
      </c>
    </row>
    <row r="869" spans="1:9" x14ac:dyDescent="0.35">
      <c r="A869" s="24" t="s">
        <v>5297</v>
      </c>
      <c r="B869" s="43" t="str">
        <f>IFERROR(INDEX(Mots!$B:$B,MATCH($A869,Mots!$A:$A,0)),"introuvable")</f>
        <v>l'appartement</v>
      </c>
      <c r="C869" s="24" t="s">
        <v>9012</v>
      </c>
    </row>
    <row r="870" spans="1:9" x14ac:dyDescent="0.35">
      <c r="A870" s="24" t="s">
        <v>5305</v>
      </c>
      <c r="B870" s="43" t="str">
        <f>IFERROR(INDEX(Mots!$B:$B,MATCH($A870,Mots!$A:$A,0)),"introuvable")</f>
        <v>l'arc-en-ciel</v>
      </c>
      <c r="C870" s="24" t="s">
        <v>9013</v>
      </c>
    </row>
    <row r="871" spans="1:9" x14ac:dyDescent="0.35">
      <c r="A871" s="24" t="s">
        <v>5309</v>
      </c>
      <c r="B871" s="43" t="str">
        <f>IFERROR(INDEX(Mots!$B:$B,MATCH($A871,Mots!$A:$A,0)),"introuvable")</f>
        <v>l'attention</v>
      </c>
      <c r="C871" s="24" t="s">
        <v>9014</v>
      </c>
      <c r="I871" s="24" t="s">
        <v>9015</v>
      </c>
    </row>
    <row r="872" spans="1:9" x14ac:dyDescent="0.35">
      <c r="A872" s="24" t="s">
        <v>5313</v>
      </c>
      <c r="B872" s="43" t="str">
        <f>IFERROR(INDEX(Mots!$B:$B,MATCH($A872,Mots!$A:$A,0)),"introuvable")</f>
        <v>l'autoroute</v>
      </c>
      <c r="C872" s="24" t="s">
        <v>9016</v>
      </c>
      <c r="I872" s="24" t="s">
        <v>9017</v>
      </c>
    </row>
    <row r="873" spans="1:9" x14ac:dyDescent="0.35">
      <c r="A873" s="24" t="s">
        <v>5321</v>
      </c>
      <c r="B873" s="43" t="str">
        <f>IFERROR(INDEX(Mots!$B:$B,MATCH($A873,Mots!$A:$A,0)),"introuvable")</f>
        <v>l'aventure</v>
      </c>
      <c r="C873" s="24" t="s">
        <v>9018</v>
      </c>
    </row>
    <row r="874" spans="1:9" x14ac:dyDescent="0.35">
      <c r="A874" s="24" t="s">
        <v>5349</v>
      </c>
      <c r="B874" s="43" t="str">
        <f>IFERROR(INDEX(Mots!$B:$B,MATCH($A874,Mots!$A:$A,0)),"introuvable")</f>
        <v>le bagage</v>
      </c>
      <c r="C874" s="24" t="s">
        <v>9019</v>
      </c>
    </row>
    <row r="875" spans="1:9" x14ac:dyDescent="0.35">
      <c r="A875" s="24" t="s">
        <v>5353</v>
      </c>
      <c r="B875" s="43" t="str">
        <f>IFERROR(INDEX(Mots!$B:$B,MATCH($A875,Mots!$A:$A,0)),"introuvable")</f>
        <v>le bain</v>
      </c>
      <c r="C875" s="24" t="s">
        <v>9020</v>
      </c>
      <c r="I875" s="24" t="s">
        <v>9021</v>
      </c>
    </row>
    <row r="876" spans="1:9" x14ac:dyDescent="0.35">
      <c r="A876" s="24" t="s">
        <v>5361</v>
      </c>
      <c r="B876" s="43" t="str">
        <f>IFERROR(INDEX(Mots!$B:$B,MATCH($A876,Mots!$A:$A,0)),"introuvable")</f>
        <v>le balai</v>
      </c>
      <c r="C876" s="24" t="s">
        <v>9022</v>
      </c>
      <c r="I876" s="24" t="s">
        <v>9023</v>
      </c>
    </row>
    <row r="877" spans="1:9" x14ac:dyDescent="0.35">
      <c r="A877" s="24" t="s">
        <v>5369</v>
      </c>
      <c r="B877" s="43" t="str">
        <f>IFERROR(INDEX(Mots!$B:$B,MATCH($A877,Mots!$A:$A,0)),"introuvable")</f>
        <v>le balcon</v>
      </c>
      <c r="C877" s="24" t="s">
        <v>9024</v>
      </c>
    </row>
    <row r="878" spans="1:9" x14ac:dyDescent="0.35">
      <c r="A878" s="24" t="s">
        <v>5377</v>
      </c>
      <c r="B878" s="43" t="str">
        <f>IFERROR(INDEX(Mots!$B:$B,MATCH($A878,Mots!$A:$A,0)),"introuvable")</f>
        <v>le ballon</v>
      </c>
      <c r="C878" s="24" t="s">
        <v>9025</v>
      </c>
      <c r="I878" s="24" t="s">
        <v>9026</v>
      </c>
    </row>
    <row r="879" spans="1:9" x14ac:dyDescent="0.35">
      <c r="A879" s="24" t="s">
        <v>5385</v>
      </c>
      <c r="B879" s="43" t="str">
        <f>IFERROR(INDEX(Mots!$B:$B,MATCH($A879,Mots!$A:$A,0)),"introuvable")</f>
        <v>le bandage</v>
      </c>
      <c r="C879" s="24" t="s">
        <v>9027</v>
      </c>
    </row>
    <row r="880" spans="1:9" x14ac:dyDescent="0.35">
      <c r="A880" s="24" t="s">
        <v>5393</v>
      </c>
      <c r="B880" s="43" t="str">
        <f>IFERROR(INDEX(Mots!$B:$B,MATCH($A880,Mots!$A:$A,0)),"introuvable")</f>
        <v>le bâtiment</v>
      </c>
      <c r="C880" s="24" t="s">
        <v>9028</v>
      </c>
    </row>
    <row r="881" spans="1:9" x14ac:dyDescent="0.35">
      <c r="A881" s="24" t="s">
        <v>5401</v>
      </c>
      <c r="B881" s="43" t="str">
        <f>IFERROR(INDEX(Mots!$B:$B,MATCH($A881,Mots!$A:$A,0)),"introuvable")</f>
        <v>le besoin</v>
      </c>
      <c r="C881" s="24" t="s">
        <v>9029</v>
      </c>
      <c r="I881" s="24" t="s">
        <v>9030</v>
      </c>
    </row>
    <row r="882" spans="1:9" x14ac:dyDescent="0.35">
      <c r="A882" s="24" t="s">
        <v>5406</v>
      </c>
      <c r="B882" s="43" t="str">
        <f>IFERROR(INDEX(Mots!$B:$B,MATCH($A882,Mots!$A:$A,0)),"introuvable")</f>
        <v>le beurre</v>
      </c>
      <c r="C882" s="24" t="s">
        <v>9031</v>
      </c>
      <c r="I882" s="24" t="s">
        <v>9032</v>
      </c>
    </row>
    <row r="883" spans="1:9" x14ac:dyDescent="0.35">
      <c r="A883" s="24" t="s">
        <v>5412</v>
      </c>
      <c r="B883" s="43" t="str">
        <f>IFERROR(INDEX(Mots!$B:$B,MATCH($A883,Mots!$A:$A,0)),"introuvable")</f>
        <v>le billet</v>
      </c>
      <c r="C883" s="24" t="s">
        <v>9033</v>
      </c>
      <c r="I883" s="24" t="s">
        <v>9034</v>
      </c>
    </row>
    <row r="884" spans="1:9" x14ac:dyDescent="0.35">
      <c r="A884" s="24" t="s">
        <v>5418</v>
      </c>
      <c r="B884" s="43" t="str">
        <f>IFERROR(INDEX(Mots!$B:$B,MATCH($A884,Mots!$A:$A,0)),"introuvable")</f>
        <v>le blé</v>
      </c>
      <c r="C884" s="24" t="s">
        <v>9035</v>
      </c>
      <c r="I884" s="24" t="s">
        <v>9036</v>
      </c>
    </row>
    <row r="885" spans="1:9" x14ac:dyDescent="0.35">
      <c r="A885" s="24" t="s">
        <v>5426</v>
      </c>
      <c r="B885" s="43" t="str">
        <f>IFERROR(INDEX(Mots!$B:$B,MATCH($A885,Mots!$A:$A,0)),"introuvable")</f>
        <v>le bocal</v>
      </c>
      <c r="C885" s="24" t="s">
        <v>9037</v>
      </c>
    </row>
    <row r="886" spans="1:9" x14ac:dyDescent="0.35">
      <c r="A886" s="24" t="s">
        <v>5434</v>
      </c>
      <c r="B886" s="43" t="str">
        <f>IFERROR(INDEX(Mots!$B:$B,MATCH($A886,Mots!$A:$A,0)),"introuvable")</f>
        <v>le bois</v>
      </c>
      <c r="C886" s="24" t="s">
        <v>9038</v>
      </c>
      <c r="I886" s="24" t="s">
        <v>9039</v>
      </c>
    </row>
    <row r="887" spans="1:9" x14ac:dyDescent="0.35">
      <c r="A887" s="24" t="s">
        <v>5442</v>
      </c>
      <c r="B887" s="43" t="str">
        <f>IFERROR(INDEX(Mots!$B:$B,MATCH($A887,Mots!$A:$A,0)),"introuvable")</f>
        <v>le bonbon</v>
      </c>
      <c r="C887" s="24" t="s">
        <v>9040</v>
      </c>
    </row>
    <row r="888" spans="1:9" x14ac:dyDescent="0.35">
      <c r="A888" s="24" t="s">
        <v>5455</v>
      </c>
      <c r="B888" s="43" t="str">
        <f>IFERROR(INDEX(Mots!$B:$B,MATCH($A888,Mots!$A:$A,0)),"introuvable")</f>
        <v>le bourgeon</v>
      </c>
      <c r="C888" s="24" t="s">
        <v>9041</v>
      </c>
    </row>
    <row r="889" spans="1:9" x14ac:dyDescent="0.35">
      <c r="A889" s="24" t="s">
        <v>5463</v>
      </c>
      <c r="B889" s="43" t="str">
        <f>IFERROR(INDEX(Mots!$B:$B,MATCH($A889,Mots!$A:$A,0)),"introuvable")</f>
        <v>le bout</v>
      </c>
      <c r="C889" s="24" t="s">
        <v>9042</v>
      </c>
      <c r="I889" s="24" t="s">
        <v>9043</v>
      </c>
    </row>
    <row r="890" spans="1:9" x14ac:dyDescent="0.35">
      <c r="A890" s="24" t="s">
        <v>5467</v>
      </c>
      <c r="B890" s="43" t="str">
        <f>IFERROR(INDEX(Mots!$B:$B,MATCH($A890,Mots!$A:$A,0)),"introuvable")</f>
        <v>le bouton</v>
      </c>
      <c r="C890" s="24" t="s">
        <v>9044</v>
      </c>
      <c r="I890" s="24" t="s">
        <v>9045</v>
      </c>
    </row>
    <row r="891" spans="1:9" x14ac:dyDescent="0.35">
      <c r="A891" s="24" t="s">
        <v>5471</v>
      </c>
      <c r="B891" s="43" t="str">
        <f>IFERROR(INDEX(Mots!$B:$B,MATCH($A891,Mots!$A:$A,0)),"introuvable")</f>
        <v>le bricolage</v>
      </c>
      <c r="C891" s="24" t="s">
        <v>9046</v>
      </c>
      <c r="I891" s="24" t="s">
        <v>9047</v>
      </c>
    </row>
    <row r="892" spans="1:9" x14ac:dyDescent="0.35">
      <c r="A892" s="24" t="s">
        <v>5479</v>
      </c>
      <c r="B892" s="43" t="str">
        <f>IFERROR(INDEX(Mots!$B:$B,MATCH($A892,Mots!$A:$A,0)),"introuvable")</f>
        <v>le brin</v>
      </c>
      <c r="C892" s="24" t="s">
        <v>9048</v>
      </c>
      <c r="I892" s="24" t="s">
        <v>9049</v>
      </c>
    </row>
    <row r="893" spans="1:9" x14ac:dyDescent="0.35">
      <c r="A893" s="24" t="s">
        <v>5487</v>
      </c>
      <c r="B893" s="43" t="str">
        <f>IFERROR(INDEX(Mots!$B:$B,MATCH($A893,Mots!$A:$A,0)),"introuvable")</f>
        <v>le brouillard</v>
      </c>
      <c r="C893" s="24" t="s">
        <v>9050</v>
      </c>
    </row>
    <row r="894" spans="1:9" x14ac:dyDescent="0.35">
      <c r="A894" s="24" t="s">
        <v>5495</v>
      </c>
      <c r="B894" s="43" t="str">
        <f>IFERROR(INDEX(Mots!$B:$B,MATCH($A894,Mots!$A:$A,0)),"introuvable")</f>
        <v>le bruit</v>
      </c>
      <c r="C894" s="24" t="s">
        <v>9051</v>
      </c>
      <c r="I894" s="24" t="s">
        <v>9052</v>
      </c>
    </row>
    <row r="895" spans="1:9" x14ac:dyDescent="0.35">
      <c r="A895" s="24" t="s">
        <v>5501</v>
      </c>
      <c r="B895" s="43" t="str">
        <f>IFERROR(INDEX(Mots!$B:$B,MATCH($A895,Mots!$A:$A,0)),"introuvable")</f>
        <v>le buisson</v>
      </c>
      <c r="C895" s="24" t="s">
        <v>9053</v>
      </c>
    </row>
    <row r="896" spans="1:9" x14ac:dyDescent="0.35">
      <c r="A896" s="24" t="s">
        <v>5517</v>
      </c>
      <c r="B896" s="43" t="str">
        <f>IFERROR(INDEX(Mots!$B:$B,MATCH($A896,Mots!$A:$A,0)),"introuvable")</f>
        <v>le cadeau</v>
      </c>
      <c r="C896" s="24" t="s">
        <v>9054</v>
      </c>
      <c r="I896" s="24" t="s">
        <v>9055</v>
      </c>
    </row>
    <row r="897" spans="1:9" x14ac:dyDescent="0.35">
      <c r="A897" s="24" t="s">
        <v>5525</v>
      </c>
      <c r="B897" s="43" t="str">
        <f>IFERROR(INDEX(Mots!$B:$B,MATCH($A897,Mots!$A:$A,0)),"introuvable")</f>
        <v>le cahier</v>
      </c>
      <c r="C897" s="24" t="s">
        <v>9056</v>
      </c>
    </row>
    <row r="898" spans="1:9" x14ac:dyDescent="0.35">
      <c r="A898" s="24" t="s">
        <v>5537</v>
      </c>
      <c r="B898" s="43" t="str">
        <f>IFERROR(INDEX(Mots!$B:$B,MATCH($A898,Mots!$A:$A,0)),"introuvable")</f>
        <v>le calme</v>
      </c>
      <c r="C898" s="24" t="s">
        <v>9057</v>
      </c>
      <c r="I898" s="24" t="s">
        <v>9058</v>
      </c>
    </row>
    <row r="899" spans="1:9" x14ac:dyDescent="0.35">
      <c r="A899" s="24" t="s">
        <v>5549</v>
      </c>
      <c r="B899" s="43" t="str">
        <f>IFERROR(INDEX(Mots!$B:$B,MATCH($A899,Mots!$A:$A,0)),"introuvable")</f>
        <v>le caoutchouc</v>
      </c>
      <c r="C899" s="24" t="s">
        <v>9059</v>
      </c>
    </row>
    <row r="900" spans="1:9" x14ac:dyDescent="0.35">
      <c r="A900" s="24" t="s">
        <v>5554</v>
      </c>
      <c r="B900" s="43" t="str">
        <f>IFERROR(INDEX(Mots!$B:$B,MATCH($A900,Mots!$A:$A,0)),"introuvable")</f>
        <v>le carnet</v>
      </c>
      <c r="C900" s="24" t="s">
        <v>9060</v>
      </c>
    </row>
    <row r="901" spans="1:9" x14ac:dyDescent="0.35">
      <c r="A901" s="24" t="s">
        <v>5562</v>
      </c>
      <c r="B901" s="43" t="str">
        <f>IFERROR(INDEX(Mots!$B:$B,MATCH($A901,Mots!$A:$A,0)),"introuvable")</f>
        <v>le cas</v>
      </c>
      <c r="C901" s="24" t="s">
        <v>9061</v>
      </c>
      <c r="I901" s="24" t="s">
        <v>9062</v>
      </c>
    </row>
    <row r="902" spans="1:9" x14ac:dyDescent="0.35">
      <c r="A902" s="24" t="s">
        <v>5580</v>
      </c>
      <c r="B902" s="43" t="str">
        <f>IFERROR(INDEX(Mots!$B:$B,MATCH($A902,Mots!$A:$A,0)),"introuvable")</f>
        <v>le champ</v>
      </c>
      <c r="C902" s="24" t="s">
        <v>9063</v>
      </c>
    </row>
    <row r="903" spans="1:9" x14ac:dyDescent="0.35">
      <c r="A903" s="24" t="s">
        <v>5588</v>
      </c>
      <c r="B903" s="43" t="str">
        <f>IFERROR(INDEX(Mots!$B:$B,MATCH($A903,Mots!$A:$A,0)),"introuvable")</f>
        <v>le champignon</v>
      </c>
      <c r="C903" s="24" t="s">
        <v>9064</v>
      </c>
      <c r="I903" s="24" t="s">
        <v>9065</v>
      </c>
    </row>
    <row r="904" spans="1:9" x14ac:dyDescent="0.35">
      <c r="A904" s="24" t="s">
        <v>5596</v>
      </c>
      <c r="B904" s="43" t="str">
        <f>IFERROR(INDEX(Mots!$B:$B,MATCH($A904,Mots!$A:$A,0)),"introuvable")</f>
        <v>le champion</v>
      </c>
      <c r="C904" s="24" t="s">
        <v>9066</v>
      </c>
    </row>
    <row r="905" spans="1:9" x14ac:dyDescent="0.35">
      <c r="A905" s="24" t="s">
        <v>5604</v>
      </c>
      <c r="B905" s="43" t="str">
        <f>IFERROR(INDEX(Mots!$B:$B,MATCH($A905,Mots!$A:$A,0)),"introuvable")</f>
        <v>le chapeau</v>
      </c>
      <c r="C905" s="24" t="s">
        <v>9067</v>
      </c>
      <c r="I905" s="24" t="s">
        <v>9068</v>
      </c>
    </row>
    <row r="906" spans="1:9" x14ac:dyDescent="0.35">
      <c r="A906" s="24" t="s">
        <v>5608</v>
      </c>
      <c r="B906" s="43" t="str">
        <f>IFERROR(INDEX(Mots!$B:$B,MATCH($A906,Mots!$A:$A,0)),"introuvable")</f>
        <v>le chemin</v>
      </c>
      <c r="C906" s="24" t="s">
        <v>9069</v>
      </c>
      <c r="I906" s="24" t="s">
        <v>9070</v>
      </c>
    </row>
    <row r="907" spans="1:9" x14ac:dyDescent="0.35">
      <c r="A907" s="24" t="s">
        <v>5613</v>
      </c>
      <c r="B907" s="43" t="str">
        <f>IFERROR(INDEX(Mots!$B:$B,MATCH($A907,Mots!$A:$A,0)),"introuvable")</f>
        <v>le choc</v>
      </c>
      <c r="C907" s="24" t="s">
        <v>9071</v>
      </c>
    </row>
    <row r="908" spans="1:9" x14ac:dyDescent="0.35">
      <c r="A908" s="24" t="s">
        <v>5620</v>
      </c>
      <c r="B908" s="43" t="str">
        <f>IFERROR(INDEX(Mots!$B:$B,MATCH($A908,Mots!$A:$A,0)),"introuvable")</f>
        <v>le chocolat</v>
      </c>
      <c r="C908" s="24" t="s">
        <v>9072</v>
      </c>
      <c r="I908" s="24" t="s">
        <v>9073</v>
      </c>
    </row>
    <row r="909" spans="1:9" x14ac:dyDescent="0.35">
      <c r="A909" s="24" t="s">
        <v>5628</v>
      </c>
      <c r="B909" s="43" t="str">
        <f>IFERROR(INDEX(Mots!$B:$B,MATCH($A909,Mots!$A:$A,0)),"introuvable")</f>
        <v>le cintre</v>
      </c>
      <c r="C909" s="24" t="s">
        <v>9074</v>
      </c>
    </row>
    <row r="910" spans="1:9" x14ac:dyDescent="0.35">
      <c r="A910" s="24" t="s">
        <v>5636</v>
      </c>
      <c r="B910" s="43" t="str">
        <f>IFERROR(INDEX(Mots!$B:$B,MATCH($A910,Mots!$A:$A,0)),"introuvable")</f>
        <v>le citron</v>
      </c>
      <c r="C910" s="24" t="s">
        <v>9075</v>
      </c>
      <c r="I910" s="24" t="s">
        <v>9076</v>
      </c>
    </row>
    <row r="911" spans="1:9" x14ac:dyDescent="0.35">
      <c r="A911" s="24" t="s">
        <v>5644</v>
      </c>
      <c r="B911" s="43" t="str">
        <f>IFERROR(INDEX(Mots!$B:$B,MATCH($A911,Mots!$A:$A,0)),"introuvable")</f>
        <v>le clou</v>
      </c>
      <c r="C911" s="24" t="s">
        <v>9077</v>
      </c>
      <c r="I911" s="24" t="s">
        <v>9078</v>
      </c>
    </row>
    <row r="912" spans="1:9" x14ac:dyDescent="0.35">
      <c r="A912" s="24" t="s">
        <v>5648</v>
      </c>
      <c r="B912" s="43" t="str">
        <f>IFERROR(INDEX(Mots!$B:$B,MATCH($A912,Mots!$A:$A,0)),"introuvable")</f>
        <v>le combat</v>
      </c>
      <c r="C912" s="24" t="s">
        <v>9079</v>
      </c>
    </row>
    <row r="913" spans="1:9" x14ac:dyDescent="0.35">
      <c r="A913" s="24" t="s">
        <v>5651</v>
      </c>
      <c r="B913" s="43" t="str">
        <f>IFERROR(INDEX(Mots!$B:$B,MATCH($A913,Mots!$A:$A,0)),"introuvable")</f>
        <v>le commerce</v>
      </c>
      <c r="C913" s="24" t="s">
        <v>9080</v>
      </c>
    </row>
    <row r="914" spans="1:9" x14ac:dyDescent="0.35">
      <c r="A914" s="24" t="s">
        <v>5655</v>
      </c>
      <c r="B914" s="43" t="str">
        <f>IFERROR(INDEX(Mots!$B:$B,MATCH($A914,Mots!$A:$A,0)),"introuvable")</f>
        <v>le complice</v>
      </c>
      <c r="C914" s="24" t="s">
        <v>9081</v>
      </c>
    </row>
    <row r="915" spans="1:9" x14ac:dyDescent="0.35">
      <c r="A915" s="24" t="s">
        <v>5660</v>
      </c>
      <c r="B915" s="43" t="str">
        <f>IFERROR(INDEX(Mots!$B:$B,MATCH($A915,Mots!$A:$A,0)),"introuvable")</f>
        <v>le comprimé</v>
      </c>
      <c r="C915" s="24" t="s">
        <v>9082</v>
      </c>
      <c r="I915" s="24" t="s">
        <v>9083</v>
      </c>
    </row>
    <row r="916" spans="1:9" x14ac:dyDescent="0.35">
      <c r="A916" s="24" t="s">
        <v>5668</v>
      </c>
      <c r="B916" s="43" t="str">
        <f>IFERROR(INDEX(Mots!$B:$B,MATCH($A916,Mots!$A:$A,0)),"introuvable")</f>
        <v>le concours</v>
      </c>
      <c r="C916" s="24" t="s">
        <v>9084</v>
      </c>
      <c r="I916" s="24" t="s">
        <v>9085</v>
      </c>
    </row>
    <row r="917" spans="1:9" x14ac:dyDescent="0.35">
      <c r="A917" s="24" t="s">
        <v>5882</v>
      </c>
      <c r="B917" s="43" t="str">
        <f>IFERROR(INDEX(Mots!$B:$B,MATCH($A917,Mots!$A:$A,0)),"introuvable")</f>
        <v>le jeu</v>
      </c>
      <c r="C917" s="24" t="s">
        <v>9086</v>
      </c>
    </row>
    <row r="918" spans="1:9" x14ac:dyDescent="0.35">
      <c r="A918" s="24" t="s">
        <v>5887</v>
      </c>
      <c r="B918" s="43" t="str">
        <f>IFERROR(INDEX(Mots!$B:$B,MATCH($A918,Mots!$A:$A,0)),"introuvable")</f>
        <v>le jouet</v>
      </c>
      <c r="C918" s="24" t="s">
        <v>9087</v>
      </c>
    </row>
    <row r="919" spans="1:9" x14ac:dyDescent="0.35">
      <c r="A919" s="24" t="s">
        <v>5891</v>
      </c>
      <c r="B919" s="43" t="str">
        <f>IFERROR(INDEX(Mots!$B:$B,MATCH($A919,Mots!$A:$A,0)),"introuvable")</f>
        <v>le jus</v>
      </c>
      <c r="C919" s="24" t="s">
        <v>9088</v>
      </c>
      <c r="I919" s="24" t="s">
        <v>9089</v>
      </c>
    </row>
    <row r="920" spans="1:9" x14ac:dyDescent="0.35">
      <c r="A920" s="24" t="s">
        <v>5899</v>
      </c>
      <c r="B920" s="43" t="str">
        <f>IFERROR(INDEX(Mots!$B:$B,MATCH($A920,Mots!$A:$A,0)),"introuvable")</f>
        <v>le lac</v>
      </c>
      <c r="C920" s="24" t="s">
        <v>9090</v>
      </c>
      <c r="I920" s="24" t="s">
        <v>9091</v>
      </c>
    </row>
    <row r="921" spans="1:9" x14ac:dyDescent="0.35">
      <c r="A921" s="24" t="s">
        <v>5903</v>
      </c>
      <c r="B921" s="43" t="str">
        <f>IFERROR(INDEX(Mots!$B:$B,MATCH($A921,Mots!$A:$A,0)),"introuvable")</f>
        <v>les produits laitiers</v>
      </c>
      <c r="C921" s="24" t="s">
        <v>9092</v>
      </c>
    </row>
    <row r="922" spans="1:9" x14ac:dyDescent="0.35">
      <c r="A922" s="24" t="s">
        <v>5908</v>
      </c>
      <c r="B922" s="43" t="str">
        <f>IFERROR(INDEX(Mots!$B:$B,MATCH($A922,Mots!$A:$A,0)),"introuvable")</f>
        <v>le lien</v>
      </c>
      <c r="C922" s="24" t="s">
        <v>9093</v>
      </c>
      <c r="I922" s="24" t="s">
        <v>9094</v>
      </c>
    </row>
    <row r="923" spans="1:9" x14ac:dyDescent="0.35">
      <c r="A923" s="24" t="s">
        <v>5911</v>
      </c>
      <c r="B923" s="43" t="str">
        <f>IFERROR(INDEX(Mots!$B:$B,MATCH($A923,Mots!$A:$A,0)),"introuvable")</f>
        <v>le liquide</v>
      </c>
      <c r="C923" s="24" t="s">
        <v>9095</v>
      </c>
    </row>
    <row r="924" spans="1:9" x14ac:dyDescent="0.35">
      <c r="A924" s="24" t="s">
        <v>5918</v>
      </c>
      <c r="B924" s="43" t="str">
        <f>IFERROR(INDEX(Mots!$B:$B,MATCH($A924,Mots!$A:$A,0)),"introuvable")</f>
        <v>le livre</v>
      </c>
      <c r="C924" s="24" t="s">
        <v>9096</v>
      </c>
      <c r="I924" s="24" t="s">
        <v>9097</v>
      </c>
    </row>
    <row r="925" spans="1:9" x14ac:dyDescent="0.35">
      <c r="A925" s="24" t="s">
        <v>5929</v>
      </c>
      <c r="B925" s="43" t="str">
        <f>IFERROR(INDEX(Mots!$B:$B,MATCH($A925,Mots!$A:$A,0)),"introuvable")</f>
        <v>le maître</v>
      </c>
      <c r="C925" s="24" t="s">
        <v>9098</v>
      </c>
    </row>
    <row r="926" spans="1:9" x14ac:dyDescent="0.35">
      <c r="A926" s="24" t="s">
        <v>5937</v>
      </c>
      <c r="B926" s="43" t="str">
        <f>IFERROR(INDEX(Mots!$B:$B,MATCH($A926,Mots!$A:$A,0)),"introuvable")</f>
        <v>le manteau</v>
      </c>
      <c r="C926" s="24" t="s">
        <v>9099</v>
      </c>
      <c r="I926" s="24" t="s">
        <v>9100</v>
      </c>
    </row>
    <row r="927" spans="1:9" x14ac:dyDescent="0.35">
      <c r="A927" s="24" t="s">
        <v>5941</v>
      </c>
      <c r="B927" s="43" t="str">
        <f>IFERROR(INDEX(Mots!$B:$B,MATCH($A927,Mots!$A:$A,0)),"introuvable")</f>
        <v>le marteau</v>
      </c>
      <c r="C927" s="24" t="s">
        <v>9101</v>
      </c>
      <c r="I927" s="24" t="s">
        <v>9102</v>
      </c>
    </row>
    <row r="928" spans="1:9" x14ac:dyDescent="0.35">
      <c r="A928" s="24" t="s">
        <v>5949</v>
      </c>
      <c r="B928" s="43" t="str">
        <f>IFERROR(INDEX(Mots!$B:$B,MATCH($A928,Mots!$A:$A,0)),"introuvable")</f>
        <v>le match</v>
      </c>
      <c r="C928" s="24" t="s">
        <v>9103</v>
      </c>
      <c r="I928" s="24" t="s">
        <v>9104</v>
      </c>
    </row>
    <row r="929" spans="1:9" x14ac:dyDescent="0.35">
      <c r="A929" s="24" t="s">
        <v>5957</v>
      </c>
      <c r="B929" s="43" t="str">
        <f>IFERROR(INDEX(Mots!$B:$B,MATCH($A929,Mots!$A:$A,0)),"introuvable")</f>
        <v>le médicament</v>
      </c>
      <c r="C929" s="24" t="s">
        <v>9105</v>
      </c>
      <c r="I929" s="24" t="s">
        <v>9106</v>
      </c>
    </row>
    <row r="930" spans="1:9" x14ac:dyDescent="0.35">
      <c r="A930" s="24" t="s">
        <v>5965</v>
      </c>
      <c r="B930" s="43" t="str">
        <f>IFERROR(INDEX(Mots!$B:$B,MATCH($A930,Mots!$A:$A,0)),"introuvable")</f>
        <v>le mélange</v>
      </c>
      <c r="C930" s="24" t="s">
        <v>9107</v>
      </c>
    </row>
    <row r="931" spans="1:9" x14ac:dyDescent="0.35">
      <c r="A931" s="24" t="s">
        <v>5976</v>
      </c>
      <c r="B931" s="43" t="str">
        <f>IFERROR(INDEX(Mots!$B:$B,MATCH($A931,Mots!$A:$A,0)),"introuvable")</f>
        <v>le métal</v>
      </c>
      <c r="C931" s="24" t="s">
        <v>9108</v>
      </c>
      <c r="I931" s="24" t="s">
        <v>9109</v>
      </c>
    </row>
    <row r="932" spans="1:9" x14ac:dyDescent="0.35">
      <c r="A932" s="24" t="s">
        <v>5980</v>
      </c>
      <c r="B932" s="43" t="str">
        <f>IFERROR(INDEX(Mots!$B:$B,MATCH($A932,Mots!$A:$A,0)),"introuvable")</f>
        <v>le miel</v>
      </c>
      <c r="C932" s="24" t="s">
        <v>9110</v>
      </c>
      <c r="I932" s="24" t="s">
        <v>9111</v>
      </c>
    </row>
    <row r="933" spans="1:9" x14ac:dyDescent="0.35">
      <c r="A933" s="24" t="s">
        <v>5984</v>
      </c>
      <c r="B933" s="43" t="str">
        <f>IFERROR(INDEX(Mots!$B:$B,MATCH($A933,Mots!$A:$A,0)),"introuvable")</f>
        <v>le milieu</v>
      </c>
      <c r="C933" s="24" t="s">
        <v>9112</v>
      </c>
      <c r="I933" s="24" t="s">
        <v>9113</v>
      </c>
    </row>
    <row r="934" spans="1:9" x14ac:dyDescent="0.35">
      <c r="A934" s="24" t="s">
        <v>5993</v>
      </c>
      <c r="B934" s="43" t="str">
        <f>IFERROR(INDEX(Mots!$B:$B,MATCH($A934,Mots!$A:$A,0)),"introuvable")</f>
        <v>le monde</v>
      </c>
      <c r="C934" s="24" t="s">
        <v>9114</v>
      </c>
      <c r="I934" s="24" t="s">
        <v>9115</v>
      </c>
    </row>
    <row r="935" spans="1:9" x14ac:dyDescent="0.35">
      <c r="A935" s="24" t="s">
        <v>5996</v>
      </c>
      <c r="B935" s="43" t="str">
        <f>IFERROR(INDEX(Mots!$B:$B,MATCH($A935,Mots!$A:$A,0)),"introuvable")</f>
        <v>le morceau</v>
      </c>
      <c r="C935" s="24" t="s">
        <v>9116</v>
      </c>
      <c r="I935" s="24" t="s">
        <v>9117</v>
      </c>
    </row>
    <row r="936" spans="1:9" x14ac:dyDescent="0.35">
      <c r="A936" s="24" t="s">
        <v>6002</v>
      </c>
      <c r="B936" s="43" t="str">
        <f>IFERROR(INDEX(Mots!$B:$B,MATCH($A936,Mots!$A:$A,0)),"introuvable")</f>
        <v>le moteur</v>
      </c>
      <c r="C936" s="24" t="s">
        <v>9118</v>
      </c>
    </row>
    <row r="937" spans="1:9" x14ac:dyDescent="0.35">
      <c r="A937" s="24" t="s">
        <v>6010</v>
      </c>
      <c r="B937" s="43" t="str">
        <f>IFERROR(INDEX(Mots!$B:$B,MATCH($A937,Mots!$A:$A,0)),"introuvable")</f>
        <v>le mouvement</v>
      </c>
      <c r="C937" s="24" t="s">
        <v>9119</v>
      </c>
    </row>
    <row r="938" spans="1:9" x14ac:dyDescent="0.35">
      <c r="A938" s="24" t="s">
        <v>6022</v>
      </c>
      <c r="B938" s="43" t="str">
        <f>IFERROR(INDEX(Mots!$B:$B,MATCH($A938,Mots!$A:$A,0)),"introuvable")</f>
        <v>le niveau</v>
      </c>
      <c r="C938" s="24" t="s">
        <v>9120</v>
      </c>
    </row>
    <row r="939" spans="1:9" x14ac:dyDescent="0.35">
      <c r="A939" s="24" t="s">
        <v>6029</v>
      </c>
      <c r="B939" s="43" t="str">
        <f>IFERROR(INDEX(Mots!$B:$B,MATCH($A939,Mots!$A:$A,0)),"introuvable")</f>
        <v>le nombre</v>
      </c>
      <c r="C939" s="24" t="s">
        <v>9121</v>
      </c>
    </row>
    <row r="940" spans="1:9" x14ac:dyDescent="0.35">
      <c r="A940" s="24" t="s">
        <v>6033</v>
      </c>
      <c r="B940" s="43" t="str">
        <f>IFERROR(INDEX(Mots!$B:$B,MATCH($A940,Mots!$A:$A,0)),"introuvable")</f>
        <v>le noyau</v>
      </c>
      <c r="C940" s="24" t="s">
        <v>9122</v>
      </c>
    </row>
    <row r="941" spans="1:9" x14ac:dyDescent="0.35">
      <c r="A941" s="24" t="s">
        <v>6041</v>
      </c>
      <c r="B941" s="43" t="str">
        <f>IFERROR(INDEX(Mots!$B:$B,MATCH($A941,Mots!$A:$A,0)),"introuvable")</f>
        <v>le nuage</v>
      </c>
      <c r="C941" s="24" t="s">
        <v>9123</v>
      </c>
    </row>
    <row r="942" spans="1:9" x14ac:dyDescent="0.35">
      <c r="A942" s="24" t="s">
        <v>6053</v>
      </c>
      <c r="B942" s="43" t="str">
        <f>IFERROR(INDEX(Mots!$B:$B,MATCH($A942,Mots!$A:$A,0)),"introuvable")</f>
        <v>le panier</v>
      </c>
      <c r="C942" s="24" t="s">
        <v>9124</v>
      </c>
      <c r="I942" s="24" t="s">
        <v>9125</v>
      </c>
    </row>
    <row r="943" spans="1:9" x14ac:dyDescent="0.35">
      <c r="A943" s="24" t="s">
        <v>6061</v>
      </c>
      <c r="B943" s="43" t="str">
        <f>IFERROR(INDEX(Mots!$B:$B,MATCH($A943,Mots!$A:$A,0)),"introuvable")</f>
        <v>le panneau</v>
      </c>
      <c r="C943" s="24" t="s">
        <v>9126</v>
      </c>
    </row>
    <row r="944" spans="1:9" x14ac:dyDescent="0.35">
      <c r="A944" s="24" t="s">
        <v>6065</v>
      </c>
      <c r="B944" s="43" t="str">
        <f>IFERROR(INDEX(Mots!$B:$B,MATCH($A944,Mots!$A:$A,0)),"introuvable")</f>
        <v>le pansement</v>
      </c>
      <c r="C944" s="24" t="s">
        <v>9127</v>
      </c>
      <c r="I944" s="24" t="s">
        <v>9128</v>
      </c>
    </row>
    <row r="945" spans="1:9" x14ac:dyDescent="0.35">
      <c r="A945" s="24" t="s">
        <v>6073</v>
      </c>
      <c r="B945" s="43" t="str">
        <f>IFERROR(INDEX(Mots!$B:$B,MATCH($A945,Mots!$A:$A,0)),"introuvable")</f>
        <v>le papier</v>
      </c>
      <c r="C945" s="24" t="s">
        <v>9129</v>
      </c>
      <c r="I945" s="24" t="s">
        <v>9130</v>
      </c>
    </row>
    <row r="946" spans="1:9" x14ac:dyDescent="0.35">
      <c r="A946" s="24" t="s">
        <v>6081</v>
      </c>
      <c r="B946" s="43" t="str">
        <f>IFERROR(INDEX(Mots!$B:$B,MATCH($A946,Mots!$A:$A,0)),"introuvable")</f>
        <v>le parapluie</v>
      </c>
      <c r="C946" s="24" t="s">
        <v>9131</v>
      </c>
      <c r="I946" s="24" t="s">
        <v>9132</v>
      </c>
    </row>
    <row r="947" spans="1:9" x14ac:dyDescent="0.35">
      <c r="A947" s="24" t="s">
        <v>6110</v>
      </c>
      <c r="B947" s="43" t="str">
        <f>IFERROR(INDEX(Mots!$B:$B,MATCH($A947,Mots!$A:$A,0)),"introuvable")</f>
        <v>le pays</v>
      </c>
      <c r="C947" s="24" t="s">
        <v>9133</v>
      </c>
    </row>
    <row r="948" spans="1:9" x14ac:dyDescent="0.35">
      <c r="A948" s="24" t="s">
        <v>6118</v>
      </c>
      <c r="B948" s="43" t="str">
        <f>IFERROR(INDEX(Mots!$B:$B,MATCH($A948,Mots!$A:$A,0)),"introuvable")</f>
        <v>le paysage</v>
      </c>
      <c r="C948" s="24" t="s">
        <v>9134</v>
      </c>
    </row>
    <row r="949" spans="1:9" x14ac:dyDescent="0.35">
      <c r="A949" s="24" t="s">
        <v>6122</v>
      </c>
      <c r="B949" s="43" t="str">
        <f>IFERROR(INDEX(Mots!$B:$B,MATCH($A949,Mots!$A:$A,0)),"introuvable")</f>
        <v>le permis</v>
      </c>
      <c r="C949" s="24" t="s">
        <v>9135</v>
      </c>
      <c r="I949" s="24" t="s">
        <v>9136</v>
      </c>
    </row>
    <row r="950" spans="1:9" x14ac:dyDescent="0.35">
      <c r="A950" s="24" t="s">
        <v>6133</v>
      </c>
      <c r="B950" s="43" t="str">
        <f>IFERROR(INDEX(Mots!$B:$B,MATCH($A950,Mots!$A:$A,0)),"introuvable")</f>
        <v>le piment</v>
      </c>
      <c r="C950" s="24" t="s">
        <v>9137</v>
      </c>
    </row>
    <row r="951" spans="1:9" x14ac:dyDescent="0.35">
      <c r="A951" s="24" t="s">
        <v>6140</v>
      </c>
      <c r="B951" s="43" t="str">
        <f>IFERROR(INDEX(Mots!$B:$B,MATCH($A951,Mots!$A:$A,0)),"introuvable")</f>
        <v>le pinceau</v>
      </c>
      <c r="C951" s="24" t="s">
        <v>9138</v>
      </c>
      <c r="I951" s="24" t="s">
        <v>9139</v>
      </c>
    </row>
    <row r="952" spans="1:9" x14ac:dyDescent="0.35">
      <c r="A952" s="24" t="s">
        <v>6148</v>
      </c>
      <c r="B952" s="43" t="str">
        <f>IFERROR(INDEX(Mots!$B:$B,MATCH($A952,Mots!$A:$A,0)),"introuvable")</f>
        <v>le pique-nique</v>
      </c>
      <c r="C952" s="24" t="s">
        <v>9140</v>
      </c>
      <c r="I952" s="24" t="s">
        <v>9141</v>
      </c>
    </row>
    <row r="953" spans="1:9" x14ac:dyDescent="0.35">
      <c r="A953" s="24" t="s">
        <v>6156</v>
      </c>
      <c r="B953" s="43" t="str">
        <f>IFERROR(INDEX(Mots!$B:$B,MATCH($A953,Mots!$A:$A,0)),"introuvable")</f>
        <v>le plafond</v>
      </c>
      <c r="C953" s="24" t="s">
        <v>9142</v>
      </c>
    </row>
    <row r="954" spans="1:9" x14ac:dyDescent="0.35">
      <c r="A954" s="24" t="s">
        <v>6166</v>
      </c>
      <c r="B954" s="43" t="str">
        <f>IFERROR(INDEX(Mots!$B:$B,MATCH($A954,Mots!$A:$A,0)),"introuvable")</f>
        <v>le plancher</v>
      </c>
      <c r="C954" s="24" t="s">
        <v>9143</v>
      </c>
    </row>
    <row r="955" spans="1:9" x14ac:dyDescent="0.35">
      <c r="A955" s="24" t="s">
        <v>6174</v>
      </c>
      <c r="B955" s="43" t="str">
        <f>IFERROR(INDEX(Mots!$B:$B,MATCH($A955,Mots!$A:$A,0)),"introuvable")</f>
        <v>le plastique</v>
      </c>
      <c r="C955" s="24" t="s">
        <v>9144</v>
      </c>
      <c r="I955" s="24" t="s">
        <v>9145</v>
      </c>
    </row>
    <row r="956" spans="1:9" x14ac:dyDescent="0.35">
      <c r="A956" s="24" t="s">
        <v>6178</v>
      </c>
      <c r="B956" s="43" t="str">
        <f>IFERROR(INDEX(Mots!$B:$B,MATCH($A956,Mots!$A:$A,0)),"introuvable")</f>
        <v>le plat</v>
      </c>
      <c r="C956" s="24" t="s">
        <v>9146</v>
      </c>
      <c r="I956" s="24" t="s">
        <v>9147</v>
      </c>
    </row>
    <row r="957" spans="1:9" x14ac:dyDescent="0.35">
      <c r="A957" s="24" t="s">
        <v>6181</v>
      </c>
      <c r="B957" s="43" t="str">
        <f>IFERROR(INDEX(Mots!$B:$B,MATCH($A957,Mots!$A:$A,0)),"introuvable")</f>
        <v>le poil</v>
      </c>
      <c r="C957" s="24" t="s">
        <v>9148</v>
      </c>
    </row>
    <row r="958" spans="1:9" x14ac:dyDescent="0.35">
      <c r="A958" s="24" t="s">
        <v>6188</v>
      </c>
      <c r="B958" s="43" t="str">
        <f>IFERROR(INDEX(Mots!$B:$B,MATCH($A958,Mots!$A:$A,0)),"introuvable")</f>
        <v>le point</v>
      </c>
      <c r="C958" s="24" t="s">
        <v>9149</v>
      </c>
      <c r="I958" s="24" t="s">
        <v>9150</v>
      </c>
    </row>
    <row r="959" spans="1:9" x14ac:dyDescent="0.35">
      <c r="A959" s="24" t="s">
        <v>6192</v>
      </c>
      <c r="B959" s="43" t="str">
        <f>IFERROR(INDEX(Mots!$B:$B,MATCH($A959,Mots!$A:$A,0)),"introuvable")</f>
        <v>le portefeuille</v>
      </c>
      <c r="C959" s="24" t="s">
        <v>9151</v>
      </c>
    </row>
    <row r="960" spans="1:9" x14ac:dyDescent="0.35">
      <c r="A960" s="24" t="s">
        <v>6196</v>
      </c>
      <c r="B960" s="43" t="str">
        <f>IFERROR(INDEX(Mots!$B:$B,MATCH($A960,Mots!$A:$A,0)),"introuvable")</f>
        <v>le porte-manteau</v>
      </c>
      <c r="C960" s="24" t="s">
        <v>9152</v>
      </c>
    </row>
    <row r="961" spans="1:9" x14ac:dyDescent="0.35">
      <c r="A961" s="24" t="s">
        <v>6204</v>
      </c>
      <c r="B961" s="43" t="str">
        <f>IFERROR(INDEX(Mots!$B:$B,MATCH($A961,Mots!$A:$A,0)),"introuvable")</f>
        <v>le prix</v>
      </c>
      <c r="C961" s="24" t="s">
        <v>9153</v>
      </c>
      <c r="I961" s="24" t="s">
        <v>9154</v>
      </c>
    </row>
    <row r="962" spans="1:9" x14ac:dyDescent="0.35">
      <c r="A962" s="24" t="s">
        <v>6208</v>
      </c>
      <c r="B962" s="43" t="str">
        <f>IFERROR(INDEX(Mots!$B:$B,MATCH($A962,Mots!$A:$A,0)),"introuvable")</f>
        <v>le problème</v>
      </c>
      <c r="C962" s="24" t="s">
        <v>9155</v>
      </c>
      <c r="I962" s="24" t="s">
        <v>9156</v>
      </c>
    </row>
    <row r="963" spans="1:9" x14ac:dyDescent="0.35">
      <c r="A963" s="24" t="s">
        <v>6212</v>
      </c>
      <c r="B963" s="43" t="str">
        <f>IFERROR(INDEX(Mots!$B:$B,MATCH($A963,Mots!$A:$A,0)),"introuvable")</f>
        <v>le puzzle</v>
      </c>
      <c r="C963" s="24" t="s">
        <v>9157</v>
      </c>
      <c r="I963" s="24" t="s">
        <v>9158</v>
      </c>
    </row>
    <row r="964" spans="1:9" x14ac:dyDescent="0.35">
      <c r="A964" s="24" t="s">
        <v>6216</v>
      </c>
      <c r="B964" s="43" t="str">
        <f>IFERROR(INDEX(Mots!$B:$B,MATCH($A964,Mots!$A:$A,0)),"introuvable")</f>
        <v>le quartier</v>
      </c>
      <c r="C964" s="24" t="s">
        <v>9159</v>
      </c>
    </row>
    <row r="965" spans="1:9" x14ac:dyDescent="0.35">
      <c r="A965" s="24" t="s">
        <v>6222</v>
      </c>
      <c r="B965" s="43" t="str">
        <f>IFERROR(INDEX(Mots!$B:$B,MATCH($A965,Mots!$A:$A,0)),"introuvable")</f>
        <v>le récipient</v>
      </c>
      <c r="C965" s="24" t="s">
        <v>9160</v>
      </c>
    </row>
    <row r="966" spans="1:9" x14ac:dyDescent="0.35">
      <c r="A966" s="24" t="s">
        <v>6228</v>
      </c>
      <c r="B966" s="43" t="str">
        <f>IFERROR(INDEX(Mots!$B:$B,MATCH($A966,Mots!$A:$A,0)),"introuvable")</f>
        <v>le récit</v>
      </c>
      <c r="C966" s="24" t="s">
        <v>9161</v>
      </c>
      <c r="I966" s="24" t="s">
        <v>9162</v>
      </c>
    </row>
    <row r="967" spans="1:9" x14ac:dyDescent="0.35">
      <c r="A967" s="24" t="s">
        <v>6235</v>
      </c>
      <c r="B967" s="43" t="str">
        <f>IFERROR(INDEX(Mots!$B:$B,MATCH($A967,Mots!$A:$A,0)),"introuvable")</f>
        <v>le reçu</v>
      </c>
      <c r="C967" s="24" t="s">
        <v>9163</v>
      </c>
      <c r="I967" s="24" t="s">
        <v>9164</v>
      </c>
    </row>
    <row r="968" spans="1:9" x14ac:dyDescent="0.35">
      <c r="A968" s="24" t="s">
        <v>6239</v>
      </c>
      <c r="B968" s="43" t="str">
        <f>IFERROR(INDEX(Mots!$B:$B,MATCH($A968,Mots!$A:$A,0)),"introuvable")</f>
        <v>le reflet</v>
      </c>
      <c r="C968" s="24" t="s">
        <v>9165</v>
      </c>
    </row>
    <row r="969" spans="1:9" x14ac:dyDescent="0.35">
      <c r="A969" s="24" t="s">
        <v>6247</v>
      </c>
      <c r="B969" s="43" t="str">
        <f>IFERROR(INDEX(Mots!$B:$B,MATCH($A969,Mots!$A:$A,0)),"introuvable")</f>
        <v>le regret</v>
      </c>
      <c r="C969" s="24" t="s">
        <v>9166</v>
      </c>
      <c r="I969" s="24" t="s">
        <v>9167</v>
      </c>
    </row>
    <row r="970" spans="1:9" x14ac:dyDescent="0.35">
      <c r="A970" s="24" t="s">
        <v>6251</v>
      </c>
      <c r="B970" s="43" t="str">
        <f>IFERROR(INDEX(Mots!$B:$B,MATCH($A970,Mots!$A:$A,0)),"introuvable")</f>
        <v>le relief</v>
      </c>
      <c r="C970" s="24" t="s">
        <v>9168</v>
      </c>
    </row>
    <row r="971" spans="1:9" x14ac:dyDescent="0.35">
      <c r="A971" s="24" t="s">
        <v>6255</v>
      </c>
      <c r="B971" s="43" t="str">
        <f>IFERROR(INDEX(Mots!$B:$B,MATCH($A971,Mots!$A:$A,0)),"introuvable")</f>
        <v>le remède</v>
      </c>
      <c r="C971" s="24" t="s">
        <v>9169</v>
      </c>
    </row>
    <row r="972" spans="1:9" x14ac:dyDescent="0.35">
      <c r="A972" s="24" t="s">
        <v>6258</v>
      </c>
      <c r="B972" s="43" t="str">
        <f>IFERROR(INDEX(Mots!$B:$B,MATCH($A972,Mots!$A:$A,0)),"introuvable")</f>
        <v>le repas</v>
      </c>
      <c r="C972" s="24" t="s">
        <v>9170</v>
      </c>
      <c r="I972" s="24" t="s">
        <v>8537</v>
      </c>
    </row>
    <row r="973" spans="1:9" x14ac:dyDescent="0.35">
      <c r="A973" s="24" t="s">
        <v>6266</v>
      </c>
      <c r="B973" s="43" t="str">
        <f>IFERROR(INDEX(Mots!$B:$B,MATCH($A973,Mots!$A:$A,0)),"introuvable")</f>
        <v>le respect</v>
      </c>
      <c r="C973" s="24" t="s">
        <v>9171</v>
      </c>
      <c r="I973" s="24" t="s">
        <v>9172</v>
      </c>
    </row>
    <row r="974" spans="1:9" x14ac:dyDescent="0.35">
      <c r="A974" s="24" t="s">
        <v>6271</v>
      </c>
      <c r="B974" s="43" t="str">
        <f>IFERROR(INDEX(Mots!$B:$B,MATCH($A974,Mots!$A:$A,0)),"introuvable")</f>
        <v>le résultat</v>
      </c>
      <c r="C974" s="24" t="s">
        <v>9173</v>
      </c>
    </row>
    <row r="975" spans="1:9" x14ac:dyDescent="0.35">
      <c r="A975" s="24" t="s">
        <v>6279</v>
      </c>
      <c r="B975" s="43" t="str">
        <f>IFERROR(INDEX(Mots!$B:$B,MATCH($A975,Mots!$A:$A,0)),"introuvable")</f>
        <v>le rhume</v>
      </c>
      <c r="C975" s="24" t="s">
        <v>9174</v>
      </c>
      <c r="I975" s="24" t="s">
        <v>9175</v>
      </c>
    </row>
    <row r="976" spans="1:9" x14ac:dyDescent="0.35">
      <c r="A976" s="24" t="s">
        <v>6283</v>
      </c>
      <c r="B976" s="43" t="str">
        <f>IFERROR(INDEX(Mots!$B:$B,MATCH($A976,Mots!$A:$A,0)),"introuvable")</f>
        <v>le rideau</v>
      </c>
      <c r="C976" s="24" t="s">
        <v>9176</v>
      </c>
      <c r="I976" s="24" t="s">
        <v>9177</v>
      </c>
    </row>
    <row r="977" spans="1:9" x14ac:dyDescent="0.35">
      <c r="A977" s="24" t="s">
        <v>6287</v>
      </c>
      <c r="B977" s="43" t="str">
        <f>IFERROR(INDEX(Mots!$B:$B,MATCH($A977,Mots!$A:$A,0)),"introuvable")</f>
        <v>le risque</v>
      </c>
      <c r="C977" s="24" t="s">
        <v>9178</v>
      </c>
      <c r="I977" s="24" t="s">
        <v>9179</v>
      </c>
    </row>
    <row r="978" spans="1:9" x14ac:dyDescent="0.35">
      <c r="A978" s="24" t="s">
        <v>6291</v>
      </c>
      <c r="B978" s="43" t="str">
        <f>IFERROR(INDEX(Mots!$B:$B,MATCH($A978,Mots!$A:$A,0)),"introuvable")</f>
        <v>le ruban</v>
      </c>
      <c r="C978" s="24" t="s">
        <v>9180</v>
      </c>
    </row>
    <row r="979" spans="1:9" x14ac:dyDescent="0.35">
      <c r="A979" s="24" t="s">
        <v>6295</v>
      </c>
      <c r="B979" s="43" t="str">
        <f>IFERROR(INDEX(Mots!$B:$B,MATCH($A979,Mots!$A:$A,0)),"introuvable")</f>
        <v>le rythme</v>
      </c>
      <c r="C979" s="24" t="s">
        <v>8815</v>
      </c>
      <c r="I979" s="24" t="s">
        <v>9181</v>
      </c>
    </row>
    <row r="980" spans="1:9" x14ac:dyDescent="0.35">
      <c r="A980" s="24" t="s">
        <v>6302</v>
      </c>
      <c r="B980" s="43" t="str">
        <f>IFERROR(INDEX(Mots!$B:$B,MATCH($A980,Mots!$A:$A,0)),"introuvable")</f>
        <v>le sable</v>
      </c>
      <c r="C980" s="24" t="s">
        <v>9182</v>
      </c>
    </row>
    <row r="981" spans="1:9" x14ac:dyDescent="0.35">
      <c r="A981" s="24" t="s">
        <v>6312</v>
      </c>
      <c r="B981" s="43" t="str">
        <f>IFERROR(INDEX(Mots!$B:$B,MATCH($A981,Mots!$A:$A,0)),"introuvable")</f>
        <v>le sac</v>
      </c>
      <c r="C981" s="24" t="s">
        <v>9183</v>
      </c>
      <c r="I981" s="24" t="s">
        <v>8533</v>
      </c>
    </row>
    <row r="982" spans="1:9" x14ac:dyDescent="0.35">
      <c r="A982" s="24" t="s">
        <v>6320</v>
      </c>
      <c r="B982" s="43" t="str">
        <f>IFERROR(INDEX(Mots!$B:$B,MATCH($A982,Mots!$A:$A,0)),"introuvable")</f>
        <v>le sac à dos</v>
      </c>
      <c r="C982" s="24" t="s">
        <v>9184</v>
      </c>
    </row>
    <row r="983" spans="1:9" x14ac:dyDescent="0.35">
      <c r="A983" s="24" t="s">
        <v>6328</v>
      </c>
      <c r="B983" s="43" t="str">
        <f>IFERROR(INDEX(Mots!$B:$B,MATCH($A983,Mots!$A:$A,0)),"introuvable")</f>
        <v>le seau</v>
      </c>
      <c r="C983" s="24" t="s">
        <v>9185</v>
      </c>
      <c r="I983" s="24" t="s">
        <v>9186</v>
      </c>
    </row>
    <row r="984" spans="1:9" x14ac:dyDescent="0.35">
      <c r="A984" s="24" t="s">
        <v>6336</v>
      </c>
      <c r="B984" s="43" t="str">
        <f>IFERROR(INDEX(Mots!$B:$B,MATCH($A984,Mots!$A:$A,0)),"introuvable")</f>
        <v>le secours</v>
      </c>
      <c r="C984" s="24" t="s">
        <v>9187</v>
      </c>
      <c r="I984" s="24" t="s">
        <v>9188</v>
      </c>
    </row>
    <row r="985" spans="1:9" x14ac:dyDescent="0.35">
      <c r="A985" s="24" t="s">
        <v>6340</v>
      </c>
      <c r="B985" s="43" t="str">
        <f>IFERROR(INDEX(Mots!$B:$B,MATCH($A985,Mots!$A:$A,0)),"introuvable")</f>
        <v>le secret</v>
      </c>
      <c r="C985" s="24" t="s">
        <v>9189</v>
      </c>
      <c r="I985" s="24" t="s">
        <v>9190</v>
      </c>
    </row>
    <row r="986" spans="1:9" x14ac:dyDescent="0.35">
      <c r="A986" s="24" t="s">
        <v>6349</v>
      </c>
      <c r="B986" s="43" t="str">
        <f>IFERROR(INDEX(Mots!$B:$B,MATCH($A986,Mots!$A:$A,0)),"introuvable")</f>
        <v>le sentier</v>
      </c>
      <c r="C986" s="24" t="s">
        <v>9191</v>
      </c>
      <c r="I986" s="24" t="s">
        <v>9192</v>
      </c>
    </row>
    <row r="987" spans="1:9" x14ac:dyDescent="0.35">
      <c r="A987" s="24" t="s">
        <v>6357</v>
      </c>
      <c r="B987" s="43" t="str">
        <f>IFERROR(INDEX(Mots!$B:$B,MATCH($A987,Mots!$A:$A,0)),"introuvable")</f>
        <v>le service</v>
      </c>
      <c r="C987" s="24" t="s">
        <v>9193</v>
      </c>
      <c r="I987" s="24" t="s">
        <v>9194</v>
      </c>
    </row>
    <row r="988" spans="1:9" x14ac:dyDescent="0.35">
      <c r="A988" s="24" t="s">
        <v>6362</v>
      </c>
      <c r="B988" s="43" t="str">
        <f>IFERROR(INDEX(Mots!$B:$B,MATCH($A988,Mots!$A:$A,0)),"introuvable")</f>
        <v>le signe</v>
      </c>
      <c r="C988" s="24" t="s">
        <v>9195</v>
      </c>
      <c r="I988" s="24" t="s">
        <v>9196</v>
      </c>
    </row>
    <row r="989" spans="1:9" x14ac:dyDescent="0.35">
      <c r="A989" s="24" t="s">
        <v>6370</v>
      </c>
      <c r="B989" s="43" t="str">
        <f>IFERROR(INDEX(Mots!$B:$B,MATCH($A989,Mots!$A:$A,0)),"introuvable")</f>
        <v>le silence</v>
      </c>
      <c r="C989" s="24" t="s">
        <v>9197</v>
      </c>
      <c r="I989" s="24" t="s">
        <v>9198</v>
      </c>
    </row>
    <row r="990" spans="1:9" x14ac:dyDescent="0.35">
      <c r="A990" s="24" t="s">
        <v>6379</v>
      </c>
      <c r="B990" s="43" t="str">
        <f>IFERROR(INDEX(Mots!$B:$B,MATCH($A990,Mots!$A:$A,0)),"introuvable")</f>
        <v>le sol</v>
      </c>
      <c r="C990" s="24" t="s">
        <v>9199</v>
      </c>
      <c r="I990" s="24" t="s">
        <v>9200</v>
      </c>
    </row>
    <row r="991" spans="1:9" x14ac:dyDescent="0.35">
      <c r="A991" s="24" t="s">
        <v>6383</v>
      </c>
      <c r="B991" s="43" t="str">
        <f>IFERROR(INDEX(Mots!$B:$B,MATCH($A991,Mots!$A:$A,0)),"introuvable")</f>
        <v>le sommeil</v>
      </c>
      <c r="C991" s="24" t="s">
        <v>9201</v>
      </c>
      <c r="I991" s="24" t="s">
        <v>9202</v>
      </c>
    </row>
    <row r="992" spans="1:9" x14ac:dyDescent="0.35">
      <c r="A992" s="24" t="s">
        <v>6386</v>
      </c>
      <c r="B992" s="43" t="str">
        <f>IFERROR(INDEX(Mots!$B:$B,MATCH($A992,Mots!$A:$A,0)),"introuvable")</f>
        <v>le souhait</v>
      </c>
      <c r="C992" s="24" t="s">
        <v>9203</v>
      </c>
      <c r="I992" s="24" t="s">
        <v>9204</v>
      </c>
    </row>
    <row r="993" spans="1:9" x14ac:dyDescent="0.35">
      <c r="A993" s="24" t="s">
        <v>6395</v>
      </c>
      <c r="B993" s="43" t="str">
        <f>IFERROR(INDEX(Mots!$B:$B,MATCH($A993,Mots!$A:$A,0)),"introuvable")</f>
        <v>le sport</v>
      </c>
      <c r="C993" s="24" t="s">
        <v>9205</v>
      </c>
      <c r="I993" s="24" t="s">
        <v>9206</v>
      </c>
    </row>
    <row r="994" spans="1:9" x14ac:dyDescent="0.35">
      <c r="A994" s="24" t="s">
        <v>6404</v>
      </c>
      <c r="B994" s="43" t="str">
        <f>IFERROR(INDEX(Mots!$B:$B,MATCH($A994,Mots!$A:$A,0)),"introuvable")</f>
        <v>le stade</v>
      </c>
      <c r="C994" s="24" t="s">
        <v>9207</v>
      </c>
    </row>
    <row r="995" spans="1:9" x14ac:dyDescent="0.35">
      <c r="A995" s="24" t="s">
        <v>6410</v>
      </c>
      <c r="B995" s="43" t="str">
        <f>IFERROR(INDEX(Mots!$B:$B,MATCH($A995,Mots!$A:$A,0)),"introuvable")</f>
        <v>le stylo</v>
      </c>
      <c r="C995" s="24" t="s">
        <v>9208</v>
      </c>
    </row>
    <row r="996" spans="1:9" x14ac:dyDescent="0.35">
      <c r="A996" s="24" t="s">
        <v>6418</v>
      </c>
      <c r="B996" s="43" t="str">
        <f>IFERROR(INDEX(Mots!$B:$B,MATCH($A996,Mots!$A:$A,0)),"introuvable")</f>
        <v>le tableau</v>
      </c>
      <c r="C996" s="24" t="s">
        <v>9209</v>
      </c>
    </row>
    <row r="997" spans="1:9" x14ac:dyDescent="0.35">
      <c r="A997" s="24" t="s">
        <v>6422</v>
      </c>
      <c r="B997" s="43" t="str">
        <f>IFERROR(INDEX(Mots!$B:$B,MATCH($A997,Mots!$A:$A,0)),"introuvable")</f>
        <v>le tablier</v>
      </c>
      <c r="C997" s="24" t="s">
        <v>9210</v>
      </c>
      <c r="I997" s="24" t="s">
        <v>9211</v>
      </c>
    </row>
    <row r="998" spans="1:9" x14ac:dyDescent="0.35">
      <c r="A998" s="24" t="s">
        <v>6430</v>
      </c>
      <c r="B998" s="43" t="str">
        <f>IFERROR(INDEX(Mots!$B:$B,MATCH($A998,Mots!$A:$A,0)),"introuvable")</f>
        <v>le tas</v>
      </c>
      <c r="C998" s="24" t="s">
        <v>9212</v>
      </c>
      <c r="I998" s="24" t="s">
        <v>9213</v>
      </c>
    </row>
    <row r="999" spans="1:9" x14ac:dyDescent="0.35">
      <c r="A999" s="24" t="s">
        <v>6438</v>
      </c>
      <c r="B999" s="43" t="str">
        <f>IFERROR(INDEX(Mots!$B:$B,MATCH($A999,Mots!$A:$A,0)),"introuvable")</f>
        <v>le terrain</v>
      </c>
      <c r="C999" s="24" t="s">
        <v>9214</v>
      </c>
    </row>
    <row r="1000" spans="1:9" x14ac:dyDescent="0.35">
      <c r="A1000" s="24" t="s">
        <v>6446</v>
      </c>
      <c r="B1000" s="43" t="str">
        <f>IFERROR(INDEX(Mots!$B:$B,MATCH($A1000,Mots!$A:$A,0)),"introuvable")</f>
        <v>le territoire</v>
      </c>
      <c r="C1000" s="24" t="s">
        <v>9215</v>
      </c>
    </row>
    <row r="1001" spans="1:9" x14ac:dyDescent="0.35">
      <c r="A1001" s="24" t="s">
        <v>6450</v>
      </c>
      <c r="B1001" s="43" t="str">
        <f>IFERROR(INDEX(Mots!$B:$B,MATCH($A1001,Mots!$A:$A,0)),"introuvable")</f>
        <v>le texte</v>
      </c>
      <c r="C1001" s="24" t="s">
        <v>9216</v>
      </c>
    </row>
    <row r="1002" spans="1:9" x14ac:dyDescent="0.35">
      <c r="A1002" s="24" t="s">
        <v>6457</v>
      </c>
      <c r="B1002" s="43" t="str">
        <f>IFERROR(INDEX(Mots!$B:$B,MATCH($A1002,Mots!$A:$A,0)),"introuvable")</f>
        <v>le thermomètre</v>
      </c>
      <c r="C1002" s="24" t="s">
        <v>9217</v>
      </c>
    </row>
    <row r="1003" spans="1:9" x14ac:dyDescent="0.35">
      <c r="A1003" s="24" t="s">
        <v>6465</v>
      </c>
      <c r="B1003" s="43" t="str">
        <f>IFERROR(INDEX(Mots!$B:$B,MATCH($A1003,Mots!$A:$A,0)),"introuvable")</f>
        <v>le timbre</v>
      </c>
      <c r="C1003" s="24" t="s">
        <v>9218</v>
      </c>
      <c r="I1003" s="24" t="s">
        <v>9219</v>
      </c>
    </row>
    <row r="1004" spans="1:9" x14ac:dyDescent="0.35">
      <c r="A1004" s="24" t="s">
        <v>6473</v>
      </c>
      <c r="B1004" s="43" t="str">
        <f>IFERROR(INDEX(Mots!$B:$B,MATCH($A1004,Mots!$A:$A,0)),"introuvable")</f>
        <v>le tiroir</v>
      </c>
      <c r="C1004" s="24" t="s">
        <v>9220</v>
      </c>
    </row>
    <row r="1005" spans="1:9" x14ac:dyDescent="0.35">
      <c r="A1005" s="24" t="s">
        <v>6481</v>
      </c>
      <c r="B1005" s="43" t="str">
        <f>IFERROR(INDEX(Mots!$B:$B,MATCH($A1005,Mots!$A:$A,0)),"introuvable")</f>
        <v>le tissu</v>
      </c>
      <c r="C1005" s="24" t="s">
        <v>9221</v>
      </c>
    </row>
    <row r="1006" spans="1:9" x14ac:dyDescent="0.35">
      <c r="A1006" s="24" t="s">
        <v>6485</v>
      </c>
      <c r="B1006" s="43" t="str">
        <f>IFERROR(INDEX(Mots!$B:$B,MATCH($A1006,Mots!$A:$A,0)),"introuvable")</f>
        <v>le tonneau</v>
      </c>
      <c r="C1006" s="24" t="s">
        <v>10042</v>
      </c>
    </row>
    <row r="1007" spans="1:9" x14ac:dyDescent="0.35">
      <c r="A1007" s="24" t="s">
        <v>6489</v>
      </c>
      <c r="B1007" s="43" t="str">
        <f>IFERROR(INDEX(Mots!$B:$B,MATCH($A1007,Mots!$A:$A,0)),"introuvable")</f>
        <v>le tonnerre</v>
      </c>
      <c r="C1007" s="24" t="s">
        <v>9222</v>
      </c>
      <c r="I1007" s="24" t="s">
        <v>9223</v>
      </c>
    </row>
    <row r="1008" spans="1:9" x14ac:dyDescent="0.35">
      <c r="A1008" s="24" t="s">
        <v>6493</v>
      </c>
      <c r="B1008" s="43" t="str">
        <f>IFERROR(INDEX(Mots!$B:$B,MATCH($A1008,Mots!$A:$A,0)),"introuvable")</f>
        <v>le total</v>
      </c>
      <c r="C1008" s="24" t="s">
        <v>9224</v>
      </c>
      <c r="I1008" s="24" t="s">
        <v>9225</v>
      </c>
    </row>
    <row r="1009" spans="1:9" x14ac:dyDescent="0.35">
      <c r="A1009" s="24" t="s">
        <v>6497</v>
      </c>
      <c r="B1009" s="43" t="str">
        <f>IFERROR(INDEX(Mots!$B:$B,MATCH($A1009,Mots!$A:$A,0)),"introuvable")</f>
        <v>le tournevis</v>
      </c>
      <c r="C1009" s="24" t="s">
        <v>8988</v>
      </c>
    </row>
    <row r="1010" spans="1:9" x14ac:dyDescent="0.35">
      <c r="A1010" s="24" t="s">
        <v>6504</v>
      </c>
      <c r="B1010" s="43" t="str">
        <f>IFERROR(INDEX(Mots!$B:$B,MATCH($A1010,Mots!$A:$A,0)),"introuvable")</f>
        <v>le trait</v>
      </c>
      <c r="C1010" s="24" t="s">
        <v>9226</v>
      </c>
      <c r="I1010" s="24" t="s">
        <v>9227</v>
      </c>
    </row>
    <row r="1011" spans="1:9" x14ac:dyDescent="0.35">
      <c r="A1011" s="24" t="s">
        <v>73</v>
      </c>
      <c r="B1011" s="43" t="str">
        <f>IFERROR(INDEX(Mots!$B:$B,MATCH($A1011,Mots!$A:$A,0)),"introuvable")</f>
        <v>le travail</v>
      </c>
      <c r="C1011" s="24" t="s">
        <v>9228</v>
      </c>
      <c r="I1011" s="24" t="s">
        <v>8408</v>
      </c>
    </row>
    <row r="1012" spans="1:9" x14ac:dyDescent="0.35">
      <c r="A1012" s="24" t="s">
        <v>9518</v>
      </c>
      <c r="B1012" s="43" t="str">
        <f>IFERROR(INDEX(Mots!$B:$B,MATCH($A1012,Mots!$A:$A,0)),"introuvable")</f>
        <v>le tronc</v>
      </c>
      <c r="C1012" s="24" t="s">
        <v>9229</v>
      </c>
    </row>
    <row r="1013" spans="1:9" x14ac:dyDescent="0.35">
      <c r="A1013" s="24" t="s">
        <v>6513</v>
      </c>
      <c r="B1013" s="43" t="str">
        <f>IFERROR(INDEX(Mots!$B:$B,MATCH($A1013,Mots!$A:$A,0)),"introuvable")</f>
        <v>le trottoir</v>
      </c>
      <c r="C1013" s="24" t="s">
        <v>9230</v>
      </c>
      <c r="I1013" s="24" t="s">
        <v>9231</v>
      </c>
    </row>
    <row r="1014" spans="1:9" x14ac:dyDescent="0.35">
      <c r="A1014" s="24" t="s">
        <v>6517</v>
      </c>
      <c r="B1014" s="43" t="str">
        <f>IFERROR(INDEX(Mots!$B:$B,MATCH($A1014,Mots!$A:$A,0)),"introuvable")</f>
        <v>le trou</v>
      </c>
      <c r="C1014" s="24" t="s">
        <v>9232</v>
      </c>
      <c r="I1014" s="24" t="s">
        <v>9233</v>
      </c>
    </row>
    <row r="1015" spans="1:9" x14ac:dyDescent="0.35">
      <c r="A1015" s="24" t="s">
        <v>6525</v>
      </c>
      <c r="B1015" s="43" t="str">
        <f>IFERROR(INDEX(Mots!$B:$B,MATCH($A1015,Mots!$A:$A,0)),"introuvable")</f>
        <v>le trousseau</v>
      </c>
      <c r="C1015" s="24" t="s">
        <v>9234</v>
      </c>
      <c r="I1015" s="24" t="s">
        <v>9235</v>
      </c>
    </row>
    <row r="1016" spans="1:9" x14ac:dyDescent="0.35">
      <c r="A1016" s="24" t="s">
        <v>6541</v>
      </c>
      <c r="B1016" s="43" t="str">
        <f>IFERROR(INDEX(Mots!$B:$B,MATCH($A1016,Mots!$A:$A,0)),"introuvable")</f>
        <v>le tuyau</v>
      </c>
      <c r="C1016" s="24" t="s">
        <v>10043</v>
      </c>
    </row>
    <row r="1017" spans="1:9" x14ac:dyDescent="0.35">
      <c r="A1017" s="24" t="s">
        <v>6549</v>
      </c>
      <c r="B1017" s="43" t="str">
        <f>IFERROR(INDEX(Mots!$B:$B,MATCH($A1017,Mots!$A:$A,0)),"introuvable")</f>
        <v>le type</v>
      </c>
      <c r="C1017" s="24" t="s">
        <v>9236</v>
      </c>
      <c r="I1017" s="24" t="s">
        <v>9237</v>
      </c>
    </row>
    <row r="1018" spans="1:9" x14ac:dyDescent="0.35">
      <c r="A1018" s="24" t="s">
        <v>6554</v>
      </c>
      <c r="B1018" s="43" t="str">
        <f>IFERROR(INDEX(Mots!$B:$B,MATCH($A1018,Mots!$A:$A,0)),"introuvable")</f>
        <v>le vaccin</v>
      </c>
      <c r="C1018" s="24" t="s">
        <v>9238</v>
      </c>
      <c r="I1018" s="24" t="s">
        <v>9239</v>
      </c>
    </row>
    <row r="1019" spans="1:9" x14ac:dyDescent="0.35">
      <c r="A1019" s="24" t="s">
        <v>6561</v>
      </c>
      <c r="B1019" s="43" t="str">
        <f>IFERROR(INDEX(Mots!$B:$B,MATCH($A1019,Mots!$A:$A,0)),"introuvable")</f>
        <v>le velours</v>
      </c>
      <c r="C1019" s="24" t="s">
        <v>9240</v>
      </c>
    </row>
    <row r="1020" spans="1:9" x14ac:dyDescent="0.35">
      <c r="A1020" s="24" t="s">
        <v>6566</v>
      </c>
      <c r="B1020" s="43" t="str">
        <f>IFERROR(INDEX(Mots!$B:$B,MATCH($A1020,Mots!$A:$A,0)),"introuvable")</f>
        <v>le vent</v>
      </c>
      <c r="C1020" s="24" t="s">
        <v>9241</v>
      </c>
      <c r="I1020" s="24" t="s">
        <v>9242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workbookViewId="0">
      <pane ySplit="1" topLeftCell="A2" activePane="bottomLeft" state="frozen"/>
      <selection pane="bottomLeft" activeCell="B10" sqref="B10"/>
    </sheetView>
  </sheetViews>
  <sheetFormatPr baseColWidth="10" defaultColWidth="8.796875" defaultRowHeight="15.6" x14ac:dyDescent="0.3"/>
  <cols>
    <col min="1" max="1" width="20" style="16" customWidth="1"/>
    <col min="2" max="2" width="34" style="16" customWidth="1"/>
    <col min="3" max="3" width="10" style="16" customWidth="1"/>
    <col min="4" max="4" width="8" style="16" customWidth="1"/>
  </cols>
  <sheetData>
    <row r="1" spans="1:4" x14ac:dyDescent="0.3">
      <c r="A1" s="9" t="s">
        <v>9243</v>
      </c>
      <c r="B1" s="9" t="s">
        <v>7703</v>
      </c>
      <c r="C1" s="9" t="s">
        <v>9244</v>
      </c>
      <c r="D1" s="9" t="s">
        <v>1</v>
      </c>
    </row>
    <row r="2" spans="1:4" x14ac:dyDescent="0.3">
      <c r="A2" s="8" t="s">
        <v>9245</v>
      </c>
      <c r="B2" s="8" t="s">
        <v>9246</v>
      </c>
      <c r="C2" s="8" t="s">
        <v>9247</v>
      </c>
      <c r="D2" s="8">
        <v>1</v>
      </c>
    </row>
    <row r="3" spans="1:4" x14ac:dyDescent="0.3">
      <c r="A3" s="8" t="s">
        <v>9248</v>
      </c>
      <c r="B3" s="8" t="s">
        <v>9249</v>
      </c>
      <c r="C3" s="8" t="s">
        <v>25</v>
      </c>
      <c r="D3" s="8">
        <v>2</v>
      </c>
    </row>
    <row r="4" spans="1:4" x14ac:dyDescent="0.3">
      <c r="A4" s="8" t="s">
        <v>9250</v>
      </c>
      <c r="B4" s="8" t="s">
        <v>9251</v>
      </c>
      <c r="C4" s="8" t="s">
        <v>9252</v>
      </c>
      <c r="D4" s="8">
        <v>3</v>
      </c>
    </row>
    <row r="5" spans="1:4" x14ac:dyDescent="0.3">
      <c r="A5" s="8" t="s">
        <v>9253</v>
      </c>
      <c r="B5" s="8" t="s">
        <v>9254</v>
      </c>
      <c r="C5" s="8" t="s">
        <v>42</v>
      </c>
      <c r="D5" s="8">
        <v>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5"/>
  <sheetViews>
    <sheetView workbookViewId="0">
      <pane xSplit="2" ySplit="1" topLeftCell="C2" activePane="bottomRight" state="frozen"/>
      <selection pane="topRight"/>
      <selection pane="bottomLeft"/>
      <selection pane="bottomRight" activeCell="A2" sqref="A2"/>
    </sheetView>
  </sheetViews>
  <sheetFormatPr baseColWidth="10" defaultColWidth="8.796875" defaultRowHeight="15.6" x14ac:dyDescent="0.3"/>
  <cols>
    <col min="1" max="1" width="24" style="16" customWidth="1"/>
    <col min="2" max="2" width="30" style="16" customWidth="1"/>
    <col min="3" max="5" width="22" style="16" customWidth="1"/>
  </cols>
  <sheetData>
    <row r="1" spans="1:5" x14ac:dyDescent="0.3">
      <c r="A1" s="11" t="s">
        <v>7697</v>
      </c>
      <c r="B1" s="11" t="s">
        <v>7698</v>
      </c>
      <c r="C1" s="11" t="s">
        <v>9255</v>
      </c>
      <c r="D1" s="11" t="s">
        <v>9256</v>
      </c>
      <c r="E1" s="11" t="s">
        <v>9257</v>
      </c>
    </row>
    <row r="2" spans="1:5" x14ac:dyDescent="0.3">
      <c r="A2" s="15" t="s">
        <v>603</v>
      </c>
      <c r="B2" s="12" t="str">
        <f>IFERROR(INDEX(Mots!$B:$B,MATCH($A2,Mots!$A:$A,0)),"introuvable")</f>
        <v>Yvan Maistre</v>
      </c>
      <c r="C2" s="15" t="s">
        <v>9245</v>
      </c>
    </row>
    <row r="3" spans="1:5" x14ac:dyDescent="0.3">
      <c r="A3" s="15" t="s">
        <v>3036</v>
      </c>
      <c r="B3" s="12" t="str">
        <f>IFERROR(INDEX(Mots!$B:$B,MATCH($A3,Mots!$A:$A,0)),"introuvable")</f>
        <v>Mathilde</v>
      </c>
      <c r="C3" s="15" t="s">
        <v>9245</v>
      </c>
    </row>
    <row r="4" spans="1:5" x14ac:dyDescent="0.3">
      <c r="A4" s="15" t="s">
        <v>3039</v>
      </c>
      <c r="B4" s="12" t="str">
        <f>IFERROR(INDEX(Mots!$B:$B,MATCH($A4,Mots!$A:$A,0)),"introuvable")</f>
        <v>Julien</v>
      </c>
      <c r="C4" s="15" t="s">
        <v>9245</v>
      </c>
    </row>
    <row r="5" spans="1:5" x14ac:dyDescent="0.3">
      <c r="A5" s="15" t="s">
        <v>3043</v>
      </c>
      <c r="B5" s="12" t="str">
        <f>IFERROR(INDEX(Mots!$B:$B,MATCH($A5,Mots!$A:$A,0)),"introuvable")</f>
        <v>Emma</v>
      </c>
      <c r="C5" s="15" t="s">
        <v>9245</v>
      </c>
    </row>
    <row r="6" spans="1:5" x14ac:dyDescent="0.3">
      <c r="A6" s="15" t="s">
        <v>3047</v>
      </c>
      <c r="B6" s="12" t="str">
        <f>IFERROR(INDEX(Mots!$B:$B,MATCH($A6,Mots!$A:$A,0)),"introuvable")</f>
        <v>Loïc</v>
      </c>
      <c r="C6" s="15" t="s">
        <v>9245</v>
      </c>
    </row>
    <row r="7" spans="1:5" x14ac:dyDescent="0.3">
      <c r="A7" s="15" t="s">
        <v>3051</v>
      </c>
      <c r="B7" s="12" t="str">
        <f>IFERROR(INDEX(Mots!$B:$B,MATCH($A7,Mots!$A:$A,0)),"introuvable")</f>
        <v>Emile, le copain de Mathilde</v>
      </c>
      <c r="C7" s="15" t="s">
        <v>9245</v>
      </c>
    </row>
    <row r="8" spans="1:5" x14ac:dyDescent="0.3">
      <c r="A8" s="15" t="s">
        <v>3055</v>
      </c>
      <c r="B8" s="12" t="str">
        <f>IFERROR(INDEX(Mots!$B:$B,MATCH($A8,Mots!$A:$A,0)),"introuvable")</f>
        <v>Eva, la copine de Julien</v>
      </c>
      <c r="C8" s="15" t="s">
        <v>9245</v>
      </c>
    </row>
    <row r="9" spans="1:5" x14ac:dyDescent="0.3">
      <c r="A9" s="15" t="s">
        <v>3059</v>
      </c>
      <c r="B9" s="12" t="str">
        <f>IFERROR(INDEX(Mots!$B:$B,MATCH($A9,Mots!$A:$A,0)),"introuvable")</f>
        <v>Paul, le copain d'Emma</v>
      </c>
      <c r="C9" s="15" t="s">
        <v>9245</v>
      </c>
    </row>
    <row r="10" spans="1:5" x14ac:dyDescent="0.3">
      <c r="A10" s="15" t="s">
        <v>3063</v>
      </c>
      <c r="B10" s="12" t="str">
        <f>IFERROR(INDEX(Mots!$B:$B,MATCH($A10,Mots!$A:$A,0)),"introuvable")</f>
        <v>Claudia</v>
      </c>
      <c r="C10" s="15" t="s">
        <v>9245</v>
      </c>
    </row>
    <row r="11" spans="1:5" x14ac:dyDescent="0.3">
      <c r="A11" s="15" t="s">
        <v>3066</v>
      </c>
      <c r="B11" s="12" t="str">
        <f>IFERROR(INDEX(Mots!$B:$B,MATCH($A11,Mots!$A:$A,0)),"introuvable")</f>
        <v>Patrick</v>
      </c>
      <c r="C11" s="15" t="s">
        <v>9245</v>
      </c>
    </row>
    <row r="12" spans="1:5" x14ac:dyDescent="0.3">
      <c r="A12" s="15" t="s">
        <v>3070</v>
      </c>
      <c r="B12" s="12" t="str">
        <f>IFERROR(INDEX(Mots!$B:$B,MATCH($A12,Mots!$A:$A,0)),"introuvable")</f>
        <v>Olivier</v>
      </c>
      <c r="C12" s="15" t="s">
        <v>9245</v>
      </c>
    </row>
    <row r="13" spans="1:5" x14ac:dyDescent="0.3">
      <c r="A13" s="15" t="s">
        <v>3073</v>
      </c>
      <c r="B13" s="12" t="str">
        <f>IFERROR(INDEX(Mots!$B:$B,MATCH($A13,Mots!$A:$A,0)),"introuvable")</f>
        <v>Barbara</v>
      </c>
      <c r="C13" s="15" t="s">
        <v>9245</v>
      </c>
    </row>
    <row r="14" spans="1:5" x14ac:dyDescent="0.3">
      <c r="A14" s="15" t="s">
        <v>3076</v>
      </c>
      <c r="B14" s="12" t="str">
        <f>IFERROR(INDEX(Mots!$B:$B,MATCH($A14,Mots!$A:$A,0)),"introuvable")</f>
        <v>Sandrine</v>
      </c>
      <c r="C14" s="15" t="s">
        <v>9245</v>
      </c>
    </row>
    <row r="15" spans="1:5" x14ac:dyDescent="0.3">
      <c r="A15" s="15" t="s">
        <v>3082</v>
      </c>
      <c r="B15" s="12" t="str">
        <f>IFERROR(INDEX(Mots!$B:$B,MATCH($A15,Mots!$A:$A,0)),"introuvable")</f>
        <v>Professeur Joseph-André Ghika, neurologue</v>
      </c>
      <c r="C15" s="15" t="s">
        <v>9245</v>
      </c>
    </row>
    <row r="16" spans="1:5" x14ac:dyDescent="0.3">
      <c r="A16" s="15" t="s">
        <v>3086</v>
      </c>
      <c r="B16" s="12" t="str">
        <f>IFERROR(INDEX(Mots!$B:$B,MATCH($A16,Mots!$A:$A,0)),"introuvable")</f>
        <v>Louane</v>
      </c>
      <c r="C16" s="15" t="s">
        <v>9245</v>
      </c>
    </row>
    <row r="17" spans="1:3" x14ac:dyDescent="0.3">
      <c r="A17" s="15" t="s">
        <v>3090</v>
      </c>
      <c r="B17" s="12" t="str">
        <f>IFERROR(INDEX(Mots!$B:$B,MATCH($A17,Mots!$A:$A,0)),"introuvable")</f>
        <v>Melwyn</v>
      </c>
      <c r="C17" s="15" t="s">
        <v>9245</v>
      </c>
    </row>
    <row r="18" spans="1:3" x14ac:dyDescent="0.3">
      <c r="A18" s="15" t="s">
        <v>3094</v>
      </c>
      <c r="B18" s="12" t="str">
        <f>IFERROR(INDEX(Mots!$B:$B,MATCH($A18,Mots!$A:$A,0)),"introuvable")</f>
        <v>Jason</v>
      </c>
      <c r="C18" s="15" t="s">
        <v>9245</v>
      </c>
    </row>
    <row r="19" spans="1:3" x14ac:dyDescent="0.3">
      <c r="A19" s="15" t="s">
        <v>3098</v>
      </c>
      <c r="B19" s="12" t="str">
        <f>IFERROR(INDEX(Mots!$B:$B,MATCH($A19,Mots!$A:$A,0)),"introuvable")</f>
        <v>Yanis</v>
      </c>
      <c r="C19" s="15" t="s">
        <v>9245</v>
      </c>
    </row>
    <row r="20" spans="1:3" x14ac:dyDescent="0.3">
      <c r="A20" s="15" t="s">
        <v>3102</v>
      </c>
      <c r="B20" s="12" t="str">
        <f>IFERROR(INDEX(Mots!$B:$B,MATCH($A20,Mots!$A:$A,0)),"introuvable")</f>
        <v>Alison</v>
      </c>
      <c r="C20" s="15" t="s">
        <v>9245</v>
      </c>
    </row>
    <row r="21" spans="1:3" x14ac:dyDescent="0.3">
      <c r="A21" s="15" t="s">
        <v>3106</v>
      </c>
      <c r="B21" s="12" t="str">
        <f>IFERROR(INDEX(Mots!$B:$B,MATCH($A21,Mots!$A:$A,0)),"introuvable")</f>
        <v>Germaine</v>
      </c>
      <c r="C21" s="15" t="s">
        <v>9245</v>
      </c>
    </row>
    <row r="22" spans="1:3" x14ac:dyDescent="0.3">
      <c r="A22" s="15" t="s">
        <v>3110</v>
      </c>
      <c r="B22" s="12" t="str">
        <f>IFERROR(INDEX(Mots!$B:$B,MATCH($A22,Mots!$A:$A,0)),"introuvable")</f>
        <v>Noël</v>
      </c>
      <c r="C22" s="15" t="s">
        <v>9245</v>
      </c>
    </row>
    <row r="23" spans="1:3" x14ac:dyDescent="0.3">
      <c r="A23" s="15" t="s">
        <v>3615</v>
      </c>
      <c r="B23" s="12" t="str">
        <f>IFERROR(INDEX(Mots!$B:$B,MATCH($A23,Mots!$A:$A,0)),"introuvable")</f>
        <v>Christophe Germanier</v>
      </c>
      <c r="C23" s="15" t="s">
        <v>9245</v>
      </c>
    </row>
    <row r="24" spans="1:3" x14ac:dyDescent="0.3">
      <c r="A24" s="15" t="s">
        <v>3626</v>
      </c>
      <c r="B24" s="12" t="str">
        <f>IFERROR(INDEX(Mots!$B:$B,MATCH($A24,Mots!$A:$A,0)),"introuvable")</f>
        <v>Claudine Fumeaux</v>
      </c>
      <c r="C24" s="15" t="s">
        <v>9245</v>
      </c>
    </row>
    <row r="25" spans="1:3" x14ac:dyDescent="0.3">
      <c r="A25" s="15" t="s">
        <v>3754</v>
      </c>
      <c r="B25" s="12" t="str">
        <f>IFERROR(INDEX(Mots!$B:$B,MATCH($A25,Mots!$A:$A,0)),"introuvable")</f>
        <v>Damien Lagger</v>
      </c>
      <c r="C25" s="15" t="s">
        <v>9245</v>
      </c>
    </row>
    <row r="26" spans="1:3" x14ac:dyDescent="0.3">
      <c r="A26" s="15" t="s">
        <v>7042</v>
      </c>
      <c r="B26" s="12" t="str">
        <f>IFERROR(INDEX(Mots!$B:$B,MATCH($A26,Mots!$A:$A,0)),"introuvable")</f>
        <v>Philippe Germanier</v>
      </c>
      <c r="C26" s="15" t="s">
        <v>9245</v>
      </c>
    </row>
    <row r="27" spans="1:3" x14ac:dyDescent="0.3">
      <c r="A27" s="15" t="s">
        <v>7185</v>
      </c>
      <c r="B27" s="12" t="str">
        <f>IFERROR(INDEX(Mots!$B:$B,MATCH($A27,Mots!$A:$A,0)),"introuvable")</f>
        <v>Régis Evéquoz</v>
      </c>
      <c r="C27" s="15" t="s">
        <v>9245</v>
      </c>
    </row>
    <row r="28" spans="1:3" x14ac:dyDescent="0.3">
      <c r="A28" s="15" t="s">
        <v>7330</v>
      </c>
      <c r="B28" s="12" t="str">
        <f>IFERROR(INDEX(Mots!$B:$B,MATCH($A28,Mots!$A:$A,0)),"introuvable")</f>
        <v>Stéphanie Germanier</v>
      </c>
      <c r="C28" s="15" t="s">
        <v>9245</v>
      </c>
    </row>
    <row r="29" spans="1:3" x14ac:dyDescent="0.3">
      <c r="A29" s="15" t="s">
        <v>7542</v>
      </c>
      <c r="B29" s="12" t="str">
        <f>IFERROR(INDEX(Mots!$B:$B,MATCH($A29,Mots!$A:$A,0)),"introuvable")</f>
        <v>grand-maman Emma</v>
      </c>
      <c r="C29" s="15" t="s">
        <v>9245</v>
      </c>
    </row>
    <row r="30" spans="1:3" x14ac:dyDescent="0.3">
      <c r="A30" s="15" t="s">
        <v>7547</v>
      </c>
      <c r="B30" s="12" t="str">
        <f>IFERROR(INDEX(Mots!$B:$B,MATCH($A30,Mots!$A:$A,0)),"introuvable")</f>
        <v>grand-papa Maurice</v>
      </c>
      <c r="C30" s="15" t="s">
        <v>9245</v>
      </c>
    </row>
    <row r="31" spans="1:3" x14ac:dyDescent="0.3">
      <c r="A31" s="15" t="s">
        <v>7551</v>
      </c>
      <c r="B31" s="12" t="str">
        <f>IFERROR(INDEX(Mots!$B:$B,MATCH($A31,Mots!$A:$A,0)),"introuvable")</f>
        <v>l'oncle Bernard</v>
      </c>
      <c r="C31" s="15" t="s">
        <v>9245</v>
      </c>
    </row>
    <row r="32" spans="1:3" x14ac:dyDescent="0.3">
      <c r="A32" s="15" t="s">
        <v>7555</v>
      </c>
      <c r="B32" s="12" t="str">
        <f>IFERROR(INDEX(Mots!$B:$B,MATCH($A32,Mots!$A:$A,0)),"introuvable")</f>
        <v>l'oncle Marcel</v>
      </c>
      <c r="C32" s="15" t="s">
        <v>9245</v>
      </c>
    </row>
    <row r="33" spans="1:3" x14ac:dyDescent="0.3">
      <c r="A33" s="15" t="s">
        <v>7559</v>
      </c>
      <c r="B33" s="12" t="str">
        <f>IFERROR(INDEX(Mots!$B:$B,MATCH($A33,Mots!$A:$A,0)),"introuvable")</f>
        <v>tante Lucienne</v>
      </c>
      <c r="C33" s="15" t="s">
        <v>9245</v>
      </c>
    </row>
    <row r="34" spans="1:3" x14ac:dyDescent="0.3">
      <c r="A34" s="15" t="s">
        <v>7563</v>
      </c>
      <c r="B34" s="12" t="str">
        <f>IFERROR(INDEX(Mots!$B:$B,MATCH($A34,Mots!$A:$A,0)),"introuvable")</f>
        <v>tante Edith</v>
      </c>
      <c r="C34" s="15" t="s">
        <v>9245</v>
      </c>
    </row>
    <row r="35" spans="1:3" x14ac:dyDescent="0.3">
      <c r="A35" s="17" t="s">
        <v>7638</v>
      </c>
      <c r="B35" s="18" t="str">
        <f>IFERROR(INDEX(Mots!$B:$B,MATCH($A35,Mots!$A:$A,0)),"introuvable")</f>
        <v>Yvan Lagger</v>
      </c>
      <c r="C35" s="17" t="s">
        <v>9245</v>
      </c>
    </row>
  </sheetData>
  <dataValidations count="1">
    <dataValidation type="list" allowBlank="1" showInputMessage="1" showErrorMessage="1" errorTitle="Valeur inconnue" error="Cette valeur n'existe pas dans la feuille de référence." promptTitle="Liste" prompt="Identifiant de liste." sqref="C2:C900 D2:D900 E2:E900" xr:uid="{00000000-0002-0000-0C00-000000000000}">
      <formula1>liste_listes</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
  <sheetViews>
    <sheetView workbookViewId="0">
      <pane ySplit="1" topLeftCell="A2" activePane="bottomLeft" state="frozen"/>
      <selection pane="bottomLeft" activeCell="A4" sqref="A4"/>
    </sheetView>
  </sheetViews>
  <sheetFormatPr baseColWidth="10" defaultColWidth="8.796875" defaultRowHeight="15.6" x14ac:dyDescent="0.3"/>
  <cols>
    <col min="1" max="1" width="16" style="16" customWidth="1"/>
    <col min="2" max="2" width="34" style="16" customWidth="1"/>
    <col min="3" max="3" width="8" style="16" customWidth="1"/>
  </cols>
  <sheetData>
    <row r="1" spans="1:3" x14ac:dyDescent="0.3">
      <c r="A1" s="9" t="s">
        <v>69</v>
      </c>
      <c r="B1" s="9" t="s">
        <v>7703</v>
      </c>
      <c r="C1" s="9" t="s">
        <v>1</v>
      </c>
    </row>
    <row r="2" spans="1:3" x14ac:dyDescent="0.3">
      <c r="A2" s="8" t="s">
        <v>415</v>
      </c>
      <c r="B2" s="8" t="s">
        <v>9258</v>
      </c>
      <c r="C2" s="8">
        <v>1</v>
      </c>
    </row>
    <row r="3" spans="1:3" x14ac:dyDescent="0.3">
      <c r="A3" s="8" t="s">
        <v>458</v>
      </c>
      <c r="B3" s="8" t="s">
        <v>9259</v>
      </c>
      <c r="C3" s="8">
        <v>2</v>
      </c>
    </row>
    <row r="4" spans="1:3" x14ac:dyDescent="0.3">
      <c r="A4" s="8" t="s">
        <v>1169</v>
      </c>
      <c r="B4" s="8" t="s">
        <v>7752</v>
      </c>
      <c r="C4" s="8">
        <v>3</v>
      </c>
    </row>
    <row r="5" spans="1:3" x14ac:dyDescent="0.3">
      <c r="A5" s="8" t="s">
        <v>1434</v>
      </c>
      <c r="B5" s="8" t="s">
        <v>9260</v>
      </c>
      <c r="C5" s="8">
        <v>4</v>
      </c>
    </row>
    <row r="6" spans="1:3" x14ac:dyDescent="0.3">
      <c r="A6" s="8" t="s">
        <v>3418</v>
      </c>
      <c r="B6" s="8" t="s">
        <v>9261</v>
      </c>
      <c r="C6" s="8">
        <v>5</v>
      </c>
    </row>
    <row r="7" spans="1:3" x14ac:dyDescent="0.3">
      <c r="A7" s="8" t="s">
        <v>2308</v>
      </c>
      <c r="B7" s="8" t="s">
        <v>9262</v>
      </c>
      <c r="C7" s="8">
        <v>6</v>
      </c>
    </row>
    <row r="8" spans="1:3" x14ac:dyDescent="0.3">
      <c r="A8" s="8" t="s">
        <v>1696</v>
      </c>
      <c r="B8" s="8" t="s">
        <v>9263</v>
      </c>
      <c r="C8" s="8">
        <v>7</v>
      </c>
    </row>
    <row r="9" spans="1:3" x14ac:dyDescent="0.3">
      <c r="A9" s="8" t="s">
        <v>871</v>
      </c>
      <c r="B9" s="8" t="s">
        <v>9264</v>
      </c>
      <c r="C9" s="8">
        <v>8</v>
      </c>
    </row>
    <row r="10" spans="1:3" x14ac:dyDescent="0.3">
      <c r="A10" s="8" t="s">
        <v>24</v>
      </c>
      <c r="B10" s="8" t="s">
        <v>9738</v>
      </c>
    </row>
    <row r="11" spans="1:3" x14ac:dyDescent="0.3">
      <c r="A11" s="8" t="s">
        <v>18</v>
      </c>
      <c r="B11" s="8" t="s">
        <v>9739</v>
      </c>
    </row>
    <row r="12" spans="1:3" x14ac:dyDescent="0.3">
      <c r="A12" s="8" t="s">
        <v>1939</v>
      </c>
      <c r="B12" s="8" t="s">
        <v>9740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79"/>
  <sheetViews>
    <sheetView workbookViewId="0">
      <pane ySplit="1" topLeftCell="A2" activePane="bottomLeft" state="frozen"/>
      <selection pane="bottomLeft" activeCell="A2" sqref="A2"/>
    </sheetView>
  </sheetViews>
  <sheetFormatPr baseColWidth="10" defaultColWidth="8.796875" defaultRowHeight="15.6" x14ac:dyDescent="0.3"/>
  <cols>
    <col min="1" max="1" width="14" style="16" customWidth="1"/>
    <col min="2" max="2" width="18" style="16" customWidth="1"/>
    <col min="3" max="3" width="28" style="16" customWidth="1"/>
    <col min="4" max="4" width="7" style="16" customWidth="1"/>
    <col min="5" max="5" width="30" style="16" customWidth="1"/>
    <col min="6" max="6" width="16" style="16" customWidth="1"/>
    <col min="7" max="7" width="140" style="16" customWidth="1"/>
  </cols>
  <sheetData>
    <row r="1" spans="1:7" x14ac:dyDescent="0.3">
      <c r="A1" s="13" t="s">
        <v>29</v>
      </c>
      <c r="B1" s="13" t="s">
        <v>7702</v>
      </c>
      <c r="C1" s="13" t="s">
        <v>7703</v>
      </c>
      <c r="D1" s="13" t="s">
        <v>7</v>
      </c>
      <c r="E1" s="13" t="s">
        <v>9265</v>
      </c>
      <c r="F1" s="13" t="s">
        <v>9266</v>
      </c>
      <c r="G1" s="13" t="s">
        <v>9267</v>
      </c>
    </row>
    <row r="2" spans="1:7" x14ac:dyDescent="0.3">
      <c r="A2" s="15" t="s">
        <v>3418</v>
      </c>
      <c r="B2" s="15" t="s">
        <v>7718</v>
      </c>
      <c r="C2" s="15" t="s">
        <v>7719</v>
      </c>
      <c r="D2" s="15">
        <v>118</v>
      </c>
      <c r="E2" s="15" t="s">
        <v>9268</v>
      </c>
      <c r="F2" s="15"/>
      <c r="G2" s="15" t="s">
        <v>9269</v>
      </c>
    </row>
    <row r="3" spans="1:7" x14ac:dyDescent="0.3">
      <c r="A3" s="15" t="s">
        <v>3418</v>
      </c>
      <c r="B3" s="15" t="s">
        <v>7382</v>
      </c>
      <c r="C3" s="15" t="s">
        <v>7729</v>
      </c>
      <c r="D3" s="15">
        <v>66</v>
      </c>
      <c r="E3" s="15" t="s">
        <v>9270</v>
      </c>
      <c r="F3" s="15"/>
      <c r="G3" s="15" t="s">
        <v>9271</v>
      </c>
    </row>
    <row r="4" spans="1:7" x14ac:dyDescent="0.3">
      <c r="A4" s="15" t="s">
        <v>3418</v>
      </c>
      <c r="B4" s="15" t="s">
        <v>7730</v>
      </c>
      <c r="C4" s="15" t="s">
        <v>7731</v>
      </c>
      <c r="D4" s="15">
        <v>64</v>
      </c>
      <c r="E4" s="15" t="s">
        <v>9272</v>
      </c>
      <c r="F4" s="15"/>
      <c r="G4" s="15" t="s">
        <v>9273</v>
      </c>
    </row>
    <row r="5" spans="1:7" x14ac:dyDescent="0.3">
      <c r="A5" s="15" t="s">
        <v>3418</v>
      </c>
      <c r="B5" s="15" t="s">
        <v>7725</v>
      </c>
      <c r="C5" s="15" t="s">
        <v>7726</v>
      </c>
      <c r="D5" s="15">
        <v>61</v>
      </c>
      <c r="E5" s="15" t="s">
        <v>9274</v>
      </c>
      <c r="F5" s="15"/>
      <c r="G5" s="15" t="s">
        <v>9275</v>
      </c>
    </row>
    <row r="6" spans="1:7" x14ac:dyDescent="0.3">
      <c r="A6" s="15" t="s">
        <v>3418</v>
      </c>
      <c r="B6" s="15" t="s">
        <v>7727</v>
      </c>
      <c r="C6" s="15" t="s">
        <v>7728</v>
      </c>
      <c r="D6" s="15">
        <v>55</v>
      </c>
      <c r="E6" s="15" t="s">
        <v>9276</v>
      </c>
      <c r="F6" s="15"/>
      <c r="G6" s="15" t="s">
        <v>9277</v>
      </c>
    </row>
    <row r="7" spans="1:7" x14ac:dyDescent="0.3">
      <c r="A7" s="15" t="s">
        <v>3418</v>
      </c>
      <c r="B7" s="15" t="s">
        <v>7720</v>
      </c>
      <c r="C7" s="15" t="s">
        <v>7721</v>
      </c>
      <c r="D7" s="15">
        <v>52</v>
      </c>
      <c r="E7" s="15" t="s">
        <v>9278</v>
      </c>
      <c r="F7" s="15"/>
      <c r="G7" s="15" t="s">
        <v>10052</v>
      </c>
    </row>
    <row r="8" spans="1:7" x14ac:dyDescent="0.3">
      <c r="A8" s="15" t="s">
        <v>3418</v>
      </c>
      <c r="B8" s="15" t="s">
        <v>7759</v>
      </c>
      <c r="C8" s="15" t="s">
        <v>7760</v>
      </c>
      <c r="D8" s="15">
        <v>47</v>
      </c>
      <c r="E8" s="15" t="s">
        <v>9279</v>
      </c>
      <c r="F8" s="15"/>
      <c r="G8" s="15" t="s">
        <v>9280</v>
      </c>
    </row>
    <row r="9" spans="1:7" x14ac:dyDescent="0.3">
      <c r="A9" s="15" t="s">
        <v>3418</v>
      </c>
      <c r="B9" s="15" t="s">
        <v>7723</v>
      </c>
      <c r="C9" s="15" t="s">
        <v>7724</v>
      </c>
      <c r="D9" s="15">
        <v>41</v>
      </c>
      <c r="E9" s="15" t="s">
        <v>9281</v>
      </c>
      <c r="F9" s="15"/>
      <c r="G9" s="15" t="s">
        <v>9282</v>
      </c>
    </row>
    <row r="10" spans="1:7" x14ac:dyDescent="0.3">
      <c r="A10" s="15" t="s">
        <v>3418</v>
      </c>
      <c r="B10" s="15" t="s">
        <v>7732</v>
      </c>
      <c r="C10" s="15" t="s">
        <v>7733</v>
      </c>
      <c r="D10" s="15">
        <v>38</v>
      </c>
      <c r="E10" s="15" t="s">
        <v>9283</v>
      </c>
      <c r="F10" s="15"/>
      <c r="G10" s="15" t="s">
        <v>9284</v>
      </c>
    </row>
    <row r="11" spans="1:7" x14ac:dyDescent="0.3">
      <c r="A11" s="15" t="s">
        <v>3418</v>
      </c>
      <c r="B11" s="15" t="s">
        <v>7764</v>
      </c>
      <c r="C11" s="15" t="s">
        <v>7765</v>
      </c>
      <c r="D11" s="15">
        <v>37</v>
      </c>
      <c r="E11" s="15" t="s">
        <v>9285</v>
      </c>
      <c r="F11" s="15"/>
      <c r="G11" s="15" t="s">
        <v>9286</v>
      </c>
    </row>
    <row r="12" spans="1:7" x14ac:dyDescent="0.3">
      <c r="A12" s="15" t="s">
        <v>3418</v>
      </c>
      <c r="B12" s="15" t="s">
        <v>7033</v>
      </c>
      <c r="C12" s="15" t="s">
        <v>7761</v>
      </c>
      <c r="D12" s="15">
        <v>27</v>
      </c>
      <c r="E12" s="15" t="s">
        <v>9287</v>
      </c>
      <c r="F12" s="15"/>
      <c r="G12" s="15" t="s">
        <v>9288</v>
      </c>
    </row>
    <row r="13" spans="1:7" x14ac:dyDescent="0.3">
      <c r="A13" s="15" t="s">
        <v>3418</v>
      </c>
      <c r="B13" s="15" t="s">
        <v>7734</v>
      </c>
      <c r="C13" s="15" t="s">
        <v>7735</v>
      </c>
      <c r="D13" s="15">
        <v>23</v>
      </c>
      <c r="E13" s="15" t="s">
        <v>9289</v>
      </c>
      <c r="F13" s="15"/>
      <c r="G13" s="15" t="s">
        <v>9290</v>
      </c>
    </row>
    <row r="14" spans="1:7" x14ac:dyDescent="0.3">
      <c r="A14" s="15" t="s">
        <v>3418</v>
      </c>
      <c r="B14" s="15" t="s">
        <v>6965</v>
      </c>
      <c r="C14" s="15" t="s">
        <v>7722</v>
      </c>
      <c r="D14" s="15">
        <v>22</v>
      </c>
      <c r="E14" s="15" t="s">
        <v>9291</v>
      </c>
      <c r="F14" s="15"/>
      <c r="G14" s="15" t="s">
        <v>9292</v>
      </c>
    </row>
    <row r="15" spans="1:7" x14ac:dyDescent="0.3">
      <c r="A15" s="15" t="s">
        <v>3418</v>
      </c>
      <c r="B15" s="15" t="s">
        <v>7736</v>
      </c>
      <c r="C15" s="15" t="s">
        <v>7737</v>
      </c>
      <c r="D15" s="15">
        <v>15</v>
      </c>
      <c r="E15" s="15" t="s">
        <v>9293</v>
      </c>
      <c r="F15" s="15"/>
      <c r="G15" s="15" t="s">
        <v>9294</v>
      </c>
    </row>
    <row r="16" spans="1:7" x14ac:dyDescent="0.3">
      <c r="A16" s="15" t="s">
        <v>3418</v>
      </c>
      <c r="B16" s="15" t="s">
        <v>3440</v>
      </c>
      <c r="C16" s="15" t="s">
        <v>7766</v>
      </c>
      <c r="D16" s="15">
        <v>8</v>
      </c>
      <c r="E16" s="15" t="s">
        <v>9295</v>
      </c>
      <c r="F16" s="15"/>
      <c r="G16" s="15" t="s">
        <v>9296</v>
      </c>
    </row>
    <row r="17" spans="1:7" x14ac:dyDescent="0.3">
      <c r="A17" s="15" t="s">
        <v>3418</v>
      </c>
      <c r="B17" s="15" t="s">
        <v>7762</v>
      </c>
      <c r="C17" s="15" t="s">
        <v>7763</v>
      </c>
      <c r="D17" s="15">
        <v>3</v>
      </c>
      <c r="E17" s="15" t="s">
        <v>9297</v>
      </c>
      <c r="F17" s="15"/>
      <c r="G17" s="15" t="s">
        <v>9298</v>
      </c>
    </row>
    <row r="18" spans="1:7" x14ac:dyDescent="0.3">
      <c r="A18" s="15" t="s">
        <v>1434</v>
      </c>
      <c r="B18" s="15" t="s">
        <v>702</v>
      </c>
      <c r="C18" s="15" t="s">
        <v>7706</v>
      </c>
      <c r="D18" s="15">
        <v>175</v>
      </c>
      <c r="E18" s="15" t="s">
        <v>9299</v>
      </c>
      <c r="F18" s="14" t="s">
        <v>9300</v>
      </c>
      <c r="G18" s="15" t="s">
        <v>10053</v>
      </c>
    </row>
    <row r="19" spans="1:7" x14ac:dyDescent="0.3">
      <c r="A19" s="15" t="s">
        <v>1434</v>
      </c>
      <c r="B19" s="15" t="s">
        <v>3785</v>
      </c>
      <c r="C19" s="15" t="s">
        <v>7711</v>
      </c>
      <c r="D19" s="15">
        <v>174</v>
      </c>
      <c r="E19" s="15" t="s">
        <v>9301</v>
      </c>
      <c r="F19" s="14" t="s">
        <v>9300</v>
      </c>
      <c r="G19" s="15" t="s">
        <v>9302</v>
      </c>
    </row>
    <row r="20" spans="1:7" x14ac:dyDescent="0.3">
      <c r="A20" s="15" t="s">
        <v>1434</v>
      </c>
      <c r="B20" s="15" t="s">
        <v>34</v>
      </c>
      <c r="C20" s="15" t="s">
        <v>7710</v>
      </c>
      <c r="D20" s="15">
        <v>79</v>
      </c>
      <c r="E20" s="15" t="s">
        <v>9303</v>
      </c>
      <c r="F20" s="14" t="s">
        <v>9300</v>
      </c>
      <c r="G20" s="15" t="s">
        <v>10106</v>
      </c>
    </row>
    <row r="21" spans="1:7" x14ac:dyDescent="0.3">
      <c r="A21" s="15" t="s">
        <v>1434</v>
      </c>
      <c r="B21" s="15" t="s">
        <v>82</v>
      </c>
      <c r="C21" s="15" t="s">
        <v>7712</v>
      </c>
      <c r="D21" s="15">
        <v>77</v>
      </c>
      <c r="E21" s="15" t="s">
        <v>9304</v>
      </c>
      <c r="F21" s="14" t="s">
        <v>9300</v>
      </c>
      <c r="G21" s="15" t="s">
        <v>9305</v>
      </c>
    </row>
    <row r="22" spans="1:7" x14ac:dyDescent="0.3">
      <c r="A22" s="15" t="s">
        <v>1434</v>
      </c>
      <c r="B22" s="15" t="s">
        <v>7716</v>
      </c>
      <c r="C22" s="15" t="s">
        <v>7717</v>
      </c>
      <c r="D22" s="15">
        <v>64</v>
      </c>
      <c r="E22" s="15" t="s">
        <v>9272</v>
      </c>
      <c r="F22" s="14" t="s">
        <v>9300</v>
      </c>
      <c r="G22" s="15" t="s">
        <v>9273</v>
      </c>
    </row>
    <row r="23" spans="1:7" x14ac:dyDescent="0.3">
      <c r="A23" s="15" t="s">
        <v>1434</v>
      </c>
      <c r="B23" s="15" t="s">
        <v>73</v>
      </c>
      <c r="C23" s="15" t="s">
        <v>7714</v>
      </c>
      <c r="D23" s="15">
        <v>60</v>
      </c>
      <c r="E23" s="15" t="s">
        <v>9306</v>
      </c>
      <c r="F23" s="14" t="s">
        <v>9300</v>
      </c>
      <c r="G23" s="15" t="s">
        <v>9307</v>
      </c>
    </row>
    <row r="24" spans="1:7" x14ac:dyDescent="0.3">
      <c r="A24" s="15" t="s">
        <v>1434</v>
      </c>
      <c r="B24" s="15" t="s">
        <v>2851</v>
      </c>
      <c r="C24" s="15" t="s">
        <v>7713</v>
      </c>
      <c r="D24" s="15">
        <v>50</v>
      </c>
      <c r="E24" s="15" t="s">
        <v>9308</v>
      </c>
      <c r="F24" s="14" t="s">
        <v>9300</v>
      </c>
      <c r="G24" s="15" t="s">
        <v>9309</v>
      </c>
    </row>
    <row r="25" spans="1:7" x14ac:dyDescent="0.3">
      <c r="A25" s="15" t="s">
        <v>1434</v>
      </c>
      <c r="B25" s="15" t="s">
        <v>2767</v>
      </c>
      <c r="C25" s="15" t="s">
        <v>7707</v>
      </c>
      <c r="D25" s="15">
        <v>27</v>
      </c>
      <c r="E25" s="15" t="s">
        <v>9310</v>
      </c>
      <c r="F25" s="15"/>
      <c r="G25" s="15" t="s">
        <v>9311</v>
      </c>
    </row>
    <row r="26" spans="1:7" x14ac:dyDescent="0.3">
      <c r="A26" s="15" t="s">
        <v>1434</v>
      </c>
      <c r="B26" s="15" t="s">
        <v>5062</v>
      </c>
      <c r="C26" s="15" t="s">
        <v>7715</v>
      </c>
      <c r="D26" s="15">
        <v>18</v>
      </c>
      <c r="E26" s="15" t="s">
        <v>9312</v>
      </c>
      <c r="F26" s="14" t="s">
        <v>9300</v>
      </c>
      <c r="G26" s="15" t="s">
        <v>9313</v>
      </c>
    </row>
    <row r="27" spans="1:7" x14ac:dyDescent="0.3">
      <c r="A27" s="15" t="s">
        <v>1434</v>
      </c>
      <c r="B27" s="15" t="s">
        <v>3181</v>
      </c>
      <c r="C27" s="15" t="s">
        <v>7708</v>
      </c>
      <c r="D27" s="15">
        <v>13</v>
      </c>
      <c r="E27" s="15" t="s">
        <v>9314</v>
      </c>
      <c r="F27" s="14" t="s">
        <v>9300</v>
      </c>
      <c r="G27" s="15" t="s">
        <v>9315</v>
      </c>
    </row>
    <row r="28" spans="1:7" x14ac:dyDescent="0.3">
      <c r="A28" s="15" t="s">
        <v>1434</v>
      </c>
      <c r="B28" s="15" t="s">
        <v>817</v>
      </c>
      <c r="C28" s="15" t="s">
        <v>7709</v>
      </c>
      <c r="D28" s="15">
        <v>10</v>
      </c>
      <c r="E28" s="15" t="s">
        <v>9316</v>
      </c>
      <c r="F28" s="14" t="s">
        <v>9300</v>
      </c>
      <c r="G28" s="15" t="s">
        <v>9317</v>
      </c>
    </row>
    <row r="29" spans="1:7" x14ac:dyDescent="0.3">
      <c r="A29" s="15" t="s">
        <v>7805</v>
      </c>
      <c r="B29" s="15" t="s">
        <v>7806</v>
      </c>
      <c r="C29" s="15" t="s">
        <v>7807</v>
      </c>
      <c r="D29" s="15">
        <v>49</v>
      </c>
      <c r="E29" s="15" t="s">
        <v>9318</v>
      </c>
      <c r="F29" s="15"/>
      <c r="G29" s="15" t="s">
        <v>9319</v>
      </c>
    </row>
    <row r="30" spans="1:7" x14ac:dyDescent="0.3">
      <c r="A30" s="15" t="s">
        <v>7805</v>
      </c>
      <c r="B30" s="15" t="s">
        <v>7812</v>
      </c>
      <c r="C30" s="15" t="s">
        <v>7813</v>
      </c>
      <c r="D30" s="15">
        <v>17</v>
      </c>
      <c r="E30" s="15" t="s">
        <v>9320</v>
      </c>
      <c r="F30" s="15"/>
      <c r="G30" s="15" t="s">
        <v>9321</v>
      </c>
    </row>
    <row r="31" spans="1:7" x14ac:dyDescent="0.3">
      <c r="A31" s="15" t="s">
        <v>7805</v>
      </c>
      <c r="B31" s="15" t="s">
        <v>4370</v>
      </c>
      <c r="C31" s="15" t="s">
        <v>4371</v>
      </c>
      <c r="D31" s="15">
        <v>8</v>
      </c>
      <c r="E31" s="15" t="s">
        <v>9322</v>
      </c>
      <c r="F31" s="15"/>
      <c r="G31" s="15" t="s">
        <v>9323</v>
      </c>
    </row>
    <row r="32" spans="1:7" x14ac:dyDescent="0.3">
      <c r="A32" s="15" t="s">
        <v>7805</v>
      </c>
      <c r="B32" s="15" t="s">
        <v>6029</v>
      </c>
      <c r="C32" s="15" t="s">
        <v>7811</v>
      </c>
      <c r="D32" s="15">
        <v>6</v>
      </c>
      <c r="E32" s="15" t="s">
        <v>9324</v>
      </c>
      <c r="F32" s="15"/>
      <c r="G32" s="15" t="s">
        <v>9325</v>
      </c>
    </row>
    <row r="33" spans="1:7" x14ac:dyDescent="0.3">
      <c r="A33" s="15" t="s">
        <v>7805</v>
      </c>
      <c r="B33" s="15" t="s">
        <v>4961</v>
      </c>
      <c r="C33" s="15" t="s">
        <v>4962</v>
      </c>
      <c r="D33" s="15">
        <v>5</v>
      </c>
      <c r="E33" s="15" t="s">
        <v>9326</v>
      </c>
      <c r="F33" s="15"/>
      <c r="G33" s="15" t="s">
        <v>9327</v>
      </c>
    </row>
    <row r="34" spans="1:7" x14ac:dyDescent="0.3">
      <c r="A34" s="15" t="s">
        <v>7805</v>
      </c>
      <c r="B34" s="15" t="s">
        <v>7771</v>
      </c>
      <c r="C34" s="15" t="s">
        <v>7808</v>
      </c>
      <c r="D34" s="15">
        <v>2</v>
      </c>
      <c r="E34" s="15" t="s">
        <v>9328</v>
      </c>
      <c r="F34" s="15"/>
      <c r="G34" s="15" t="s">
        <v>9329</v>
      </c>
    </row>
    <row r="35" spans="1:7" x14ac:dyDescent="0.3">
      <c r="A35" s="15" t="s">
        <v>7805</v>
      </c>
      <c r="B35" s="15" t="s">
        <v>7809</v>
      </c>
      <c r="C35" s="15" t="s">
        <v>7810</v>
      </c>
      <c r="D35" s="15">
        <v>1</v>
      </c>
      <c r="E35" s="15" t="s">
        <v>9330</v>
      </c>
      <c r="F35" s="15"/>
      <c r="G35" s="15" t="s">
        <v>4096</v>
      </c>
    </row>
    <row r="36" spans="1:7" x14ac:dyDescent="0.3">
      <c r="A36" s="15" t="s">
        <v>7805</v>
      </c>
      <c r="B36" s="15" t="s">
        <v>3025</v>
      </c>
      <c r="C36" s="15" t="s">
        <v>3026</v>
      </c>
      <c r="D36" s="15">
        <v>1</v>
      </c>
      <c r="E36" s="15" t="s">
        <v>9331</v>
      </c>
      <c r="F36" s="15"/>
      <c r="G36" s="15" t="s">
        <v>7423</v>
      </c>
    </row>
    <row r="37" spans="1:7" x14ac:dyDescent="0.3">
      <c r="A37" s="15" t="s">
        <v>7798</v>
      </c>
      <c r="B37" s="15" t="s">
        <v>46</v>
      </c>
      <c r="C37" s="15" t="s">
        <v>7757</v>
      </c>
      <c r="D37" s="15">
        <v>36</v>
      </c>
      <c r="E37" s="15" t="s">
        <v>9332</v>
      </c>
      <c r="F37" s="15"/>
      <c r="G37" s="15" t="s">
        <v>9333</v>
      </c>
    </row>
    <row r="38" spans="1:7" x14ac:dyDescent="0.3">
      <c r="A38" s="15" t="s">
        <v>7798</v>
      </c>
      <c r="B38" s="15" t="s">
        <v>2851</v>
      </c>
      <c r="C38" s="15" t="s">
        <v>7799</v>
      </c>
      <c r="D38" s="15">
        <v>21</v>
      </c>
      <c r="E38" s="15" t="s">
        <v>9334</v>
      </c>
      <c r="F38" s="15"/>
      <c r="G38" s="15" t="s">
        <v>9335</v>
      </c>
    </row>
    <row r="39" spans="1:7" x14ac:dyDescent="0.3">
      <c r="A39" s="15" t="s">
        <v>7798</v>
      </c>
      <c r="B39" s="15" t="s">
        <v>2816</v>
      </c>
      <c r="C39" s="15" t="s">
        <v>7801</v>
      </c>
      <c r="D39" s="15">
        <v>4</v>
      </c>
      <c r="E39" s="15" t="s">
        <v>9336</v>
      </c>
      <c r="F39" s="15"/>
      <c r="G39" s="15" t="s">
        <v>9337</v>
      </c>
    </row>
    <row r="40" spans="1:7" x14ac:dyDescent="0.3">
      <c r="A40" s="15" t="s">
        <v>7798</v>
      </c>
      <c r="B40" s="15" t="s">
        <v>7738</v>
      </c>
      <c r="C40" s="15" t="s">
        <v>7803</v>
      </c>
      <c r="D40" s="15">
        <v>4</v>
      </c>
      <c r="E40" s="15" t="s">
        <v>9338</v>
      </c>
      <c r="F40" s="14" t="s">
        <v>9300</v>
      </c>
      <c r="G40" s="15" t="s">
        <v>9339</v>
      </c>
    </row>
    <row r="41" spans="1:7" x14ac:dyDescent="0.3">
      <c r="A41" s="15" t="s">
        <v>7798</v>
      </c>
      <c r="B41" s="15" t="s">
        <v>34</v>
      </c>
      <c r="C41" s="15" t="s">
        <v>7800</v>
      </c>
      <c r="D41" s="15">
        <v>2</v>
      </c>
      <c r="E41" s="15" t="s">
        <v>9340</v>
      </c>
      <c r="F41" s="15"/>
      <c r="G41" s="15" t="s">
        <v>9341</v>
      </c>
    </row>
    <row r="42" spans="1:7" x14ac:dyDescent="0.3">
      <c r="A42" s="15" t="s">
        <v>7798</v>
      </c>
      <c r="B42" s="15" t="s">
        <v>1169</v>
      </c>
      <c r="C42" s="15" t="s">
        <v>7804</v>
      </c>
      <c r="D42" s="15">
        <v>1</v>
      </c>
      <c r="E42" s="15" t="s">
        <v>9330</v>
      </c>
      <c r="F42" s="15"/>
      <c r="G42" s="15" t="s">
        <v>2960</v>
      </c>
    </row>
    <row r="43" spans="1:7" x14ac:dyDescent="0.3">
      <c r="A43" s="15" t="s">
        <v>7798</v>
      </c>
      <c r="B43" s="15" t="s">
        <v>7740</v>
      </c>
      <c r="C43" s="15"/>
      <c r="D43" s="15">
        <v>1</v>
      </c>
      <c r="E43" s="15" t="s">
        <v>9330</v>
      </c>
      <c r="F43" s="15"/>
      <c r="G43" s="15" t="s">
        <v>2960</v>
      </c>
    </row>
    <row r="44" spans="1:7" x14ac:dyDescent="0.3">
      <c r="A44" s="15" t="s">
        <v>458</v>
      </c>
      <c r="B44" s="15" t="s">
        <v>29</v>
      </c>
      <c r="C44" s="15" t="s">
        <v>7788</v>
      </c>
      <c r="D44" s="15">
        <v>38</v>
      </c>
      <c r="E44" s="15" t="s">
        <v>9342</v>
      </c>
      <c r="F44" s="15"/>
      <c r="G44" s="15" t="s">
        <v>9343</v>
      </c>
    </row>
    <row r="45" spans="1:7" x14ac:dyDescent="0.3">
      <c r="A45" s="15" t="s">
        <v>458</v>
      </c>
      <c r="B45" s="15" t="s">
        <v>7789</v>
      </c>
      <c r="C45" s="15" t="s">
        <v>7790</v>
      </c>
      <c r="D45" s="15">
        <v>14</v>
      </c>
      <c r="E45" s="15" t="s">
        <v>9344</v>
      </c>
      <c r="F45" s="15"/>
      <c r="G45" s="15" t="s">
        <v>9345</v>
      </c>
    </row>
    <row r="46" spans="1:7" x14ac:dyDescent="0.3">
      <c r="A46" s="15" t="s">
        <v>458</v>
      </c>
      <c r="B46" s="15" t="s">
        <v>7792</v>
      </c>
      <c r="C46" s="15" t="s">
        <v>7793</v>
      </c>
      <c r="D46" s="15">
        <v>6</v>
      </c>
      <c r="E46" s="15" t="s">
        <v>9346</v>
      </c>
      <c r="F46" s="15"/>
      <c r="G46" s="15" t="s">
        <v>9347</v>
      </c>
    </row>
    <row r="47" spans="1:7" x14ac:dyDescent="0.3">
      <c r="A47" s="15" t="s">
        <v>458</v>
      </c>
      <c r="B47" s="15" t="s">
        <v>5062</v>
      </c>
      <c r="C47" s="15" t="s">
        <v>7791</v>
      </c>
      <c r="D47" s="15">
        <v>1</v>
      </c>
      <c r="E47" s="15" t="s">
        <v>9348</v>
      </c>
      <c r="F47" s="15"/>
      <c r="G47" s="15" t="s">
        <v>6130</v>
      </c>
    </row>
    <row r="48" spans="1:7" x14ac:dyDescent="0.3">
      <c r="A48" s="15" t="s">
        <v>4957</v>
      </c>
      <c r="B48" s="15" t="s">
        <v>7768</v>
      </c>
      <c r="C48" s="15" t="s">
        <v>7769</v>
      </c>
      <c r="D48" s="15">
        <v>18</v>
      </c>
      <c r="E48" s="15" t="s">
        <v>9349</v>
      </c>
      <c r="F48" s="15"/>
      <c r="G48" s="15" t="s">
        <v>9350</v>
      </c>
    </row>
    <row r="49" spans="1:7" x14ac:dyDescent="0.3">
      <c r="A49" s="15" t="s">
        <v>4957</v>
      </c>
      <c r="B49" s="15" t="s">
        <v>7777</v>
      </c>
      <c r="C49" s="15" t="s">
        <v>7778</v>
      </c>
      <c r="D49" s="15">
        <v>18</v>
      </c>
      <c r="E49" s="15" t="s">
        <v>9349</v>
      </c>
      <c r="F49" s="15"/>
      <c r="G49" s="15" t="s">
        <v>9351</v>
      </c>
    </row>
    <row r="50" spans="1:7" x14ac:dyDescent="0.3">
      <c r="A50" s="15" t="s">
        <v>4957</v>
      </c>
      <c r="B50" s="15" t="s">
        <v>2325</v>
      </c>
      <c r="C50" s="15" t="s">
        <v>7767</v>
      </c>
      <c r="D50" s="15">
        <v>14</v>
      </c>
      <c r="E50" s="15" t="s">
        <v>9352</v>
      </c>
      <c r="F50" s="15"/>
      <c r="G50" s="15" t="s">
        <v>9353</v>
      </c>
    </row>
    <row r="51" spans="1:7" x14ac:dyDescent="0.3">
      <c r="A51" s="15" t="s">
        <v>4957</v>
      </c>
      <c r="B51" s="15" t="s">
        <v>7783</v>
      </c>
      <c r="C51" s="15" t="s">
        <v>7784</v>
      </c>
      <c r="D51" s="15">
        <v>14</v>
      </c>
      <c r="E51" s="15" t="s">
        <v>9352</v>
      </c>
      <c r="F51" s="15"/>
      <c r="G51" s="15" t="s">
        <v>9354</v>
      </c>
    </row>
    <row r="52" spans="1:7" x14ac:dyDescent="0.3">
      <c r="A52" s="15" t="s">
        <v>4957</v>
      </c>
      <c r="B52" s="15" t="s">
        <v>7779</v>
      </c>
      <c r="C52" s="15" t="s">
        <v>7780</v>
      </c>
      <c r="D52" s="15">
        <v>11</v>
      </c>
      <c r="E52" s="15" t="s">
        <v>9355</v>
      </c>
      <c r="F52" s="15"/>
      <c r="G52" s="15" t="s">
        <v>9356</v>
      </c>
    </row>
    <row r="53" spans="1:7" x14ac:dyDescent="0.3">
      <c r="A53" s="15" t="s">
        <v>4957</v>
      </c>
      <c r="B53" s="15" t="s">
        <v>4450</v>
      </c>
      <c r="C53" s="15" t="s">
        <v>7770</v>
      </c>
      <c r="D53" s="15">
        <v>11</v>
      </c>
      <c r="E53" s="15" t="s">
        <v>9355</v>
      </c>
      <c r="F53" s="15"/>
      <c r="G53" s="15" t="s">
        <v>9357</v>
      </c>
    </row>
    <row r="54" spans="1:7" x14ac:dyDescent="0.3">
      <c r="A54" s="15" t="s">
        <v>4957</v>
      </c>
      <c r="B54" s="15" t="s">
        <v>7366</v>
      </c>
      <c r="C54" s="15" t="s">
        <v>7773</v>
      </c>
      <c r="D54" s="15">
        <v>9</v>
      </c>
      <c r="E54" s="15" t="s">
        <v>9358</v>
      </c>
      <c r="F54" s="15"/>
      <c r="G54" s="15" t="s">
        <v>9359</v>
      </c>
    </row>
    <row r="55" spans="1:7" x14ac:dyDescent="0.3">
      <c r="A55" s="15" t="s">
        <v>4957</v>
      </c>
      <c r="B55" s="15" t="s">
        <v>5849</v>
      </c>
      <c r="C55" s="15" t="s">
        <v>7774</v>
      </c>
      <c r="D55" s="15">
        <v>6</v>
      </c>
      <c r="E55" s="15" t="s">
        <v>9360</v>
      </c>
      <c r="F55" s="15"/>
      <c r="G55" s="15" t="s">
        <v>9361</v>
      </c>
    </row>
    <row r="56" spans="1:7" x14ac:dyDescent="0.3">
      <c r="A56" s="15" t="s">
        <v>4957</v>
      </c>
      <c r="B56" s="15" t="s">
        <v>7786</v>
      </c>
      <c r="C56" s="15" t="s">
        <v>7787</v>
      </c>
      <c r="D56" s="15">
        <v>6</v>
      </c>
      <c r="E56" s="15" t="s">
        <v>9360</v>
      </c>
      <c r="F56" s="15"/>
      <c r="G56" s="15" t="s">
        <v>9362</v>
      </c>
    </row>
    <row r="57" spans="1:7" x14ac:dyDescent="0.3">
      <c r="A57" s="15" t="s">
        <v>4957</v>
      </c>
      <c r="B57" s="15" t="s">
        <v>6204</v>
      </c>
      <c r="C57" s="15" t="s">
        <v>6205</v>
      </c>
      <c r="D57" s="15">
        <v>6</v>
      </c>
      <c r="E57" s="15" t="s">
        <v>9360</v>
      </c>
      <c r="F57" s="15"/>
      <c r="G57" s="15" t="s">
        <v>9363</v>
      </c>
    </row>
    <row r="58" spans="1:7" x14ac:dyDescent="0.3">
      <c r="A58" s="15" t="s">
        <v>4957</v>
      </c>
      <c r="B58" s="15" t="s">
        <v>7781</v>
      </c>
      <c r="C58" s="15" t="s">
        <v>7782</v>
      </c>
      <c r="D58" s="15">
        <v>5</v>
      </c>
      <c r="E58" s="15" t="s">
        <v>9364</v>
      </c>
      <c r="F58" s="15"/>
      <c r="G58" s="15" t="s">
        <v>9365</v>
      </c>
    </row>
    <row r="59" spans="1:7" x14ac:dyDescent="0.3">
      <c r="A59" s="15" t="s">
        <v>4957</v>
      </c>
      <c r="B59" s="15" t="s">
        <v>7771</v>
      </c>
      <c r="C59" s="15" t="s">
        <v>7772</v>
      </c>
      <c r="D59" s="15">
        <v>3</v>
      </c>
      <c r="E59" s="15" t="s">
        <v>9366</v>
      </c>
      <c r="F59" s="15"/>
      <c r="G59" s="15" t="s">
        <v>9367</v>
      </c>
    </row>
    <row r="60" spans="1:7" x14ac:dyDescent="0.3">
      <c r="A60" s="15" t="s">
        <v>4957</v>
      </c>
      <c r="B60" s="15" t="s">
        <v>7775</v>
      </c>
      <c r="C60" s="15" t="s">
        <v>7776</v>
      </c>
      <c r="D60" s="15">
        <v>3</v>
      </c>
      <c r="E60" s="15" t="s">
        <v>9366</v>
      </c>
      <c r="F60" s="15"/>
      <c r="G60" s="15" t="s">
        <v>9368</v>
      </c>
    </row>
    <row r="61" spans="1:7" x14ac:dyDescent="0.3">
      <c r="A61" s="15" t="s">
        <v>4957</v>
      </c>
      <c r="B61" s="15" t="s">
        <v>3025</v>
      </c>
      <c r="C61" s="15" t="s">
        <v>7785</v>
      </c>
      <c r="D61" s="15">
        <v>3</v>
      </c>
      <c r="E61" s="15" t="s">
        <v>9366</v>
      </c>
      <c r="F61" s="15"/>
      <c r="G61" s="15" t="s">
        <v>9369</v>
      </c>
    </row>
    <row r="62" spans="1:7" x14ac:dyDescent="0.3">
      <c r="A62" s="15" t="s">
        <v>7794</v>
      </c>
      <c r="B62" s="15" t="s">
        <v>7797</v>
      </c>
      <c r="C62" s="15" t="s">
        <v>3435</v>
      </c>
      <c r="D62" s="15">
        <v>13</v>
      </c>
      <c r="E62" s="15" t="s">
        <v>9370</v>
      </c>
      <c r="F62" s="15"/>
      <c r="G62" s="15" t="s">
        <v>9371</v>
      </c>
    </row>
    <row r="63" spans="1:7" x14ac:dyDescent="0.3">
      <c r="A63" s="15" t="s">
        <v>7794</v>
      </c>
      <c r="B63" s="15" t="s">
        <v>7795</v>
      </c>
      <c r="C63" s="15" t="s">
        <v>7796</v>
      </c>
      <c r="D63" s="15">
        <v>12</v>
      </c>
      <c r="E63" s="15" t="s">
        <v>9372</v>
      </c>
      <c r="F63" s="15"/>
      <c r="G63" s="15" t="s">
        <v>9373</v>
      </c>
    </row>
    <row r="64" spans="1:7" x14ac:dyDescent="0.3">
      <c r="A64" s="15" t="s">
        <v>5096</v>
      </c>
      <c r="B64" s="15" t="s">
        <v>7747</v>
      </c>
      <c r="C64" s="15" t="s">
        <v>7748</v>
      </c>
      <c r="D64" s="15">
        <v>91</v>
      </c>
      <c r="E64" s="15" t="s">
        <v>9374</v>
      </c>
      <c r="F64" s="15"/>
      <c r="G64" s="15" t="s">
        <v>9375</v>
      </c>
    </row>
    <row r="65" spans="1:7" x14ac:dyDescent="0.3">
      <c r="A65" s="15" t="s">
        <v>5096</v>
      </c>
      <c r="B65" s="15" t="s">
        <v>1169</v>
      </c>
      <c r="C65" s="15" t="s">
        <v>7752</v>
      </c>
      <c r="D65" s="15">
        <v>42</v>
      </c>
      <c r="E65" s="15" t="s">
        <v>9376</v>
      </c>
      <c r="F65" s="15"/>
      <c r="G65" s="15" t="s">
        <v>9377</v>
      </c>
    </row>
    <row r="66" spans="1:7" x14ac:dyDescent="0.3">
      <c r="A66" s="15" t="s">
        <v>5096</v>
      </c>
      <c r="B66" s="15" t="s">
        <v>4650</v>
      </c>
      <c r="C66" s="15" t="s">
        <v>7755</v>
      </c>
      <c r="D66" s="15">
        <v>40</v>
      </c>
      <c r="E66" s="15" t="s">
        <v>9378</v>
      </c>
      <c r="F66" s="15"/>
      <c r="G66" s="15" t="s">
        <v>9379</v>
      </c>
    </row>
    <row r="67" spans="1:7" x14ac:dyDescent="0.3">
      <c r="A67" s="15" t="s">
        <v>5096</v>
      </c>
      <c r="B67" s="15" t="s">
        <v>6837</v>
      </c>
      <c r="C67" s="15" t="s">
        <v>7758</v>
      </c>
      <c r="D67" s="15">
        <v>31</v>
      </c>
      <c r="E67" s="15" t="s">
        <v>9380</v>
      </c>
      <c r="F67" s="15"/>
      <c r="G67" s="15" t="s">
        <v>10107</v>
      </c>
    </row>
    <row r="68" spans="1:7" x14ac:dyDescent="0.3">
      <c r="A68" s="15" t="s">
        <v>5096</v>
      </c>
      <c r="B68" s="15" t="s">
        <v>5293</v>
      </c>
      <c r="C68" s="15" t="s">
        <v>7744</v>
      </c>
      <c r="D68" s="15">
        <v>29</v>
      </c>
      <c r="E68" s="15" t="s">
        <v>9381</v>
      </c>
      <c r="F68" s="15"/>
      <c r="G68" s="15" t="s">
        <v>9382</v>
      </c>
    </row>
    <row r="69" spans="1:7" x14ac:dyDescent="0.3">
      <c r="A69" s="15" t="s">
        <v>5096</v>
      </c>
      <c r="B69" s="15" t="s">
        <v>6578</v>
      </c>
      <c r="C69" s="15" t="s">
        <v>7746</v>
      </c>
      <c r="D69" s="15">
        <v>25</v>
      </c>
      <c r="E69" s="15" t="s">
        <v>9383</v>
      </c>
      <c r="F69" s="15"/>
      <c r="G69" s="15" t="s">
        <v>9384</v>
      </c>
    </row>
    <row r="70" spans="1:7" x14ac:dyDescent="0.3">
      <c r="A70" s="15" t="s">
        <v>5096</v>
      </c>
      <c r="B70" s="15" t="s">
        <v>2816</v>
      </c>
      <c r="C70" s="15" t="s">
        <v>7753</v>
      </c>
      <c r="D70" s="15">
        <v>23</v>
      </c>
      <c r="E70" s="15" t="s">
        <v>9385</v>
      </c>
      <c r="F70" s="15"/>
      <c r="G70" s="15" t="s">
        <v>9386</v>
      </c>
    </row>
    <row r="71" spans="1:7" x14ac:dyDescent="0.3">
      <c r="A71" s="15" t="s">
        <v>5096</v>
      </c>
      <c r="B71" s="15" t="s">
        <v>7740</v>
      </c>
      <c r="C71" s="15" t="s">
        <v>7741</v>
      </c>
      <c r="D71" s="15">
        <v>17</v>
      </c>
      <c r="E71" s="15" t="s">
        <v>9387</v>
      </c>
      <c r="F71" s="15"/>
      <c r="G71" s="15" t="s">
        <v>9388</v>
      </c>
    </row>
    <row r="72" spans="1:7" x14ac:dyDescent="0.3">
      <c r="A72" s="15" t="s">
        <v>5096</v>
      </c>
      <c r="B72" s="15" t="s">
        <v>7756</v>
      </c>
      <c r="C72" s="15" t="s">
        <v>7757</v>
      </c>
      <c r="D72" s="15">
        <v>16</v>
      </c>
      <c r="E72" s="15" t="s">
        <v>9389</v>
      </c>
      <c r="F72" s="15"/>
      <c r="G72" s="15" t="s">
        <v>9390</v>
      </c>
    </row>
    <row r="73" spans="1:7" x14ac:dyDescent="0.3">
      <c r="A73" s="15" t="s">
        <v>5096</v>
      </c>
      <c r="B73" s="15" t="s">
        <v>7738</v>
      </c>
      <c r="C73" s="15" t="s">
        <v>7739</v>
      </c>
      <c r="D73" s="15">
        <v>16</v>
      </c>
      <c r="E73" s="15" t="s">
        <v>9389</v>
      </c>
      <c r="F73" s="15"/>
      <c r="G73" s="15" t="s">
        <v>9391</v>
      </c>
    </row>
    <row r="74" spans="1:7" x14ac:dyDescent="0.3">
      <c r="A74" s="15" t="s">
        <v>5096</v>
      </c>
      <c r="B74" s="15" t="s">
        <v>828</v>
      </c>
      <c r="C74" s="15" t="s">
        <v>7742</v>
      </c>
      <c r="D74" s="15">
        <v>15</v>
      </c>
      <c r="E74" s="15" t="s">
        <v>9392</v>
      </c>
      <c r="F74" s="15"/>
      <c r="G74" s="15" t="s">
        <v>9393</v>
      </c>
    </row>
    <row r="75" spans="1:7" x14ac:dyDescent="0.3">
      <c r="A75" s="15" t="s">
        <v>5096</v>
      </c>
      <c r="B75" s="15" t="s">
        <v>6222</v>
      </c>
      <c r="C75" s="15" t="s">
        <v>7745</v>
      </c>
      <c r="D75" s="15">
        <v>13</v>
      </c>
      <c r="E75" s="15" t="s">
        <v>9394</v>
      </c>
      <c r="F75" s="15"/>
      <c r="G75" s="15" t="s">
        <v>10054</v>
      </c>
    </row>
    <row r="76" spans="1:7" x14ac:dyDescent="0.3">
      <c r="A76" s="15" t="s">
        <v>5096</v>
      </c>
      <c r="B76" s="15" t="s">
        <v>6890</v>
      </c>
      <c r="C76" s="15" t="s">
        <v>7743</v>
      </c>
      <c r="D76" s="15">
        <v>10</v>
      </c>
      <c r="E76" s="15" t="s">
        <v>9395</v>
      </c>
      <c r="F76" s="15"/>
      <c r="G76" s="15" t="s">
        <v>9396</v>
      </c>
    </row>
    <row r="77" spans="1:7" x14ac:dyDescent="0.3">
      <c r="A77" s="15" t="s">
        <v>5096</v>
      </c>
      <c r="B77" s="15" t="s">
        <v>7749</v>
      </c>
      <c r="C77" s="15" t="s">
        <v>7750</v>
      </c>
      <c r="D77" s="15">
        <v>8</v>
      </c>
      <c r="E77" s="15" t="s">
        <v>9397</v>
      </c>
      <c r="F77" s="15"/>
      <c r="G77" s="15" t="s">
        <v>9398</v>
      </c>
    </row>
    <row r="78" spans="1:7" x14ac:dyDescent="0.3">
      <c r="A78" s="15" t="s">
        <v>5096</v>
      </c>
      <c r="B78" s="15" t="s">
        <v>5393</v>
      </c>
      <c r="C78" s="15" t="s">
        <v>7751</v>
      </c>
      <c r="D78" s="15">
        <v>4</v>
      </c>
      <c r="E78" s="15" t="s">
        <v>9336</v>
      </c>
      <c r="F78" s="15"/>
      <c r="G78" s="15" t="s">
        <v>9399</v>
      </c>
    </row>
    <row r="79" spans="1:7" x14ac:dyDescent="0.3">
      <c r="A79" s="15" t="s">
        <v>5096</v>
      </c>
      <c r="B79" s="15" t="s">
        <v>5797</v>
      </c>
      <c r="C79" s="15" t="s">
        <v>7754</v>
      </c>
      <c r="D79" s="15">
        <v>1</v>
      </c>
      <c r="E79" s="15" t="s">
        <v>9330</v>
      </c>
      <c r="F79" s="15"/>
      <c r="G79" s="15" t="s">
        <v>5798</v>
      </c>
    </row>
  </sheetData>
  <autoFilter ref="A1:G7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19"/>
  <sheetViews>
    <sheetView workbookViewId="0">
      <pane xSplit="2" ySplit="1" topLeftCell="C489" activePane="bottomRight" state="frozen"/>
      <selection pane="topRight"/>
      <selection pane="bottomLeft"/>
      <selection pane="bottomRight" activeCell="G510" sqref="G510"/>
    </sheetView>
  </sheetViews>
  <sheetFormatPr baseColWidth="10" defaultColWidth="8.796875" defaultRowHeight="15.6" x14ac:dyDescent="0.3"/>
  <cols>
    <col min="1" max="1" width="22" style="16" customWidth="1"/>
    <col min="2" max="2" width="30" style="16" customWidth="1"/>
    <col min="3" max="3" width="14" style="16" customWidth="1"/>
    <col min="4" max="4" width="9" style="16" customWidth="1"/>
    <col min="5" max="5" width="12" style="16" customWidth="1"/>
    <col min="6" max="7" width="10" style="16" customWidth="1"/>
    <col min="8" max="8" width="12" style="16" customWidth="1"/>
    <col min="9" max="9" width="11" style="16" customWidth="1"/>
    <col min="10" max="10" width="14" style="16" customWidth="1"/>
  </cols>
  <sheetData>
    <row r="1" spans="1:10" x14ac:dyDescent="0.3">
      <c r="A1" s="19" t="s">
        <v>7697</v>
      </c>
      <c r="B1" s="19" t="s">
        <v>398</v>
      </c>
      <c r="C1" s="19" t="s">
        <v>69</v>
      </c>
      <c r="D1" s="19" t="s">
        <v>9400</v>
      </c>
      <c r="E1" s="19" t="s">
        <v>9401</v>
      </c>
      <c r="F1" s="19" t="s">
        <v>9402</v>
      </c>
      <c r="G1" s="19" t="s">
        <v>6773</v>
      </c>
      <c r="H1" s="19" t="s">
        <v>9403</v>
      </c>
      <c r="I1" s="19" t="s">
        <v>9404</v>
      </c>
      <c r="J1" s="19" t="s">
        <v>9405</v>
      </c>
    </row>
    <row r="2" spans="1:10" x14ac:dyDescent="0.3">
      <c r="A2" s="17" t="s">
        <v>410</v>
      </c>
      <c r="B2" s="17" t="str">
        <f>IFERROR(INDEX(Mots!$B:$B,MATCH($A2,Mots!$A:$A,0)),"introuvable")</f>
        <v>le sandwich</v>
      </c>
      <c r="C2" s="17" t="str">
        <f>IFERROR(INDEX(Mots!$N:$N,MATCH($A2,Mots!$A:$A,0)),"")</f>
        <v>chose</v>
      </c>
      <c r="D2" s="17">
        <f>IFERROR(COUNTA(INDEX(Mots!$E:$E,MATCH($A2,Mots!$A:$A,0)):INDEX(Mots!$K:$K,MATCH($A2,Mots!$A:$A,0))),0)</f>
        <v>1</v>
      </c>
      <c r="E2" s="17" t="str">
        <f>IF(COUNTIF(Classement!$A:$A,$A2)&gt;0,"ok","à faire")</f>
        <v>ok</v>
      </c>
      <c r="F2" s="17" t="str">
        <f>IF(COUNTIF(Tags!$A:$A,$A2)&gt;0,"ok","à faire")</f>
        <v>ok</v>
      </c>
      <c r="G2" s="17" t="str">
        <f>IF(COUNTIF(Phrases!$A:$A,$A2)&gt;0,"ok","à faire")</f>
        <v>ok</v>
      </c>
      <c r="H2" s="17" t="str">
        <f>IF(COUNTIFS(Phrases!$A:$A,$A2,Phrases!$I:$I,"&lt;&gt;")&gt;0,"ok","à faire")</f>
        <v>à faire</v>
      </c>
      <c r="I2" s="17" t="str">
        <f>IF(COUNTIF(Synonymes!$A:$A,$A2)&gt;0,"ok","")</f>
        <v/>
      </c>
      <c r="J2" s="17">
        <f t="shared" ref="J2:J65" si="0">COUNTIF(E2:H2,"à faire")</f>
        <v>1</v>
      </c>
    </row>
    <row r="3" spans="1:10" x14ac:dyDescent="0.3">
      <c r="A3" s="17" t="s">
        <v>416</v>
      </c>
      <c r="B3" s="17" t="str">
        <f>IFERROR(INDEX(Mots!$B:$B,MATCH($A3,Mots!$A:$A,0)),"introuvable")</f>
        <v>la lettre</v>
      </c>
      <c r="C3" s="17" t="str">
        <f>IFERROR(INDEX(Mots!$N:$N,MATCH($A3,Mots!$A:$A,0)),"")</f>
        <v>chose</v>
      </c>
      <c r="D3" s="17">
        <f>IFERROR(COUNTA(INDEX(Mots!$E:$E,MATCH($A3,Mots!$A:$A,0)):INDEX(Mots!$K:$K,MATCH($A3,Mots!$A:$A,0))),0)</f>
        <v>1</v>
      </c>
      <c r="E3" s="17" t="str">
        <f>IF(COUNTIF(Classement!$A:$A,$A3)&gt;0,"ok","à faire")</f>
        <v>ok</v>
      </c>
      <c r="F3" s="17" t="str">
        <f>IF(COUNTIF(Tags!$A:$A,$A3)&gt;0,"ok","à faire")</f>
        <v>ok</v>
      </c>
      <c r="G3" s="17" t="str">
        <f>IF(COUNTIF(Phrases!$A:$A,$A3)&gt;0,"ok","à faire")</f>
        <v>ok</v>
      </c>
      <c r="H3" s="17" t="str">
        <f>IF(COUNTIFS(Phrases!$A:$A,$A3,Phrases!$I:$I,"&lt;&gt;")&gt;0,"ok","à faire")</f>
        <v>à faire</v>
      </c>
      <c r="I3" s="17" t="str">
        <f>IF(COUNTIF(Synonymes!$A:$A,$A3)&gt;0,"ok","")</f>
        <v/>
      </c>
      <c r="J3" s="17">
        <f t="shared" si="0"/>
        <v>1</v>
      </c>
    </row>
    <row r="4" spans="1:10" x14ac:dyDescent="0.3">
      <c r="A4" s="17" t="s">
        <v>421</v>
      </c>
      <c r="B4" s="17" t="str">
        <f>IFERROR(INDEX(Mots!$B:$B,MATCH($A4,Mots!$A:$A,0)),"introuvable")</f>
        <v>la réunion</v>
      </c>
      <c r="C4" s="17" t="str">
        <f>IFERROR(INDEX(Mots!$N:$N,MATCH($A4,Mots!$A:$A,0)),"")</f>
        <v>chose</v>
      </c>
      <c r="D4" s="17">
        <f>IFERROR(COUNTA(INDEX(Mots!$E:$E,MATCH($A4,Mots!$A:$A,0)):INDEX(Mots!$K:$K,MATCH($A4,Mots!$A:$A,0))),0)</f>
        <v>1</v>
      </c>
      <c r="E4" s="17" t="str">
        <f>IF(COUNTIF(Classement!$A:$A,$A4)&gt;0,"ok","à faire")</f>
        <v>ok</v>
      </c>
      <c r="F4" s="17" t="str">
        <f>IF(COUNTIF(Tags!$A:$A,$A4)&gt;0,"ok","à faire")</f>
        <v>ok</v>
      </c>
      <c r="G4" s="17" t="str">
        <f>IF(COUNTIF(Phrases!$A:$A,$A4)&gt;0,"ok","à faire")</f>
        <v>ok</v>
      </c>
      <c r="H4" s="17" t="str">
        <f>IF(COUNTIFS(Phrases!$A:$A,$A4,Phrases!$I:$I,"&lt;&gt;")&gt;0,"ok","à faire")</f>
        <v>à faire</v>
      </c>
      <c r="I4" s="17" t="str">
        <f>IF(COUNTIF(Synonymes!$A:$A,$A4)&gt;0,"ok","")</f>
        <v>ok</v>
      </c>
      <c r="J4" s="17">
        <f t="shared" si="0"/>
        <v>1</v>
      </c>
    </row>
    <row r="5" spans="1:10" x14ac:dyDescent="0.3">
      <c r="A5" s="17" t="s">
        <v>426</v>
      </c>
      <c r="B5" s="17" t="str">
        <f>IFERROR(INDEX(Mots!$B:$B,MATCH($A5,Mots!$A:$A,0)),"introuvable")</f>
        <v>le bureau (meuble)</v>
      </c>
      <c r="C5" s="17" t="str">
        <f>IFERROR(INDEX(Mots!$N:$N,MATCH($A5,Mots!$A:$A,0)),"")</f>
        <v>chose</v>
      </c>
      <c r="D5" s="17">
        <f>IFERROR(COUNTA(INDEX(Mots!$E:$E,MATCH($A5,Mots!$A:$A,0)):INDEX(Mots!$K:$K,MATCH($A5,Mots!$A:$A,0))),0)</f>
        <v>4</v>
      </c>
      <c r="E5" s="17" t="str">
        <f>IF(COUNTIF(Classement!$A:$A,$A5)&gt;0,"ok","à faire")</f>
        <v>ok</v>
      </c>
      <c r="F5" s="17" t="str">
        <f>IF(COUNTIF(Tags!$A:$A,$A5)&gt;0,"ok","à faire")</f>
        <v>ok</v>
      </c>
      <c r="G5" s="17" t="str">
        <f>IF(COUNTIF(Phrases!$A:$A,$A5)&gt;0,"ok","à faire")</f>
        <v>ok</v>
      </c>
      <c r="H5" s="17" t="str">
        <f>IF(COUNTIFS(Phrases!$A:$A,$A5,Phrases!$I:$I,"&lt;&gt;")&gt;0,"ok","à faire")</f>
        <v>à faire</v>
      </c>
      <c r="I5" s="17" t="str">
        <f>IF(COUNTIF(Synonymes!$A:$A,$A5)&gt;0,"ok","")</f>
        <v/>
      </c>
      <c r="J5" s="17">
        <f t="shared" si="0"/>
        <v>1</v>
      </c>
    </row>
    <row r="6" spans="1:10" x14ac:dyDescent="0.3">
      <c r="A6" s="17" t="s">
        <v>434</v>
      </c>
      <c r="B6" s="17" t="str">
        <f>IFERROR(INDEX(Mots!$B:$B,MATCH($A6,Mots!$A:$A,0)),"introuvable")</f>
        <v>le rapport</v>
      </c>
      <c r="C6" s="17" t="str">
        <f>IFERROR(INDEX(Mots!$N:$N,MATCH($A6,Mots!$A:$A,0)),"")</f>
        <v>chose</v>
      </c>
      <c r="D6" s="17">
        <f>IFERROR(COUNTA(INDEX(Mots!$E:$E,MATCH($A6,Mots!$A:$A,0)):INDEX(Mots!$K:$K,MATCH($A6,Mots!$A:$A,0))),0)</f>
        <v>1</v>
      </c>
      <c r="E6" s="17" t="str">
        <f>IF(COUNTIF(Classement!$A:$A,$A6)&gt;0,"ok","à faire")</f>
        <v>ok</v>
      </c>
      <c r="F6" s="17" t="str">
        <f>IF(COUNTIF(Tags!$A:$A,$A6)&gt;0,"ok","à faire")</f>
        <v>ok</v>
      </c>
      <c r="G6" s="17" t="str">
        <f>IF(COUNTIF(Phrases!$A:$A,$A6)&gt;0,"ok","à faire")</f>
        <v>ok</v>
      </c>
      <c r="H6" s="17" t="str">
        <f>IF(COUNTIFS(Phrases!$A:$A,$A6,Phrases!$I:$I,"&lt;&gt;")&gt;0,"ok","à faire")</f>
        <v>ok</v>
      </c>
      <c r="I6" s="17" t="str">
        <f>IF(COUNTIF(Synonymes!$A:$A,$A6)&gt;0,"ok","")</f>
        <v>ok</v>
      </c>
      <c r="J6" s="17">
        <f t="shared" si="0"/>
        <v>0</v>
      </c>
    </row>
    <row r="7" spans="1:10" x14ac:dyDescent="0.3">
      <c r="A7" s="17" t="s">
        <v>438</v>
      </c>
      <c r="B7" s="17" t="str">
        <f>IFERROR(INDEX(Mots!$B:$B,MATCH($A7,Mots!$A:$A,0)),"introuvable")</f>
        <v>l'entreprise</v>
      </c>
      <c r="C7" s="17" t="str">
        <f>IFERROR(INDEX(Mots!$N:$N,MATCH($A7,Mots!$A:$A,0)),"")</f>
        <v>chose</v>
      </c>
      <c r="D7" s="17">
        <f>IFERROR(COUNTA(INDEX(Mots!$E:$E,MATCH($A7,Mots!$A:$A,0)):INDEX(Mots!$K:$K,MATCH($A7,Mots!$A:$A,0))),0)</f>
        <v>4</v>
      </c>
      <c r="E7" s="17" t="str">
        <f>IF(COUNTIF(Classement!$A:$A,$A7)&gt;0,"ok","à faire")</f>
        <v>ok</v>
      </c>
      <c r="F7" s="17" t="str">
        <f>IF(COUNTIF(Tags!$A:$A,$A7)&gt;0,"ok","à faire")</f>
        <v>ok</v>
      </c>
      <c r="G7" s="17" t="str">
        <f>IF(COUNTIF(Phrases!$A:$A,$A7)&gt;0,"ok","à faire")</f>
        <v>ok</v>
      </c>
      <c r="H7" s="17" t="str">
        <f>IF(COUNTIFS(Phrases!$A:$A,$A7,Phrases!$I:$I,"&lt;&gt;")&gt;0,"ok","à faire")</f>
        <v>à faire</v>
      </c>
      <c r="I7" s="17" t="str">
        <f>IF(COUNTIF(Synonymes!$A:$A,$A7)&gt;0,"ok","")</f>
        <v>ok</v>
      </c>
      <c r="J7" s="17">
        <f t="shared" si="0"/>
        <v>1</v>
      </c>
    </row>
    <row r="8" spans="1:10" x14ac:dyDescent="0.3">
      <c r="A8" s="17" t="s">
        <v>446</v>
      </c>
      <c r="B8" s="17" t="str">
        <f>IFERROR(INDEX(Mots!$B:$B,MATCH($A8,Mots!$A:$A,0)),"introuvable")</f>
        <v>l'équipe</v>
      </c>
      <c r="C8" s="17" t="str">
        <f>IFERROR(INDEX(Mots!$N:$N,MATCH($A8,Mots!$A:$A,0)),"")</f>
        <v>chose</v>
      </c>
      <c r="D8" s="17">
        <f>IFERROR(COUNTA(INDEX(Mots!$E:$E,MATCH($A8,Mots!$A:$A,0)):INDEX(Mots!$K:$K,MATCH($A8,Mots!$A:$A,0))),0)</f>
        <v>4</v>
      </c>
      <c r="E8" s="17" t="str">
        <f>IF(COUNTIF(Classement!$A:$A,$A8)&gt;0,"ok","à faire")</f>
        <v>ok</v>
      </c>
      <c r="F8" s="17" t="str">
        <f>IF(COUNTIF(Tags!$A:$A,$A8)&gt;0,"ok","à faire")</f>
        <v>ok</v>
      </c>
      <c r="G8" s="17" t="str">
        <f>IF(COUNTIF(Phrases!$A:$A,$A8)&gt;0,"ok","à faire")</f>
        <v>ok</v>
      </c>
      <c r="H8" s="17" t="str">
        <f>IF(COUNTIFS(Phrases!$A:$A,$A8,Phrases!$I:$I,"&lt;&gt;")&gt;0,"ok","à faire")</f>
        <v>à faire</v>
      </c>
      <c r="I8" s="17" t="str">
        <f>IF(COUNTIF(Synonymes!$A:$A,$A8)&gt;0,"ok","")</f>
        <v>ok</v>
      </c>
      <c r="J8" s="17">
        <f t="shared" si="0"/>
        <v>1</v>
      </c>
    </row>
    <row r="9" spans="1:10" x14ac:dyDescent="0.3">
      <c r="A9" s="17" t="s">
        <v>29</v>
      </c>
      <c r="B9" s="17" t="str">
        <f>IFERROR(INDEX(Mots!$B:$B,MATCH($A9,Mots!$A:$A,0)),"introuvable")</f>
        <v>la famille</v>
      </c>
      <c r="C9" s="17" t="str">
        <f>IFERROR(INDEX(Mots!$N:$N,MATCH($A9,Mots!$A:$A,0)),"")</f>
        <v>personne</v>
      </c>
      <c r="D9" s="17">
        <f>IFERROR(COUNTA(INDEX(Mots!$E:$E,MATCH($A9,Mots!$A:$A,0)):INDEX(Mots!$K:$K,MATCH($A9,Mots!$A:$A,0))),0)</f>
        <v>2</v>
      </c>
      <c r="E9" s="17" t="str">
        <f>IF(COUNTIF(Classement!$A:$A,$A9)&gt;0,"ok","à faire")</f>
        <v>ok</v>
      </c>
      <c r="F9" s="17" t="str">
        <f>IF(COUNTIF(Tags!$A:$A,$A9)&gt;0,"ok","à faire")</f>
        <v>ok</v>
      </c>
      <c r="G9" s="17" t="str">
        <f>IF(COUNTIF(Phrases!$A:$A,$A9)&gt;0,"ok","à faire")</f>
        <v>ok</v>
      </c>
      <c r="H9" s="17" t="str">
        <f>IF(COUNTIFS(Phrases!$A:$A,$A9,Phrases!$I:$I,"&lt;&gt;")&gt;0,"ok","à faire")</f>
        <v>à faire</v>
      </c>
      <c r="I9" s="17" t="str">
        <f>IF(COUNTIF(Synonymes!$A:$A,$A9)&gt;0,"ok","")</f>
        <v/>
      </c>
      <c r="J9" s="17">
        <f t="shared" si="0"/>
        <v>1</v>
      </c>
    </row>
    <row r="10" spans="1:10" x14ac:dyDescent="0.3">
      <c r="A10" s="17" t="s">
        <v>459</v>
      </c>
      <c r="B10" s="17" t="str">
        <f>IFERROR(INDEX(Mots!$B:$B,MATCH($A10,Mots!$A:$A,0)),"introuvable")</f>
        <v>le mari et la femme</v>
      </c>
      <c r="C10" s="17" t="str">
        <f>IFERROR(INDEX(Mots!$N:$N,MATCH($A10,Mots!$A:$A,0)),"")</f>
        <v>personne</v>
      </c>
      <c r="D10" s="17">
        <f>IFERROR(COUNTA(INDEX(Mots!$E:$E,MATCH($A10,Mots!$A:$A,0)):INDEX(Mots!$K:$K,MATCH($A10,Mots!$A:$A,0))),0)</f>
        <v>4</v>
      </c>
      <c r="E10" s="17" t="str">
        <f>IF(COUNTIF(Classement!$A:$A,$A10)&gt;0,"ok","à faire")</f>
        <v>ok</v>
      </c>
      <c r="F10" s="17" t="str">
        <f>IF(COUNTIF(Tags!$A:$A,$A10)&gt;0,"ok","à faire")</f>
        <v>ok</v>
      </c>
      <c r="G10" s="17" t="str">
        <f>IF(COUNTIF(Phrases!$A:$A,$A10)&gt;0,"ok","à faire")</f>
        <v>ok</v>
      </c>
      <c r="H10" s="17" t="str">
        <f>IF(COUNTIFS(Phrases!$A:$A,$A10,Phrases!$I:$I,"&lt;&gt;")&gt;0,"ok","à faire")</f>
        <v>à faire</v>
      </c>
      <c r="I10" s="17" t="str">
        <f>IF(COUNTIF(Synonymes!$A:$A,$A10)&gt;0,"ok","")</f>
        <v>ok</v>
      </c>
      <c r="J10" s="17">
        <f t="shared" si="0"/>
        <v>1</v>
      </c>
    </row>
    <row r="11" spans="1:10" x14ac:dyDescent="0.3">
      <c r="A11" s="17" t="s">
        <v>467</v>
      </c>
      <c r="B11" s="17" t="str">
        <f>IFERROR(INDEX(Mots!$B:$B,MATCH($A11,Mots!$A:$A,0)),"introuvable")</f>
        <v>la mère - la maman</v>
      </c>
      <c r="C11" s="17" t="str">
        <f>IFERROR(INDEX(Mots!$N:$N,MATCH($A11,Mots!$A:$A,0)),"")</f>
        <v>personne</v>
      </c>
      <c r="D11" s="17">
        <f>IFERROR(COUNTA(INDEX(Mots!$E:$E,MATCH($A11,Mots!$A:$A,0)):INDEX(Mots!$K:$K,MATCH($A11,Mots!$A:$A,0))),0)</f>
        <v>1</v>
      </c>
      <c r="E11" s="17" t="str">
        <f>IF(COUNTIF(Classement!$A:$A,$A11)&gt;0,"ok","à faire")</f>
        <v>ok</v>
      </c>
      <c r="F11" s="17" t="str">
        <f>IF(COUNTIF(Tags!$A:$A,$A11)&gt;0,"ok","à faire")</f>
        <v>ok</v>
      </c>
      <c r="G11" s="17" t="str">
        <f>IF(COUNTIF(Phrases!$A:$A,$A11)&gt;0,"ok","à faire")</f>
        <v>ok</v>
      </c>
      <c r="H11" s="17" t="str">
        <f>IF(COUNTIFS(Phrases!$A:$A,$A11,Phrases!$I:$I,"&lt;&gt;")&gt;0,"ok","à faire")</f>
        <v>à faire</v>
      </c>
      <c r="I11" s="17" t="str">
        <f>IF(COUNTIF(Synonymes!$A:$A,$A11)&gt;0,"ok","")</f>
        <v>ok</v>
      </c>
      <c r="J11" s="17">
        <f t="shared" si="0"/>
        <v>1</v>
      </c>
    </row>
    <row r="12" spans="1:10" x14ac:dyDescent="0.3">
      <c r="A12" s="17" t="s">
        <v>470</v>
      </c>
      <c r="B12" s="17" t="str">
        <f>IFERROR(INDEX(Mots!$B:$B,MATCH($A12,Mots!$A:$A,0)),"introuvable")</f>
        <v>le père - le papa</v>
      </c>
      <c r="C12" s="17" t="str">
        <f>IFERROR(INDEX(Mots!$N:$N,MATCH($A12,Mots!$A:$A,0)),"")</f>
        <v>personne</v>
      </c>
      <c r="D12" s="17">
        <f>IFERROR(COUNTA(INDEX(Mots!$E:$E,MATCH($A12,Mots!$A:$A,0)):INDEX(Mots!$K:$K,MATCH($A12,Mots!$A:$A,0))),0)</f>
        <v>1</v>
      </c>
      <c r="E12" s="17" t="str">
        <f>IF(COUNTIF(Classement!$A:$A,$A12)&gt;0,"ok","à faire")</f>
        <v>ok</v>
      </c>
      <c r="F12" s="17" t="str">
        <f>IF(COUNTIF(Tags!$A:$A,$A12)&gt;0,"ok","à faire")</f>
        <v>ok</v>
      </c>
      <c r="G12" s="17" t="str">
        <f>IF(COUNTIF(Phrases!$A:$A,$A12)&gt;0,"ok","à faire")</f>
        <v>ok</v>
      </c>
      <c r="H12" s="17" t="str">
        <f>IF(COUNTIFS(Phrases!$A:$A,$A12,Phrases!$I:$I,"&lt;&gt;")&gt;0,"ok","à faire")</f>
        <v>à faire</v>
      </c>
      <c r="I12" s="17" t="str">
        <f>IF(COUNTIF(Synonymes!$A:$A,$A12)&gt;0,"ok","")</f>
        <v>ok</v>
      </c>
      <c r="J12" s="17">
        <f t="shared" si="0"/>
        <v>1</v>
      </c>
    </row>
    <row r="13" spans="1:10" x14ac:dyDescent="0.3">
      <c r="A13" s="17" t="s">
        <v>473</v>
      </c>
      <c r="B13" s="17" t="str">
        <f>IFERROR(INDEX(Mots!$B:$B,MATCH($A13,Mots!$A:$A,0)),"introuvable")</f>
        <v>les enfants</v>
      </c>
      <c r="C13" s="17" t="str">
        <f>IFERROR(INDEX(Mots!$N:$N,MATCH($A13,Mots!$A:$A,0)),"")</f>
        <v>personne</v>
      </c>
      <c r="D13" s="17">
        <f>IFERROR(COUNTA(INDEX(Mots!$E:$E,MATCH($A13,Mots!$A:$A,0)):INDEX(Mots!$K:$K,MATCH($A13,Mots!$A:$A,0))),0)</f>
        <v>4</v>
      </c>
      <c r="E13" s="17" t="str">
        <f>IF(COUNTIF(Classement!$A:$A,$A13)&gt;0,"ok","à faire")</f>
        <v>ok</v>
      </c>
      <c r="F13" s="17" t="str">
        <f>IF(COUNTIF(Tags!$A:$A,$A13)&gt;0,"ok","à faire")</f>
        <v>ok</v>
      </c>
      <c r="G13" s="17" t="str">
        <f>IF(COUNTIF(Phrases!$A:$A,$A13)&gt;0,"ok","à faire")</f>
        <v>ok</v>
      </c>
      <c r="H13" s="17" t="str">
        <f>IF(COUNTIFS(Phrases!$A:$A,$A13,Phrases!$I:$I,"&lt;&gt;")&gt;0,"ok","à faire")</f>
        <v>à faire</v>
      </c>
      <c r="I13" s="17" t="str">
        <f>IF(COUNTIF(Synonymes!$A:$A,$A13)&gt;0,"ok","")</f>
        <v>ok</v>
      </c>
      <c r="J13" s="17">
        <f t="shared" si="0"/>
        <v>1</v>
      </c>
    </row>
    <row r="14" spans="1:10" x14ac:dyDescent="0.3">
      <c r="A14" s="17" t="s">
        <v>481</v>
      </c>
      <c r="B14" s="17" t="str">
        <f>IFERROR(INDEX(Mots!$B:$B,MATCH($A14,Mots!$A:$A,0)),"introuvable")</f>
        <v>le bébé</v>
      </c>
      <c r="C14" s="17" t="str">
        <f>IFERROR(INDEX(Mots!$N:$N,MATCH($A14,Mots!$A:$A,0)),"")</f>
        <v>personne</v>
      </c>
      <c r="D14" s="17">
        <f>IFERROR(COUNTA(INDEX(Mots!$E:$E,MATCH($A14,Mots!$A:$A,0)):INDEX(Mots!$K:$K,MATCH($A14,Mots!$A:$A,0))),0)</f>
        <v>5</v>
      </c>
      <c r="E14" s="17" t="str">
        <f>IF(COUNTIF(Classement!$A:$A,$A14)&gt;0,"ok","à faire")</f>
        <v>ok</v>
      </c>
      <c r="F14" s="17" t="str">
        <f>IF(COUNTIF(Tags!$A:$A,$A14)&gt;0,"ok","à faire")</f>
        <v>ok</v>
      </c>
      <c r="G14" s="17" t="str">
        <f>IF(COUNTIF(Phrases!$A:$A,$A14)&gt;0,"ok","à faire")</f>
        <v>ok</v>
      </c>
      <c r="H14" s="17" t="str">
        <f>IF(COUNTIFS(Phrases!$A:$A,$A14,Phrases!$I:$I,"&lt;&gt;")&gt;0,"ok","à faire")</f>
        <v>à faire</v>
      </c>
      <c r="I14" s="17" t="str">
        <f>IF(COUNTIF(Synonymes!$A:$A,$A14)&gt;0,"ok","")</f>
        <v>ok</v>
      </c>
      <c r="J14" s="17">
        <f t="shared" si="0"/>
        <v>1</v>
      </c>
    </row>
    <row r="15" spans="1:10" x14ac:dyDescent="0.3">
      <c r="A15" s="17" t="s">
        <v>490</v>
      </c>
      <c r="B15" s="17" t="str">
        <f>IFERROR(INDEX(Mots!$B:$B,MATCH($A15,Mots!$A:$A,0)),"introuvable")</f>
        <v>la fille</v>
      </c>
      <c r="C15" s="17" t="str">
        <f>IFERROR(INDEX(Mots!$N:$N,MATCH($A15,Mots!$A:$A,0)),"")</f>
        <v>personne</v>
      </c>
      <c r="D15" s="17">
        <f>IFERROR(COUNTA(INDEX(Mots!$E:$E,MATCH($A15,Mots!$A:$A,0)):INDEX(Mots!$K:$K,MATCH($A15,Mots!$A:$A,0))),0)</f>
        <v>5</v>
      </c>
      <c r="E15" s="17" t="str">
        <f>IF(COUNTIF(Classement!$A:$A,$A15)&gt;0,"ok","à faire")</f>
        <v>ok</v>
      </c>
      <c r="F15" s="17" t="str">
        <f>IF(COUNTIF(Tags!$A:$A,$A15)&gt;0,"ok","à faire")</f>
        <v>ok</v>
      </c>
      <c r="G15" s="17" t="str">
        <f>IF(COUNTIF(Phrases!$A:$A,$A15)&gt;0,"ok","à faire")</f>
        <v>ok</v>
      </c>
      <c r="H15" s="17" t="str">
        <f>IF(COUNTIFS(Phrases!$A:$A,$A15,Phrases!$I:$I,"&lt;&gt;")&gt;0,"ok","à faire")</f>
        <v>à faire</v>
      </c>
      <c r="I15" s="17" t="str">
        <f>IF(COUNTIF(Synonymes!$A:$A,$A15)&gt;0,"ok","")</f>
        <v/>
      </c>
      <c r="J15" s="17">
        <f t="shared" si="0"/>
        <v>1</v>
      </c>
    </row>
    <row r="16" spans="1:10" x14ac:dyDescent="0.3">
      <c r="A16" s="17" t="s">
        <v>499</v>
      </c>
      <c r="B16" s="17" t="str">
        <f>IFERROR(INDEX(Mots!$B:$B,MATCH($A16,Mots!$A:$A,0)),"introuvable")</f>
        <v>le fils</v>
      </c>
      <c r="C16" s="17" t="str">
        <f>IFERROR(INDEX(Mots!$N:$N,MATCH($A16,Mots!$A:$A,0)),"")</f>
        <v>personne</v>
      </c>
      <c r="D16" s="17">
        <f>IFERROR(COUNTA(INDEX(Mots!$E:$E,MATCH($A16,Mots!$A:$A,0)):INDEX(Mots!$K:$K,MATCH($A16,Mots!$A:$A,0))),0)</f>
        <v>3</v>
      </c>
      <c r="E16" s="17" t="str">
        <f>IF(COUNTIF(Classement!$A:$A,$A16)&gt;0,"ok","à faire")</f>
        <v>ok</v>
      </c>
      <c r="F16" s="17" t="str">
        <f>IF(COUNTIF(Tags!$A:$A,$A16)&gt;0,"ok","à faire")</f>
        <v>ok</v>
      </c>
      <c r="G16" s="17" t="str">
        <f>IF(COUNTIF(Phrases!$A:$A,$A16)&gt;0,"ok","à faire")</f>
        <v>ok</v>
      </c>
      <c r="H16" s="17" t="str">
        <f>IF(COUNTIFS(Phrases!$A:$A,$A16,Phrases!$I:$I,"&lt;&gt;")&gt;0,"ok","à faire")</f>
        <v>à faire</v>
      </c>
      <c r="I16" s="17" t="str">
        <f>IF(COUNTIF(Synonymes!$A:$A,$A16)&gt;0,"ok","")</f>
        <v/>
      </c>
      <c r="J16" s="17">
        <f t="shared" si="0"/>
        <v>1</v>
      </c>
    </row>
    <row r="17" spans="1:10" x14ac:dyDescent="0.3">
      <c r="A17" s="17" t="s">
        <v>506</v>
      </c>
      <c r="B17" s="17" t="str">
        <f>IFERROR(INDEX(Mots!$B:$B,MATCH($A17,Mots!$A:$A,0)),"introuvable")</f>
        <v>la grand-mère</v>
      </c>
      <c r="C17" s="17" t="str">
        <f>IFERROR(INDEX(Mots!$N:$N,MATCH($A17,Mots!$A:$A,0)),"")</f>
        <v>personne</v>
      </c>
      <c r="D17" s="17">
        <f>IFERROR(COUNTA(INDEX(Mots!$E:$E,MATCH($A17,Mots!$A:$A,0)):INDEX(Mots!$K:$K,MATCH($A17,Mots!$A:$A,0))),0)</f>
        <v>1</v>
      </c>
      <c r="E17" s="17" t="str">
        <f>IF(COUNTIF(Classement!$A:$A,$A17)&gt;0,"ok","à faire")</f>
        <v>ok</v>
      </c>
      <c r="F17" s="17" t="str">
        <f>IF(COUNTIF(Tags!$A:$A,$A17)&gt;0,"ok","à faire")</f>
        <v>ok</v>
      </c>
      <c r="G17" s="17" t="str">
        <f>IF(COUNTIF(Phrases!$A:$A,$A17)&gt;0,"ok","à faire")</f>
        <v>ok</v>
      </c>
      <c r="H17" s="17" t="str">
        <f>IF(COUNTIFS(Phrases!$A:$A,$A17,Phrases!$I:$I,"&lt;&gt;")&gt;0,"ok","à faire")</f>
        <v>à faire</v>
      </c>
      <c r="I17" s="17" t="str">
        <f>IF(COUNTIF(Synonymes!$A:$A,$A17)&gt;0,"ok","")</f>
        <v>ok</v>
      </c>
      <c r="J17" s="17">
        <f t="shared" si="0"/>
        <v>1</v>
      </c>
    </row>
    <row r="18" spans="1:10" x14ac:dyDescent="0.3">
      <c r="A18" s="17" t="s">
        <v>510</v>
      </c>
      <c r="B18" s="17" t="str">
        <f>IFERROR(INDEX(Mots!$B:$B,MATCH($A18,Mots!$A:$A,0)),"introuvable")</f>
        <v>le grand-père</v>
      </c>
      <c r="C18" s="17" t="str">
        <f>IFERROR(INDEX(Mots!$N:$N,MATCH($A18,Mots!$A:$A,0)),"")</f>
        <v>personne</v>
      </c>
      <c r="D18" s="17">
        <f>IFERROR(COUNTA(INDEX(Mots!$E:$E,MATCH($A18,Mots!$A:$A,0)):INDEX(Mots!$K:$K,MATCH($A18,Mots!$A:$A,0))),0)</f>
        <v>1</v>
      </c>
      <c r="E18" s="17" t="str">
        <f>IF(COUNTIF(Classement!$A:$A,$A18)&gt;0,"ok","à faire")</f>
        <v>ok</v>
      </c>
      <c r="F18" s="17" t="str">
        <f>IF(COUNTIF(Tags!$A:$A,$A18)&gt;0,"ok","à faire")</f>
        <v>ok</v>
      </c>
      <c r="G18" s="17" t="str">
        <f>IF(COUNTIF(Phrases!$A:$A,$A18)&gt;0,"ok","à faire")</f>
        <v>ok</v>
      </c>
      <c r="H18" s="17" t="str">
        <f>IF(COUNTIFS(Phrases!$A:$A,$A18,Phrases!$I:$I,"&lt;&gt;")&gt;0,"ok","à faire")</f>
        <v>à faire</v>
      </c>
      <c r="I18" s="17" t="str">
        <f>IF(COUNTIF(Synonymes!$A:$A,$A18)&gt;0,"ok","")</f>
        <v>ok</v>
      </c>
      <c r="J18" s="17">
        <f t="shared" si="0"/>
        <v>1</v>
      </c>
    </row>
    <row r="19" spans="1:10" x14ac:dyDescent="0.3">
      <c r="A19" s="17" t="s">
        <v>514</v>
      </c>
      <c r="B19" s="17" t="str">
        <f>IFERROR(INDEX(Mots!$B:$B,MATCH($A19,Mots!$A:$A,0)),"introuvable")</f>
        <v>la soeur</v>
      </c>
      <c r="C19" s="17" t="str">
        <f>IFERROR(INDEX(Mots!$N:$N,MATCH($A19,Mots!$A:$A,0)),"")</f>
        <v>personne</v>
      </c>
      <c r="D19" s="17">
        <f>IFERROR(COUNTA(INDEX(Mots!$E:$E,MATCH($A19,Mots!$A:$A,0)):INDEX(Mots!$K:$K,MATCH($A19,Mots!$A:$A,0))),0)</f>
        <v>3</v>
      </c>
      <c r="E19" s="17" t="str">
        <f>IF(COUNTIF(Classement!$A:$A,$A19)&gt;0,"ok","à faire")</f>
        <v>ok</v>
      </c>
      <c r="F19" s="17" t="str">
        <f>IF(COUNTIF(Tags!$A:$A,$A19)&gt;0,"ok","à faire")</f>
        <v>ok</v>
      </c>
      <c r="G19" s="17" t="str">
        <f>IF(COUNTIF(Phrases!$A:$A,$A19)&gt;0,"ok","à faire")</f>
        <v>ok</v>
      </c>
      <c r="H19" s="17" t="str">
        <f>IF(COUNTIFS(Phrases!$A:$A,$A19,Phrases!$I:$I,"&lt;&gt;")&gt;0,"ok","à faire")</f>
        <v>à faire</v>
      </c>
      <c r="I19" s="17" t="str">
        <f>IF(COUNTIF(Synonymes!$A:$A,$A19)&gt;0,"ok","")</f>
        <v/>
      </c>
      <c r="J19" s="17">
        <f t="shared" si="0"/>
        <v>1</v>
      </c>
    </row>
    <row r="20" spans="1:10" x14ac:dyDescent="0.3">
      <c r="A20" s="17" t="s">
        <v>521</v>
      </c>
      <c r="B20" s="17" t="str">
        <f>IFERROR(INDEX(Mots!$B:$B,MATCH($A20,Mots!$A:$A,0)),"introuvable")</f>
        <v>le frère</v>
      </c>
      <c r="C20" s="17" t="str">
        <f>IFERROR(INDEX(Mots!$N:$N,MATCH($A20,Mots!$A:$A,0)),"")</f>
        <v>personne</v>
      </c>
      <c r="D20" s="17">
        <f>IFERROR(COUNTA(INDEX(Mots!$E:$E,MATCH($A20,Mots!$A:$A,0)):INDEX(Mots!$K:$K,MATCH($A20,Mots!$A:$A,0))),0)</f>
        <v>1</v>
      </c>
      <c r="E20" s="17" t="str">
        <f>IF(COUNTIF(Classement!$A:$A,$A20)&gt;0,"ok","à faire")</f>
        <v>ok</v>
      </c>
      <c r="F20" s="17" t="str">
        <f>IF(COUNTIF(Tags!$A:$A,$A20)&gt;0,"ok","à faire")</f>
        <v>ok</v>
      </c>
      <c r="G20" s="17" t="str">
        <f>IF(COUNTIF(Phrases!$A:$A,$A20)&gt;0,"ok","à faire")</f>
        <v>ok</v>
      </c>
      <c r="H20" s="17" t="str">
        <f>IF(COUNTIFS(Phrases!$A:$A,$A20,Phrases!$I:$I,"&lt;&gt;")&gt;0,"ok","à faire")</f>
        <v>à faire</v>
      </c>
      <c r="I20" s="17" t="str">
        <f>IF(COUNTIF(Synonymes!$A:$A,$A20)&gt;0,"ok","")</f>
        <v/>
      </c>
      <c r="J20" s="17">
        <f t="shared" si="0"/>
        <v>1</v>
      </c>
    </row>
    <row r="21" spans="1:10" x14ac:dyDescent="0.3">
      <c r="A21" s="17" t="s">
        <v>526</v>
      </c>
      <c r="B21" s="17" t="str">
        <f>IFERROR(INDEX(Mots!$B:$B,MATCH($A21,Mots!$A:$A,0)),"introuvable")</f>
        <v>la tante</v>
      </c>
      <c r="C21" s="17" t="str">
        <f>IFERROR(INDEX(Mots!$N:$N,MATCH($A21,Mots!$A:$A,0)),"")</f>
        <v>personne</v>
      </c>
      <c r="D21" s="17">
        <f>IFERROR(COUNTA(INDEX(Mots!$E:$E,MATCH($A21,Mots!$A:$A,0)):INDEX(Mots!$K:$K,MATCH($A21,Mots!$A:$A,0))),0)</f>
        <v>1</v>
      </c>
      <c r="E21" s="17" t="str">
        <f>IF(COUNTIF(Classement!$A:$A,$A21)&gt;0,"ok","à faire")</f>
        <v>ok</v>
      </c>
      <c r="F21" s="17" t="str">
        <f>IF(COUNTIF(Tags!$A:$A,$A21)&gt;0,"ok","à faire")</f>
        <v>ok</v>
      </c>
      <c r="G21" s="17" t="str">
        <f>IF(COUNTIF(Phrases!$A:$A,$A21)&gt;0,"ok","à faire")</f>
        <v>ok</v>
      </c>
      <c r="H21" s="17" t="str">
        <f>IF(COUNTIFS(Phrases!$A:$A,$A21,Phrases!$I:$I,"&lt;&gt;")&gt;0,"ok","à faire")</f>
        <v>à faire</v>
      </c>
      <c r="I21" s="17" t="str">
        <f>IF(COUNTIF(Synonymes!$A:$A,$A21)&gt;0,"ok","")</f>
        <v>ok</v>
      </c>
      <c r="J21" s="17">
        <f t="shared" si="0"/>
        <v>1</v>
      </c>
    </row>
    <row r="22" spans="1:10" x14ac:dyDescent="0.3">
      <c r="A22" s="17" t="s">
        <v>531</v>
      </c>
      <c r="B22" s="17" t="str">
        <f>IFERROR(INDEX(Mots!$B:$B,MATCH($A22,Mots!$A:$A,0)),"introuvable")</f>
        <v>l'oncle</v>
      </c>
      <c r="C22" s="17" t="str">
        <f>IFERROR(INDEX(Mots!$N:$N,MATCH($A22,Mots!$A:$A,0)),"")</f>
        <v>personne</v>
      </c>
      <c r="D22" s="17">
        <f>IFERROR(COUNTA(INDEX(Mots!$E:$E,MATCH($A22,Mots!$A:$A,0)):INDEX(Mots!$K:$K,MATCH($A22,Mots!$A:$A,0))),0)</f>
        <v>2</v>
      </c>
      <c r="E22" s="17" t="str">
        <f>IF(COUNTIF(Classement!$A:$A,$A22)&gt;0,"ok","à faire")</f>
        <v>ok</v>
      </c>
      <c r="F22" s="17" t="str">
        <f>IF(COUNTIF(Tags!$A:$A,$A22)&gt;0,"ok","à faire")</f>
        <v>ok</v>
      </c>
      <c r="G22" s="17" t="str">
        <f>IF(COUNTIF(Phrases!$A:$A,$A22)&gt;0,"ok","à faire")</f>
        <v>ok</v>
      </c>
      <c r="H22" s="17" t="str">
        <f>IF(COUNTIFS(Phrases!$A:$A,$A22,Phrases!$I:$I,"&lt;&gt;")&gt;0,"ok","à faire")</f>
        <v>à faire</v>
      </c>
      <c r="I22" s="17" t="str">
        <f>IF(COUNTIF(Synonymes!$A:$A,$A22)&gt;0,"ok","")</f>
        <v>ok</v>
      </c>
      <c r="J22" s="17">
        <f t="shared" si="0"/>
        <v>1</v>
      </c>
    </row>
    <row r="23" spans="1:10" x14ac:dyDescent="0.3">
      <c r="A23" s="17" t="s">
        <v>535</v>
      </c>
      <c r="B23" s="17" t="str">
        <f>IFERROR(INDEX(Mots!$B:$B,MATCH($A23,Mots!$A:$A,0)),"introuvable")</f>
        <v>l'homme</v>
      </c>
      <c r="C23" s="17" t="str">
        <f>IFERROR(INDEX(Mots!$N:$N,MATCH($A23,Mots!$A:$A,0)),"")</f>
        <v>personne</v>
      </c>
      <c r="D23" s="17">
        <f>IFERROR(COUNTA(INDEX(Mots!$E:$E,MATCH($A23,Mots!$A:$A,0)):INDEX(Mots!$K:$K,MATCH($A23,Mots!$A:$A,0))),0)</f>
        <v>5</v>
      </c>
      <c r="E23" s="17" t="str">
        <f>IF(COUNTIF(Classement!$A:$A,$A23)&gt;0,"ok","à faire")</f>
        <v>ok</v>
      </c>
      <c r="F23" s="17" t="str">
        <f>IF(COUNTIF(Tags!$A:$A,$A23)&gt;0,"ok","à faire")</f>
        <v>à faire</v>
      </c>
      <c r="G23" s="17" t="str">
        <f>IF(COUNTIF(Phrases!$A:$A,$A23)&gt;0,"ok","à faire")</f>
        <v>ok</v>
      </c>
      <c r="H23" s="17" t="str">
        <f>IF(COUNTIFS(Phrases!$A:$A,$A23,Phrases!$I:$I,"&lt;&gt;")&gt;0,"ok","à faire")</f>
        <v>à faire</v>
      </c>
      <c r="I23" s="17" t="str">
        <f>IF(COUNTIF(Synonymes!$A:$A,$A23)&gt;0,"ok","")</f>
        <v>ok</v>
      </c>
      <c r="J23" s="17">
        <f t="shared" si="0"/>
        <v>2</v>
      </c>
    </row>
    <row r="24" spans="1:10" x14ac:dyDescent="0.3">
      <c r="A24" s="17" t="s">
        <v>544</v>
      </c>
      <c r="B24" s="17" t="str">
        <f>IFERROR(INDEX(Mots!$B:$B,MATCH($A24,Mots!$A:$A,0)),"introuvable")</f>
        <v>la femme</v>
      </c>
      <c r="C24" s="17" t="str">
        <f>IFERROR(INDEX(Mots!$N:$N,MATCH($A24,Mots!$A:$A,0)),"")</f>
        <v>personne</v>
      </c>
      <c r="D24" s="17">
        <f>IFERROR(COUNTA(INDEX(Mots!$E:$E,MATCH($A24,Mots!$A:$A,0)):INDEX(Mots!$K:$K,MATCH($A24,Mots!$A:$A,0))),0)</f>
        <v>5</v>
      </c>
      <c r="E24" s="17" t="str">
        <f>IF(COUNTIF(Classement!$A:$A,$A24)&gt;0,"ok","à faire")</f>
        <v>ok</v>
      </c>
      <c r="F24" s="17" t="str">
        <f>IF(COUNTIF(Tags!$A:$A,$A24)&gt;0,"ok","à faire")</f>
        <v>à faire</v>
      </c>
      <c r="G24" s="17" t="str">
        <f>IF(COUNTIF(Phrases!$A:$A,$A24)&gt;0,"ok","à faire")</f>
        <v>ok</v>
      </c>
      <c r="H24" s="17" t="str">
        <f>IF(COUNTIFS(Phrases!$A:$A,$A24,Phrases!$I:$I,"&lt;&gt;")&gt;0,"ok","à faire")</f>
        <v>à faire</v>
      </c>
      <c r="I24" s="17" t="str">
        <f>IF(COUNTIF(Synonymes!$A:$A,$A24)&gt;0,"ok","")</f>
        <v>ok</v>
      </c>
      <c r="J24" s="17">
        <f t="shared" si="0"/>
        <v>2</v>
      </c>
    </row>
    <row r="25" spans="1:10" x14ac:dyDescent="0.3">
      <c r="A25" s="17" t="s">
        <v>553</v>
      </c>
      <c r="B25" s="17" t="str">
        <f>IFERROR(INDEX(Mots!$B:$B,MATCH($A25,Mots!$A:$A,0)),"introuvable")</f>
        <v>la pelouse</v>
      </c>
      <c r="C25" s="17" t="str">
        <f>IFERROR(INDEX(Mots!$N:$N,MATCH($A25,Mots!$A:$A,0)),"")</f>
        <v>chose</v>
      </c>
      <c r="D25" s="17">
        <f>IFERROR(COUNTA(INDEX(Mots!$E:$E,MATCH($A25,Mots!$A:$A,0)):INDEX(Mots!$K:$K,MATCH($A25,Mots!$A:$A,0))),0)</f>
        <v>1</v>
      </c>
      <c r="E25" s="17" t="str">
        <f>IF(COUNTIF(Classement!$A:$A,$A25)&gt;0,"ok","à faire")</f>
        <v>ok</v>
      </c>
      <c r="F25" s="17" t="str">
        <f>IF(COUNTIF(Tags!$A:$A,$A25)&gt;0,"ok","à faire")</f>
        <v>ok</v>
      </c>
      <c r="G25" s="17" t="str">
        <f>IF(COUNTIF(Phrases!$A:$A,$A25)&gt;0,"ok","à faire")</f>
        <v>ok</v>
      </c>
      <c r="H25" s="17" t="str">
        <f>IF(COUNTIFS(Phrases!$A:$A,$A25,Phrases!$I:$I,"&lt;&gt;")&gt;0,"ok","à faire")</f>
        <v>à faire</v>
      </c>
      <c r="I25" s="17" t="str">
        <f>IF(COUNTIF(Synonymes!$A:$A,$A25)&gt;0,"ok","")</f>
        <v>ok</v>
      </c>
      <c r="J25" s="17">
        <f t="shared" si="0"/>
        <v>1</v>
      </c>
    </row>
    <row r="26" spans="1:10" x14ac:dyDescent="0.3">
      <c r="A26" s="17" t="s">
        <v>557</v>
      </c>
      <c r="B26" s="17" t="str">
        <f>IFERROR(INDEX(Mots!$B:$B,MATCH($A26,Mots!$A:$A,0)),"introuvable")</f>
        <v>la table de jardin</v>
      </c>
      <c r="C26" s="17" t="str">
        <f>IFERROR(INDEX(Mots!$N:$N,MATCH($A26,Mots!$A:$A,0)),"")</f>
        <v>chose</v>
      </c>
      <c r="D26" s="17">
        <f>IFERROR(COUNTA(INDEX(Mots!$E:$E,MATCH($A26,Mots!$A:$A,0)):INDEX(Mots!$K:$K,MATCH($A26,Mots!$A:$A,0))),0)</f>
        <v>1</v>
      </c>
      <c r="E26" s="17" t="str">
        <f>IF(COUNTIF(Classement!$A:$A,$A26)&gt;0,"ok","à faire")</f>
        <v>ok</v>
      </c>
      <c r="F26" s="17" t="str">
        <f>IF(COUNTIF(Tags!$A:$A,$A26)&gt;0,"ok","à faire")</f>
        <v>ok</v>
      </c>
      <c r="G26" s="17" t="str">
        <f>IF(COUNTIF(Phrases!$A:$A,$A26)&gt;0,"ok","à faire")</f>
        <v>ok</v>
      </c>
      <c r="H26" s="17" t="str">
        <f>IF(COUNTIFS(Phrases!$A:$A,$A26,Phrases!$I:$I,"&lt;&gt;")&gt;0,"ok","à faire")</f>
        <v>à faire</v>
      </c>
      <c r="I26" s="17" t="str">
        <f>IF(COUNTIF(Synonymes!$A:$A,$A26)&gt;0,"ok","")</f>
        <v/>
      </c>
      <c r="J26" s="17">
        <f t="shared" si="0"/>
        <v>1</v>
      </c>
    </row>
    <row r="27" spans="1:10" x14ac:dyDescent="0.3">
      <c r="A27" s="17" t="s">
        <v>561</v>
      </c>
      <c r="B27" s="17" t="str">
        <f>IFERROR(INDEX(Mots!$B:$B,MATCH($A27,Mots!$A:$A,0)),"introuvable")</f>
        <v>la haie de thujas</v>
      </c>
      <c r="C27" s="17" t="str">
        <f>IFERROR(INDEX(Mots!$N:$N,MATCH($A27,Mots!$A:$A,0)),"")</f>
        <v>chose</v>
      </c>
      <c r="D27" s="17">
        <f>IFERROR(COUNTA(INDEX(Mots!$E:$E,MATCH($A27,Mots!$A:$A,0)):INDEX(Mots!$K:$K,MATCH($A27,Mots!$A:$A,0))),0)</f>
        <v>1</v>
      </c>
      <c r="E27" s="17" t="str">
        <f>IF(COUNTIF(Classement!$A:$A,$A27)&gt;0,"ok","à faire")</f>
        <v>ok</v>
      </c>
      <c r="F27" s="17" t="str">
        <f>IF(COUNTIF(Tags!$A:$A,$A27)&gt;0,"ok","à faire")</f>
        <v>ok</v>
      </c>
      <c r="G27" s="17" t="str">
        <f>IF(COUNTIF(Phrases!$A:$A,$A27)&gt;0,"ok","à faire")</f>
        <v>ok</v>
      </c>
      <c r="H27" s="17" t="str">
        <f>IF(COUNTIFS(Phrases!$A:$A,$A27,Phrases!$I:$I,"&lt;&gt;")&gt;0,"ok","à faire")</f>
        <v>à faire</v>
      </c>
      <c r="I27" s="17" t="str">
        <f>IF(COUNTIF(Synonymes!$A:$A,$A27)&gt;0,"ok","")</f>
        <v/>
      </c>
      <c r="J27" s="17">
        <f t="shared" si="0"/>
        <v>1</v>
      </c>
    </row>
    <row r="28" spans="1:10" x14ac:dyDescent="0.3">
      <c r="A28" s="17" t="s">
        <v>565</v>
      </c>
      <c r="B28" s="17" t="str">
        <f>IFERROR(INDEX(Mots!$B:$B,MATCH($A28,Mots!$A:$A,0)),"introuvable")</f>
        <v>l'arrosage automatique</v>
      </c>
      <c r="C28" s="17" t="str">
        <f>IFERROR(INDEX(Mots!$N:$N,MATCH($A28,Mots!$A:$A,0)),"")</f>
        <v>chose</v>
      </c>
      <c r="D28" s="17">
        <f>IFERROR(COUNTA(INDEX(Mots!$E:$E,MATCH($A28,Mots!$A:$A,0)):INDEX(Mots!$K:$K,MATCH($A28,Mots!$A:$A,0))),0)</f>
        <v>1</v>
      </c>
      <c r="E28" s="17" t="str">
        <f>IF(COUNTIF(Classement!$A:$A,$A28)&gt;0,"ok","à faire")</f>
        <v>ok</v>
      </c>
      <c r="F28" s="17" t="str">
        <f>IF(COUNTIF(Tags!$A:$A,$A28)&gt;0,"ok","à faire")</f>
        <v>ok</v>
      </c>
      <c r="G28" s="17" t="str">
        <f>IF(COUNTIF(Phrases!$A:$A,$A28)&gt;0,"ok","à faire")</f>
        <v>ok</v>
      </c>
      <c r="H28" s="17" t="str">
        <f>IF(COUNTIFS(Phrases!$A:$A,$A28,Phrases!$I:$I,"&lt;&gt;")&gt;0,"ok","à faire")</f>
        <v>à faire</v>
      </c>
      <c r="I28" s="17" t="str">
        <f>IF(COUNTIF(Synonymes!$A:$A,$A28)&gt;0,"ok","")</f>
        <v/>
      </c>
      <c r="J28" s="17">
        <f t="shared" si="0"/>
        <v>1</v>
      </c>
    </row>
    <row r="29" spans="1:10" x14ac:dyDescent="0.3">
      <c r="A29" s="17" t="s">
        <v>569</v>
      </c>
      <c r="B29" s="17" t="str">
        <f>IFERROR(INDEX(Mots!$B:$B,MATCH($A29,Mots!$A:$A,0)),"introuvable")</f>
        <v>la tondeuse à gazon</v>
      </c>
      <c r="C29" s="17" t="str">
        <f>IFERROR(INDEX(Mots!$N:$N,MATCH($A29,Mots!$A:$A,0)),"")</f>
        <v>chose</v>
      </c>
      <c r="D29" s="17">
        <f>IFERROR(COUNTA(INDEX(Mots!$E:$E,MATCH($A29,Mots!$A:$A,0)):INDEX(Mots!$K:$K,MATCH($A29,Mots!$A:$A,0))),0)</f>
        <v>1</v>
      </c>
      <c r="E29" s="17" t="str">
        <f>IF(COUNTIF(Classement!$A:$A,$A29)&gt;0,"ok","à faire")</f>
        <v>ok</v>
      </c>
      <c r="F29" s="17" t="str">
        <f>IF(COUNTIF(Tags!$A:$A,$A29)&gt;0,"ok","à faire")</f>
        <v>ok</v>
      </c>
      <c r="G29" s="17" t="str">
        <f>IF(COUNTIF(Phrases!$A:$A,$A29)&gt;0,"ok","à faire")</f>
        <v>ok</v>
      </c>
      <c r="H29" s="17" t="str">
        <f>IF(COUNTIFS(Phrases!$A:$A,$A29,Phrases!$I:$I,"&lt;&gt;")&gt;0,"ok","à faire")</f>
        <v>à faire</v>
      </c>
      <c r="I29" s="17" t="str">
        <f>IF(COUNTIF(Synonymes!$A:$A,$A29)&gt;0,"ok","")</f>
        <v/>
      </c>
      <c r="J29" s="17">
        <f t="shared" si="0"/>
        <v>1</v>
      </c>
    </row>
    <row r="30" spans="1:10" x14ac:dyDescent="0.3">
      <c r="A30" s="17" t="s">
        <v>573</v>
      </c>
      <c r="B30" s="17" t="str">
        <f>IFERROR(INDEX(Mots!$B:$B,MATCH($A30,Mots!$A:$A,0)),"introuvable")</f>
        <v>l'essence pour tondeuse</v>
      </c>
      <c r="C30" s="17" t="str">
        <f>IFERROR(INDEX(Mots!$N:$N,MATCH($A30,Mots!$A:$A,0)),"")</f>
        <v>chose</v>
      </c>
      <c r="D30" s="17">
        <f>IFERROR(COUNTA(INDEX(Mots!$E:$E,MATCH($A30,Mots!$A:$A,0)):INDEX(Mots!$K:$K,MATCH($A30,Mots!$A:$A,0))),0)</f>
        <v>1</v>
      </c>
      <c r="E30" s="17" t="str">
        <f>IF(COUNTIF(Classement!$A:$A,$A30)&gt;0,"ok","à faire")</f>
        <v>ok</v>
      </c>
      <c r="F30" s="17" t="str">
        <f>IF(COUNTIF(Tags!$A:$A,$A30)&gt;0,"ok","à faire")</f>
        <v>ok</v>
      </c>
      <c r="G30" s="17" t="str">
        <f>IF(COUNTIF(Phrases!$A:$A,$A30)&gt;0,"ok","à faire")</f>
        <v>ok</v>
      </c>
      <c r="H30" s="17" t="str">
        <f>IF(COUNTIFS(Phrases!$A:$A,$A30,Phrases!$I:$I,"&lt;&gt;")&gt;0,"ok","à faire")</f>
        <v>à faire</v>
      </c>
      <c r="I30" s="17" t="str">
        <f>IF(COUNTIF(Synonymes!$A:$A,$A30)&gt;0,"ok","")</f>
        <v>ok</v>
      </c>
      <c r="J30" s="17">
        <f t="shared" si="0"/>
        <v>1</v>
      </c>
    </row>
    <row r="31" spans="1:10" x14ac:dyDescent="0.3">
      <c r="A31" s="17" t="s">
        <v>577</v>
      </c>
      <c r="B31" s="17" t="str">
        <f>IFERROR(INDEX(Mots!$B:$B,MATCH($A31,Mots!$A:$A,0)),"introuvable")</f>
        <v>la débroussailleuse</v>
      </c>
      <c r="C31" s="17" t="str">
        <f>IFERROR(INDEX(Mots!$N:$N,MATCH($A31,Mots!$A:$A,0)),"")</f>
        <v>chose</v>
      </c>
      <c r="D31" s="17">
        <f>IFERROR(COUNTA(INDEX(Mots!$E:$E,MATCH($A31,Mots!$A:$A,0)):INDEX(Mots!$K:$K,MATCH($A31,Mots!$A:$A,0))),0)</f>
        <v>1</v>
      </c>
      <c r="E31" s="17" t="str">
        <f>IF(COUNTIF(Classement!$A:$A,$A31)&gt;0,"ok","à faire")</f>
        <v>ok</v>
      </c>
      <c r="F31" s="17" t="str">
        <f>IF(COUNTIF(Tags!$A:$A,$A31)&gt;0,"ok","à faire")</f>
        <v>ok</v>
      </c>
      <c r="G31" s="17" t="str">
        <f>IF(COUNTIF(Phrases!$A:$A,$A31)&gt;0,"ok","à faire")</f>
        <v>à faire</v>
      </c>
      <c r="H31" s="17" t="str">
        <f>IF(COUNTIFS(Phrases!$A:$A,$A31,Phrases!$I:$I,"&lt;&gt;")&gt;0,"ok","à faire")</f>
        <v>à faire</v>
      </c>
      <c r="I31" s="17" t="str">
        <f>IF(COUNTIF(Synonymes!$A:$A,$A31)&gt;0,"ok","")</f>
        <v/>
      </c>
      <c r="J31" s="17">
        <f t="shared" si="0"/>
        <v>2</v>
      </c>
    </row>
    <row r="32" spans="1:10" x14ac:dyDescent="0.3">
      <c r="A32" s="17" t="s">
        <v>581</v>
      </c>
      <c r="B32" s="17" t="str">
        <f>IFERROR(INDEX(Mots!$B:$B,MATCH($A32,Mots!$A:$A,0)),"introuvable")</f>
        <v>le fil pour la débroussailleuse</v>
      </c>
      <c r="C32" s="17" t="str">
        <f>IFERROR(INDEX(Mots!$N:$N,MATCH($A32,Mots!$A:$A,0)),"")</f>
        <v>chose</v>
      </c>
      <c r="D32" s="17">
        <f>IFERROR(COUNTA(INDEX(Mots!$E:$E,MATCH($A32,Mots!$A:$A,0)):INDEX(Mots!$K:$K,MATCH($A32,Mots!$A:$A,0))),0)</f>
        <v>1</v>
      </c>
      <c r="E32" s="17" t="str">
        <f>IF(COUNTIF(Classement!$A:$A,$A32)&gt;0,"ok","à faire")</f>
        <v>ok</v>
      </c>
      <c r="F32" s="17" t="str">
        <f>IF(COUNTIF(Tags!$A:$A,$A32)&gt;0,"ok","à faire")</f>
        <v>ok</v>
      </c>
      <c r="G32" s="17" t="str">
        <f>IF(COUNTIF(Phrases!$A:$A,$A32)&gt;0,"ok","à faire")</f>
        <v>à faire</v>
      </c>
      <c r="H32" s="17" t="str">
        <f>IF(COUNTIFS(Phrases!$A:$A,$A32,Phrases!$I:$I,"&lt;&gt;")&gt;0,"ok","à faire")</f>
        <v>à faire</v>
      </c>
      <c r="I32" s="17" t="str">
        <f>IF(COUNTIF(Synonymes!$A:$A,$A32)&gt;0,"ok","")</f>
        <v/>
      </c>
      <c r="J32" s="17">
        <f t="shared" si="0"/>
        <v>2</v>
      </c>
    </row>
    <row r="33" spans="1:10" x14ac:dyDescent="0.3">
      <c r="A33" s="17" t="s">
        <v>585</v>
      </c>
      <c r="B33" s="17" t="str">
        <f>IFERROR(INDEX(Mots!$B:$B,MATCH($A33,Mots!$A:$A,0)),"introuvable")</f>
        <v>le don d'honneur (argent)</v>
      </c>
      <c r="C33" s="17" t="str">
        <f>IFERROR(INDEX(Mots!$N:$N,MATCH($A33,Mots!$A:$A,0)),"")</f>
        <v>chose</v>
      </c>
      <c r="D33" s="17">
        <f>IFERROR(COUNTA(INDEX(Mots!$E:$E,MATCH($A33,Mots!$A:$A,0)):INDEX(Mots!$K:$K,MATCH($A33,Mots!$A:$A,0))),0)</f>
        <v>1</v>
      </c>
      <c r="E33" s="17" t="str">
        <f>IF(COUNTIF(Classement!$A:$A,$A33)&gt;0,"ok","à faire")</f>
        <v>ok</v>
      </c>
      <c r="F33" s="17" t="str">
        <f>IF(COUNTIF(Tags!$A:$A,$A33)&gt;0,"ok","à faire")</f>
        <v>ok</v>
      </c>
      <c r="G33" s="17" t="str">
        <f>IF(COUNTIF(Phrases!$A:$A,$A33)&gt;0,"ok","à faire")</f>
        <v>ok</v>
      </c>
      <c r="H33" s="17" t="str">
        <f>IF(COUNTIFS(Phrases!$A:$A,$A33,Phrases!$I:$I,"&lt;&gt;")&gt;0,"ok","à faire")</f>
        <v>à faire</v>
      </c>
      <c r="I33" s="17" t="str">
        <f>IF(COUNTIF(Synonymes!$A:$A,$A33)&gt;0,"ok","")</f>
        <v/>
      </c>
      <c r="J33" s="17">
        <f t="shared" si="0"/>
        <v>1</v>
      </c>
    </row>
    <row r="34" spans="1:10" x14ac:dyDescent="0.3">
      <c r="A34" s="17" t="s">
        <v>9695</v>
      </c>
      <c r="B34" s="17" t="str">
        <f>IFERROR(INDEX(Mots!$B:$B,MATCH($A34,Mots!$A:$A,0)),"introuvable")</f>
        <v>le défilé - le concours de marche</v>
      </c>
      <c r="C34" s="17" t="str">
        <f>IFERROR(INDEX(Mots!$N:$N,MATCH($A34,Mots!$A:$A,0)),"")</f>
        <v>chose</v>
      </c>
      <c r="D34" s="17">
        <f>IFERROR(COUNTA(INDEX(Mots!$E:$E,MATCH($A34,Mots!$A:$A,0)):INDEX(Mots!$K:$K,MATCH($A34,Mots!$A:$A,0))),0)</f>
        <v>1</v>
      </c>
      <c r="E34" s="17" t="str">
        <f>IF(COUNTIF(Classement!$A:$A,$A34)&gt;0,"ok","à faire")</f>
        <v>ok</v>
      </c>
      <c r="F34" s="17" t="str">
        <f>IF(COUNTIF(Tags!$A:$A,$A34)&gt;0,"ok","à faire")</f>
        <v>ok</v>
      </c>
      <c r="G34" s="17" t="str">
        <f>IF(COUNTIF(Phrases!$A:$A,$A34)&gt;0,"ok","à faire")</f>
        <v>ok</v>
      </c>
      <c r="H34" s="17" t="str">
        <f>IF(COUNTIFS(Phrases!$A:$A,$A34,Phrases!$I:$I,"&lt;&gt;")&gt;0,"ok","à faire")</f>
        <v>ok</v>
      </c>
      <c r="I34" s="17" t="str">
        <f>IF(COUNTIF(Synonymes!$A:$A,$A34)&gt;0,"ok","")</f>
        <v/>
      </c>
      <c r="J34" s="17">
        <f t="shared" si="0"/>
        <v>0</v>
      </c>
    </row>
    <row r="35" spans="1:10" x14ac:dyDescent="0.3">
      <c r="A35" s="17" t="s">
        <v>591</v>
      </c>
      <c r="B35" s="17" t="str">
        <f>IFERROR(INDEX(Mots!$B:$B,MATCH($A35,Mots!$A:$A,0)),"introuvable")</f>
        <v>l'ASM</v>
      </c>
      <c r="C35" s="17" t="str">
        <f>IFERROR(INDEX(Mots!$N:$N,MATCH($A35,Mots!$A:$A,0)),"")</f>
        <v>chose</v>
      </c>
      <c r="D35" s="17">
        <f>IFERROR(COUNTA(INDEX(Mots!$E:$E,MATCH($A35,Mots!$A:$A,0)):INDEX(Mots!$K:$K,MATCH($A35,Mots!$A:$A,0))),0)</f>
        <v>1</v>
      </c>
      <c r="E35" s="17" t="str">
        <f>IF(COUNTIF(Classement!$A:$A,$A35)&gt;0,"ok","à faire")</f>
        <v>ok</v>
      </c>
      <c r="F35" s="17" t="str">
        <f>IF(COUNTIF(Tags!$A:$A,$A35)&gt;0,"ok","à faire")</f>
        <v>ok</v>
      </c>
      <c r="G35" s="17" t="str">
        <f>IF(COUNTIF(Phrases!$A:$A,$A35)&gt;0,"ok","à faire")</f>
        <v>à faire</v>
      </c>
      <c r="H35" s="17" t="str">
        <f>IF(COUNTIFS(Phrases!$A:$A,$A35,Phrases!$I:$I,"&lt;&gt;")&gt;0,"ok","à faire")</f>
        <v>à faire</v>
      </c>
      <c r="I35" s="17" t="str">
        <f>IF(COUNTIF(Synonymes!$A:$A,$A35)&gt;0,"ok","")</f>
        <v/>
      </c>
      <c r="J35" s="17">
        <f t="shared" si="0"/>
        <v>2</v>
      </c>
    </row>
    <row r="36" spans="1:10" x14ac:dyDescent="0.3">
      <c r="A36" s="17" t="s">
        <v>595</v>
      </c>
      <c r="B36" s="17" t="str">
        <f>IFERROR(INDEX(Mots!$B:$B,MATCH($A36,Mots!$A:$A,0)),"introuvable")</f>
        <v>l'ACMV</v>
      </c>
      <c r="C36" s="17" t="str">
        <f>IFERROR(INDEX(Mots!$N:$N,MATCH($A36,Mots!$A:$A,0)),"")</f>
        <v>chose</v>
      </c>
      <c r="D36" s="17">
        <f>IFERROR(COUNTA(INDEX(Mots!$E:$E,MATCH($A36,Mots!$A:$A,0)):INDEX(Mots!$K:$K,MATCH($A36,Mots!$A:$A,0))),0)</f>
        <v>1</v>
      </c>
      <c r="E36" s="17" t="str">
        <f>IF(COUNTIF(Classement!$A:$A,$A36)&gt;0,"ok","à faire")</f>
        <v>ok</v>
      </c>
      <c r="F36" s="17" t="str">
        <f>IF(COUNTIF(Tags!$A:$A,$A36)&gt;0,"ok","à faire")</f>
        <v>ok</v>
      </c>
      <c r="G36" s="17" t="str">
        <f>IF(COUNTIF(Phrases!$A:$A,$A36)&gt;0,"ok","à faire")</f>
        <v>à faire</v>
      </c>
      <c r="H36" s="17" t="str">
        <f>IF(COUNTIFS(Phrases!$A:$A,$A36,Phrases!$I:$I,"&lt;&gt;")&gt;0,"ok","à faire")</f>
        <v>à faire</v>
      </c>
      <c r="I36" s="17" t="str">
        <f>IF(COUNTIF(Synonymes!$A:$A,$A36)&gt;0,"ok","")</f>
        <v/>
      </c>
      <c r="J36" s="17">
        <f t="shared" si="0"/>
        <v>2</v>
      </c>
    </row>
    <row r="37" spans="1:10" x14ac:dyDescent="0.3">
      <c r="A37" s="17" t="s">
        <v>599</v>
      </c>
      <c r="B37" s="17" t="str">
        <f>IFERROR(INDEX(Mots!$B:$B,MATCH($A37,Mots!$A:$A,0)),"introuvable")</f>
        <v>la FMVC</v>
      </c>
      <c r="C37" s="17" t="str">
        <f>IFERROR(INDEX(Mots!$N:$N,MATCH($A37,Mots!$A:$A,0)),"")</f>
        <v>chose</v>
      </c>
      <c r="D37" s="17">
        <f>IFERROR(COUNTA(INDEX(Mots!$E:$E,MATCH($A37,Mots!$A:$A,0)):INDEX(Mots!$K:$K,MATCH($A37,Mots!$A:$A,0))),0)</f>
        <v>1</v>
      </c>
      <c r="E37" s="17" t="str">
        <f>IF(COUNTIF(Classement!$A:$A,$A37)&gt;0,"ok","à faire")</f>
        <v>ok</v>
      </c>
      <c r="F37" s="17" t="str">
        <f>IF(COUNTIF(Tags!$A:$A,$A37)&gt;0,"ok","à faire")</f>
        <v>ok</v>
      </c>
      <c r="G37" s="17" t="str">
        <f>IF(COUNTIF(Phrases!$A:$A,$A37)&gt;0,"ok","à faire")</f>
        <v>à faire</v>
      </c>
      <c r="H37" s="17" t="str">
        <f>IF(COUNTIFS(Phrases!$A:$A,$A37,Phrases!$I:$I,"&lt;&gt;")&gt;0,"ok","à faire")</f>
        <v>à faire</v>
      </c>
      <c r="I37" s="17" t="str">
        <f>IF(COUNTIF(Synonymes!$A:$A,$A37)&gt;0,"ok","")</f>
        <v/>
      </c>
      <c r="J37" s="17">
        <f t="shared" si="0"/>
        <v>2</v>
      </c>
    </row>
    <row r="38" spans="1:10" x14ac:dyDescent="0.3">
      <c r="A38" s="17" t="s">
        <v>603</v>
      </c>
      <c r="B38" s="17" t="str">
        <f>IFERROR(INDEX(Mots!$B:$B,MATCH($A38,Mots!$A:$A,0)),"introuvable")</f>
        <v>Yvan Maistre</v>
      </c>
      <c r="C38" s="17" t="str">
        <f>IFERROR(INDEX(Mots!$N:$N,MATCH($A38,Mots!$A:$A,0)),"")</f>
        <v>personne</v>
      </c>
      <c r="D38" s="17">
        <f>IFERROR(COUNTA(INDEX(Mots!$E:$E,MATCH($A38,Mots!$A:$A,0)):INDEX(Mots!$K:$K,MATCH($A38,Mots!$A:$A,0))),0)</f>
        <v>1</v>
      </c>
      <c r="E38" s="17" t="str">
        <f>IF(COUNTIF(Classement!$A:$A,$A38)&gt;0,"ok","à faire")</f>
        <v>ok</v>
      </c>
      <c r="F38" s="17" t="str">
        <f>IF(COUNTIF(Tags!$A:$A,$A38)&gt;0,"ok","à faire")</f>
        <v>ok</v>
      </c>
      <c r="G38" s="17" t="str">
        <f>IF(COUNTIF(Phrases!$A:$A,$A38)&gt;0,"ok","à faire")</f>
        <v>à faire</v>
      </c>
      <c r="H38" s="17" t="str">
        <f>IF(COUNTIFS(Phrases!$A:$A,$A38,Phrases!$I:$I,"&lt;&gt;")&gt;0,"ok","à faire")</f>
        <v>à faire</v>
      </c>
      <c r="I38" s="17" t="str">
        <f>IF(COUNTIF(Synonymes!$A:$A,$A38)&gt;0,"ok","")</f>
        <v/>
      </c>
      <c r="J38" s="17">
        <f t="shared" si="0"/>
        <v>2</v>
      </c>
    </row>
    <row r="39" spans="1:10" x14ac:dyDescent="0.3">
      <c r="A39" s="17" t="s">
        <v>607</v>
      </c>
      <c r="B39" s="17" t="str">
        <f>IFERROR(INDEX(Mots!$B:$B,MATCH($A39,Mots!$A:$A,0)),"introuvable")</f>
        <v>la baguette</v>
      </c>
      <c r="C39" s="17" t="str">
        <f>IFERROR(INDEX(Mots!$N:$N,MATCH($A39,Mots!$A:$A,0)),"")</f>
        <v>chose</v>
      </c>
      <c r="D39" s="17">
        <f>IFERROR(COUNTA(INDEX(Mots!$E:$E,MATCH($A39,Mots!$A:$A,0)):INDEX(Mots!$K:$K,MATCH($A39,Mots!$A:$A,0))),0)</f>
        <v>1</v>
      </c>
      <c r="E39" s="17" t="str">
        <f>IF(COUNTIF(Classement!$A:$A,$A39)&gt;0,"ok","à faire")</f>
        <v>ok</v>
      </c>
      <c r="F39" s="17" t="str">
        <f>IF(COUNTIF(Tags!$A:$A,$A39)&gt;0,"ok","à faire")</f>
        <v>ok</v>
      </c>
      <c r="G39" s="17" t="str">
        <f>IF(COUNTIF(Phrases!$A:$A,$A39)&gt;0,"ok","à faire")</f>
        <v>ok</v>
      </c>
      <c r="H39" s="17" t="str">
        <f>IF(COUNTIFS(Phrases!$A:$A,$A39,Phrases!$I:$I,"&lt;&gt;")&gt;0,"ok","à faire")</f>
        <v>à faire</v>
      </c>
      <c r="I39" s="17" t="str">
        <f>IF(COUNTIF(Synonymes!$A:$A,$A39)&gt;0,"ok","")</f>
        <v/>
      </c>
      <c r="J39" s="17">
        <f t="shared" si="0"/>
        <v>1</v>
      </c>
    </row>
    <row r="40" spans="1:10" x14ac:dyDescent="0.3">
      <c r="A40" s="17" t="s">
        <v>611</v>
      </c>
      <c r="B40" s="17" t="str">
        <f>IFERROR(INDEX(Mots!$B:$B,MATCH($A40,Mots!$A:$A,0)),"introuvable")</f>
        <v>la chanson</v>
      </c>
      <c r="C40" s="17" t="str">
        <f>IFERROR(INDEX(Mots!$N:$N,MATCH($A40,Mots!$A:$A,0)),"")</f>
        <v>chose</v>
      </c>
      <c r="D40" s="17">
        <f>IFERROR(COUNTA(INDEX(Mots!$E:$E,MATCH($A40,Mots!$A:$A,0)):INDEX(Mots!$K:$K,MATCH($A40,Mots!$A:$A,0))),0)</f>
        <v>1</v>
      </c>
      <c r="E40" s="17" t="str">
        <f>IF(COUNTIF(Classement!$A:$A,$A40)&gt;0,"ok","à faire")</f>
        <v>ok</v>
      </c>
      <c r="F40" s="17" t="str">
        <f>IF(COUNTIF(Tags!$A:$A,$A40)&gt;0,"ok","à faire")</f>
        <v>ok</v>
      </c>
      <c r="G40" s="17" t="str">
        <f>IF(COUNTIF(Phrases!$A:$A,$A40)&gt;0,"ok","à faire")</f>
        <v>ok</v>
      </c>
      <c r="H40" s="17" t="str">
        <f>IF(COUNTIFS(Phrases!$A:$A,$A40,Phrases!$I:$I,"&lt;&gt;")&gt;0,"ok","à faire")</f>
        <v>ok</v>
      </c>
      <c r="I40" s="17" t="str">
        <f>IF(COUNTIF(Synonymes!$A:$A,$A40)&gt;0,"ok","")</f>
        <v/>
      </c>
      <c r="J40" s="17">
        <f t="shared" si="0"/>
        <v>0</v>
      </c>
    </row>
    <row r="41" spans="1:10" x14ac:dyDescent="0.3">
      <c r="A41" s="17" t="s">
        <v>615</v>
      </c>
      <c r="B41" s="17" t="str">
        <f>IFERROR(INDEX(Mots!$B:$B,MATCH($A41,Mots!$A:$A,0)),"introuvable")</f>
        <v>la chorale</v>
      </c>
      <c r="C41" s="17" t="str">
        <f>IFERROR(INDEX(Mots!$N:$N,MATCH($A41,Mots!$A:$A,0)),"")</f>
        <v>chose</v>
      </c>
      <c r="D41" s="17">
        <f>IFERROR(COUNTA(INDEX(Mots!$E:$E,MATCH($A41,Mots!$A:$A,0)):INDEX(Mots!$K:$K,MATCH($A41,Mots!$A:$A,0))),0)</f>
        <v>1</v>
      </c>
      <c r="E41" s="17" t="str">
        <f>IF(COUNTIF(Classement!$A:$A,$A41)&gt;0,"ok","à faire")</f>
        <v>ok</v>
      </c>
      <c r="F41" s="17" t="str">
        <f>IF(COUNTIF(Tags!$A:$A,$A41)&gt;0,"ok","à faire")</f>
        <v>ok</v>
      </c>
      <c r="G41" s="17" t="str">
        <f>IF(COUNTIF(Phrases!$A:$A,$A41)&gt;0,"ok","à faire")</f>
        <v>ok</v>
      </c>
      <c r="H41" s="17" t="str">
        <f>IF(COUNTIFS(Phrases!$A:$A,$A41,Phrases!$I:$I,"&lt;&gt;")&gt;0,"ok","à faire")</f>
        <v>à faire</v>
      </c>
      <c r="I41" s="17" t="str">
        <f>IF(COUNTIF(Synonymes!$A:$A,$A41)&gt;0,"ok","")</f>
        <v/>
      </c>
      <c r="J41" s="17">
        <f t="shared" si="0"/>
        <v>1</v>
      </c>
    </row>
    <row r="42" spans="1:10" x14ac:dyDescent="0.3">
      <c r="A42" s="17" t="s">
        <v>618</v>
      </c>
      <c r="B42" s="17" t="str">
        <f>IFERROR(INDEX(Mots!$B:$B,MATCH($A42,Mots!$A:$A,0)),"introuvable")</f>
        <v>la danse</v>
      </c>
      <c r="C42" s="17" t="str">
        <f>IFERROR(INDEX(Mots!$N:$N,MATCH($A42,Mots!$A:$A,0)),"")</f>
        <v>chose</v>
      </c>
      <c r="D42" s="17">
        <f>IFERROR(COUNTA(INDEX(Mots!$E:$E,MATCH($A42,Mots!$A:$A,0)):INDEX(Mots!$K:$K,MATCH($A42,Mots!$A:$A,0))),0)</f>
        <v>1</v>
      </c>
      <c r="E42" s="17" t="str">
        <f>IF(COUNTIF(Classement!$A:$A,$A42)&gt;0,"ok","à faire")</f>
        <v>ok</v>
      </c>
      <c r="F42" s="17" t="str">
        <f>IF(COUNTIF(Tags!$A:$A,$A42)&gt;0,"ok","à faire")</f>
        <v>ok</v>
      </c>
      <c r="G42" s="17" t="str">
        <f>IF(COUNTIF(Phrases!$A:$A,$A42)&gt;0,"ok","à faire")</f>
        <v>ok</v>
      </c>
      <c r="H42" s="17" t="str">
        <f>IF(COUNTIFS(Phrases!$A:$A,$A42,Phrases!$I:$I,"&lt;&gt;")&gt;0,"ok","à faire")</f>
        <v>à faire</v>
      </c>
      <c r="I42" s="17" t="str">
        <f>IF(COUNTIF(Synonymes!$A:$A,$A42)&gt;0,"ok","")</f>
        <v/>
      </c>
      <c r="J42" s="17">
        <f t="shared" si="0"/>
        <v>1</v>
      </c>
    </row>
    <row r="43" spans="1:10" x14ac:dyDescent="0.3">
      <c r="A43" s="17" t="s">
        <v>622</v>
      </c>
      <c r="B43" s="17" t="str">
        <f>IFERROR(INDEX(Mots!$B:$B,MATCH($A43,Mots!$A:$A,0)),"introuvable")</f>
        <v>la mélodie</v>
      </c>
      <c r="C43" s="17" t="str">
        <f>IFERROR(INDEX(Mots!$N:$N,MATCH($A43,Mots!$A:$A,0)),"")</f>
        <v>chose</v>
      </c>
      <c r="D43" s="17">
        <f>IFERROR(COUNTA(INDEX(Mots!$E:$E,MATCH($A43,Mots!$A:$A,0)):INDEX(Mots!$K:$K,MATCH($A43,Mots!$A:$A,0))),0)</f>
        <v>1</v>
      </c>
      <c r="E43" s="17" t="str">
        <f>IF(COUNTIF(Classement!$A:$A,$A43)&gt;0,"ok","à faire")</f>
        <v>ok</v>
      </c>
      <c r="F43" s="17" t="str">
        <f>IF(COUNTIF(Tags!$A:$A,$A43)&gt;0,"ok","à faire")</f>
        <v>ok</v>
      </c>
      <c r="G43" s="17" t="str">
        <f>IF(COUNTIF(Phrases!$A:$A,$A43)&gt;0,"ok","à faire")</f>
        <v>ok</v>
      </c>
      <c r="H43" s="17" t="str">
        <f>IF(COUNTIFS(Phrases!$A:$A,$A43,Phrases!$I:$I,"&lt;&gt;")&gt;0,"ok","à faire")</f>
        <v>à faire</v>
      </c>
      <c r="I43" s="17" t="str">
        <f>IF(COUNTIF(Synonymes!$A:$A,$A43)&gt;0,"ok","")</f>
        <v>ok</v>
      </c>
      <c r="J43" s="17">
        <f t="shared" si="0"/>
        <v>1</v>
      </c>
    </row>
    <row r="44" spans="1:10" x14ac:dyDescent="0.3">
      <c r="A44" s="17" t="s">
        <v>626</v>
      </c>
      <c r="B44" s="17" t="str">
        <f>IFERROR(INDEX(Mots!$B:$B,MATCH($A44,Mots!$A:$A,0)),"introuvable")</f>
        <v>la partition</v>
      </c>
      <c r="C44" s="17" t="str">
        <f>IFERROR(INDEX(Mots!$N:$N,MATCH($A44,Mots!$A:$A,0)),"")</f>
        <v>chose</v>
      </c>
      <c r="D44" s="17">
        <f>IFERROR(COUNTA(INDEX(Mots!$E:$E,MATCH($A44,Mots!$A:$A,0)):INDEX(Mots!$K:$K,MATCH($A44,Mots!$A:$A,0))),0)</f>
        <v>1</v>
      </c>
      <c r="E44" s="17" t="str">
        <f>IF(COUNTIF(Classement!$A:$A,$A44)&gt;0,"ok","à faire")</f>
        <v>ok</v>
      </c>
      <c r="F44" s="17" t="str">
        <f>IF(COUNTIF(Tags!$A:$A,$A44)&gt;0,"ok","à faire")</f>
        <v>ok</v>
      </c>
      <c r="G44" s="17" t="str">
        <f>IF(COUNTIF(Phrases!$A:$A,$A44)&gt;0,"ok","à faire")</f>
        <v>ok</v>
      </c>
      <c r="H44" s="17" t="str">
        <f>IF(COUNTIFS(Phrases!$A:$A,$A44,Phrases!$I:$I,"&lt;&gt;")&gt;0,"ok","à faire")</f>
        <v>ok</v>
      </c>
      <c r="I44" s="17" t="str">
        <f>IF(COUNTIF(Synonymes!$A:$A,$A44)&gt;0,"ok","")</f>
        <v/>
      </c>
      <c r="J44" s="17">
        <f t="shared" si="0"/>
        <v>0</v>
      </c>
    </row>
    <row r="45" spans="1:10" x14ac:dyDescent="0.3">
      <c r="A45" s="17" t="s">
        <v>630</v>
      </c>
      <c r="B45" s="17" t="str">
        <f>IFERROR(INDEX(Mots!$B:$B,MATCH($A45,Mots!$A:$A,0)),"introuvable")</f>
        <v>la répétition</v>
      </c>
      <c r="C45" s="17" t="str">
        <f>IFERROR(INDEX(Mots!$N:$N,MATCH($A45,Mots!$A:$A,0)),"")</f>
        <v>chose</v>
      </c>
      <c r="D45" s="17">
        <f>IFERROR(COUNTA(INDEX(Mots!$E:$E,MATCH($A45,Mots!$A:$A,0)):INDEX(Mots!$K:$K,MATCH($A45,Mots!$A:$A,0))),0)</f>
        <v>1</v>
      </c>
      <c r="E45" s="17" t="str">
        <f>IF(COUNTIF(Classement!$A:$A,$A45)&gt;0,"ok","à faire")</f>
        <v>ok</v>
      </c>
      <c r="F45" s="17" t="str">
        <f>IF(COUNTIF(Tags!$A:$A,$A45)&gt;0,"ok","à faire")</f>
        <v>ok</v>
      </c>
      <c r="G45" s="17" t="str">
        <f>IF(COUNTIF(Phrases!$A:$A,$A45)&gt;0,"ok","à faire")</f>
        <v>ok</v>
      </c>
      <c r="H45" s="17" t="str">
        <f>IF(COUNTIFS(Phrases!$A:$A,$A45,Phrases!$I:$I,"&lt;&gt;")&gt;0,"ok","à faire")</f>
        <v>ok</v>
      </c>
      <c r="I45" s="17" t="str">
        <f>IF(COUNTIF(Synonymes!$A:$A,$A45)&gt;0,"ok","")</f>
        <v>ok</v>
      </c>
      <c r="J45" s="17">
        <f t="shared" si="0"/>
        <v>0</v>
      </c>
    </row>
    <row r="46" spans="1:10" x14ac:dyDescent="0.3">
      <c r="A46" s="17" t="s">
        <v>634</v>
      </c>
      <c r="B46" s="17" t="str">
        <f>IFERROR(INDEX(Mots!$B:$B,MATCH($A46,Mots!$A:$A,0)),"introuvable")</f>
        <v>la scène</v>
      </c>
      <c r="C46" s="17" t="str">
        <f>IFERROR(INDEX(Mots!$N:$N,MATCH($A46,Mots!$A:$A,0)),"")</f>
        <v>chose</v>
      </c>
      <c r="D46" s="17">
        <f>IFERROR(COUNTA(INDEX(Mots!$E:$E,MATCH($A46,Mots!$A:$A,0)):INDEX(Mots!$K:$K,MATCH($A46,Mots!$A:$A,0))),0)</f>
        <v>1</v>
      </c>
      <c r="E46" s="17" t="str">
        <f>IF(COUNTIF(Classement!$A:$A,$A46)&gt;0,"ok","à faire")</f>
        <v>ok</v>
      </c>
      <c r="F46" s="17" t="str">
        <f>IF(COUNTIF(Tags!$A:$A,$A46)&gt;0,"ok","à faire")</f>
        <v>ok</v>
      </c>
      <c r="G46" s="17" t="str">
        <f>IF(COUNTIF(Phrases!$A:$A,$A46)&gt;0,"ok","à faire")</f>
        <v>ok</v>
      </c>
      <c r="H46" s="17" t="str">
        <f>IF(COUNTIFS(Phrases!$A:$A,$A46,Phrases!$I:$I,"&lt;&gt;")&gt;0,"ok","à faire")</f>
        <v>ok</v>
      </c>
      <c r="I46" s="17" t="str">
        <f>IF(COUNTIF(Synonymes!$A:$A,$A46)&gt;0,"ok","")</f>
        <v>ok</v>
      </c>
      <c r="J46" s="17">
        <f t="shared" si="0"/>
        <v>0</v>
      </c>
    </row>
    <row r="47" spans="1:10" x14ac:dyDescent="0.3">
      <c r="A47" s="17" t="s">
        <v>638</v>
      </c>
      <c r="B47" s="17" t="str">
        <f>IFERROR(INDEX(Mots!$B:$B,MATCH($A47,Mots!$A:$A,0)),"introuvable")</f>
        <v>le directeur</v>
      </c>
      <c r="C47" s="17" t="str">
        <f>IFERROR(INDEX(Mots!$N:$N,MATCH($A47,Mots!$A:$A,0)),"")</f>
        <v>chose</v>
      </c>
      <c r="D47" s="17">
        <f>IFERROR(COUNTA(INDEX(Mots!$E:$E,MATCH($A47,Mots!$A:$A,0)):INDEX(Mots!$K:$K,MATCH($A47,Mots!$A:$A,0))),0)</f>
        <v>1</v>
      </c>
      <c r="E47" s="17" t="str">
        <f>IF(COUNTIF(Classement!$A:$A,$A47)&gt;0,"ok","à faire")</f>
        <v>ok</v>
      </c>
      <c r="F47" s="17" t="str">
        <f>IF(COUNTIF(Tags!$A:$A,$A47)&gt;0,"ok","à faire")</f>
        <v>ok</v>
      </c>
      <c r="G47" s="17" t="str">
        <f>IF(COUNTIF(Phrases!$A:$A,$A47)&gt;0,"ok","à faire")</f>
        <v>ok</v>
      </c>
      <c r="H47" s="17" t="str">
        <f>IF(COUNTIFS(Phrases!$A:$A,$A47,Phrases!$I:$I,"&lt;&gt;")&gt;0,"ok","à faire")</f>
        <v>à faire</v>
      </c>
      <c r="I47" s="17" t="str">
        <f>IF(COUNTIF(Synonymes!$A:$A,$A47)&gt;0,"ok","")</f>
        <v/>
      </c>
      <c r="J47" s="17">
        <f t="shared" si="0"/>
        <v>1</v>
      </c>
    </row>
    <row r="48" spans="1:10" x14ac:dyDescent="0.3">
      <c r="A48" s="17" t="s">
        <v>642</v>
      </c>
      <c r="B48" s="17" t="str">
        <f>IFERROR(INDEX(Mots!$B:$B,MATCH($A48,Mots!$A:$A,0)),"introuvable")</f>
        <v>le concert</v>
      </c>
      <c r="C48" s="17" t="str">
        <f>IFERROR(INDEX(Mots!$N:$N,MATCH($A48,Mots!$A:$A,0)),"")</f>
        <v>chose</v>
      </c>
      <c r="D48" s="17">
        <f>IFERROR(COUNTA(INDEX(Mots!$E:$E,MATCH($A48,Mots!$A:$A,0)):INDEX(Mots!$K:$K,MATCH($A48,Mots!$A:$A,0))),0)</f>
        <v>1</v>
      </c>
      <c r="E48" s="17" t="str">
        <f>IF(COUNTIF(Classement!$A:$A,$A48)&gt;0,"ok","à faire")</f>
        <v>ok</v>
      </c>
      <c r="F48" s="17" t="str">
        <f>IF(COUNTIF(Tags!$A:$A,$A48)&gt;0,"ok","à faire")</f>
        <v>ok</v>
      </c>
      <c r="G48" s="17" t="str">
        <f>IF(COUNTIF(Phrases!$A:$A,$A48)&gt;0,"ok","à faire")</f>
        <v>ok</v>
      </c>
      <c r="H48" s="17" t="str">
        <f>IF(COUNTIFS(Phrases!$A:$A,$A48,Phrases!$I:$I,"&lt;&gt;")&gt;0,"ok","à faire")</f>
        <v>ok</v>
      </c>
      <c r="I48" s="17" t="str">
        <f>IF(COUNTIF(Synonymes!$A:$A,$A48)&gt;0,"ok","")</f>
        <v>ok</v>
      </c>
      <c r="J48" s="17">
        <f t="shared" si="0"/>
        <v>0</v>
      </c>
    </row>
    <row r="49" spans="1:10" x14ac:dyDescent="0.3">
      <c r="A49" s="17" t="s">
        <v>646</v>
      </c>
      <c r="B49" s="17" t="str">
        <f>IFERROR(INDEX(Mots!$B:$B,MATCH($A49,Mots!$A:$A,0)),"introuvable")</f>
        <v>le loisir</v>
      </c>
      <c r="C49" s="17" t="str">
        <f>IFERROR(INDEX(Mots!$N:$N,MATCH($A49,Mots!$A:$A,0)),"")</f>
        <v>chose</v>
      </c>
      <c r="D49" s="17">
        <f>IFERROR(COUNTA(INDEX(Mots!$E:$E,MATCH($A49,Mots!$A:$A,0)):INDEX(Mots!$K:$K,MATCH($A49,Mots!$A:$A,0))),0)</f>
        <v>4</v>
      </c>
      <c r="E49" s="17" t="str">
        <f>IF(COUNTIF(Classement!$A:$A,$A49)&gt;0,"ok","à faire")</f>
        <v>ok</v>
      </c>
      <c r="F49" s="17" t="str">
        <f>IF(COUNTIF(Tags!$A:$A,$A49)&gt;0,"ok","à faire")</f>
        <v>à faire</v>
      </c>
      <c r="G49" s="17" t="str">
        <f>IF(COUNTIF(Phrases!$A:$A,$A49)&gt;0,"ok","à faire")</f>
        <v>ok</v>
      </c>
      <c r="H49" s="17" t="str">
        <f>IF(COUNTIFS(Phrases!$A:$A,$A49,Phrases!$I:$I,"&lt;&gt;")&gt;0,"ok","à faire")</f>
        <v>à faire</v>
      </c>
      <c r="I49" s="17" t="str">
        <f>IF(COUNTIF(Synonymes!$A:$A,$A49)&gt;0,"ok","")</f>
        <v>ok</v>
      </c>
      <c r="J49" s="17">
        <f t="shared" si="0"/>
        <v>2</v>
      </c>
    </row>
    <row r="50" spans="1:10" x14ac:dyDescent="0.3">
      <c r="A50" s="17" t="s">
        <v>653</v>
      </c>
      <c r="B50" s="17" t="str">
        <f>IFERROR(INDEX(Mots!$B:$B,MATCH($A50,Mots!$A:$A,0)),"introuvable")</f>
        <v>le loto</v>
      </c>
      <c r="C50" s="17" t="str">
        <f>IFERROR(INDEX(Mots!$N:$N,MATCH($A50,Mots!$A:$A,0)),"")</f>
        <v>chose</v>
      </c>
      <c r="D50" s="17">
        <f>IFERROR(COUNTA(INDEX(Mots!$E:$E,MATCH($A50,Mots!$A:$A,0)):INDEX(Mots!$K:$K,MATCH($A50,Mots!$A:$A,0))),0)</f>
        <v>5</v>
      </c>
      <c r="E50" s="17" t="str">
        <f>IF(COUNTIF(Classement!$A:$A,$A50)&gt;0,"ok","à faire")</f>
        <v>ok</v>
      </c>
      <c r="F50" s="17" t="str">
        <f>IF(COUNTIF(Tags!$A:$A,$A50)&gt;0,"ok","à faire")</f>
        <v>à faire</v>
      </c>
      <c r="G50" s="17" t="str">
        <f>IF(COUNTIF(Phrases!$A:$A,$A50)&gt;0,"ok","à faire")</f>
        <v>ok</v>
      </c>
      <c r="H50" s="17" t="str">
        <f>IF(COUNTIFS(Phrases!$A:$A,$A50,Phrases!$I:$I,"&lt;&gt;")&gt;0,"ok","à faire")</f>
        <v>ok</v>
      </c>
      <c r="I50" s="17" t="str">
        <f>IF(COUNTIF(Synonymes!$A:$A,$A50)&gt;0,"ok","")</f>
        <v/>
      </c>
      <c r="J50" s="17">
        <f t="shared" si="0"/>
        <v>1</v>
      </c>
    </row>
    <row r="51" spans="1:10" x14ac:dyDescent="0.3">
      <c r="A51" s="17" t="s">
        <v>661</v>
      </c>
      <c r="B51" s="17" t="str">
        <f>IFERROR(INDEX(Mots!$B:$B,MATCH($A51,Mots!$A:$A,0)),"introuvable")</f>
        <v>le membre</v>
      </c>
      <c r="C51" s="17" t="str">
        <f>IFERROR(INDEX(Mots!$N:$N,MATCH($A51,Mots!$A:$A,0)),"")</f>
        <v>personne</v>
      </c>
      <c r="D51" s="17">
        <f>IFERROR(COUNTA(INDEX(Mots!$E:$E,MATCH($A51,Mots!$A:$A,0)):INDEX(Mots!$K:$K,MATCH($A51,Mots!$A:$A,0))),0)</f>
        <v>2</v>
      </c>
      <c r="E51" s="17" t="str">
        <f>IF(COUNTIF(Classement!$A:$A,$A51)&gt;0,"ok","à faire")</f>
        <v>ok</v>
      </c>
      <c r="F51" s="17" t="str">
        <f>IF(COUNTIF(Tags!$A:$A,$A51)&gt;0,"ok","à faire")</f>
        <v>à faire</v>
      </c>
      <c r="G51" s="17" t="str">
        <f>IF(COUNTIF(Phrases!$A:$A,$A51)&gt;0,"ok","à faire")</f>
        <v>à faire</v>
      </c>
      <c r="H51" s="17" t="str">
        <f>IF(COUNTIFS(Phrases!$A:$A,$A51,Phrases!$I:$I,"&lt;&gt;")&gt;0,"ok","à faire")</f>
        <v>à faire</v>
      </c>
      <c r="I51" s="17" t="str">
        <f>IF(COUNTIF(Synonymes!$A:$A,$A51)&gt;0,"ok","")</f>
        <v/>
      </c>
      <c r="J51" s="17">
        <f t="shared" si="0"/>
        <v>3</v>
      </c>
    </row>
    <row r="52" spans="1:10" x14ac:dyDescent="0.3">
      <c r="A52" s="17" t="s">
        <v>666</v>
      </c>
      <c r="B52" s="17" t="str">
        <f>IFERROR(INDEX(Mots!$B:$B,MATCH($A52,Mots!$A:$A,0)),"introuvable")</f>
        <v>le public</v>
      </c>
      <c r="C52" s="17" t="str">
        <f>IFERROR(INDEX(Mots!$N:$N,MATCH($A52,Mots!$A:$A,0)),"")</f>
        <v>chose</v>
      </c>
      <c r="D52" s="17">
        <f>IFERROR(COUNTA(INDEX(Mots!$E:$E,MATCH($A52,Mots!$A:$A,0)):INDEX(Mots!$K:$K,MATCH($A52,Mots!$A:$A,0))),0)</f>
        <v>1</v>
      </c>
      <c r="E52" s="17" t="str">
        <f>IF(COUNTIF(Classement!$A:$A,$A52)&gt;0,"ok","à faire")</f>
        <v>ok</v>
      </c>
      <c r="F52" s="17" t="str">
        <f>IF(COUNTIF(Tags!$A:$A,$A52)&gt;0,"ok","à faire")</f>
        <v>ok</v>
      </c>
      <c r="G52" s="17" t="str">
        <f>IF(COUNTIF(Phrases!$A:$A,$A52)&gt;0,"ok","à faire")</f>
        <v>ok</v>
      </c>
      <c r="H52" s="17" t="str">
        <f>IF(COUNTIFS(Phrases!$A:$A,$A52,Phrases!$I:$I,"&lt;&gt;")&gt;0,"ok","à faire")</f>
        <v>à faire</v>
      </c>
      <c r="I52" s="17" t="str">
        <f>IF(COUNTIF(Synonymes!$A:$A,$A52)&gt;0,"ok","")</f>
        <v>ok</v>
      </c>
      <c r="J52" s="17">
        <f t="shared" si="0"/>
        <v>1</v>
      </c>
    </row>
    <row r="53" spans="1:10" x14ac:dyDescent="0.3">
      <c r="A53" s="17" t="s">
        <v>670</v>
      </c>
      <c r="B53" s="17" t="str">
        <f>IFERROR(INDEX(Mots!$B:$B,MATCH($A53,Mots!$A:$A,0)),"introuvable")</f>
        <v>le son</v>
      </c>
      <c r="C53" s="17" t="str">
        <f>IFERROR(INDEX(Mots!$N:$N,MATCH($A53,Mots!$A:$A,0)),"")</f>
        <v>chose</v>
      </c>
      <c r="D53" s="17">
        <f>IFERROR(COUNTA(INDEX(Mots!$E:$E,MATCH($A53,Mots!$A:$A,0)):INDEX(Mots!$K:$K,MATCH($A53,Mots!$A:$A,0))),0)</f>
        <v>1</v>
      </c>
      <c r="E53" s="17" t="str">
        <f>IF(COUNTIF(Classement!$A:$A,$A53)&gt;0,"ok","à faire")</f>
        <v>ok</v>
      </c>
      <c r="F53" s="17" t="str">
        <f>IF(COUNTIF(Tags!$A:$A,$A53)&gt;0,"ok","à faire")</f>
        <v>ok</v>
      </c>
      <c r="G53" s="17" t="str">
        <f>IF(COUNTIF(Phrases!$A:$A,$A53)&gt;0,"ok","à faire")</f>
        <v>ok</v>
      </c>
      <c r="H53" s="17" t="str">
        <f>IF(COUNTIFS(Phrases!$A:$A,$A53,Phrases!$I:$I,"&lt;&gt;")&gt;0,"ok","à faire")</f>
        <v>à faire</v>
      </c>
      <c r="I53" s="17" t="str">
        <f>IF(COUNTIF(Synonymes!$A:$A,$A53)&gt;0,"ok","")</f>
        <v/>
      </c>
      <c r="J53" s="17">
        <f t="shared" si="0"/>
        <v>1</v>
      </c>
    </row>
    <row r="54" spans="1:10" x14ac:dyDescent="0.3">
      <c r="A54" s="17" t="s">
        <v>674</v>
      </c>
      <c r="B54" s="17" t="str">
        <f>IFERROR(INDEX(Mots!$B:$B,MATCH($A54,Mots!$A:$A,0)),"introuvable")</f>
        <v>le souffle</v>
      </c>
      <c r="C54" s="17" t="str">
        <f>IFERROR(INDEX(Mots!$N:$N,MATCH($A54,Mots!$A:$A,0)),"")</f>
        <v>chose</v>
      </c>
      <c r="D54" s="17">
        <f>IFERROR(COUNTA(INDEX(Mots!$E:$E,MATCH($A54,Mots!$A:$A,0)):INDEX(Mots!$K:$K,MATCH($A54,Mots!$A:$A,0))),0)</f>
        <v>6</v>
      </c>
      <c r="E54" s="17" t="str">
        <f>IF(COUNTIF(Classement!$A:$A,$A54)&gt;0,"ok","à faire")</f>
        <v>ok</v>
      </c>
      <c r="F54" s="17" t="str">
        <f>IF(COUNTIF(Tags!$A:$A,$A54)&gt;0,"ok","à faire")</f>
        <v>ok</v>
      </c>
      <c r="G54" s="17" t="str">
        <f>IF(COUNTIF(Phrases!$A:$A,$A54)&gt;0,"ok","à faire")</f>
        <v>ok</v>
      </c>
      <c r="H54" s="17" t="str">
        <f>IF(COUNTIFS(Phrases!$A:$A,$A54,Phrases!$I:$I,"&lt;&gt;")&gt;0,"ok","à faire")</f>
        <v>ok</v>
      </c>
      <c r="I54" s="17" t="str">
        <f>IF(COUNTIF(Synonymes!$A:$A,$A54)&gt;0,"ok","")</f>
        <v/>
      </c>
      <c r="J54" s="17">
        <f t="shared" si="0"/>
        <v>0</v>
      </c>
    </row>
    <row r="55" spans="1:10" x14ac:dyDescent="0.3">
      <c r="A55" s="17" t="s">
        <v>678</v>
      </c>
      <c r="B55" s="17" t="str">
        <f>IFERROR(INDEX(Mots!$B:$B,MATCH($A55,Mots!$A:$A,0)),"introuvable")</f>
        <v>le spectacle</v>
      </c>
      <c r="C55" s="17" t="str">
        <f>IFERROR(INDEX(Mots!$N:$N,MATCH($A55,Mots!$A:$A,0)),"")</f>
        <v>chose</v>
      </c>
      <c r="D55" s="17">
        <f>IFERROR(COUNTA(INDEX(Mots!$E:$E,MATCH($A55,Mots!$A:$A,0)):INDEX(Mots!$K:$K,MATCH($A55,Mots!$A:$A,0))),0)</f>
        <v>5</v>
      </c>
      <c r="E55" s="17" t="str">
        <f>IF(COUNTIF(Classement!$A:$A,$A55)&gt;0,"ok","à faire")</f>
        <v>ok</v>
      </c>
      <c r="F55" s="17" t="str">
        <f>IF(COUNTIF(Tags!$A:$A,$A55)&gt;0,"ok","à faire")</f>
        <v>ok</v>
      </c>
      <c r="G55" s="17" t="str">
        <f>IF(COUNTIF(Phrases!$A:$A,$A55)&gt;0,"ok","à faire")</f>
        <v>ok</v>
      </c>
      <c r="H55" s="17" t="str">
        <f>IF(COUNTIFS(Phrases!$A:$A,$A55,Phrases!$I:$I,"&lt;&gt;")&gt;0,"ok","à faire")</f>
        <v>ok</v>
      </c>
      <c r="I55" s="17" t="str">
        <f>IF(COUNTIF(Synonymes!$A:$A,$A55)&gt;0,"ok","")</f>
        <v>ok</v>
      </c>
      <c r="J55" s="17">
        <f t="shared" si="0"/>
        <v>0</v>
      </c>
    </row>
    <row r="56" spans="1:10" x14ac:dyDescent="0.3">
      <c r="A56" s="17" t="s">
        <v>686</v>
      </c>
      <c r="B56" s="17" t="str">
        <f>IFERROR(INDEX(Mots!$B:$B,MATCH($A56,Mots!$A:$A,0)),"introuvable")</f>
        <v>les applaudissements</v>
      </c>
      <c r="C56" s="17" t="str">
        <f>IFERROR(INDEX(Mots!$N:$N,MATCH($A56,Mots!$A:$A,0)),"")</f>
        <v>chose</v>
      </c>
      <c r="D56" s="17">
        <f>IFERROR(COUNTA(INDEX(Mots!$E:$E,MATCH($A56,Mots!$A:$A,0)):INDEX(Mots!$K:$K,MATCH($A56,Mots!$A:$A,0))),0)</f>
        <v>1</v>
      </c>
      <c r="E56" s="17" t="str">
        <f>IF(COUNTIF(Classement!$A:$A,$A56)&gt;0,"ok","à faire")</f>
        <v>ok</v>
      </c>
      <c r="F56" s="17" t="str">
        <f>IF(COUNTIF(Tags!$A:$A,$A56)&gt;0,"ok","à faire")</f>
        <v>ok</v>
      </c>
      <c r="G56" s="17" t="str">
        <f>IF(COUNTIF(Phrases!$A:$A,$A56)&gt;0,"ok","à faire")</f>
        <v>ok</v>
      </c>
      <c r="H56" s="17" t="str">
        <f>IF(COUNTIFS(Phrases!$A:$A,$A56,Phrases!$I:$I,"&lt;&gt;")&gt;0,"ok","à faire")</f>
        <v>à faire</v>
      </c>
      <c r="I56" s="17" t="str">
        <f>IF(COUNTIF(Synonymes!$A:$A,$A56)&gt;0,"ok","")</f>
        <v/>
      </c>
      <c r="J56" s="17">
        <f t="shared" si="0"/>
        <v>1</v>
      </c>
    </row>
    <row r="57" spans="1:10" x14ac:dyDescent="0.3">
      <c r="A57" s="17" t="s">
        <v>690</v>
      </c>
      <c r="B57" s="17" t="str">
        <f>IFERROR(INDEX(Mots!$B:$B,MATCH($A57,Mots!$A:$A,0)),"introuvable")</f>
        <v>les paroles</v>
      </c>
      <c r="C57" s="17" t="str">
        <f>IFERROR(INDEX(Mots!$N:$N,MATCH($A57,Mots!$A:$A,0)),"")</f>
        <v>chose</v>
      </c>
      <c r="D57" s="17">
        <f>IFERROR(COUNTA(INDEX(Mots!$E:$E,MATCH($A57,Mots!$A:$A,0)):INDEX(Mots!$K:$K,MATCH($A57,Mots!$A:$A,0))),0)</f>
        <v>2</v>
      </c>
      <c r="E57" s="17" t="str">
        <f>IF(COUNTIF(Classement!$A:$A,$A57)&gt;0,"ok","à faire")</f>
        <v>ok</v>
      </c>
      <c r="F57" s="17" t="str">
        <f>IF(COUNTIF(Tags!$A:$A,$A57)&gt;0,"ok","à faire")</f>
        <v>ok</v>
      </c>
      <c r="G57" s="17" t="str">
        <f>IF(COUNTIF(Phrases!$A:$A,$A57)&gt;0,"ok","à faire")</f>
        <v>ok</v>
      </c>
      <c r="H57" s="17" t="str">
        <f>IF(COUNTIFS(Phrases!$A:$A,$A57,Phrases!$I:$I,"&lt;&gt;")&gt;0,"ok","à faire")</f>
        <v>ok</v>
      </c>
      <c r="I57" s="17" t="str">
        <f>IF(COUNTIF(Synonymes!$A:$A,$A57)&gt;0,"ok","")</f>
        <v>ok</v>
      </c>
      <c r="J57" s="17">
        <f t="shared" si="0"/>
        <v>0</v>
      </c>
    </row>
    <row r="58" spans="1:10" x14ac:dyDescent="0.3">
      <c r="A58" s="17" t="s">
        <v>695</v>
      </c>
      <c r="B58" s="17" t="str">
        <f>IFERROR(INDEX(Mots!$B:$B,MATCH($A58,Mots!$A:$A,0)),"introuvable")</f>
        <v>l'harmonie</v>
      </c>
      <c r="C58" s="17" t="str">
        <f>IFERROR(INDEX(Mots!$N:$N,MATCH($A58,Mots!$A:$A,0)),"")</f>
        <v>chose</v>
      </c>
      <c r="D58" s="17">
        <f>IFERROR(COUNTA(INDEX(Mots!$E:$E,MATCH($A58,Mots!$A:$A,0)):INDEX(Mots!$K:$K,MATCH($A58,Mots!$A:$A,0))),0)</f>
        <v>4</v>
      </c>
      <c r="E58" s="17" t="str">
        <f>IF(COUNTIF(Classement!$A:$A,$A58)&gt;0,"ok","à faire")</f>
        <v>ok</v>
      </c>
      <c r="F58" s="17" t="str">
        <f>IF(COUNTIF(Tags!$A:$A,$A58)&gt;0,"ok","à faire")</f>
        <v>ok</v>
      </c>
      <c r="G58" s="17" t="str">
        <f>IF(COUNTIF(Phrases!$A:$A,$A58)&gt;0,"ok","à faire")</f>
        <v>ok</v>
      </c>
      <c r="H58" s="17" t="str">
        <f>IF(COUNTIFS(Phrases!$A:$A,$A58,Phrases!$I:$I,"&lt;&gt;")&gt;0,"ok","à faire")</f>
        <v>à faire</v>
      </c>
      <c r="I58" s="17" t="str">
        <f>IF(COUNTIF(Synonymes!$A:$A,$A58)&gt;0,"ok","")</f>
        <v>ok</v>
      </c>
      <c r="J58" s="17">
        <f t="shared" si="0"/>
        <v>1</v>
      </c>
    </row>
    <row r="59" spans="1:10" x14ac:dyDescent="0.3">
      <c r="A59" s="17" t="s">
        <v>702</v>
      </c>
      <c r="B59" s="17" t="str">
        <f>IFERROR(INDEX(Mots!$B:$B,MATCH($A59,Mots!$A:$A,0)),"introuvable")</f>
        <v>la cuisine</v>
      </c>
      <c r="C59" s="17" t="str">
        <f>IFERROR(INDEX(Mots!$N:$N,MATCH($A59,Mots!$A:$A,0)),"")</f>
        <v>chose</v>
      </c>
      <c r="D59" s="17">
        <f>IFERROR(COUNTA(INDEX(Mots!$E:$E,MATCH($A59,Mots!$A:$A,0)):INDEX(Mots!$K:$K,MATCH($A59,Mots!$A:$A,0))),0)</f>
        <v>1</v>
      </c>
      <c r="E59" s="17" t="str">
        <f>IF(COUNTIF(Classement!$A:$A,$A59)&gt;0,"ok","à faire")</f>
        <v>ok</v>
      </c>
      <c r="F59" s="17" t="str">
        <f>IF(COUNTIF(Tags!$A:$A,$A59)&gt;0,"ok","à faire")</f>
        <v>ok</v>
      </c>
      <c r="G59" s="17" t="str">
        <f>IF(COUNTIF(Phrases!$A:$A,$A59)&gt;0,"ok","à faire")</f>
        <v>ok</v>
      </c>
      <c r="H59" s="17" t="str">
        <f>IF(COUNTIFS(Phrases!$A:$A,$A59,Phrases!$I:$I,"&lt;&gt;")&gt;0,"ok","à faire")</f>
        <v>à faire</v>
      </c>
      <c r="I59" s="17" t="str">
        <f>IF(COUNTIF(Synonymes!$A:$A,$A59)&gt;0,"ok","")</f>
        <v/>
      </c>
      <c r="J59" s="17">
        <f t="shared" si="0"/>
        <v>1</v>
      </c>
    </row>
    <row r="60" spans="1:10" x14ac:dyDescent="0.3">
      <c r="A60" s="17" t="s">
        <v>705</v>
      </c>
      <c r="B60" s="17" t="str">
        <f>IFERROR(INDEX(Mots!$B:$B,MATCH($A60,Mots!$A:$A,0)),"introuvable")</f>
        <v>le frigo</v>
      </c>
      <c r="C60" s="17" t="str">
        <f>IFERROR(INDEX(Mots!$N:$N,MATCH($A60,Mots!$A:$A,0)),"")</f>
        <v>chose</v>
      </c>
      <c r="D60" s="17">
        <f>IFERROR(COUNTA(INDEX(Mots!$E:$E,MATCH($A60,Mots!$A:$A,0)):INDEX(Mots!$K:$K,MATCH($A60,Mots!$A:$A,0))),0)</f>
        <v>1</v>
      </c>
      <c r="E60" s="17" t="str">
        <f>IF(COUNTIF(Classement!$A:$A,$A60)&gt;0,"ok","à faire")</f>
        <v>ok</v>
      </c>
      <c r="F60" s="17" t="str">
        <f>IF(COUNTIF(Tags!$A:$A,$A60)&gt;0,"ok","à faire")</f>
        <v>ok</v>
      </c>
      <c r="G60" s="17" t="str">
        <f>IF(COUNTIF(Phrases!$A:$A,$A60)&gt;0,"ok","à faire")</f>
        <v>ok</v>
      </c>
      <c r="H60" s="17" t="str">
        <f>IF(COUNTIFS(Phrases!$A:$A,$A60,Phrases!$I:$I,"&lt;&gt;")&gt;0,"ok","à faire")</f>
        <v>à faire</v>
      </c>
      <c r="I60" s="17" t="str">
        <f>IF(COUNTIF(Synonymes!$A:$A,$A60)&gt;0,"ok","")</f>
        <v>ok</v>
      </c>
      <c r="J60" s="17">
        <f t="shared" si="0"/>
        <v>1</v>
      </c>
    </row>
    <row r="61" spans="1:10" x14ac:dyDescent="0.3">
      <c r="A61" s="17" t="s">
        <v>710</v>
      </c>
      <c r="B61" s="17" t="str">
        <f>IFERROR(INDEX(Mots!$B:$B,MATCH($A61,Mots!$A:$A,0)),"introuvable")</f>
        <v>le lave-vaisselle</v>
      </c>
      <c r="C61" s="17" t="str">
        <f>IFERROR(INDEX(Mots!$N:$N,MATCH($A61,Mots!$A:$A,0)),"")</f>
        <v>chose</v>
      </c>
      <c r="D61" s="17">
        <f>IFERROR(COUNTA(INDEX(Mots!$E:$E,MATCH($A61,Mots!$A:$A,0)):INDEX(Mots!$K:$K,MATCH($A61,Mots!$A:$A,0))),0)</f>
        <v>1</v>
      </c>
      <c r="E61" s="17" t="str">
        <f>IF(COUNTIF(Classement!$A:$A,$A61)&gt;0,"ok","à faire")</f>
        <v>ok</v>
      </c>
      <c r="F61" s="17" t="str">
        <f>IF(COUNTIF(Tags!$A:$A,$A61)&gt;0,"ok","à faire")</f>
        <v>ok</v>
      </c>
      <c r="G61" s="17" t="str">
        <f>IF(COUNTIF(Phrases!$A:$A,$A61)&gt;0,"ok","à faire")</f>
        <v>ok</v>
      </c>
      <c r="H61" s="17" t="str">
        <f>IF(COUNTIFS(Phrases!$A:$A,$A61,Phrases!$I:$I,"&lt;&gt;")&gt;0,"ok","à faire")</f>
        <v>à faire</v>
      </c>
      <c r="I61" s="17" t="str">
        <f>IF(COUNTIF(Synonymes!$A:$A,$A61)&gt;0,"ok","")</f>
        <v>ok</v>
      </c>
      <c r="J61" s="17">
        <f t="shared" si="0"/>
        <v>1</v>
      </c>
    </row>
    <row r="62" spans="1:10" x14ac:dyDescent="0.3">
      <c r="A62" s="17" t="s">
        <v>713</v>
      </c>
      <c r="B62" s="17" t="str">
        <f>IFERROR(INDEX(Mots!$B:$B,MATCH($A62,Mots!$A:$A,0)),"introuvable")</f>
        <v>le four</v>
      </c>
      <c r="C62" s="17" t="str">
        <f>IFERROR(INDEX(Mots!$N:$N,MATCH($A62,Mots!$A:$A,0)),"")</f>
        <v>chose</v>
      </c>
      <c r="D62" s="17">
        <f>IFERROR(COUNTA(INDEX(Mots!$E:$E,MATCH($A62,Mots!$A:$A,0)):INDEX(Mots!$K:$K,MATCH($A62,Mots!$A:$A,0))),0)</f>
        <v>1</v>
      </c>
      <c r="E62" s="17" t="str">
        <f>IF(COUNTIF(Classement!$A:$A,$A62)&gt;0,"ok","à faire")</f>
        <v>ok</v>
      </c>
      <c r="F62" s="17" t="str">
        <f>IF(COUNTIF(Tags!$A:$A,$A62)&gt;0,"ok","à faire")</f>
        <v>ok</v>
      </c>
      <c r="G62" s="17" t="str">
        <f>IF(COUNTIF(Phrases!$A:$A,$A62)&gt;0,"ok","à faire")</f>
        <v>ok</v>
      </c>
      <c r="H62" s="17" t="str">
        <f>IF(COUNTIFS(Phrases!$A:$A,$A62,Phrases!$I:$I,"&lt;&gt;")&gt;0,"ok","à faire")</f>
        <v>à faire</v>
      </c>
      <c r="I62" s="17" t="str">
        <f>IF(COUNTIF(Synonymes!$A:$A,$A62)&gt;0,"ok","")</f>
        <v/>
      </c>
      <c r="J62" s="17">
        <f t="shared" si="0"/>
        <v>1</v>
      </c>
    </row>
    <row r="63" spans="1:10" x14ac:dyDescent="0.3">
      <c r="A63" s="17" t="s">
        <v>717</v>
      </c>
      <c r="B63" s="17" t="str">
        <f>IFERROR(INDEX(Mots!$B:$B,MATCH($A63,Mots!$A:$A,0)),"introuvable")</f>
        <v>le micro onde</v>
      </c>
      <c r="C63" s="17" t="str">
        <f>IFERROR(INDEX(Mots!$N:$N,MATCH($A63,Mots!$A:$A,0)),"")</f>
        <v>chose</v>
      </c>
      <c r="D63" s="17">
        <f>IFERROR(COUNTA(INDEX(Mots!$E:$E,MATCH($A63,Mots!$A:$A,0)):INDEX(Mots!$K:$K,MATCH($A63,Mots!$A:$A,0))),0)</f>
        <v>4</v>
      </c>
      <c r="E63" s="17" t="str">
        <f>IF(COUNTIF(Classement!$A:$A,$A63)&gt;0,"ok","à faire")</f>
        <v>ok</v>
      </c>
      <c r="F63" s="17" t="str">
        <f>IF(COUNTIF(Tags!$A:$A,$A63)&gt;0,"ok","à faire")</f>
        <v>ok</v>
      </c>
      <c r="G63" s="17" t="str">
        <f>IF(COUNTIF(Phrases!$A:$A,$A63)&gt;0,"ok","à faire")</f>
        <v>ok</v>
      </c>
      <c r="H63" s="17" t="str">
        <f>IF(COUNTIFS(Phrases!$A:$A,$A63,Phrases!$I:$I,"&lt;&gt;")&gt;0,"ok","à faire")</f>
        <v>à faire</v>
      </c>
      <c r="I63" s="17" t="str">
        <f>IF(COUNTIF(Synonymes!$A:$A,$A63)&gt;0,"ok","")</f>
        <v/>
      </c>
      <c r="J63" s="17">
        <f t="shared" si="0"/>
        <v>1</v>
      </c>
    </row>
    <row r="64" spans="1:10" x14ac:dyDescent="0.3">
      <c r="A64" s="17" t="s">
        <v>724</v>
      </c>
      <c r="B64" s="17" t="str">
        <f>IFERROR(INDEX(Mots!$B:$B,MATCH($A64,Mots!$A:$A,0)),"introuvable")</f>
        <v>la cuisinière vitroceram</v>
      </c>
      <c r="C64" s="17" t="str">
        <f>IFERROR(INDEX(Mots!$N:$N,MATCH($A64,Mots!$A:$A,0)),"")</f>
        <v>chose</v>
      </c>
      <c r="D64" s="17">
        <f>IFERROR(COUNTA(INDEX(Mots!$E:$E,MATCH($A64,Mots!$A:$A,0)):INDEX(Mots!$K:$K,MATCH($A64,Mots!$A:$A,0))),0)</f>
        <v>1</v>
      </c>
      <c r="E64" s="17" t="str">
        <f>IF(COUNTIF(Classement!$A:$A,$A64)&gt;0,"ok","à faire")</f>
        <v>ok</v>
      </c>
      <c r="F64" s="17" t="str">
        <f>IF(COUNTIF(Tags!$A:$A,$A64)&gt;0,"ok","à faire")</f>
        <v>ok</v>
      </c>
      <c r="G64" s="17" t="str">
        <f>IF(COUNTIF(Phrases!$A:$A,$A64)&gt;0,"ok","à faire")</f>
        <v>ok</v>
      </c>
      <c r="H64" s="17" t="str">
        <f>IF(COUNTIFS(Phrases!$A:$A,$A64,Phrases!$I:$I,"&lt;&gt;")&gt;0,"ok","à faire")</f>
        <v>à faire</v>
      </c>
      <c r="I64" s="17" t="str">
        <f>IF(COUNTIF(Synonymes!$A:$A,$A64)&gt;0,"ok","")</f>
        <v>ok</v>
      </c>
      <c r="J64" s="17">
        <f t="shared" si="0"/>
        <v>1</v>
      </c>
    </row>
    <row r="65" spans="1:10" x14ac:dyDescent="0.3">
      <c r="A65" s="17" t="s">
        <v>728</v>
      </c>
      <c r="B65" s="17" t="str">
        <f>IFERROR(INDEX(Mots!$B:$B,MATCH($A65,Mots!$A:$A,0)),"introuvable")</f>
        <v>la machine à café</v>
      </c>
      <c r="C65" s="17" t="str">
        <f>IFERROR(INDEX(Mots!$N:$N,MATCH($A65,Mots!$A:$A,0)),"")</f>
        <v>chose</v>
      </c>
      <c r="D65" s="17">
        <f>IFERROR(COUNTA(INDEX(Mots!$E:$E,MATCH($A65,Mots!$A:$A,0)):INDEX(Mots!$K:$K,MATCH($A65,Mots!$A:$A,0))),0)</f>
        <v>1</v>
      </c>
      <c r="E65" s="17" t="str">
        <f>IF(COUNTIF(Classement!$A:$A,$A65)&gt;0,"ok","à faire")</f>
        <v>ok</v>
      </c>
      <c r="F65" s="17" t="str">
        <f>IF(COUNTIF(Tags!$A:$A,$A65)&gt;0,"ok","à faire")</f>
        <v>ok</v>
      </c>
      <c r="G65" s="17" t="str">
        <f>IF(COUNTIF(Phrases!$A:$A,$A65)&gt;0,"ok","à faire")</f>
        <v>ok</v>
      </c>
      <c r="H65" s="17" t="str">
        <f>IF(COUNTIFS(Phrases!$A:$A,$A65,Phrases!$I:$I,"&lt;&gt;")&gt;0,"ok","à faire")</f>
        <v>à faire</v>
      </c>
      <c r="I65" s="17" t="str">
        <f>IF(COUNTIF(Synonymes!$A:$A,$A65)&gt;0,"ok","")</f>
        <v/>
      </c>
      <c r="J65" s="17">
        <f t="shared" si="0"/>
        <v>1</v>
      </c>
    </row>
    <row r="66" spans="1:10" x14ac:dyDescent="0.3">
      <c r="A66" s="17" t="s">
        <v>733</v>
      </c>
      <c r="B66" s="17" t="str">
        <f>IFERROR(INDEX(Mots!$B:$B,MATCH($A66,Mots!$A:$A,0)),"introuvable")</f>
        <v>le verre</v>
      </c>
      <c r="C66" s="17" t="str">
        <f>IFERROR(INDEX(Mots!$N:$N,MATCH($A66,Mots!$A:$A,0)),"")</f>
        <v>chose</v>
      </c>
      <c r="D66" s="17">
        <f>IFERROR(COUNTA(INDEX(Mots!$E:$E,MATCH($A66,Mots!$A:$A,0)):INDEX(Mots!$K:$K,MATCH($A66,Mots!$A:$A,0))),0)</f>
        <v>1</v>
      </c>
      <c r="E66" s="17" t="str">
        <f>IF(COUNTIF(Classement!$A:$A,$A66)&gt;0,"ok","à faire")</f>
        <v>ok</v>
      </c>
      <c r="F66" s="17" t="str">
        <f>IF(COUNTIF(Tags!$A:$A,$A66)&gt;0,"ok","à faire")</f>
        <v>ok</v>
      </c>
      <c r="G66" s="17" t="str">
        <f>IF(COUNTIF(Phrases!$A:$A,$A66)&gt;0,"ok","à faire")</f>
        <v>ok</v>
      </c>
      <c r="H66" s="17" t="str">
        <f>IF(COUNTIFS(Phrases!$A:$A,$A66,Phrases!$I:$I,"&lt;&gt;")&gt;0,"ok","à faire")</f>
        <v>à faire</v>
      </c>
      <c r="I66" s="17" t="str">
        <f>IF(COUNTIF(Synonymes!$A:$A,$A66)&gt;0,"ok","")</f>
        <v/>
      </c>
      <c r="J66" s="17">
        <f t="shared" ref="J66:J129" si="1">COUNTIF(E66:H66,"à faire")</f>
        <v>1</v>
      </c>
    </row>
    <row r="67" spans="1:10" x14ac:dyDescent="0.3">
      <c r="A67" s="17" t="s">
        <v>737</v>
      </c>
      <c r="B67" s="17" t="str">
        <f>IFERROR(INDEX(Mots!$B:$B,MATCH($A67,Mots!$A:$A,0)),"introuvable")</f>
        <v>la tasse</v>
      </c>
      <c r="C67" s="17" t="str">
        <f>IFERROR(INDEX(Mots!$N:$N,MATCH($A67,Mots!$A:$A,0)),"")</f>
        <v>chose</v>
      </c>
      <c r="D67" s="17">
        <f>IFERROR(COUNTA(INDEX(Mots!$E:$E,MATCH($A67,Mots!$A:$A,0)):INDEX(Mots!$K:$K,MATCH($A67,Mots!$A:$A,0))),0)</f>
        <v>1</v>
      </c>
      <c r="E67" s="17" t="str">
        <f>IF(COUNTIF(Classement!$A:$A,$A67)&gt;0,"ok","à faire")</f>
        <v>ok</v>
      </c>
      <c r="F67" s="17" t="str">
        <f>IF(COUNTIF(Tags!$A:$A,$A67)&gt;0,"ok","à faire")</f>
        <v>ok</v>
      </c>
      <c r="G67" s="17" t="str">
        <f>IF(COUNTIF(Phrases!$A:$A,$A67)&gt;0,"ok","à faire")</f>
        <v>ok</v>
      </c>
      <c r="H67" s="17" t="str">
        <f>IF(COUNTIFS(Phrases!$A:$A,$A67,Phrases!$I:$I,"&lt;&gt;")&gt;0,"ok","à faire")</f>
        <v>à faire</v>
      </c>
      <c r="I67" s="17" t="str">
        <f>IF(COUNTIF(Synonymes!$A:$A,$A67)&gt;0,"ok","")</f>
        <v/>
      </c>
      <c r="J67" s="17">
        <f t="shared" si="1"/>
        <v>1</v>
      </c>
    </row>
    <row r="68" spans="1:10" x14ac:dyDescent="0.3">
      <c r="A68" s="8" t="s">
        <v>9642</v>
      </c>
      <c r="B68" s="17" t="str">
        <f>IFERROR(INDEX(Mots!$B:$B,MATCH($A68,Mots!$A:$A,0)),"introuvable")</f>
        <v>la bouteille</v>
      </c>
      <c r="C68" s="17" t="str">
        <f>IFERROR(INDEX(Mots!$N:$N,MATCH($A68,Mots!$A:$A,0)),"")</f>
        <v>chose</v>
      </c>
      <c r="D68" s="17">
        <f>IFERROR(COUNTA(INDEX(Mots!$E:$E,MATCH($A68,Mots!$A:$A,0)):INDEX(Mots!$K:$K,MATCH($A68,Mots!$A:$A,0))),0)</f>
        <v>1</v>
      </c>
      <c r="E68" s="17" t="str">
        <f>IF(COUNTIF(Classement!$A:$A,$A68)&gt;0,"ok","à faire")</f>
        <v>ok</v>
      </c>
      <c r="F68" s="17" t="str">
        <f>IF(COUNTIF(Tags!$A:$A,$A68)&gt;0,"ok","à faire")</f>
        <v>ok</v>
      </c>
      <c r="G68" s="17" t="str">
        <f>IF(COUNTIF(Phrases!$A:$A,$A68)&gt;0,"ok","à faire")</f>
        <v>ok</v>
      </c>
      <c r="H68" s="17" t="str">
        <f>IF(COUNTIFS(Phrases!$A:$A,$A68,Phrases!$I:$I,"&lt;&gt;")&gt;0,"ok","à faire")</f>
        <v>ok</v>
      </c>
      <c r="I68" s="17" t="str">
        <f>IF(COUNTIF(Synonymes!$A:$A,$A68)&gt;0,"ok","")</f>
        <v/>
      </c>
      <c r="J68" s="17">
        <f t="shared" si="1"/>
        <v>0</v>
      </c>
    </row>
    <row r="69" spans="1:10" x14ac:dyDescent="0.3">
      <c r="A69" s="17" t="s">
        <v>9483</v>
      </c>
      <c r="B69" s="17" t="str">
        <f>IFERROR(INDEX(Mots!$B:$B,MATCH($A69,Mots!$A:$A,0)),"introuvable")</f>
        <v>le pot ou la mesure</v>
      </c>
      <c r="C69" s="17" t="str">
        <f>IFERROR(INDEX(Mots!$N:$N,MATCH($A69,Mots!$A:$A,0)),"")</f>
        <v>chose</v>
      </c>
      <c r="D69" s="17">
        <f>IFERROR(COUNTA(INDEX(Mots!$E:$E,MATCH($A69,Mots!$A:$A,0)):INDEX(Mots!$K:$K,MATCH($A69,Mots!$A:$A,0))),0)</f>
        <v>1</v>
      </c>
      <c r="E69" s="17" t="str">
        <f>IF(COUNTIF(Classement!$A:$A,$A69)&gt;0,"ok","à faire")</f>
        <v>ok</v>
      </c>
      <c r="F69" s="17" t="str">
        <f>IF(COUNTIF(Tags!$A:$A,$A69)&gt;0,"ok","à faire")</f>
        <v>ok</v>
      </c>
      <c r="G69" s="17" t="str">
        <f>IF(COUNTIF(Phrases!$A:$A,$A69)&gt;0,"ok","à faire")</f>
        <v>ok</v>
      </c>
      <c r="H69" s="17" t="str">
        <f>IF(COUNTIFS(Phrases!$A:$A,$A69,Phrases!$I:$I,"&lt;&gt;")&gt;0,"ok","à faire")</f>
        <v>à faire</v>
      </c>
      <c r="I69" s="17" t="str">
        <f>IF(COUNTIF(Synonymes!$A:$A,$A69)&gt;0,"ok","")</f>
        <v/>
      </c>
      <c r="J69" s="17">
        <f t="shared" si="1"/>
        <v>1</v>
      </c>
    </row>
    <row r="70" spans="1:10" x14ac:dyDescent="0.3">
      <c r="A70" s="17" t="s">
        <v>746</v>
      </c>
      <c r="B70" s="17" t="str">
        <f>IFERROR(INDEX(Mots!$B:$B,MATCH($A70,Mots!$A:$A,0)),"introuvable")</f>
        <v>l'assiette</v>
      </c>
      <c r="C70" s="17" t="str">
        <f>IFERROR(INDEX(Mots!$N:$N,MATCH($A70,Mots!$A:$A,0)),"")</f>
        <v>chose</v>
      </c>
      <c r="D70" s="17">
        <f>IFERROR(COUNTA(INDEX(Mots!$E:$E,MATCH($A70,Mots!$A:$A,0)):INDEX(Mots!$K:$K,MATCH($A70,Mots!$A:$A,0))),0)</f>
        <v>1</v>
      </c>
      <c r="E70" s="17" t="str">
        <f>IF(COUNTIF(Classement!$A:$A,$A70)&gt;0,"ok","à faire")</f>
        <v>ok</v>
      </c>
      <c r="F70" s="17" t="str">
        <f>IF(COUNTIF(Tags!$A:$A,$A70)&gt;0,"ok","à faire")</f>
        <v>ok</v>
      </c>
      <c r="G70" s="17" t="str">
        <f>IF(COUNTIF(Phrases!$A:$A,$A70)&gt;0,"ok","à faire")</f>
        <v>ok</v>
      </c>
      <c r="H70" s="17" t="str">
        <f>IF(COUNTIFS(Phrases!$A:$A,$A70,Phrases!$I:$I,"&lt;&gt;")&gt;0,"ok","à faire")</f>
        <v>à faire</v>
      </c>
      <c r="I70" s="17" t="str">
        <f>IF(COUNTIF(Synonymes!$A:$A,$A70)&gt;0,"ok","")</f>
        <v/>
      </c>
      <c r="J70" s="17">
        <f t="shared" si="1"/>
        <v>1</v>
      </c>
    </row>
    <row r="71" spans="1:10" x14ac:dyDescent="0.3">
      <c r="A71" s="17" t="s">
        <v>750</v>
      </c>
      <c r="B71" s="17" t="str">
        <f>IFERROR(INDEX(Mots!$B:$B,MATCH($A71,Mots!$A:$A,0)),"introuvable")</f>
        <v>la fourchette</v>
      </c>
      <c r="C71" s="17" t="str">
        <f>IFERROR(INDEX(Mots!$N:$N,MATCH($A71,Mots!$A:$A,0)),"")</f>
        <v>chose</v>
      </c>
      <c r="D71" s="17">
        <f>IFERROR(COUNTA(INDEX(Mots!$E:$E,MATCH($A71,Mots!$A:$A,0)):INDEX(Mots!$K:$K,MATCH($A71,Mots!$A:$A,0))),0)</f>
        <v>1</v>
      </c>
      <c r="E71" s="17" t="str">
        <f>IF(COUNTIF(Classement!$A:$A,$A71)&gt;0,"ok","à faire")</f>
        <v>ok</v>
      </c>
      <c r="F71" s="17" t="str">
        <f>IF(COUNTIF(Tags!$A:$A,$A71)&gt;0,"ok","à faire")</f>
        <v>ok</v>
      </c>
      <c r="G71" s="17" t="str">
        <f>IF(COUNTIF(Phrases!$A:$A,$A71)&gt;0,"ok","à faire")</f>
        <v>ok</v>
      </c>
      <c r="H71" s="17" t="str">
        <f>IF(COUNTIFS(Phrases!$A:$A,$A71,Phrases!$I:$I,"&lt;&gt;")&gt;0,"ok","à faire")</f>
        <v>à faire</v>
      </c>
      <c r="I71" s="17" t="str">
        <f>IF(COUNTIF(Synonymes!$A:$A,$A71)&gt;0,"ok","")</f>
        <v/>
      </c>
      <c r="J71" s="17">
        <f t="shared" si="1"/>
        <v>1</v>
      </c>
    </row>
    <row r="72" spans="1:10" x14ac:dyDescent="0.3">
      <c r="A72" s="17" t="s">
        <v>753</v>
      </c>
      <c r="B72" s="17" t="str">
        <f>IFERROR(INDEX(Mots!$B:$B,MATCH($A72,Mots!$A:$A,0)),"introuvable")</f>
        <v>la cuillère</v>
      </c>
      <c r="C72" s="17" t="str">
        <f>IFERROR(INDEX(Mots!$N:$N,MATCH($A72,Mots!$A:$A,0)),"")</f>
        <v>chose</v>
      </c>
      <c r="D72" s="17">
        <f>IFERROR(COUNTA(INDEX(Mots!$E:$E,MATCH($A72,Mots!$A:$A,0)):INDEX(Mots!$K:$K,MATCH($A72,Mots!$A:$A,0))),0)</f>
        <v>1</v>
      </c>
      <c r="E72" s="17" t="str">
        <f>IF(COUNTIF(Classement!$A:$A,$A72)&gt;0,"ok","à faire")</f>
        <v>ok</v>
      </c>
      <c r="F72" s="17" t="str">
        <f>IF(COUNTIF(Tags!$A:$A,$A72)&gt;0,"ok","à faire")</f>
        <v>ok</v>
      </c>
      <c r="G72" s="17" t="str">
        <f>IF(COUNTIF(Phrases!$A:$A,$A72)&gt;0,"ok","à faire")</f>
        <v>ok</v>
      </c>
      <c r="H72" s="17" t="str">
        <f>IF(COUNTIFS(Phrases!$A:$A,$A72,Phrases!$I:$I,"&lt;&gt;")&gt;0,"ok","à faire")</f>
        <v>à faire</v>
      </c>
      <c r="I72" s="17" t="str">
        <f>IF(COUNTIF(Synonymes!$A:$A,$A72)&gt;0,"ok","")</f>
        <v/>
      </c>
      <c r="J72" s="17">
        <f t="shared" si="1"/>
        <v>1</v>
      </c>
    </row>
    <row r="73" spans="1:10" x14ac:dyDescent="0.3">
      <c r="A73" s="17" t="s">
        <v>756</v>
      </c>
      <c r="B73" s="17" t="str">
        <f>IFERROR(INDEX(Mots!$B:$B,MATCH($A73,Mots!$A:$A,0)),"introuvable")</f>
        <v>le couteau</v>
      </c>
      <c r="C73" s="17" t="str">
        <f>IFERROR(INDEX(Mots!$N:$N,MATCH($A73,Mots!$A:$A,0)),"")</f>
        <v>chose</v>
      </c>
      <c r="D73" s="17">
        <f>IFERROR(COUNTA(INDEX(Mots!$E:$E,MATCH($A73,Mots!$A:$A,0)):INDEX(Mots!$K:$K,MATCH($A73,Mots!$A:$A,0))),0)</f>
        <v>1</v>
      </c>
      <c r="E73" s="17" t="str">
        <f>IF(COUNTIF(Classement!$A:$A,$A73)&gt;0,"ok","à faire")</f>
        <v>ok</v>
      </c>
      <c r="F73" s="17" t="str">
        <f>IF(COUNTIF(Tags!$A:$A,$A73)&gt;0,"ok","à faire")</f>
        <v>ok</v>
      </c>
      <c r="G73" s="17" t="str">
        <f>IF(COUNTIF(Phrases!$A:$A,$A73)&gt;0,"ok","à faire")</f>
        <v>ok</v>
      </c>
      <c r="H73" s="17" t="str">
        <f>IF(COUNTIFS(Phrases!$A:$A,$A73,Phrases!$I:$I,"&lt;&gt;")&gt;0,"ok","à faire")</f>
        <v>à faire</v>
      </c>
      <c r="I73" s="17" t="str">
        <f>IF(COUNTIF(Synonymes!$A:$A,$A73)&gt;0,"ok","")</f>
        <v/>
      </c>
      <c r="J73" s="17">
        <f t="shared" si="1"/>
        <v>1</v>
      </c>
    </row>
    <row r="74" spans="1:10" x14ac:dyDescent="0.3">
      <c r="A74" s="17" t="s">
        <v>760</v>
      </c>
      <c r="B74" s="17" t="str">
        <f>IFERROR(INDEX(Mots!$B:$B,MATCH($A74,Mots!$A:$A,0)),"introuvable")</f>
        <v>la casserole</v>
      </c>
      <c r="C74" s="17" t="str">
        <f>IFERROR(INDEX(Mots!$N:$N,MATCH($A74,Mots!$A:$A,0)),"")</f>
        <v>chose</v>
      </c>
      <c r="D74" s="17">
        <f>IFERROR(COUNTA(INDEX(Mots!$E:$E,MATCH($A74,Mots!$A:$A,0)):INDEX(Mots!$K:$K,MATCH($A74,Mots!$A:$A,0))),0)</f>
        <v>1</v>
      </c>
      <c r="E74" s="17" t="str">
        <f>IF(COUNTIF(Classement!$A:$A,$A74)&gt;0,"ok","à faire")</f>
        <v>ok</v>
      </c>
      <c r="F74" s="17" t="str">
        <f>IF(COUNTIF(Tags!$A:$A,$A74)&gt;0,"ok","à faire")</f>
        <v>ok</v>
      </c>
      <c r="G74" s="17" t="str">
        <f>IF(COUNTIF(Phrases!$A:$A,$A74)&gt;0,"ok","à faire")</f>
        <v>ok</v>
      </c>
      <c r="H74" s="17" t="str">
        <f>IF(COUNTIFS(Phrases!$A:$A,$A74,Phrases!$I:$I,"&lt;&gt;")&gt;0,"ok","à faire")</f>
        <v>à faire</v>
      </c>
      <c r="I74" s="17" t="str">
        <f>IF(COUNTIF(Synonymes!$A:$A,$A74)&gt;0,"ok","")</f>
        <v/>
      </c>
      <c r="J74" s="17">
        <f t="shared" si="1"/>
        <v>1</v>
      </c>
    </row>
    <row r="75" spans="1:10" x14ac:dyDescent="0.3">
      <c r="A75" s="17" t="s">
        <v>10047</v>
      </c>
      <c r="B75" s="17" t="str">
        <f>IFERROR(INDEX(Mots!$B:$B,MATCH($A75,Mots!$A:$A,0)),"introuvable")</f>
        <v>la marmite</v>
      </c>
      <c r="C75" s="17" t="str">
        <f>IFERROR(INDEX(Mots!$N:$N,MATCH($A75,Mots!$A:$A,0)),"")</f>
        <v>chose</v>
      </c>
      <c r="D75" s="17">
        <f>IFERROR(COUNTA(INDEX(Mots!$E:$E,MATCH($A75,Mots!$A:$A,0)):INDEX(Mots!$K:$K,MATCH($A75,Mots!$A:$A,0))),0)</f>
        <v>1</v>
      </c>
      <c r="E75" s="17" t="str">
        <f>IF(COUNTIF(Classement!$A:$A,$A75)&gt;0,"ok","à faire")</f>
        <v>ok</v>
      </c>
      <c r="F75" s="17" t="str">
        <f>IF(COUNTIF(Tags!$A:$A,$A75)&gt;0,"ok","à faire")</f>
        <v>ok</v>
      </c>
      <c r="G75" s="17" t="str">
        <f>IF(COUNTIF(Phrases!$A:$A,$A75)&gt;0,"ok","à faire")</f>
        <v>ok</v>
      </c>
      <c r="H75" s="17" t="str">
        <f>IF(COUNTIFS(Phrases!$A:$A,$A75,Phrases!$I:$I,"&lt;&gt;")&gt;0,"ok","à faire")</f>
        <v>à faire</v>
      </c>
      <c r="I75" s="17" t="str">
        <f>IF(COUNTIF(Synonymes!$A:$A,$A75)&gt;0,"ok","")</f>
        <v/>
      </c>
      <c r="J75" s="17">
        <f t="shared" si="1"/>
        <v>1</v>
      </c>
    </row>
    <row r="76" spans="1:10" x14ac:dyDescent="0.3">
      <c r="A76" s="17" t="s">
        <v>764</v>
      </c>
      <c r="B76" s="17" t="str">
        <f>IFERROR(INDEX(Mots!$B:$B,MATCH($A76,Mots!$A:$A,0)),"introuvable")</f>
        <v>la poêle</v>
      </c>
      <c r="C76" s="17" t="str">
        <f>IFERROR(INDEX(Mots!$N:$N,MATCH($A76,Mots!$A:$A,0)),"")</f>
        <v>chose</v>
      </c>
      <c r="D76" s="17">
        <f>IFERROR(COUNTA(INDEX(Mots!$E:$E,MATCH($A76,Mots!$A:$A,0)):INDEX(Mots!$K:$K,MATCH($A76,Mots!$A:$A,0))),0)</f>
        <v>1</v>
      </c>
      <c r="E76" s="17" t="str">
        <f>IF(COUNTIF(Classement!$A:$A,$A76)&gt;0,"ok","à faire")</f>
        <v>ok</v>
      </c>
      <c r="F76" s="17" t="str">
        <f>IF(COUNTIF(Tags!$A:$A,$A76)&gt;0,"ok","à faire")</f>
        <v>ok</v>
      </c>
      <c r="G76" s="17" t="str">
        <f>IF(COUNTIF(Phrases!$A:$A,$A76)&gt;0,"ok","à faire")</f>
        <v>ok</v>
      </c>
      <c r="H76" s="17" t="str">
        <f>IF(COUNTIFS(Phrases!$A:$A,$A76,Phrases!$I:$I,"&lt;&gt;")&gt;0,"ok","à faire")</f>
        <v>à faire</v>
      </c>
      <c r="I76" s="17" t="str">
        <f>IF(COUNTIF(Synonymes!$A:$A,$A76)&gt;0,"ok","")</f>
        <v/>
      </c>
      <c r="J76" s="17">
        <f t="shared" si="1"/>
        <v>1</v>
      </c>
    </row>
    <row r="77" spans="1:10" x14ac:dyDescent="0.3">
      <c r="A77" s="17" t="s">
        <v>767</v>
      </c>
      <c r="B77" s="17" t="str">
        <f>IFERROR(INDEX(Mots!$B:$B,MATCH($A77,Mots!$A:$A,0)),"introuvable")</f>
        <v>l'évier ou la plonge</v>
      </c>
      <c r="C77" s="17" t="str">
        <f>IFERROR(INDEX(Mots!$N:$N,MATCH($A77,Mots!$A:$A,0)),"")</f>
        <v>chose</v>
      </c>
      <c r="D77" s="17">
        <f>IFERROR(COUNTA(INDEX(Mots!$E:$E,MATCH($A77,Mots!$A:$A,0)):INDEX(Mots!$K:$K,MATCH($A77,Mots!$A:$A,0))),0)</f>
        <v>1</v>
      </c>
      <c r="E77" s="17" t="str">
        <f>IF(COUNTIF(Classement!$A:$A,$A77)&gt;0,"ok","à faire")</f>
        <v>ok</v>
      </c>
      <c r="F77" s="17" t="str">
        <f>IF(COUNTIF(Tags!$A:$A,$A77)&gt;0,"ok","à faire")</f>
        <v>ok</v>
      </c>
      <c r="G77" s="17" t="str">
        <f>IF(COUNTIF(Phrases!$A:$A,$A77)&gt;0,"ok","à faire")</f>
        <v>ok</v>
      </c>
      <c r="H77" s="17" t="str">
        <f>IF(COUNTIFS(Phrases!$A:$A,$A77,Phrases!$I:$I,"&lt;&gt;")&gt;0,"ok","à faire")</f>
        <v>à faire</v>
      </c>
      <c r="I77" s="17" t="str">
        <f>IF(COUNTIF(Synonymes!$A:$A,$A77)&gt;0,"ok","")</f>
        <v/>
      </c>
      <c r="J77" s="17">
        <f t="shared" si="1"/>
        <v>1</v>
      </c>
    </row>
    <row r="78" spans="1:10" x14ac:dyDescent="0.3">
      <c r="A78" s="17" t="s">
        <v>771</v>
      </c>
      <c r="B78" s="17" t="str">
        <f>IFERROR(INDEX(Mots!$B:$B,MATCH($A78,Mots!$A:$A,0)),"introuvable")</f>
        <v>le caquelon et le réchaud</v>
      </c>
      <c r="C78" s="17" t="str">
        <f>IFERROR(INDEX(Mots!$N:$N,MATCH($A78,Mots!$A:$A,0)),"")</f>
        <v>chose</v>
      </c>
      <c r="D78" s="17">
        <f>IFERROR(COUNTA(INDEX(Mots!$E:$E,MATCH($A78,Mots!$A:$A,0)):INDEX(Mots!$K:$K,MATCH($A78,Mots!$A:$A,0))),0)</f>
        <v>1</v>
      </c>
      <c r="E78" s="17" t="str">
        <f>IF(COUNTIF(Classement!$A:$A,$A78)&gt;0,"ok","à faire")</f>
        <v>ok</v>
      </c>
      <c r="F78" s="17" t="str">
        <f>IF(COUNTIF(Tags!$A:$A,$A78)&gt;0,"ok","à faire")</f>
        <v>ok</v>
      </c>
      <c r="G78" s="17" t="str">
        <f>IF(COUNTIF(Phrases!$A:$A,$A78)&gt;0,"ok","à faire")</f>
        <v>ok</v>
      </c>
      <c r="H78" s="17" t="str">
        <f>IF(COUNTIFS(Phrases!$A:$A,$A78,Phrases!$I:$I,"&lt;&gt;")&gt;0,"ok","à faire")</f>
        <v>à faire</v>
      </c>
      <c r="I78" s="17" t="str">
        <f>IF(COUNTIF(Synonymes!$A:$A,$A78)&gt;0,"ok","")</f>
        <v/>
      </c>
      <c r="J78" s="17">
        <f t="shared" si="1"/>
        <v>1</v>
      </c>
    </row>
    <row r="79" spans="1:10" x14ac:dyDescent="0.3">
      <c r="A79" s="17" t="s">
        <v>775</v>
      </c>
      <c r="B79" s="17" t="str">
        <f>IFERROR(INDEX(Mots!$B:$B,MATCH($A79,Mots!$A:$A,0)),"introuvable")</f>
        <v>la grille à raclette</v>
      </c>
      <c r="C79" s="17" t="str">
        <f>IFERROR(INDEX(Mots!$N:$N,MATCH($A79,Mots!$A:$A,0)),"")</f>
        <v>chose</v>
      </c>
      <c r="D79" s="17">
        <f>IFERROR(COUNTA(INDEX(Mots!$E:$E,MATCH($A79,Mots!$A:$A,0)):INDEX(Mots!$K:$K,MATCH($A79,Mots!$A:$A,0))),0)</f>
        <v>1</v>
      </c>
      <c r="E79" s="17" t="str">
        <f>IF(COUNTIF(Classement!$A:$A,$A79)&gt;0,"ok","à faire")</f>
        <v>ok</v>
      </c>
      <c r="F79" s="17" t="str">
        <f>IF(COUNTIF(Tags!$A:$A,$A79)&gt;0,"ok","à faire")</f>
        <v>ok</v>
      </c>
      <c r="G79" s="17" t="str">
        <f>IF(COUNTIF(Phrases!$A:$A,$A79)&gt;0,"ok","à faire")</f>
        <v>ok</v>
      </c>
      <c r="H79" s="17" t="str">
        <f>IF(COUNTIFS(Phrases!$A:$A,$A79,Phrases!$I:$I,"&lt;&gt;")&gt;0,"ok","à faire")</f>
        <v>à faire</v>
      </c>
      <c r="I79" s="17" t="str">
        <f>IF(COUNTIF(Synonymes!$A:$A,$A79)&gt;0,"ok","")</f>
        <v/>
      </c>
      <c r="J79" s="17">
        <f t="shared" si="1"/>
        <v>1</v>
      </c>
    </row>
    <row r="80" spans="1:10" x14ac:dyDescent="0.3">
      <c r="A80" s="17" t="s">
        <v>779</v>
      </c>
      <c r="B80" s="17" t="str">
        <f>IFERROR(INDEX(Mots!$B:$B,MATCH($A80,Mots!$A:$A,0)),"introuvable")</f>
        <v>le robinet</v>
      </c>
      <c r="C80" s="17" t="str">
        <f>IFERROR(INDEX(Mots!$N:$N,MATCH($A80,Mots!$A:$A,0)),"")</f>
        <v>chose</v>
      </c>
      <c r="D80" s="17">
        <f>IFERROR(COUNTA(INDEX(Mots!$E:$E,MATCH($A80,Mots!$A:$A,0)):INDEX(Mots!$K:$K,MATCH($A80,Mots!$A:$A,0))),0)</f>
        <v>1</v>
      </c>
      <c r="E80" s="17" t="str">
        <f>IF(COUNTIF(Classement!$A:$A,$A80)&gt;0,"ok","à faire")</f>
        <v>ok</v>
      </c>
      <c r="F80" s="17" t="str">
        <f>IF(COUNTIF(Tags!$A:$A,$A80)&gt;0,"ok","à faire")</f>
        <v>ok</v>
      </c>
      <c r="G80" s="17" t="str">
        <f>IF(COUNTIF(Phrases!$A:$A,$A80)&gt;0,"ok","à faire")</f>
        <v>ok</v>
      </c>
      <c r="H80" s="17" t="str">
        <f>IF(COUNTIFS(Phrases!$A:$A,$A80,Phrases!$I:$I,"&lt;&gt;")&gt;0,"ok","à faire")</f>
        <v>à faire</v>
      </c>
      <c r="I80" s="17" t="str">
        <f>IF(COUNTIF(Synonymes!$A:$A,$A80)&gt;0,"ok","")</f>
        <v/>
      </c>
      <c r="J80" s="17">
        <f t="shared" si="1"/>
        <v>1</v>
      </c>
    </row>
    <row r="81" spans="1:10" x14ac:dyDescent="0.3">
      <c r="A81" s="17" t="s">
        <v>782</v>
      </c>
      <c r="B81" s="17" t="str">
        <f>IFERROR(INDEX(Mots!$B:$B,MATCH($A81,Mots!$A:$A,0)),"introuvable")</f>
        <v>la table</v>
      </c>
      <c r="C81" s="17" t="str">
        <f>IFERROR(INDEX(Mots!$N:$N,MATCH($A81,Mots!$A:$A,0)),"")</f>
        <v>chose</v>
      </c>
      <c r="D81" s="17">
        <f>IFERROR(COUNTA(INDEX(Mots!$E:$E,MATCH($A81,Mots!$A:$A,0)):INDEX(Mots!$K:$K,MATCH($A81,Mots!$A:$A,0))),0)</f>
        <v>1</v>
      </c>
      <c r="E81" s="17" t="str">
        <f>IF(COUNTIF(Classement!$A:$A,$A81)&gt;0,"ok","à faire")</f>
        <v>ok</v>
      </c>
      <c r="F81" s="17" t="str">
        <f>IF(COUNTIF(Tags!$A:$A,$A81)&gt;0,"ok","à faire")</f>
        <v>ok</v>
      </c>
      <c r="G81" s="17" t="str">
        <f>IF(COUNTIF(Phrases!$A:$A,$A81)&gt;0,"ok","à faire")</f>
        <v>ok</v>
      </c>
      <c r="H81" s="17" t="str">
        <f>IF(COUNTIFS(Phrases!$A:$A,$A81,Phrases!$I:$I,"&lt;&gt;")&gt;0,"ok","à faire")</f>
        <v>à faire</v>
      </c>
      <c r="I81" s="17" t="str">
        <f>IF(COUNTIF(Synonymes!$A:$A,$A81)&gt;0,"ok","")</f>
        <v/>
      </c>
      <c r="J81" s="17">
        <f t="shared" si="1"/>
        <v>1</v>
      </c>
    </row>
    <row r="82" spans="1:10" x14ac:dyDescent="0.3">
      <c r="A82" s="17" t="s">
        <v>786</v>
      </c>
      <c r="B82" s="17" t="str">
        <f>IFERROR(INDEX(Mots!$B:$B,MATCH($A82,Mots!$A:$A,0)),"introuvable")</f>
        <v>la chaise</v>
      </c>
      <c r="C82" s="17" t="str">
        <f>IFERROR(INDEX(Mots!$N:$N,MATCH($A82,Mots!$A:$A,0)),"")</f>
        <v>chose</v>
      </c>
      <c r="D82" s="17">
        <f>IFERROR(COUNTA(INDEX(Mots!$E:$E,MATCH($A82,Mots!$A:$A,0)):INDEX(Mots!$K:$K,MATCH($A82,Mots!$A:$A,0))),0)</f>
        <v>1</v>
      </c>
      <c r="E82" s="17" t="str">
        <f>IF(COUNTIF(Classement!$A:$A,$A82)&gt;0,"ok","à faire")</f>
        <v>ok</v>
      </c>
      <c r="F82" s="17" t="str">
        <f>IF(COUNTIF(Tags!$A:$A,$A82)&gt;0,"ok","à faire")</f>
        <v>ok</v>
      </c>
      <c r="G82" s="17" t="str">
        <f>IF(COUNTIF(Phrases!$A:$A,$A82)&gt;0,"ok","à faire")</f>
        <v>ok</v>
      </c>
      <c r="H82" s="17" t="str">
        <f>IF(COUNTIFS(Phrases!$A:$A,$A82,Phrases!$I:$I,"&lt;&gt;")&gt;0,"ok","à faire")</f>
        <v>à faire</v>
      </c>
      <c r="I82" s="17" t="str">
        <f>IF(COUNTIF(Synonymes!$A:$A,$A82)&gt;0,"ok","")</f>
        <v/>
      </c>
      <c r="J82" s="17">
        <f t="shared" si="1"/>
        <v>1</v>
      </c>
    </row>
    <row r="83" spans="1:10" x14ac:dyDescent="0.3">
      <c r="A83" s="17" t="s">
        <v>791</v>
      </c>
      <c r="B83" s="17" t="str">
        <f>IFERROR(INDEX(Mots!$B:$B,MATCH($A83,Mots!$A:$A,0)),"introuvable")</f>
        <v>le buffet</v>
      </c>
      <c r="C83" s="17" t="str">
        <f>IFERROR(INDEX(Mots!$N:$N,MATCH($A83,Mots!$A:$A,0)),"")</f>
        <v>chose</v>
      </c>
      <c r="D83" s="17">
        <f>IFERROR(COUNTA(INDEX(Mots!$E:$E,MATCH($A83,Mots!$A:$A,0)):INDEX(Mots!$K:$K,MATCH($A83,Mots!$A:$A,0))),0)</f>
        <v>1</v>
      </c>
      <c r="E83" s="17" t="str">
        <f>IF(COUNTIF(Classement!$A:$A,$A83)&gt;0,"ok","à faire")</f>
        <v>ok</v>
      </c>
      <c r="F83" s="17" t="str">
        <f>IF(COUNTIF(Tags!$A:$A,$A83)&gt;0,"ok","à faire")</f>
        <v>ok</v>
      </c>
      <c r="G83" s="17" t="str">
        <f>IF(COUNTIF(Phrases!$A:$A,$A83)&gt;0,"ok","à faire")</f>
        <v>ok</v>
      </c>
      <c r="H83" s="17" t="str">
        <f>IF(COUNTIFS(Phrases!$A:$A,$A83,Phrases!$I:$I,"&lt;&gt;")&gt;0,"ok","à faire")</f>
        <v>à faire</v>
      </c>
      <c r="I83" s="17" t="str">
        <f>IF(COUNTIF(Synonymes!$A:$A,$A83)&gt;0,"ok","")</f>
        <v>ok</v>
      </c>
      <c r="J83" s="17">
        <f t="shared" si="1"/>
        <v>1</v>
      </c>
    </row>
    <row r="84" spans="1:10" x14ac:dyDescent="0.3">
      <c r="A84" s="17" t="s">
        <v>794</v>
      </c>
      <c r="B84" s="17" t="str">
        <f>IFERROR(INDEX(Mots!$B:$B,MATCH($A84,Mots!$A:$A,0)),"introuvable")</f>
        <v>la vaisselle</v>
      </c>
      <c r="C84" s="17" t="str">
        <f>IFERROR(INDEX(Mots!$N:$N,MATCH($A84,Mots!$A:$A,0)),"")</f>
        <v>chose</v>
      </c>
      <c r="D84" s="17">
        <f>IFERROR(COUNTA(INDEX(Mots!$E:$E,MATCH($A84,Mots!$A:$A,0)):INDEX(Mots!$K:$K,MATCH($A84,Mots!$A:$A,0))),0)</f>
        <v>1</v>
      </c>
      <c r="E84" s="17" t="str">
        <f>IF(COUNTIF(Classement!$A:$A,$A84)&gt;0,"ok","à faire")</f>
        <v>ok</v>
      </c>
      <c r="F84" s="17" t="str">
        <f>IF(COUNTIF(Tags!$A:$A,$A84)&gt;0,"ok","à faire")</f>
        <v>ok</v>
      </c>
      <c r="G84" s="17" t="str">
        <f>IF(COUNTIF(Phrases!$A:$A,$A84)&gt;0,"ok","à faire")</f>
        <v>ok</v>
      </c>
      <c r="H84" s="17" t="str">
        <f>IF(COUNTIFS(Phrases!$A:$A,$A84,Phrases!$I:$I,"&lt;&gt;")&gt;0,"ok","à faire")</f>
        <v>ok</v>
      </c>
      <c r="I84" s="17" t="str">
        <f>IF(COUNTIF(Synonymes!$A:$A,$A84)&gt;0,"ok","")</f>
        <v/>
      </c>
      <c r="J84" s="17">
        <f t="shared" si="1"/>
        <v>0</v>
      </c>
    </row>
    <row r="85" spans="1:10" x14ac:dyDescent="0.3">
      <c r="A85" s="17" t="s">
        <v>798</v>
      </c>
      <c r="B85" s="17" t="str">
        <f>IFERROR(INDEX(Mots!$B:$B,MATCH($A85,Mots!$A:$A,0)),"introuvable")</f>
        <v>le dossier</v>
      </c>
      <c r="C85" s="17" t="str">
        <f>IFERROR(INDEX(Mots!$N:$N,MATCH($A85,Mots!$A:$A,0)),"")</f>
        <v>chose</v>
      </c>
      <c r="D85" s="17">
        <f>IFERROR(COUNTA(INDEX(Mots!$E:$E,MATCH($A85,Mots!$A:$A,0)):INDEX(Mots!$K:$K,MATCH($A85,Mots!$A:$A,0))),0)</f>
        <v>2</v>
      </c>
      <c r="E85" s="17" t="str">
        <f>IF(COUNTIF(Classement!$A:$A,$A85)&gt;0,"ok","à faire")</f>
        <v>ok</v>
      </c>
      <c r="F85" s="17" t="str">
        <f>IF(COUNTIF(Tags!$A:$A,$A85)&gt;0,"ok","à faire")</f>
        <v>ok</v>
      </c>
      <c r="G85" s="17" t="str">
        <f>IF(COUNTIF(Phrases!$A:$A,$A85)&gt;0,"ok","à faire")</f>
        <v>ok</v>
      </c>
      <c r="H85" s="17" t="str">
        <f>IF(COUNTIFS(Phrases!$A:$A,$A85,Phrases!$I:$I,"&lt;&gt;")&gt;0,"ok","à faire")</f>
        <v>à faire</v>
      </c>
      <c r="I85" s="17" t="str">
        <f>IF(COUNTIF(Synonymes!$A:$A,$A85)&gt;0,"ok","")</f>
        <v/>
      </c>
      <c r="J85" s="17">
        <f t="shared" si="1"/>
        <v>1</v>
      </c>
    </row>
    <row r="86" spans="1:10" x14ac:dyDescent="0.3">
      <c r="A86" s="17" t="s">
        <v>802</v>
      </c>
      <c r="B86" s="17" t="str">
        <f>IFERROR(INDEX(Mots!$B:$B,MATCH($A86,Mots!$A:$A,0)),"introuvable")</f>
        <v>le lave-linge</v>
      </c>
      <c r="C86" s="17" t="str">
        <f>IFERROR(INDEX(Mots!$N:$N,MATCH($A86,Mots!$A:$A,0)),"")</f>
        <v>chose</v>
      </c>
      <c r="D86" s="17">
        <f>IFERROR(COUNTA(INDEX(Mots!$E:$E,MATCH($A86,Mots!$A:$A,0)):INDEX(Mots!$K:$K,MATCH($A86,Mots!$A:$A,0))),0)</f>
        <v>2</v>
      </c>
      <c r="E86" s="17" t="str">
        <f>IF(COUNTIF(Classement!$A:$A,$A86)&gt;0,"ok","à faire")</f>
        <v>ok</v>
      </c>
      <c r="F86" s="17" t="str">
        <f>IF(COUNTIF(Tags!$A:$A,$A86)&gt;0,"ok","à faire")</f>
        <v>ok</v>
      </c>
      <c r="G86" s="17" t="str">
        <f>IF(COUNTIF(Phrases!$A:$A,$A86)&gt;0,"ok","à faire")</f>
        <v>ok</v>
      </c>
      <c r="H86" s="17" t="str">
        <f>IF(COUNTIFS(Phrases!$A:$A,$A86,Phrases!$I:$I,"&lt;&gt;")&gt;0,"ok","à faire")</f>
        <v>à faire</v>
      </c>
      <c r="I86" s="17" t="str">
        <f>IF(COUNTIF(Synonymes!$A:$A,$A86)&gt;0,"ok","")</f>
        <v>ok</v>
      </c>
      <c r="J86" s="17">
        <f t="shared" si="1"/>
        <v>1</v>
      </c>
    </row>
    <row r="87" spans="1:10" x14ac:dyDescent="0.3">
      <c r="A87" s="17" t="s">
        <v>808</v>
      </c>
      <c r="B87" s="17" t="str">
        <f>IFERROR(INDEX(Mots!$B:$B,MATCH($A87,Mots!$A:$A,0)),"introuvable")</f>
        <v>le sèche-linge</v>
      </c>
      <c r="C87" s="17" t="str">
        <f>IFERROR(INDEX(Mots!$N:$N,MATCH($A87,Mots!$A:$A,0)),"")</f>
        <v>chose</v>
      </c>
      <c r="D87" s="17">
        <f>IFERROR(COUNTA(INDEX(Mots!$E:$E,MATCH($A87,Mots!$A:$A,0)):INDEX(Mots!$K:$K,MATCH($A87,Mots!$A:$A,0))),0)</f>
        <v>1</v>
      </c>
      <c r="E87" s="17" t="str">
        <f>IF(COUNTIF(Classement!$A:$A,$A87)&gt;0,"ok","à faire")</f>
        <v>ok</v>
      </c>
      <c r="F87" s="17" t="str">
        <f>IF(COUNTIF(Tags!$A:$A,$A87)&gt;0,"ok","à faire")</f>
        <v>ok</v>
      </c>
      <c r="G87" s="17" t="str">
        <f>IF(COUNTIF(Phrases!$A:$A,$A87)&gt;0,"ok","à faire")</f>
        <v>ok</v>
      </c>
      <c r="H87" s="17" t="str">
        <f>IF(COUNTIFS(Phrases!$A:$A,$A87,Phrases!$I:$I,"&lt;&gt;")&gt;0,"ok","à faire")</f>
        <v>à faire</v>
      </c>
      <c r="I87" s="17" t="str">
        <f>IF(COUNTIF(Synonymes!$A:$A,$A87)&gt;0,"ok","")</f>
        <v/>
      </c>
      <c r="J87" s="17">
        <f t="shared" si="1"/>
        <v>1</v>
      </c>
    </row>
    <row r="88" spans="1:10" x14ac:dyDescent="0.3">
      <c r="A88" s="17" t="s">
        <v>812</v>
      </c>
      <c r="B88" s="17" t="str">
        <f>IFERROR(INDEX(Mots!$B:$B,MATCH($A88,Mots!$A:$A,0)),"introuvable")</f>
        <v>le fer à repasser</v>
      </c>
      <c r="C88" s="17" t="str">
        <f>IFERROR(INDEX(Mots!$N:$N,MATCH($A88,Mots!$A:$A,0)),"")</f>
        <v>chose</v>
      </c>
      <c r="D88" s="17">
        <f>IFERROR(COUNTA(INDEX(Mots!$E:$E,MATCH($A88,Mots!$A:$A,0)):INDEX(Mots!$K:$K,MATCH($A88,Mots!$A:$A,0))),0)</f>
        <v>1</v>
      </c>
      <c r="E88" s="17" t="str">
        <f>IF(COUNTIF(Classement!$A:$A,$A88)&gt;0,"ok","à faire")</f>
        <v>ok</v>
      </c>
      <c r="F88" s="17" t="str">
        <f>IF(COUNTIF(Tags!$A:$A,$A88)&gt;0,"ok","à faire")</f>
        <v>ok</v>
      </c>
      <c r="G88" s="17" t="str">
        <f>IF(COUNTIF(Phrases!$A:$A,$A88)&gt;0,"ok","à faire")</f>
        <v>ok</v>
      </c>
      <c r="H88" s="17" t="str">
        <f>IF(COUNTIFS(Phrases!$A:$A,$A88,Phrases!$I:$I,"&lt;&gt;")&gt;0,"ok","à faire")</f>
        <v>à faire</v>
      </c>
      <c r="I88" s="17" t="str">
        <f>IF(COUNTIF(Synonymes!$A:$A,$A88)&gt;0,"ok","")</f>
        <v/>
      </c>
      <c r="J88" s="17">
        <f t="shared" si="1"/>
        <v>1</v>
      </c>
    </row>
    <row r="89" spans="1:10" x14ac:dyDescent="0.3">
      <c r="A89" s="17" t="s">
        <v>817</v>
      </c>
      <c r="B89" s="17" t="str">
        <f>IFERROR(INDEX(Mots!$B:$B,MATCH($A89,Mots!$A:$A,0)),"introuvable")</f>
        <v>le salon</v>
      </c>
      <c r="C89" s="17" t="str">
        <f>IFERROR(INDEX(Mots!$N:$N,MATCH($A89,Mots!$A:$A,0)),"")</f>
        <v>chose</v>
      </c>
      <c r="D89" s="17">
        <f>IFERROR(COUNTA(INDEX(Mots!$E:$E,MATCH($A89,Mots!$A:$A,0)):INDEX(Mots!$K:$K,MATCH($A89,Mots!$A:$A,0))),0)</f>
        <v>1</v>
      </c>
      <c r="E89" s="17" t="str">
        <f>IF(COUNTIF(Classement!$A:$A,$A89)&gt;0,"ok","à faire")</f>
        <v>ok</v>
      </c>
      <c r="F89" s="17" t="str">
        <f>IF(COUNTIF(Tags!$A:$A,$A89)&gt;0,"ok","à faire")</f>
        <v>ok</v>
      </c>
      <c r="G89" s="17" t="str">
        <f>IF(COUNTIF(Phrases!$A:$A,$A89)&gt;0,"ok","à faire")</f>
        <v>ok</v>
      </c>
      <c r="H89" s="17" t="str">
        <f>IF(COUNTIFS(Phrases!$A:$A,$A89,Phrases!$I:$I,"&lt;&gt;")&gt;0,"ok","à faire")</f>
        <v>à faire</v>
      </c>
      <c r="I89" s="17" t="str">
        <f>IF(COUNTIF(Synonymes!$A:$A,$A89)&gt;0,"ok","")</f>
        <v/>
      </c>
      <c r="J89" s="17">
        <f t="shared" si="1"/>
        <v>1</v>
      </c>
    </row>
    <row r="90" spans="1:10" x14ac:dyDescent="0.3">
      <c r="A90" s="17" t="s">
        <v>820</v>
      </c>
      <c r="B90" s="17" t="str">
        <f>IFERROR(INDEX(Mots!$B:$B,MATCH($A90,Mots!$A:$A,0)),"introuvable")</f>
        <v>le canapé</v>
      </c>
      <c r="C90" s="17" t="str">
        <f>IFERROR(INDEX(Mots!$N:$N,MATCH($A90,Mots!$A:$A,0)),"")</f>
        <v>chose</v>
      </c>
      <c r="D90" s="17">
        <f>IFERROR(COUNTA(INDEX(Mots!$E:$E,MATCH($A90,Mots!$A:$A,0)):INDEX(Mots!$K:$K,MATCH($A90,Mots!$A:$A,0))),0)</f>
        <v>1</v>
      </c>
      <c r="E90" s="17" t="str">
        <f>IF(COUNTIF(Classement!$A:$A,$A90)&gt;0,"ok","à faire")</f>
        <v>ok</v>
      </c>
      <c r="F90" s="17" t="str">
        <f>IF(COUNTIF(Tags!$A:$A,$A90)&gt;0,"ok","à faire")</f>
        <v>ok</v>
      </c>
      <c r="G90" s="17" t="str">
        <f>IF(COUNTIF(Phrases!$A:$A,$A90)&gt;0,"ok","à faire")</f>
        <v>ok</v>
      </c>
      <c r="H90" s="17" t="str">
        <f>IF(COUNTIFS(Phrases!$A:$A,$A90,Phrases!$I:$I,"&lt;&gt;")&gt;0,"ok","à faire")</f>
        <v>à faire</v>
      </c>
      <c r="I90" s="17" t="str">
        <f>IF(COUNTIF(Synonymes!$A:$A,$A90)&gt;0,"ok","")</f>
        <v>ok</v>
      </c>
      <c r="J90" s="17">
        <f t="shared" si="1"/>
        <v>1</v>
      </c>
    </row>
    <row r="91" spans="1:10" x14ac:dyDescent="0.3">
      <c r="A91" s="17" t="s">
        <v>823</v>
      </c>
      <c r="B91" s="17" t="str">
        <f>IFERROR(INDEX(Mots!$B:$B,MATCH($A91,Mots!$A:$A,0)),"introuvable")</f>
        <v>le fauteuil</v>
      </c>
      <c r="C91" s="17" t="str">
        <f>IFERROR(INDEX(Mots!$N:$N,MATCH($A91,Mots!$A:$A,0)),"")</f>
        <v>chose</v>
      </c>
      <c r="D91" s="17">
        <f>IFERROR(COUNTA(INDEX(Mots!$E:$E,MATCH($A91,Mots!$A:$A,0)):INDEX(Mots!$K:$K,MATCH($A91,Mots!$A:$A,0))),0)</f>
        <v>1</v>
      </c>
      <c r="E91" s="17" t="str">
        <f>IF(COUNTIF(Classement!$A:$A,$A91)&gt;0,"ok","à faire")</f>
        <v>ok</v>
      </c>
      <c r="F91" s="17" t="str">
        <f>IF(COUNTIF(Tags!$A:$A,$A91)&gt;0,"ok","à faire")</f>
        <v>ok</v>
      </c>
      <c r="G91" s="17" t="str">
        <f>IF(COUNTIF(Phrases!$A:$A,$A91)&gt;0,"ok","à faire")</f>
        <v>ok</v>
      </c>
      <c r="H91" s="17" t="str">
        <f>IF(COUNTIFS(Phrases!$A:$A,$A91,Phrases!$I:$I,"&lt;&gt;")&gt;0,"ok","à faire")</f>
        <v>à faire</v>
      </c>
      <c r="I91" s="17" t="str">
        <f>IF(COUNTIF(Synonymes!$A:$A,$A91)&gt;0,"ok","")</f>
        <v/>
      </c>
      <c r="J91" s="17">
        <f t="shared" si="1"/>
        <v>1</v>
      </c>
    </row>
    <row r="92" spans="1:10" x14ac:dyDescent="0.3">
      <c r="A92" s="17" t="s">
        <v>828</v>
      </c>
      <c r="B92" s="17" t="str">
        <f>IFERROR(INDEX(Mots!$B:$B,MATCH($A92,Mots!$A:$A,0)),"introuvable")</f>
        <v>le meuble</v>
      </c>
      <c r="C92" s="17" t="str">
        <f>IFERROR(INDEX(Mots!$N:$N,MATCH($A92,Mots!$A:$A,0)),"")</f>
        <v>chose</v>
      </c>
      <c r="D92" s="17">
        <f>IFERROR(COUNTA(INDEX(Mots!$E:$E,MATCH($A92,Mots!$A:$A,0)):INDEX(Mots!$K:$K,MATCH($A92,Mots!$A:$A,0))),0)</f>
        <v>1</v>
      </c>
      <c r="E92" s="17" t="str">
        <f>IF(COUNTIF(Classement!$A:$A,$A92)&gt;0,"ok","à faire")</f>
        <v>ok</v>
      </c>
      <c r="F92" s="17" t="str">
        <f>IF(COUNTIF(Tags!$A:$A,$A92)&gt;0,"ok","à faire")</f>
        <v>ok</v>
      </c>
      <c r="G92" s="17" t="str">
        <f>IF(COUNTIF(Phrases!$A:$A,$A92)&gt;0,"ok","à faire")</f>
        <v>ok</v>
      </c>
      <c r="H92" s="17" t="str">
        <f>IF(COUNTIFS(Phrases!$A:$A,$A92,Phrases!$I:$I,"&lt;&gt;")&gt;0,"ok","à faire")</f>
        <v>à faire</v>
      </c>
      <c r="I92" s="17" t="str">
        <f>IF(COUNTIF(Synonymes!$A:$A,$A92)&gt;0,"ok","")</f>
        <v>ok</v>
      </c>
      <c r="J92" s="17">
        <f t="shared" si="1"/>
        <v>1</v>
      </c>
    </row>
    <row r="93" spans="1:10" x14ac:dyDescent="0.3">
      <c r="A93" s="17" t="s">
        <v>832</v>
      </c>
      <c r="B93" s="17" t="str">
        <f>IFERROR(INDEX(Mots!$B:$B,MATCH($A93,Mots!$A:$A,0)),"introuvable")</f>
        <v>la télévision</v>
      </c>
      <c r="C93" s="17" t="str">
        <f>IFERROR(INDEX(Mots!$N:$N,MATCH($A93,Mots!$A:$A,0)),"")</f>
        <v>chose</v>
      </c>
      <c r="D93" s="17">
        <f>IFERROR(COUNTA(INDEX(Mots!$E:$E,MATCH($A93,Mots!$A:$A,0)):INDEX(Mots!$K:$K,MATCH($A93,Mots!$A:$A,0))),0)</f>
        <v>1</v>
      </c>
      <c r="E93" s="17" t="str">
        <f>IF(COUNTIF(Classement!$A:$A,$A93)&gt;0,"ok","à faire")</f>
        <v>ok</v>
      </c>
      <c r="F93" s="17" t="str">
        <f>IF(COUNTIF(Tags!$A:$A,$A93)&gt;0,"ok","à faire")</f>
        <v>ok</v>
      </c>
      <c r="G93" s="17" t="str">
        <f>IF(COUNTIF(Phrases!$A:$A,$A93)&gt;0,"ok","à faire")</f>
        <v>ok</v>
      </c>
      <c r="H93" s="17" t="str">
        <f>IF(COUNTIFS(Phrases!$A:$A,$A93,Phrases!$I:$I,"&lt;&gt;")&gt;0,"ok","à faire")</f>
        <v>à faire</v>
      </c>
      <c r="I93" s="17" t="str">
        <f>IF(COUNTIF(Synonymes!$A:$A,$A93)&gt;0,"ok","")</f>
        <v>ok</v>
      </c>
      <c r="J93" s="17">
        <f t="shared" si="1"/>
        <v>1</v>
      </c>
    </row>
    <row r="94" spans="1:10" x14ac:dyDescent="0.3">
      <c r="A94" s="17" t="s">
        <v>835</v>
      </c>
      <c r="B94" s="17" t="str">
        <f>IFERROR(INDEX(Mots!$B:$B,MATCH($A94,Mots!$A:$A,0)),"introuvable")</f>
        <v>la lampe</v>
      </c>
      <c r="C94" s="17" t="str">
        <f>IFERROR(INDEX(Mots!$N:$N,MATCH($A94,Mots!$A:$A,0)),"")</f>
        <v>chose</v>
      </c>
      <c r="D94" s="17">
        <f>IFERROR(COUNTA(INDEX(Mots!$E:$E,MATCH($A94,Mots!$A:$A,0)):INDEX(Mots!$K:$K,MATCH($A94,Mots!$A:$A,0))),0)</f>
        <v>1</v>
      </c>
      <c r="E94" s="17" t="str">
        <f>IF(COUNTIF(Classement!$A:$A,$A94)&gt;0,"ok","à faire")</f>
        <v>ok</v>
      </c>
      <c r="F94" s="17" t="str">
        <f>IF(COUNTIF(Tags!$A:$A,$A94)&gt;0,"ok","à faire")</f>
        <v>ok</v>
      </c>
      <c r="G94" s="17" t="str">
        <f>IF(COUNTIF(Phrases!$A:$A,$A94)&gt;0,"ok","à faire")</f>
        <v>ok</v>
      </c>
      <c r="H94" s="17" t="str">
        <f>IF(COUNTIFS(Phrases!$A:$A,$A94,Phrases!$I:$I,"&lt;&gt;")&gt;0,"ok","à faire")</f>
        <v>à faire</v>
      </c>
      <c r="I94" s="17" t="str">
        <f>IF(COUNTIF(Synonymes!$A:$A,$A94)&gt;0,"ok","")</f>
        <v/>
      </c>
      <c r="J94" s="17">
        <f t="shared" si="1"/>
        <v>1</v>
      </c>
    </row>
    <row r="95" spans="1:10" x14ac:dyDescent="0.3">
      <c r="A95" s="17" t="s">
        <v>839</v>
      </c>
      <c r="B95" s="17" t="str">
        <f>IFERROR(INDEX(Mots!$B:$B,MATCH($A95,Mots!$A:$A,0)),"introuvable")</f>
        <v>la portée et les mesures</v>
      </c>
      <c r="C95" s="17" t="str">
        <f>IFERROR(INDEX(Mots!$N:$N,MATCH($A95,Mots!$A:$A,0)),"")</f>
        <v>chose</v>
      </c>
      <c r="D95" s="17">
        <f>IFERROR(COUNTA(INDEX(Mots!$E:$E,MATCH($A95,Mots!$A:$A,0)):INDEX(Mots!$K:$K,MATCH($A95,Mots!$A:$A,0))),0)</f>
        <v>1</v>
      </c>
      <c r="E95" s="17" t="str">
        <f>IF(COUNTIF(Classement!$A:$A,$A95)&gt;0,"ok","à faire")</f>
        <v>ok</v>
      </c>
      <c r="F95" s="17" t="str">
        <f>IF(COUNTIF(Tags!$A:$A,$A95)&gt;0,"ok","à faire")</f>
        <v>ok</v>
      </c>
      <c r="G95" s="17" t="str">
        <f>IF(COUNTIF(Phrases!$A:$A,$A95)&gt;0,"ok","à faire")</f>
        <v>ok</v>
      </c>
      <c r="H95" s="17" t="str">
        <f>IF(COUNTIFS(Phrases!$A:$A,$A95,Phrases!$I:$I,"&lt;&gt;")&gt;0,"ok","à faire")</f>
        <v>à faire</v>
      </c>
      <c r="I95" s="17" t="str">
        <f>IF(COUNTIF(Synonymes!$A:$A,$A95)&gt;0,"ok","")</f>
        <v/>
      </c>
      <c r="J95" s="17">
        <f t="shared" si="1"/>
        <v>1</v>
      </c>
    </row>
    <row r="96" spans="1:10" x14ac:dyDescent="0.3">
      <c r="A96" s="17" t="s">
        <v>843</v>
      </c>
      <c r="B96" s="17" t="str">
        <f>IFERROR(INDEX(Mots!$B:$B,MATCH($A96,Mots!$A:$A,0)),"introuvable")</f>
        <v>la clé de sol</v>
      </c>
      <c r="C96" s="17" t="str">
        <f>IFERROR(INDEX(Mots!$N:$N,MATCH($A96,Mots!$A:$A,0)),"")</f>
        <v>chose</v>
      </c>
      <c r="D96" s="17">
        <f>IFERROR(COUNTA(INDEX(Mots!$E:$E,MATCH($A96,Mots!$A:$A,0)):INDEX(Mots!$K:$K,MATCH($A96,Mots!$A:$A,0))),0)</f>
        <v>1</v>
      </c>
      <c r="E96" s="17" t="str">
        <f>IF(COUNTIF(Classement!$A:$A,$A96)&gt;0,"ok","à faire")</f>
        <v>ok</v>
      </c>
      <c r="F96" s="17" t="str">
        <f>IF(COUNTIF(Tags!$A:$A,$A96)&gt;0,"ok","à faire")</f>
        <v>ok</v>
      </c>
      <c r="G96" s="17" t="str">
        <f>IF(COUNTIF(Phrases!$A:$A,$A96)&gt;0,"ok","à faire")</f>
        <v>ok</v>
      </c>
      <c r="H96" s="17" t="str">
        <f>IF(COUNTIFS(Phrases!$A:$A,$A96,Phrases!$I:$I,"&lt;&gt;")&gt;0,"ok","à faire")</f>
        <v>à faire</v>
      </c>
      <c r="I96" s="17" t="str">
        <f>IF(COUNTIF(Synonymes!$A:$A,$A96)&gt;0,"ok","")</f>
        <v/>
      </c>
      <c r="J96" s="17">
        <f t="shared" si="1"/>
        <v>1</v>
      </c>
    </row>
    <row r="97" spans="1:10" x14ac:dyDescent="0.3">
      <c r="A97" s="17" t="s">
        <v>847</v>
      </c>
      <c r="B97" s="17" t="str">
        <f>IFERROR(INDEX(Mots!$B:$B,MATCH($A97,Mots!$A:$A,0)),"introuvable")</f>
        <v>les figures de notes</v>
      </c>
      <c r="C97" s="17" t="str">
        <f>IFERROR(INDEX(Mots!$N:$N,MATCH($A97,Mots!$A:$A,0)),"")</f>
        <v>chose</v>
      </c>
      <c r="D97" s="17">
        <f>IFERROR(COUNTA(INDEX(Mots!$E:$E,MATCH($A97,Mots!$A:$A,0)):INDEX(Mots!$K:$K,MATCH($A97,Mots!$A:$A,0))),0)</f>
        <v>1</v>
      </c>
      <c r="E97" s="17" t="str">
        <f>IF(COUNTIF(Classement!$A:$A,$A97)&gt;0,"ok","à faire")</f>
        <v>ok</v>
      </c>
      <c r="F97" s="17" t="str">
        <f>IF(COUNTIF(Tags!$A:$A,$A97)&gt;0,"ok","à faire")</f>
        <v>ok</v>
      </c>
      <c r="G97" s="17" t="str">
        <f>IF(COUNTIF(Phrases!$A:$A,$A97)&gt;0,"ok","à faire")</f>
        <v>ok</v>
      </c>
      <c r="H97" s="17" t="str">
        <f>IF(COUNTIFS(Phrases!$A:$A,$A97,Phrases!$I:$I,"&lt;&gt;")&gt;0,"ok","à faire")</f>
        <v>à faire</v>
      </c>
      <c r="I97" s="17" t="str">
        <f>IF(COUNTIF(Synonymes!$A:$A,$A97)&gt;0,"ok","")</f>
        <v/>
      </c>
      <c r="J97" s="17">
        <f t="shared" si="1"/>
        <v>1</v>
      </c>
    </row>
    <row r="98" spans="1:10" x14ac:dyDescent="0.3">
      <c r="A98" s="17" t="s">
        <v>851</v>
      </c>
      <c r="B98" s="17" t="str">
        <f>IFERROR(INDEX(Mots!$B:$B,MATCH($A98,Mots!$A:$A,0)),"introuvable")</f>
        <v>les altérations</v>
      </c>
      <c r="C98" s="17" t="str">
        <f>IFERROR(INDEX(Mots!$N:$N,MATCH($A98,Mots!$A:$A,0)),"")</f>
        <v>chose</v>
      </c>
      <c r="D98" s="17">
        <f>IFERROR(COUNTA(INDEX(Mots!$E:$E,MATCH($A98,Mots!$A:$A,0)):INDEX(Mots!$K:$K,MATCH($A98,Mots!$A:$A,0))),0)</f>
        <v>1</v>
      </c>
      <c r="E98" s="17" t="str">
        <f>IF(COUNTIF(Classement!$A:$A,$A98)&gt;0,"ok","à faire")</f>
        <v>ok</v>
      </c>
      <c r="F98" s="17" t="str">
        <f>IF(COUNTIF(Tags!$A:$A,$A98)&gt;0,"ok","à faire")</f>
        <v>ok</v>
      </c>
      <c r="G98" s="17" t="str">
        <f>IF(COUNTIF(Phrases!$A:$A,$A98)&gt;0,"ok","à faire")</f>
        <v>ok</v>
      </c>
      <c r="H98" s="17" t="str">
        <f>IF(COUNTIFS(Phrases!$A:$A,$A98,Phrases!$I:$I,"&lt;&gt;")&gt;0,"ok","à faire")</f>
        <v>à faire</v>
      </c>
      <c r="I98" s="17" t="str">
        <f>IF(COUNTIF(Synonymes!$A:$A,$A98)&gt;0,"ok","")</f>
        <v/>
      </c>
      <c r="J98" s="17">
        <f t="shared" si="1"/>
        <v>1</v>
      </c>
    </row>
    <row r="99" spans="1:10" x14ac:dyDescent="0.3">
      <c r="A99" s="17" t="s">
        <v>855</v>
      </c>
      <c r="B99" s="17" t="str">
        <f>IFERROR(INDEX(Mots!$B:$B,MATCH($A99,Mots!$A:$A,0)),"introuvable")</f>
        <v>les silences</v>
      </c>
      <c r="C99" s="17" t="str">
        <f>IFERROR(INDEX(Mots!$N:$N,MATCH($A99,Mots!$A:$A,0)),"")</f>
        <v>chose</v>
      </c>
      <c r="D99" s="17">
        <f>IFERROR(COUNTA(INDEX(Mots!$E:$E,MATCH($A99,Mots!$A:$A,0)):INDEX(Mots!$K:$K,MATCH($A99,Mots!$A:$A,0))),0)</f>
        <v>1</v>
      </c>
      <c r="E99" s="17" t="str">
        <f>IF(COUNTIF(Classement!$A:$A,$A99)&gt;0,"ok","à faire")</f>
        <v>ok</v>
      </c>
      <c r="F99" s="17" t="str">
        <f>IF(COUNTIF(Tags!$A:$A,$A99)&gt;0,"ok","à faire")</f>
        <v>ok</v>
      </c>
      <c r="G99" s="17" t="str">
        <f>IF(COUNTIF(Phrases!$A:$A,$A99)&gt;0,"ok","à faire")</f>
        <v>ok</v>
      </c>
      <c r="H99" s="17" t="str">
        <f>IF(COUNTIFS(Phrases!$A:$A,$A99,Phrases!$I:$I,"&lt;&gt;")&gt;0,"ok","à faire")</f>
        <v>à faire</v>
      </c>
      <c r="I99" s="17" t="str">
        <f>IF(COUNTIF(Synonymes!$A:$A,$A99)&gt;0,"ok","")</f>
        <v/>
      </c>
      <c r="J99" s="17">
        <f t="shared" si="1"/>
        <v>1</v>
      </c>
    </row>
    <row r="100" spans="1:10" x14ac:dyDescent="0.3">
      <c r="A100" s="17" t="s">
        <v>859</v>
      </c>
      <c r="B100" s="17" t="str">
        <f>IFERROR(INDEX(Mots!$B:$B,MATCH($A100,Mots!$A:$A,0)),"introuvable")</f>
        <v>les nuances</v>
      </c>
      <c r="C100" s="17" t="str">
        <f>IFERROR(INDEX(Mots!$N:$N,MATCH($A100,Mots!$A:$A,0)),"")</f>
        <v>chose</v>
      </c>
      <c r="D100" s="17">
        <f>IFERROR(COUNTA(INDEX(Mots!$E:$E,MATCH($A100,Mots!$A:$A,0)):INDEX(Mots!$K:$K,MATCH($A100,Mots!$A:$A,0))),0)</f>
        <v>1</v>
      </c>
      <c r="E100" s="17" t="str">
        <f>IF(COUNTIF(Classement!$A:$A,$A100)&gt;0,"ok","à faire")</f>
        <v>ok</v>
      </c>
      <c r="F100" s="17" t="str">
        <f>IF(COUNTIF(Tags!$A:$A,$A100)&gt;0,"ok","à faire")</f>
        <v>ok</v>
      </c>
      <c r="G100" s="17" t="str">
        <f>IF(COUNTIF(Phrases!$A:$A,$A100)&gt;0,"ok","à faire")</f>
        <v>ok</v>
      </c>
      <c r="H100" s="17" t="str">
        <f>IF(COUNTIFS(Phrases!$A:$A,$A100,Phrases!$I:$I,"&lt;&gt;")&gt;0,"ok","à faire")</f>
        <v>à faire</v>
      </c>
      <c r="I100" s="17" t="str">
        <f>IF(COUNTIF(Synonymes!$A:$A,$A100)&gt;0,"ok","")</f>
        <v/>
      </c>
      <c r="J100" s="17">
        <f t="shared" si="1"/>
        <v>1</v>
      </c>
    </row>
    <row r="101" spans="1:10" x14ac:dyDescent="0.3">
      <c r="A101" s="17" t="s">
        <v>863</v>
      </c>
      <c r="B101" s="17" t="str">
        <f>IFERROR(INDEX(Mots!$B:$B,MATCH($A101,Mots!$A:$A,0)),"introuvable")</f>
        <v>le crescendo et decrescendo</v>
      </c>
      <c r="C101" s="17" t="str">
        <f>IFERROR(INDEX(Mots!$N:$N,MATCH($A101,Mots!$A:$A,0)),"")</f>
        <v>chose</v>
      </c>
      <c r="D101" s="17">
        <f>IFERROR(COUNTA(INDEX(Mots!$E:$E,MATCH($A101,Mots!$A:$A,0)):INDEX(Mots!$K:$K,MATCH($A101,Mots!$A:$A,0))),0)</f>
        <v>1</v>
      </c>
      <c r="E101" s="17" t="str">
        <f>IF(COUNTIF(Classement!$A:$A,$A101)&gt;0,"ok","à faire")</f>
        <v>ok</v>
      </c>
      <c r="F101" s="17" t="str">
        <f>IF(COUNTIF(Tags!$A:$A,$A101)&gt;0,"ok","à faire")</f>
        <v>ok</v>
      </c>
      <c r="G101" s="17" t="str">
        <f>IF(COUNTIF(Phrases!$A:$A,$A101)&gt;0,"ok","à faire")</f>
        <v>ok</v>
      </c>
      <c r="H101" s="17" t="str">
        <f>IF(COUNTIFS(Phrases!$A:$A,$A101,Phrases!$I:$I,"&lt;&gt;")&gt;0,"ok","à faire")</f>
        <v>à faire</v>
      </c>
      <c r="I101" s="17" t="str">
        <f>IF(COUNTIF(Synonymes!$A:$A,$A101)&gt;0,"ok","")</f>
        <v/>
      </c>
      <c r="J101" s="17">
        <f t="shared" si="1"/>
        <v>1</v>
      </c>
    </row>
    <row r="102" spans="1:10" x14ac:dyDescent="0.3">
      <c r="A102" s="17" t="s">
        <v>867</v>
      </c>
      <c r="B102" s="17" t="str">
        <f>IFERROR(INDEX(Mots!$B:$B,MATCH($A102,Mots!$A:$A,0)),"introuvable")</f>
        <v>la seconde</v>
      </c>
      <c r="C102" s="17" t="str">
        <f>IFERROR(INDEX(Mots!$N:$N,MATCH($A102,Mots!$A:$A,0)),"")</f>
        <v>mot utile</v>
      </c>
      <c r="D102" s="17">
        <f>IFERROR(COUNTA(INDEX(Mots!$E:$E,MATCH($A102,Mots!$A:$A,0)):INDEX(Mots!$K:$K,MATCH($A102,Mots!$A:$A,0))),0)</f>
        <v>1</v>
      </c>
      <c r="E102" s="17" t="str">
        <f>IF(COUNTIF(Classement!$A:$A,$A102)&gt;0,"ok","à faire")</f>
        <v>ok</v>
      </c>
      <c r="F102" s="17" t="str">
        <f>IF(COUNTIF(Tags!$A:$A,$A102)&gt;0,"ok","à faire")</f>
        <v>ok</v>
      </c>
      <c r="G102" s="17" t="str">
        <f>IF(COUNTIF(Phrases!$A:$A,$A102)&gt;0,"ok","à faire")</f>
        <v>ok</v>
      </c>
      <c r="H102" s="17" t="str">
        <f>IF(COUNTIFS(Phrases!$A:$A,$A102,Phrases!$I:$I,"&lt;&gt;")&gt;0,"ok","à faire")</f>
        <v>à faire</v>
      </c>
      <c r="I102" s="17" t="str">
        <f>IF(COUNTIF(Synonymes!$A:$A,$A102)&gt;0,"ok","")</f>
        <v/>
      </c>
      <c r="J102" s="17">
        <f t="shared" si="1"/>
        <v>1</v>
      </c>
    </row>
    <row r="103" spans="1:10" x14ac:dyDescent="0.3">
      <c r="A103" s="17" t="s">
        <v>872</v>
      </c>
      <c r="B103" s="17" t="str">
        <f>IFERROR(INDEX(Mots!$B:$B,MATCH($A103,Mots!$A:$A,0)),"introuvable")</f>
        <v>la minute</v>
      </c>
      <c r="C103" s="17" t="str">
        <f>IFERROR(INDEX(Mots!$N:$N,MATCH($A103,Mots!$A:$A,0)),"")</f>
        <v>mot utile</v>
      </c>
      <c r="D103" s="17">
        <f>IFERROR(COUNTA(INDEX(Mots!$E:$E,MATCH($A103,Mots!$A:$A,0)):INDEX(Mots!$K:$K,MATCH($A103,Mots!$A:$A,0))),0)</f>
        <v>1</v>
      </c>
      <c r="E103" s="17" t="str">
        <f>IF(COUNTIF(Classement!$A:$A,$A103)&gt;0,"ok","à faire")</f>
        <v>ok</v>
      </c>
      <c r="F103" s="17" t="str">
        <f>IF(COUNTIF(Tags!$A:$A,$A103)&gt;0,"ok","à faire")</f>
        <v>ok</v>
      </c>
      <c r="G103" s="17" t="str">
        <f>IF(COUNTIF(Phrases!$A:$A,$A103)&gt;0,"ok","à faire")</f>
        <v>à faire</v>
      </c>
      <c r="H103" s="17" t="str">
        <f>IF(COUNTIFS(Phrases!$A:$A,$A103,Phrases!$I:$I,"&lt;&gt;")&gt;0,"ok","à faire")</f>
        <v>à faire</v>
      </c>
      <c r="I103" s="17" t="str">
        <f>IF(COUNTIF(Synonymes!$A:$A,$A103)&gt;0,"ok","")</f>
        <v/>
      </c>
      <c r="J103" s="17">
        <f t="shared" si="1"/>
        <v>2</v>
      </c>
    </row>
    <row r="104" spans="1:10" x14ac:dyDescent="0.3">
      <c r="A104" s="17" t="s">
        <v>876</v>
      </c>
      <c r="B104" s="17" t="str">
        <f>IFERROR(INDEX(Mots!$B:$B,MATCH($A104,Mots!$A:$A,0)),"introuvable")</f>
        <v>l'heure</v>
      </c>
      <c r="C104" s="17" t="str">
        <f>IFERROR(INDEX(Mots!$N:$N,MATCH($A104,Mots!$A:$A,0)),"")</f>
        <v>mot utile</v>
      </c>
      <c r="D104" s="17">
        <f>IFERROR(COUNTA(INDEX(Mots!$E:$E,MATCH($A104,Mots!$A:$A,0)):INDEX(Mots!$K:$K,MATCH($A104,Mots!$A:$A,0))),0)</f>
        <v>1</v>
      </c>
      <c r="E104" s="17" t="str">
        <f>IF(COUNTIF(Classement!$A:$A,$A104)&gt;0,"ok","à faire")</f>
        <v>ok</v>
      </c>
      <c r="F104" s="17" t="str">
        <f>IF(COUNTIF(Tags!$A:$A,$A104)&gt;0,"ok","à faire")</f>
        <v>ok</v>
      </c>
      <c r="G104" s="17" t="str">
        <f>IF(COUNTIF(Phrases!$A:$A,$A104)&gt;0,"ok","à faire")</f>
        <v>ok</v>
      </c>
      <c r="H104" s="17" t="str">
        <f>IF(COUNTIFS(Phrases!$A:$A,$A104,Phrases!$I:$I,"&lt;&gt;")&gt;0,"ok","à faire")</f>
        <v>à faire</v>
      </c>
      <c r="I104" s="17" t="str">
        <f>IF(COUNTIF(Synonymes!$A:$A,$A104)&gt;0,"ok","")</f>
        <v/>
      </c>
      <c r="J104" s="17">
        <f t="shared" si="1"/>
        <v>1</v>
      </c>
    </row>
    <row r="105" spans="1:10" x14ac:dyDescent="0.3">
      <c r="A105" s="17" t="s">
        <v>880</v>
      </c>
      <c r="B105" s="17" t="str">
        <f>IFERROR(INDEX(Mots!$B:$B,MATCH($A105,Mots!$A:$A,0)),"introuvable")</f>
        <v>le jour</v>
      </c>
      <c r="C105" s="17" t="str">
        <f>IFERROR(INDEX(Mots!$N:$N,MATCH($A105,Mots!$A:$A,0)),"")</f>
        <v>mot utile</v>
      </c>
      <c r="D105" s="17">
        <f>IFERROR(COUNTA(INDEX(Mots!$E:$E,MATCH($A105,Mots!$A:$A,0)):INDEX(Mots!$K:$K,MATCH($A105,Mots!$A:$A,0))),0)</f>
        <v>1</v>
      </c>
      <c r="E105" s="17" t="str">
        <f>IF(COUNTIF(Classement!$A:$A,$A105)&gt;0,"ok","à faire")</f>
        <v>ok</v>
      </c>
      <c r="F105" s="17" t="str">
        <f>IF(COUNTIF(Tags!$A:$A,$A105)&gt;0,"ok","à faire")</f>
        <v>ok</v>
      </c>
      <c r="G105" s="17" t="str">
        <f>IF(COUNTIF(Phrases!$A:$A,$A105)&gt;0,"ok","à faire")</f>
        <v>ok</v>
      </c>
      <c r="H105" s="17" t="str">
        <f>IF(COUNTIFS(Phrases!$A:$A,$A105,Phrases!$I:$I,"&lt;&gt;")&gt;0,"ok","à faire")</f>
        <v>à faire</v>
      </c>
      <c r="I105" s="17" t="str">
        <f>IF(COUNTIF(Synonymes!$A:$A,$A105)&gt;0,"ok","")</f>
        <v/>
      </c>
      <c r="J105" s="17">
        <f t="shared" si="1"/>
        <v>1</v>
      </c>
    </row>
    <row r="106" spans="1:10" x14ac:dyDescent="0.3">
      <c r="A106" s="17" t="s">
        <v>884</v>
      </c>
      <c r="B106" s="17" t="str">
        <f>IFERROR(INDEX(Mots!$B:$B,MATCH($A106,Mots!$A:$A,0)),"introuvable")</f>
        <v>le matin</v>
      </c>
      <c r="C106" s="17" t="str">
        <f>IFERROR(INDEX(Mots!$N:$N,MATCH($A106,Mots!$A:$A,0)),"")</f>
        <v>mot utile</v>
      </c>
      <c r="D106" s="17">
        <f>IFERROR(COUNTA(INDEX(Mots!$E:$E,MATCH($A106,Mots!$A:$A,0)):INDEX(Mots!$K:$K,MATCH($A106,Mots!$A:$A,0))),0)</f>
        <v>5</v>
      </c>
      <c r="E106" s="17" t="str">
        <f>IF(COUNTIF(Classement!$A:$A,$A106)&gt;0,"ok","à faire")</f>
        <v>ok</v>
      </c>
      <c r="F106" s="17" t="str">
        <f>IF(COUNTIF(Tags!$A:$A,$A106)&gt;0,"ok","à faire")</f>
        <v>ok</v>
      </c>
      <c r="G106" s="17" t="str">
        <f>IF(COUNTIF(Phrases!$A:$A,$A106)&gt;0,"ok","à faire")</f>
        <v>à faire</v>
      </c>
      <c r="H106" s="17" t="str">
        <f>IF(COUNTIFS(Phrases!$A:$A,$A106,Phrases!$I:$I,"&lt;&gt;")&gt;0,"ok","à faire")</f>
        <v>à faire</v>
      </c>
      <c r="I106" s="17" t="str">
        <f>IF(COUNTIF(Synonymes!$A:$A,$A106)&gt;0,"ok","")</f>
        <v/>
      </c>
      <c r="J106" s="17">
        <f t="shared" si="1"/>
        <v>2</v>
      </c>
    </row>
    <row r="107" spans="1:10" x14ac:dyDescent="0.3">
      <c r="A107" s="17" t="s">
        <v>892</v>
      </c>
      <c r="B107" s="17" t="str">
        <f>IFERROR(INDEX(Mots!$B:$B,MATCH($A107,Mots!$A:$A,0)),"introuvable")</f>
        <v>le soir</v>
      </c>
      <c r="C107" s="17" t="str">
        <f>IFERROR(INDEX(Mots!$N:$N,MATCH($A107,Mots!$A:$A,0)),"")</f>
        <v>mot utile</v>
      </c>
      <c r="D107" s="17">
        <f>IFERROR(COUNTA(INDEX(Mots!$E:$E,MATCH($A107,Mots!$A:$A,0)):INDEX(Mots!$K:$K,MATCH($A107,Mots!$A:$A,0))),0)</f>
        <v>5</v>
      </c>
      <c r="E107" s="17" t="str">
        <f>IF(COUNTIF(Classement!$A:$A,$A107)&gt;0,"ok","à faire")</f>
        <v>ok</v>
      </c>
      <c r="F107" s="17" t="str">
        <f>IF(COUNTIF(Tags!$A:$A,$A107)&gt;0,"ok","à faire")</f>
        <v>ok</v>
      </c>
      <c r="G107" s="17" t="str">
        <f>IF(COUNTIF(Phrases!$A:$A,$A107)&gt;0,"ok","à faire")</f>
        <v>à faire</v>
      </c>
      <c r="H107" s="17" t="str">
        <f>IF(COUNTIFS(Phrases!$A:$A,$A107,Phrases!$I:$I,"&lt;&gt;")&gt;0,"ok","à faire")</f>
        <v>à faire</v>
      </c>
      <c r="I107" s="17" t="str">
        <f>IF(COUNTIF(Synonymes!$A:$A,$A107)&gt;0,"ok","")</f>
        <v/>
      </c>
      <c r="J107" s="17">
        <f t="shared" si="1"/>
        <v>2</v>
      </c>
    </row>
    <row r="108" spans="1:10" x14ac:dyDescent="0.3">
      <c r="A108" s="17" t="s">
        <v>900</v>
      </c>
      <c r="B108" s="17" t="str">
        <f>IFERROR(INDEX(Mots!$B:$B,MATCH($A108,Mots!$A:$A,0)),"introuvable")</f>
        <v>la nuit</v>
      </c>
      <c r="C108" s="17" t="str">
        <f>IFERROR(INDEX(Mots!$N:$N,MATCH($A108,Mots!$A:$A,0)),"")</f>
        <v>mot utile</v>
      </c>
      <c r="D108" s="17">
        <f>IFERROR(COUNTA(INDEX(Mots!$E:$E,MATCH($A108,Mots!$A:$A,0)):INDEX(Mots!$K:$K,MATCH($A108,Mots!$A:$A,0))),0)</f>
        <v>1</v>
      </c>
      <c r="E108" s="17" t="str">
        <f>IF(COUNTIF(Classement!$A:$A,$A108)&gt;0,"ok","à faire")</f>
        <v>ok</v>
      </c>
      <c r="F108" s="17" t="str">
        <f>IF(COUNTIF(Tags!$A:$A,$A108)&gt;0,"ok","à faire")</f>
        <v>ok</v>
      </c>
      <c r="G108" s="17" t="str">
        <f>IF(COUNTIF(Phrases!$A:$A,$A108)&gt;0,"ok","à faire")</f>
        <v>à faire</v>
      </c>
      <c r="H108" s="17" t="str">
        <f>IF(COUNTIFS(Phrases!$A:$A,$A108,Phrases!$I:$I,"&lt;&gt;")&gt;0,"ok","à faire")</f>
        <v>à faire</v>
      </c>
      <c r="I108" s="17" t="str">
        <f>IF(COUNTIF(Synonymes!$A:$A,$A108)&gt;0,"ok","")</f>
        <v/>
      </c>
      <c r="J108" s="17">
        <f t="shared" si="1"/>
        <v>2</v>
      </c>
    </row>
    <row r="109" spans="1:10" x14ac:dyDescent="0.3">
      <c r="A109" s="17" t="s">
        <v>904</v>
      </c>
      <c r="B109" s="17" t="str">
        <f>IFERROR(INDEX(Mots!$B:$B,MATCH($A109,Mots!$A:$A,0)),"introuvable")</f>
        <v>la semaine</v>
      </c>
      <c r="C109" s="17" t="str">
        <f>IFERROR(INDEX(Mots!$N:$N,MATCH($A109,Mots!$A:$A,0)),"")</f>
        <v>mot utile</v>
      </c>
      <c r="D109" s="17">
        <f>IFERROR(COUNTA(INDEX(Mots!$E:$E,MATCH($A109,Mots!$A:$A,0)):INDEX(Mots!$K:$K,MATCH($A109,Mots!$A:$A,0))),0)</f>
        <v>1</v>
      </c>
      <c r="E109" s="17" t="str">
        <f>IF(COUNTIF(Classement!$A:$A,$A109)&gt;0,"ok","à faire")</f>
        <v>ok</v>
      </c>
      <c r="F109" s="17" t="str">
        <f>IF(COUNTIF(Tags!$A:$A,$A109)&gt;0,"ok","à faire")</f>
        <v>ok</v>
      </c>
      <c r="G109" s="17" t="str">
        <f>IF(COUNTIF(Phrases!$A:$A,$A109)&gt;0,"ok","à faire")</f>
        <v>ok</v>
      </c>
      <c r="H109" s="17" t="str">
        <f>IF(COUNTIFS(Phrases!$A:$A,$A109,Phrases!$I:$I,"&lt;&gt;")&gt;0,"ok","à faire")</f>
        <v>à faire</v>
      </c>
      <c r="I109" s="17" t="str">
        <f>IF(COUNTIF(Synonymes!$A:$A,$A109)&gt;0,"ok","")</f>
        <v/>
      </c>
      <c r="J109" s="17">
        <f t="shared" si="1"/>
        <v>1</v>
      </c>
    </row>
    <row r="110" spans="1:10" x14ac:dyDescent="0.3">
      <c r="A110" s="17" t="s">
        <v>908</v>
      </c>
      <c r="B110" s="17" t="str">
        <f>IFERROR(INDEX(Mots!$B:$B,MATCH($A110,Mots!$A:$A,0)),"introuvable")</f>
        <v>le mois</v>
      </c>
      <c r="C110" s="17" t="str">
        <f>IFERROR(INDEX(Mots!$N:$N,MATCH($A110,Mots!$A:$A,0)),"")</f>
        <v>mot utile</v>
      </c>
      <c r="D110" s="17">
        <f>IFERROR(COUNTA(INDEX(Mots!$E:$E,MATCH($A110,Mots!$A:$A,0)):INDEX(Mots!$K:$K,MATCH($A110,Mots!$A:$A,0))),0)</f>
        <v>1</v>
      </c>
      <c r="E110" s="17" t="str">
        <f>IF(COUNTIF(Classement!$A:$A,$A110)&gt;0,"ok","à faire")</f>
        <v>ok</v>
      </c>
      <c r="F110" s="17" t="str">
        <f>IF(COUNTIF(Tags!$A:$A,$A110)&gt;0,"ok","à faire")</f>
        <v>ok</v>
      </c>
      <c r="G110" s="17" t="str">
        <f>IF(COUNTIF(Phrases!$A:$A,$A110)&gt;0,"ok","à faire")</f>
        <v>ok</v>
      </c>
      <c r="H110" s="17" t="str">
        <f>IF(COUNTIFS(Phrases!$A:$A,$A110,Phrases!$I:$I,"&lt;&gt;")&gt;0,"ok","à faire")</f>
        <v>à faire</v>
      </c>
      <c r="I110" s="17" t="str">
        <f>IF(COUNTIF(Synonymes!$A:$A,$A110)&gt;0,"ok","")</f>
        <v/>
      </c>
      <c r="J110" s="17">
        <f t="shared" si="1"/>
        <v>1</v>
      </c>
    </row>
    <row r="111" spans="1:10" x14ac:dyDescent="0.3">
      <c r="A111" s="17" t="s">
        <v>912</v>
      </c>
      <c r="B111" s="17" t="str">
        <f>IFERROR(INDEX(Mots!$B:$B,MATCH($A111,Mots!$A:$A,0)),"introuvable")</f>
        <v>l'année</v>
      </c>
      <c r="C111" s="17" t="str">
        <f>IFERROR(INDEX(Mots!$N:$N,MATCH($A111,Mots!$A:$A,0)),"")</f>
        <v>mot utile</v>
      </c>
      <c r="D111" s="17">
        <f>IFERROR(COUNTA(INDEX(Mots!$E:$E,MATCH($A111,Mots!$A:$A,0)):INDEX(Mots!$K:$K,MATCH($A111,Mots!$A:$A,0))),0)</f>
        <v>1</v>
      </c>
      <c r="E111" s="17" t="str">
        <f>IF(COUNTIF(Classement!$A:$A,$A111)&gt;0,"ok","à faire")</f>
        <v>ok</v>
      </c>
      <c r="F111" s="17" t="str">
        <f>IF(COUNTIF(Tags!$A:$A,$A111)&gt;0,"ok","à faire")</f>
        <v>ok</v>
      </c>
      <c r="G111" s="17" t="str">
        <f>IF(COUNTIF(Phrases!$A:$A,$A111)&gt;0,"ok","à faire")</f>
        <v>ok</v>
      </c>
      <c r="H111" s="17" t="str">
        <f>IF(COUNTIFS(Phrases!$A:$A,$A111,Phrases!$I:$I,"&lt;&gt;")&gt;0,"ok","à faire")</f>
        <v>à faire</v>
      </c>
      <c r="I111" s="17" t="str">
        <f>IF(COUNTIF(Synonymes!$A:$A,$A111)&gt;0,"ok","")</f>
        <v/>
      </c>
      <c r="J111" s="17">
        <f t="shared" si="1"/>
        <v>1</v>
      </c>
    </row>
    <row r="112" spans="1:10" x14ac:dyDescent="0.3">
      <c r="A112" s="17" t="s">
        <v>916</v>
      </c>
      <c r="B112" s="17" t="str">
        <f>IFERROR(INDEX(Mots!$B:$B,MATCH($A112,Mots!$A:$A,0)),"introuvable")</f>
        <v>le siècle</v>
      </c>
      <c r="C112" s="17" t="str">
        <f>IFERROR(INDEX(Mots!$N:$N,MATCH($A112,Mots!$A:$A,0)),"")</f>
        <v>mot utile</v>
      </c>
      <c r="D112" s="17">
        <f>IFERROR(COUNTA(INDEX(Mots!$E:$E,MATCH($A112,Mots!$A:$A,0)):INDEX(Mots!$K:$K,MATCH($A112,Mots!$A:$A,0))),0)</f>
        <v>1</v>
      </c>
      <c r="E112" s="17" t="str">
        <f>IF(COUNTIF(Classement!$A:$A,$A112)&gt;0,"ok","à faire")</f>
        <v>ok</v>
      </c>
      <c r="F112" s="17" t="str">
        <f>IF(COUNTIF(Tags!$A:$A,$A112)&gt;0,"ok","à faire")</f>
        <v>ok</v>
      </c>
      <c r="G112" s="17" t="str">
        <f>IF(COUNTIF(Phrases!$A:$A,$A112)&gt;0,"ok","à faire")</f>
        <v>à faire</v>
      </c>
      <c r="H112" s="17" t="str">
        <f>IF(COUNTIFS(Phrases!$A:$A,$A112,Phrases!$I:$I,"&lt;&gt;")&gt;0,"ok","à faire")</f>
        <v>à faire</v>
      </c>
      <c r="I112" s="17" t="str">
        <f>IF(COUNTIF(Synonymes!$A:$A,$A112)&gt;0,"ok","")</f>
        <v>ok</v>
      </c>
      <c r="J112" s="17">
        <f t="shared" si="1"/>
        <v>2</v>
      </c>
    </row>
    <row r="113" spans="1:10" x14ac:dyDescent="0.3">
      <c r="A113" s="17" t="s">
        <v>920</v>
      </c>
      <c r="B113" s="17" t="str">
        <f>IFERROR(INDEX(Mots!$B:$B,MATCH($A113,Mots!$A:$A,0)),"introuvable")</f>
        <v>le printemps</v>
      </c>
      <c r="C113" s="17" t="str">
        <f>IFERROR(INDEX(Mots!$N:$N,MATCH($A113,Mots!$A:$A,0)),"")</f>
        <v>mot utile</v>
      </c>
      <c r="D113" s="17">
        <f>IFERROR(COUNTA(INDEX(Mots!$E:$E,MATCH($A113,Mots!$A:$A,0)):INDEX(Mots!$K:$K,MATCH($A113,Mots!$A:$A,0))),0)</f>
        <v>1</v>
      </c>
      <c r="E113" s="17" t="str">
        <f>IF(COUNTIF(Classement!$A:$A,$A113)&gt;0,"ok","à faire")</f>
        <v>ok</v>
      </c>
      <c r="F113" s="17" t="str">
        <f>IF(COUNTIF(Tags!$A:$A,$A113)&gt;0,"ok","à faire")</f>
        <v>ok</v>
      </c>
      <c r="G113" s="17" t="str">
        <f>IF(COUNTIF(Phrases!$A:$A,$A113)&gt;0,"ok","à faire")</f>
        <v>à faire</v>
      </c>
      <c r="H113" s="17" t="str">
        <f>IF(COUNTIFS(Phrases!$A:$A,$A113,Phrases!$I:$I,"&lt;&gt;")&gt;0,"ok","à faire")</f>
        <v>à faire</v>
      </c>
      <c r="I113" s="17" t="str">
        <f>IF(COUNTIF(Synonymes!$A:$A,$A113)&gt;0,"ok","")</f>
        <v/>
      </c>
      <c r="J113" s="17">
        <f t="shared" si="1"/>
        <v>2</v>
      </c>
    </row>
    <row r="114" spans="1:10" x14ac:dyDescent="0.3">
      <c r="A114" s="17" t="s">
        <v>924</v>
      </c>
      <c r="B114" s="17" t="str">
        <f>IFERROR(INDEX(Mots!$B:$B,MATCH($A114,Mots!$A:$A,0)),"introuvable")</f>
        <v>l'été</v>
      </c>
      <c r="C114" s="17" t="str">
        <f>IFERROR(INDEX(Mots!$N:$N,MATCH($A114,Mots!$A:$A,0)),"")</f>
        <v>mot utile</v>
      </c>
      <c r="D114" s="17">
        <f>IFERROR(COUNTA(INDEX(Mots!$E:$E,MATCH($A114,Mots!$A:$A,0)):INDEX(Mots!$K:$K,MATCH($A114,Mots!$A:$A,0))),0)</f>
        <v>1</v>
      </c>
      <c r="E114" s="17" t="str">
        <f>IF(COUNTIF(Classement!$A:$A,$A114)&gt;0,"ok","à faire")</f>
        <v>ok</v>
      </c>
      <c r="F114" s="17" t="str">
        <f>IF(COUNTIF(Tags!$A:$A,$A114)&gt;0,"ok","à faire")</f>
        <v>ok</v>
      </c>
      <c r="G114" s="17" t="str">
        <f>IF(COUNTIF(Phrases!$A:$A,$A114)&gt;0,"ok","à faire")</f>
        <v>à faire</v>
      </c>
      <c r="H114" s="17" t="str">
        <f>IF(COUNTIFS(Phrases!$A:$A,$A114,Phrases!$I:$I,"&lt;&gt;")&gt;0,"ok","à faire")</f>
        <v>à faire</v>
      </c>
      <c r="I114" s="17" t="str">
        <f>IF(COUNTIF(Synonymes!$A:$A,$A114)&gt;0,"ok","")</f>
        <v/>
      </c>
      <c r="J114" s="17">
        <f t="shared" si="1"/>
        <v>2</v>
      </c>
    </row>
    <row r="115" spans="1:10" x14ac:dyDescent="0.3">
      <c r="A115" s="17" t="s">
        <v>928</v>
      </c>
      <c r="B115" s="17" t="str">
        <f>IFERROR(INDEX(Mots!$B:$B,MATCH($A115,Mots!$A:$A,0)),"introuvable")</f>
        <v>l'automne</v>
      </c>
      <c r="C115" s="17" t="str">
        <f>IFERROR(INDEX(Mots!$N:$N,MATCH($A115,Mots!$A:$A,0)),"")</f>
        <v>mot utile</v>
      </c>
      <c r="D115" s="17">
        <f>IFERROR(COUNTA(INDEX(Mots!$E:$E,MATCH($A115,Mots!$A:$A,0)):INDEX(Mots!$K:$K,MATCH($A115,Mots!$A:$A,0))),0)</f>
        <v>1</v>
      </c>
      <c r="E115" s="17" t="str">
        <f>IF(COUNTIF(Classement!$A:$A,$A115)&gt;0,"ok","à faire")</f>
        <v>ok</v>
      </c>
      <c r="F115" s="17" t="str">
        <f>IF(COUNTIF(Tags!$A:$A,$A115)&gt;0,"ok","à faire")</f>
        <v>ok</v>
      </c>
      <c r="G115" s="17" t="str">
        <f>IF(COUNTIF(Phrases!$A:$A,$A115)&gt;0,"ok","à faire")</f>
        <v>à faire</v>
      </c>
      <c r="H115" s="17" t="str">
        <f>IF(COUNTIFS(Phrases!$A:$A,$A115,Phrases!$I:$I,"&lt;&gt;")&gt;0,"ok","à faire")</f>
        <v>à faire</v>
      </c>
      <c r="I115" s="17" t="str">
        <f>IF(COUNTIF(Synonymes!$A:$A,$A115)&gt;0,"ok","")</f>
        <v/>
      </c>
      <c r="J115" s="17">
        <f t="shared" si="1"/>
        <v>2</v>
      </c>
    </row>
    <row r="116" spans="1:10" x14ac:dyDescent="0.3">
      <c r="A116" s="17" t="s">
        <v>932</v>
      </c>
      <c r="B116" s="17" t="str">
        <f>IFERROR(INDEX(Mots!$B:$B,MATCH($A116,Mots!$A:$A,0)),"introuvable")</f>
        <v>l'hiver</v>
      </c>
      <c r="C116" s="17" t="str">
        <f>IFERROR(INDEX(Mots!$N:$N,MATCH($A116,Mots!$A:$A,0)),"")</f>
        <v>mot utile</v>
      </c>
      <c r="D116" s="17">
        <f>IFERROR(COUNTA(INDEX(Mots!$E:$E,MATCH($A116,Mots!$A:$A,0)):INDEX(Mots!$K:$K,MATCH($A116,Mots!$A:$A,0))),0)</f>
        <v>1</v>
      </c>
      <c r="E116" s="17" t="str">
        <f>IF(COUNTIF(Classement!$A:$A,$A116)&gt;0,"ok","à faire")</f>
        <v>ok</v>
      </c>
      <c r="F116" s="17" t="str">
        <f>IF(COUNTIF(Tags!$A:$A,$A116)&gt;0,"ok","à faire")</f>
        <v>ok</v>
      </c>
      <c r="G116" s="17" t="str">
        <f>IF(COUNTIF(Phrases!$A:$A,$A116)&gt;0,"ok","à faire")</f>
        <v>à faire</v>
      </c>
      <c r="H116" s="17" t="str">
        <f>IF(COUNTIFS(Phrases!$A:$A,$A116,Phrases!$I:$I,"&lt;&gt;")&gt;0,"ok","à faire")</f>
        <v>à faire</v>
      </c>
      <c r="I116" s="17" t="str">
        <f>IF(COUNTIF(Synonymes!$A:$A,$A116)&gt;0,"ok","")</f>
        <v/>
      </c>
      <c r="J116" s="17">
        <f t="shared" si="1"/>
        <v>2</v>
      </c>
    </row>
    <row r="117" spans="1:10" x14ac:dyDescent="0.3">
      <c r="A117" s="17" t="s">
        <v>936</v>
      </c>
      <c r="B117" s="17" t="str">
        <f>IFERROR(INDEX(Mots!$B:$B,MATCH($A117,Mots!$A:$A,0)),"introuvable")</f>
        <v>la saison</v>
      </c>
      <c r="C117" s="17" t="str">
        <f>IFERROR(INDEX(Mots!$N:$N,MATCH($A117,Mots!$A:$A,0)),"")</f>
        <v>mot utile</v>
      </c>
      <c r="D117" s="17">
        <f>IFERROR(COUNTA(INDEX(Mots!$E:$E,MATCH($A117,Mots!$A:$A,0)):INDEX(Mots!$K:$K,MATCH($A117,Mots!$A:$A,0))),0)</f>
        <v>1</v>
      </c>
      <c r="E117" s="17" t="str">
        <f>IF(COUNTIF(Classement!$A:$A,$A117)&gt;0,"ok","à faire")</f>
        <v>ok</v>
      </c>
      <c r="F117" s="17" t="str">
        <f>IF(COUNTIF(Tags!$A:$A,$A117)&gt;0,"ok","à faire")</f>
        <v>ok</v>
      </c>
      <c r="G117" s="17" t="str">
        <f>IF(COUNTIF(Phrases!$A:$A,$A117)&gt;0,"ok","à faire")</f>
        <v>à faire</v>
      </c>
      <c r="H117" s="17" t="str">
        <f>IF(COUNTIFS(Phrases!$A:$A,$A117,Phrases!$I:$I,"&lt;&gt;")&gt;0,"ok","à faire")</f>
        <v>à faire</v>
      </c>
      <c r="I117" s="17" t="str">
        <f>IF(COUNTIF(Synonymes!$A:$A,$A117)&gt;0,"ok","")</f>
        <v/>
      </c>
      <c r="J117" s="17">
        <f t="shared" si="1"/>
        <v>2</v>
      </c>
    </row>
    <row r="118" spans="1:10" x14ac:dyDescent="0.3">
      <c r="A118" s="17" t="s">
        <v>940</v>
      </c>
      <c r="B118" s="17" t="str">
        <f>IFERROR(INDEX(Mots!$B:$B,MATCH($A118,Mots!$A:$A,0)),"introuvable")</f>
        <v>la date</v>
      </c>
      <c r="C118" s="17" t="str">
        <f>IFERROR(INDEX(Mots!$N:$N,MATCH($A118,Mots!$A:$A,0)),"")</f>
        <v>mot utile</v>
      </c>
      <c r="D118" s="17">
        <f>IFERROR(COUNTA(INDEX(Mots!$E:$E,MATCH($A118,Mots!$A:$A,0)):INDEX(Mots!$K:$K,MATCH($A118,Mots!$A:$A,0))),0)</f>
        <v>1</v>
      </c>
      <c r="E118" s="17" t="str">
        <f>IF(COUNTIF(Classement!$A:$A,$A118)&gt;0,"ok","à faire")</f>
        <v>ok</v>
      </c>
      <c r="F118" s="17" t="str">
        <f>IF(COUNTIF(Tags!$A:$A,$A118)&gt;0,"ok","à faire")</f>
        <v>ok</v>
      </c>
      <c r="G118" s="17" t="str">
        <f>IF(COUNTIF(Phrases!$A:$A,$A118)&gt;0,"ok","à faire")</f>
        <v>à faire</v>
      </c>
      <c r="H118" s="17" t="str">
        <f>IF(COUNTIFS(Phrases!$A:$A,$A118,Phrases!$I:$I,"&lt;&gt;")&gt;0,"ok","à faire")</f>
        <v>à faire</v>
      </c>
      <c r="I118" s="17" t="str">
        <f>IF(COUNTIF(Synonymes!$A:$A,$A118)&gt;0,"ok","")</f>
        <v/>
      </c>
      <c r="J118" s="17">
        <f t="shared" si="1"/>
        <v>2</v>
      </c>
    </row>
    <row r="119" spans="1:10" x14ac:dyDescent="0.3">
      <c r="A119" s="17" t="s">
        <v>944</v>
      </c>
      <c r="B119" s="17" t="str">
        <f>IFERROR(INDEX(Mots!$B:$B,MATCH($A119,Mots!$A:$A,0)),"introuvable")</f>
        <v>l'anniversaire</v>
      </c>
      <c r="C119" s="17" t="str">
        <f>IFERROR(INDEX(Mots!$N:$N,MATCH($A119,Mots!$A:$A,0)),"")</f>
        <v>mot utile</v>
      </c>
      <c r="D119" s="17">
        <f>IFERROR(COUNTA(INDEX(Mots!$E:$E,MATCH($A119,Mots!$A:$A,0)):INDEX(Mots!$K:$K,MATCH($A119,Mots!$A:$A,0))),0)</f>
        <v>1</v>
      </c>
      <c r="E119" s="17" t="str">
        <f>IF(COUNTIF(Classement!$A:$A,$A119)&gt;0,"ok","à faire")</f>
        <v>ok</v>
      </c>
      <c r="F119" s="17" t="str">
        <f>IF(COUNTIF(Tags!$A:$A,$A119)&gt;0,"ok","à faire")</f>
        <v>ok</v>
      </c>
      <c r="G119" s="17" t="str">
        <f>IF(COUNTIF(Phrases!$A:$A,$A119)&gt;0,"ok","à faire")</f>
        <v>à faire</v>
      </c>
      <c r="H119" s="17" t="str">
        <f>IF(COUNTIFS(Phrases!$A:$A,$A119,Phrases!$I:$I,"&lt;&gt;")&gt;0,"ok","à faire")</f>
        <v>à faire</v>
      </c>
      <c r="I119" s="17" t="str">
        <f>IF(COUNTIF(Synonymes!$A:$A,$A119)&gt;0,"ok","")</f>
        <v/>
      </c>
      <c r="J119" s="17">
        <f t="shared" si="1"/>
        <v>2</v>
      </c>
    </row>
    <row r="120" spans="1:10" x14ac:dyDescent="0.3">
      <c r="A120" s="17" t="s">
        <v>948</v>
      </c>
      <c r="B120" s="17" t="str">
        <f>IFERROR(INDEX(Mots!$B:$B,MATCH($A120,Mots!$A:$A,0)),"introuvable")</f>
        <v>aujourd'hui</v>
      </c>
      <c r="C120" s="17" t="str">
        <f>IFERROR(INDEX(Mots!$N:$N,MATCH($A120,Mots!$A:$A,0)),"")</f>
        <v>mot utile</v>
      </c>
      <c r="D120" s="17">
        <f>IFERROR(COUNTA(INDEX(Mots!$E:$E,MATCH($A120,Mots!$A:$A,0)):INDEX(Mots!$K:$K,MATCH($A120,Mots!$A:$A,0))),0)</f>
        <v>2</v>
      </c>
      <c r="E120" s="17" t="str">
        <f>IF(COUNTIF(Classement!$A:$A,$A120)&gt;0,"ok","à faire")</f>
        <v>ok</v>
      </c>
      <c r="F120" s="17" t="str">
        <f>IF(COUNTIF(Tags!$A:$A,$A120)&gt;0,"ok","à faire")</f>
        <v>ok</v>
      </c>
      <c r="G120" s="17" t="str">
        <f>IF(COUNTIF(Phrases!$A:$A,$A120)&gt;0,"ok","à faire")</f>
        <v>à faire</v>
      </c>
      <c r="H120" s="17" t="str">
        <f>IF(COUNTIFS(Phrases!$A:$A,$A120,Phrases!$I:$I,"&lt;&gt;")&gt;0,"ok","à faire")</f>
        <v>à faire</v>
      </c>
      <c r="I120" s="17" t="str">
        <f>IF(COUNTIF(Synonymes!$A:$A,$A120)&gt;0,"ok","")</f>
        <v/>
      </c>
      <c r="J120" s="17">
        <f t="shared" si="1"/>
        <v>2</v>
      </c>
    </row>
    <row r="121" spans="1:10" x14ac:dyDescent="0.3">
      <c r="A121" s="17" t="s">
        <v>953</v>
      </c>
      <c r="B121" s="17" t="str">
        <f>IFERROR(INDEX(Mots!$B:$B,MATCH($A121,Mots!$A:$A,0)),"introuvable")</f>
        <v>hier</v>
      </c>
      <c r="C121" s="17" t="str">
        <f>IFERROR(INDEX(Mots!$N:$N,MATCH($A121,Mots!$A:$A,0)),"")</f>
        <v>mot utile</v>
      </c>
      <c r="D121" s="17">
        <f>IFERROR(COUNTA(INDEX(Mots!$E:$E,MATCH($A121,Mots!$A:$A,0)):INDEX(Mots!$K:$K,MATCH($A121,Mots!$A:$A,0))),0)</f>
        <v>1</v>
      </c>
      <c r="E121" s="17" t="str">
        <f>IF(COUNTIF(Classement!$A:$A,$A121)&gt;0,"ok","à faire")</f>
        <v>ok</v>
      </c>
      <c r="F121" s="17" t="str">
        <f>IF(COUNTIF(Tags!$A:$A,$A121)&gt;0,"ok","à faire")</f>
        <v>ok</v>
      </c>
      <c r="G121" s="17" t="str">
        <f>IF(COUNTIF(Phrases!$A:$A,$A121)&gt;0,"ok","à faire")</f>
        <v>à faire</v>
      </c>
      <c r="H121" s="17" t="str">
        <f>IF(COUNTIFS(Phrases!$A:$A,$A121,Phrases!$I:$I,"&lt;&gt;")&gt;0,"ok","à faire")</f>
        <v>à faire</v>
      </c>
      <c r="I121" s="17" t="str">
        <f>IF(COUNTIF(Synonymes!$A:$A,$A121)&gt;0,"ok","")</f>
        <v/>
      </c>
      <c r="J121" s="17">
        <f t="shared" si="1"/>
        <v>2</v>
      </c>
    </row>
    <row r="122" spans="1:10" x14ac:dyDescent="0.3">
      <c r="A122" s="17" t="s">
        <v>955</v>
      </c>
      <c r="B122" s="17" t="str">
        <f>IFERROR(INDEX(Mots!$B:$B,MATCH($A122,Mots!$A:$A,0)),"introuvable")</f>
        <v>demain</v>
      </c>
      <c r="C122" s="17" t="str">
        <f>IFERROR(INDEX(Mots!$N:$N,MATCH($A122,Mots!$A:$A,0)),"")</f>
        <v>mot utile</v>
      </c>
      <c r="D122" s="17">
        <f>IFERROR(COUNTA(INDEX(Mots!$E:$E,MATCH($A122,Mots!$A:$A,0)):INDEX(Mots!$K:$K,MATCH($A122,Mots!$A:$A,0))),0)</f>
        <v>1</v>
      </c>
      <c r="E122" s="17" t="str">
        <f>IF(COUNTIF(Classement!$A:$A,$A122)&gt;0,"ok","à faire")</f>
        <v>ok</v>
      </c>
      <c r="F122" s="17" t="str">
        <f>IF(COUNTIF(Tags!$A:$A,$A122)&gt;0,"ok","à faire")</f>
        <v>ok</v>
      </c>
      <c r="G122" s="17" t="str">
        <f>IF(COUNTIF(Phrases!$A:$A,$A122)&gt;0,"ok","à faire")</f>
        <v>à faire</v>
      </c>
      <c r="H122" s="17" t="str">
        <f>IF(COUNTIFS(Phrases!$A:$A,$A122,Phrases!$I:$I,"&lt;&gt;")&gt;0,"ok","à faire")</f>
        <v>à faire</v>
      </c>
      <c r="I122" s="17" t="str">
        <f>IF(COUNTIF(Synonymes!$A:$A,$A122)&gt;0,"ok","")</f>
        <v/>
      </c>
      <c r="J122" s="17">
        <f t="shared" si="1"/>
        <v>2</v>
      </c>
    </row>
    <row r="123" spans="1:10" x14ac:dyDescent="0.3">
      <c r="A123" s="17" t="s">
        <v>957</v>
      </c>
      <c r="B123" s="17" t="str">
        <f>IFERROR(INDEX(Mots!$B:$B,MATCH($A123,Mots!$A:$A,0)),"introuvable")</f>
        <v>maintenant</v>
      </c>
      <c r="C123" s="17" t="str">
        <f>IFERROR(INDEX(Mots!$N:$N,MATCH($A123,Mots!$A:$A,0)),"")</f>
        <v>mot utile</v>
      </c>
      <c r="D123" s="17">
        <f>IFERROR(COUNTA(INDEX(Mots!$E:$E,MATCH($A123,Mots!$A:$A,0)):INDEX(Mots!$K:$K,MATCH($A123,Mots!$A:$A,0))),0)</f>
        <v>1</v>
      </c>
      <c r="E123" s="17" t="str">
        <f>IF(COUNTIF(Classement!$A:$A,$A123)&gt;0,"ok","à faire")</f>
        <v>ok</v>
      </c>
      <c r="F123" s="17" t="str">
        <f>IF(COUNTIF(Tags!$A:$A,$A123)&gt;0,"ok","à faire")</f>
        <v>ok</v>
      </c>
      <c r="G123" s="17" t="str">
        <f>IF(COUNTIF(Phrases!$A:$A,$A123)&gt;0,"ok","à faire")</f>
        <v>à faire</v>
      </c>
      <c r="H123" s="17" t="str">
        <f>IF(COUNTIFS(Phrases!$A:$A,$A123,Phrases!$I:$I,"&lt;&gt;")&gt;0,"ok","à faire")</f>
        <v>à faire</v>
      </c>
      <c r="I123" s="17" t="str">
        <f>IF(COUNTIF(Synonymes!$A:$A,$A123)&gt;0,"ok","")</f>
        <v>ok</v>
      </c>
      <c r="J123" s="17">
        <f t="shared" si="1"/>
        <v>2</v>
      </c>
    </row>
    <row r="124" spans="1:10" x14ac:dyDescent="0.3">
      <c r="A124" s="17" t="s">
        <v>960</v>
      </c>
      <c r="B124" s="17" t="str">
        <f>IFERROR(INDEX(Mots!$B:$B,MATCH($A124,Mots!$A:$A,0)),"introuvable")</f>
        <v>le calendrier</v>
      </c>
      <c r="C124" s="17" t="str">
        <f>IFERROR(INDEX(Mots!$N:$N,MATCH($A124,Mots!$A:$A,0)),"")</f>
        <v>mot utile</v>
      </c>
      <c r="D124" s="17">
        <f>IFERROR(COUNTA(INDEX(Mots!$E:$E,MATCH($A124,Mots!$A:$A,0)):INDEX(Mots!$K:$K,MATCH($A124,Mots!$A:$A,0))),0)</f>
        <v>1</v>
      </c>
      <c r="E124" s="17" t="str">
        <f>IF(COUNTIF(Classement!$A:$A,$A124)&gt;0,"ok","à faire")</f>
        <v>ok</v>
      </c>
      <c r="F124" s="17" t="str">
        <f>IF(COUNTIF(Tags!$A:$A,$A124)&gt;0,"ok","à faire")</f>
        <v>ok</v>
      </c>
      <c r="G124" s="17" t="str">
        <f>IF(COUNTIF(Phrases!$A:$A,$A124)&gt;0,"ok","à faire")</f>
        <v>à faire</v>
      </c>
      <c r="H124" s="17" t="str">
        <f>IF(COUNTIFS(Phrases!$A:$A,$A124,Phrases!$I:$I,"&lt;&gt;")&gt;0,"ok","à faire")</f>
        <v>à faire</v>
      </c>
      <c r="I124" s="17" t="str">
        <f>IF(COUNTIF(Synonymes!$A:$A,$A124)&gt;0,"ok","")</f>
        <v/>
      </c>
      <c r="J124" s="17">
        <f t="shared" si="1"/>
        <v>2</v>
      </c>
    </row>
    <row r="125" spans="1:10" x14ac:dyDescent="0.3">
      <c r="A125" s="17" t="s">
        <v>964</v>
      </c>
      <c r="B125" s="17" t="str">
        <f>IFERROR(INDEX(Mots!$B:$B,MATCH($A125,Mots!$A:$A,0)),"introuvable")</f>
        <v>l'agenda</v>
      </c>
      <c r="C125" s="17" t="str">
        <f>IFERROR(INDEX(Mots!$N:$N,MATCH($A125,Mots!$A:$A,0)),"")</f>
        <v>mot utile</v>
      </c>
      <c r="D125" s="17">
        <f>IFERROR(COUNTA(INDEX(Mots!$E:$E,MATCH($A125,Mots!$A:$A,0)):INDEX(Mots!$K:$K,MATCH($A125,Mots!$A:$A,0))),0)</f>
        <v>1</v>
      </c>
      <c r="E125" s="17" t="str">
        <f>IF(COUNTIF(Classement!$A:$A,$A125)&gt;0,"ok","à faire")</f>
        <v>ok</v>
      </c>
      <c r="F125" s="17" t="str">
        <f>IF(COUNTIF(Tags!$A:$A,$A125)&gt;0,"ok","à faire")</f>
        <v>ok</v>
      </c>
      <c r="G125" s="17" t="str">
        <f>IF(COUNTIF(Phrases!$A:$A,$A125)&gt;0,"ok","à faire")</f>
        <v>à faire</v>
      </c>
      <c r="H125" s="17" t="str">
        <f>IF(COUNTIFS(Phrases!$A:$A,$A125,Phrases!$I:$I,"&lt;&gt;")&gt;0,"ok","à faire")</f>
        <v>à faire</v>
      </c>
      <c r="I125" s="17" t="str">
        <f>IF(COUNTIF(Synonymes!$A:$A,$A125)&gt;0,"ok","")</f>
        <v/>
      </c>
      <c r="J125" s="17">
        <f t="shared" si="1"/>
        <v>2</v>
      </c>
    </row>
    <row r="126" spans="1:10" x14ac:dyDescent="0.3">
      <c r="A126" s="17" t="s">
        <v>968</v>
      </c>
      <c r="B126" s="17" t="str">
        <f>IFERROR(INDEX(Mots!$B:$B,MATCH($A126,Mots!$A:$A,0)),"introuvable")</f>
        <v>la durée</v>
      </c>
      <c r="C126" s="17" t="str">
        <f>IFERROR(INDEX(Mots!$N:$N,MATCH($A126,Mots!$A:$A,0)),"")</f>
        <v>mot utile</v>
      </c>
      <c r="D126" s="17">
        <f>IFERROR(COUNTA(INDEX(Mots!$E:$E,MATCH($A126,Mots!$A:$A,0)):INDEX(Mots!$K:$K,MATCH($A126,Mots!$A:$A,0))),0)</f>
        <v>1</v>
      </c>
      <c r="E126" s="17" t="str">
        <f>IF(COUNTIF(Classement!$A:$A,$A126)&gt;0,"ok","à faire")</f>
        <v>ok</v>
      </c>
      <c r="F126" s="17" t="str">
        <f>IF(COUNTIF(Tags!$A:$A,$A126)&gt;0,"ok","à faire")</f>
        <v>ok</v>
      </c>
      <c r="G126" s="17" t="str">
        <f>IF(COUNTIF(Phrases!$A:$A,$A126)&gt;0,"ok","à faire")</f>
        <v>à faire</v>
      </c>
      <c r="H126" s="17" t="str">
        <f>IF(COUNTIFS(Phrases!$A:$A,$A126,Phrases!$I:$I,"&lt;&gt;")&gt;0,"ok","à faire")</f>
        <v>à faire</v>
      </c>
      <c r="I126" s="17" t="str">
        <f>IF(COUNTIF(Synonymes!$A:$A,$A126)&gt;0,"ok","")</f>
        <v>ok</v>
      </c>
      <c r="J126" s="17">
        <f t="shared" si="1"/>
        <v>2</v>
      </c>
    </row>
    <row r="127" spans="1:10" x14ac:dyDescent="0.3">
      <c r="A127" s="17" t="s">
        <v>972</v>
      </c>
      <c r="B127" s="17" t="str">
        <f>IFERROR(INDEX(Mots!$B:$B,MATCH($A127,Mots!$A:$A,0)),"introuvable")</f>
        <v>tôt</v>
      </c>
      <c r="C127" s="17" t="str">
        <f>IFERROR(INDEX(Mots!$N:$N,MATCH($A127,Mots!$A:$A,0)),"")</f>
        <v>mot utile</v>
      </c>
      <c r="D127" s="17">
        <f>IFERROR(COUNTA(INDEX(Mots!$E:$E,MATCH($A127,Mots!$A:$A,0)):INDEX(Mots!$K:$K,MATCH($A127,Mots!$A:$A,0))),0)</f>
        <v>1</v>
      </c>
      <c r="E127" s="17" t="str">
        <f>IF(COUNTIF(Classement!$A:$A,$A127)&gt;0,"ok","à faire")</f>
        <v>ok</v>
      </c>
      <c r="F127" s="17" t="str">
        <f>IF(COUNTIF(Tags!$A:$A,$A127)&gt;0,"ok","à faire")</f>
        <v>ok</v>
      </c>
      <c r="G127" s="17" t="str">
        <f>IF(COUNTIF(Phrases!$A:$A,$A127)&gt;0,"ok","à faire")</f>
        <v>à faire</v>
      </c>
      <c r="H127" s="17" t="str">
        <f>IF(COUNTIFS(Phrases!$A:$A,$A127,Phrases!$I:$I,"&lt;&gt;")&gt;0,"ok","à faire")</f>
        <v>à faire</v>
      </c>
      <c r="I127" s="17" t="str">
        <f>IF(COUNTIF(Synonymes!$A:$A,$A127)&gt;0,"ok","")</f>
        <v/>
      </c>
      <c r="J127" s="17">
        <f t="shared" si="1"/>
        <v>2</v>
      </c>
    </row>
    <row r="128" spans="1:10" x14ac:dyDescent="0.3">
      <c r="A128" s="17" t="s">
        <v>976</v>
      </c>
      <c r="B128" s="17" t="str">
        <f>IFERROR(INDEX(Mots!$B:$B,MATCH($A128,Mots!$A:$A,0)),"introuvable")</f>
        <v>tard</v>
      </c>
      <c r="C128" s="17" t="str">
        <f>IFERROR(INDEX(Mots!$N:$N,MATCH($A128,Mots!$A:$A,0)),"")</f>
        <v>mot utile</v>
      </c>
      <c r="D128" s="17">
        <f>IFERROR(COUNTA(INDEX(Mots!$E:$E,MATCH($A128,Mots!$A:$A,0)):INDEX(Mots!$K:$K,MATCH($A128,Mots!$A:$A,0))),0)</f>
        <v>1</v>
      </c>
      <c r="E128" s="17" t="str">
        <f>IF(COUNTIF(Classement!$A:$A,$A128)&gt;0,"ok","à faire")</f>
        <v>ok</v>
      </c>
      <c r="F128" s="17" t="str">
        <f>IF(COUNTIF(Tags!$A:$A,$A128)&gt;0,"ok","à faire")</f>
        <v>ok</v>
      </c>
      <c r="G128" s="17" t="str">
        <f>IF(COUNTIF(Phrases!$A:$A,$A128)&gt;0,"ok","à faire")</f>
        <v>à faire</v>
      </c>
      <c r="H128" s="17" t="str">
        <f>IF(COUNTIFS(Phrases!$A:$A,$A128,Phrases!$I:$I,"&lt;&gt;")&gt;0,"ok","à faire")</f>
        <v>à faire</v>
      </c>
      <c r="I128" s="17" t="str">
        <f>IF(COUNTIF(Synonymes!$A:$A,$A128)&gt;0,"ok","")</f>
        <v/>
      </c>
      <c r="J128" s="17">
        <f t="shared" si="1"/>
        <v>2</v>
      </c>
    </row>
    <row r="129" spans="1:10" x14ac:dyDescent="0.3">
      <c r="A129" s="17" t="s">
        <v>979</v>
      </c>
      <c r="B129" s="17" t="str">
        <f>IFERROR(INDEX(Mots!$B:$B,MATCH($A129,Mots!$A:$A,0)),"introuvable")</f>
        <v>toujours</v>
      </c>
      <c r="C129" s="17" t="str">
        <f>IFERROR(INDEX(Mots!$N:$N,MATCH($A129,Mots!$A:$A,0)),"")</f>
        <v>mot utile</v>
      </c>
      <c r="D129" s="17">
        <f>IFERROR(COUNTA(INDEX(Mots!$E:$E,MATCH($A129,Mots!$A:$A,0)):INDEX(Mots!$K:$K,MATCH($A129,Mots!$A:$A,0))),0)</f>
        <v>1</v>
      </c>
      <c r="E129" s="17" t="str">
        <f>IF(COUNTIF(Classement!$A:$A,$A129)&gt;0,"ok","à faire")</f>
        <v>ok</v>
      </c>
      <c r="F129" s="17" t="str">
        <f>IF(COUNTIF(Tags!$A:$A,$A129)&gt;0,"ok","à faire")</f>
        <v>ok</v>
      </c>
      <c r="G129" s="17" t="str">
        <f>IF(COUNTIF(Phrases!$A:$A,$A129)&gt;0,"ok","à faire")</f>
        <v>à faire</v>
      </c>
      <c r="H129" s="17" t="str">
        <f>IF(COUNTIFS(Phrases!$A:$A,$A129,Phrases!$I:$I,"&lt;&gt;")&gt;0,"ok","à faire")</f>
        <v>à faire</v>
      </c>
      <c r="I129" s="17" t="str">
        <f>IF(COUNTIF(Synonymes!$A:$A,$A129)&gt;0,"ok","")</f>
        <v/>
      </c>
      <c r="J129" s="17">
        <f t="shared" si="1"/>
        <v>2</v>
      </c>
    </row>
    <row r="130" spans="1:10" x14ac:dyDescent="0.3">
      <c r="A130" s="17" t="s">
        <v>982</v>
      </c>
      <c r="B130" s="17" t="str">
        <f>IFERROR(INDEX(Mots!$B:$B,MATCH($A130,Mots!$A:$A,0)),"introuvable")</f>
        <v>jamais</v>
      </c>
      <c r="C130" s="17" t="str">
        <f>IFERROR(INDEX(Mots!$N:$N,MATCH($A130,Mots!$A:$A,0)),"")</f>
        <v>mot utile</v>
      </c>
      <c r="D130" s="17">
        <f>IFERROR(COUNTA(INDEX(Mots!$E:$E,MATCH($A130,Mots!$A:$A,0)):INDEX(Mots!$K:$K,MATCH($A130,Mots!$A:$A,0))),0)</f>
        <v>1</v>
      </c>
      <c r="E130" s="17" t="str">
        <f>IF(COUNTIF(Classement!$A:$A,$A130)&gt;0,"ok","à faire")</f>
        <v>ok</v>
      </c>
      <c r="F130" s="17" t="str">
        <f>IF(COUNTIF(Tags!$A:$A,$A130)&gt;0,"ok","à faire")</f>
        <v>ok</v>
      </c>
      <c r="G130" s="17" t="str">
        <f>IF(COUNTIF(Phrases!$A:$A,$A130)&gt;0,"ok","à faire")</f>
        <v>à faire</v>
      </c>
      <c r="H130" s="17" t="str">
        <f>IF(COUNTIFS(Phrases!$A:$A,$A130,Phrases!$I:$I,"&lt;&gt;")&gt;0,"ok","à faire")</f>
        <v>à faire</v>
      </c>
      <c r="I130" s="17" t="str">
        <f>IF(COUNTIF(Synonymes!$A:$A,$A130)&gt;0,"ok","")</f>
        <v/>
      </c>
      <c r="J130" s="17">
        <f t="shared" ref="J130:J193" si="2">COUNTIF(E130:H130,"à faire")</f>
        <v>2</v>
      </c>
    </row>
    <row r="131" spans="1:10" x14ac:dyDescent="0.3">
      <c r="A131" s="17" t="s">
        <v>985</v>
      </c>
      <c r="B131" s="17" t="str">
        <f>IFERROR(INDEX(Mots!$B:$B,MATCH($A131,Mots!$A:$A,0)),"introuvable")</f>
        <v>souvent</v>
      </c>
      <c r="C131" s="17" t="str">
        <f>IFERROR(INDEX(Mots!$N:$N,MATCH($A131,Mots!$A:$A,0)),"")</f>
        <v>mot utile</v>
      </c>
      <c r="D131" s="17">
        <f>IFERROR(COUNTA(INDEX(Mots!$E:$E,MATCH($A131,Mots!$A:$A,0)):INDEX(Mots!$K:$K,MATCH($A131,Mots!$A:$A,0))),0)</f>
        <v>1</v>
      </c>
      <c r="E131" s="17" t="str">
        <f>IF(COUNTIF(Classement!$A:$A,$A131)&gt;0,"ok","à faire")</f>
        <v>ok</v>
      </c>
      <c r="F131" s="17" t="str">
        <f>IF(COUNTIF(Tags!$A:$A,$A131)&gt;0,"ok","à faire")</f>
        <v>ok</v>
      </c>
      <c r="G131" s="17" t="str">
        <f>IF(COUNTIF(Phrases!$A:$A,$A131)&gt;0,"ok","à faire")</f>
        <v>à faire</v>
      </c>
      <c r="H131" s="17" t="str">
        <f>IF(COUNTIFS(Phrases!$A:$A,$A131,Phrases!$I:$I,"&lt;&gt;")&gt;0,"ok","à faire")</f>
        <v>à faire</v>
      </c>
      <c r="I131" s="17" t="str">
        <f>IF(COUNTIF(Synonymes!$A:$A,$A131)&gt;0,"ok","")</f>
        <v>ok</v>
      </c>
      <c r="J131" s="17">
        <f t="shared" si="2"/>
        <v>2</v>
      </c>
    </row>
    <row r="132" spans="1:10" x14ac:dyDescent="0.3">
      <c r="A132" s="17" t="s">
        <v>988</v>
      </c>
      <c r="B132" s="17" t="str">
        <f>IFERROR(INDEX(Mots!$B:$B,MATCH($A132,Mots!$A:$A,0)),"introuvable")</f>
        <v>parfois</v>
      </c>
      <c r="C132" s="17" t="str">
        <f>IFERROR(INDEX(Mots!$N:$N,MATCH($A132,Mots!$A:$A,0)),"")</f>
        <v>mot utile</v>
      </c>
      <c r="D132" s="17">
        <f>IFERROR(COUNTA(INDEX(Mots!$E:$E,MATCH($A132,Mots!$A:$A,0)):INDEX(Mots!$K:$K,MATCH($A132,Mots!$A:$A,0))),0)</f>
        <v>1</v>
      </c>
      <c r="E132" s="17" t="str">
        <f>IF(COUNTIF(Classement!$A:$A,$A132)&gt;0,"ok","à faire")</f>
        <v>ok</v>
      </c>
      <c r="F132" s="17" t="str">
        <f>IF(COUNTIF(Tags!$A:$A,$A132)&gt;0,"ok","à faire")</f>
        <v>ok</v>
      </c>
      <c r="G132" s="17" t="str">
        <f>IF(COUNTIF(Phrases!$A:$A,$A132)&gt;0,"ok","à faire")</f>
        <v>à faire</v>
      </c>
      <c r="H132" s="17" t="str">
        <f>IF(COUNTIFS(Phrases!$A:$A,$A132,Phrases!$I:$I,"&lt;&gt;")&gt;0,"ok","à faire")</f>
        <v>à faire</v>
      </c>
      <c r="I132" s="17" t="str">
        <f>IF(COUNTIF(Synonymes!$A:$A,$A132)&gt;0,"ok","")</f>
        <v>ok</v>
      </c>
      <c r="J132" s="17">
        <f t="shared" si="2"/>
        <v>2</v>
      </c>
    </row>
    <row r="133" spans="1:10" x14ac:dyDescent="0.3">
      <c r="A133" s="17" t="s">
        <v>991</v>
      </c>
      <c r="B133" s="17" t="str">
        <f>IFERROR(INDEX(Mots!$B:$B,MATCH($A133,Mots!$A:$A,0)),"introuvable")</f>
        <v>la paire</v>
      </c>
      <c r="C133" s="17" t="str">
        <f>IFERROR(INDEX(Mots!$N:$N,MATCH($A133,Mots!$A:$A,0)),"")</f>
        <v>mot utile</v>
      </c>
      <c r="D133" s="17">
        <f>IFERROR(COUNTA(INDEX(Mots!$E:$E,MATCH($A133,Mots!$A:$A,0)):INDEX(Mots!$K:$K,MATCH($A133,Mots!$A:$A,0))),0)</f>
        <v>1</v>
      </c>
      <c r="E133" s="17" t="str">
        <f>IF(COUNTIF(Classement!$A:$A,$A133)&gt;0,"ok","à faire")</f>
        <v>ok</v>
      </c>
      <c r="F133" s="17" t="str">
        <f>IF(COUNTIF(Tags!$A:$A,$A133)&gt;0,"ok","à faire")</f>
        <v>ok</v>
      </c>
      <c r="G133" s="17" t="str">
        <f>IF(COUNTIF(Phrases!$A:$A,$A133)&gt;0,"ok","à faire")</f>
        <v>à faire</v>
      </c>
      <c r="H133" s="17" t="str">
        <f>IF(COUNTIFS(Phrases!$A:$A,$A133,Phrases!$I:$I,"&lt;&gt;")&gt;0,"ok","à faire")</f>
        <v>à faire</v>
      </c>
      <c r="I133" s="17" t="str">
        <f>IF(COUNTIF(Synonymes!$A:$A,$A133)&gt;0,"ok","")</f>
        <v/>
      </c>
      <c r="J133" s="17">
        <f t="shared" si="2"/>
        <v>2</v>
      </c>
    </row>
    <row r="134" spans="1:10" x14ac:dyDescent="0.3">
      <c r="A134" s="17" t="s">
        <v>995</v>
      </c>
      <c r="B134" s="17" t="str">
        <f>IFERROR(INDEX(Mots!$B:$B,MATCH($A134,Mots!$A:$A,0)),"introuvable")</f>
        <v>la douzaine</v>
      </c>
      <c r="C134" s="17" t="str">
        <f>IFERROR(INDEX(Mots!$N:$N,MATCH($A134,Mots!$A:$A,0)),"")</f>
        <v>mot utile</v>
      </c>
      <c r="D134" s="17">
        <f>IFERROR(COUNTA(INDEX(Mots!$E:$E,MATCH($A134,Mots!$A:$A,0)):INDEX(Mots!$K:$K,MATCH($A134,Mots!$A:$A,0))),0)</f>
        <v>1</v>
      </c>
      <c r="E134" s="17" t="str">
        <f>IF(COUNTIF(Classement!$A:$A,$A134)&gt;0,"ok","à faire")</f>
        <v>ok</v>
      </c>
      <c r="F134" s="17" t="str">
        <f>IF(COUNTIF(Tags!$A:$A,$A134)&gt;0,"ok","à faire")</f>
        <v>ok</v>
      </c>
      <c r="G134" s="17" t="str">
        <f>IF(COUNTIF(Phrases!$A:$A,$A134)&gt;0,"ok","à faire")</f>
        <v>à faire</v>
      </c>
      <c r="H134" s="17" t="str">
        <f>IF(COUNTIFS(Phrases!$A:$A,$A134,Phrases!$I:$I,"&lt;&gt;")&gt;0,"ok","à faire")</f>
        <v>à faire</v>
      </c>
      <c r="I134" s="17" t="str">
        <f>IF(COUNTIF(Synonymes!$A:$A,$A134)&gt;0,"ok","")</f>
        <v/>
      </c>
      <c r="J134" s="17">
        <f t="shared" si="2"/>
        <v>2</v>
      </c>
    </row>
    <row r="135" spans="1:10" x14ac:dyDescent="0.3">
      <c r="A135" s="17" t="s">
        <v>999</v>
      </c>
      <c r="B135" s="17" t="str">
        <f>IFERROR(INDEX(Mots!$B:$B,MATCH($A135,Mots!$A:$A,0)),"introuvable")</f>
        <v>la centaine</v>
      </c>
      <c r="C135" s="17" t="str">
        <f>IFERROR(INDEX(Mots!$N:$N,MATCH($A135,Mots!$A:$A,0)),"")</f>
        <v>mot utile</v>
      </c>
      <c r="D135" s="17">
        <f>IFERROR(COUNTA(INDEX(Mots!$E:$E,MATCH($A135,Mots!$A:$A,0)):INDEX(Mots!$K:$K,MATCH($A135,Mots!$A:$A,0))),0)</f>
        <v>1</v>
      </c>
      <c r="E135" s="17" t="str">
        <f>IF(COUNTIF(Classement!$A:$A,$A135)&gt;0,"ok","à faire")</f>
        <v>ok</v>
      </c>
      <c r="F135" s="17" t="str">
        <f>IF(COUNTIF(Tags!$A:$A,$A135)&gt;0,"ok","à faire")</f>
        <v>ok</v>
      </c>
      <c r="G135" s="17" t="str">
        <f>IF(COUNTIF(Phrases!$A:$A,$A135)&gt;0,"ok","à faire")</f>
        <v>à faire</v>
      </c>
      <c r="H135" s="17" t="str">
        <f>IF(COUNTIFS(Phrases!$A:$A,$A135,Phrases!$I:$I,"&lt;&gt;")&gt;0,"ok","à faire")</f>
        <v>à faire</v>
      </c>
      <c r="I135" s="17" t="str">
        <f>IF(COUNTIF(Synonymes!$A:$A,$A135)&gt;0,"ok","")</f>
        <v/>
      </c>
      <c r="J135" s="17">
        <f t="shared" si="2"/>
        <v>2</v>
      </c>
    </row>
    <row r="136" spans="1:10" x14ac:dyDescent="0.3">
      <c r="A136" s="17" t="s">
        <v>1003</v>
      </c>
      <c r="B136" s="17" t="str">
        <f>IFERROR(INDEX(Mots!$B:$B,MATCH($A136,Mots!$A:$A,0)),"introuvable")</f>
        <v>le ventre</v>
      </c>
      <c r="C136" s="17" t="str">
        <f>IFERROR(INDEX(Mots!$N:$N,MATCH($A136,Mots!$A:$A,0)),"")</f>
        <v>chose</v>
      </c>
      <c r="D136" s="17">
        <f>IFERROR(COUNTA(INDEX(Mots!$E:$E,MATCH($A136,Mots!$A:$A,0)):INDEX(Mots!$K:$K,MATCH($A136,Mots!$A:$A,0))),0)</f>
        <v>1</v>
      </c>
      <c r="E136" s="17" t="str">
        <f>IF(COUNTIF(Classement!$A:$A,$A136)&gt;0,"ok","à faire")</f>
        <v>ok</v>
      </c>
      <c r="F136" s="17" t="str">
        <f>IF(COUNTIF(Tags!$A:$A,$A136)&gt;0,"ok","à faire")</f>
        <v>ok</v>
      </c>
      <c r="G136" s="17" t="str">
        <f>IF(COUNTIF(Phrases!$A:$A,$A136)&gt;0,"ok","à faire")</f>
        <v>ok</v>
      </c>
      <c r="H136" s="17" t="str">
        <f>IF(COUNTIFS(Phrases!$A:$A,$A136,Phrases!$I:$I,"&lt;&gt;")&gt;0,"ok","à faire")</f>
        <v>à faire</v>
      </c>
      <c r="I136" s="17" t="str">
        <f>IF(COUNTIF(Synonymes!$A:$A,$A136)&gt;0,"ok","")</f>
        <v>ok</v>
      </c>
      <c r="J136" s="17">
        <f t="shared" si="2"/>
        <v>1</v>
      </c>
    </row>
    <row r="137" spans="1:10" x14ac:dyDescent="0.3">
      <c r="A137" s="17" t="s">
        <v>1008</v>
      </c>
      <c r="B137" s="17" t="str">
        <f>IFERROR(INDEX(Mots!$B:$B,MATCH($A137,Mots!$A:$A,0)),"introuvable")</f>
        <v>le dos</v>
      </c>
      <c r="C137" s="17" t="str">
        <f>IFERROR(INDEX(Mots!$N:$N,MATCH($A137,Mots!$A:$A,0)),"")</f>
        <v>chose</v>
      </c>
      <c r="D137" s="17">
        <f>IFERROR(COUNTA(INDEX(Mots!$E:$E,MATCH($A137,Mots!$A:$A,0)):INDEX(Mots!$K:$K,MATCH($A137,Mots!$A:$A,0))),0)</f>
        <v>1</v>
      </c>
      <c r="E137" s="17" t="str">
        <f>IF(COUNTIF(Classement!$A:$A,$A137)&gt;0,"ok","à faire")</f>
        <v>ok</v>
      </c>
      <c r="F137" s="17" t="str">
        <f>IF(COUNTIF(Tags!$A:$A,$A137)&gt;0,"ok","à faire")</f>
        <v>ok</v>
      </c>
      <c r="G137" s="17" t="str">
        <f>IF(COUNTIF(Phrases!$A:$A,$A137)&gt;0,"ok","à faire")</f>
        <v>ok</v>
      </c>
      <c r="H137" s="17" t="str">
        <f>IF(COUNTIFS(Phrases!$A:$A,$A137,Phrases!$I:$I,"&lt;&gt;")&gt;0,"ok","à faire")</f>
        <v>à faire</v>
      </c>
      <c r="I137" s="17" t="str">
        <f>IF(COUNTIF(Synonymes!$A:$A,$A137)&gt;0,"ok","")</f>
        <v/>
      </c>
      <c r="J137" s="17">
        <f t="shared" si="2"/>
        <v>1</v>
      </c>
    </row>
    <row r="138" spans="1:10" x14ac:dyDescent="0.3">
      <c r="A138" s="17" t="s">
        <v>1013</v>
      </c>
      <c r="B138" s="17" t="str">
        <f>IFERROR(INDEX(Mots!$B:$B,MATCH($A138,Mots!$A:$A,0)),"introuvable")</f>
        <v>le coeur</v>
      </c>
      <c r="C138" s="17" t="str">
        <f>IFERROR(INDEX(Mots!$N:$N,MATCH($A138,Mots!$A:$A,0)),"")</f>
        <v>chose</v>
      </c>
      <c r="D138" s="17">
        <f>IFERROR(COUNTA(INDEX(Mots!$E:$E,MATCH($A138,Mots!$A:$A,0)):INDEX(Mots!$K:$K,MATCH($A138,Mots!$A:$A,0))),0)</f>
        <v>1</v>
      </c>
      <c r="E138" s="17" t="str">
        <f>IF(COUNTIF(Classement!$A:$A,$A138)&gt;0,"ok","à faire")</f>
        <v>ok</v>
      </c>
      <c r="F138" s="17" t="str">
        <f>IF(COUNTIF(Tags!$A:$A,$A138)&gt;0,"ok","à faire")</f>
        <v>ok</v>
      </c>
      <c r="G138" s="17" t="str">
        <f>IF(COUNTIF(Phrases!$A:$A,$A138)&gt;0,"ok","à faire")</f>
        <v>ok</v>
      </c>
      <c r="H138" s="17" t="str">
        <f>IF(COUNTIFS(Phrases!$A:$A,$A138,Phrases!$I:$I,"&lt;&gt;")&gt;0,"ok","à faire")</f>
        <v>à faire</v>
      </c>
      <c r="I138" s="17" t="str">
        <f>IF(COUNTIF(Synonymes!$A:$A,$A138)&gt;0,"ok","")</f>
        <v>ok</v>
      </c>
      <c r="J138" s="17">
        <f t="shared" si="2"/>
        <v>1</v>
      </c>
    </row>
    <row r="139" spans="1:10" x14ac:dyDescent="0.3">
      <c r="A139" s="17" t="s">
        <v>1017</v>
      </c>
      <c r="B139" s="17" t="str">
        <f>IFERROR(INDEX(Mots!$B:$B,MATCH($A139,Mots!$A:$A,0)),"introuvable")</f>
        <v>la poitrine</v>
      </c>
      <c r="C139" s="17" t="str">
        <f>IFERROR(INDEX(Mots!$N:$N,MATCH($A139,Mots!$A:$A,0)),"")</f>
        <v>chose</v>
      </c>
      <c r="D139" s="17">
        <f>IFERROR(COUNTA(INDEX(Mots!$E:$E,MATCH($A139,Mots!$A:$A,0)):INDEX(Mots!$K:$K,MATCH($A139,Mots!$A:$A,0))),0)</f>
        <v>1</v>
      </c>
      <c r="E139" s="17" t="str">
        <f>IF(COUNTIF(Classement!$A:$A,$A139)&gt;0,"ok","à faire")</f>
        <v>ok</v>
      </c>
      <c r="F139" s="17" t="str">
        <f>IF(COUNTIF(Tags!$A:$A,$A139)&gt;0,"ok","à faire")</f>
        <v>ok</v>
      </c>
      <c r="G139" s="17" t="str">
        <f>IF(COUNTIF(Phrases!$A:$A,$A139)&gt;0,"ok","à faire")</f>
        <v>ok</v>
      </c>
      <c r="H139" s="17" t="str">
        <f>IF(COUNTIFS(Phrases!$A:$A,$A139,Phrases!$I:$I,"&lt;&gt;")&gt;0,"ok","à faire")</f>
        <v>ok</v>
      </c>
      <c r="I139" s="17" t="str">
        <f>IF(COUNTIF(Synonymes!$A:$A,$A139)&gt;0,"ok","")</f>
        <v/>
      </c>
      <c r="J139" s="17">
        <f t="shared" si="2"/>
        <v>0</v>
      </c>
    </row>
    <row r="140" spans="1:10" x14ac:dyDescent="0.3">
      <c r="A140" s="17" t="s">
        <v>1021</v>
      </c>
      <c r="B140" s="17" t="str">
        <f>IFERROR(INDEX(Mots!$B:$B,MATCH($A140,Mots!$A:$A,0)),"introuvable")</f>
        <v>le torse</v>
      </c>
      <c r="C140" s="17" t="str">
        <f>IFERROR(INDEX(Mots!$N:$N,MATCH($A140,Mots!$A:$A,0)),"")</f>
        <v>chose</v>
      </c>
      <c r="D140" s="17">
        <f>IFERROR(COUNTA(INDEX(Mots!$E:$E,MATCH($A140,Mots!$A:$A,0)):INDEX(Mots!$K:$K,MATCH($A140,Mots!$A:$A,0))),0)</f>
        <v>1</v>
      </c>
      <c r="E140" s="17" t="str">
        <f>IF(COUNTIF(Classement!$A:$A,$A140)&gt;0,"ok","à faire")</f>
        <v>ok</v>
      </c>
      <c r="F140" s="17" t="str">
        <f>IF(COUNTIF(Tags!$A:$A,$A140)&gt;0,"ok","à faire")</f>
        <v>ok</v>
      </c>
      <c r="G140" s="17" t="str">
        <f>IF(COUNTIF(Phrases!$A:$A,$A140)&gt;0,"ok","à faire")</f>
        <v>ok</v>
      </c>
      <c r="H140" s="17" t="str">
        <f>IF(COUNTIFS(Phrases!$A:$A,$A140,Phrases!$I:$I,"&lt;&gt;")&gt;0,"ok","à faire")</f>
        <v>ok</v>
      </c>
      <c r="I140" s="17" t="str">
        <f>IF(COUNTIF(Synonymes!$A:$A,$A140)&gt;0,"ok","")</f>
        <v/>
      </c>
      <c r="J140" s="17">
        <f t="shared" si="2"/>
        <v>0</v>
      </c>
    </row>
    <row r="141" spans="1:10" x14ac:dyDescent="0.3">
      <c r="A141" s="17" t="s">
        <v>1025</v>
      </c>
      <c r="B141" s="17" t="str">
        <f>IFERROR(INDEX(Mots!$B:$B,MATCH($A141,Mots!$A:$A,0)),"introuvable")</f>
        <v>l'épaule</v>
      </c>
      <c r="C141" s="17" t="str">
        <f>IFERROR(INDEX(Mots!$N:$N,MATCH($A141,Mots!$A:$A,0)),"")</f>
        <v>chose</v>
      </c>
      <c r="D141" s="17">
        <f>IFERROR(COUNTA(INDEX(Mots!$E:$E,MATCH($A141,Mots!$A:$A,0)):INDEX(Mots!$K:$K,MATCH($A141,Mots!$A:$A,0))),0)</f>
        <v>1</v>
      </c>
      <c r="E141" s="17" t="str">
        <f>IF(COUNTIF(Classement!$A:$A,$A141)&gt;0,"ok","à faire")</f>
        <v>ok</v>
      </c>
      <c r="F141" s="17" t="str">
        <f>IF(COUNTIF(Tags!$A:$A,$A141)&gt;0,"ok","à faire")</f>
        <v>ok</v>
      </c>
      <c r="G141" s="17" t="str">
        <f>IF(COUNTIF(Phrases!$A:$A,$A141)&gt;0,"ok","à faire")</f>
        <v>ok</v>
      </c>
      <c r="H141" s="17" t="str">
        <f>IF(COUNTIFS(Phrases!$A:$A,$A141,Phrases!$I:$I,"&lt;&gt;")&gt;0,"ok","à faire")</f>
        <v>ok</v>
      </c>
      <c r="I141" s="17" t="str">
        <f>IF(COUNTIF(Synonymes!$A:$A,$A141)&gt;0,"ok","")</f>
        <v/>
      </c>
      <c r="J141" s="17">
        <f t="shared" si="2"/>
        <v>0</v>
      </c>
    </row>
    <row r="142" spans="1:10" x14ac:dyDescent="0.3">
      <c r="A142" s="17" t="s">
        <v>1029</v>
      </c>
      <c r="B142" s="17" t="str">
        <f>IFERROR(INDEX(Mots!$B:$B,MATCH($A142,Mots!$A:$A,0)),"introuvable")</f>
        <v>la tête</v>
      </c>
      <c r="C142" s="17" t="str">
        <f>IFERROR(INDEX(Mots!$N:$N,MATCH($A142,Mots!$A:$A,0)),"")</f>
        <v>chose</v>
      </c>
      <c r="D142" s="17">
        <f>IFERROR(COUNTA(INDEX(Mots!$E:$E,MATCH($A142,Mots!$A:$A,0)):INDEX(Mots!$K:$K,MATCH($A142,Mots!$A:$A,0))),0)</f>
        <v>1</v>
      </c>
      <c r="E142" s="17" t="str">
        <f>IF(COUNTIF(Classement!$A:$A,$A142)&gt;0,"ok","à faire")</f>
        <v>ok</v>
      </c>
      <c r="F142" s="17" t="str">
        <f>IF(COUNTIF(Tags!$A:$A,$A142)&gt;0,"ok","à faire")</f>
        <v>ok</v>
      </c>
      <c r="G142" s="17" t="str">
        <f>IF(COUNTIF(Phrases!$A:$A,$A142)&gt;0,"ok","à faire")</f>
        <v>ok</v>
      </c>
      <c r="H142" s="17" t="str">
        <f>IF(COUNTIFS(Phrases!$A:$A,$A142,Phrases!$I:$I,"&lt;&gt;")&gt;0,"ok","à faire")</f>
        <v>à faire</v>
      </c>
      <c r="I142" s="17" t="str">
        <f>IF(COUNTIF(Synonymes!$A:$A,$A142)&gt;0,"ok","")</f>
        <v>ok</v>
      </c>
      <c r="J142" s="17">
        <f t="shared" si="2"/>
        <v>1</v>
      </c>
    </row>
    <row r="143" spans="1:10" x14ac:dyDescent="0.3">
      <c r="A143" s="17" t="s">
        <v>1032</v>
      </c>
      <c r="B143" s="17" t="str">
        <f>IFERROR(INDEX(Mots!$B:$B,MATCH($A143,Mots!$A:$A,0)),"introuvable")</f>
        <v>les cheveux</v>
      </c>
      <c r="C143" s="17" t="str">
        <f>IFERROR(INDEX(Mots!$N:$N,MATCH($A143,Mots!$A:$A,0)),"")</f>
        <v>chose</v>
      </c>
      <c r="D143" s="17">
        <f>IFERROR(COUNTA(INDEX(Mots!$E:$E,MATCH($A143,Mots!$A:$A,0)):INDEX(Mots!$K:$K,MATCH($A143,Mots!$A:$A,0))),0)</f>
        <v>1</v>
      </c>
      <c r="E143" s="17" t="str">
        <f>IF(COUNTIF(Classement!$A:$A,$A143)&gt;0,"ok","à faire")</f>
        <v>ok</v>
      </c>
      <c r="F143" s="17" t="str">
        <f>IF(COUNTIF(Tags!$A:$A,$A143)&gt;0,"ok","à faire")</f>
        <v>ok</v>
      </c>
      <c r="G143" s="17" t="str">
        <f>IF(COUNTIF(Phrases!$A:$A,$A143)&gt;0,"ok","à faire")</f>
        <v>ok</v>
      </c>
      <c r="H143" s="17" t="str">
        <f>IF(COUNTIFS(Phrases!$A:$A,$A143,Phrases!$I:$I,"&lt;&gt;")&gt;0,"ok","à faire")</f>
        <v>à faire</v>
      </c>
      <c r="I143" s="17" t="str">
        <f>IF(COUNTIF(Synonymes!$A:$A,$A143)&gt;0,"ok","")</f>
        <v>ok</v>
      </c>
      <c r="J143" s="17">
        <f t="shared" si="2"/>
        <v>1</v>
      </c>
    </row>
    <row r="144" spans="1:10" x14ac:dyDescent="0.3">
      <c r="A144" s="17" t="s">
        <v>1037</v>
      </c>
      <c r="B144" s="17" t="str">
        <f>IFERROR(INDEX(Mots!$B:$B,MATCH($A144,Mots!$A:$A,0)),"introuvable")</f>
        <v>l'oeil</v>
      </c>
      <c r="C144" s="17" t="str">
        <f>IFERROR(INDEX(Mots!$N:$N,MATCH($A144,Mots!$A:$A,0)),"")</f>
        <v>chose</v>
      </c>
      <c r="D144" s="17">
        <f>IFERROR(COUNTA(INDEX(Mots!$E:$E,MATCH($A144,Mots!$A:$A,0)):INDEX(Mots!$K:$K,MATCH($A144,Mots!$A:$A,0))),0)</f>
        <v>1</v>
      </c>
      <c r="E144" s="17" t="str">
        <f>IF(COUNTIF(Classement!$A:$A,$A144)&gt;0,"ok","à faire")</f>
        <v>ok</v>
      </c>
      <c r="F144" s="17" t="str">
        <f>IF(COUNTIF(Tags!$A:$A,$A144)&gt;0,"ok","à faire")</f>
        <v>ok</v>
      </c>
      <c r="G144" s="17" t="str">
        <f>IF(COUNTIF(Phrases!$A:$A,$A144)&gt;0,"ok","à faire")</f>
        <v>ok</v>
      </c>
      <c r="H144" s="17" t="str">
        <f>IF(COUNTIFS(Phrases!$A:$A,$A144,Phrases!$I:$I,"&lt;&gt;")&gt;0,"ok","à faire")</f>
        <v>à faire</v>
      </c>
      <c r="I144" s="17" t="str">
        <f>IF(COUNTIF(Synonymes!$A:$A,$A144)&gt;0,"ok","")</f>
        <v/>
      </c>
      <c r="J144" s="17">
        <f t="shared" si="2"/>
        <v>1</v>
      </c>
    </row>
    <row r="145" spans="1:10" x14ac:dyDescent="0.3">
      <c r="A145" s="17" t="s">
        <v>1042</v>
      </c>
      <c r="B145" s="17" t="str">
        <f>IFERROR(INDEX(Mots!$B:$B,MATCH($A145,Mots!$A:$A,0)),"introuvable")</f>
        <v>le nez</v>
      </c>
      <c r="C145" s="17" t="str">
        <f>IFERROR(INDEX(Mots!$N:$N,MATCH($A145,Mots!$A:$A,0)),"")</f>
        <v>chose</v>
      </c>
      <c r="D145" s="17">
        <f>IFERROR(COUNTA(INDEX(Mots!$E:$E,MATCH($A145,Mots!$A:$A,0)):INDEX(Mots!$K:$K,MATCH($A145,Mots!$A:$A,0))),0)</f>
        <v>5</v>
      </c>
      <c r="E145" s="17" t="str">
        <f>IF(COUNTIF(Classement!$A:$A,$A145)&gt;0,"ok","à faire")</f>
        <v>ok</v>
      </c>
      <c r="F145" s="17" t="str">
        <f>IF(COUNTIF(Tags!$A:$A,$A145)&gt;0,"ok","à faire")</f>
        <v>ok</v>
      </c>
      <c r="G145" s="17" t="str">
        <f>IF(COUNTIF(Phrases!$A:$A,$A145)&gt;0,"ok","à faire")</f>
        <v>ok</v>
      </c>
      <c r="H145" s="17" t="str">
        <f>IF(COUNTIFS(Phrases!$A:$A,$A145,Phrases!$I:$I,"&lt;&gt;")&gt;0,"ok","à faire")</f>
        <v>à faire</v>
      </c>
      <c r="I145" s="17" t="str">
        <f>IF(COUNTIF(Synonymes!$A:$A,$A145)&gt;0,"ok","")</f>
        <v/>
      </c>
      <c r="J145" s="17">
        <f t="shared" si="2"/>
        <v>1</v>
      </c>
    </row>
    <row r="146" spans="1:10" x14ac:dyDescent="0.3">
      <c r="A146" s="17" t="s">
        <v>1051</v>
      </c>
      <c r="B146" s="17" t="str">
        <f>IFERROR(INDEX(Mots!$B:$B,MATCH($A146,Mots!$A:$A,0)),"introuvable")</f>
        <v>la bouche</v>
      </c>
      <c r="C146" s="17" t="str">
        <f>IFERROR(INDEX(Mots!$N:$N,MATCH($A146,Mots!$A:$A,0)),"")</f>
        <v>chose</v>
      </c>
      <c r="D146" s="17">
        <f>IFERROR(COUNTA(INDEX(Mots!$E:$E,MATCH($A146,Mots!$A:$A,0)):INDEX(Mots!$K:$K,MATCH($A146,Mots!$A:$A,0))),0)</f>
        <v>1</v>
      </c>
      <c r="E146" s="17" t="str">
        <f>IF(COUNTIF(Classement!$A:$A,$A146)&gt;0,"ok","à faire")</f>
        <v>ok</v>
      </c>
      <c r="F146" s="17" t="str">
        <f>IF(COUNTIF(Tags!$A:$A,$A146)&gt;0,"ok","à faire")</f>
        <v>ok</v>
      </c>
      <c r="G146" s="17" t="str">
        <f>IF(COUNTIF(Phrases!$A:$A,$A146)&gt;0,"ok","à faire")</f>
        <v>ok</v>
      </c>
      <c r="H146" s="17" t="str">
        <f>IF(COUNTIFS(Phrases!$A:$A,$A146,Phrases!$I:$I,"&lt;&gt;")&gt;0,"ok","à faire")</f>
        <v>à faire</v>
      </c>
      <c r="I146" s="17" t="str">
        <f>IF(COUNTIF(Synonymes!$A:$A,$A146)&gt;0,"ok","")</f>
        <v/>
      </c>
      <c r="J146" s="17">
        <f t="shared" si="2"/>
        <v>1</v>
      </c>
    </row>
    <row r="147" spans="1:10" x14ac:dyDescent="0.3">
      <c r="A147" s="17" t="s">
        <v>1055</v>
      </c>
      <c r="B147" s="17" t="str">
        <f>IFERROR(INDEX(Mots!$B:$B,MATCH($A147,Mots!$A:$A,0)),"introuvable")</f>
        <v>la dent</v>
      </c>
      <c r="C147" s="17" t="str">
        <f>IFERROR(INDEX(Mots!$N:$N,MATCH($A147,Mots!$A:$A,0)),"")</f>
        <v>chose</v>
      </c>
      <c r="D147" s="17">
        <f>IFERROR(COUNTA(INDEX(Mots!$E:$E,MATCH($A147,Mots!$A:$A,0)):INDEX(Mots!$K:$K,MATCH($A147,Mots!$A:$A,0))),0)</f>
        <v>1</v>
      </c>
      <c r="E147" s="17" t="str">
        <f>IF(COUNTIF(Classement!$A:$A,$A147)&gt;0,"ok","à faire")</f>
        <v>ok</v>
      </c>
      <c r="F147" s="17" t="str">
        <f>IF(COUNTIF(Tags!$A:$A,$A147)&gt;0,"ok","à faire")</f>
        <v>ok</v>
      </c>
      <c r="G147" s="17" t="str">
        <f>IF(COUNTIF(Phrases!$A:$A,$A147)&gt;0,"ok","à faire")</f>
        <v>ok</v>
      </c>
      <c r="H147" s="17" t="str">
        <f>IF(COUNTIFS(Phrases!$A:$A,$A147,Phrases!$I:$I,"&lt;&gt;")&gt;0,"ok","à faire")</f>
        <v>à faire</v>
      </c>
      <c r="I147" s="17" t="str">
        <f>IF(COUNTIF(Synonymes!$A:$A,$A147)&gt;0,"ok","")</f>
        <v/>
      </c>
      <c r="J147" s="17">
        <f t="shared" si="2"/>
        <v>1</v>
      </c>
    </row>
    <row r="148" spans="1:10" x14ac:dyDescent="0.3">
      <c r="A148" s="17" t="s">
        <v>1060</v>
      </c>
      <c r="B148" s="17" t="str">
        <f>IFERROR(INDEX(Mots!$B:$B,MATCH($A148,Mots!$A:$A,0)),"introuvable")</f>
        <v>l'oreille</v>
      </c>
      <c r="C148" s="17" t="str">
        <f>IFERROR(INDEX(Mots!$N:$N,MATCH($A148,Mots!$A:$A,0)),"")</f>
        <v>chose</v>
      </c>
      <c r="D148" s="17">
        <f>IFERROR(COUNTA(INDEX(Mots!$E:$E,MATCH($A148,Mots!$A:$A,0)):INDEX(Mots!$K:$K,MATCH($A148,Mots!$A:$A,0))),0)</f>
        <v>1</v>
      </c>
      <c r="E148" s="17" t="str">
        <f>IF(COUNTIF(Classement!$A:$A,$A148)&gt;0,"ok","à faire")</f>
        <v>ok</v>
      </c>
      <c r="F148" s="17" t="str">
        <f>IF(COUNTIF(Tags!$A:$A,$A148)&gt;0,"ok","à faire")</f>
        <v>ok</v>
      </c>
      <c r="G148" s="17" t="str">
        <f>IF(COUNTIF(Phrases!$A:$A,$A148)&gt;0,"ok","à faire")</f>
        <v>ok</v>
      </c>
      <c r="H148" s="17" t="str">
        <f>IF(COUNTIFS(Phrases!$A:$A,$A148,Phrases!$I:$I,"&lt;&gt;")&gt;0,"ok","à faire")</f>
        <v>à faire</v>
      </c>
      <c r="I148" s="17" t="str">
        <f>IF(COUNTIF(Synonymes!$A:$A,$A148)&gt;0,"ok","")</f>
        <v/>
      </c>
      <c r="J148" s="17">
        <f t="shared" si="2"/>
        <v>1</v>
      </c>
    </row>
    <row r="149" spans="1:10" x14ac:dyDescent="0.3">
      <c r="A149" s="17" t="s">
        <v>1065</v>
      </c>
      <c r="B149" s="17" t="str">
        <f>IFERROR(INDEX(Mots!$B:$B,MATCH($A149,Mots!$A:$A,0)),"introuvable")</f>
        <v>la joue</v>
      </c>
      <c r="C149" s="17" t="str">
        <f>IFERROR(INDEX(Mots!$N:$N,MATCH($A149,Mots!$A:$A,0)),"")</f>
        <v>chose</v>
      </c>
      <c r="D149" s="17">
        <f>IFERROR(COUNTA(INDEX(Mots!$E:$E,MATCH($A149,Mots!$A:$A,0)):INDEX(Mots!$K:$K,MATCH($A149,Mots!$A:$A,0))),0)</f>
        <v>1</v>
      </c>
      <c r="E149" s="17" t="str">
        <f>IF(COUNTIF(Classement!$A:$A,$A149)&gt;0,"ok","à faire")</f>
        <v>ok</v>
      </c>
      <c r="F149" s="17" t="str">
        <f>IF(COUNTIF(Tags!$A:$A,$A149)&gt;0,"ok","à faire")</f>
        <v>ok</v>
      </c>
      <c r="G149" s="17" t="str">
        <f>IF(COUNTIF(Phrases!$A:$A,$A149)&gt;0,"ok","à faire")</f>
        <v>ok</v>
      </c>
      <c r="H149" s="17" t="str">
        <f>IF(COUNTIFS(Phrases!$A:$A,$A149,Phrases!$I:$I,"&lt;&gt;")&gt;0,"ok","à faire")</f>
        <v>ok</v>
      </c>
      <c r="I149" s="17" t="str">
        <f>IF(COUNTIF(Synonymes!$A:$A,$A149)&gt;0,"ok","")</f>
        <v/>
      </c>
      <c r="J149" s="17">
        <f t="shared" si="2"/>
        <v>0</v>
      </c>
    </row>
    <row r="150" spans="1:10" x14ac:dyDescent="0.3">
      <c r="A150" s="17" t="s">
        <v>1069</v>
      </c>
      <c r="B150" s="17" t="str">
        <f>IFERROR(INDEX(Mots!$B:$B,MATCH($A150,Mots!$A:$A,0)),"introuvable")</f>
        <v>la langue</v>
      </c>
      <c r="C150" s="17" t="str">
        <f>IFERROR(INDEX(Mots!$N:$N,MATCH($A150,Mots!$A:$A,0)),"")</f>
        <v>chose</v>
      </c>
      <c r="D150" s="17">
        <f>IFERROR(COUNTA(INDEX(Mots!$E:$E,MATCH($A150,Mots!$A:$A,0)):INDEX(Mots!$K:$K,MATCH($A150,Mots!$A:$A,0))),0)</f>
        <v>1</v>
      </c>
      <c r="E150" s="17" t="str">
        <f>IF(COUNTIF(Classement!$A:$A,$A150)&gt;0,"ok","à faire")</f>
        <v>ok</v>
      </c>
      <c r="F150" s="17" t="str">
        <f>IF(COUNTIF(Tags!$A:$A,$A150)&gt;0,"ok","à faire")</f>
        <v>ok</v>
      </c>
      <c r="G150" s="17" t="str">
        <f>IF(COUNTIF(Phrases!$A:$A,$A150)&gt;0,"ok","à faire")</f>
        <v>ok</v>
      </c>
      <c r="H150" s="17" t="str">
        <f>IF(COUNTIFS(Phrases!$A:$A,$A150,Phrases!$I:$I,"&lt;&gt;")&gt;0,"ok","à faire")</f>
        <v>ok</v>
      </c>
      <c r="I150" s="17" t="str">
        <f>IF(COUNTIF(Synonymes!$A:$A,$A150)&gt;0,"ok","")</f>
        <v/>
      </c>
      <c r="J150" s="17">
        <f t="shared" si="2"/>
        <v>0</v>
      </c>
    </row>
    <row r="151" spans="1:10" x14ac:dyDescent="0.3">
      <c r="A151" s="17" t="s">
        <v>1073</v>
      </c>
      <c r="B151" s="17" t="str">
        <f>IFERROR(INDEX(Mots!$B:$B,MATCH($A151,Mots!$A:$A,0)),"introuvable")</f>
        <v>la lèvre</v>
      </c>
      <c r="C151" s="17" t="str">
        <f>IFERROR(INDEX(Mots!$N:$N,MATCH($A151,Mots!$A:$A,0)),"")</f>
        <v>chose</v>
      </c>
      <c r="D151" s="17">
        <f>IFERROR(COUNTA(INDEX(Mots!$E:$E,MATCH($A151,Mots!$A:$A,0)):INDEX(Mots!$K:$K,MATCH($A151,Mots!$A:$A,0))),0)</f>
        <v>1</v>
      </c>
      <c r="E151" s="17" t="str">
        <f>IF(COUNTIF(Classement!$A:$A,$A151)&gt;0,"ok","à faire")</f>
        <v>ok</v>
      </c>
      <c r="F151" s="17" t="str">
        <f>IF(COUNTIF(Tags!$A:$A,$A151)&gt;0,"ok","à faire")</f>
        <v>ok</v>
      </c>
      <c r="G151" s="17" t="str">
        <f>IF(COUNTIF(Phrases!$A:$A,$A151)&gt;0,"ok","à faire")</f>
        <v>ok</v>
      </c>
      <c r="H151" s="17" t="str">
        <f>IF(COUNTIFS(Phrases!$A:$A,$A151,Phrases!$I:$I,"&lt;&gt;")&gt;0,"ok","à faire")</f>
        <v>à faire</v>
      </c>
      <c r="I151" s="17" t="str">
        <f>IF(COUNTIF(Synonymes!$A:$A,$A151)&gt;0,"ok","")</f>
        <v/>
      </c>
      <c r="J151" s="17">
        <f t="shared" si="2"/>
        <v>1</v>
      </c>
    </row>
    <row r="152" spans="1:10" x14ac:dyDescent="0.3">
      <c r="A152" s="17" t="s">
        <v>1077</v>
      </c>
      <c r="B152" s="17" t="str">
        <f>IFERROR(INDEX(Mots!$B:$B,MATCH($A152,Mots!$A:$A,0)),"introuvable")</f>
        <v>le cou</v>
      </c>
      <c r="C152" s="17" t="str">
        <f>IFERROR(INDEX(Mots!$N:$N,MATCH($A152,Mots!$A:$A,0)),"")</f>
        <v>chose</v>
      </c>
      <c r="D152" s="17">
        <f>IFERROR(COUNTA(INDEX(Mots!$E:$E,MATCH($A152,Mots!$A:$A,0)):INDEX(Mots!$K:$K,MATCH($A152,Mots!$A:$A,0))),0)</f>
        <v>1</v>
      </c>
      <c r="E152" s="17" t="str">
        <f>IF(COUNTIF(Classement!$A:$A,$A152)&gt;0,"ok","à faire")</f>
        <v>ok</v>
      </c>
      <c r="F152" s="17" t="str">
        <f>IF(COUNTIF(Tags!$A:$A,$A152)&gt;0,"ok","à faire")</f>
        <v>ok</v>
      </c>
      <c r="G152" s="17" t="str">
        <f>IF(COUNTIF(Phrases!$A:$A,$A152)&gt;0,"ok","à faire")</f>
        <v>ok</v>
      </c>
      <c r="H152" s="17" t="str">
        <f>IF(COUNTIFS(Phrases!$A:$A,$A152,Phrases!$I:$I,"&lt;&gt;")&gt;0,"ok","à faire")</f>
        <v>ok</v>
      </c>
      <c r="I152" s="17" t="str">
        <f>IF(COUNTIF(Synonymes!$A:$A,$A152)&gt;0,"ok","")</f>
        <v/>
      </c>
      <c r="J152" s="17">
        <f t="shared" si="2"/>
        <v>0</v>
      </c>
    </row>
    <row r="153" spans="1:10" x14ac:dyDescent="0.3">
      <c r="A153" s="17" t="s">
        <v>1081</v>
      </c>
      <c r="B153" s="17" t="str">
        <f>IFERROR(INDEX(Mots!$B:$B,MATCH($A153,Mots!$A:$A,0)),"introuvable")</f>
        <v>le front</v>
      </c>
      <c r="C153" s="17" t="str">
        <f>IFERROR(INDEX(Mots!$N:$N,MATCH($A153,Mots!$A:$A,0)),"")</f>
        <v>chose</v>
      </c>
      <c r="D153" s="17">
        <f>IFERROR(COUNTA(INDEX(Mots!$E:$E,MATCH($A153,Mots!$A:$A,0)):INDEX(Mots!$K:$K,MATCH($A153,Mots!$A:$A,0))),0)</f>
        <v>1</v>
      </c>
      <c r="E153" s="17" t="str">
        <f>IF(COUNTIF(Classement!$A:$A,$A153)&gt;0,"ok","à faire")</f>
        <v>ok</v>
      </c>
      <c r="F153" s="17" t="str">
        <f>IF(COUNTIF(Tags!$A:$A,$A153)&gt;0,"ok","à faire")</f>
        <v>ok</v>
      </c>
      <c r="G153" s="17" t="str">
        <f>IF(COUNTIF(Phrases!$A:$A,$A153)&gt;0,"ok","à faire")</f>
        <v>ok</v>
      </c>
      <c r="H153" s="17" t="str">
        <f>IF(COUNTIFS(Phrases!$A:$A,$A153,Phrases!$I:$I,"&lt;&gt;")&gt;0,"ok","à faire")</f>
        <v>à faire</v>
      </c>
      <c r="I153" s="17" t="str">
        <f>IF(COUNTIF(Synonymes!$A:$A,$A153)&gt;0,"ok","")</f>
        <v/>
      </c>
      <c r="J153" s="17">
        <f t="shared" si="2"/>
        <v>1</v>
      </c>
    </row>
    <row r="154" spans="1:10" x14ac:dyDescent="0.3">
      <c r="A154" s="17" t="s">
        <v>1085</v>
      </c>
      <c r="B154" s="17" t="str">
        <f>IFERROR(INDEX(Mots!$B:$B,MATCH($A154,Mots!$A:$A,0)),"introuvable")</f>
        <v>la casquette</v>
      </c>
      <c r="C154" s="17" t="str">
        <f>IFERROR(INDEX(Mots!$N:$N,MATCH($A154,Mots!$A:$A,0)),"")</f>
        <v>chose</v>
      </c>
      <c r="D154" s="17">
        <f>IFERROR(COUNTA(INDEX(Mots!$E:$E,MATCH($A154,Mots!$A:$A,0)):INDEX(Mots!$K:$K,MATCH($A154,Mots!$A:$A,0))),0)</f>
        <v>1</v>
      </c>
      <c r="E154" s="17" t="str">
        <f>IF(COUNTIF(Classement!$A:$A,$A154)&gt;0,"ok","à faire")</f>
        <v>ok</v>
      </c>
      <c r="F154" s="17" t="str">
        <f>IF(COUNTIF(Tags!$A:$A,$A154)&gt;0,"ok","à faire")</f>
        <v>ok</v>
      </c>
      <c r="G154" s="17" t="str">
        <f>IF(COUNTIF(Phrases!$A:$A,$A154)&gt;0,"ok","à faire")</f>
        <v>ok</v>
      </c>
      <c r="H154" s="17" t="str">
        <f>IF(COUNTIFS(Phrases!$A:$A,$A154,Phrases!$I:$I,"&lt;&gt;")&gt;0,"ok","à faire")</f>
        <v>à faire</v>
      </c>
      <c r="I154" s="17" t="str">
        <f>IF(COUNTIF(Synonymes!$A:$A,$A154)&gt;0,"ok","")</f>
        <v/>
      </c>
      <c r="J154" s="17">
        <f t="shared" si="2"/>
        <v>1</v>
      </c>
    </row>
    <row r="155" spans="1:10" x14ac:dyDescent="0.3">
      <c r="A155" s="17" t="s">
        <v>1090</v>
      </c>
      <c r="B155" s="17" t="str">
        <f>IFERROR(INDEX(Mots!$B:$B,MATCH($A155,Mots!$A:$A,0)),"introuvable")</f>
        <v>la ceinture</v>
      </c>
      <c r="C155" s="17" t="str">
        <f>IFERROR(INDEX(Mots!$N:$N,MATCH($A155,Mots!$A:$A,0)),"")</f>
        <v>chose</v>
      </c>
      <c r="D155" s="17">
        <f>IFERROR(COUNTA(INDEX(Mots!$E:$E,MATCH($A155,Mots!$A:$A,0)):INDEX(Mots!$K:$K,MATCH($A155,Mots!$A:$A,0))),0)</f>
        <v>1</v>
      </c>
      <c r="E155" s="17" t="str">
        <f>IF(COUNTIF(Classement!$A:$A,$A155)&gt;0,"ok","à faire")</f>
        <v>ok</v>
      </c>
      <c r="F155" s="17" t="str">
        <f>IF(COUNTIF(Tags!$A:$A,$A155)&gt;0,"ok","à faire")</f>
        <v>ok</v>
      </c>
      <c r="G155" s="17" t="str">
        <f>IF(COUNTIF(Phrases!$A:$A,$A155)&gt;0,"ok","à faire")</f>
        <v>ok</v>
      </c>
      <c r="H155" s="17" t="str">
        <f>IF(COUNTIFS(Phrases!$A:$A,$A155,Phrases!$I:$I,"&lt;&gt;")&gt;0,"ok","à faire")</f>
        <v>à faire</v>
      </c>
      <c r="I155" s="17" t="str">
        <f>IF(COUNTIF(Synonymes!$A:$A,$A155)&gt;0,"ok","")</f>
        <v/>
      </c>
      <c r="J155" s="17">
        <f t="shared" si="2"/>
        <v>1</v>
      </c>
    </row>
    <row r="156" spans="1:10" x14ac:dyDescent="0.3">
      <c r="A156" s="17" t="s">
        <v>1094</v>
      </c>
      <c r="B156" s="17" t="str">
        <f>IFERROR(INDEX(Mots!$B:$B,MATCH($A156,Mots!$A:$A,0)),"introuvable")</f>
        <v>le bonnet</v>
      </c>
      <c r="C156" s="17" t="str">
        <f>IFERROR(INDEX(Mots!$N:$N,MATCH($A156,Mots!$A:$A,0)),"")</f>
        <v>chose</v>
      </c>
      <c r="D156" s="17">
        <f>IFERROR(COUNTA(INDEX(Mots!$E:$E,MATCH($A156,Mots!$A:$A,0)):INDEX(Mots!$K:$K,MATCH($A156,Mots!$A:$A,0))),0)</f>
        <v>1</v>
      </c>
      <c r="E156" s="17" t="str">
        <f>IF(COUNTIF(Classement!$A:$A,$A156)&gt;0,"ok","à faire")</f>
        <v>ok</v>
      </c>
      <c r="F156" s="17" t="str">
        <f>IF(COUNTIF(Tags!$A:$A,$A156)&gt;0,"ok","à faire")</f>
        <v>ok</v>
      </c>
      <c r="G156" s="17" t="str">
        <f>IF(COUNTIF(Phrases!$A:$A,$A156)&gt;0,"ok","à faire")</f>
        <v>ok</v>
      </c>
      <c r="H156" s="17" t="str">
        <f>IF(COUNTIFS(Phrases!$A:$A,$A156,Phrases!$I:$I,"&lt;&gt;")&gt;0,"ok","à faire")</f>
        <v>ok</v>
      </c>
      <c r="I156" s="17" t="str">
        <f>IF(COUNTIF(Synonymes!$A:$A,$A156)&gt;0,"ok","")</f>
        <v/>
      </c>
      <c r="J156" s="17">
        <f t="shared" si="2"/>
        <v>0</v>
      </c>
    </row>
    <row r="157" spans="1:10" x14ac:dyDescent="0.3">
      <c r="A157" s="17" t="s">
        <v>1098</v>
      </c>
      <c r="B157" s="17" t="str">
        <f>IFERROR(INDEX(Mots!$B:$B,MATCH($A157,Mots!$A:$A,0)),"introuvable")</f>
        <v>le gant</v>
      </c>
      <c r="C157" s="17" t="str">
        <f>IFERROR(INDEX(Mots!$N:$N,MATCH($A157,Mots!$A:$A,0)),"")</f>
        <v>chose</v>
      </c>
      <c r="D157" s="17">
        <f>IFERROR(COUNTA(INDEX(Mots!$E:$E,MATCH($A157,Mots!$A:$A,0)):INDEX(Mots!$K:$K,MATCH($A157,Mots!$A:$A,0))),0)</f>
        <v>5</v>
      </c>
      <c r="E157" s="17" t="str">
        <f>IF(COUNTIF(Classement!$A:$A,$A157)&gt;0,"ok","à faire")</f>
        <v>ok</v>
      </c>
      <c r="F157" s="17" t="str">
        <f>IF(COUNTIF(Tags!$A:$A,$A157)&gt;0,"ok","à faire")</f>
        <v>ok</v>
      </c>
      <c r="G157" s="17" t="str">
        <f>IF(COUNTIF(Phrases!$A:$A,$A157)&gt;0,"ok","à faire")</f>
        <v>ok</v>
      </c>
      <c r="H157" s="17" t="str">
        <f>IF(COUNTIFS(Phrases!$A:$A,$A157,Phrases!$I:$I,"&lt;&gt;")&gt;0,"ok","à faire")</f>
        <v>ok</v>
      </c>
      <c r="I157" s="17" t="str">
        <f>IF(COUNTIF(Synonymes!$A:$A,$A157)&gt;0,"ok","")</f>
        <v/>
      </c>
      <c r="J157" s="17">
        <f t="shared" si="2"/>
        <v>0</v>
      </c>
    </row>
    <row r="158" spans="1:10" x14ac:dyDescent="0.3">
      <c r="A158" s="17" t="s">
        <v>1106</v>
      </c>
      <c r="B158" s="17" t="str">
        <f>IFERROR(INDEX(Mots!$B:$B,MATCH($A158,Mots!$A:$A,0)),"introuvable")</f>
        <v>l'écharpe</v>
      </c>
      <c r="C158" s="17" t="str">
        <f>IFERROR(INDEX(Mots!$N:$N,MATCH($A158,Mots!$A:$A,0)),"")</f>
        <v>chose</v>
      </c>
      <c r="D158" s="17">
        <f>IFERROR(COUNTA(INDEX(Mots!$E:$E,MATCH($A158,Mots!$A:$A,0)):INDEX(Mots!$K:$K,MATCH($A158,Mots!$A:$A,0))),0)</f>
        <v>5</v>
      </c>
      <c r="E158" s="17" t="str">
        <f>IF(COUNTIF(Classement!$A:$A,$A158)&gt;0,"ok","à faire")</f>
        <v>ok</v>
      </c>
      <c r="F158" s="17" t="str">
        <f>IF(COUNTIF(Tags!$A:$A,$A158)&gt;0,"ok","à faire")</f>
        <v>ok</v>
      </c>
      <c r="G158" s="17" t="str">
        <f>IF(COUNTIF(Phrases!$A:$A,$A158)&gt;0,"ok","à faire")</f>
        <v>ok</v>
      </c>
      <c r="H158" s="17" t="str">
        <f>IF(COUNTIFS(Phrases!$A:$A,$A158,Phrases!$I:$I,"&lt;&gt;")&gt;0,"ok","à faire")</f>
        <v>ok</v>
      </c>
      <c r="I158" s="17" t="str">
        <f>IF(COUNTIF(Synonymes!$A:$A,$A158)&gt;0,"ok","")</f>
        <v/>
      </c>
      <c r="J158" s="17">
        <f t="shared" si="2"/>
        <v>0</v>
      </c>
    </row>
    <row r="159" spans="1:10" x14ac:dyDescent="0.3">
      <c r="A159" s="17" t="s">
        <v>1114</v>
      </c>
      <c r="B159" s="17" t="str">
        <f>IFERROR(INDEX(Mots!$B:$B,MATCH($A159,Mots!$A:$A,0)),"introuvable")</f>
        <v>la sourdine Cup</v>
      </c>
      <c r="C159" s="17" t="str">
        <f>IFERROR(INDEX(Mots!$N:$N,MATCH($A159,Mots!$A:$A,0)),"")</f>
        <v>chose</v>
      </c>
      <c r="D159" s="17">
        <f>IFERROR(COUNTA(INDEX(Mots!$E:$E,MATCH($A159,Mots!$A:$A,0)):INDEX(Mots!$K:$K,MATCH($A159,Mots!$A:$A,0))),0)</f>
        <v>1</v>
      </c>
      <c r="E159" s="17" t="str">
        <f>IF(COUNTIF(Classement!$A:$A,$A159)&gt;0,"ok","à faire")</f>
        <v>ok</v>
      </c>
      <c r="F159" s="17" t="str">
        <f>IF(COUNTIF(Tags!$A:$A,$A159)&gt;0,"ok","à faire")</f>
        <v>ok</v>
      </c>
      <c r="G159" s="17" t="str">
        <f>IF(COUNTIF(Phrases!$A:$A,$A159)&gt;0,"ok","à faire")</f>
        <v>ok</v>
      </c>
      <c r="H159" s="17" t="str">
        <f>IF(COUNTIFS(Phrases!$A:$A,$A159,Phrases!$I:$I,"&lt;&gt;")&gt;0,"ok","à faire")</f>
        <v>à faire</v>
      </c>
      <c r="I159" s="17" t="str">
        <f>IF(COUNTIF(Synonymes!$A:$A,$A159)&gt;0,"ok","")</f>
        <v/>
      </c>
      <c r="J159" s="17">
        <f t="shared" si="2"/>
        <v>1</v>
      </c>
    </row>
    <row r="160" spans="1:10" x14ac:dyDescent="0.3">
      <c r="A160" s="17" t="s">
        <v>1117</v>
      </c>
      <c r="B160" s="17" t="str">
        <f>IFERROR(INDEX(Mots!$B:$B,MATCH($A160,Mots!$A:$A,0)),"introuvable")</f>
        <v>la sourdine straignt ou metal</v>
      </c>
      <c r="C160" s="17" t="str">
        <f>IFERROR(INDEX(Mots!$N:$N,MATCH($A160,Mots!$A:$A,0)),"")</f>
        <v>chose</v>
      </c>
      <c r="D160" s="17">
        <f>IFERROR(COUNTA(INDEX(Mots!$E:$E,MATCH($A160,Mots!$A:$A,0)):INDEX(Mots!$K:$K,MATCH($A160,Mots!$A:$A,0))),0)</f>
        <v>1</v>
      </c>
      <c r="E160" s="17" t="str">
        <f>IF(COUNTIF(Classement!$A:$A,$A160)&gt;0,"ok","à faire")</f>
        <v>ok</v>
      </c>
      <c r="F160" s="17" t="str">
        <f>IF(COUNTIF(Tags!$A:$A,$A160)&gt;0,"ok","à faire")</f>
        <v>ok</v>
      </c>
      <c r="G160" s="17" t="str">
        <f>IF(COUNTIF(Phrases!$A:$A,$A160)&gt;0,"ok","à faire")</f>
        <v>ok</v>
      </c>
      <c r="H160" s="17" t="str">
        <f>IF(COUNTIFS(Phrases!$A:$A,$A160,Phrases!$I:$I,"&lt;&gt;")&gt;0,"ok","à faire")</f>
        <v>à faire</v>
      </c>
      <c r="I160" s="17" t="str">
        <f>IF(COUNTIF(Synonymes!$A:$A,$A160)&gt;0,"ok","")</f>
        <v/>
      </c>
      <c r="J160" s="17">
        <f t="shared" si="2"/>
        <v>1</v>
      </c>
    </row>
    <row r="161" spans="1:10" x14ac:dyDescent="0.3">
      <c r="A161" s="17" t="s">
        <v>1120</v>
      </c>
      <c r="B161" s="17" t="str">
        <f>IFERROR(INDEX(Mots!$B:$B,MATCH($A161,Mots!$A:$A,0)),"introuvable")</f>
        <v>l'embouchure</v>
      </c>
      <c r="C161" s="17" t="str">
        <f>IFERROR(INDEX(Mots!$N:$N,MATCH($A161,Mots!$A:$A,0)),"")</f>
        <v>chose</v>
      </c>
      <c r="D161" s="17">
        <f>IFERROR(COUNTA(INDEX(Mots!$E:$E,MATCH($A161,Mots!$A:$A,0)):INDEX(Mots!$K:$K,MATCH($A161,Mots!$A:$A,0))),0)</f>
        <v>1</v>
      </c>
      <c r="E161" s="17" t="str">
        <f>IF(COUNTIF(Classement!$A:$A,$A161)&gt;0,"ok","à faire")</f>
        <v>ok</v>
      </c>
      <c r="F161" s="17" t="str">
        <f>IF(COUNTIF(Tags!$A:$A,$A161)&gt;0,"ok","à faire")</f>
        <v>ok</v>
      </c>
      <c r="G161" s="17" t="str">
        <f>IF(COUNTIF(Phrases!$A:$A,$A161)&gt;0,"ok","à faire")</f>
        <v>ok</v>
      </c>
      <c r="H161" s="17" t="str">
        <f>IF(COUNTIFS(Phrases!$A:$A,$A161,Phrases!$I:$I,"&lt;&gt;")&gt;0,"ok","à faire")</f>
        <v>à faire</v>
      </c>
      <c r="I161" s="17" t="str">
        <f>IF(COUNTIF(Synonymes!$A:$A,$A161)&gt;0,"ok","")</f>
        <v/>
      </c>
      <c r="J161" s="17">
        <f t="shared" si="2"/>
        <v>1</v>
      </c>
    </row>
    <row r="162" spans="1:10" x14ac:dyDescent="0.3">
      <c r="A162" s="17" t="s">
        <v>1124</v>
      </c>
      <c r="B162" s="17" t="str">
        <f>IFERROR(INDEX(Mots!$B:$B,MATCH($A162,Mots!$A:$A,0)),"introuvable")</f>
        <v>les pistons</v>
      </c>
      <c r="C162" s="17" t="str">
        <f>IFERROR(INDEX(Mots!$N:$N,MATCH($A162,Mots!$A:$A,0)),"")</f>
        <v>chose</v>
      </c>
      <c r="D162" s="17">
        <f>IFERROR(COUNTA(INDEX(Mots!$E:$E,MATCH($A162,Mots!$A:$A,0)):INDEX(Mots!$K:$K,MATCH($A162,Mots!$A:$A,0))),0)</f>
        <v>1</v>
      </c>
      <c r="E162" s="17" t="str">
        <f>IF(COUNTIF(Classement!$A:$A,$A162)&gt;0,"ok","à faire")</f>
        <v>ok</v>
      </c>
      <c r="F162" s="17" t="str">
        <f>IF(COUNTIF(Tags!$A:$A,$A162)&gt;0,"ok","à faire")</f>
        <v>ok</v>
      </c>
      <c r="G162" s="17" t="str">
        <f>IF(COUNTIF(Phrases!$A:$A,$A162)&gt;0,"ok","à faire")</f>
        <v>ok</v>
      </c>
      <c r="H162" s="17" t="str">
        <f>IF(COUNTIFS(Phrases!$A:$A,$A162,Phrases!$I:$I,"&lt;&gt;")&gt;0,"ok","à faire")</f>
        <v>à faire</v>
      </c>
      <c r="I162" s="17" t="str">
        <f>IF(COUNTIF(Synonymes!$A:$A,$A162)&gt;0,"ok","")</f>
        <v/>
      </c>
      <c r="J162" s="17">
        <f t="shared" si="2"/>
        <v>1</v>
      </c>
    </row>
    <row r="163" spans="1:10" x14ac:dyDescent="0.3">
      <c r="A163" s="17" t="s">
        <v>1127</v>
      </c>
      <c r="B163" s="17" t="str">
        <f>IFERROR(INDEX(Mots!$B:$B,MATCH($A163,Mots!$A:$A,0)),"introuvable")</f>
        <v>la coulisse</v>
      </c>
      <c r="C163" s="17" t="str">
        <f>IFERROR(INDEX(Mots!$N:$N,MATCH($A163,Mots!$A:$A,0)),"")</f>
        <v>chose</v>
      </c>
      <c r="D163" s="17">
        <f>IFERROR(COUNTA(INDEX(Mots!$E:$E,MATCH($A163,Mots!$A:$A,0)):INDEX(Mots!$K:$K,MATCH($A163,Mots!$A:$A,0))),0)</f>
        <v>1</v>
      </c>
      <c r="E163" s="17" t="str">
        <f>IF(COUNTIF(Classement!$A:$A,$A163)&gt;0,"ok","à faire")</f>
        <v>ok</v>
      </c>
      <c r="F163" s="17" t="str">
        <f>IF(COUNTIF(Tags!$A:$A,$A163)&gt;0,"ok","à faire")</f>
        <v>ok</v>
      </c>
      <c r="G163" s="17" t="str">
        <f>IF(COUNTIF(Phrases!$A:$A,$A163)&gt;0,"ok","à faire")</f>
        <v>ok</v>
      </c>
      <c r="H163" s="17" t="str">
        <f>IF(COUNTIFS(Phrases!$A:$A,$A163,Phrases!$I:$I,"&lt;&gt;")&gt;0,"ok","à faire")</f>
        <v>à faire</v>
      </c>
      <c r="I163" s="17" t="str">
        <f>IF(COUNTIF(Synonymes!$A:$A,$A163)&gt;0,"ok","")</f>
        <v/>
      </c>
      <c r="J163" s="17">
        <f t="shared" si="2"/>
        <v>1</v>
      </c>
    </row>
    <row r="164" spans="1:10" x14ac:dyDescent="0.3">
      <c r="A164" s="17" t="s">
        <v>1131</v>
      </c>
      <c r="B164" s="17" t="str">
        <f>IFERROR(INDEX(Mots!$B:$B,MATCH($A164,Mots!$A:$A,0)),"introuvable")</f>
        <v>le coffre</v>
      </c>
      <c r="C164" s="17" t="str">
        <f>IFERROR(INDEX(Mots!$N:$N,MATCH($A164,Mots!$A:$A,0)),"")</f>
        <v>chose</v>
      </c>
      <c r="D164" s="17">
        <f>IFERROR(COUNTA(INDEX(Mots!$E:$E,MATCH($A164,Mots!$A:$A,0)):INDEX(Mots!$K:$K,MATCH($A164,Mots!$A:$A,0))),0)</f>
        <v>1</v>
      </c>
      <c r="E164" s="17" t="str">
        <f>IF(COUNTIF(Classement!$A:$A,$A164)&gt;0,"ok","à faire")</f>
        <v>ok</v>
      </c>
      <c r="F164" s="17" t="str">
        <f>IF(COUNTIF(Tags!$A:$A,$A164)&gt;0,"ok","à faire")</f>
        <v>ok</v>
      </c>
      <c r="G164" s="17" t="str">
        <f>IF(COUNTIF(Phrases!$A:$A,$A164)&gt;0,"ok","à faire")</f>
        <v>ok</v>
      </c>
      <c r="H164" s="17" t="str">
        <f>IF(COUNTIFS(Phrases!$A:$A,$A164,Phrases!$I:$I,"&lt;&gt;")&gt;0,"ok","à faire")</f>
        <v>à faire</v>
      </c>
      <c r="I164" s="17" t="str">
        <f>IF(COUNTIF(Synonymes!$A:$A,$A164)&gt;0,"ok","")</f>
        <v/>
      </c>
      <c r="J164" s="17">
        <f t="shared" si="2"/>
        <v>1</v>
      </c>
    </row>
    <row r="165" spans="1:10" x14ac:dyDescent="0.3">
      <c r="A165" s="17" t="s">
        <v>1135</v>
      </c>
      <c r="B165" s="17" t="str">
        <f>IFERROR(INDEX(Mots!$B:$B,MATCH($A165,Mots!$A:$A,0)),"introuvable")</f>
        <v>l'huile</v>
      </c>
      <c r="C165" s="17" t="str">
        <f>IFERROR(INDEX(Mots!$N:$N,MATCH($A165,Mots!$A:$A,0)),"")</f>
        <v>chose</v>
      </c>
      <c r="D165" s="17">
        <f>IFERROR(COUNTA(INDEX(Mots!$E:$E,MATCH($A165,Mots!$A:$A,0)):INDEX(Mots!$K:$K,MATCH($A165,Mots!$A:$A,0))),0)</f>
        <v>1</v>
      </c>
      <c r="E165" s="17" t="str">
        <f>IF(COUNTIF(Classement!$A:$A,$A165)&gt;0,"ok","à faire")</f>
        <v>ok</v>
      </c>
      <c r="F165" s="17" t="str">
        <f>IF(COUNTIF(Tags!$A:$A,$A165)&gt;0,"ok","à faire")</f>
        <v>ok</v>
      </c>
      <c r="G165" s="17" t="str">
        <f>IF(COUNTIF(Phrases!$A:$A,$A165)&gt;0,"ok","à faire")</f>
        <v>ok</v>
      </c>
      <c r="H165" s="17" t="str">
        <f>IF(COUNTIFS(Phrases!$A:$A,$A165,Phrases!$I:$I,"&lt;&gt;")&gt;0,"ok","à faire")</f>
        <v>à faire</v>
      </c>
      <c r="I165" s="17" t="str">
        <f>IF(COUNTIF(Synonymes!$A:$A,$A165)&gt;0,"ok","")</f>
        <v/>
      </c>
      <c r="J165" s="17">
        <f t="shared" si="2"/>
        <v>1</v>
      </c>
    </row>
    <row r="166" spans="1:10" x14ac:dyDescent="0.3">
      <c r="A166" s="17" t="s">
        <v>1139</v>
      </c>
      <c r="B166" s="17" t="str">
        <f>IFERROR(INDEX(Mots!$B:$B,MATCH($A166,Mots!$A:$A,0)),"introuvable")</f>
        <v>la graisse</v>
      </c>
      <c r="C166" s="17" t="str">
        <f>IFERROR(INDEX(Mots!$N:$N,MATCH($A166,Mots!$A:$A,0)),"")</f>
        <v>chose</v>
      </c>
      <c r="D166" s="17">
        <f>IFERROR(COUNTA(INDEX(Mots!$E:$E,MATCH($A166,Mots!$A:$A,0)):INDEX(Mots!$K:$K,MATCH($A166,Mots!$A:$A,0))),0)</f>
        <v>1</v>
      </c>
      <c r="E166" s="17" t="str">
        <f>IF(COUNTIF(Classement!$A:$A,$A166)&gt;0,"ok","à faire")</f>
        <v>ok</v>
      </c>
      <c r="F166" s="17" t="str">
        <f>IF(COUNTIF(Tags!$A:$A,$A166)&gt;0,"ok","à faire")</f>
        <v>ok</v>
      </c>
      <c r="G166" s="17" t="str">
        <f>IF(COUNTIF(Phrases!$A:$A,$A166)&gt;0,"ok","à faire")</f>
        <v>ok</v>
      </c>
      <c r="H166" s="17" t="str">
        <f>IF(COUNTIFS(Phrases!$A:$A,$A166,Phrases!$I:$I,"&lt;&gt;")&gt;0,"ok","à faire")</f>
        <v>à faire</v>
      </c>
      <c r="I166" s="17" t="str">
        <f>IF(COUNTIF(Synonymes!$A:$A,$A166)&gt;0,"ok","")</f>
        <v/>
      </c>
      <c r="J166" s="17">
        <f t="shared" si="2"/>
        <v>1</v>
      </c>
    </row>
    <row r="167" spans="1:10" x14ac:dyDescent="0.3">
      <c r="A167" s="17" t="s">
        <v>1143</v>
      </c>
      <c r="B167" s="17" t="str">
        <f>IFERROR(INDEX(Mots!$B:$B,MATCH($A167,Mots!$A:$A,0)),"introuvable")</f>
        <v>les brosses</v>
      </c>
      <c r="C167" s="17" t="str">
        <f>IFERROR(INDEX(Mots!$N:$N,MATCH($A167,Mots!$A:$A,0)),"")</f>
        <v>chose</v>
      </c>
      <c r="D167" s="17">
        <f>IFERROR(COUNTA(INDEX(Mots!$E:$E,MATCH($A167,Mots!$A:$A,0)):INDEX(Mots!$K:$K,MATCH($A167,Mots!$A:$A,0))),0)</f>
        <v>1</v>
      </c>
      <c r="E167" s="17" t="str">
        <f>IF(COUNTIF(Classement!$A:$A,$A167)&gt;0,"ok","à faire")</f>
        <v>ok</v>
      </c>
      <c r="F167" s="17" t="str">
        <f>IF(COUNTIF(Tags!$A:$A,$A167)&gt;0,"ok","à faire")</f>
        <v>ok</v>
      </c>
      <c r="G167" s="17" t="str">
        <f>IF(COUNTIF(Phrases!$A:$A,$A167)&gt;0,"ok","à faire")</f>
        <v>ok</v>
      </c>
      <c r="H167" s="17" t="str">
        <f>IF(COUNTIFS(Phrases!$A:$A,$A167,Phrases!$I:$I,"&lt;&gt;")&gt;0,"ok","à faire")</f>
        <v>à faire</v>
      </c>
      <c r="I167" s="17" t="str">
        <f>IF(COUNTIF(Synonymes!$A:$A,$A167)&gt;0,"ok","")</f>
        <v/>
      </c>
      <c r="J167" s="17">
        <f t="shared" si="2"/>
        <v>1</v>
      </c>
    </row>
    <row r="168" spans="1:10" x14ac:dyDescent="0.3">
      <c r="A168" s="17" t="s">
        <v>1147</v>
      </c>
      <c r="B168" s="17" t="str">
        <f>IFERROR(INDEX(Mots!$B:$B,MATCH($A168,Mots!$A:$A,0)),"introuvable")</f>
        <v>le pupitre</v>
      </c>
      <c r="C168" s="17" t="str">
        <f>IFERROR(INDEX(Mots!$N:$N,MATCH($A168,Mots!$A:$A,0)),"")</f>
        <v>chose</v>
      </c>
      <c r="D168" s="17">
        <f>IFERROR(COUNTA(INDEX(Mots!$E:$E,MATCH($A168,Mots!$A:$A,0)):INDEX(Mots!$K:$K,MATCH($A168,Mots!$A:$A,0))),0)</f>
        <v>1</v>
      </c>
      <c r="E168" s="17" t="str">
        <f>IF(COUNTIF(Classement!$A:$A,$A168)&gt;0,"ok","à faire")</f>
        <v>ok</v>
      </c>
      <c r="F168" s="17" t="str">
        <f>IF(COUNTIF(Tags!$A:$A,$A168)&gt;0,"ok","à faire")</f>
        <v>ok</v>
      </c>
      <c r="G168" s="17" t="str">
        <f>IF(COUNTIF(Phrases!$A:$A,$A168)&gt;0,"ok","à faire")</f>
        <v>ok</v>
      </c>
      <c r="H168" s="17" t="str">
        <f>IF(COUNTIFS(Phrases!$A:$A,$A168,Phrases!$I:$I,"&lt;&gt;")&gt;0,"ok","à faire")</f>
        <v>à faire</v>
      </c>
      <c r="I168" s="17" t="str">
        <f>IF(COUNTIF(Synonymes!$A:$A,$A168)&gt;0,"ok","")</f>
        <v>ok</v>
      </c>
      <c r="J168" s="17">
        <f t="shared" si="2"/>
        <v>1</v>
      </c>
    </row>
    <row r="169" spans="1:10" x14ac:dyDescent="0.3">
      <c r="A169" s="17" t="s">
        <v>1152</v>
      </c>
      <c r="B169" s="17" t="str">
        <f>IFERROR(INDEX(Mots!$B:$B,MATCH($A169,Mots!$A:$A,0)),"introuvable")</f>
        <v>l'uniforme</v>
      </c>
      <c r="C169" s="17" t="str">
        <f>IFERROR(INDEX(Mots!$N:$N,MATCH($A169,Mots!$A:$A,0)),"")</f>
        <v>chose</v>
      </c>
      <c r="D169" s="17">
        <f>IFERROR(COUNTA(INDEX(Mots!$E:$E,MATCH($A169,Mots!$A:$A,0)):INDEX(Mots!$K:$K,MATCH($A169,Mots!$A:$A,0))),0)</f>
        <v>1</v>
      </c>
      <c r="E169" s="17" t="str">
        <f>IF(COUNTIF(Classement!$A:$A,$A169)&gt;0,"ok","à faire")</f>
        <v>ok</v>
      </c>
      <c r="F169" s="17" t="str">
        <f>IF(COUNTIF(Tags!$A:$A,$A169)&gt;0,"ok","à faire")</f>
        <v>ok</v>
      </c>
      <c r="G169" s="17" t="str">
        <f>IF(COUNTIF(Phrases!$A:$A,$A169)&gt;0,"ok","à faire")</f>
        <v>ok</v>
      </c>
      <c r="H169" s="17" t="str">
        <f>IF(COUNTIFS(Phrases!$A:$A,$A169,Phrases!$I:$I,"&lt;&gt;")&gt;0,"ok","à faire")</f>
        <v>à faire</v>
      </c>
      <c r="I169" s="17" t="str">
        <f>IF(COUNTIF(Synonymes!$A:$A,$A169)&gt;0,"ok","")</f>
        <v>ok</v>
      </c>
      <c r="J169" s="17">
        <f t="shared" si="2"/>
        <v>1</v>
      </c>
    </row>
    <row r="170" spans="1:10" x14ac:dyDescent="0.3">
      <c r="A170" s="17" t="s">
        <v>1157</v>
      </c>
      <c r="B170" s="17" t="str">
        <f>IFERROR(INDEX(Mots!$B:$B,MATCH($A170,Mots!$A:$A,0)),"introuvable")</f>
        <v>des pâtes</v>
      </c>
      <c r="C170" s="17" t="str">
        <f>IFERROR(INDEX(Mots!$N:$N,MATCH($A170,Mots!$A:$A,0)),"")</f>
        <v>chose</v>
      </c>
      <c r="D170" s="17">
        <f>IFERROR(COUNTA(INDEX(Mots!$E:$E,MATCH($A170,Mots!$A:$A,0)):INDEX(Mots!$K:$K,MATCH($A170,Mots!$A:$A,0))),0)</f>
        <v>1</v>
      </c>
      <c r="E170" s="17" t="str">
        <f>IF(COUNTIF(Classement!$A:$A,$A170)&gt;0,"ok","à faire")</f>
        <v>ok</v>
      </c>
      <c r="F170" s="17" t="str">
        <f>IF(COUNTIF(Tags!$A:$A,$A170)&gt;0,"ok","à faire")</f>
        <v>ok</v>
      </c>
      <c r="G170" s="17" t="str">
        <f>IF(COUNTIF(Phrases!$A:$A,$A170)&gt;0,"ok","à faire")</f>
        <v>ok</v>
      </c>
      <c r="H170" s="17" t="str">
        <f>IF(COUNTIFS(Phrases!$A:$A,$A170,Phrases!$I:$I,"&lt;&gt;")&gt;0,"ok","à faire")</f>
        <v>à faire</v>
      </c>
      <c r="I170" s="17" t="str">
        <f>IF(COUNTIF(Synonymes!$A:$A,$A170)&gt;0,"ok","")</f>
        <v/>
      </c>
      <c r="J170" s="17">
        <f t="shared" si="2"/>
        <v>1</v>
      </c>
    </row>
    <row r="171" spans="1:10" x14ac:dyDescent="0.3">
      <c r="A171" s="17" t="s">
        <v>1161</v>
      </c>
      <c r="B171" s="17" t="str">
        <f>IFERROR(INDEX(Mots!$B:$B,MATCH($A171,Mots!$A:$A,0)),"introuvable")</f>
        <v>le riz</v>
      </c>
      <c r="C171" s="17" t="str">
        <f>IFERROR(INDEX(Mots!$N:$N,MATCH($A171,Mots!$A:$A,0)),"")</f>
        <v>chose</v>
      </c>
      <c r="D171" s="17">
        <f>IFERROR(COUNTA(INDEX(Mots!$E:$E,MATCH($A171,Mots!$A:$A,0)):INDEX(Mots!$K:$K,MATCH($A171,Mots!$A:$A,0))),0)</f>
        <v>1</v>
      </c>
      <c r="E171" s="17" t="str">
        <f>IF(COUNTIF(Classement!$A:$A,$A171)&gt;0,"ok","à faire")</f>
        <v>ok</v>
      </c>
      <c r="F171" s="17" t="str">
        <f>IF(COUNTIF(Tags!$A:$A,$A171)&gt;0,"ok","à faire")</f>
        <v>ok</v>
      </c>
      <c r="G171" s="17" t="str">
        <f>IF(COUNTIF(Phrases!$A:$A,$A171)&gt;0,"ok","à faire")</f>
        <v>ok</v>
      </c>
      <c r="H171" s="17" t="str">
        <f>IF(COUNTIFS(Phrases!$A:$A,$A171,Phrases!$I:$I,"&lt;&gt;")&gt;0,"ok","à faire")</f>
        <v>à faire</v>
      </c>
      <c r="I171" s="17" t="str">
        <f>IF(COUNTIF(Synonymes!$A:$A,$A171)&gt;0,"ok","")</f>
        <v/>
      </c>
      <c r="J171" s="17">
        <f t="shared" si="2"/>
        <v>1</v>
      </c>
    </row>
    <row r="172" spans="1:10" x14ac:dyDescent="0.3">
      <c r="A172" s="17" t="s">
        <v>1166</v>
      </c>
      <c r="B172" s="17" t="str">
        <f>IFERROR(INDEX(Mots!$B:$B,MATCH($A172,Mots!$A:$A,0)),"introuvable")</f>
        <v>Bagheera, le chat d'Emma</v>
      </c>
      <c r="C172" s="17" t="str">
        <f>IFERROR(INDEX(Mots!$N:$N,MATCH($A172,Mots!$A:$A,0)),"")</f>
        <v>animal</v>
      </c>
      <c r="D172" s="17">
        <f>IFERROR(COUNTA(INDEX(Mots!$E:$E,MATCH($A172,Mots!$A:$A,0)):INDEX(Mots!$K:$K,MATCH($A172,Mots!$A:$A,0))),0)</f>
        <v>1</v>
      </c>
      <c r="E172" s="17" t="str">
        <f>IF(COUNTIF(Classement!$A:$A,$A172)&gt;0,"ok","à faire")</f>
        <v>ok</v>
      </c>
      <c r="F172" s="17" t="str">
        <f>IF(COUNTIF(Tags!$A:$A,$A172)&gt;0,"ok","à faire")</f>
        <v>ok</v>
      </c>
      <c r="G172" s="17" t="str">
        <f>IF(COUNTIF(Phrases!$A:$A,$A172)&gt;0,"ok","à faire")</f>
        <v>à faire</v>
      </c>
      <c r="H172" s="17" t="str">
        <f>IF(COUNTIFS(Phrases!$A:$A,$A172,Phrases!$I:$I,"&lt;&gt;")&gt;0,"ok","à faire")</f>
        <v>à faire</v>
      </c>
      <c r="I172" s="17" t="str">
        <f>IF(COUNTIF(Synonymes!$A:$A,$A172)&gt;0,"ok","")</f>
        <v/>
      </c>
      <c r="J172" s="17">
        <f t="shared" si="2"/>
        <v>2</v>
      </c>
    </row>
    <row r="173" spans="1:10" x14ac:dyDescent="0.3">
      <c r="A173" s="17" t="s">
        <v>1170</v>
      </c>
      <c r="B173" s="17" t="str">
        <f>IFERROR(INDEX(Mots!$B:$B,MATCH($A173,Mots!$A:$A,0)),"introuvable")</f>
        <v>Naya, la chienne de Sandrine</v>
      </c>
      <c r="C173" s="17" t="str">
        <f>IFERROR(INDEX(Mots!$N:$N,MATCH($A173,Mots!$A:$A,0)),"")</f>
        <v>animal</v>
      </c>
      <c r="D173" s="17">
        <f>IFERROR(COUNTA(INDEX(Mots!$E:$E,MATCH($A173,Mots!$A:$A,0)):INDEX(Mots!$K:$K,MATCH($A173,Mots!$A:$A,0))),0)</f>
        <v>2</v>
      </c>
      <c r="E173" s="17" t="str">
        <f>IF(COUNTIF(Classement!$A:$A,$A173)&gt;0,"ok","à faire")</f>
        <v>ok</v>
      </c>
      <c r="F173" s="17" t="str">
        <f>IF(COUNTIF(Tags!$A:$A,$A173)&gt;0,"ok","à faire")</f>
        <v>ok</v>
      </c>
      <c r="G173" s="17" t="str">
        <f>IF(COUNTIF(Phrases!$A:$A,$A173)&gt;0,"ok","à faire")</f>
        <v>à faire</v>
      </c>
      <c r="H173" s="17" t="str">
        <f>IF(COUNTIFS(Phrases!$A:$A,$A173,Phrases!$I:$I,"&lt;&gt;")&gt;0,"ok","à faire")</f>
        <v>à faire</v>
      </c>
      <c r="I173" s="17" t="str">
        <f>IF(COUNTIF(Synonymes!$A:$A,$A173)&gt;0,"ok","")</f>
        <v/>
      </c>
      <c r="J173" s="17">
        <f t="shared" si="2"/>
        <v>2</v>
      </c>
    </row>
    <row r="174" spans="1:10" x14ac:dyDescent="0.3">
      <c r="A174" s="17" t="s">
        <v>1175</v>
      </c>
      <c r="B174" s="17" t="str">
        <f>IFERROR(INDEX(Mots!$B:$B,MATCH($A174,Mots!$A:$A,0)),"introuvable")</f>
        <v>la vache</v>
      </c>
      <c r="C174" s="17" t="str">
        <f>IFERROR(INDEX(Mots!$N:$N,MATCH($A174,Mots!$A:$A,0)),"")</f>
        <v>animal</v>
      </c>
      <c r="D174" s="17">
        <f>IFERROR(COUNTA(INDEX(Mots!$E:$E,MATCH($A174,Mots!$A:$A,0)):INDEX(Mots!$K:$K,MATCH($A174,Mots!$A:$A,0))),0)</f>
        <v>1</v>
      </c>
      <c r="E174" s="17" t="str">
        <f>IF(COUNTIF(Classement!$A:$A,$A174)&gt;0,"ok","à faire")</f>
        <v>ok</v>
      </c>
      <c r="F174" s="17" t="str">
        <f>IF(COUNTIF(Tags!$A:$A,$A174)&gt;0,"ok","à faire")</f>
        <v>ok</v>
      </c>
      <c r="G174" s="17" t="str">
        <f>IF(COUNTIF(Phrases!$A:$A,$A174)&gt;0,"ok","à faire")</f>
        <v>ok</v>
      </c>
      <c r="H174" s="17" t="str">
        <f>IF(COUNTIFS(Phrases!$A:$A,$A174,Phrases!$I:$I,"&lt;&gt;")&gt;0,"ok","à faire")</f>
        <v>à faire</v>
      </c>
      <c r="I174" s="17" t="str">
        <f>IF(COUNTIF(Synonymes!$A:$A,$A174)&gt;0,"ok","")</f>
        <v>ok</v>
      </c>
      <c r="J174" s="17">
        <f t="shared" si="2"/>
        <v>1</v>
      </c>
    </row>
    <row r="175" spans="1:10" x14ac:dyDescent="0.3">
      <c r="A175" s="17" t="s">
        <v>1180</v>
      </c>
      <c r="B175" s="17" t="str">
        <f>IFERROR(INDEX(Mots!$B:$B,MATCH($A175,Mots!$A:$A,0)),"introuvable")</f>
        <v>le cochon</v>
      </c>
      <c r="C175" s="17" t="str">
        <f>IFERROR(INDEX(Mots!$N:$N,MATCH($A175,Mots!$A:$A,0)),"")</f>
        <v>animal</v>
      </c>
      <c r="D175" s="17">
        <f>IFERROR(COUNTA(INDEX(Mots!$E:$E,MATCH($A175,Mots!$A:$A,0)):INDEX(Mots!$K:$K,MATCH($A175,Mots!$A:$A,0))),0)</f>
        <v>1</v>
      </c>
      <c r="E175" s="17" t="str">
        <f>IF(COUNTIF(Classement!$A:$A,$A175)&gt;0,"ok","à faire")</f>
        <v>ok</v>
      </c>
      <c r="F175" s="17" t="str">
        <f>IF(COUNTIF(Tags!$A:$A,$A175)&gt;0,"ok","à faire")</f>
        <v>ok</v>
      </c>
      <c r="G175" s="17" t="str">
        <f>IF(COUNTIF(Phrases!$A:$A,$A175)&gt;0,"ok","à faire")</f>
        <v>ok</v>
      </c>
      <c r="H175" s="17" t="str">
        <f>IF(COUNTIFS(Phrases!$A:$A,$A175,Phrases!$I:$I,"&lt;&gt;")&gt;0,"ok","à faire")</f>
        <v>à faire</v>
      </c>
      <c r="I175" s="17" t="str">
        <f>IF(COUNTIF(Synonymes!$A:$A,$A175)&gt;0,"ok","")</f>
        <v>ok</v>
      </c>
      <c r="J175" s="17">
        <f t="shared" si="2"/>
        <v>1</v>
      </c>
    </row>
    <row r="176" spans="1:10" x14ac:dyDescent="0.3">
      <c r="A176" s="17" t="s">
        <v>1185</v>
      </c>
      <c r="B176" s="17" t="str">
        <f>IFERROR(INDEX(Mots!$B:$B,MATCH($A176,Mots!$A:$A,0)),"introuvable")</f>
        <v>le mouton</v>
      </c>
      <c r="C176" s="17" t="str">
        <f>IFERROR(INDEX(Mots!$N:$N,MATCH($A176,Mots!$A:$A,0)),"")</f>
        <v>animal</v>
      </c>
      <c r="D176" s="17">
        <f>IFERROR(COUNTA(INDEX(Mots!$E:$E,MATCH($A176,Mots!$A:$A,0)):INDEX(Mots!$K:$K,MATCH($A176,Mots!$A:$A,0))),0)</f>
        <v>1</v>
      </c>
      <c r="E176" s="17" t="str">
        <f>IF(COUNTIF(Classement!$A:$A,$A176)&gt;0,"ok","à faire")</f>
        <v>ok</v>
      </c>
      <c r="F176" s="17" t="str">
        <f>IF(COUNTIF(Tags!$A:$A,$A176)&gt;0,"ok","à faire")</f>
        <v>ok</v>
      </c>
      <c r="G176" s="17" t="str">
        <f>IF(COUNTIF(Phrases!$A:$A,$A176)&gt;0,"ok","à faire")</f>
        <v>ok</v>
      </c>
      <c r="H176" s="17" t="str">
        <f>IF(COUNTIFS(Phrases!$A:$A,$A176,Phrases!$I:$I,"&lt;&gt;")&gt;0,"ok","à faire")</f>
        <v>à faire</v>
      </c>
      <c r="I176" s="17" t="str">
        <f>IF(COUNTIF(Synonymes!$A:$A,$A176)&gt;0,"ok","")</f>
        <v>ok</v>
      </c>
      <c r="J176" s="17">
        <f t="shared" si="2"/>
        <v>1</v>
      </c>
    </row>
    <row r="177" spans="1:10" x14ac:dyDescent="0.3">
      <c r="A177" s="17" t="s">
        <v>1190</v>
      </c>
      <c r="B177" s="17" t="str">
        <f>IFERROR(INDEX(Mots!$B:$B,MATCH($A177,Mots!$A:$A,0)),"introuvable")</f>
        <v>la poule</v>
      </c>
      <c r="C177" s="17" t="str">
        <f>IFERROR(INDEX(Mots!$N:$N,MATCH($A177,Mots!$A:$A,0)),"")</f>
        <v>animal</v>
      </c>
      <c r="D177" s="17">
        <f>IFERROR(COUNTA(INDEX(Mots!$E:$E,MATCH($A177,Mots!$A:$A,0)):INDEX(Mots!$K:$K,MATCH($A177,Mots!$A:$A,0))),0)</f>
        <v>1</v>
      </c>
      <c r="E177" s="17" t="str">
        <f>IF(COUNTIF(Classement!$A:$A,$A177)&gt;0,"ok","à faire")</f>
        <v>ok</v>
      </c>
      <c r="F177" s="17" t="str">
        <f>IF(COUNTIF(Tags!$A:$A,$A177)&gt;0,"ok","à faire")</f>
        <v>ok</v>
      </c>
      <c r="G177" s="17" t="str">
        <f>IF(COUNTIF(Phrases!$A:$A,$A177)&gt;0,"ok","à faire")</f>
        <v>ok</v>
      </c>
      <c r="H177" s="17" t="str">
        <f>IF(COUNTIFS(Phrases!$A:$A,$A177,Phrases!$I:$I,"&lt;&gt;")&gt;0,"ok","à faire")</f>
        <v>à faire</v>
      </c>
      <c r="I177" s="17" t="str">
        <f>IF(COUNTIF(Synonymes!$A:$A,$A177)&gt;0,"ok","")</f>
        <v>ok</v>
      </c>
      <c r="J177" s="17">
        <f t="shared" si="2"/>
        <v>1</v>
      </c>
    </row>
    <row r="178" spans="1:10" x14ac:dyDescent="0.3">
      <c r="A178" s="17" t="s">
        <v>1195</v>
      </c>
      <c r="B178" s="17" t="str">
        <f>IFERROR(INDEX(Mots!$B:$B,MATCH($A178,Mots!$A:$A,0)),"introuvable")</f>
        <v>la chèvre</v>
      </c>
      <c r="C178" s="17" t="str">
        <f>IFERROR(INDEX(Mots!$N:$N,MATCH($A178,Mots!$A:$A,0)),"")</f>
        <v>animal</v>
      </c>
      <c r="D178" s="17">
        <f>IFERROR(COUNTA(INDEX(Mots!$E:$E,MATCH($A178,Mots!$A:$A,0)):INDEX(Mots!$K:$K,MATCH($A178,Mots!$A:$A,0))),0)</f>
        <v>5</v>
      </c>
      <c r="E178" s="17" t="str">
        <f>IF(COUNTIF(Classement!$A:$A,$A178)&gt;0,"ok","à faire")</f>
        <v>ok</v>
      </c>
      <c r="F178" s="17" t="str">
        <f>IF(COUNTIF(Tags!$A:$A,$A178)&gt;0,"ok","à faire")</f>
        <v>ok</v>
      </c>
      <c r="G178" s="17" t="str">
        <f>IF(COUNTIF(Phrases!$A:$A,$A178)&gt;0,"ok","à faire")</f>
        <v>ok</v>
      </c>
      <c r="H178" s="17" t="str">
        <f>IF(COUNTIFS(Phrases!$A:$A,$A178,Phrases!$I:$I,"&lt;&gt;")&gt;0,"ok","à faire")</f>
        <v>à faire</v>
      </c>
      <c r="I178" s="17" t="str">
        <f>IF(COUNTIF(Synonymes!$A:$A,$A178)&gt;0,"ok","")</f>
        <v/>
      </c>
      <c r="J178" s="17">
        <f t="shared" si="2"/>
        <v>1</v>
      </c>
    </row>
    <row r="179" spans="1:10" x14ac:dyDescent="0.3">
      <c r="A179" s="17" t="s">
        <v>1204</v>
      </c>
      <c r="B179" s="17" t="str">
        <f>IFERROR(INDEX(Mots!$B:$B,MATCH($A179,Mots!$A:$A,0)),"introuvable")</f>
        <v>le cheval</v>
      </c>
      <c r="C179" s="17" t="str">
        <f>IFERROR(INDEX(Mots!$N:$N,MATCH($A179,Mots!$A:$A,0)),"")</f>
        <v>animal</v>
      </c>
      <c r="D179" s="17">
        <f>IFERROR(COUNTA(INDEX(Mots!$E:$E,MATCH($A179,Mots!$A:$A,0)):INDEX(Mots!$K:$K,MATCH($A179,Mots!$A:$A,0))),0)</f>
        <v>1</v>
      </c>
      <c r="E179" s="17" t="str">
        <f>IF(COUNTIF(Classement!$A:$A,$A179)&gt;0,"ok","à faire")</f>
        <v>ok</v>
      </c>
      <c r="F179" s="17" t="str">
        <f>IF(COUNTIF(Tags!$A:$A,$A179)&gt;0,"ok","à faire")</f>
        <v>ok</v>
      </c>
      <c r="G179" s="17" t="str">
        <f>IF(COUNTIF(Phrases!$A:$A,$A179)&gt;0,"ok","à faire")</f>
        <v>ok</v>
      </c>
      <c r="H179" s="17" t="str">
        <f>IF(COUNTIFS(Phrases!$A:$A,$A179,Phrases!$I:$I,"&lt;&gt;")&gt;0,"ok","à faire")</f>
        <v>à faire</v>
      </c>
      <c r="I179" s="17" t="str">
        <f>IF(COUNTIF(Synonymes!$A:$A,$A179)&gt;0,"ok","")</f>
        <v/>
      </c>
      <c r="J179" s="17">
        <f t="shared" si="2"/>
        <v>1</v>
      </c>
    </row>
    <row r="180" spans="1:10" x14ac:dyDescent="0.3">
      <c r="A180" s="17" t="s">
        <v>1209</v>
      </c>
      <c r="B180" s="17" t="str">
        <f>IFERROR(INDEX(Mots!$B:$B,MATCH($A180,Mots!$A:$A,0)),"introuvable")</f>
        <v>le bassin</v>
      </c>
      <c r="C180" s="17" t="str">
        <f>IFERROR(INDEX(Mots!$N:$N,MATCH($A180,Mots!$A:$A,0)),"")</f>
        <v>animal</v>
      </c>
      <c r="D180" s="17">
        <f>IFERROR(COUNTA(INDEX(Mots!$E:$E,MATCH($A180,Mots!$A:$A,0)):INDEX(Mots!$K:$K,MATCH($A180,Mots!$A:$A,0))),0)</f>
        <v>1</v>
      </c>
      <c r="E180" s="17" t="str">
        <f>IF(COUNTIF(Classement!$A:$A,$A180)&gt;0,"ok","à faire")</f>
        <v>ok</v>
      </c>
      <c r="F180" s="17" t="str">
        <f>IF(COUNTIF(Tags!$A:$A,$A180)&gt;0,"ok","à faire")</f>
        <v>ok</v>
      </c>
      <c r="G180" s="17" t="str">
        <f>IF(COUNTIF(Phrases!$A:$A,$A180)&gt;0,"ok","à faire")</f>
        <v>à faire</v>
      </c>
      <c r="H180" s="17" t="str">
        <f>IF(COUNTIFS(Phrases!$A:$A,$A180,Phrases!$I:$I,"&lt;&gt;")&gt;0,"ok","à faire")</f>
        <v>à faire</v>
      </c>
      <c r="I180" s="17" t="str">
        <f>IF(COUNTIF(Synonymes!$A:$A,$A180)&gt;0,"ok","")</f>
        <v/>
      </c>
      <c r="J180" s="17">
        <f t="shared" si="2"/>
        <v>2</v>
      </c>
    </row>
    <row r="181" spans="1:10" x14ac:dyDescent="0.3">
      <c r="A181" s="17" t="s">
        <v>1212</v>
      </c>
      <c r="B181" s="17" t="str">
        <f>IFERROR(INDEX(Mots!$B:$B,MATCH($A181,Mots!$A:$A,0)),"introuvable")</f>
        <v>le chat</v>
      </c>
      <c r="C181" s="17" t="str">
        <f>IFERROR(INDEX(Mots!$N:$N,MATCH($A181,Mots!$A:$A,0)),"")</f>
        <v>animal</v>
      </c>
      <c r="D181" s="17">
        <f>IFERROR(COUNTA(INDEX(Mots!$E:$E,MATCH($A181,Mots!$A:$A,0)):INDEX(Mots!$K:$K,MATCH($A181,Mots!$A:$A,0))),0)</f>
        <v>1</v>
      </c>
      <c r="E181" s="17" t="str">
        <f>IF(COUNTIF(Classement!$A:$A,$A181)&gt;0,"ok","à faire")</f>
        <v>ok</v>
      </c>
      <c r="F181" s="17" t="str">
        <f>IF(COUNTIF(Tags!$A:$A,$A181)&gt;0,"ok","à faire")</f>
        <v>ok</v>
      </c>
      <c r="G181" s="17" t="str">
        <f>IF(COUNTIF(Phrases!$A:$A,$A181)&gt;0,"ok","à faire")</f>
        <v>ok</v>
      </c>
      <c r="H181" s="17" t="str">
        <f>IF(COUNTIFS(Phrases!$A:$A,$A181,Phrases!$I:$I,"&lt;&gt;")&gt;0,"ok","à faire")</f>
        <v>à faire</v>
      </c>
      <c r="I181" s="17" t="str">
        <f>IF(COUNTIF(Synonymes!$A:$A,$A181)&gt;0,"ok","")</f>
        <v>ok</v>
      </c>
      <c r="J181" s="17">
        <f t="shared" si="2"/>
        <v>1</v>
      </c>
    </row>
    <row r="182" spans="1:10" x14ac:dyDescent="0.3">
      <c r="A182" s="17" t="s">
        <v>1216</v>
      </c>
      <c r="B182" s="17" t="str">
        <f>IFERROR(INDEX(Mots!$B:$B,MATCH($A182,Mots!$A:$A,0)),"introuvable")</f>
        <v>le chien</v>
      </c>
      <c r="C182" s="17" t="str">
        <f>IFERROR(INDEX(Mots!$N:$N,MATCH($A182,Mots!$A:$A,0)),"")</f>
        <v>animal</v>
      </c>
      <c r="D182" s="17">
        <f>IFERROR(COUNTA(INDEX(Mots!$E:$E,MATCH($A182,Mots!$A:$A,0)):INDEX(Mots!$K:$K,MATCH($A182,Mots!$A:$A,0))),0)</f>
        <v>1</v>
      </c>
      <c r="E182" s="17" t="str">
        <f>IF(COUNTIF(Classement!$A:$A,$A182)&gt;0,"ok","à faire")</f>
        <v>ok</v>
      </c>
      <c r="F182" s="17" t="str">
        <f>IF(COUNTIF(Tags!$A:$A,$A182)&gt;0,"ok","à faire")</f>
        <v>ok</v>
      </c>
      <c r="G182" s="17" t="str">
        <f>IF(COUNTIF(Phrases!$A:$A,$A182)&gt;0,"ok","à faire")</f>
        <v>ok</v>
      </c>
      <c r="H182" s="17" t="str">
        <f>IF(COUNTIFS(Phrases!$A:$A,$A182,Phrases!$I:$I,"&lt;&gt;")&gt;0,"ok","à faire")</f>
        <v>à faire</v>
      </c>
      <c r="I182" s="17" t="str">
        <f>IF(COUNTIF(Synonymes!$A:$A,$A182)&gt;0,"ok","")</f>
        <v>ok</v>
      </c>
      <c r="J182" s="17">
        <f t="shared" si="2"/>
        <v>1</v>
      </c>
    </row>
    <row r="183" spans="1:10" x14ac:dyDescent="0.3">
      <c r="A183" s="17" t="s">
        <v>1220</v>
      </c>
      <c r="B183" s="17" t="str">
        <f>IFERROR(INDEX(Mots!$B:$B,MATCH($A183,Mots!$A:$A,0)),"introuvable")</f>
        <v>le lapin</v>
      </c>
      <c r="C183" s="17" t="str">
        <f>IFERROR(INDEX(Mots!$N:$N,MATCH($A183,Mots!$A:$A,0)),"")</f>
        <v>animal</v>
      </c>
      <c r="D183" s="17">
        <f>IFERROR(COUNTA(INDEX(Mots!$E:$E,MATCH($A183,Mots!$A:$A,0)):INDEX(Mots!$K:$K,MATCH($A183,Mots!$A:$A,0))),0)</f>
        <v>5</v>
      </c>
      <c r="E183" s="17" t="str">
        <f>IF(COUNTIF(Classement!$A:$A,$A183)&gt;0,"ok","à faire")</f>
        <v>ok</v>
      </c>
      <c r="F183" s="17" t="str">
        <f>IF(COUNTIF(Tags!$A:$A,$A183)&gt;0,"ok","à faire")</f>
        <v>ok</v>
      </c>
      <c r="G183" s="17" t="str">
        <f>IF(COUNTIF(Phrases!$A:$A,$A183)&gt;0,"ok","à faire")</f>
        <v>ok</v>
      </c>
      <c r="H183" s="17" t="str">
        <f>IF(COUNTIFS(Phrases!$A:$A,$A183,Phrases!$I:$I,"&lt;&gt;")&gt;0,"ok","à faire")</f>
        <v>à faire</v>
      </c>
      <c r="I183" s="17" t="str">
        <f>IF(COUNTIF(Synonymes!$A:$A,$A183)&gt;0,"ok","")</f>
        <v/>
      </c>
      <c r="J183" s="17">
        <f t="shared" si="2"/>
        <v>1</v>
      </c>
    </row>
    <row r="184" spans="1:10" x14ac:dyDescent="0.3">
      <c r="A184" s="17" t="s">
        <v>1229</v>
      </c>
      <c r="B184" s="17" t="str">
        <f>IFERROR(INDEX(Mots!$B:$B,MATCH($A184,Mots!$A:$A,0)),"introuvable")</f>
        <v>la souris</v>
      </c>
      <c r="C184" s="17" t="str">
        <f>IFERROR(INDEX(Mots!$N:$N,MATCH($A184,Mots!$A:$A,0)),"")</f>
        <v>animal</v>
      </c>
      <c r="D184" s="17">
        <f>IFERROR(COUNTA(INDEX(Mots!$E:$E,MATCH($A184,Mots!$A:$A,0)):INDEX(Mots!$K:$K,MATCH($A184,Mots!$A:$A,0))),0)</f>
        <v>5</v>
      </c>
      <c r="E184" s="17" t="str">
        <f>IF(COUNTIF(Classement!$A:$A,$A184)&gt;0,"ok","à faire")</f>
        <v>ok</v>
      </c>
      <c r="F184" s="17" t="str">
        <f>IF(COUNTIF(Tags!$A:$A,$A184)&gt;0,"ok","à faire")</f>
        <v>ok</v>
      </c>
      <c r="G184" s="17" t="str">
        <f>IF(COUNTIF(Phrases!$A:$A,$A184)&gt;0,"ok","à faire")</f>
        <v>ok</v>
      </c>
      <c r="H184" s="17" t="str">
        <f>IF(COUNTIFS(Phrases!$A:$A,$A184,Phrases!$I:$I,"&lt;&gt;")&gt;0,"ok","à faire")</f>
        <v>à faire</v>
      </c>
      <c r="I184" s="17" t="str">
        <f>IF(COUNTIF(Synonymes!$A:$A,$A184)&gt;0,"ok","")</f>
        <v/>
      </c>
      <c r="J184" s="17">
        <f t="shared" si="2"/>
        <v>1</v>
      </c>
    </row>
    <row r="185" spans="1:10" x14ac:dyDescent="0.3">
      <c r="A185" s="17" t="s">
        <v>1238</v>
      </c>
      <c r="B185" s="17" t="str">
        <f>IFERROR(INDEX(Mots!$B:$B,MATCH($A185,Mots!$A:$A,0)),"introuvable")</f>
        <v>l'écureuil</v>
      </c>
      <c r="C185" s="17" t="str">
        <f>IFERROR(INDEX(Mots!$N:$N,MATCH($A185,Mots!$A:$A,0)),"")</f>
        <v>animal</v>
      </c>
      <c r="D185" s="17">
        <f>IFERROR(COUNTA(INDEX(Mots!$E:$E,MATCH($A185,Mots!$A:$A,0)):INDEX(Mots!$K:$K,MATCH($A185,Mots!$A:$A,0))),0)</f>
        <v>1</v>
      </c>
      <c r="E185" s="17" t="str">
        <f>IF(COUNTIF(Classement!$A:$A,$A185)&gt;0,"ok","à faire")</f>
        <v>ok</v>
      </c>
      <c r="F185" s="17" t="str">
        <f>IF(COUNTIF(Tags!$A:$A,$A185)&gt;0,"ok","à faire")</f>
        <v>ok</v>
      </c>
      <c r="G185" s="17" t="str">
        <f>IF(COUNTIF(Phrases!$A:$A,$A185)&gt;0,"ok","à faire")</f>
        <v>ok</v>
      </c>
      <c r="H185" s="17" t="str">
        <f>IF(COUNTIFS(Phrases!$A:$A,$A185,Phrases!$I:$I,"&lt;&gt;")&gt;0,"ok","à faire")</f>
        <v>à faire</v>
      </c>
      <c r="I185" s="17" t="str">
        <f>IF(COUNTIF(Synonymes!$A:$A,$A185)&gt;0,"ok","")</f>
        <v/>
      </c>
      <c r="J185" s="17">
        <f t="shared" si="2"/>
        <v>1</v>
      </c>
    </row>
    <row r="186" spans="1:10" x14ac:dyDescent="0.3">
      <c r="A186" s="17" t="s">
        <v>1243</v>
      </c>
      <c r="B186" s="17" t="str">
        <f>IFERROR(INDEX(Mots!$B:$B,MATCH($A186,Mots!$A:$A,0)),"introuvable")</f>
        <v>la marmotte</v>
      </c>
      <c r="C186" s="17" t="str">
        <f>IFERROR(INDEX(Mots!$N:$N,MATCH($A186,Mots!$A:$A,0)),"")</f>
        <v>animal</v>
      </c>
      <c r="D186" s="17">
        <f>IFERROR(COUNTA(INDEX(Mots!$E:$E,MATCH($A186,Mots!$A:$A,0)):INDEX(Mots!$K:$K,MATCH($A186,Mots!$A:$A,0))),0)</f>
        <v>1</v>
      </c>
      <c r="E186" s="17" t="str">
        <f>IF(COUNTIF(Classement!$A:$A,$A186)&gt;0,"ok","à faire")</f>
        <v>ok</v>
      </c>
      <c r="F186" s="17" t="str">
        <f>IF(COUNTIF(Tags!$A:$A,$A186)&gt;0,"ok","à faire")</f>
        <v>ok</v>
      </c>
      <c r="G186" s="17" t="str">
        <f>IF(COUNTIF(Phrases!$A:$A,$A186)&gt;0,"ok","à faire")</f>
        <v>ok</v>
      </c>
      <c r="H186" s="17" t="str">
        <f>IF(COUNTIFS(Phrases!$A:$A,$A186,Phrases!$I:$I,"&lt;&gt;")&gt;0,"ok","à faire")</f>
        <v>à faire</v>
      </c>
      <c r="I186" s="17" t="str">
        <f>IF(COUNTIF(Synonymes!$A:$A,$A186)&gt;0,"ok","")</f>
        <v/>
      </c>
      <c r="J186" s="17">
        <f t="shared" si="2"/>
        <v>1</v>
      </c>
    </row>
    <row r="187" spans="1:10" x14ac:dyDescent="0.3">
      <c r="A187" s="17" t="s">
        <v>1248</v>
      </c>
      <c r="B187" s="17" t="str">
        <f>IFERROR(INDEX(Mots!$B:$B,MATCH($A187,Mots!$A:$A,0)),"introuvable")</f>
        <v>le loup</v>
      </c>
      <c r="C187" s="17" t="str">
        <f>IFERROR(INDEX(Mots!$N:$N,MATCH($A187,Mots!$A:$A,0)),"")</f>
        <v>animal</v>
      </c>
      <c r="D187" s="17">
        <f>IFERROR(COUNTA(INDEX(Mots!$E:$E,MATCH($A187,Mots!$A:$A,0)):INDEX(Mots!$K:$K,MATCH($A187,Mots!$A:$A,0))),0)</f>
        <v>1</v>
      </c>
      <c r="E187" s="17" t="str">
        <f>IF(COUNTIF(Classement!$A:$A,$A187)&gt;0,"ok","à faire")</f>
        <v>ok</v>
      </c>
      <c r="F187" s="17" t="str">
        <f>IF(COUNTIF(Tags!$A:$A,$A187)&gt;0,"ok","à faire")</f>
        <v>ok</v>
      </c>
      <c r="G187" s="17" t="str">
        <f>IF(COUNTIF(Phrases!$A:$A,$A187)&gt;0,"ok","à faire")</f>
        <v>ok</v>
      </c>
      <c r="H187" s="17" t="str">
        <f>IF(COUNTIFS(Phrases!$A:$A,$A187,Phrases!$I:$I,"&lt;&gt;")&gt;0,"ok","à faire")</f>
        <v>à faire</v>
      </c>
      <c r="I187" s="17" t="str">
        <f>IF(COUNTIF(Synonymes!$A:$A,$A187)&gt;0,"ok","")</f>
        <v/>
      </c>
      <c r="J187" s="17">
        <f t="shared" si="2"/>
        <v>1</v>
      </c>
    </row>
    <row r="188" spans="1:10" x14ac:dyDescent="0.3">
      <c r="A188" s="17" t="s">
        <v>1252</v>
      </c>
      <c r="B188" s="17" t="str">
        <f>IFERROR(INDEX(Mots!$B:$B,MATCH($A188,Mots!$A:$A,0)),"introuvable")</f>
        <v>le chevreuil</v>
      </c>
      <c r="C188" s="17" t="str">
        <f>IFERROR(INDEX(Mots!$N:$N,MATCH($A188,Mots!$A:$A,0)),"")</f>
        <v>animal</v>
      </c>
      <c r="D188" s="17">
        <f>IFERROR(COUNTA(INDEX(Mots!$E:$E,MATCH($A188,Mots!$A:$A,0)):INDEX(Mots!$K:$K,MATCH($A188,Mots!$A:$A,0))),0)</f>
        <v>1</v>
      </c>
      <c r="E188" s="17" t="str">
        <f>IF(COUNTIF(Classement!$A:$A,$A188)&gt;0,"ok","à faire")</f>
        <v>ok</v>
      </c>
      <c r="F188" s="17" t="str">
        <f>IF(COUNTIF(Tags!$A:$A,$A188)&gt;0,"ok","à faire")</f>
        <v>ok</v>
      </c>
      <c r="G188" s="17" t="str">
        <f>IF(COUNTIF(Phrases!$A:$A,$A188)&gt;0,"ok","à faire")</f>
        <v>ok</v>
      </c>
      <c r="H188" s="17" t="str">
        <f>IF(COUNTIFS(Phrases!$A:$A,$A188,Phrases!$I:$I,"&lt;&gt;")&gt;0,"ok","à faire")</f>
        <v>à faire</v>
      </c>
      <c r="I188" s="17" t="str">
        <f>IF(COUNTIF(Synonymes!$A:$A,$A188)&gt;0,"ok","")</f>
        <v/>
      </c>
      <c r="J188" s="17">
        <f t="shared" si="2"/>
        <v>1</v>
      </c>
    </row>
    <row r="189" spans="1:10" x14ac:dyDescent="0.3">
      <c r="A189" s="17" t="s">
        <v>1257</v>
      </c>
      <c r="B189" s="17" t="str">
        <f>IFERROR(INDEX(Mots!$B:$B,MATCH($A189,Mots!$A:$A,0)),"introuvable")</f>
        <v>le chamois</v>
      </c>
      <c r="C189" s="17" t="str">
        <f>IFERROR(INDEX(Mots!$N:$N,MATCH($A189,Mots!$A:$A,0)),"")</f>
        <v>animal</v>
      </c>
      <c r="D189" s="17">
        <f>IFERROR(COUNTA(INDEX(Mots!$E:$E,MATCH($A189,Mots!$A:$A,0)):INDEX(Mots!$K:$K,MATCH($A189,Mots!$A:$A,0))),0)</f>
        <v>1</v>
      </c>
      <c r="E189" s="17" t="str">
        <f>IF(COUNTIF(Classement!$A:$A,$A189)&gt;0,"ok","à faire")</f>
        <v>ok</v>
      </c>
      <c r="F189" s="17" t="str">
        <f>IF(COUNTIF(Tags!$A:$A,$A189)&gt;0,"ok","à faire")</f>
        <v>ok</v>
      </c>
      <c r="G189" s="17" t="str">
        <f>IF(COUNTIF(Phrases!$A:$A,$A189)&gt;0,"ok","à faire")</f>
        <v>ok</v>
      </c>
      <c r="H189" s="17" t="str">
        <f>IF(COUNTIFS(Phrases!$A:$A,$A189,Phrases!$I:$I,"&lt;&gt;")&gt;0,"ok","à faire")</f>
        <v>à faire</v>
      </c>
      <c r="I189" s="17" t="str">
        <f>IF(COUNTIF(Synonymes!$A:$A,$A189)&gt;0,"ok","")</f>
        <v/>
      </c>
      <c r="J189" s="17">
        <f t="shared" si="2"/>
        <v>1</v>
      </c>
    </row>
    <row r="190" spans="1:10" x14ac:dyDescent="0.3">
      <c r="A190" s="17" t="s">
        <v>1261</v>
      </c>
      <c r="B190" s="17" t="str">
        <f>IFERROR(INDEX(Mots!$B:$B,MATCH($A190,Mots!$A:$A,0)),"introuvable")</f>
        <v>la biche</v>
      </c>
      <c r="C190" s="17" t="str">
        <f>IFERROR(INDEX(Mots!$N:$N,MATCH($A190,Mots!$A:$A,0)),"")</f>
        <v>animal</v>
      </c>
      <c r="D190" s="17">
        <f>IFERROR(COUNTA(INDEX(Mots!$E:$E,MATCH($A190,Mots!$A:$A,0)):INDEX(Mots!$K:$K,MATCH($A190,Mots!$A:$A,0))),0)</f>
        <v>1</v>
      </c>
      <c r="E190" s="17" t="str">
        <f>IF(COUNTIF(Classement!$A:$A,$A190)&gt;0,"ok","à faire")</f>
        <v>ok</v>
      </c>
      <c r="F190" s="17" t="str">
        <f>IF(COUNTIF(Tags!$A:$A,$A190)&gt;0,"ok","à faire")</f>
        <v>ok</v>
      </c>
      <c r="G190" s="17" t="str">
        <f>IF(COUNTIF(Phrases!$A:$A,$A190)&gt;0,"ok","à faire")</f>
        <v>ok</v>
      </c>
      <c r="H190" s="17" t="str">
        <f>IF(COUNTIFS(Phrases!$A:$A,$A190,Phrases!$I:$I,"&lt;&gt;")&gt;0,"ok","à faire")</f>
        <v>à faire</v>
      </c>
      <c r="I190" s="17" t="str">
        <f>IF(COUNTIF(Synonymes!$A:$A,$A190)&gt;0,"ok","")</f>
        <v/>
      </c>
      <c r="J190" s="17">
        <f t="shared" si="2"/>
        <v>1</v>
      </c>
    </row>
    <row r="191" spans="1:10" x14ac:dyDescent="0.3">
      <c r="A191" s="17" t="s">
        <v>1265</v>
      </c>
      <c r="B191" s="17" t="str">
        <f>IFERROR(INDEX(Mots!$B:$B,MATCH($A191,Mots!$A:$A,0)),"introuvable")</f>
        <v>le cerf</v>
      </c>
      <c r="C191" s="17" t="str">
        <f>IFERROR(INDEX(Mots!$N:$N,MATCH($A191,Mots!$A:$A,0)),"")</f>
        <v>animal</v>
      </c>
      <c r="D191" s="17">
        <f>IFERROR(COUNTA(INDEX(Mots!$E:$E,MATCH($A191,Mots!$A:$A,0)):INDEX(Mots!$K:$K,MATCH($A191,Mots!$A:$A,0))),0)</f>
        <v>1</v>
      </c>
      <c r="E191" s="17" t="str">
        <f>IF(COUNTIF(Classement!$A:$A,$A191)&gt;0,"ok","à faire")</f>
        <v>ok</v>
      </c>
      <c r="F191" s="17" t="str">
        <f>IF(COUNTIF(Tags!$A:$A,$A191)&gt;0,"ok","à faire")</f>
        <v>ok</v>
      </c>
      <c r="G191" s="17" t="str">
        <f>IF(COUNTIF(Phrases!$A:$A,$A191)&gt;0,"ok","à faire")</f>
        <v>ok</v>
      </c>
      <c r="H191" s="17" t="str">
        <f>IF(COUNTIFS(Phrases!$A:$A,$A191,Phrases!$I:$I,"&lt;&gt;")&gt;0,"ok","à faire")</f>
        <v>à faire</v>
      </c>
      <c r="I191" s="17" t="str">
        <f>IF(COUNTIF(Synonymes!$A:$A,$A191)&gt;0,"ok","")</f>
        <v/>
      </c>
      <c r="J191" s="17">
        <f t="shared" si="2"/>
        <v>1</v>
      </c>
    </row>
    <row r="192" spans="1:10" x14ac:dyDescent="0.3">
      <c r="A192" s="17" t="s">
        <v>1269</v>
      </c>
      <c r="B192" s="17" t="str">
        <f>IFERROR(INDEX(Mots!$B:$B,MATCH($A192,Mots!$A:$A,0)),"introuvable")</f>
        <v>le bouquetin</v>
      </c>
      <c r="C192" s="17" t="str">
        <f>IFERROR(INDEX(Mots!$N:$N,MATCH($A192,Mots!$A:$A,0)),"")</f>
        <v>animal</v>
      </c>
      <c r="D192" s="17">
        <f>IFERROR(COUNTA(INDEX(Mots!$E:$E,MATCH($A192,Mots!$A:$A,0)):INDEX(Mots!$K:$K,MATCH($A192,Mots!$A:$A,0))),0)</f>
        <v>1</v>
      </c>
      <c r="E192" s="17" t="str">
        <f>IF(COUNTIF(Classement!$A:$A,$A192)&gt;0,"ok","à faire")</f>
        <v>ok</v>
      </c>
      <c r="F192" s="17" t="str">
        <f>IF(COUNTIF(Tags!$A:$A,$A192)&gt;0,"ok","à faire")</f>
        <v>ok</v>
      </c>
      <c r="G192" s="17" t="str">
        <f>IF(COUNTIF(Phrases!$A:$A,$A192)&gt;0,"ok","à faire")</f>
        <v>ok</v>
      </c>
      <c r="H192" s="17" t="str">
        <f>IF(COUNTIFS(Phrases!$A:$A,$A192,Phrases!$I:$I,"&lt;&gt;")&gt;0,"ok","à faire")</f>
        <v>à faire</v>
      </c>
      <c r="I192" s="17" t="str">
        <f>IF(COUNTIF(Synonymes!$A:$A,$A192)&gt;0,"ok","")</f>
        <v/>
      </c>
      <c r="J192" s="17">
        <f t="shared" si="2"/>
        <v>1</v>
      </c>
    </row>
    <row r="193" spans="1:10" x14ac:dyDescent="0.3">
      <c r="A193" s="17" t="s">
        <v>1274</v>
      </c>
      <c r="B193" s="17" t="str">
        <f>IFERROR(INDEX(Mots!$B:$B,MATCH($A193,Mots!$A:$A,0)),"introuvable")</f>
        <v>le poisson</v>
      </c>
      <c r="C193" s="17" t="str">
        <f>IFERROR(INDEX(Mots!$N:$N,MATCH($A193,Mots!$A:$A,0)),"")</f>
        <v>animal</v>
      </c>
      <c r="D193" s="17">
        <f>IFERROR(COUNTA(INDEX(Mots!$E:$E,MATCH($A193,Mots!$A:$A,0)):INDEX(Mots!$K:$K,MATCH($A193,Mots!$A:$A,0))),0)</f>
        <v>1</v>
      </c>
      <c r="E193" s="17" t="str">
        <f>IF(COUNTIF(Classement!$A:$A,$A193)&gt;0,"ok","à faire")</f>
        <v>ok</v>
      </c>
      <c r="F193" s="17" t="str">
        <f>IF(COUNTIF(Tags!$A:$A,$A193)&gt;0,"ok","à faire")</f>
        <v>ok</v>
      </c>
      <c r="G193" s="17" t="str">
        <f>IF(COUNTIF(Phrases!$A:$A,$A193)&gt;0,"ok","à faire")</f>
        <v>ok</v>
      </c>
      <c r="H193" s="17" t="str">
        <f>IF(COUNTIFS(Phrases!$A:$A,$A193,Phrases!$I:$I,"&lt;&gt;")&gt;0,"ok","à faire")</f>
        <v>à faire</v>
      </c>
      <c r="I193" s="17" t="str">
        <f>IF(COUNTIF(Synonymes!$A:$A,$A193)&gt;0,"ok","")</f>
        <v/>
      </c>
      <c r="J193" s="17">
        <f t="shared" si="2"/>
        <v>1</v>
      </c>
    </row>
    <row r="194" spans="1:10" x14ac:dyDescent="0.3">
      <c r="A194" s="17" t="s">
        <v>1279</v>
      </c>
      <c r="B194" s="17" t="str">
        <f>IFERROR(INDEX(Mots!$B:$B,MATCH($A194,Mots!$A:$A,0)),"introuvable")</f>
        <v>le serpent</v>
      </c>
      <c r="C194" s="17" t="str">
        <f>IFERROR(INDEX(Mots!$N:$N,MATCH($A194,Mots!$A:$A,0)),"")</f>
        <v>animal</v>
      </c>
      <c r="D194" s="17">
        <f>IFERROR(COUNTA(INDEX(Mots!$E:$E,MATCH($A194,Mots!$A:$A,0)):INDEX(Mots!$K:$K,MATCH($A194,Mots!$A:$A,0))),0)</f>
        <v>5</v>
      </c>
      <c r="E194" s="17" t="str">
        <f>IF(COUNTIF(Classement!$A:$A,$A194)&gt;0,"ok","à faire")</f>
        <v>ok</v>
      </c>
      <c r="F194" s="17" t="str">
        <f>IF(COUNTIF(Tags!$A:$A,$A194)&gt;0,"ok","à faire")</f>
        <v>ok</v>
      </c>
      <c r="G194" s="17" t="str">
        <f>IF(COUNTIF(Phrases!$A:$A,$A194)&gt;0,"ok","à faire")</f>
        <v>ok</v>
      </c>
      <c r="H194" s="17" t="str">
        <f>IF(COUNTIFS(Phrases!$A:$A,$A194,Phrases!$I:$I,"&lt;&gt;")&gt;0,"ok","à faire")</f>
        <v>à faire</v>
      </c>
      <c r="I194" s="17" t="str">
        <f>IF(COUNTIF(Synonymes!$A:$A,$A194)&gt;0,"ok","")</f>
        <v/>
      </c>
      <c r="J194" s="17">
        <f t="shared" ref="J194:J257" si="3">COUNTIF(E194:H194,"à faire")</f>
        <v>1</v>
      </c>
    </row>
    <row r="195" spans="1:10" x14ac:dyDescent="0.3">
      <c r="A195" s="17" t="s">
        <v>1288</v>
      </c>
      <c r="B195" s="17" t="str">
        <f>IFERROR(INDEX(Mots!$B:$B,MATCH($A195,Mots!$A:$A,0)),"introuvable")</f>
        <v>l'éléphant</v>
      </c>
      <c r="C195" s="17" t="str">
        <f>IFERROR(INDEX(Mots!$N:$N,MATCH($A195,Mots!$A:$A,0)),"")</f>
        <v>animal</v>
      </c>
      <c r="D195" s="17">
        <f>IFERROR(COUNTA(INDEX(Mots!$E:$E,MATCH($A195,Mots!$A:$A,0)):INDEX(Mots!$K:$K,MATCH($A195,Mots!$A:$A,0))),0)</f>
        <v>1</v>
      </c>
      <c r="E195" s="17" t="str">
        <f>IF(COUNTIF(Classement!$A:$A,$A195)&gt;0,"ok","à faire")</f>
        <v>ok</v>
      </c>
      <c r="F195" s="17" t="str">
        <f>IF(COUNTIF(Tags!$A:$A,$A195)&gt;0,"ok","à faire")</f>
        <v>ok</v>
      </c>
      <c r="G195" s="17" t="str">
        <f>IF(COUNTIF(Phrases!$A:$A,$A195)&gt;0,"ok","à faire")</f>
        <v>ok</v>
      </c>
      <c r="H195" s="17" t="str">
        <f>IF(COUNTIFS(Phrases!$A:$A,$A195,Phrases!$I:$I,"&lt;&gt;")&gt;0,"ok","à faire")</f>
        <v>à faire</v>
      </c>
      <c r="I195" s="17" t="str">
        <f>IF(COUNTIF(Synonymes!$A:$A,$A195)&gt;0,"ok","")</f>
        <v/>
      </c>
      <c r="J195" s="17">
        <f t="shared" si="3"/>
        <v>1</v>
      </c>
    </row>
    <row r="196" spans="1:10" x14ac:dyDescent="0.3">
      <c r="A196" s="17" t="s">
        <v>1293</v>
      </c>
      <c r="B196" s="17" t="str">
        <f>IFERROR(INDEX(Mots!$B:$B,MATCH($A196,Mots!$A:$A,0)),"introuvable")</f>
        <v>le lion</v>
      </c>
      <c r="C196" s="17" t="str">
        <f>IFERROR(INDEX(Mots!$N:$N,MATCH($A196,Mots!$A:$A,0)),"")</f>
        <v>animal</v>
      </c>
      <c r="D196" s="17">
        <f>IFERROR(COUNTA(INDEX(Mots!$E:$E,MATCH($A196,Mots!$A:$A,0)):INDEX(Mots!$K:$K,MATCH($A196,Mots!$A:$A,0))),0)</f>
        <v>1</v>
      </c>
      <c r="E196" s="17" t="str">
        <f>IF(COUNTIF(Classement!$A:$A,$A196)&gt;0,"ok","à faire")</f>
        <v>ok</v>
      </c>
      <c r="F196" s="17" t="str">
        <f>IF(COUNTIF(Tags!$A:$A,$A196)&gt;0,"ok","à faire")</f>
        <v>ok</v>
      </c>
      <c r="G196" s="17" t="str">
        <f>IF(COUNTIF(Phrases!$A:$A,$A196)&gt;0,"ok","à faire")</f>
        <v>ok</v>
      </c>
      <c r="H196" s="17" t="str">
        <f>IF(COUNTIFS(Phrases!$A:$A,$A196,Phrases!$I:$I,"&lt;&gt;")&gt;0,"ok","à faire")</f>
        <v>à faire</v>
      </c>
      <c r="I196" s="17" t="str">
        <f>IF(COUNTIF(Synonymes!$A:$A,$A196)&gt;0,"ok","")</f>
        <v/>
      </c>
      <c r="J196" s="17">
        <f t="shared" si="3"/>
        <v>1</v>
      </c>
    </row>
    <row r="197" spans="1:10" x14ac:dyDescent="0.3">
      <c r="A197" s="17" t="s">
        <v>1298</v>
      </c>
      <c r="B197" s="17" t="str">
        <f>IFERROR(INDEX(Mots!$B:$B,MATCH($A197,Mots!$A:$A,0)),"introuvable")</f>
        <v>le tigre</v>
      </c>
      <c r="C197" s="17" t="str">
        <f>IFERROR(INDEX(Mots!$N:$N,MATCH($A197,Mots!$A:$A,0)),"")</f>
        <v>animal</v>
      </c>
      <c r="D197" s="17">
        <f>IFERROR(COUNTA(INDEX(Mots!$E:$E,MATCH($A197,Mots!$A:$A,0)):INDEX(Mots!$K:$K,MATCH($A197,Mots!$A:$A,0))),0)</f>
        <v>1</v>
      </c>
      <c r="E197" s="17" t="str">
        <f>IF(COUNTIF(Classement!$A:$A,$A197)&gt;0,"ok","à faire")</f>
        <v>ok</v>
      </c>
      <c r="F197" s="17" t="str">
        <f>IF(COUNTIF(Tags!$A:$A,$A197)&gt;0,"ok","à faire")</f>
        <v>ok</v>
      </c>
      <c r="G197" s="17" t="str">
        <f>IF(COUNTIF(Phrases!$A:$A,$A197)&gt;0,"ok","à faire")</f>
        <v>ok</v>
      </c>
      <c r="H197" s="17" t="str">
        <f>IF(COUNTIFS(Phrases!$A:$A,$A197,Phrases!$I:$I,"&lt;&gt;")&gt;0,"ok","à faire")</f>
        <v>à faire</v>
      </c>
      <c r="I197" s="17" t="str">
        <f>IF(COUNTIF(Synonymes!$A:$A,$A197)&gt;0,"ok","")</f>
        <v/>
      </c>
      <c r="J197" s="17">
        <f t="shared" si="3"/>
        <v>1</v>
      </c>
    </row>
    <row r="198" spans="1:10" x14ac:dyDescent="0.3">
      <c r="A198" s="17" t="s">
        <v>1303</v>
      </c>
      <c r="B198" s="17" t="str">
        <f>IFERROR(INDEX(Mots!$B:$B,MATCH($A198,Mots!$A:$A,0)),"introuvable")</f>
        <v>la fourrure</v>
      </c>
      <c r="C198" s="17" t="str">
        <f>IFERROR(INDEX(Mots!$N:$N,MATCH($A198,Mots!$A:$A,0)),"")</f>
        <v>animal</v>
      </c>
      <c r="D198" s="17">
        <f>IFERROR(COUNTA(INDEX(Mots!$E:$E,MATCH($A198,Mots!$A:$A,0)):INDEX(Mots!$K:$K,MATCH($A198,Mots!$A:$A,0))),0)</f>
        <v>1</v>
      </c>
      <c r="E198" s="17" t="str">
        <f>IF(COUNTIF(Classement!$A:$A,$A198)&gt;0,"ok","à faire")</f>
        <v>ok</v>
      </c>
      <c r="F198" s="17" t="str">
        <f>IF(COUNTIF(Tags!$A:$A,$A198)&gt;0,"ok","à faire")</f>
        <v>ok</v>
      </c>
      <c r="G198" s="17" t="str">
        <f>IF(COUNTIF(Phrases!$A:$A,$A198)&gt;0,"ok","à faire")</f>
        <v>à faire</v>
      </c>
      <c r="H198" s="17" t="str">
        <f>IF(COUNTIFS(Phrases!$A:$A,$A198,Phrases!$I:$I,"&lt;&gt;")&gt;0,"ok","à faire")</f>
        <v>à faire</v>
      </c>
      <c r="I198" s="17" t="str">
        <f>IF(COUNTIF(Synonymes!$A:$A,$A198)&gt;0,"ok","")</f>
        <v/>
      </c>
      <c r="J198" s="17">
        <f t="shared" si="3"/>
        <v>2</v>
      </c>
    </row>
    <row r="199" spans="1:10" x14ac:dyDescent="0.3">
      <c r="A199" s="17" t="s">
        <v>1307</v>
      </c>
      <c r="B199" s="17" t="str">
        <f>IFERROR(INDEX(Mots!$B:$B,MATCH($A199,Mots!$A:$A,0)),"introuvable")</f>
        <v>la grenouille</v>
      </c>
      <c r="C199" s="17" t="str">
        <f>IFERROR(INDEX(Mots!$N:$N,MATCH($A199,Mots!$A:$A,0)),"")</f>
        <v>animal</v>
      </c>
      <c r="D199" s="17">
        <f>IFERROR(COUNTA(INDEX(Mots!$E:$E,MATCH($A199,Mots!$A:$A,0)):INDEX(Mots!$K:$K,MATCH($A199,Mots!$A:$A,0))),0)</f>
        <v>1</v>
      </c>
      <c r="E199" s="17" t="str">
        <f>IF(COUNTIF(Classement!$A:$A,$A199)&gt;0,"ok","à faire")</f>
        <v>ok</v>
      </c>
      <c r="F199" s="17" t="str">
        <f>IF(COUNTIF(Tags!$A:$A,$A199)&gt;0,"ok","à faire")</f>
        <v>ok</v>
      </c>
      <c r="G199" s="17" t="str">
        <f>IF(COUNTIF(Phrases!$A:$A,$A199)&gt;0,"ok","à faire")</f>
        <v>à faire</v>
      </c>
      <c r="H199" s="17" t="str">
        <f>IF(COUNTIFS(Phrases!$A:$A,$A199,Phrases!$I:$I,"&lt;&gt;")&gt;0,"ok","à faire")</f>
        <v>à faire</v>
      </c>
      <c r="I199" s="17" t="str">
        <f>IF(COUNTIF(Synonymes!$A:$A,$A199)&gt;0,"ok","")</f>
        <v/>
      </c>
      <c r="J199" s="17">
        <f t="shared" si="3"/>
        <v>2</v>
      </c>
    </row>
    <row r="200" spans="1:10" x14ac:dyDescent="0.3">
      <c r="A200" s="17" t="s">
        <v>1311</v>
      </c>
      <c r="B200" s="17" t="str">
        <f>IFERROR(INDEX(Mots!$B:$B,MATCH($A200,Mots!$A:$A,0)),"introuvable")</f>
        <v>la trompe</v>
      </c>
      <c r="C200" s="17" t="str">
        <f>IFERROR(INDEX(Mots!$N:$N,MATCH($A200,Mots!$A:$A,0)),"")</f>
        <v>animal</v>
      </c>
      <c r="D200" s="17">
        <f>IFERROR(COUNTA(INDEX(Mots!$E:$E,MATCH($A200,Mots!$A:$A,0)):INDEX(Mots!$K:$K,MATCH($A200,Mots!$A:$A,0))),0)</f>
        <v>1</v>
      </c>
      <c r="E200" s="17" t="str">
        <f>IF(COUNTIF(Classement!$A:$A,$A200)&gt;0,"ok","à faire")</f>
        <v>ok</v>
      </c>
      <c r="F200" s="17" t="str">
        <f>IF(COUNTIF(Tags!$A:$A,$A200)&gt;0,"ok","à faire")</f>
        <v>ok</v>
      </c>
      <c r="G200" s="17" t="str">
        <f>IF(COUNTIF(Phrases!$A:$A,$A200)&gt;0,"ok","à faire")</f>
        <v>à faire</v>
      </c>
      <c r="H200" s="17" t="str">
        <f>IF(COUNTIFS(Phrases!$A:$A,$A200,Phrases!$I:$I,"&lt;&gt;")&gt;0,"ok","à faire")</f>
        <v>à faire</v>
      </c>
      <c r="I200" s="17" t="str">
        <f>IF(COUNTIF(Synonymes!$A:$A,$A200)&gt;0,"ok","")</f>
        <v/>
      </c>
      <c r="J200" s="17">
        <f t="shared" si="3"/>
        <v>2</v>
      </c>
    </row>
    <row r="201" spans="1:10" x14ac:dyDescent="0.3">
      <c r="A201" s="17" t="s">
        <v>1315</v>
      </c>
      <c r="B201" s="17" t="str">
        <f>IFERROR(INDEX(Mots!$B:$B,MATCH($A201,Mots!$A:$A,0)),"introuvable")</f>
        <v>le canard</v>
      </c>
      <c r="C201" s="17" t="str">
        <f>IFERROR(INDEX(Mots!$N:$N,MATCH($A201,Mots!$A:$A,0)),"")</f>
        <v>animal</v>
      </c>
      <c r="D201" s="17">
        <f>IFERROR(COUNTA(INDEX(Mots!$E:$E,MATCH($A201,Mots!$A:$A,0)):INDEX(Mots!$K:$K,MATCH($A201,Mots!$A:$A,0))),0)</f>
        <v>1</v>
      </c>
      <c r="E201" s="17" t="str">
        <f>IF(COUNTIF(Classement!$A:$A,$A201)&gt;0,"ok","à faire")</f>
        <v>ok</v>
      </c>
      <c r="F201" s="17" t="str">
        <f>IF(COUNTIF(Tags!$A:$A,$A201)&gt;0,"ok","à faire")</f>
        <v>ok</v>
      </c>
      <c r="G201" s="17" t="str">
        <f>IF(COUNTIF(Phrases!$A:$A,$A201)&gt;0,"ok","à faire")</f>
        <v>à faire</v>
      </c>
      <c r="H201" s="17" t="str">
        <f>IF(COUNTIFS(Phrases!$A:$A,$A201,Phrases!$I:$I,"&lt;&gt;")&gt;0,"ok","à faire")</f>
        <v>à faire</v>
      </c>
      <c r="I201" s="17" t="str">
        <f>IF(COUNTIF(Synonymes!$A:$A,$A201)&gt;0,"ok","")</f>
        <v/>
      </c>
      <c r="J201" s="17">
        <f t="shared" si="3"/>
        <v>2</v>
      </c>
    </row>
    <row r="202" spans="1:10" x14ac:dyDescent="0.3">
      <c r="A202" s="17" t="s">
        <v>1319</v>
      </c>
      <c r="B202" s="17" t="str">
        <f>IFERROR(INDEX(Mots!$B:$B,MATCH($A202,Mots!$A:$A,0)),"introuvable")</f>
        <v>le fauve</v>
      </c>
      <c r="C202" s="17" t="str">
        <f>IFERROR(INDEX(Mots!$N:$N,MATCH($A202,Mots!$A:$A,0)),"")</f>
        <v>animal</v>
      </c>
      <c r="D202" s="17">
        <f>IFERROR(COUNTA(INDEX(Mots!$E:$E,MATCH($A202,Mots!$A:$A,0)):INDEX(Mots!$K:$K,MATCH($A202,Mots!$A:$A,0))),0)</f>
        <v>1</v>
      </c>
      <c r="E202" s="17" t="str">
        <f>IF(COUNTIF(Classement!$A:$A,$A202)&gt;0,"ok","à faire")</f>
        <v>ok</v>
      </c>
      <c r="F202" s="17" t="str">
        <f>IF(COUNTIF(Tags!$A:$A,$A202)&gt;0,"ok","à faire")</f>
        <v>ok</v>
      </c>
      <c r="G202" s="17" t="str">
        <f>IF(COUNTIF(Phrases!$A:$A,$A202)&gt;0,"ok","à faire")</f>
        <v>à faire</v>
      </c>
      <c r="H202" s="17" t="str">
        <f>IF(COUNTIFS(Phrases!$A:$A,$A202,Phrases!$I:$I,"&lt;&gt;")&gt;0,"ok","à faire")</f>
        <v>à faire</v>
      </c>
      <c r="I202" s="17" t="str">
        <f>IF(COUNTIF(Synonymes!$A:$A,$A202)&gt;0,"ok","")</f>
        <v/>
      </c>
      <c r="J202" s="17">
        <f t="shared" si="3"/>
        <v>2</v>
      </c>
    </row>
    <row r="203" spans="1:10" x14ac:dyDescent="0.3">
      <c r="A203" s="17" t="s">
        <v>1323</v>
      </c>
      <c r="B203" s="17" t="str">
        <f>IFERROR(INDEX(Mots!$B:$B,MATCH($A203,Mots!$A:$A,0)),"introuvable")</f>
        <v>le renard</v>
      </c>
      <c r="C203" s="17" t="str">
        <f>IFERROR(INDEX(Mots!$N:$N,MATCH($A203,Mots!$A:$A,0)),"")</f>
        <v>animal</v>
      </c>
      <c r="D203" s="17">
        <f>IFERROR(COUNTA(INDEX(Mots!$E:$E,MATCH($A203,Mots!$A:$A,0)):INDEX(Mots!$K:$K,MATCH($A203,Mots!$A:$A,0))),0)</f>
        <v>1</v>
      </c>
      <c r="E203" s="17" t="str">
        <f>IF(COUNTIF(Classement!$A:$A,$A203)&gt;0,"ok","à faire")</f>
        <v>ok</v>
      </c>
      <c r="F203" s="17" t="str">
        <f>IF(COUNTIF(Tags!$A:$A,$A203)&gt;0,"ok","à faire")</f>
        <v>ok</v>
      </c>
      <c r="G203" s="17" t="str">
        <f>IF(COUNTIF(Phrases!$A:$A,$A203)&gt;0,"ok","à faire")</f>
        <v>à faire</v>
      </c>
      <c r="H203" s="17" t="str">
        <f>IF(COUNTIFS(Phrases!$A:$A,$A203,Phrases!$I:$I,"&lt;&gt;")&gt;0,"ok","à faire")</f>
        <v>à faire</v>
      </c>
      <c r="I203" s="17" t="str">
        <f>IF(COUNTIF(Synonymes!$A:$A,$A203)&gt;0,"ok","")</f>
        <v/>
      </c>
      <c r="J203" s="17">
        <f t="shared" si="3"/>
        <v>2</v>
      </c>
    </row>
    <row r="204" spans="1:10" x14ac:dyDescent="0.3">
      <c r="A204" s="17" t="s">
        <v>1327</v>
      </c>
      <c r="B204" s="17" t="str">
        <f>IFERROR(INDEX(Mots!$B:$B,MATCH($A204,Mots!$A:$A,0)),"introuvable")</f>
        <v>le singe</v>
      </c>
      <c r="C204" s="17" t="str">
        <f>IFERROR(INDEX(Mots!$N:$N,MATCH($A204,Mots!$A:$A,0)),"")</f>
        <v>animal</v>
      </c>
      <c r="D204" s="17">
        <f>IFERROR(COUNTA(INDEX(Mots!$E:$E,MATCH($A204,Mots!$A:$A,0)):INDEX(Mots!$K:$K,MATCH($A204,Mots!$A:$A,0))),0)</f>
        <v>6</v>
      </c>
      <c r="E204" s="17" t="str">
        <f>IF(COUNTIF(Classement!$A:$A,$A204)&gt;0,"ok","à faire")</f>
        <v>ok</v>
      </c>
      <c r="F204" s="17" t="str">
        <f>IF(COUNTIF(Tags!$A:$A,$A204)&gt;0,"ok","à faire")</f>
        <v>ok</v>
      </c>
      <c r="G204" s="17" t="str">
        <f>IF(COUNTIF(Phrases!$A:$A,$A204)&gt;0,"ok","à faire")</f>
        <v>à faire</v>
      </c>
      <c r="H204" s="17" t="str">
        <f>IF(COUNTIFS(Phrases!$A:$A,$A204,Phrases!$I:$I,"&lt;&gt;")&gt;0,"ok","à faire")</f>
        <v>à faire</v>
      </c>
      <c r="I204" s="17" t="str">
        <f>IF(COUNTIF(Synonymes!$A:$A,$A204)&gt;0,"ok","")</f>
        <v/>
      </c>
      <c r="J204" s="17">
        <f t="shared" si="3"/>
        <v>2</v>
      </c>
    </row>
    <row r="205" spans="1:10" x14ac:dyDescent="0.3">
      <c r="A205" s="17" t="s">
        <v>1331</v>
      </c>
      <c r="B205" s="17" t="str">
        <f>IFERROR(INDEX(Mots!$B:$B,MATCH($A205,Mots!$A:$A,0)),"introuvable")</f>
        <v>l'ours</v>
      </c>
      <c r="C205" s="17" t="str">
        <f>IFERROR(INDEX(Mots!$N:$N,MATCH($A205,Mots!$A:$A,0)),"")</f>
        <v>animal</v>
      </c>
      <c r="D205" s="17">
        <f>IFERROR(COUNTA(INDEX(Mots!$E:$E,MATCH($A205,Mots!$A:$A,0)):INDEX(Mots!$K:$K,MATCH($A205,Mots!$A:$A,0))),0)</f>
        <v>1</v>
      </c>
      <c r="E205" s="17" t="str">
        <f>IF(COUNTIF(Classement!$A:$A,$A205)&gt;0,"ok","à faire")</f>
        <v>ok</v>
      </c>
      <c r="F205" s="17" t="str">
        <f>IF(COUNTIF(Tags!$A:$A,$A205)&gt;0,"ok","à faire")</f>
        <v>ok</v>
      </c>
      <c r="G205" s="17" t="str">
        <f>IF(COUNTIF(Phrases!$A:$A,$A205)&gt;0,"ok","à faire")</f>
        <v>à faire</v>
      </c>
      <c r="H205" s="17" t="str">
        <f>IF(COUNTIFS(Phrases!$A:$A,$A205,Phrases!$I:$I,"&lt;&gt;")&gt;0,"ok","à faire")</f>
        <v>à faire</v>
      </c>
      <c r="I205" s="17" t="str">
        <f>IF(COUNTIF(Synonymes!$A:$A,$A205)&gt;0,"ok","")</f>
        <v/>
      </c>
      <c r="J205" s="17">
        <f t="shared" si="3"/>
        <v>2</v>
      </c>
    </row>
    <row r="206" spans="1:10" x14ac:dyDescent="0.3">
      <c r="A206" s="17" t="s">
        <v>1335</v>
      </c>
      <c r="B206" s="17" t="str">
        <f>IFERROR(INDEX(Mots!$B:$B,MATCH($A206,Mots!$A:$A,0)),"introuvable")</f>
        <v>le sucre</v>
      </c>
      <c r="C206" s="17" t="str">
        <f>IFERROR(INDEX(Mots!$N:$N,MATCH($A206,Mots!$A:$A,0)),"")</f>
        <v>chose</v>
      </c>
      <c r="D206" s="17">
        <f>IFERROR(COUNTA(INDEX(Mots!$E:$E,MATCH($A206,Mots!$A:$A,0)):INDEX(Mots!$K:$K,MATCH($A206,Mots!$A:$A,0))),0)</f>
        <v>3</v>
      </c>
      <c r="E206" s="17" t="str">
        <f>IF(COUNTIF(Classement!$A:$A,$A206)&gt;0,"ok","à faire")</f>
        <v>ok</v>
      </c>
      <c r="F206" s="17" t="str">
        <f>IF(COUNTIF(Tags!$A:$A,$A206)&gt;0,"ok","à faire")</f>
        <v>ok</v>
      </c>
      <c r="G206" s="17" t="str">
        <f>IF(COUNTIF(Phrases!$A:$A,$A206)&gt;0,"ok","à faire")</f>
        <v>ok</v>
      </c>
      <c r="H206" s="17" t="str">
        <f>IF(COUNTIFS(Phrases!$A:$A,$A206,Phrases!$I:$I,"&lt;&gt;")&gt;0,"ok","à faire")</f>
        <v>à faire</v>
      </c>
      <c r="I206" s="17" t="str">
        <f>IF(COUNTIF(Synonymes!$A:$A,$A206)&gt;0,"ok","")</f>
        <v/>
      </c>
      <c r="J206" s="17">
        <f t="shared" si="3"/>
        <v>1</v>
      </c>
    </row>
    <row r="207" spans="1:10" x14ac:dyDescent="0.3">
      <c r="A207" s="17" t="s">
        <v>1340</v>
      </c>
      <c r="B207" s="17" t="str">
        <f>IFERROR(INDEX(Mots!$B:$B,MATCH($A207,Mots!$A:$A,0)),"introuvable")</f>
        <v>le sel</v>
      </c>
      <c r="C207" s="17" t="str">
        <f>IFERROR(INDEX(Mots!$N:$N,MATCH($A207,Mots!$A:$A,0)),"")</f>
        <v>chose</v>
      </c>
      <c r="D207" s="17">
        <f>IFERROR(COUNTA(INDEX(Mots!$E:$E,MATCH($A207,Mots!$A:$A,0)):INDEX(Mots!$K:$K,MATCH($A207,Mots!$A:$A,0))),0)</f>
        <v>1</v>
      </c>
      <c r="E207" s="17" t="str">
        <f>IF(COUNTIF(Classement!$A:$A,$A207)&gt;0,"ok","à faire")</f>
        <v>ok</v>
      </c>
      <c r="F207" s="17" t="str">
        <f>IF(COUNTIF(Tags!$A:$A,$A207)&gt;0,"ok","à faire")</f>
        <v>ok</v>
      </c>
      <c r="G207" s="17" t="str">
        <f>IF(COUNTIF(Phrases!$A:$A,$A207)&gt;0,"ok","à faire")</f>
        <v>ok</v>
      </c>
      <c r="H207" s="17" t="str">
        <f>IF(COUNTIFS(Phrases!$A:$A,$A207,Phrases!$I:$I,"&lt;&gt;")&gt;0,"ok","à faire")</f>
        <v>à faire</v>
      </c>
      <c r="I207" s="17" t="str">
        <f>IF(COUNTIF(Synonymes!$A:$A,$A207)&gt;0,"ok","")</f>
        <v/>
      </c>
      <c r="J207" s="17">
        <f t="shared" si="3"/>
        <v>1</v>
      </c>
    </row>
    <row r="208" spans="1:10" x14ac:dyDescent="0.3">
      <c r="A208" s="17" t="s">
        <v>1345</v>
      </c>
      <c r="B208" s="17" t="str">
        <f>IFERROR(INDEX(Mots!$B:$B,MATCH($A208,Mots!$A:$A,0)),"introuvable")</f>
        <v>le poivre</v>
      </c>
      <c r="C208" s="17" t="str">
        <f>IFERROR(INDEX(Mots!$N:$N,MATCH($A208,Mots!$A:$A,0)),"")</f>
        <v>chose</v>
      </c>
      <c r="D208" s="17">
        <f>IFERROR(COUNTA(INDEX(Mots!$E:$E,MATCH($A208,Mots!$A:$A,0)):INDEX(Mots!$K:$K,MATCH($A208,Mots!$A:$A,0))),0)</f>
        <v>1</v>
      </c>
      <c r="E208" s="17" t="str">
        <f>IF(COUNTIF(Classement!$A:$A,$A208)&gt;0,"ok","à faire")</f>
        <v>ok</v>
      </c>
      <c r="F208" s="17" t="str">
        <f>IF(COUNTIF(Tags!$A:$A,$A208)&gt;0,"ok","à faire")</f>
        <v>ok</v>
      </c>
      <c r="G208" s="17" t="str">
        <f>IF(COUNTIF(Phrases!$A:$A,$A208)&gt;0,"ok","à faire")</f>
        <v>ok</v>
      </c>
      <c r="H208" s="17" t="str">
        <f>IF(COUNTIFS(Phrases!$A:$A,$A208,Phrases!$I:$I,"&lt;&gt;")&gt;0,"ok","à faire")</f>
        <v>à faire</v>
      </c>
      <c r="I208" s="17" t="str">
        <f>IF(COUNTIF(Synonymes!$A:$A,$A208)&gt;0,"ok","")</f>
        <v/>
      </c>
      <c r="J208" s="17">
        <f t="shared" si="3"/>
        <v>1</v>
      </c>
    </row>
    <row r="209" spans="1:10" x14ac:dyDescent="0.3">
      <c r="A209" s="17" t="s">
        <v>1350</v>
      </c>
      <c r="B209" s="17" t="str">
        <f>IFERROR(INDEX(Mots!$B:$B,MATCH($A209,Mots!$A:$A,0)),"introuvable")</f>
        <v>l'arôme Maggy</v>
      </c>
      <c r="C209" s="17" t="str">
        <f>IFERROR(INDEX(Mots!$N:$N,MATCH($A209,Mots!$A:$A,0)),"")</f>
        <v>chose</v>
      </c>
      <c r="D209" s="17">
        <f>IFERROR(COUNTA(INDEX(Mots!$E:$E,MATCH($A209,Mots!$A:$A,0)):INDEX(Mots!$K:$K,MATCH($A209,Mots!$A:$A,0))),0)</f>
        <v>1</v>
      </c>
      <c r="E209" s="17" t="str">
        <f>IF(COUNTIF(Classement!$A:$A,$A209)&gt;0,"ok","à faire")</f>
        <v>ok</v>
      </c>
      <c r="F209" s="17" t="str">
        <f>IF(COUNTIF(Tags!$A:$A,$A209)&gt;0,"ok","à faire")</f>
        <v>ok</v>
      </c>
      <c r="G209" s="17" t="str">
        <f>IF(COUNTIF(Phrases!$A:$A,$A209)&gt;0,"ok","à faire")</f>
        <v>ok</v>
      </c>
      <c r="H209" s="17" t="str">
        <f>IF(COUNTIFS(Phrases!$A:$A,$A209,Phrases!$I:$I,"&lt;&gt;")&gt;0,"ok","à faire")</f>
        <v>à faire</v>
      </c>
      <c r="I209" s="17" t="str">
        <f>IF(COUNTIF(Synonymes!$A:$A,$A209)&gt;0,"ok","")</f>
        <v/>
      </c>
      <c r="J209" s="17">
        <f t="shared" si="3"/>
        <v>1</v>
      </c>
    </row>
    <row r="210" spans="1:10" x14ac:dyDescent="0.3">
      <c r="A210" s="17" t="s">
        <v>1355</v>
      </c>
      <c r="B210" s="17" t="str">
        <f>IFERROR(INDEX(Mots!$B:$B,MATCH($A210,Mots!$A:$A,0)),"introuvable")</f>
        <v>le curry</v>
      </c>
      <c r="C210" s="17" t="str">
        <f>IFERROR(INDEX(Mots!$N:$N,MATCH($A210,Mots!$A:$A,0)),"")</f>
        <v>chose</v>
      </c>
      <c r="D210" s="17">
        <f>IFERROR(COUNTA(INDEX(Mots!$E:$E,MATCH($A210,Mots!$A:$A,0)):INDEX(Mots!$K:$K,MATCH($A210,Mots!$A:$A,0))),0)</f>
        <v>1</v>
      </c>
      <c r="E210" s="17" t="str">
        <f>IF(COUNTIF(Classement!$A:$A,$A210)&gt;0,"ok","à faire")</f>
        <v>ok</v>
      </c>
      <c r="F210" s="17" t="str">
        <f>IF(COUNTIF(Tags!$A:$A,$A210)&gt;0,"ok","à faire")</f>
        <v>ok</v>
      </c>
      <c r="G210" s="17" t="str">
        <f>IF(COUNTIF(Phrases!$A:$A,$A210)&gt;0,"ok","à faire")</f>
        <v>ok</v>
      </c>
      <c r="H210" s="17" t="str">
        <f>IF(COUNTIFS(Phrases!$A:$A,$A210,Phrases!$I:$I,"&lt;&gt;")&gt;0,"ok","à faire")</f>
        <v>à faire</v>
      </c>
      <c r="I210" s="17" t="str">
        <f>IF(COUNTIF(Synonymes!$A:$A,$A210)&gt;0,"ok","")</f>
        <v/>
      </c>
      <c r="J210" s="17">
        <f t="shared" si="3"/>
        <v>1</v>
      </c>
    </row>
    <row r="211" spans="1:10" x14ac:dyDescent="0.3">
      <c r="A211" s="17" t="s">
        <v>1360</v>
      </c>
      <c r="B211" s="17" t="str">
        <f>IFERROR(INDEX(Mots!$B:$B,MATCH($A211,Mots!$A:$A,0)),"introuvable")</f>
        <v>Assurance invalidité</v>
      </c>
      <c r="C211" s="17" t="str">
        <f>IFERROR(INDEX(Mots!$N:$N,MATCH($A211,Mots!$A:$A,0)),"")</f>
        <v>chose</v>
      </c>
      <c r="D211" s="17">
        <f>IFERROR(COUNTA(INDEX(Mots!$E:$E,MATCH($A211,Mots!$A:$A,0)):INDEX(Mots!$K:$K,MATCH($A211,Mots!$A:$A,0))),0)</f>
        <v>1</v>
      </c>
      <c r="E211" s="17" t="str">
        <f>IF(COUNTIF(Classement!$A:$A,$A211)&gt;0,"ok","à faire")</f>
        <v>ok</v>
      </c>
      <c r="F211" s="17" t="str">
        <f>IF(COUNTIF(Tags!$A:$A,$A211)&gt;0,"ok","à faire")</f>
        <v>ok</v>
      </c>
      <c r="G211" s="17" t="str">
        <f>IF(COUNTIF(Phrases!$A:$A,$A211)&gt;0,"ok","à faire")</f>
        <v>à faire</v>
      </c>
      <c r="H211" s="17" t="str">
        <f>IF(COUNTIFS(Phrases!$A:$A,$A211,Phrases!$I:$I,"&lt;&gt;")&gt;0,"ok","à faire")</f>
        <v>à faire</v>
      </c>
      <c r="I211" s="17" t="str">
        <f>IF(COUNTIF(Synonymes!$A:$A,$A211)&gt;0,"ok","")</f>
        <v/>
      </c>
      <c r="J211" s="17">
        <f t="shared" si="3"/>
        <v>2</v>
      </c>
    </row>
    <row r="212" spans="1:10" x14ac:dyDescent="0.3">
      <c r="A212" s="17" t="s">
        <v>1364</v>
      </c>
      <c r="B212" s="17" t="str">
        <f>IFERROR(INDEX(Mots!$B:$B,MATCH($A212,Mots!$A:$A,0)),"introuvable")</f>
        <v>Caisse de pensions ORAE</v>
      </c>
      <c r="C212" s="17" t="str">
        <f>IFERROR(INDEX(Mots!$N:$N,MATCH($A212,Mots!$A:$A,0)),"")</f>
        <v>chose</v>
      </c>
      <c r="D212" s="17">
        <f>IFERROR(COUNTA(INDEX(Mots!$E:$E,MATCH($A212,Mots!$A:$A,0)):INDEX(Mots!$K:$K,MATCH($A212,Mots!$A:$A,0))),0)</f>
        <v>1</v>
      </c>
      <c r="E212" s="17" t="str">
        <f>IF(COUNTIF(Classement!$A:$A,$A212)&gt;0,"ok","à faire")</f>
        <v>ok</v>
      </c>
      <c r="F212" s="17" t="str">
        <f>IF(COUNTIF(Tags!$A:$A,$A212)&gt;0,"ok","à faire")</f>
        <v>ok</v>
      </c>
      <c r="G212" s="17" t="str">
        <f>IF(COUNTIF(Phrases!$A:$A,$A212)&gt;0,"ok","à faire")</f>
        <v>à faire</v>
      </c>
      <c r="H212" s="17" t="str">
        <f>IF(COUNTIFS(Phrases!$A:$A,$A212,Phrases!$I:$I,"&lt;&gt;")&gt;0,"ok","à faire")</f>
        <v>à faire</v>
      </c>
      <c r="I212" s="17" t="str">
        <f>IF(COUNTIF(Synonymes!$A:$A,$A212)&gt;0,"ok","")</f>
        <v/>
      </c>
      <c r="J212" s="17">
        <f t="shared" si="3"/>
        <v>2</v>
      </c>
    </row>
    <row r="213" spans="1:10" x14ac:dyDescent="0.3">
      <c r="A213" s="17" t="s">
        <v>1368</v>
      </c>
      <c r="B213" s="17" t="str">
        <f>IFERROR(INDEX(Mots!$B:$B,MATCH($A213,Mots!$A:$A,0)),"introuvable")</f>
        <v>KPT assurance maladie</v>
      </c>
      <c r="C213" s="17" t="str">
        <f>IFERROR(INDEX(Mots!$N:$N,MATCH($A213,Mots!$A:$A,0)),"")</f>
        <v>chose</v>
      </c>
      <c r="D213" s="17">
        <f>IFERROR(COUNTA(INDEX(Mots!$E:$E,MATCH($A213,Mots!$A:$A,0)):INDEX(Mots!$K:$K,MATCH($A213,Mots!$A:$A,0))),0)</f>
        <v>1</v>
      </c>
      <c r="E213" s="17" t="str">
        <f>IF(COUNTIF(Classement!$A:$A,$A213)&gt;0,"ok","à faire")</f>
        <v>ok</v>
      </c>
      <c r="F213" s="17" t="str">
        <f>IF(COUNTIF(Tags!$A:$A,$A213)&gt;0,"ok","à faire")</f>
        <v>ok</v>
      </c>
      <c r="G213" s="17" t="str">
        <f>IF(COUNTIF(Phrases!$A:$A,$A213)&gt;0,"ok","à faire")</f>
        <v>à faire</v>
      </c>
      <c r="H213" s="17" t="str">
        <f>IF(COUNTIFS(Phrases!$A:$A,$A213,Phrases!$I:$I,"&lt;&gt;")&gt;0,"ok","à faire")</f>
        <v>à faire</v>
      </c>
      <c r="I213" s="17" t="str">
        <f>IF(COUNTIF(Synonymes!$A:$A,$A213)&gt;0,"ok","")</f>
        <v/>
      </c>
      <c r="J213" s="17">
        <f t="shared" si="3"/>
        <v>2</v>
      </c>
    </row>
    <row r="214" spans="1:10" x14ac:dyDescent="0.3">
      <c r="A214" s="17" t="s">
        <v>1372</v>
      </c>
      <c r="B214" s="17" t="str">
        <f>IFERROR(INDEX(Mots!$B:$B,MATCH($A214,Mots!$A:$A,0)),"introuvable")</f>
        <v>Banque Migros</v>
      </c>
      <c r="C214" s="17" t="str">
        <f>IFERROR(INDEX(Mots!$N:$N,MATCH($A214,Mots!$A:$A,0)),"")</f>
        <v>chose</v>
      </c>
      <c r="D214" s="17">
        <f>IFERROR(COUNTA(INDEX(Mots!$E:$E,MATCH($A214,Mots!$A:$A,0)):INDEX(Mots!$K:$K,MATCH($A214,Mots!$A:$A,0))),0)</f>
        <v>1</v>
      </c>
      <c r="E214" s="17" t="str">
        <f>IF(COUNTIF(Classement!$A:$A,$A214)&gt;0,"ok","à faire")</f>
        <v>ok</v>
      </c>
      <c r="F214" s="17" t="str">
        <f>IF(COUNTIF(Tags!$A:$A,$A214)&gt;0,"ok","à faire")</f>
        <v>ok</v>
      </c>
      <c r="G214" s="17" t="str">
        <f>IF(COUNTIF(Phrases!$A:$A,$A214)&gt;0,"ok","à faire")</f>
        <v>à faire</v>
      </c>
      <c r="H214" s="17" t="str">
        <f>IF(COUNTIFS(Phrases!$A:$A,$A214,Phrases!$I:$I,"&lt;&gt;")&gt;0,"ok","à faire")</f>
        <v>à faire</v>
      </c>
      <c r="I214" s="17" t="str">
        <f>IF(COUNTIF(Synonymes!$A:$A,$A214)&gt;0,"ok","")</f>
        <v/>
      </c>
      <c r="J214" s="17">
        <f t="shared" si="3"/>
        <v>2</v>
      </c>
    </row>
    <row r="215" spans="1:10" x14ac:dyDescent="0.3">
      <c r="A215" s="17" t="s">
        <v>1376</v>
      </c>
      <c r="B215" s="17" t="str">
        <f>IFERROR(INDEX(Mots!$B:$B,MATCH($A215,Mots!$A:$A,0)),"introuvable")</f>
        <v>Banque Raiffeisen</v>
      </c>
      <c r="C215" s="17" t="str">
        <f>IFERROR(INDEX(Mots!$N:$N,MATCH($A215,Mots!$A:$A,0)),"")</f>
        <v>chose</v>
      </c>
      <c r="D215" s="17">
        <f>IFERROR(COUNTA(INDEX(Mots!$E:$E,MATCH($A215,Mots!$A:$A,0)):INDEX(Mots!$K:$K,MATCH($A215,Mots!$A:$A,0))),0)</f>
        <v>1</v>
      </c>
      <c r="E215" s="17" t="str">
        <f>IF(COUNTIF(Classement!$A:$A,$A215)&gt;0,"ok","à faire")</f>
        <v>ok</v>
      </c>
      <c r="F215" s="17" t="str">
        <f>IF(COUNTIF(Tags!$A:$A,$A215)&gt;0,"ok","à faire")</f>
        <v>ok</v>
      </c>
      <c r="G215" s="17" t="str">
        <f>IF(COUNTIF(Phrases!$A:$A,$A215)&gt;0,"ok","à faire")</f>
        <v>à faire</v>
      </c>
      <c r="H215" s="17" t="str">
        <f>IF(COUNTIFS(Phrases!$A:$A,$A215,Phrases!$I:$I,"&lt;&gt;")&gt;0,"ok","à faire")</f>
        <v>à faire</v>
      </c>
      <c r="I215" s="17" t="str">
        <f>IF(COUNTIF(Synonymes!$A:$A,$A215)&gt;0,"ok","")</f>
        <v/>
      </c>
      <c r="J215" s="17">
        <f t="shared" si="3"/>
        <v>2</v>
      </c>
    </row>
    <row r="216" spans="1:10" x14ac:dyDescent="0.3">
      <c r="A216" s="17" t="s">
        <v>9664</v>
      </c>
      <c r="B216" s="17" t="str">
        <f>IFERROR(INDEX(Mots!$B:$B,MATCH($A216,Mots!$A:$A,0)),"introuvable")</f>
        <v>Assurance La Mobilière</v>
      </c>
      <c r="C216" s="17" t="str">
        <f>IFERROR(INDEX(Mots!$N:$N,MATCH($A216,Mots!$A:$A,0)),"")</f>
        <v>chose</v>
      </c>
      <c r="D216" s="17">
        <f>IFERROR(COUNTA(INDEX(Mots!$E:$E,MATCH($A216,Mots!$A:$A,0)):INDEX(Mots!$K:$K,MATCH($A216,Mots!$A:$A,0))),0)</f>
        <v>1</v>
      </c>
      <c r="E216" s="17" t="str">
        <f>IF(COUNTIF(Classement!$A:$A,$A216)&gt;0,"ok","à faire")</f>
        <v>ok</v>
      </c>
      <c r="F216" s="17" t="str">
        <f>IF(COUNTIF(Tags!$A:$A,$A216)&gt;0,"ok","à faire")</f>
        <v>ok</v>
      </c>
      <c r="G216" s="17" t="str">
        <f>IF(COUNTIF(Phrases!$A:$A,$A216)&gt;0,"ok","à faire")</f>
        <v>à faire</v>
      </c>
      <c r="H216" s="17" t="str">
        <f>IF(COUNTIFS(Phrases!$A:$A,$A216,Phrases!$I:$I,"&lt;&gt;")&gt;0,"ok","à faire")</f>
        <v>à faire</v>
      </c>
      <c r="I216" s="17" t="str">
        <f>IF(COUNTIF(Synonymes!$A:$A,$A216)&gt;0,"ok","")</f>
        <v/>
      </c>
      <c r="J216" s="17">
        <f t="shared" si="3"/>
        <v>2</v>
      </c>
    </row>
    <row r="217" spans="1:10" x14ac:dyDescent="0.3">
      <c r="A217" s="17" t="s">
        <v>1383</v>
      </c>
      <c r="B217" s="17" t="str">
        <f>IFERROR(INDEX(Mots!$B:$B,MATCH($A217,Mots!$A:$A,0)),"introuvable")</f>
        <v>Assurance Helvetia</v>
      </c>
      <c r="C217" s="17" t="str">
        <f>IFERROR(INDEX(Mots!$N:$N,MATCH($A217,Mots!$A:$A,0)),"")</f>
        <v>chose</v>
      </c>
      <c r="D217" s="17">
        <f>IFERROR(COUNTA(INDEX(Mots!$E:$E,MATCH($A217,Mots!$A:$A,0)):INDEX(Mots!$K:$K,MATCH($A217,Mots!$A:$A,0))),0)</f>
        <v>1</v>
      </c>
      <c r="E217" s="17" t="str">
        <f>IF(COUNTIF(Classement!$A:$A,$A217)&gt;0,"ok","à faire")</f>
        <v>ok</v>
      </c>
      <c r="F217" s="17" t="str">
        <f>IF(COUNTIF(Tags!$A:$A,$A217)&gt;0,"ok","à faire")</f>
        <v>ok</v>
      </c>
      <c r="G217" s="17" t="str">
        <f>IF(COUNTIF(Phrases!$A:$A,$A217)&gt;0,"ok","à faire")</f>
        <v>à faire</v>
      </c>
      <c r="H217" s="17" t="str">
        <f>IF(COUNTIFS(Phrases!$A:$A,$A217,Phrases!$I:$I,"&lt;&gt;")&gt;0,"ok","à faire")</f>
        <v>à faire</v>
      </c>
      <c r="I217" s="17" t="str">
        <f>IF(COUNTIF(Synonymes!$A:$A,$A217)&gt;0,"ok","")</f>
        <v/>
      </c>
      <c r="J217" s="17">
        <f t="shared" si="3"/>
        <v>2</v>
      </c>
    </row>
    <row r="218" spans="1:10" x14ac:dyDescent="0.3">
      <c r="A218" s="17" t="s">
        <v>9459</v>
      </c>
      <c r="B218" s="17" t="str">
        <f>IFERROR(INDEX(Mots!$B:$B,MATCH($A218,Mots!$A:$A,0)),"introuvable")</f>
        <v>la carte</v>
      </c>
      <c r="C218" s="17" t="str">
        <f>IFERROR(INDEX(Mots!$N:$N,MATCH($A218,Mots!$A:$A,0)),"")</f>
        <v>chose</v>
      </c>
      <c r="D218" s="17">
        <f>IFERROR(COUNTA(INDEX(Mots!$E:$E,MATCH($A218,Mots!$A:$A,0)):INDEX(Mots!$K:$K,MATCH($A218,Mots!$A:$A,0))),0)</f>
        <v>1</v>
      </c>
      <c r="E218" s="17" t="str">
        <f>IF(COUNTIF(Classement!$A:$A,$A218)&gt;0,"ok","à faire")</f>
        <v>ok</v>
      </c>
      <c r="F218" s="17" t="str">
        <f>IF(COUNTIF(Tags!$A:$A,$A218)&gt;0,"ok","à faire")</f>
        <v>ok</v>
      </c>
      <c r="G218" s="17" t="str">
        <f>IF(COUNTIF(Phrases!$A:$A,$A218)&gt;0,"ok","à faire")</f>
        <v>ok</v>
      </c>
      <c r="H218" s="17" t="str">
        <f>IF(COUNTIFS(Phrases!$A:$A,$A218,Phrases!$I:$I,"&lt;&gt;")&gt;0,"ok","à faire")</f>
        <v>à faire</v>
      </c>
      <c r="I218" s="17" t="str">
        <f>IF(COUNTIF(Synonymes!$A:$A,$A218)&gt;0,"ok","")</f>
        <v/>
      </c>
      <c r="J218" s="17">
        <f t="shared" si="3"/>
        <v>1</v>
      </c>
    </row>
    <row r="219" spans="1:10" x14ac:dyDescent="0.3">
      <c r="A219" s="17" t="s">
        <v>1390</v>
      </c>
      <c r="B219" s="17" t="str">
        <f>IFERROR(INDEX(Mots!$B:$B,MATCH($A219,Mots!$A:$A,0)),"introuvable")</f>
        <v>le prêt hypothécaire</v>
      </c>
      <c r="C219" s="17" t="str">
        <f>IFERROR(INDEX(Mots!$N:$N,MATCH($A219,Mots!$A:$A,0)),"")</f>
        <v>chose</v>
      </c>
      <c r="D219" s="17">
        <f>IFERROR(COUNTA(INDEX(Mots!$E:$E,MATCH($A219,Mots!$A:$A,0)):INDEX(Mots!$K:$K,MATCH($A219,Mots!$A:$A,0))),0)</f>
        <v>1</v>
      </c>
      <c r="E219" s="17" t="str">
        <f>IF(COUNTIF(Classement!$A:$A,$A219)&gt;0,"ok","à faire")</f>
        <v>ok</v>
      </c>
      <c r="F219" s="17" t="str">
        <f>IF(COUNTIF(Tags!$A:$A,$A219)&gt;0,"ok","à faire")</f>
        <v>ok</v>
      </c>
      <c r="G219" s="17" t="str">
        <f>IF(COUNTIF(Phrases!$A:$A,$A219)&gt;0,"ok","à faire")</f>
        <v>ok</v>
      </c>
      <c r="H219" s="17" t="str">
        <f>IF(COUNTIFS(Phrases!$A:$A,$A219,Phrases!$I:$I,"&lt;&gt;")&gt;0,"ok","à faire")</f>
        <v>à faire</v>
      </c>
      <c r="I219" s="17" t="str">
        <f>IF(COUNTIF(Synonymes!$A:$A,$A219)&gt;0,"ok","")</f>
        <v>ok</v>
      </c>
      <c r="J219" s="17">
        <f t="shared" si="3"/>
        <v>1</v>
      </c>
    </row>
    <row r="220" spans="1:10" x14ac:dyDescent="0.3">
      <c r="A220" s="17" t="s">
        <v>1394</v>
      </c>
      <c r="B220" s="17" t="str">
        <f>IFERROR(INDEX(Mots!$B:$B,MATCH($A220,Mots!$A:$A,0)),"introuvable")</f>
        <v>le billet de banque</v>
      </c>
      <c r="C220" s="17" t="str">
        <f>IFERROR(INDEX(Mots!$N:$N,MATCH($A220,Mots!$A:$A,0)),"")</f>
        <v>chose</v>
      </c>
      <c r="D220" s="17">
        <f>IFERROR(COUNTA(INDEX(Mots!$E:$E,MATCH($A220,Mots!$A:$A,0)):INDEX(Mots!$K:$K,MATCH($A220,Mots!$A:$A,0))),0)</f>
        <v>1</v>
      </c>
      <c r="E220" s="17" t="str">
        <f>IF(COUNTIF(Classement!$A:$A,$A220)&gt;0,"ok","à faire")</f>
        <v>ok</v>
      </c>
      <c r="F220" s="17" t="str">
        <f>IF(COUNTIF(Tags!$A:$A,$A220)&gt;0,"ok","à faire")</f>
        <v>ok</v>
      </c>
      <c r="G220" s="17" t="str">
        <f>IF(COUNTIF(Phrases!$A:$A,$A220)&gt;0,"ok","à faire")</f>
        <v>à faire</v>
      </c>
      <c r="H220" s="17" t="str">
        <f>IF(COUNTIFS(Phrases!$A:$A,$A220,Phrases!$I:$I,"&lt;&gt;")&gt;0,"ok","à faire")</f>
        <v>à faire</v>
      </c>
      <c r="I220" s="17" t="str">
        <f>IF(COUNTIF(Synonymes!$A:$A,$A220)&gt;0,"ok","")</f>
        <v/>
      </c>
      <c r="J220" s="17">
        <f t="shared" si="3"/>
        <v>2</v>
      </c>
    </row>
    <row r="221" spans="1:10" x14ac:dyDescent="0.3">
      <c r="A221" s="17" t="s">
        <v>1398</v>
      </c>
      <c r="B221" s="17" t="str">
        <f>IFERROR(INDEX(Mots!$B:$B,MATCH($A221,Mots!$A:$A,0)),"introuvable")</f>
        <v>la pièce de monnaie</v>
      </c>
      <c r="C221" s="17" t="str">
        <f>IFERROR(INDEX(Mots!$N:$N,MATCH($A221,Mots!$A:$A,0)),"")</f>
        <v>chose</v>
      </c>
      <c r="D221" s="17">
        <f>IFERROR(COUNTA(INDEX(Mots!$E:$E,MATCH($A221,Mots!$A:$A,0)):INDEX(Mots!$K:$K,MATCH($A221,Mots!$A:$A,0))),0)</f>
        <v>1</v>
      </c>
      <c r="E221" s="17" t="str">
        <f>IF(COUNTIF(Classement!$A:$A,$A221)&gt;0,"ok","à faire")</f>
        <v>ok</v>
      </c>
      <c r="F221" s="17" t="str">
        <f>IF(COUNTIF(Tags!$A:$A,$A221)&gt;0,"ok","à faire")</f>
        <v>ok</v>
      </c>
      <c r="G221" s="17" t="str">
        <f>IF(COUNTIF(Phrases!$A:$A,$A221)&gt;0,"ok","à faire")</f>
        <v>ok</v>
      </c>
      <c r="H221" s="17" t="str">
        <f>IF(COUNTIFS(Phrases!$A:$A,$A221,Phrases!$I:$I,"&lt;&gt;")&gt;0,"ok","à faire")</f>
        <v>à faire</v>
      </c>
      <c r="I221" s="17" t="str">
        <f>IF(COUNTIF(Synonymes!$A:$A,$A221)&gt;0,"ok","")</f>
        <v>ok</v>
      </c>
      <c r="J221" s="17">
        <f t="shared" si="3"/>
        <v>1</v>
      </c>
    </row>
    <row r="222" spans="1:10" x14ac:dyDescent="0.3">
      <c r="A222" s="17" t="s">
        <v>1402</v>
      </c>
      <c r="B222" s="17" t="str">
        <f>IFERROR(INDEX(Mots!$B:$B,MATCH($A222,Mots!$A:$A,0)),"introuvable")</f>
        <v>le code</v>
      </c>
      <c r="C222" s="17" t="str">
        <f>IFERROR(INDEX(Mots!$N:$N,MATCH($A222,Mots!$A:$A,0)),"")</f>
        <v>chose</v>
      </c>
      <c r="D222" s="17">
        <f>IFERROR(COUNTA(INDEX(Mots!$E:$E,MATCH($A222,Mots!$A:$A,0)):INDEX(Mots!$K:$K,MATCH($A222,Mots!$A:$A,0))),0)</f>
        <v>1</v>
      </c>
      <c r="E222" s="17" t="str">
        <f>IF(COUNTIF(Classement!$A:$A,$A222)&gt;0,"ok","à faire")</f>
        <v>ok</v>
      </c>
      <c r="F222" s="17" t="str">
        <f>IF(COUNTIF(Tags!$A:$A,$A222)&gt;0,"ok","à faire")</f>
        <v>ok</v>
      </c>
      <c r="G222" s="17" t="str">
        <f>IF(COUNTIF(Phrases!$A:$A,$A222)&gt;0,"ok","à faire")</f>
        <v>ok</v>
      </c>
      <c r="H222" s="17" t="str">
        <f>IF(COUNTIFS(Phrases!$A:$A,$A222,Phrases!$I:$I,"&lt;&gt;")&gt;0,"ok","à faire")</f>
        <v>ok</v>
      </c>
      <c r="I222" s="17" t="str">
        <f>IF(COUNTIF(Synonymes!$A:$A,$A222)&gt;0,"ok","")</f>
        <v/>
      </c>
      <c r="J222" s="17">
        <f t="shared" si="3"/>
        <v>0</v>
      </c>
    </row>
    <row r="223" spans="1:10" x14ac:dyDescent="0.3">
      <c r="A223" s="17" t="s">
        <v>1406</v>
      </c>
      <c r="B223" s="17" t="str">
        <f>IFERROR(INDEX(Mots!$B:$B,MATCH($A223,Mots!$A:$A,0)),"introuvable")</f>
        <v>le compte</v>
      </c>
      <c r="C223" s="17" t="str">
        <f>IFERROR(INDEX(Mots!$N:$N,MATCH($A223,Mots!$A:$A,0)),"")</f>
        <v>chose</v>
      </c>
      <c r="D223" s="17">
        <f>IFERROR(COUNTA(INDEX(Mots!$E:$E,MATCH($A223,Mots!$A:$A,0)):INDEX(Mots!$K:$K,MATCH($A223,Mots!$A:$A,0))),0)</f>
        <v>1</v>
      </c>
      <c r="E223" s="17" t="str">
        <f>IF(COUNTIF(Classement!$A:$A,$A223)&gt;0,"ok","à faire")</f>
        <v>ok</v>
      </c>
      <c r="F223" s="17" t="str">
        <f>IF(COUNTIF(Tags!$A:$A,$A223)&gt;0,"ok","à faire")</f>
        <v>ok</v>
      </c>
      <c r="G223" s="17" t="str">
        <f>IF(COUNTIF(Phrases!$A:$A,$A223)&gt;0,"ok","à faire")</f>
        <v>ok</v>
      </c>
      <c r="H223" s="17" t="str">
        <f>IF(COUNTIFS(Phrases!$A:$A,$A223,Phrases!$I:$I,"&lt;&gt;")&gt;0,"ok","à faire")</f>
        <v>à faire</v>
      </c>
      <c r="I223" s="17" t="str">
        <f>IF(COUNTIF(Synonymes!$A:$A,$A223)&gt;0,"ok","")</f>
        <v/>
      </c>
      <c r="J223" s="17">
        <f t="shared" si="3"/>
        <v>1</v>
      </c>
    </row>
    <row r="224" spans="1:10" x14ac:dyDescent="0.3">
      <c r="A224" s="17" t="s">
        <v>1410</v>
      </c>
      <c r="B224" s="17" t="str">
        <f>IFERROR(INDEX(Mots!$B:$B,MATCH($A224,Mots!$A:$A,0)),"introuvable")</f>
        <v>le guichet</v>
      </c>
      <c r="C224" s="17" t="str">
        <f>IFERROR(INDEX(Mots!$N:$N,MATCH($A224,Mots!$A:$A,0)),"")</f>
        <v>chose</v>
      </c>
      <c r="D224" s="17">
        <f>IFERROR(COUNTA(INDEX(Mots!$E:$E,MATCH($A224,Mots!$A:$A,0)):INDEX(Mots!$K:$K,MATCH($A224,Mots!$A:$A,0))),0)</f>
        <v>1</v>
      </c>
      <c r="E224" s="17" t="str">
        <f>IF(COUNTIF(Classement!$A:$A,$A224)&gt;0,"ok","à faire")</f>
        <v>ok</v>
      </c>
      <c r="F224" s="17" t="str">
        <f>IF(COUNTIF(Tags!$A:$A,$A224)&gt;0,"ok","à faire")</f>
        <v>ok</v>
      </c>
      <c r="G224" s="17" t="str">
        <f>IF(COUNTIF(Phrases!$A:$A,$A224)&gt;0,"ok","à faire")</f>
        <v>ok</v>
      </c>
      <c r="H224" s="17" t="str">
        <f>IF(COUNTIFS(Phrases!$A:$A,$A224,Phrases!$I:$I,"&lt;&gt;")&gt;0,"ok","à faire")</f>
        <v>ok</v>
      </c>
      <c r="I224" s="17" t="str">
        <f>IF(COUNTIF(Synonymes!$A:$A,$A224)&gt;0,"ok","")</f>
        <v/>
      </c>
      <c r="J224" s="17">
        <f t="shared" si="3"/>
        <v>0</v>
      </c>
    </row>
    <row r="225" spans="1:10" x14ac:dyDescent="0.3">
      <c r="A225" s="17" t="s">
        <v>1414</v>
      </c>
      <c r="B225" s="17" t="str">
        <f>IFERROR(INDEX(Mots!$B:$B,MATCH($A225,Mots!$A:$A,0)),"introuvable")</f>
        <v>le retrait</v>
      </c>
      <c r="C225" s="17" t="str">
        <f>IFERROR(INDEX(Mots!$N:$N,MATCH($A225,Mots!$A:$A,0)),"")</f>
        <v>chose</v>
      </c>
      <c r="D225" s="17">
        <f>IFERROR(COUNTA(INDEX(Mots!$E:$E,MATCH($A225,Mots!$A:$A,0)):INDEX(Mots!$K:$K,MATCH($A225,Mots!$A:$A,0))),0)</f>
        <v>1</v>
      </c>
      <c r="E225" s="17" t="str">
        <f>IF(COUNTIF(Classement!$A:$A,$A225)&gt;0,"ok","à faire")</f>
        <v>ok</v>
      </c>
      <c r="F225" s="17" t="str">
        <f>IF(COUNTIF(Tags!$A:$A,$A225)&gt;0,"ok","à faire")</f>
        <v>ok</v>
      </c>
      <c r="G225" s="17" t="str">
        <f>IF(COUNTIF(Phrases!$A:$A,$A225)&gt;0,"ok","à faire")</f>
        <v>ok</v>
      </c>
      <c r="H225" s="17" t="str">
        <f>IF(COUNTIFS(Phrases!$A:$A,$A225,Phrases!$I:$I,"&lt;&gt;")&gt;0,"ok","à faire")</f>
        <v>ok</v>
      </c>
      <c r="I225" s="17" t="str">
        <f>IF(COUNTIF(Synonymes!$A:$A,$A225)&gt;0,"ok","")</f>
        <v/>
      </c>
      <c r="J225" s="17">
        <f t="shared" si="3"/>
        <v>0</v>
      </c>
    </row>
    <row r="226" spans="1:10" x14ac:dyDescent="0.3">
      <c r="A226" s="17" t="s">
        <v>1418</v>
      </c>
      <c r="B226" s="17" t="str">
        <f>IFERROR(INDEX(Mots!$B:$B,MATCH($A226,Mots!$A:$A,0)),"introuvable")</f>
        <v>le solde</v>
      </c>
      <c r="C226" s="17" t="str">
        <f>IFERROR(INDEX(Mots!$N:$N,MATCH($A226,Mots!$A:$A,0)),"")</f>
        <v>chose</v>
      </c>
      <c r="D226" s="17">
        <f>IFERROR(COUNTA(INDEX(Mots!$E:$E,MATCH($A226,Mots!$A:$A,0)):INDEX(Mots!$K:$K,MATCH($A226,Mots!$A:$A,0))),0)</f>
        <v>1</v>
      </c>
      <c r="E226" s="17" t="str">
        <f>IF(COUNTIF(Classement!$A:$A,$A226)&gt;0,"ok","à faire")</f>
        <v>ok</v>
      </c>
      <c r="F226" s="17" t="str">
        <f>IF(COUNTIF(Tags!$A:$A,$A226)&gt;0,"ok","à faire")</f>
        <v>ok</v>
      </c>
      <c r="G226" s="17" t="str">
        <f>IF(COUNTIF(Phrases!$A:$A,$A226)&gt;0,"ok","à faire")</f>
        <v>ok</v>
      </c>
      <c r="H226" s="17" t="str">
        <f>IF(COUNTIFS(Phrases!$A:$A,$A226,Phrases!$I:$I,"&lt;&gt;")&gt;0,"ok","à faire")</f>
        <v>à faire</v>
      </c>
      <c r="I226" s="17" t="str">
        <f>IF(COUNTIF(Synonymes!$A:$A,$A226)&gt;0,"ok","")</f>
        <v/>
      </c>
      <c r="J226" s="17">
        <f t="shared" si="3"/>
        <v>1</v>
      </c>
    </row>
    <row r="227" spans="1:10" x14ac:dyDescent="0.3">
      <c r="A227" s="17" t="s">
        <v>1422</v>
      </c>
      <c r="B227" s="17" t="str">
        <f>IFERROR(INDEX(Mots!$B:$B,MATCH($A227,Mots!$A:$A,0)),"introuvable")</f>
        <v>le virement</v>
      </c>
      <c r="C227" s="17" t="str">
        <f>IFERROR(INDEX(Mots!$N:$N,MATCH($A227,Mots!$A:$A,0)),"")</f>
        <v>chose</v>
      </c>
      <c r="D227" s="17">
        <f>IFERROR(COUNTA(INDEX(Mots!$E:$E,MATCH($A227,Mots!$A:$A,0)):INDEX(Mots!$K:$K,MATCH($A227,Mots!$A:$A,0))),0)</f>
        <v>1</v>
      </c>
      <c r="E227" s="17" t="str">
        <f>IF(COUNTIF(Classement!$A:$A,$A227)&gt;0,"ok","à faire")</f>
        <v>ok</v>
      </c>
      <c r="F227" s="17" t="str">
        <f>IF(COUNTIF(Tags!$A:$A,$A227)&gt;0,"ok","à faire")</f>
        <v>ok</v>
      </c>
      <c r="G227" s="17" t="str">
        <f>IF(COUNTIF(Phrases!$A:$A,$A227)&gt;0,"ok","à faire")</f>
        <v>ok</v>
      </c>
      <c r="H227" s="17" t="str">
        <f>IF(COUNTIFS(Phrases!$A:$A,$A227,Phrases!$I:$I,"&lt;&gt;")&gt;0,"ok","à faire")</f>
        <v>ok</v>
      </c>
      <c r="I227" s="17" t="str">
        <f>IF(COUNTIF(Synonymes!$A:$A,$A227)&gt;0,"ok","")</f>
        <v>ok</v>
      </c>
      <c r="J227" s="17">
        <f t="shared" si="3"/>
        <v>0</v>
      </c>
    </row>
    <row r="228" spans="1:10" x14ac:dyDescent="0.3">
      <c r="A228" s="17" t="s">
        <v>1426</v>
      </c>
      <c r="B228" s="17" t="str">
        <f>IFERROR(INDEX(Mots!$B:$B,MATCH($A228,Mots!$A:$A,0)),"introuvable")</f>
        <v>l'intérêt</v>
      </c>
      <c r="C228" s="17" t="str">
        <f>IFERROR(INDEX(Mots!$N:$N,MATCH($A228,Mots!$A:$A,0)),"")</f>
        <v>chose</v>
      </c>
      <c r="D228" s="17">
        <f>IFERROR(COUNTA(INDEX(Mots!$E:$E,MATCH($A228,Mots!$A:$A,0)):INDEX(Mots!$K:$K,MATCH($A228,Mots!$A:$A,0))),0)</f>
        <v>1</v>
      </c>
      <c r="E228" s="17" t="str">
        <f>IF(COUNTIF(Classement!$A:$A,$A228)&gt;0,"ok","à faire")</f>
        <v>ok</v>
      </c>
      <c r="F228" s="17" t="str">
        <f>IF(COUNTIF(Tags!$A:$A,$A228)&gt;0,"ok","à faire")</f>
        <v>ok</v>
      </c>
      <c r="G228" s="17" t="str">
        <f>IF(COUNTIF(Phrases!$A:$A,$A228)&gt;0,"ok","à faire")</f>
        <v>ok</v>
      </c>
      <c r="H228" s="17" t="str">
        <f>IF(COUNTIFS(Phrases!$A:$A,$A228,Phrases!$I:$I,"&lt;&gt;")&gt;0,"ok","à faire")</f>
        <v>à faire</v>
      </c>
      <c r="I228" s="17" t="str">
        <f>IF(COUNTIF(Synonymes!$A:$A,$A228)&gt;0,"ok","")</f>
        <v/>
      </c>
      <c r="J228" s="17">
        <f t="shared" si="3"/>
        <v>1</v>
      </c>
    </row>
    <row r="229" spans="1:10" x14ac:dyDescent="0.3">
      <c r="A229" s="17" t="s">
        <v>1430</v>
      </c>
      <c r="B229" s="17" t="str">
        <f>IFERROR(INDEX(Mots!$B:$B,MATCH($A229,Mots!$A:$A,0)),"introuvable")</f>
        <v>l'Administration communale de Conthey</v>
      </c>
      <c r="C229" s="17" t="str">
        <f>IFERROR(INDEX(Mots!$N:$N,MATCH($A229,Mots!$A:$A,0)),"")</f>
        <v>lieu</v>
      </c>
      <c r="D229" s="17">
        <f>IFERROR(COUNTA(INDEX(Mots!$E:$E,MATCH($A229,Mots!$A:$A,0)):INDEX(Mots!$K:$K,MATCH($A229,Mots!$A:$A,0))),0)</f>
        <v>1</v>
      </c>
      <c r="E229" s="17" t="str">
        <f>IF(COUNTIF(Classement!$A:$A,$A229)&gt;0,"ok","à faire")</f>
        <v>ok</v>
      </c>
      <c r="F229" s="17" t="str">
        <f>IF(COUNTIF(Tags!$A:$A,$A229)&gt;0,"ok","à faire")</f>
        <v>ok</v>
      </c>
      <c r="G229" s="17" t="str">
        <f>IF(COUNTIF(Phrases!$A:$A,$A229)&gt;0,"ok","à faire")</f>
        <v>à faire</v>
      </c>
      <c r="H229" s="17" t="str">
        <f>IF(COUNTIFS(Phrases!$A:$A,$A229,Phrases!$I:$I,"&lt;&gt;")&gt;0,"ok","à faire")</f>
        <v>à faire</v>
      </c>
      <c r="I229" s="17" t="str">
        <f>IF(COUNTIF(Synonymes!$A:$A,$A229)&gt;0,"ok","")</f>
        <v/>
      </c>
      <c r="J229" s="17">
        <f t="shared" si="3"/>
        <v>2</v>
      </c>
    </row>
    <row r="230" spans="1:10" x14ac:dyDescent="0.3">
      <c r="A230" s="17" t="s">
        <v>1435</v>
      </c>
      <c r="B230" s="17" t="str">
        <f>IFERROR(INDEX(Mots!$B:$B,MATCH($A230,Mots!$A:$A,0)),"introuvable")</f>
        <v>l'école primaire de Erde</v>
      </c>
      <c r="C230" s="17" t="str">
        <f>IFERROR(INDEX(Mots!$N:$N,MATCH($A230,Mots!$A:$A,0)),"")</f>
        <v>lieu</v>
      </c>
      <c r="D230" s="17">
        <f>IFERROR(COUNTA(INDEX(Mots!$E:$E,MATCH($A230,Mots!$A:$A,0)):INDEX(Mots!$K:$K,MATCH($A230,Mots!$A:$A,0))),0)</f>
        <v>1</v>
      </c>
      <c r="E230" s="17" t="str">
        <f>IF(COUNTIF(Classement!$A:$A,$A230)&gt;0,"ok","à faire")</f>
        <v>ok</v>
      </c>
      <c r="F230" s="17" t="str">
        <f>IF(COUNTIF(Tags!$A:$A,$A230)&gt;0,"ok","à faire")</f>
        <v>ok</v>
      </c>
      <c r="G230" s="17" t="str">
        <f>IF(COUNTIF(Phrases!$A:$A,$A230)&gt;0,"ok","à faire")</f>
        <v>à faire</v>
      </c>
      <c r="H230" s="17" t="str">
        <f>IF(COUNTIFS(Phrases!$A:$A,$A230,Phrases!$I:$I,"&lt;&gt;")&gt;0,"ok","à faire")</f>
        <v>à faire</v>
      </c>
      <c r="I230" s="17" t="str">
        <f>IF(COUNTIF(Synonymes!$A:$A,$A230)&gt;0,"ok","")</f>
        <v/>
      </c>
      <c r="J230" s="17">
        <f t="shared" si="3"/>
        <v>2</v>
      </c>
    </row>
    <row r="231" spans="1:10" x14ac:dyDescent="0.3">
      <c r="A231" s="17" t="s">
        <v>1439</v>
      </c>
      <c r="B231" s="17" t="str">
        <f>IFERROR(INDEX(Mots!$B:$B,MATCH($A231,Mots!$A:$A,0)),"introuvable")</f>
        <v>l'église</v>
      </c>
      <c r="C231" s="17" t="str">
        <f>IFERROR(INDEX(Mots!$N:$N,MATCH($A231,Mots!$A:$A,0)),"")</f>
        <v>lieu</v>
      </c>
      <c r="D231" s="17">
        <f>IFERROR(COUNTA(INDEX(Mots!$E:$E,MATCH($A231,Mots!$A:$A,0)):INDEX(Mots!$K:$K,MATCH($A231,Mots!$A:$A,0))),0)</f>
        <v>1</v>
      </c>
      <c r="E231" s="17" t="str">
        <f>IF(COUNTIF(Classement!$A:$A,$A231)&gt;0,"ok","à faire")</f>
        <v>ok</v>
      </c>
      <c r="F231" s="17" t="str">
        <f>IF(COUNTIF(Tags!$A:$A,$A231)&gt;0,"ok","à faire")</f>
        <v>ok</v>
      </c>
      <c r="G231" s="17" t="str">
        <f>IF(COUNTIF(Phrases!$A:$A,$A231)&gt;0,"ok","à faire")</f>
        <v>ok</v>
      </c>
      <c r="H231" s="17" t="str">
        <f>IF(COUNTIFS(Phrases!$A:$A,$A231,Phrases!$I:$I,"&lt;&gt;")&gt;0,"ok","à faire")</f>
        <v>à faire</v>
      </c>
      <c r="I231" s="17" t="str">
        <f>IF(COUNTIF(Synonymes!$A:$A,$A231)&gt;0,"ok","")</f>
        <v/>
      </c>
      <c r="J231" s="17">
        <f t="shared" si="3"/>
        <v>1</v>
      </c>
    </row>
    <row r="232" spans="1:10" x14ac:dyDescent="0.3">
      <c r="A232" s="17" t="s">
        <v>1444</v>
      </c>
      <c r="B232" s="17" t="str">
        <f>IFERROR(INDEX(Mots!$B:$B,MATCH($A232,Mots!$A:$A,0)),"introuvable")</f>
        <v>Migros Partenaire à Erde</v>
      </c>
      <c r="C232" s="17" t="str">
        <f>IFERROR(INDEX(Mots!$N:$N,MATCH($A232,Mots!$A:$A,0)),"")</f>
        <v>lieu</v>
      </c>
      <c r="D232" s="17">
        <f>IFERROR(COUNTA(INDEX(Mots!$E:$E,MATCH($A232,Mots!$A:$A,0)):INDEX(Mots!$K:$K,MATCH($A232,Mots!$A:$A,0))),0)</f>
        <v>3</v>
      </c>
      <c r="E232" s="17" t="str">
        <f>IF(COUNTIF(Classement!$A:$A,$A232)&gt;0,"ok","à faire")</f>
        <v>ok</v>
      </c>
      <c r="F232" s="17" t="str">
        <f>IF(COUNTIF(Tags!$A:$A,$A232)&gt;0,"ok","à faire")</f>
        <v>ok</v>
      </c>
      <c r="G232" s="17" t="str">
        <f>IF(COUNTIF(Phrases!$A:$A,$A232)&gt;0,"ok","à faire")</f>
        <v>à faire</v>
      </c>
      <c r="H232" s="17" t="str">
        <f>IF(COUNTIFS(Phrases!$A:$A,$A232,Phrases!$I:$I,"&lt;&gt;")&gt;0,"ok","à faire")</f>
        <v>à faire</v>
      </c>
      <c r="I232" s="17" t="str">
        <f>IF(COUNTIF(Synonymes!$A:$A,$A232)&gt;0,"ok","")</f>
        <v/>
      </c>
      <c r="J232" s="17">
        <f t="shared" si="3"/>
        <v>2</v>
      </c>
    </row>
    <row r="233" spans="1:10" x14ac:dyDescent="0.3">
      <c r="A233" s="17" t="s">
        <v>1450</v>
      </c>
      <c r="B233" s="17" t="str">
        <f>IFERROR(INDEX(Mots!$B:$B,MATCH($A233,Mots!$A:$A,0)),"introuvable")</f>
        <v>la station service</v>
      </c>
      <c r="C233" s="17" t="str">
        <f>IFERROR(INDEX(Mots!$N:$N,MATCH($A233,Mots!$A:$A,0)),"")</f>
        <v>lieu</v>
      </c>
      <c r="D233" s="17">
        <f>IFERROR(COUNTA(INDEX(Mots!$E:$E,MATCH($A233,Mots!$A:$A,0)):INDEX(Mots!$K:$K,MATCH($A233,Mots!$A:$A,0))),0)</f>
        <v>1</v>
      </c>
      <c r="E233" s="17" t="str">
        <f>IF(COUNTIF(Classement!$A:$A,$A233)&gt;0,"ok","à faire")</f>
        <v>ok</v>
      </c>
      <c r="F233" s="17" t="str">
        <f>IF(COUNTIF(Tags!$A:$A,$A233)&gt;0,"ok","à faire")</f>
        <v>ok</v>
      </c>
      <c r="G233" s="17" t="str">
        <f>IF(COUNTIF(Phrases!$A:$A,$A233)&gt;0,"ok","à faire")</f>
        <v>à faire</v>
      </c>
      <c r="H233" s="17" t="str">
        <f>IF(COUNTIFS(Phrases!$A:$A,$A233,Phrases!$I:$I,"&lt;&gt;")&gt;0,"ok","à faire")</f>
        <v>à faire</v>
      </c>
      <c r="I233" s="17" t="str">
        <f>IF(COUNTIF(Synonymes!$A:$A,$A233)&gt;0,"ok","")</f>
        <v/>
      </c>
      <c r="J233" s="17">
        <f t="shared" si="3"/>
        <v>2</v>
      </c>
    </row>
    <row r="234" spans="1:10" x14ac:dyDescent="0.3">
      <c r="A234" s="17" t="s">
        <v>1454</v>
      </c>
      <c r="B234" s="17" t="str">
        <f>IFERROR(INDEX(Mots!$B:$B,MATCH($A234,Mots!$A:$A,0)),"introuvable")</f>
        <v>le Garage du Nord de Conthey</v>
      </c>
      <c r="C234" s="17" t="str">
        <f>IFERROR(INDEX(Mots!$N:$N,MATCH($A234,Mots!$A:$A,0)),"")</f>
        <v>lieu</v>
      </c>
      <c r="D234" s="17">
        <f>IFERROR(COUNTA(INDEX(Mots!$E:$E,MATCH($A234,Mots!$A:$A,0)):INDEX(Mots!$K:$K,MATCH($A234,Mots!$A:$A,0))),0)</f>
        <v>1</v>
      </c>
      <c r="E234" s="17" t="str">
        <f>IF(COUNTIF(Classement!$A:$A,$A234)&gt;0,"ok","à faire")</f>
        <v>ok</v>
      </c>
      <c r="F234" s="17" t="str">
        <f>IF(COUNTIF(Tags!$A:$A,$A234)&gt;0,"ok","à faire")</f>
        <v>ok</v>
      </c>
      <c r="G234" s="17" t="str">
        <f>IF(COUNTIF(Phrases!$A:$A,$A234)&gt;0,"ok","à faire")</f>
        <v>à faire</v>
      </c>
      <c r="H234" s="17" t="str">
        <f>IF(COUNTIFS(Phrases!$A:$A,$A234,Phrases!$I:$I,"&lt;&gt;")&gt;0,"ok","à faire")</f>
        <v>à faire</v>
      </c>
      <c r="I234" s="17" t="str">
        <f>IF(COUNTIF(Synonymes!$A:$A,$A234)&gt;0,"ok","")</f>
        <v/>
      </c>
      <c r="J234" s="17">
        <f t="shared" si="3"/>
        <v>2</v>
      </c>
    </row>
    <row r="235" spans="1:10" x14ac:dyDescent="0.3">
      <c r="A235" s="17" t="s">
        <v>1458</v>
      </c>
      <c r="B235" s="17" t="str">
        <f>IFERROR(INDEX(Mots!$B:$B,MATCH($A235,Mots!$A:$A,0)),"introuvable")</f>
        <v>la Salle polyvalente de Conthey</v>
      </c>
      <c r="C235" s="17" t="str">
        <f>IFERROR(INDEX(Mots!$N:$N,MATCH($A235,Mots!$A:$A,0)),"")</f>
        <v>lieu</v>
      </c>
      <c r="D235" s="17">
        <f>IFERROR(COUNTA(INDEX(Mots!$E:$E,MATCH($A235,Mots!$A:$A,0)):INDEX(Mots!$K:$K,MATCH($A235,Mots!$A:$A,0))),0)</f>
        <v>1</v>
      </c>
      <c r="E235" s="17" t="str">
        <f>IF(COUNTIF(Classement!$A:$A,$A235)&gt;0,"ok","à faire")</f>
        <v>ok</v>
      </c>
      <c r="F235" s="17" t="str">
        <f>IF(COUNTIF(Tags!$A:$A,$A235)&gt;0,"ok","à faire")</f>
        <v>ok</v>
      </c>
      <c r="G235" s="17" t="str">
        <f>IF(COUNTIF(Phrases!$A:$A,$A235)&gt;0,"ok","à faire")</f>
        <v>à faire</v>
      </c>
      <c r="H235" s="17" t="str">
        <f>IF(COUNTIFS(Phrases!$A:$A,$A235,Phrases!$I:$I,"&lt;&gt;")&gt;0,"ok","à faire")</f>
        <v>à faire</v>
      </c>
      <c r="I235" s="17" t="str">
        <f>IF(COUNTIF(Synonymes!$A:$A,$A235)&gt;0,"ok","")</f>
        <v/>
      </c>
      <c r="J235" s="17">
        <f t="shared" si="3"/>
        <v>2</v>
      </c>
    </row>
    <row r="236" spans="1:10" x14ac:dyDescent="0.3">
      <c r="A236" s="17" t="s">
        <v>1462</v>
      </c>
      <c r="B236" s="17" t="str">
        <f>IFERROR(INDEX(Mots!$B:$B,MATCH($A236,Mots!$A:$A,0)),"introuvable")</f>
        <v>le café des Sapins</v>
      </c>
      <c r="C236" s="17" t="str">
        <f>IFERROR(INDEX(Mots!$N:$N,MATCH($A236,Mots!$A:$A,0)),"")</f>
        <v>lieu</v>
      </c>
      <c r="D236" s="17">
        <f>IFERROR(COUNTA(INDEX(Mots!$E:$E,MATCH($A236,Mots!$A:$A,0)):INDEX(Mots!$K:$K,MATCH($A236,Mots!$A:$A,0))),0)</f>
        <v>1</v>
      </c>
      <c r="E236" s="17" t="str">
        <f>IF(COUNTIF(Classement!$A:$A,$A236)&gt;0,"ok","à faire")</f>
        <v>ok</v>
      </c>
      <c r="F236" s="17" t="str">
        <f>IF(COUNTIF(Tags!$A:$A,$A236)&gt;0,"ok","à faire")</f>
        <v>ok</v>
      </c>
      <c r="G236" s="17" t="str">
        <f>IF(COUNTIF(Phrases!$A:$A,$A236)&gt;0,"ok","à faire")</f>
        <v>à faire</v>
      </c>
      <c r="H236" s="17" t="str">
        <f>IF(COUNTIFS(Phrases!$A:$A,$A236,Phrases!$I:$I,"&lt;&gt;")&gt;0,"ok","à faire")</f>
        <v>à faire</v>
      </c>
      <c r="I236" s="17" t="str">
        <f>IF(COUNTIF(Synonymes!$A:$A,$A236)&gt;0,"ok","")</f>
        <v/>
      </c>
      <c r="J236" s="17">
        <f t="shared" si="3"/>
        <v>2</v>
      </c>
    </row>
    <row r="237" spans="1:10" x14ac:dyDescent="0.3">
      <c r="A237" s="17" t="s">
        <v>1466</v>
      </c>
      <c r="B237" s="17" t="str">
        <f>IFERROR(INDEX(Mots!$B:$B,MATCH($A237,Mots!$A:$A,0)),"introuvable")</f>
        <v>le restaurant Les Rangs à St-Séverin</v>
      </c>
      <c r="C237" s="17" t="str">
        <f>IFERROR(INDEX(Mots!$N:$N,MATCH($A237,Mots!$A:$A,0)),"")</f>
        <v>lieu</v>
      </c>
      <c r="D237" s="17">
        <f>IFERROR(COUNTA(INDEX(Mots!$E:$E,MATCH($A237,Mots!$A:$A,0)):INDEX(Mots!$K:$K,MATCH($A237,Mots!$A:$A,0))),0)</f>
        <v>1</v>
      </c>
      <c r="E237" s="17" t="str">
        <f>IF(COUNTIF(Classement!$A:$A,$A237)&gt;0,"ok","à faire")</f>
        <v>ok</v>
      </c>
      <c r="F237" s="17" t="str">
        <f>IF(COUNTIF(Tags!$A:$A,$A237)&gt;0,"ok","à faire")</f>
        <v>ok</v>
      </c>
      <c r="G237" s="17" t="str">
        <f>IF(COUNTIF(Phrases!$A:$A,$A237)&gt;0,"ok","à faire")</f>
        <v>à faire</v>
      </c>
      <c r="H237" s="17" t="str">
        <f>IF(COUNTIFS(Phrases!$A:$A,$A237,Phrases!$I:$I,"&lt;&gt;")&gt;0,"ok","à faire")</f>
        <v>à faire</v>
      </c>
      <c r="I237" s="17" t="str">
        <f>IF(COUNTIF(Synonymes!$A:$A,$A237)&gt;0,"ok","")</f>
        <v/>
      </c>
      <c r="J237" s="17">
        <f t="shared" si="3"/>
        <v>2</v>
      </c>
    </row>
    <row r="238" spans="1:10" x14ac:dyDescent="0.3">
      <c r="A238" s="17" t="s">
        <v>1470</v>
      </c>
      <c r="B238" s="17" t="str">
        <f>IFERROR(INDEX(Mots!$B:$B,MATCH($A238,Mots!$A:$A,0)),"introuvable")</f>
        <v>l'Hôtel Restaurant du Sanetsch</v>
      </c>
      <c r="C238" s="17" t="str">
        <f>IFERROR(INDEX(Mots!$N:$N,MATCH($A238,Mots!$A:$A,0)),"")</f>
        <v>lieu</v>
      </c>
      <c r="D238" s="17">
        <f>IFERROR(COUNTA(INDEX(Mots!$E:$E,MATCH($A238,Mots!$A:$A,0)):INDEX(Mots!$K:$K,MATCH($A238,Mots!$A:$A,0))),0)</f>
        <v>1</v>
      </c>
      <c r="E238" s="17" t="str">
        <f>IF(COUNTIF(Classement!$A:$A,$A238)&gt;0,"ok","à faire")</f>
        <v>ok</v>
      </c>
      <c r="F238" s="17" t="str">
        <f>IF(COUNTIF(Tags!$A:$A,$A238)&gt;0,"ok","à faire")</f>
        <v>ok</v>
      </c>
      <c r="G238" s="17" t="str">
        <f>IF(COUNTIF(Phrases!$A:$A,$A238)&gt;0,"ok","à faire")</f>
        <v>à faire</v>
      </c>
      <c r="H238" s="17" t="str">
        <f>IF(COUNTIFS(Phrases!$A:$A,$A238,Phrases!$I:$I,"&lt;&gt;")&gt;0,"ok","à faire")</f>
        <v>à faire</v>
      </c>
      <c r="I238" s="17" t="str">
        <f>IF(COUNTIF(Synonymes!$A:$A,$A238)&gt;0,"ok","")</f>
        <v/>
      </c>
      <c r="J238" s="17">
        <f t="shared" si="3"/>
        <v>2</v>
      </c>
    </row>
    <row r="239" spans="1:10" x14ac:dyDescent="0.3">
      <c r="A239" s="17" t="s">
        <v>1474</v>
      </c>
      <c r="B239" s="17" t="str">
        <f>IFERROR(INDEX(Mots!$B:$B,MATCH($A239,Mots!$A:$A,0)),"introuvable")</f>
        <v>l'hôpital de Sion</v>
      </c>
      <c r="C239" s="17" t="str">
        <f>IFERROR(INDEX(Mots!$N:$N,MATCH($A239,Mots!$A:$A,0)),"")</f>
        <v>lieu</v>
      </c>
      <c r="D239" s="17">
        <f>IFERROR(COUNTA(INDEX(Mots!$E:$E,MATCH($A239,Mots!$A:$A,0)):INDEX(Mots!$K:$K,MATCH($A239,Mots!$A:$A,0))),0)</f>
        <v>1</v>
      </c>
      <c r="E239" s="17" t="str">
        <f>IF(COUNTIF(Classement!$A:$A,$A239)&gt;0,"ok","à faire")</f>
        <v>ok</v>
      </c>
      <c r="F239" s="17" t="str">
        <f>IF(COUNTIF(Tags!$A:$A,$A239)&gt;0,"ok","à faire")</f>
        <v>ok</v>
      </c>
      <c r="G239" s="17" t="str">
        <f>IF(COUNTIF(Phrases!$A:$A,$A239)&gt;0,"ok","à faire")</f>
        <v>à faire</v>
      </c>
      <c r="H239" s="17" t="str">
        <f>IF(COUNTIFS(Phrases!$A:$A,$A239,Phrases!$I:$I,"&lt;&gt;")&gt;0,"ok","à faire")</f>
        <v>à faire</v>
      </c>
      <c r="I239" s="17" t="str">
        <f>IF(COUNTIF(Synonymes!$A:$A,$A239)&gt;0,"ok","")</f>
        <v/>
      </c>
      <c r="J239" s="17">
        <f t="shared" si="3"/>
        <v>2</v>
      </c>
    </row>
    <row r="240" spans="1:10" x14ac:dyDescent="0.3">
      <c r="A240" s="17" t="s">
        <v>1478</v>
      </c>
      <c r="B240" s="17" t="str">
        <f>IFERROR(INDEX(Mots!$B:$B,MATCH($A240,Mots!$A:$A,0)),"introuvable")</f>
        <v>l'hôpital de Sierre</v>
      </c>
      <c r="C240" s="17" t="str">
        <f>IFERROR(INDEX(Mots!$N:$N,MATCH($A240,Mots!$A:$A,0)),"")</f>
        <v>lieu</v>
      </c>
      <c r="D240" s="17">
        <f>IFERROR(COUNTA(INDEX(Mots!$E:$E,MATCH($A240,Mots!$A:$A,0)):INDEX(Mots!$K:$K,MATCH($A240,Mots!$A:$A,0))),0)</f>
        <v>1</v>
      </c>
      <c r="E240" s="17" t="str">
        <f>IF(COUNTIF(Classement!$A:$A,$A240)&gt;0,"ok","à faire")</f>
        <v>ok</v>
      </c>
      <c r="F240" s="17" t="str">
        <f>IF(COUNTIF(Tags!$A:$A,$A240)&gt;0,"ok","à faire")</f>
        <v>ok</v>
      </c>
      <c r="G240" s="17" t="str">
        <f>IF(COUNTIF(Phrases!$A:$A,$A240)&gt;0,"ok","à faire")</f>
        <v>à faire</v>
      </c>
      <c r="H240" s="17" t="str">
        <f>IF(COUNTIFS(Phrases!$A:$A,$A240,Phrases!$I:$I,"&lt;&gt;")&gt;0,"ok","à faire")</f>
        <v>à faire</v>
      </c>
      <c r="I240" s="17" t="str">
        <f>IF(COUNTIF(Synonymes!$A:$A,$A240)&gt;0,"ok","")</f>
        <v/>
      </c>
      <c r="J240" s="17">
        <f t="shared" si="3"/>
        <v>2</v>
      </c>
    </row>
    <row r="241" spans="1:10" x14ac:dyDescent="0.3">
      <c r="A241" s="17" t="s">
        <v>1482</v>
      </c>
      <c r="B241" s="17" t="str">
        <f>IFERROR(INDEX(Mots!$B:$B,MATCH($A241,Mots!$A:$A,0)),"introuvable")</f>
        <v>la gare CFF de Sion</v>
      </c>
      <c r="C241" s="17" t="str">
        <f>IFERROR(INDEX(Mots!$N:$N,MATCH($A241,Mots!$A:$A,0)),"")</f>
        <v>lieu</v>
      </c>
      <c r="D241" s="17">
        <f>IFERROR(COUNTA(INDEX(Mots!$E:$E,MATCH($A241,Mots!$A:$A,0)):INDEX(Mots!$K:$K,MATCH($A241,Mots!$A:$A,0))),0)</f>
        <v>1</v>
      </c>
      <c r="E241" s="17" t="str">
        <f>IF(COUNTIF(Classement!$A:$A,$A241)&gt;0,"ok","à faire")</f>
        <v>ok</v>
      </c>
      <c r="F241" s="17" t="str">
        <f>IF(COUNTIF(Tags!$A:$A,$A241)&gt;0,"ok","à faire")</f>
        <v>ok</v>
      </c>
      <c r="G241" s="17" t="str">
        <f>IF(COUNTIF(Phrases!$A:$A,$A241)&gt;0,"ok","à faire")</f>
        <v>à faire</v>
      </c>
      <c r="H241" s="17" t="str">
        <f>IF(COUNTIFS(Phrases!$A:$A,$A241,Phrases!$I:$I,"&lt;&gt;")&gt;0,"ok","à faire")</f>
        <v>à faire</v>
      </c>
      <c r="I241" s="17" t="str">
        <f>IF(COUNTIF(Synonymes!$A:$A,$A241)&gt;0,"ok","")</f>
        <v/>
      </c>
      <c r="J241" s="17">
        <f t="shared" si="3"/>
        <v>2</v>
      </c>
    </row>
    <row r="242" spans="1:10" x14ac:dyDescent="0.3">
      <c r="A242" s="17" t="s">
        <v>1486</v>
      </c>
      <c r="B242" s="17" t="str">
        <f>IFERROR(INDEX(Mots!$B:$B,MATCH($A242,Mots!$A:$A,0)),"introuvable")</f>
        <v>la gare routière de Sion</v>
      </c>
      <c r="C242" s="17" t="str">
        <f>IFERROR(INDEX(Mots!$N:$N,MATCH($A242,Mots!$A:$A,0)),"")</f>
        <v>lieu</v>
      </c>
      <c r="D242" s="17">
        <f>IFERROR(COUNTA(INDEX(Mots!$E:$E,MATCH($A242,Mots!$A:$A,0)):INDEX(Mots!$K:$K,MATCH($A242,Mots!$A:$A,0))),0)</f>
        <v>1</v>
      </c>
      <c r="E242" s="17" t="str">
        <f>IF(COUNTIF(Classement!$A:$A,$A242)&gt;0,"ok","à faire")</f>
        <v>ok</v>
      </c>
      <c r="F242" s="17" t="str">
        <f>IF(COUNTIF(Tags!$A:$A,$A242)&gt;0,"ok","à faire")</f>
        <v>ok</v>
      </c>
      <c r="G242" s="17" t="str">
        <f>IF(COUNTIF(Phrases!$A:$A,$A242)&gt;0,"ok","à faire")</f>
        <v>à faire</v>
      </c>
      <c r="H242" s="17" t="str">
        <f>IF(COUNTIFS(Phrases!$A:$A,$A242,Phrases!$I:$I,"&lt;&gt;")&gt;0,"ok","à faire")</f>
        <v>à faire</v>
      </c>
      <c r="I242" s="17" t="str">
        <f>IF(COUNTIF(Synonymes!$A:$A,$A242)&gt;0,"ok","")</f>
        <v/>
      </c>
      <c r="J242" s="17">
        <f t="shared" si="3"/>
        <v>2</v>
      </c>
    </row>
    <row r="243" spans="1:10" x14ac:dyDescent="0.3">
      <c r="A243" s="17" t="s">
        <v>1490</v>
      </c>
      <c r="B243" s="17" t="str">
        <f>IFERROR(INDEX(Mots!$B:$B,MATCH($A243,Mots!$A:$A,0)),"introuvable")</f>
        <v>la gare</v>
      </c>
      <c r="C243" s="17" t="str">
        <f>IFERROR(INDEX(Mots!$N:$N,MATCH($A243,Mots!$A:$A,0)),"")</f>
        <v>lieu</v>
      </c>
      <c r="D243" s="17">
        <f>IFERROR(COUNTA(INDEX(Mots!$E:$E,MATCH($A243,Mots!$A:$A,0)):INDEX(Mots!$K:$K,MATCH($A243,Mots!$A:$A,0))),0)</f>
        <v>5</v>
      </c>
      <c r="E243" s="17" t="str">
        <f>IF(COUNTIF(Classement!$A:$A,$A243)&gt;0,"ok","à faire")</f>
        <v>ok</v>
      </c>
      <c r="F243" s="17" t="str">
        <f>IF(COUNTIF(Tags!$A:$A,$A243)&gt;0,"ok","à faire")</f>
        <v>ok</v>
      </c>
      <c r="G243" s="17" t="str">
        <f>IF(COUNTIF(Phrases!$A:$A,$A243)&gt;0,"ok","à faire")</f>
        <v>ok</v>
      </c>
      <c r="H243" s="17" t="str">
        <f>IF(COUNTIFS(Phrases!$A:$A,$A243,Phrases!$I:$I,"&lt;&gt;")&gt;0,"ok","à faire")</f>
        <v>à faire</v>
      </c>
      <c r="I243" s="17" t="str">
        <f>IF(COUNTIF(Synonymes!$A:$A,$A243)&gt;0,"ok","")</f>
        <v/>
      </c>
      <c r="J243" s="17">
        <f t="shared" si="3"/>
        <v>1</v>
      </c>
    </row>
    <row r="244" spans="1:10" x14ac:dyDescent="0.3">
      <c r="A244" s="17" t="s">
        <v>1499</v>
      </c>
      <c r="B244" s="17" t="str">
        <f>IFERROR(INDEX(Mots!$B:$B,MATCH($A244,Mots!$A:$A,0)),"introuvable")</f>
        <v>l'aéroport</v>
      </c>
      <c r="C244" s="17" t="str">
        <f>IFERROR(INDEX(Mots!$N:$N,MATCH($A244,Mots!$A:$A,0)),"")</f>
        <v>lieu</v>
      </c>
      <c r="D244" s="17">
        <f>IFERROR(COUNTA(INDEX(Mots!$E:$E,MATCH($A244,Mots!$A:$A,0)):INDEX(Mots!$K:$K,MATCH($A244,Mots!$A:$A,0))),0)</f>
        <v>5</v>
      </c>
      <c r="E244" s="17" t="str">
        <f>IF(COUNTIF(Classement!$A:$A,$A244)&gt;0,"ok","à faire")</f>
        <v>ok</v>
      </c>
      <c r="F244" s="17" t="str">
        <f>IF(COUNTIF(Tags!$A:$A,$A244)&gt;0,"ok","à faire")</f>
        <v>ok</v>
      </c>
      <c r="G244" s="17" t="str">
        <f>IF(COUNTIF(Phrases!$A:$A,$A244)&gt;0,"ok","à faire")</f>
        <v>ok</v>
      </c>
      <c r="H244" s="17" t="str">
        <f>IF(COUNTIFS(Phrases!$A:$A,$A244,Phrases!$I:$I,"&lt;&gt;")&gt;0,"ok","à faire")</f>
        <v>à faire</v>
      </c>
      <c r="I244" s="17" t="str">
        <f>IF(COUNTIF(Synonymes!$A:$A,$A244)&gt;0,"ok","")</f>
        <v/>
      </c>
      <c r="J244" s="17">
        <f t="shared" si="3"/>
        <v>1</v>
      </c>
    </row>
    <row r="245" spans="1:10" x14ac:dyDescent="0.3">
      <c r="A245" s="17" t="s">
        <v>1508</v>
      </c>
      <c r="B245" s="17" t="str">
        <f>IFERROR(INDEX(Mots!$B:$B,MATCH($A245,Mots!$A:$A,0)),"introuvable")</f>
        <v>le musée</v>
      </c>
      <c r="C245" s="17" t="str">
        <f>IFERROR(INDEX(Mots!$N:$N,MATCH($A245,Mots!$A:$A,0)),"")</f>
        <v>lieu</v>
      </c>
      <c r="D245" s="17">
        <f>IFERROR(COUNTA(INDEX(Mots!$E:$E,MATCH($A245,Mots!$A:$A,0)):INDEX(Mots!$K:$K,MATCH($A245,Mots!$A:$A,0))),0)</f>
        <v>1</v>
      </c>
      <c r="E245" s="17" t="str">
        <f>IF(COUNTIF(Classement!$A:$A,$A245)&gt;0,"ok","à faire")</f>
        <v>ok</v>
      </c>
      <c r="F245" s="17" t="str">
        <f>IF(COUNTIF(Tags!$A:$A,$A245)&gt;0,"ok","à faire")</f>
        <v>ok</v>
      </c>
      <c r="G245" s="17" t="str">
        <f>IF(COUNTIF(Phrases!$A:$A,$A245)&gt;0,"ok","à faire")</f>
        <v>ok</v>
      </c>
      <c r="H245" s="17" t="str">
        <f>IF(COUNTIFS(Phrases!$A:$A,$A245,Phrases!$I:$I,"&lt;&gt;")&gt;0,"ok","à faire")</f>
        <v>à faire</v>
      </c>
      <c r="I245" s="17" t="str">
        <f>IF(COUNTIF(Synonymes!$A:$A,$A245)&gt;0,"ok","")</f>
        <v/>
      </c>
      <c r="J245" s="17">
        <f t="shared" si="3"/>
        <v>1</v>
      </c>
    </row>
    <row r="246" spans="1:10" x14ac:dyDescent="0.3">
      <c r="A246" s="17" t="s">
        <v>1513</v>
      </c>
      <c r="B246" s="17" t="str">
        <f>IFERROR(INDEX(Mots!$B:$B,MATCH($A246,Mots!$A:$A,0)),"introuvable")</f>
        <v>une bière limonade</v>
      </c>
      <c r="C246" s="17" t="str">
        <f>IFERROR(INDEX(Mots!$N:$N,MATCH($A246,Mots!$A:$A,0)),"")</f>
        <v>chose</v>
      </c>
      <c r="D246" s="17">
        <f>IFERROR(COUNTA(INDEX(Mots!$E:$E,MATCH($A246,Mots!$A:$A,0)):INDEX(Mots!$K:$K,MATCH($A246,Mots!$A:$A,0))),0)</f>
        <v>1</v>
      </c>
      <c r="E246" s="17" t="str">
        <f>IF(COUNTIF(Classement!$A:$A,$A246)&gt;0,"ok","à faire")</f>
        <v>ok</v>
      </c>
      <c r="F246" s="17" t="str">
        <f>IF(COUNTIF(Tags!$A:$A,$A246)&gt;0,"ok","à faire")</f>
        <v>ok</v>
      </c>
      <c r="G246" s="17" t="str">
        <f>IF(COUNTIF(Phrases!$A:$A,$A246)&gt;0,"ok","à faire")</f>
        <v>ok</v>
      </c>
      <c r="H246" s="17" t="str">
        <f>IF(COUNTIFS(Phrases!$A:$A,$A246,Phrases!$I:$I,"&lt;&gt;")&gt;0,"ok","à faire")</f>
        <v>à faire</v>
      </c>
      <c r="I246" s="17" t="str">
        <f>IF(COUNTIF(Synonymes!$A:$A,$A246)&gt;0,"ok","")</f>
        <v/>
      </c>
      <c r="J246" s="17">
        <f t="shared" si="3"/>
        <v>1</v>
      </c>
    </row>
    <row r="247" spans="1:10" x14ac:dyDescent="0.3">
      <c r="A247" s="17" t="s">
        <v>1517</v>
      </c>
      <c r="B247" s="17" t="str">
        <f>IFERROR(INDEX(Mots!$B:$B,MATCH($A247,Mots!$A:$A,0)),"introuvable")</f>
        <v>un verre de vin rouge</v>
      </c>
      <c r="C247" s="17" t="str">
        <f>IFERROR(INDEX(Mots!$N:$N,MATCH($A247,Mots!$A:$A,0)),"")</f>
        <v>chose</v>
      </c>
      <c r="D247" s="17">
        <f>IFERROR(COUNTA(INDEX(Mots!$E:$E,MATCH($A247,Mots!$A:$A,0)):INDEX(Mots!$K:$K,MATCH($A247,Mots!$A:$A,0))),0)</f>
        <v>1</v>
      </c>
      <c r="E247" s="17" t="str">
        <f>IF(COUNTIF(Classement!$A:$A,$A247)&gt;0,"ok","à faire")</f>
        <v>ok</v>
      </c>
      <c r="F247" s="17" t="str">
        <f>IF(COUNTIF(Tags!$A:$A,$A247)&gt;0,"ok","à faire")</f>
        <v>ok</v>
      </c>
      <c r="G247" s="17" t="str">
        <f>IF(COUNTIF(Phrases!$A:$A,$A247)&gt;0,"ok","à faire")</f>
        <v>ok</v>
      </c>
      <c r="H247" s="17" t="str">
        <f>IF(COUNTIFS(Phrases!$A:$A,$A247,Phrases!$I:$I,"&lt;&gt;")&gt;0,"ok","à faire")</f>
        <v>à faire</v>
      </c>
      <c r="I247" s="17" t="str">
        <f>IF(COUNTIF(Synonymes!$A:$A,$A247)&gt;0,"ok","")</f>
        <v/>
      </c>
      <c r="J247" s="17">
        <f t="shared" si="3"/>
        <v>1</v>
      </c>
    </row>
    <row r="248" spans="1:10" x14ac:dyDescent="0.3">
      <c r="A248" s="17" t="s">
        <v>1521</v>
      </c>
      <c r="B248" s="17" t="str">
        <f>IFERROR(INDEX(Mots!$B:$B,MATCH($A248,Mots!$A:$A,0)),"introuvable")</f>
        <v>un verre de vin blanc</v>
      </c>
      <c r="C248" s="17" t="str">
        <f>IFERROR(INDEX(Mots!$N:$N,MATCH($A248,Mots!$A:$A,0)),"")</f>
        <v>chose</v>
      </c>
      <c r="D248" s="17">
        <f>IFERROR(COUNTA(INDEX(Mots!$E:$E,MATCH($A248,Mots!$A:$A,0)):INDEX(Mots!$K:$K,MATCH($A248,Mots!$A:$A,0))),0)</f>
        <v>1</v>
      </c>
      <c r="E248" s="17" t="str">
        <f>IF(COUNTIF(Classement!$A:$A,$A248)&gt;0,"ok","à faire")</f>
        <v>ok</v>
      </c>
      <c r="F248" s="17" t="str">
        <f>IF(COUNTIF(Tags!$A:$A,$A248)&gt;0,"ok","à faire")</f>
        <v>ok</v>
      </c>
      <c r="G248" s="17" t="str">
        <f>IF(COUNTIF(Phrases!$A:$A,$A248)&gt;0,"ok","à faire")</f>
        <v>ok</v>
      </c>
      <c r="H248" s="17" t="str">
        <f>IF(COUNTIFS(Phrases!$A:$A,$A248,Phrases!$I:$I,"&lt;&gt;")&gt;0,"ok","à faire")</f>
        <v>à faire</v>
      </c>
      <c r="I248" s="17" t="str">
        <f>IF(COUNTIF(Synonymes!$A:$A,$A248)&gt;0,"ok","")</f>
        <v/>
      </c>
      <c r="J248" s="17">
        <f t="shared" si="3"/>
        <v>1</v>
      </c>
    </row>
    <row r="249" spans="1:10" x14ac:dyDescent="0.3">
      <c r="A249" s="17" t="s">
        <v>1525</v>
      </c>
      <c r="B249" s="17" t="str">
        <f>IFERROR(INDEX(Mots!$B:$B,MATCH($A249,Mots!$A:$A,0)),"introuvable")</f>
        <v>une suze henniez</v>
      </c>
      <c r="C249" s="17" t="str">
        <f>IFERROR(INDEX(Mots!$N:$N,MATCH($A249,Mots!$A:$A,0)),"")</f>
        <v>chose</v>
      </c>
      <c r="D249" s="17">
        <f>IFERROR(COUNTA(INDEX(Mots!$E:$E,MATCH($A249,Mots!$A:$A,0)):INDEX(Mots!$K:$K,MATCH($A249,Mots!$A:$A,0))),0)</f>
        <v>1</v>
      </c>
      <c r="E249" s="17" t="str">
        <f>IF(COUNTIF(Classement!$A:$A,$A249)&gt;0,"ok","à faire")</f>
        <v>ok</v>
      </c>
      <c r="F249" s="17" t="str">
        <f>IF(COUNTIF(Tags!$A:$A,$A249)&gt;0,"ok","à faire")</f>
        <v>ok</v>
      </c>
      <c r="G249" s="17" t="str">
        <f>IF(COUNTIF(Phrases!$A:$A,$A249)&gt;0,"ok","à faire")</f>
        <v>ok</v>
      </c>
      <c r="H249" s="17" t="str">
        <f>IF(COUNTIFS(Phrases!$A:$A,$A249,Phrases!$I:$I,"&lt;&gt;")&gt;0,"ok","à faire")</f>
        <v>à faire</v>
      </c>
      <c r="I249" s="17" t="str">
        <f>IF(COUNTIF(Synonymes!$A:$A,$A249)&gt;0,"ok","")</f>
        <v/>
      </c>
      <c r="J249" s="17">
        <f t="shared" si="3"/>
        <v>1</v>
      </c>
    </row>
    <row r="250" spans="1:10" x14ac:dyDescent="0.3">
      <c r="A250" s="17" t="s">
        <v>1529</v>
      </c>
      <c r="B250" s="17" t="str">
        <f>IFERROR(INDEX(Mots!$B:$B,MATCH($A250,Mots!$A:$A,0)),"introuvable")</f>
        <v>le thé</v>
      </c>
      <c r="C250" s="17" t="str">
        <f>IFERROR(INDEX(Mots!$N:$N,MATCH($A250,Mots!$A:$A,0)),"")</f>
        <v>chose</v>
      </c>
      <c r="D250" s="17">
        <f>IFERROR(COUNTA(INDEX(Mots!$E:$E,MATCH($A250,Mots!$A:$A,0)):INDEX(Mots!$K:$K,MATCH($A250,Mots!$A:$A,0))),0)</f>
        <v>1</v>
      </c>
      <c r="E250" s="17" t="str">
        <f>IF(COUNTIF(Classement!$A:$A,$A250)&gt;0,"ok","à faire")</f>
        <v>ok</v>
      </c>
      <c r="F250" s="17" t="str">
        <f>IF(COUNTIF(Tags!$A:$A,$A250)&gt;0,"ok","à faire")</f>
        <v>ok</v>
      </c>
      <c r="G250" s="17" t="str">
        <f>IF(COUNTIF(Phrases!$A:$A,$A250)&gt;0,"ok","à faire")</f>
        <v>ok</v>
      </c>
      <c r="H250" s="17" t="str">
        <f>IF(COUNTIFS(Phrases!$A:$A,$A250,Phrases!$I:$I,"&lt;&gt;")&gt;0,"ok","à faire")</f>
        <v>ok</v>
      </c>
      <c r="I250" s="17" t="str">
        <f>IF(COUNTIF(Synonymes!$A:$A,$A250)&gt;0,"ok","")</f>
        <v/>
      </c>
      <c r="J250" s="17">
        <f t="shared" si="3"/>
        <v>0</v>
      </c>
    </row>
    <row r="251" spans="1:10" x14ac:dyDescent="0.3">
      <c r="A251" s="17" t="s">
        <v>1533</v>
      </c>
      <c r="B251" s="17" t="str">
        <f>IFERROR(INDEX(Mots!$B:$B,MATCH($A251,Mots!$A:$A,0)),"introuvable")</f>
        <v>une eau minérale</v>
      </c>
      <c r="C251" s="17" t="str">
        <f>IFERROR(INDEX(Mots!$N:$N,MATCH($A251,Mots!$A:$A,0)),"")</f>
        <v>chose</v>
      </c>
      <c r="D251" s="17">
        <f>IFERROR(COUNTA(INDEX(Mots!$E:$E,MATCH($A251,Mots!$A:$A,0)):INDEX(Mots!$K:$K,MATCH($A251,Mots!$A:$A,0))),0)</f>
        <v>1</v>
      </c>
      <c r="E251" s="17" t="str">
        <f>IF(COUNTIF(Classement!$A:$A,$A251)&gt;0,"ok","à faire")</f>
        <v>ok</v>
      </c>
      <c r="F251" s="17" t="str">
        <f>IF(COUNTIF(Tags!$A:$A,$A251)&gt;0,"ok","à faire")</f>
        <v>ok</v>
      </c>
      <c r="G251" s="17" t="str">
        <f>IF(COUNTIF(Phrases!$A:$A,$A251)&gt;0,"ok","à faire")</f>
        <v>ok</v>
      </c>
      <c r="H251" s="17" t="str">
        <f>IF(COUNTIFS(Phrases!$A:$A,$A251,Phrases!$I:$I,"&lt;&gt;")&gt;0,"ok","à faire")</f>
        <v>à faire</v>
      </c>
      <c r="I251" s="17" t="str">
        <f>IF(COUNTIF(Synonymes!$A:$A,$A251)&gt;0,"ok","")</f>
        <v/>
      </c>
      <c r="J251" s="17">
        <f t="shared" si="3"/>
        <v>1</v>
      </c>
    </row>
    <row r="252" spans="1:10" x14ac:dyDescent="0.3">
      <c r="A252" s="17" t="s">
        <v>1537</v>
      </c>
      <c r="B252" s="17" t="str">
        <f>IFERROR(INDEX(Mots!$B:$B,MATCH($A252,Mots!$A:$A,0)),"introuvable")</f>
        <v>un henniez cassis</v>
      </c>
      <c r="C252" s="17" t="str">
        <f>IFERROR(INDEX(Mots!$N:$N,MATCH($A252,Mots!$A:$A,0)),"")</f>
        <v>chose</v>
      </c>
      <c r="D252" s="17">
        <f>IFERROR(COUNTA(INDEX(Mots!$E:$E,MATCH($A252,Mots!$A:$A,0)):INDEX(Mots!$K:$K,MATCH($A252,Mots!$A:$A,0))),0)</f>
        <v>1</v>
      </c>
      <c r="E252" s="17" t="str">
        <f>IF(COUNTIF(Classement!$A:$A,$A252)&gt;0,"ok","à faire")</f>
        <v>ok</v>
      </c>
      <c r="F252" s="17" t="str">
        <f>IF(COUNTIF(Tags!$A:$A,$A252)&gt;0,"ok","à faire")</f>
        <v>ok</v>
      </c>
      <c r="G252" s="17" t="str">
        <f>IF(COUNTIF(Phrases!$A:$A,$A252)&gt;0,"ok","à faire")</f>
        <v>ok</v>
      </c>
      <c r="H252" s="17" t="str">
        <f>IF(COUNTIFS(Phrases!$A:$A,$A252,Phrases!$I:$I,"&lt;&gt;")&gt;0,"ok","à faire")</f>
        <v>à faire</v>
      </c>
      <c r="I252" s="17" t="str">
        <f>IF(COUNTIF(Synonymes!$A:$A,$A252)&gt;0,"ok","")</f>
        <v/>
      </c>
      <c r="J252" s="17">
        <f t="shared" si="3"/>
        <v>1</v>
      </c>
    </row>
    <row r="253" spans="1:10" x14ac:dyDescent="0.3">
      <c r="A253" s="17" t="s">
        <v>1540</v>
      </c>
      <c r="B253" s="17" t="str">
        <f>IFERROR(INDEX(Mots!$B:$B,MATCH($A253,Mots!$A:$A,0)),"introuvable")</f>
        <v>un Coca Cola</v>
      </c>
      <c r="C253" s="17" t="str">
        <f>IFERROR(INDEX(Mots!$N:$N,MATCH($A253,Mots!$A:$A,0)),"")</f>
        <v>chose</v>
      </c>
      <c r="D253" s="17">
        <f>IFERROR(COUNTA(INDEX(Mots!$E:$E,MATCH($A253,Mots!$A:$A,0)):INDEX(Mots!$K:$K,MATCH($A253,Mots!$A:$A,0))),0)</f>
        <v>1</v>
      </c>
      <c r="E253" s="17" t="str">
        <f>IF(COUNTIF(Classement!$A:$A,$A253)&gt;0,"ok","à faire")</f>
        <v>ok</v>
      </c>
      <c r="F253" s="17" t="str">
        <f>IF(COUNTIF(Tags!$A:$A,$A253)&gt;0,"ok","à faire")</f>
        <v>ok</v>
      </c>
      <c r="G253" s="17" t="str">
        <f>IF(COUNTIF(Phrases!$A:$A,$A253)&gt;0,"ok","à faire")</f>
        <v>ok</v>
      </c>
      <c r="H253" s="17" t="str">
        <f>IF(COUNTIFS(Phrases!$A:$A,$A253,Phrases!$I:$I,"&lt;&gt;")&gt;0,"ok","à faire")</f>
        <v>à faire</v>
      </c>
      <c r="I253" s="17" t="str">
        <f>IF(COUNTIF(Synonymes!$A:$A,$A253)&gt;0,"ok","")</f>
        <v/>
      </c>
      <c r="J253" s="17">
        <f t="shared" si="3"/>
        <v>1</v>
      </c>
    </row>
    <row r="254" spans="1:10" x14ac:dyDescent="0.3">
      <c r="A254" s="17" t="s">
        <v>1545</v>
      </c>
      <c r="B254" s="17" t="str">
        <f>IFERROR(INDEX(Mots!$B:$B,MATCH($A254,Mots!$A:$A,0)),"introuvable")</f>
        <v>un grapefruit</v>
      </c>
      <c r="C254" s="17" t="str">
        <f>IFERROR(INDEX(Mots!$N:$N,MATCH($A254,Mots!$A:$A,0)),"")</f>
        <v>chose</v>
      </c>
      <c r="D254" s="17">
        <f>IFERROR(COUNTA(INDEX(Mots!$E:$E,MATCH($A254,Mots!$A:$A,0)):INDEX(Mots!$K:$K,MATCH($A254,Mots!$A:$A,0))),0)</f>
        <v>1</v>
      </c>
      <c r="E254" s="17" t="str">
        <f>IF(COUNTIF(Classement!$A:$A,$A254)&gt;0,"ok","à faire")</f>
        <v>ok</v>
      </c>
      <c r="F254" s="17" t="str">
        <f>IF(COUNTIF(Tags!$A:$A,$A254)&gt;0,"ok","à faire")</f>
        <v>ok</v>
      </c>
      <c r="G254" s="17" t="str">
        <f>IF(COUNTIF(Phrases!$A:$A,$A254)&gt;0,"ok","à faire")</f>
        <v>ok</v>
      </c>
      <c r="H254" s="17" t="str">
        <f>IF(COUNTIFS(Phrases!$A:$A,$A254,Phrases!$I:$I,"&lt;&gt;")&gt;0,"ok","à faire")</f>
        <v>à faire</v>
      </c>
      <c r="I254" s="17" t="str">
        <f>IF(COUNTIF(Synonymes!$A:$A,$A254)&gt;0,"ok","")</f>
        <v/>
      </c>
      <c r="J254" s="17">
        <f t="shared" si="3"/>
        <v>1</v>
      </c>
    </row>
    <row r="255" spans="1:10" x14ac:dyDescent="0.3">
      <c r="A255" s="17" t="s">
        <v>1548</v>
      </c>
      <c r="B255" s="17" t="str">
        <f>IFERROR(INDEX(Mots!$B:$B,MATCH($A255,Mots!$A:$A,0)),"introuvable")</f>
        <v>un jus de pomme</v>
      </c>
      <c r="C255" s="17" t="str">
        <f>IFERROR(INDEX(Mots!$N:$N,MATCH($A255,Mots!$A:$A,0)),"")</f>
        <v>chose</v>
      </c>
      <c r="D255" s="17">
        <f>IFERROR(COUNTA(INDEX(Mots!$E:$E,MATCH($A255,Mots!$A:$A,0)):INDEX(Mots!$K:$K,MATCH($A255,Mots!$A:$A,0))),0)</f>
        <v>1</v>
      </c>
      <c r="E255" s="17" t="str">
        <f>IF(COUNTIF(Classement!$A:$A,$A255)&gt;0,"ok","à faire")</f>
        <v>ok</v>
      </c>
      <c r="F255" s="17" t="str">
        <f>IF(COUNTIF(Tags!$A:$A,$A255)&gt;0,"ok","à faire")</f>
        <v>ok</v>
      </c>
      <c r="G255" s="17" t="str">
        <f>IF(COUNTIF(Phrases!$A:$A,$A255)&gt;0,"ok","à faire")</f>
        <v>ok</v>
      </c>
      <c r="H255" s="17" t="str">
        <f>IF(COUNTIFS(Phrases!$A:$A,$A255,Phrases!$I:$I,"&lt;&gt;")&gt;0,"ok","à faire")</f>
        <v>à faire</v>
      </c>
      <c r="I255" s="17" t="str">
        <f>IF(COUNTIF(Synonymes!$A:$A,$A255)&gt;0,"ok","")</f>
        <v/>
      </c>
      <c r="J255" s="17">
        <f t="shared" si="3"/>
        <v>1</v>
      </c>
    </row>
    <row r="256" spans="1:10" x14ac:dyDescent="0.3">
      <c r="A256" s="17" t="s">
        <v>1552</v>
      </c>
      <c r="B256" s="17" t="str">
        <f>IFERROR(INDEX(Mots!$B:$B,MATCH($A256,Mots!$A:$A,0)),"introuvable")</f>
        <v>un jus d'orange</v>
      </c>
      <c r="C256" s="17" t="str">
        <f>IFERROR(INDEX(Mots!$N:$N,MATCH($A256,Mots!$A:$A,0)),"")</f>
        <v>chose</v>
      </c>
      <c r="D256" s="17">
        <f>IFERROR(COUNTA(INDEX(Mots!$E:$E,MATCH($A256,Mots!$A:$A,0)):INDEX(Mots!$K:$K,MATCH($A256,Mots!$A:$A,0))),0)</f>
        <v>1</v>
      </c>
      <c r="E256" s="17" t="str">
        <f>IF(COUNTIF(Classement!$A:$A,$A256)&gt;0,"ok","à faire")</f>
        <v>ok</v>
      </c>
      <c r="F256" s="17" t="str">
        <f>IF(COUNTIF(Tags!$A:$A,$A256)&gt;0,"ok","à faire")</f>
        <v>ok</v>
      </c>
      <c r="G256" s="17" t="str">
        <f>IF(COUNTIF(Phrases!$A:$A,$A256)&gt;0,"ok","à faire")</f>
        <v>ok</v>
      </c>
      <c r="H256" s="17" t="str">
        <f>IF(COUNTIFS(Phrases!$A:$A,$A256,Phrases!$I:$I,"&lt;&gt;")&gt;0,"ok","à faire")</f>
        <v>à faire</v>
      </c>
      <c r="I256" s="17" t="str">
        <f>IF(COUNTIF(Synonymes!$A:$A,$A256)&gt;0,"ok","")</f>
        <v/>
      </c>
      <c r="J256" s="17">
        <f t="shared" si="3"/>
        <v>1</v>
      </c>
    </row>
    <row r="257" spans="1:10" x14ac:dyDescent="0.3">
      <c r="A257" s="17" t="s">
        <v>1555</v>
      </c>
      <c r="B257" s="17" t="str">
        <f>IFERROR(INDEX(Mots!$B:$B,MATCH($A257,Mots!$A:$A,0)),"introuvable")</f>
        <v>un Sprite</v>
      </c>
      <c r="C257" s="17" t="str">
        <f>IFERROR(INDEX(Mots!$N:$N,MATCH($A257,Mots!$A:$A,0)),"")</f>
        <v>chose</v>
      </c>
      <c r="D257" s="17">
        <f>IFERROR(COUNTA(INDEX(Mots!$E:$E,MATCH($A257,Mots!$A:$A,0)):INDEX(Mots!$K:$K,MATCH($A257,Mots!$A:$A,0))),0)</f>
        <v>1</v>
      </c>
      <c r="E257" s="17" t="str">
        <f>IF(COUNTIF(Classement!$A:$A,$A257)&gt;0,"ok","à faire")</f>
        <v>ok</v>
      </c>
      <c r="F257" s="17" t="str">
        <f>IF(COUNTIF(Tags!$A:$A,$A257)&gt;0,"ok","à faire")</f>
        <v>ok</v>
      </c>
      <c r="G257" s="17" t="str">
        <f>IF(COUNTIF(Phrases!$A:$A,$A257)&gt;0,"ok","à faire")</f>
        <v>ok</v>
      </c>
      <c r="H257" s="17" t="str">
        <f>IF(COUNTIFS(Phrases!$A:$A,$A257,Phrases!$I:$I,"&lt;&gt;")&gt;0,"ok","à faire")</f>
        <v>à faire</v>
      </c>
      <c r="I257" s="17" t="str">
        <f>IF(COUNTIF(Synonymes!$A:$A,$A257)&gt;0,"ok","")</f>
        <v/>
      </c>
      <c r="J257" s="17">
        <f t="shared" si="3"/>
        <v>1</v>
      </c>
    </row>
    <row r="258" spans="1:10" x14ac:dyDescent="0.3">
      <c r="A258" s="17" t="s">
        <v>1558</v>
      </c>
      <c r="B258" s="17" t="str">
        <f>IFERROR(INDEX(Mots!$B:$B,MATCH($A258,Mots!$A:$A,0)),"introuvable")</f>
        <v>le sirop</v>
      </c>
      <c r="C258" s="17" t="str">
        <f>IFERROR(INDEX(Mots!$N:$N,MATCH($A258,Mots!$A:$A,0)),"")</f>
        <v>chose</v>
      </c>
      <c r="D258" s="17">
        <f>IFERROR(COUNTA(INDEX(Mots!$E:$E,MATCH($A258,Mots!$A:$A,0)):INDEX(Mots!$K:$K,MATCH($A258,Mots!$A:$A,0))),0)</f>
        <v>1</v>
      </c>
      <c r="E258" s="17" t="str">
        <f>IF(COUNTIF(Classement!$A:$A,$A258)&gt;0,"ok","à faire")</f>
        <v>ok</v>
      </c>
      <c r="F258" s="17" t="str">
        <f>IF(COUNTIF(Tags!$A:$A,$A258)&gt;0,"ok","à faire")</f>
        <v>ok</v>
      </c>
      <c r="G258" s="17" t="str">
        <f>IF(COUNTIF(Phrases!$A:$A,$A258)&gt;0,"ok","à faire")</f>
        <v>ok</v>
      </c>
      <c r="H258" s="17" t="str">
        <f>IF(COUNTIFS(Phrases!$A:$A,$A258,Phrases!$I:$I,"&lt;&gt;")&gt;0,"ok","à faire")</f>
        <v>à faire</v>
      </c>
      <c r="I258" s="17" t="str">
        <f>IF(COUNTIF(Synonymes!$A:$A,$A258)&gt;0,"ok","")</f>
        <v/>
      </c>
      <c r="J258" s="17">
        <f t="shared" ref="J258:J321" si="4">COUNTIF(E258:H258,"à faire")</f>
        <v>1</v>
      </c>
    </row>
    <row r="259" spans="1:10" x14ac:dyDescent="0.3">
      <c r="A259" s="17" t="s">
        <v>1563</v>
      </c>
      <c r="B259" s="17" t="str">
        <f>IFERROR(INDEX(Mots!$B:$B,MATCH($A259,Mots!$A:$A,0)),"introuvable")</f>
        <v>les baskets</v>
      </c>
      <c r="C259" s="17" t="str">
        <f>IFERROR(INDEX(Mots!$N:$N,MATCH($A259,Mots!$A:$A,0)),"")</f>
        <v>chose</v>
      </c>
      <c r="D259" s="17">
        <f>IFERROR(COUNTA(INDEX(Mots!$E:$E,MATCH($A259,Mots!$A:$A,0)):INDEX(Mots!$K:$K,MATCH($A259,Mots!$A:$A,0))),0)</f>
        <v>1</v>
      </c>
      <c r="E259" s="17" t="str">
        <f>IF(COUNTIF(Classement!$A:$A,$A259)&gt;0,"ok","à faire")</f>
        <v>ok</v>
      </c>
      <c r="F259" s="17" t="str">
        <f>IF(COUNTIF(Tags!$A:$A,$A259)&gt;0,"ok","à faire")</f>
        <v>ok</v>
      </c>
      <c r="G259" s="17" t="str">
        <f>IF(COUNTIF(Phrases!$A:$A,$A259)&gt;0,"ok","à faire")</f>
        <v>ok</v>
      </c>
      <c r="H259" s="17" t="str">
        <f>IF(COUNTIFS(Phrases!$A:$A,$A259,Phrases!$I:$I,"&lt;&gt;")&gt;0,"ok","à faire")</f>
        <v>à faire</v>
      </c>
      <c r="I259" s="17" t="str">
        <f>IF(COUNTIF(Synonymes!$A:$A,$A259)&gt;0,"ok","")</f>
        <v/>
      </c>
      <c r="J259" s="17">
        <f t="shared" si="4"/>
        <v>1</v>
      </c>
    </row>
    <row r="260" spans="1:10" x14ac:dyDescent="0.3">
      <c r="A260" s="17" t="s">
        <v>1568</v>
      </c>
      <c r="B260" s="17" t="str">
        <f>IFERROR(INDEX(Mots!$B:$B,MATCH($A260,Mots!$A:$A,0)),"introuvable")</f>
        <v>les souliers</v>
      </c>
      <c r="C260" s="17" t="str">
        <f>IFERROR(INDEX(Mots!$N:$N,MATCH($A260,Mots!$A:$A,0)),"")</f>
        <v>chose</v>
      </c>
      <c r="D260" s="17">
        <f>IFERROR(COUNTA(INDEX(Mots!$E:$E,MATCH($A260,Mots!$A:$A,0)):INDEX(Mots!$K:$K,MATCH($A260,Mots!$A:$A,0))),0)</f>
        <v>4</v>
      </c>
      <c r="E260" s="17" t="str">
        <f>IF(COUNTIF(Classement!$A:$A,$A260)&gt;0,"ok","à faire")</f>
        <v>ok</v>
      </c>
      <c r="F260" s="17" t="str">
        <f>IF(COUNTIF(Tags!$A:$A,$A260)&gt;0,"ok","à faire")</f>
        <v>ok</v>
      </c>
      <c r="G260" s="17" t="str">
        <f>IF(COUNTIF(Phrases!$A:$A,$A260)&gt;0,"ok","à faire")</f>
        <v>ok</v>
      </c>
      <c r="H260" s="17" t="str">
        <f>IF(COUNTIFS(Phrases!$A:$A,$A260,Phrases!$I:$I,"&lt;&gt;")&gt;0,"ok","à faire")</f>
        <v>à faire</v>
      </c>
      <c r="I260" s="17" t="str">
        <f>IF(COUNTIF(Synonymes!$A:$A,$A260)&gt;0,"ok","")</f>
        <v>ok</v>
      </c>
      <c r="J260" s="17">
        <f t="shared" si="4"/>
        <v>1</v>
      </c>
    </row>
    <row r="261" spans="1:10" x14ac:dyDescent="0.3">
      <c r="A261" s="17" t="s">
        <v>1576</v>
      </c>
      <c r="B261" s="17" t="str">
        <f>IFERROR(INDEX(Mots!$B:$B,MATCH($A261,Mots!$A:$A,0)),"introuvable")</f>
        <v>les bottillons</v>
      </c>
      <c r="C261" s="17" t="str">
        <f>IFERROR(INDEX(Mots!$N:$N,MATCH($A261,Mots!$A:$A,0)),"")</f>
        <v>chose</v>
      </c>
      <c r="D261" s="17">
        <f>IFERROR(COUNTA(INDEX(Mots!$E:$E,MATCH($A261,Mots!$A:$A,0)):INDEX(Mots!$K:$K,MATCH($A261,Mots!$A:$A,0))),0)</f>
        <v>1</v>
      </c>
      <c r="E261" s="17" t="str">
        <f>IF(COUNTIF(Classement!$A:$A,$A261)&gt;0,"ok","à faire")</f>
        <v>ok</v>
      </c>
      <c r="F261" s="17" t="str">
        <f>IF(COUNTIF(Tags!$A:$A,$A261)&gt;0,"ok","à faire")</f>
        <v>ok</v>
      </c>
      <c r="G261" s="17" t="str">
        <f>IF(COUNTIF(Phrases!$A:$A,$A261)&gt;0,"ok","à faire")</f>
        <v>ok</v>
      </c>
      <c r="H261" s="17" t="str">
        <f>IF(COUNTIFS(Phrases!$A:$A,$A261,Phrases!$I:$I,"&lt;&gt;")&gt;0,"ok","à faire")</f>
        <v>à faire</v>
      </c>
      <c r="I261" s="17" t="str">
        <f>IF(COUNTIF(Synonymes!$A:$A,$A261)&gt;0,"ok","")</f>
        <v/>
      </c>
      <c r="J261" s="17">
        <f t="shared" si="4"/>
        <v>1</v>
      </c>
    </row>
    <row r="262" spans="1:10" x14ac:dyDescent="0.3">
      <c r="A262" s="17" t="s">
        <v>1581</v>
      </c>
      <c r="B262" s="17" t="str">
        <f>IFERROR(INDEX(Mots!$B:$B,MATCH($A262,Mots!$A:$A,0)),"introuvable")</f>
        <v>la viande</v>
      </c>
      <c r="C262" s="17" t="str">
        <f>IFERROR(INDEX(Mots!$N:$N,MATCH($A262,Mots!$A:$A,0)),"")</f>
        <v>chose</v>
      </c>
      <c r="D262" s="17">
        <f>IFERROR(COUNTA(INDEX(Mots!$E:$E,MATCH($A262,Mots!$A:$A,0)):INDEX(Mots!$K:$K,MATCH($A262,Mots!$A:$A,0))),0)</f>
        <v>1</v>
      </c>
      <c r="E262" s="17" t="str">
        <f>IF(COUNTIF(Classement!$A:$A,$A262)&gt;0,"ok","à faire")</f>
        <v>ok</v>
      </c>
      <c r="F262" s="17" t="str">
        <f>IF(COUNTIF(Tags!$A:$A,$A262)&gt;0,"ok","à faire")</f>
        <v>ok</v>
      </c>
      <c r="G262" s="17" t="str">
        <f>IF(COUNTIF(Phrases!$A:$A,$A262)&gt;0,"ok","à faire")</f>
        <v>ok</v>
      </c>
      <c r="H262" s="17" t="str">
        <f>IF(COUNTIFS(Phrases!$A:$A,$A262,Phrases!$I:$I,"&lt;&gt;")&gt;0,"ok","à faire")</f>
        <v>à faire</v>
      </c>
      <c r="I262" s="17" t="str">
        <f>IF(COUNTIF(Synonymes!$A:$A,$A262)&gt;0,"ok","")</f>
        <v/>
      </c>
      <c r="J262" s="17">
        <f t="shared" si="4"/>
        <v>1</v>
      </c>
    </row>
    <row r="263" spans="1:10" x14ac:dyDescent="0.3">
      <c r="A263" s="17" t="s">
        <v>1585</v>
      </c>
      <c r="B263" s="17" t="str">
        <f>IFERROR(INDEX(Mots!$B:$B,MATCH($A263,Mots!$A:$A,0)),"introuvable")</f>
        <v>le lait</v>
      </c>
      <c r="C263" s="17" t="str">
        <f>IFERROR(INDEX(Mots!$N:$N,MATCH($A263,Mots!$A:$A,0)),"")</f>
        <v>chose</v>
      </c>
      <c r="D263" s="17">
        <f>IFERROR(COUNTA(INDEX(Mots!$E:$E,MATCH($A263,Mots!$A:$A,0)):INDEX(Mots!$K:$K,MATCH($A263,Mots!$A:$A,0))),0)</f>
        <v>5</v>
      </c>
      <c r="E263" s="17" t="str">
        <f>IF(COUNTIF(Classement!$A:$A,$A263)&gt;0,"ok","à faire")</f>
        <v>ok</v>
      </c>
      <c r="F263" s="17" t="str">
        <f>IF(COUNTIF(Tags!$A:$A,$A263)&gt;0,"ok","à faire")</f>
        <v>ok</v>
      </c>
      <c r="G263" s="17" t="str">
        <f>IF(COUNTIF(Phrases!$A:$A,$A263)&gt;0,"ok","à faire")</f>
        <v>ok</v>
      </c>
      <c r="H263" s="17" t="str">
        <f>IF(COUNTIFS(Phrases!$A:$A,$A263,Phrases!$I:$I,"&lt;&gt;")&gt;0,"ok","à faire")</f>
        <v>à faire</v>
      </c>
      <c r="I263" s="17" t="str">
        <f>IF(COUNTIF(Synonymes!$A:$A,$A263)&gt;0,"ok","")</f>
        <v/>
      </c>
      <c r="J263" s="17">
        <f t="shared" si="4"/>
        <v>1</v>
      </c>
    </row>
    <row r="264" spans="1:10" x14ac:dyDescent="0.3">
      <c r="A264" s="17" t="s">
        <v>1594</v>
      </c>
      <c r="B264" s="17" t="str">
        <f>IFERROR(INDEX(Mots!$B:$B,MATCH($A264,Mots!$A:$A,0)),"introuvable")</f>
        <v>l'huile</v>
      </c>
      <c r="C264" s="17" t="str">
        <f>IFERROR(INDEX(Mots!$N:$N,MATCH($A264,Mots!$A:$A,0)),"")</f>
        <v>chose</v>
      </c>
      <c r="D264" s="17">
        <f>IFERROR(COUNTA(INDEX(Mots!$E:$E,MATCH($A264,Mots!$A:$A,0)):INDEX(Mots!$K:$K,MATCH($A264,Mots!$A:$A,0))),0)</f>
        <v>1</v>
      </c>
      <c r="E264" s="17" t="str">
        <f>IF(COUNTIF(Classement!$A:$A,$A264)&gt;0,"ok","à faire")</f>
        <v>ok</v>
      </c>
      <c r="F264" s="17" t="str">
        <f>IF(COUNTIF(Tags!$A:$A,$A264)&gt;0,"ok","à faire")</f>
        <v>ok</v>
      </c>
      <c r="G264" s="17" t="str">
        <f>IF(COUNTIF(Phrases!$A:$A,$A264)&gt;0,"ok","à faire")</f>
        <v>ok</v>
      </c>
      <c r="H264" s="17" t="str">
        <f>IF(COUNTIFS(Phrases!$A:$A,$A264,Phrases!$I:$I,"&lt;&gt;")&gt;0,"ok","à faire")</f>
        <v>à faire</v>
      </c>
      <c r="I264" s="17" t="str">
        <f>IF(COUNTIF(Synonymes!$A:$A,$A264)&gt;0,"ok","")</f>
        <v/>
      </c>
      <c r="J264" s="17">
        <f t="shared" si="4"/>
        <v>1</v>
      </c>
    </row>
    <row r="265" spans="1:10" x14ac:dyDescent="0.3">
      <c r="A265" s="17" t="s">
        <v>1598</v>
      </c>
      <c r="B265" s="17" t="str">
        <f>IFERROR(INDEX(Mots!$B:$B,MATCH($A265,Mots!$A:$A,0)),"introuvable")</f>
        <v>l'oeuf</v>
      </c>
      <c r="C265" s="17" t="str">
        <f>IFERROR(INDEX(Mots!$N:$N,MATCH($A265,Mots!$A:$A,0)),"")</f>
        <v>chose</v>
      </c>
      <c r="D265" s="17">
        <f>IFERROR(COUNTA(INDEX(Mots!$E:$E,MATCH($A265,Mots!$A:$A,0)):INDEX(Mots!$K:$K,MATCH($A265,Mots!$A:$A,0))),0)</f>
        <v>1</v>
      </c>
      <c r="E265" s="17" t="str">
        <f>IF(COUNTIF(Classement!$A:$A,$A265)&gt;0,"ok","à faire")</f>
        <v>ok</v>
      </c>
      <c r="F265" s="17" t="str">
        <f>IF(COUNTIF(Tags!$A:$A,$A265)&gt;0,"ok","à faire")</f>
        <v>ok</v>
      </c>
      <c r="G265" s="17" t="str">
        <f>IF(COUNTIF(Phrases!$A:$A,$A265)&gt;0,"ok","à faire")</f>
        <v>ok</v>
      </c>
      <c r="H265" s="17" t="str">
        <f>IF(COUNTIFS(Phrases!$A:$A,$A265,Phrases!$I:$I,"&lt;&gt;")&gt;0,"ok","à faire")</f>
        <v>à faire</v>
      </c>
      <c r="I265" s="17" t="str">
        <f>IF(COUNTIF(Synonymes!$A:$A,$A265)&gt;0,"ok","")</f>
        <v/>
      </c>
      <c r="J265" s="17">
        <f t="shared" si="4"/>
        <v>1</v>
      </c>
    </row>
    <row r="266" spans="1:10" x14ac:dyDescent="0.3">
      <c r="A266" s="17" t="s">
        <v>1603</v>
      </c>
      <c r="B266" s="17" t="str">
        <f>IFERROR(INDEX(Mots!$B:$B,MATCH($A266,Mots!$A:$A,0)),"introuvable")</f>
        <v>le gâteau</v>
      </c>
      <c r="C266" s="17" t="str">
        <f>IFERROR(INDEX(Mots!$N:$N,MATCH($A266,Mots!$A:$A,0)),"")</f>
        <v>chose</v>
      </c>
      <c r="D266" s="17">
        <f>IFERROR(COUNTA(INDEX(Mots!$E:$E,MATCH($A266,Mots!$A:$A,0)):INDEX(Mots!$K:$K,MATCH($A266,Mots!$A:$A,0))),0)</f>
        <v>1</v>
      </c>
      <c r="E266" s="17" t="str">
        <f>IF(COUNTIF(Classement!$A:$A,$A266)&gt;0,"ok","à faire")</f>
        <v>ok</v>
      </c>
      <c r="F266" s="17" t="str">
        <f>IF(COUNTIF(Tags!$A:$A,$A266)&gt;0,"ok","à faire")</f>
        <v>ok</v>
      </c>
      <c r="G266" s="17" t="str">
        <f>IF(COUNTIF(Phrases!$A:$A,$A266)&gt;0,"ok","à faire")</f>
        <v>ok</v>
      </c>
      <c r="H266" s="17" t="str">
        <f>IF(COUNTIFS(Phrases!$A:$A,$A266,Phrases!$I:$I,"&lt;&gt;")&gt;0,"ok","à faire")</f>
        <v>à faire</v>
      </c>
      <c r="I266" s="17" t="str">
        <f>IF(COUNTIF(Synonymes!$A:$A,$A266)&gt;0,"ok","")</f>
        <v/>
      </c>
      <c r="J266" s="17">
        <f t="shared" si="4"/>
        <v>1</v>
      </c>
    </row>
    <row r="267" spans="1:10" x14ac:dyDescent="0.3">
      <c r="A267" s="17" t="s">
        <v>1608</v>
      </c>
      <c r="B267" s="17" t="str">
        <f>IFERROR(INDEX(Mots!$B:$B,MATCH($A267,Mots!$A:$A,0)),"introuvable")</f>
        <v>la forêt</v>
      </c>
      <c r="C267" s="17" t="str">
        <f>IFERROR(INDEX(Mots!$N:$N,MATCH($A267,Mots!$A:$A,0)),"")</f>
        <v>chose</v>
      </c>
      <c r="D267" s="17">
        <f>IFERROR(COUNTA(INDEX(Mots!$E:$E,MATCH($A267,Mots!$A:$A,0)):INDEX(Mots!$K:$K,MATCH($A267,Mots!$A:$A,0))),0)</f>
        <v>5</v>
      </c>
      <c r="E267" s="17" t="str">
        <f>IF(COUNTIF(Classement!$A:$A,$A267)&gt;0,"ok","à faire")</f>
        <v>ok</v>
      </c>
      <c r="F267" s="17" t="str">
        <f>IF(COUNTIF(Tags!$A:$A,$A267)&gt;0,"ok","à faire")</f>
        <v>ok</v>
      </c>
      <c r="G267" s="17" t="str">
        <f>IF(COUNTIF(Phrases!$A:$A,$A267)&gt;0,"ok","à faire")</f>
        <v>ok</v>
      </c>
      <c r="H267" s="17" t="str">
        <f>IF(COUNTIFS(Phrases!$A:$A,$A267,Phrases!$I:$I,"&lt;&gt;")&gt;0,"ok","à faire")</f>
        <v>à faire</v>
      </c>
      <c r="I267" s="17" t="str">
        <f>IF(COUNTIF(Synonymes!$A:$A,$A267)&gt;0,"ok","")</f>
        <v/>
      </c>
      <c r="J267" s="17">
        <f t="shared" si="4"/>
        <v>1</v>
      </c>
    </row>
    <row r="268" spans="1:10" x14ac:dyDescent="0.3">
      <c r="A268" s="17" t="s">
        <v>1617</v>
      </c>
      <c r="B268" s="17" t="str">
        <f>IFERROR(INDEX(Mots!$B:$B,MATCH($A268,Mots!$A:$A,0)),"introuvable")</f>
        <v>la mer</v>
      </c>
      <c r="C268" s="17" t="str">
        <f>IFERROR(INDEX(Mots!$N:$N,MATCH($A268,Mots!$A:$A,0)),"")</f>
        <v>chose</v>
      </c>
      <c r="D268" s="17">
        <f>IFERROR(COUNTA(INDEX(Mots!$E:$E,MATCH($A268,Mots!$A:$A,0)):INDEX(Mots!$K:$K,MATCH($A268,Mots!$A:$A,0))),0)</f>
        <v>1</v>
      </c>
      <c r="E268" s="17" t="str">
        <f>IF(COUNTIF(Classement!$A:$A,$A268)&gt;0,"ok","à faire")</f>
        <v>ok</v>
      </c>
      <c r="F268" s="17" t="str">
        <f>IF(COUNTIF(Tags!$A:$A,$A268)&gt;0,"ok","à faire")</f>
        <v>ok</v>
      </c>
      <c r="G268" s="17" t="str">
        <f>IF(COUNTIF(Phrases!$A:$A,$A268)&gt;0,"ok","à faire")</f>
        <v>ok</v>
      </c>
      <c r="H268" s="17" t="str">
        <f>IF(COUNTIFS(Phrases!$A:$A,$A268,Phrases!$I:$I,"&lt;&gt;")&gt;0,"ok","à faire")</f>
        <v>à faire</v>
      </c>
      <c r="I268" s="17" t="str">
        <f>IF(COUNTIF(Synonymes!$A:$A,$A268)&gt;0,"ok","")</f>
        <v/>
      </c>
      <c r="J268" s="17">
        <f t="shared" si="4"/>
        <v>1</v>
      </c>
    </row>
    <row r="269" spans="1:10" x14ac:dyDescent="0.3">
      <c r="A269" s="17" t="s">
        <v>1622</v>
      </c>
      <c r="B269" s="17" t="str">
        <f>IFERROR(INDEX(Mots!$B:$B,MATCH($A269,Mots!$A:$A,0)),"introuvable")</f>
        <v>la montagne</v>
      </c>
      <c r="C269" s="17" t="str">
        <f>IFERROR(INDEX(Mots!$N:$N,MATCH($A269,Mots!$A:$A,0)),"")</f>
        <v>chose</v>
      </c>
      <c r="D269" s="17">
        <f>IFERROR(COUNTA(INDEX(Mots!$E:$E,MATCH($A269,Mots!$A:$A,0)):INDEX(Mots!$K:$K,MATCH($A269,Mots!$A:$A,0))),0)</f>
        <v>1</v>
      </c>
      <c r="E269" s="17" t="str">
        <f>IF(COUNTIF(Classement!$A:$A,$A269)&gt;0,"ok","à faire")</f>
        <v>ok</v>
      </c>
      <c r="F269" s="17" t="str">
        <f>IF(COUNTIF(Tags!$A:$A,$A269)&gt;0,"ok","à faire")</f>
        <v>ok</v>
      </c>
      <c r="G269" s="17" t="str">
        <f>IF(COUNTIF(Phrases!$A:$A,$A269)&gt;0,"ok","à faire")</f>
        <v>ok</v>
      </c>
      <c r="H269" s="17" t="str">
        <f>IF(COUNTIFS(Phrases!$A:$A,$A269,Phrases!$I:$I,"&lt;&gt;")&gt;0,"ok","à faire")</f>
        <v>à faire</v>
      </c>
      <c r="I269" s="17" t="str">
        <f>IF(COUNTIF(Synonymes!$A:$A,$A269)&gt;0,"ok","")</f>
        <v/>
      </c>
      <c r="J269" s="17">
        <f t="shared" si="4"/>
        <v>1</v>
      </c>
    </row>
    <row r="270" spans="1:10" x14ac:dyDescent="0.3">
      <c r="A270" s="17" t="s">
        <v>1627</v>
      </c>
      <c r="B270" s="17" t="str">
        <f>IFERROR(INDEX(Mots!$B:$B,MATCH($A270,Mots!$A:$A,0)),"introuvable")</f>
        <v>la rivière</v>
      </c>
      <c r="C270" s="17" t="str">
        <f>IFERROR(INDEX(Mots!$N:$N,MATCH($A270,Mots!$A:$A,0)),"")</f>
        <v>chose</v>
      </c>
      <c r="D270" s="17">
        <f>IFERROR(COUNTA(INDEX(Mots!$E:$E,MATCH($A270,Mots!$A:$A,0)):INDEX(Mots!$K:$K,MATCH($A270,Mots!$A:$A,0))),0)</f>
        <v>1</v>
      </c>
      <c r="E270" s="17" t="str">
        <f>IF(COUNTIF(Classement!$A:$A,$A270)&gt;0,"ok","à faire")</f>
        <v>ok</v>
      </c>
      <c r="F270" s="17" t="str">
        <f>IF(COUNTIF(Tags!$A:$A,$A270)&gt;0,"ok","à faire")</f>
        <v>ok</v>
      </c>
      <c r="G270" s="17" t="str">
        <f>IF(COUNTIF(Phrases!$A:$A,$A270)&gt;0,"ok","à faire")</f>
        <v>ok</v>
      </c>
      <c r="H270" s="17" t="str">
        <f>IF(COUNTIFS(Phrases!$A:$A,$A270,Phrases!$I:$I,"&lt;&gt;")&gt;0,"ok","à faire")</f>
        <v>à faire</v>
      </c>
      <c r="I270" s="17" t="str">
        <f>IF(COUNTIF(Synonymes!$A:$A,$A270)&gt;0,"ok","")</f>
        <v>ok</v>
      </c>
      <c r="J270" s="17">
        <f t="shared" si="4"/>
        <v>1</v>
      </c>
    </row>
    <row r="271" spans="1:10" x14ac:dyDescent="0.3">
      <c r="A271" s="17" t="s">
        <v>1630</v>
      </c>
      <c r="B271" s="17" t="str">
        <f>IFERROR(INDEX(Mots!$B:$B,MATCH($A271,Mots!$A:$A,0)),"introuvable")</f>
        <v>le rocher</v>
      </c>
      <c r="C271" s="17" t="str">
        <f>IFERROR(INDEX(Mots!$N:$N,MATCH($A271,Mots!$A:$A,0)),"")</f>
        <v>chose</v>
      </c>
      <c r="D271" s="17">
        <f>IFERROR(COUNTA(INDEX(Mots!$E:$E,MATCH($A271,Mots!$A:$A,0)):INDEX(Mots!$K:$K,MATCH($A271,Mots!$A:$A,0))),0)</f>
        <v>5</v>
      </c>
      <c r="E271" s="17" t="str">
        <f>IF(COUNTIF(Classement!$A:$A,$A271)&gt;0,"ok","à faire")</f>
        <v>ok</v>
      </c>
      <c r="F271" s="17" t="str">
        <f>IF(COUNTIF(Tags!$A:$A,$A271)&gt;0,"ok","à faire")</f>
        <v>ok</v>
      </c>
      <c r="G271" s="17" t="str">
        <f>IF(COUNTIF(Phrases!$A:$A,$A271)&gt;0,"ok","à faire")</f>
        <v>ok</v>
      </c>
      <c r="H271" s="17" t="str">
        <f>IF(COUNTIFS(Phrases!$A:$A,$A271,Phrases!$I:$I,"&lt;&gt;")&gt;0,"ok","à faire")</f>
        <v>à faire</v>
      </c>
      <c r="I271" s="17" t="str">
        <f>IF(COUNTIF(Synonymes!$A:$A,$A271)&gt;0,"ok","")</f>
        <v/>
      </c>
      <c r="J271" s="17">
        <f t="shared" si="4"/>
        <v>1</v>
      </c>
    </row>
    <row r="272" spans="1:10" x14ac:dyDescent="0.3">
      <c r="A272" s="17" t="s">
        <v>1639</v>
      </c>
      <c r="B272" s="17" t="str">
        <f>IFERROR(INDEX(Mots!$B:$B,MATCH($A272,Mots!$A:$A,0)),"introuvable")</f>
        <v>la lune</v>
      </c>
      <c r="C272" s="17" t="str">
        <f>IFERROR(INDEX(Mots!$N:$N,MATCH($A272,Mots!$A:$A,0)),"")</f>
        <v>chose</v>
      </c>
      <c r="D272" s="17">
        <f>IFERROR(COUNTA(INDEX(Mots!$E:$E,MATCH($A272,Mots!$A:$A,0)):INDEX(Mots!$K:$K,MATCH($A272,Mots!$A:$A,0))),0)</f>
        <v>5</v>
      </c>
      <c r="E272" s="17" t="str">
        <f>IF(COUNTIF(Classement!$A:$A,$A272)&gt;0,"ok","à faire")</f>
        <v>ok</v>
      </c>
      <c r="F272" s="17" t="str">
        <f>IF(COUNTIF(Tags!$A:$A,$A272)&gt;0,"ok","à faire")</f>
        <v>ok</v>
      </c>
      <c r="G272" s="17" t="str">
        <f>IF(COUNTIF(Phrases!$A:$A,$A272)&gt;0,"ok","à faire")</f>
        <v>ok</v>
      </c>
      <c r="H272" s="17" t="str">
        <f>IF(COUNTIFS(Phrases!$A:$A,$A272,Phrases!$I:$I,"&lt;&gt;")&gt;0,"ok","à faire")</f>
        <v>à faire</v>
      </c>
      <c r="I272" s="17" t="str">
        <f>IF(COUNTIF(Synonymes!$A:$A,$A272)&gt;0,"ok","")</f>
        <v/>
      </c>
      <c r="J272" s="17">
        <f t="shared" si="4"/>
        <v>1</v>
      </c>
    </row>
    <row r="273" spans="1:10" x14ac:dyDescent="0.3">
      <c r="A273" s="17" t="s">
        <v>1648</v>
      </c>
      <c r="B273" s="17" t="str">
        <f>IFERROR(INDEX(Mots!$B:$B,MATCH($A273,Mots!$A:$A,0)),"introuvable")</f>
        <v>la terre</v>
      </c>
      <c r="C273" s="17" t="str">
        <f>IFERROR(INDEX(Mots!$N:$N,MATCH($A273,Mots!$A:$A,0)),"")</f>
        <v>chose</v>
      </c>
      <c r="D273" s="17">
        <f>IFERROR(COUNTA(INDEX(Mots!$E:$E,MATCH($A273,Mots!$A:$A,0)):INDEX(Mots!$K:$K,MATCH($A273,Mots!$A:$A,0))),0)</f>
        <v>5</v>
      </c>
      <c r="E273" s="17" t="str">
        <f>IF(COUNTIF(Classement!$A:$A,$A273)&gt;0,"ok","à faire")</f>
        <v>ok</v>
      </c>
      <c r="F273" s="17" t="str">
        <f>IF(COUNTIF(Tags!$A:$A,$A273)&gt;0,"ok","à faire")</f>
        <v>ok</v>
      </c>
      <c r="G273" s="17" t="str">
        <f>IF(COUNTIF(Phrases!$A:$A,$A273)&gt;0,"ok","à faire")</f>
        <v>ok</v>
      </c>
      <c r="H273" s="17" t="str">
        <f>IF(COUNTIFS(Phrases!$A:$A,$A273,Phrases!$I:$I,"&lt;&gt;")&gt;0,"ok","à faire")</f>
        <v>à faire</v>
      </c>
      <c r="I273" s="17" t="str">
        <f>IF(COUNTIF(Synonymes!$A:$A,$A273)&gt;0,"ok","")</f>
        <v/>
      </c>
      <c r="J273" s="17">
        <f t="shared" si="4"/>
        <v>1</v>
      </c>
    </row>
    <row r="274" spans="1:10" x14ac:dyDescent="0.3">
      <c r="A274" s="17" t="s">
        <v>1656</v>
      </c>
      <c r="B274" s="17" t="str">
        <f>IFERROR(INDEX(Mots!$B:$B,MATCH($A274,Mots!$A:$A,0)),"introuvable")</f>
        <v>la terre</v>
      </c>
      <c r="C274" s="17" t="str">
        <f>IFERROR(INDEX(Mots!$N:$N,MATCH($A274,Mots!$A:$A,0)),"")</f>
        <v>chose</v>
      </c>
      <c r="D274" s="17">
        <f>IFERROR(COUNTA(INDEX(Mots!$E:$E,MATCH($A274,Mots!$A:$A,0)):INDEX(Mots!$K:$K,MATCH($A274,Mots!$A:$A,0))),0)</f>
        <v>3</v>
      </c>
      <c r="E274" s="17" t="str">
        <f>IF(COUNTIF(Classement!$A:$A,$A274)&gt;0,"ok","à faire")</f>
        <v>ok</v>
      </c>
      <c r="F274" s="17" t="str">
        <f>IF(COUNTIF(Tags!$A:$A,$A274)&gt;0,"ok","à faire")</f>
        <v>ok</v>
      </c>
      <c r="G274" s="17" t="str">
        <f>IF(COUNTIF(Phrases!$A:$A,$A274)&gt;0,"ok","à faire")</f>
        <v>ok</v>
      </c>
      <c r="H274" s="17" t="str">
        <f>IF(COUNTIFS(Phrases!$A:$A,$A274,Phrases!$I:$I,"&lt;&gt;")&gt;0,"ok","à faire")</f>
        <v>à faire</v>
      </c>
      <c r="I274" s="17" t="str">
        <f>IF(COUNTIF(Synonymes!$A:$A,$A274)&gt;0,"ok","")</f>
        <v/>
      </c>
      <c r="J274" s="17">
        <f t="shared" si="4"/>
        <v>1</v>
      </c>
    </row>
    <row r="275" spans="1:10" x14ac:dyDescent="0.3">
      <c r="A275" s="17" t="s">
        <v>1661</v>
      </c>
      <c r="B275" s="17" t="str">
        <f>IFERROR(INDEX(Mots!$B:$B,MATCH($A275,Mots!$A:$A,0)),"introuvable")</f>
        <v>le ciel</v>
      </c>
      <c r="C275" s="17" t="str">
        <f>IFERROR(INDEX(Mots!$N:$N,MATCH($A275,Mots!$A:$A,0)),"")</f>
        <v>chose</v>
      </c>
      <c r="D275" s="17">
        <f>IFERROR(COUNTA(INDEX(Mots!$E:$E,MATCH($A275,Mots!$A:$A,0)):INDEX(Mots!$K:$K,MATCH($A275,Mots!$A:$A,0))),0)</f>
        <v>1</v>
      </c>
      <c r="E275" s="17" t="str">
        <f>IF(COUNTIF(Classement!$A:$A,$A275)&gt;0,"ok","à faire")</f>
        <v>ok</v>
      </c>
      <c r="F275" s="17" t="str">
        <f>IF(COUNTIF(Tags!$A:$A,$A275)&gt;0,"ok","à faire")</f>
        <v>ok</v>
      </c>
      <c r="G275" s="17" t="str">
        <f>IF(COUNTIF(Phrases!$A:$A,$A275)&gt;0,"ok","à faire")</f>
        <v>ok</v>
      </c>
      <c r="H275" s="17" t="str">
        <f>IF(COUNTIFS(Phrases!$A:$A,$A275,Phrases!$I:$I,"&lt;&gt;")&gt;0,"ok","à faire")</f>
        <v>à faire</v>
      </c>
      <c r="I275" s="17" t="str">
        <f>IF(COUNTIF(Synonymes!$A:$A,$A275)&gt;0,"ok","")</f>
        <v/>
      </c>
      <c r="J275" s="17">
        <f t="shared" si="4"/>
        <v>1</v>
      </c>
    </row>
    <row r="276" spans="1:10" x14ac:dyDescent="0.3">
      <c r="A276" s="17" t="s">
        <v>1665</v>
      </c>
      <c r="B276" s="17" t="str">
        <f>IFERROR(INDEX(Mots!$B:$B,MATCH($A276,Mots!$A:$A,0)),"introuvable")</f>
        <v>le feu</v>
      </c>
      <c r="C276" s="17" t="str">
        <f>IFERROR(INDEX(Mots!$N:$N,MATCH($A276,Mots!$A:$A,0)),"")</f>
        <v>chose</v>
      </c>
      <c r="D276" s="17">
        <f>IFERROR(COUNTA(INDEX(Mots!$E:$E,MATCH($A276,Mots!$A:$A,0)):INDEX(Mots!$K:$K,MATCH($A276,Mots!$A:$A,0))),0)</f>
        <v>1</v>
      </c>
      <c r="E276" s="17" t="str">
        <f>IF(COUNTIF(Classement!$A:$A,$A276)&gt;0,"ok","à faire")</f>
        <v>ok</v>
      </c>
      <c r="F276" s="17" t="str">
        <f>IF(COUNTIF(Tags!$A:$A,$A276)&gt;0,"ok","à faire")</f>
        <v>ok</v>
      </c>
      <c r="G276" s="17" t="str">
        <f>IF(COUNTIF(Phrases!$A:$A,$A276)&gt;0,"ok","à faire")</f>
        <v>ok</v>
      </c>
      <c r="H276" s="17" t="str">
        <f>IF(COUNTIFS(Phrases!$A:$A,$A276,Phrases!$I:$I,"&lt;&gt;")&gt;0,"ok","à faire")</f>
        <v>à faire</v>
      </c>
      <c r="I276" s="17" t="str">
        <f>IF(COUNTIF(Synonymes!$A:$A,$A276)&gt;0,"ok","")</f>
        <v/>
      </c>
      <c r="J276" s="17">
        <f t="shared" si="4"/>
        <v>1</v>
      </c>
    </row>
    <row r="277" spans="1:10" x14ac:dyDescent="0.3">
      <c r="A277" s="17" t="s">
        <v>1669</v>
      </c>
      <c r="B277" s="17" t="str">
        <f>IFERROR(INDEX(Mots!$B:$B,MATCH($A277,Mots!$A:$A,0)),"introuvable")</f>
        <v>le soleil</v>
      </c>
      <c r="C277" s="17" t="str">
        <f>IFERROR(INDEX(Mots!$N:$N,MATCH($A277,Mots!$A:$A,0)),"")</f>
        <v>chose</v>
      </c>
      <c r="D277" s="17">
        <f>IFERROR(COUNTA(INDEX(Mots!$E:$E,MATCH($A277,Mots!$A:$A,0)):INDEX(Mots!$K:$K,MATCH($A277,Mots!$A:$A,0))),0)</f>
        <v>5</v>
      </c>
      <c r="E277" s="17" t="str">
        <f>IF(COUNTIF(Classement!$A:$A,$A277)&gt;0,"ok","à faire")</f>
        <v>ok</v>
      </c>
      <c r="F277" s="17" t="str">
        <f>IF(COUNTIF(Tags!$A:$A,$A277)&gt;0,"ok","à faire")</f>
        <v>ok</v>
      </c>
      <c r="G277" s="17" t="str">
        <f>IF(COUNTIF(Phrases!$A:$A,$A277)&gt;0,"ok","à faire")</f>
        <v>ok</v>
      </c>
      <c r="H277" s="17" t="str">
        <f>IF(COUNTIFS(Phrases!$A:$A,$A277,Phrases!$I:$I,"&lt;&gt;")&gt;0,"ok","à faire")</f>
        <v>à faire</v>
      </c>
      <c r="I277" s="17" t="str">
        <f>IF(COUNTIF(Synonymes!$A:$A,$A277)&gt;0,"ok","")</f>
        <v/>
      </c>
      <c r="J277" s="17">
        <f t="shared" si="4"/>
        <v>1</v>
      </c>
    </row>
    <row r="278" spans="1:10" x14ac:dyDescent="0.3">
      <c r="A278" s="17" t="s">
        <v>1678</v>
      </c>
      <c r="B278" s="17" t="str">
        <f>IFERROR(INDEX(Mots!$B:$B,MATCH($A278,Mots!$A:$A,0)),"introuvable")</f>
        <v>l'eau</v>
      </c>
      <c r="C278" s="17" t="str">
        <f>IFERROR(INDEX(Mots!$N:$N,MATCH($A278,Mots!$A:$A,0)),"")</f>
        <v>chose</v>
      </c>
      <c r="D278" s="17">
        <f>IFERROR(COUNTA(INDEX(Mots!$E:$E,MATCH($A278,Mots!$A:$A,0)):INDEX(Mots!$K:$K,MATCH($A278,Mots!$A:$A,0))),0)</f>
        <v>5</v>
      </c>
      <c r="E278" s="17" t="str">
        <f>IF(COUNTIF(Classement!$A:$A,$A278)&gt;0,"ok","à faire")</f>
        <v>ok</v>
      </c>
      <c r="F278" s="17" t="str">
        <f>IF(COUNTIF(Tags!$A:$A,$A278)&gt;0,"ok","à faire")</f>
        <v>ok</v>
      </c>
      <c r="G278" s="17" t="str">
        <f>IF(COUNTIF(Phrases!$A:$A,$A278)&gt;0,"ok","à faire")</f>
        <v>ok</v>
      </c>
      <c r="H278" s="17" t="str">
        <f>IF(COUNTIFS(Phrases!$A:$A,$A278,Phrases!$I:$I,"&lt;&gt;")&gt;0,"ok","à faire")</f>
        <v>à faire</v>
      </c>
      <c r="I278" s="17" t="str">
        <f>IF(COUNTIF(Synonymes!$A:$A,$A278)&gt;0,"ok","")</f>
        <v/>
      </c>
      <c r="J278" s="17">
        <f t="shared" si="4"/>
        <v>1</v>
      </c>
    </row>
    <row r="279" spans="1:10" x14ac:dyDescent="0.3">
      <c r="A279" s="17" t="s">
        <v>1686</v>
      </c>
      <c r="B279" s="17" t="str">
        <f>IFERROR(INDEX(Mots!$B:$B,MATCH($A279,Mots!$A:$A,0)),"introuvable")</f>
        <v>l'incendie</v>
      </c>
      <c r="C279" s="17" t="str">
        <f>IFERROR(INDEX(Mots!$N:$N,MATCH($A279,Mots!$A:$A,0)),"")</f>
        <v>chose</v>
      </c>
      <c r="D279" s="17">
        <f>IFERROR(COUNTA(INDEX(Mots!$E:$E,MATCH($A279,Mots!$A:$A,0)):INDEX(Mots!$K:$K,MATCH($A279,Mots!$A:$A,0))),0)</f>
        <v>1</v>
      </c>
      <c r="E279" s="17" t="str">
        <f>IF(COUNTIF(Classement!$A:$A,$A279)&gt;0,"ok","à faire")</f>
        <v>ok</v>
      </c>
      <c r="F279" s="17" t="str">
        <f>IF(COUNTIF(Tags!$A:$A,$A279)&gt;0,"ok","à faire")</f>
        <v>ok</v>
      </c>
      <c r="G279" s="17" t="str">
        <f>IF(COUNTIF(Phrases!$A:$A,$A279)&gt;0,"ok","à faire")</f>
        <v>ok</v>
      </c>
      <c r="H279" s="17" t="str">
        <f>IF(COUNTIFS(Phrases!$A:$A,$A279,Phrases!$I:$I,"&lt;&gt;")&gt;0,"ok","à faire")</f>
        <v>à faire</v>
      </c>
      <c r="I279" s="17" t="str">
        <f>IF(COUNTIF(Synonymes!$A:$A,$A279)&gt;0,"ok","")</f>
        <v/>
      </c>
      <c r="J279" s="17">
        <f t="shared" si="4"/>
        <v>1</v>
      </c>
    </row>
    <row r="280" spans="1:10" x14ac:dyDescent="0.3">
      <c r="A280" s="17" t="s">
        <v>1690</v>
      </c>
      <c r="B280" s="17" t="str">
        <f>IFERROR(INDEX(Mots!$B:$B,MATCH($A280,Mots!$A:$A,0)),"introuvable")</f>
        <v>la colère</v>
      </c>
      <c r="C280" s="17" t="str">
        <f>IFERROR(INDEX(Mots!$N:$N,MATCH($A280,Mots!$A:$A,0)),"")</f>
        <v>sentiment</v>
      </c>
      <c r="D280" s="17">
        <f>IFERROR(COUNTA(INDEX(Mots!$E:$E,MATCH($A280,Mots!$A:$A,0)):INDEX(Mots!$K:$K,MATCH($A280,Mots!$A:$A,0))),0)</f>
        <v>2</v>
      </c>
      <c r="E280" s="17" t="str">
        <f>IF(COUNTIF(Classement!$A:$A,$A280)&gt;0,"ok","à faire")</f>
        <v>ok</v>
      </c>
      <c r="F280" s="17" t="str">
        <f>IF(COUNTIF(Tags!$A:$A,$A280)&gt;0,"ok","à faire")</f>
        <v>ok</v>
      </c>
      <c r="G280" s="17" t="str">
        <f>IF(COUNTIF(Phrases!$A:$A,$A280)&gt;0,"ok","à faire")</f>
        <v>ok</v>
      </c>
      <c r="H280" s="17" t="str">
        <f>IF(COUNTIFS(Phrases!$A:$A,$A280,Phrases!$I:$I,"&lt;&gt;")&gt;0,"ok","à faire")</f>
        <v>à faire</v>
      </c>
      <c r="I280" s="17" t="str">
        <f>IF(COUNTIF(Synonymes!$A:$A,$A280)&gt;0,"ok","")</f>
        <v/>
      </c>
      <c r="J280" s="17">
        <f t="shared" si="4"/>
        <v>1</v>
      </c>
    </row>
    <row r="281" spans="1:10" x14ac:dyDescent="0.3">
      <c r="A281" s="17" t="s">
        <v>1697</v>
      </c>
      <c r="B281" s="17" t="str">
        <f>IFERROR(INDEX(Mots!$B:$B,MATCH($A281,Mots!$A:$A,0)),"introuvable")</f>
        <v>la peur</v>
      </c>
      <c r="C281" s="17" t="str">
        <f>IFERROR(INDEX(Mots!$N:$N,MATCH($A281,Mots!$A:$A,0)),"")</f>
        <v>sentiment</v>
      </c>
      <c r="D281" s="17">
        <f>IFERROR(COUNTA(INDEX(Mots!$E:$E,MATCH($A281,Mots!$A:$A,0)):INDEX(Mots!$K:$K,MATCH($A281,Mots!$A:$A,0))),0)</f>
        <v>2</v>
      </c>
      <c r="E281" s="17" t="str">
        <f>IF(COUNTIF(Classement!$A:$A,$A281)&gt;0,"ok","à faire")</f>
        <v>ok</v>
      </c>
      <c r="F281" s="17" t="str">
        <f>IF(COUNTIF(Tags!$A:$A,$A281)&gt;0,"ok","à faire")</f>
        <v>ok</v>
      </c>
      <c r="G281" s="17" t="str">
        <f>IF(COUNTIF(Phrases!$A:$A,$A281)&gt;0,"ok","à faire")</f>
        <v>ok</v>
      </c>
      <c r="H281" s="17" t="str">
        <f>IF(COUNTIFS(Phrases!$A:$A,$A281,Phrases!$I:$I,"&lt;&gt;")&gt;0,"ok","à faire")</f>
        <v>à faire</v>
      </c>
      <c r="I281" s="17" t="str">
        <f>IF(COUNTIF(Synonymes!$A:$A,$A281)&gt;0,"ok","")</f>
        <v>ok</v>
      </c>
      <c r="J281" s="17">
        <f t="shared" si="4"/>
        <v>1</v>
      </c>
    </row>
    <row r="282" spans="1:10" x14ac:dyDescent="0.3">
      <c r="A282" s="17" t="s">
        <v>1703</v>
      </c>
      <c r="B282" s="17" t="str">
        <f>IFERROR(INDEX(Mots!$B:$B,MATCH($A282,Mots!$A:$A,0)),"introuvable")</f>
        <v>la solitude</v>
      </c>
      <c r="C282" s="17" t="str">
        <f>IFERROR(INDEX(Mots!$N:$N,MATCH($A282,Mots!$A:$A,0)),"")</f>
        <v>sentiment</v>
      </c>
      <c r="D282" s="17">
        <f>IFERROR(COUNTA(INDEX(Mots!$E:$E,MATCH($A282,Mots!$A:$A,0)):INDEX(Mots!$K:$K,MATCH($A282,Mots!$A:$A,0))),0)</f>
        <v>4</v>
      </c>
      <c r="E282" s="17" t="str">
        <f>IF(COUNTIF(Classement!$A:$A,$A282)&gt;0,"ok","à faire")</f>
        <v>ok</v>
      </c>
      <c r="F282" s="17" t="str">
        <f>IF(COUNTIF(Tags!$A:$A,$A282)&gt;0,"ok","à faire")</f>
        <v>ok</v>
      </c>
      <c r="G282" s="17" t="str">
        <f>IF(COUNTIF(Phrases!$A:$A,$A282)&gt;0,"ok","à faire")</f>
        <v>ok</v>
      </c>
      <c r="H282" s="17" t="str">
        <f>IF(COUNTIFS(Phrases!$A:$A,$A282,Phrases!$I:$I,"&lt;&gt;")&gt;0,"ok","à faire")</f>
        <v>à faire</v>
      </c>
      <c r="I282" s="17" t="str">
        <f>IF(COUNTIF(Synonymes!$A:$A,$A282)&gt;0,"ok","")</f>
        <v/>
      </c>
      <c r="J282" s="17">
        <f t="shared" si="4"/>
        <v>1</v>
      </c>
    </row>
    <row r="283" spans="1:10" x14ac:dyDescent="0.3">
      <c r="A283" s="17" t="s">
        <v>1711</v>
      </c>
      <c r="B283" s="17" t="str">
        <f>IFERROR(INDEX(Mots!$B:$B,MATCH($A283,Mots!$A:$A,0)),"introuvable")</f>
        <v>la tristesse</v>
      </c>
      <c r="C283" s="17" t="str">
        <f>IFERROR(INDEX(Mots!$N:$N,MATCH($A283,Mots!$A:$A,0)),"")</f>
        <v>sentiment</v>
      </c>
      <c r="D283" s="17">
        <f>IFERROR(COUNTA(INDEX(Mots!$E:$E,MATCH($A283,Mots!$A:$A,0)):INDEX(Mots!$K:$K,MATCH($A283,Mots!$A:$A,0))),0)</f>
        <v>3</v>
      </c>
      <c r="E283" s="17" t="str">
        <f>IF(COUNTIF(Classement!$A:$A,$A283)&gt;0,"ok","à faire")</f>
        <v>ok</v>
      </c>
      <c r="F283" s="17" t="str">
        <f>IF(COUNTIF(Tags!$A:$A,$A283)&gt;0,"ok","à faire")</f>
        <v>ok</v>
      </c>
      <c r="G283" s="17" t="str">
        <f>IF(COUNTIF(Phrases!$A:$A,$A283)&gt;0,"ok","à faire")</f>
        <v>ok</v>
      </c>
      <c r="H283" s="17" t="str">
        <f>IF(COUNTIFS(Phrases!$A:$A,$A283,Phrases!$I:$I,"&lt;&gt;")&gt;0,"ok","à faire")</f>
        <v>à faire</v>
      </c>
      <c r="I283" s="17" t="str">
        <f>IF(COUNTIF(Synonymes!$A:$A,$A283)&gt;0,"ok","")</f>
        <v/>
      </c>
      <c r="J283" s="17">
        <f t="shared" si="4"/>
        <v>1</v>
      </c>
    </row>
    <row r="284" spans="1:10" x14ac:dyDescent="0.3">
      <c r="A284" s="17" t="s">
        <v>1718</v>
      </c>
      <c r="B284" s="17" t="str">
        <f>IFERROR(INDEX(Mots!$B:$B,MATCH($A284,Mots!$A:$A,0)),"introuvable")</f>
        <v>la confiance</v>
      </c>
      <c r="C284" s="17" t="str">
        <f>IFERROR(INDEX(Mots!$N:$N,MATCH($A284,Mots!$A:$A,0)),"")</f>
        <v>sentiment</v>
      </c>
      <c r="D284" s="17">
        <f>IFERROR(COUNTA(INDEX(Mots!$E:$E,MATCH($A284,Mots!$A:$A,0)):INDEX(Mots!$K:$K,MATCH($A284,Mots!$A:$A,0))),0)</f>
        <v>1</v>
      </c>
      <c r="E284" s="17" t="str">
        <f>IF(COUNTIF(Classement!$A:$A,$A284)&gt;0,"ok","à faire")</f>
        <v>ok</v>
      </c>
      <c r="F284" s="17" t="str">
        <f>IF(COUNTIF(Tags!$A:$A,$A284)&gt;0,"ok","à faire")</f>
        <v>ok</v>
      </c>
      <c r="G284" s="17" t="str">
        <f>IF(COUNTIF(Phrases!$A:$A,$A284)&gt;0,"ok","à faire")</f>
        <v>ok</v>
      </c>
      <c r="H284" s="17" t="str">
        <f>IF(COUNTIFS(Phrases!$A:$A,$A284,Phrases!$I:$I,"&lt;&gt;")&gt;0,"ok","à faire")</f>
        <v>à faire</v>
      </c>
      <c r="I284" s="17" t="str">
        <f>IF(COUNTIF(Synonymes!$A:$A,$A284)&gt;0,"ok","")</f>
        <v/>
      </c>
      <c r="J284" s="17">
        <f t="shared" si="4"/>
        <v>1</v>
      </c>
    </row>
    <row r="285" spans="1:10" x14ac:dyDescent="0.3">
      <c r="A285" s="17" t="s">
        <v>1723</v>
      </c>
      <c r="B285" s="17" t="str">
        <f>IFERROR(INDEX(Mots!$B:$B,MATCH($A285,Mots!$A:$A,0)),"introuvable")</f>
        <v>la fierté</v>
      </c>
      <c r="C285" s="17" t="str">
        <f>IFERROR(INDEX(Mots!$N:$N,MATCH($A285,Mots!$A:$A,0)),"")</f>
        <v>sentiment</v>
      </c>
      <c r="D285" s="17">
        <f>IFERROR(COUNTA(INDEX(Mots!$E:$E,MATCH($A285,Mots!$A:$A,0)):INDEX(Mots!$K:$K,MATCH($A285,Mots!$A:$A,0))),0)</f>
        <v>2</v>
      </c>
      <c r="E285" s="17" t="str">
        <f>IF(COUNTIF(Classement!$A:$A,$A285)&gt;0,"ok","à faire")</f>
        <v>ok</v>
      </c>
      <c r="F285" s="17" t="str">
        <f>IF(COUNTIF(Tags!$A:$A,$A285)&gt;0,"ok","à faire")</f>
        <v>ok</v>
      </c>
      <c r="G285" s="17" t="str">
        <f>IF(COUNTIF(Phrases!$A:$A,$A285)&gt;0,"ok","à faire")</f>
        <v>ok</v>
      </c>
      <c r="H285" s="17" t="str">
        <f>IF(COUNTIFS(Phrases!$A:$A,$A285,Phrases!$I:$I,"&lt;&gt;")&gt;0,"ok","à faire")</f>
        <v>à faire</v>
      </c>
      <c r="I285" s="17" t="str">
        <f>IF(COUNTIF(Synonymes!$A:$A,$A285)&gt;0,"ok","")</f>
        <v/>
      </c>
      <c r="J285" s="17">
        <f t="shared" si="4"/>
        <v>1</v>
      </c>
    </row>
    <row r="286" spans="1:10" x14ac:dyDescent="0.3">
      <c r="A286" s="17" t="s">
        <v>1729</v>
      </c>
      <c r="B286" s="17" t="str">
        <f>IFERROR(INDEX(Mots!$B:$B,MATCH($A286,Mots!$A:$A,0)),"introuvable")</f>
        <v>la gratitude</v>
      </c>
      <c r="C286" s="17" t="str">
        <f>IFERROR(INDEX(Mots!$N:$N,MATCH($A286,Mots!$A:$A,0)),"")</f>
        <v>sentiment</v>
      </c>
      <c r="D286" s="17">
        <f>IFERROR(COUNTA(INDEX(Mots!$E:$E,MATCH($A286,Mots!$A:$A,0)):INDEX(Mots!$K:$K,MATCH($A286,Mots!$A:$A,0))),0)</f>
        <v>3</v>
      </c>
      <c r="E286" s="17" t="str">
        <f>IF(COUNTIF(Classement!$A:$A,$A286)&gt;0,"ok","à faire")</f>
        <v>ok</v>
      </c>
      <c r="F286" s="17" t="str">
        <f>IF(COUNTIF(Tags!$A:$A,$A286)&gt;0,"ok","à faire")</f>
        <v>ok</v>
      </c>
      <c r="G286" s="17" t="str">
        <f>IF(COUNTIF(Phrases!$A:$A,$A286)&gt;0,"ok","à faire")</f>
        <v>ok</v>
      </c>
      <c r="H286" s="17" t="str">
        <f>IF(COUNTIFS(Phrases!$A:$A,$A286,Phrases!$I:$I,"&lt;&gt;")&gt;0,"ok","à faire")</f>
        <v>à faire</v>
      </c>
      <c r="I286" s="17" t="str">
        <f>IF(COUNTIF(Synonymes!$A:$A,$A286)&gt;0,"ok","")</f>
        <v>ok</v>
      </c>
      <c r="J286" s="17">
        <f t="shared" si="4"/>
        <v>1</v>
      </c>
    </row>
    <row r="287" spans="1:10" x14ac:dyDescent="0.3">
      <c r="A287" s="17" t="s">
        <v>1736</v>
      </c>
      <c r="B287" s="17" t="str">
        <f>IFERROR(INDEX(Mots!$B:$B,MATCH($A287,Mots!$A:$A,0)),"introuvable")</f>
        <v>la joie</v>
      </c>
      <c r="C287" s="17" t="str">
        <f>IFERROR(INDEX(Mots!$N:$N,MATCH($A287,Mots!$A:$A,0)),"")</f>
        <v>sentiment</v>
      </c>
      <c r="D287" s="17">
        <f>IFERROR(COUNTA(INDEX(Mots!$E:$E,MATCH($A287,Mots!$A:$A,0)):INDEX(Mots!$K:$K,MATCH($A287,Mots!$A:$A,0))),0)</f>
        <v>4</v>
      </c>
      <c r="E287" s="17" t="str">
        <f>IF(COUNTIF(Classement!$A:$A,$A287)&gt;0,"ok","à faire")</f>
        <v>ok</v>
      </c>
      <c r="F287" s="17" t="str">
        <f>IF(COUNTIF(Tags!$A:$A,$A287)&gt;0,"ok","à faire")</f>
        <v>ok</v>
      </c>
      <c r="G287" s="17" t="str">
        <f>IF(COUNTIF(Phrases!$A:$A,$A287)&gt;0,"ok","à faire")</f>
        <v>ok</v>
      </c>
      <c r="H287" s="17" t="str">
        <f>IF(COUNTIFS(Phrases!$A:$A,$A287,Phrases!$I:$I,"&lt;&gt;")&gt;0,"ok","à faire")</f>
        <v>à faire</v>
      </c>
      <c r="I287" s="17" t="str">
        <f>IF(COUNTIF(Synonymes!$A:$A,$A287)&gt;0,"ok","")</f>
        <v/>
      </c>
      <c r="J287" s="17">
        <f t="shared" si="4"/>
        <v>1</v>
      </c>
    </row>
    <row r="288" spans="1:10" x14ac:dyDescent="0.3">
      <c r="A288" s="17" t="s">
        <v>1744</v>
      </c>
      <c r="B288" s="17" t="str">
        <f>IFERROR(INDEX(Mots!$B:$B,MATCH($A288,Mots!$A:$A,0)),"introuvable")</f>
        <v>la surprise</v>
      </c>
      <c r="C288" s="17" t="str">
        <f>IFERROR(INDEX(Mots!$N:$N,MATCH($A288,Mots!$A:$A,0)),"")</f>
        <v>sentiment</v>
      </c>
      <c r="D288" s="17">
        <f>IFERROR(COUNTA(INDEX(Mots!$E:$E,MATCH($A288,Mots!$A:$A,0)):INDEX(Mots!$K:$K,MATCH($A288,Mots!$A:$A,0))),0)</f>
        <v>2</v>
      </c>
      <c r="E288" s="17" t="str">
        <f>IF(COUNTIF(Classement!$A:$A,$A288)&gt;0,"ok","à faire")</f>
        <v>ok</v>
      </c>
      <c r="F288" s="17" t="str">
        <f>IF(COUNTIF(Tags!$A:$A,$A288)&gt;0,"ok","à faire")</f>
        <v>ok</v>
      </c>
      <c r="G288" s="17" t="str">
        <f>IF(COUNTIF(Phrases!$A:$A,$A288)&gt;0,"ok","à faire")</f>
        <v>ok</v>
      </c>
      <c r="H288" s="17" t="str">
        <f>IF(COUNTIFS(Phrases!$A:$A,$A288,Phrases!$I:$I,"&lt;&gt;")&gt;0,"ok","à faire")</f>
        <v>à faire</v>
      </c>
      <c r="I288" s="17" t="str">
        <f>IF(COUNTIF(Synonymes!$A:$A,$A288)&gt;0,"ok","")</f>
        <v>ok</v>
      </c>
      <c r="J288" s="17">
        <f t="shared" si="4"/>
        <v>1</v>
      </c>
    </row>
    <row r="289" spans="1:10" x14ac:dyDescent="0.3">
      <c r="A289" s="17" t="s">
        <v>1750</v>
      </c>
      <c r="B289" s="17" t="str">
        <f>IFERROR(INDEX(Mots!$B:$B,MATCH($A289,Mots!$A:$A,0)),"introuvable")</f>
        <v>l'amour</v>
      </c>
      <c r="C289" s="17" t="str">
        <f>IFERROR(INDEX(Mots!$N:$N,MATCH($A289,Mots!$A:$A,0)),"")</f>
        <v>sentiment</v>
      </c>
      <c r="D289" s="17">
        <f>IFERROR(COUNTA(INDEX(Mots!$E:$E,MATCH($A289,Mots!$A:$A,0)):INDEX(Mots!$K:$K,MATCH($A289,Mots!$A:$A,0))),0)</f>
        <v>4</v>
      </c>
      <c r="E289" s="17" t="str">
        <f>IF(COUNTIF(Classement!$A:$A,$A289)&gt;0,"ok","à faire")</f>
        <v>ok</v>
      </c>
      <c r="F289" s="17" t="str">
        <f>IF(COUNTIF(Tags!$A:$A,$A289)&gt;0,"ok","à faire")</f>
        <v>ok</v>
      </c>
      <c r="G289" s="17" t="str">
        <f>IF(COUNTIF(Phrases!$A:$A,$A289)&gt;0,"ok","à faire")</f>
        <v>ok</v>
      </c>
      <c r="H289" s="17" t="str">
        <f>IF(COUNTIFS(Phrases!$A:$A,$A289,Phrases!$I:$I,"&lt;&gt;")&gt;0,"ok","à faire")</f>
        <v>à faire</v>
      </c>
      <c r="I289" s="17" t="str">
        <f>IF(COUNTIF(Synonymes!$A:$A,$A289)&gt;0,"ok","")</f>
        <v/>
      </c>
      <c r="J289" s="17">
        <f t="shared" si="4"/>
        <v>1</v>
      </c>
    </row>
    <row r="290" spans="1:10" x14ac:dyDescent="0.3">
      <c r="A290" s="17" t="s">
        <v>1758</v>
      </c>
      <c r="B290" s="17" t="str">
        <f>IFERROR(INDEX(Mots!$B:$B,MATCH($A290,Mots!$A:$A,0)),"introuvable")</f>
        <v>le bonheur</v>
      </c>
      <c r="C290" s="17" t="str">
        <f>IFERROR(INDEX(Mots!$N:$N,MATCH($A290,Mots!$A:$A,0)),"")</f>
        <v>sentiment</v>
      </c>
      <c r="D290" s="17">
        <f>IFERROR(COUNTA(INDEX(Mots!$E:$E,MATCH($A290,Mots!$A:$A,0)):INDEX(Mots!$K:$K,MATCH($A290,Mots!$A:$A,0))),0)</f>
        <v>2</v>
      </c>
      <c r="E290" s="17" t="str">
        <f>IF(COUNTIF(Classement!$A:$A,$A290)&gt;0,"ok","à faire")</f>
        <v>ok</v>
      </c>
      <c r="F290" s="17" t="str">
        <f>IF(COUNTIF(Tags!$A:$A,$A290)&gt;0,"ok","à faire")</f>
        <v>ok</v>
      </c>
      <c r="G290" s="17" t="str">
        <f>IF(COUNTIF(Phrases!$A:$A,$A290)&gt;0,"ok","à faire")</f>
        <v>ok</v>
      </c>
      <c r="H290" s="17" t="str">
        <f>IF(COUNTIFS(Phrases!$A:$A,$A290,Phrases!$I:$I,"&lt;&gt;")&gt;0,"ok","à faire")</f>
        <v>à faire</v>
      </c>
      <c r="I290" s="17" t="str">
        <f>IF(COUNTIF(Synonymes!$A:$A,$A290)&gt;0,"ok","")</f>
        <v/>
      </c>
      <c r="J290" s="17">
        <f t="shared" si="4"/>
        <v>1</v>
      </c>
    </row>
    <row r="291" spans="1:10" x14ac:dyDescent="0.3">
      <c r="A291" s="17" t="s">
        <v>1764</v>
      </c>
      <c r="B291" s="17" t="str">
        <f>IFERROR(INDEX(Mots!$B:$B,MATCH($A291,Mots!$A:$A,0)),"introuvable")</f>
        <v>le courage</v>
      </c>
      <c r="C291" s="17" t="str">
        <f>IFERROR(INDEX(Mots!$N:$N,MATCH($A291,Mots!$A:$A,0)),"")</f>
        <v>sentiment</v>
      </c>
      <c r="D291" s="17">
        <f>IFERROR(COUNTA(INDEX(Mots!$E:$E,MATCH($A291,Mots!$A:$A,0)):INDEX(Mots!$K:$K,MATCH($A291,Mots!$A:$A,0))),0)</f>
        <v>5</v>
      </c>
      <c r="E291" s="17" t="str">
        <f>IF(COUNTIF(Classement!$A:$A,$A291)&gt;0,"ok","à faire")</f>
        <v>ok</v>
      </c>
      <c r="F291" s="17" t="str">
        <f>IF(COUNTIF(Tags!$A:$A,$A291)&gt;0,"ok","à faire")</f>
        <v>ok</v>
      </c>
      <c r="G291" s="17" t="str">
        <f>IF(COUNTIF(Phrases!$A:$A,$A291)&gt;0,"ok","à faire")</f>
        <v>ok</v>
      </c>
      <c r="H291" s="17" t="str">
        <f>IF(COUNTIFS(Phrases!$A:$A,$A291,Phrases!$I:$I,"&lt;&gt;")&gt;0,"ok","à faire")</f>
        <v>à faire</v>
      </c>
      <c r="I291" s="17" t="str">
        <f>IF(COUNTIF(Synonymes!$A:$A,$A291)&gt;0,"ok","")</f>
        <v/>
      </c>
      <c r="J291" s="17">
        <f t="shared" si="4"/>
        <v>1</v>
      </c>
    </row>
    <row r="292" spans="1:10" x14ac:dyDescent="0.3">
      <c r="A292" s="17" t="s">
        <v>1773</v>
      </c>
      <c r="B292" s="17" t="str">
        <f>IFERROR(INDEX(Mots!$B:$B,MATCH($A292,Mots!$A:$A,0)),"introuvable")</f>
        <v>le rêve</v>
      </c>
      <c r="C292" s="17" t="str">
        <f>IFERROR(INDEX(Mots!$N:$N,MATCH($A292,Mots!$A:$A,0)),"")</f>
        <v>sentiment</v>
      </c>
      <c r="D292" s="17">
        <f>IFERROR(COUNTA(INDEX(Mots!$E:$E,MATCH($A292,Mots!$A:$A,0)):INDEX(Mots!$K:$K,MATCH($A292,Mots!$A:$A,0))),0)</f>
        <v>1</v>
      </c>
      <c r="E292" s="17" t="str">
        <f>IF(COUNTIF(Classement!$A:$A,$A292)&gt;0,"ok","à faire")</f>
        <v>ok</v>
      </c>
      <c r="F292" s="17" t="str">
        <f>IF(COUNTIF(Tags!$A:$A,$A292)&gt;0,"ok","à faire")</f>
        <v>à faire</v>
      </c>
      <c r="G292" s="17" t="str">
        <f>IF(COUNTIF(Phrases!$A:$A,$A292)&gt;0,"ok","à faire")</f>
        <v>ok</v>
      </c>
      <c r="H292" s="17" t="str">
        <f>IF(COUNTIFS(Phrases!$A:$A,$A292,Phrases!$I:$I,"&lt;&gt;")&gt;0,"ok","à faire")</f>
        <v>à faire</v>
      </c>
      <c r="I292" s="17" t="str">
        <f>IF(COUNTIF(Synonymes!$A:$A,$A292)&gt;0,"ok","")</f>
        <v/>
      </c>
      <c r="J292" s="17">
        <f t="shared" si="4"/>
        <v>2</v>
      </c>
    </row>
    <row r="293" spans="1:10" x14ac:dyDescent="0.3">
      <c r="A293" s="17" t="s">
        <v>1778</v>
      </c>
      <c r="B293" s="17" t="str">
        <f>IFERROR(INDEX(Mots!$B:$B,MATCH($A293,Mots!$A:$A,0)),"introuvable")</f>
        <v>l'espoir</v>
      </c>
      <c r="C293" s="17" t="str">
        <f>IFERROR(INDEX(Mots!$N:$N,MATCH($A293,Mots!$A:$A,0)),"")</f>
        <v>sentiment</v>
      </c>
      <c r="D293" s="17">
        <f>IFERROR(COUNTA(INDEX(Mots!$E:$E,MATCH($A293,Mots!$A:$A,0)):INDEX(Mots!$K:$K,MATCH($A293,Mots!$A:$A,0))),0)</f>
        <v>3</v>
      </c>
      <c r="E293" s="17" t="str">
        <f>IF(COUNTIF(Classement!$A:$A,$A293)&gt;0,"ok","à faire")</f>
        <v>ok</v>
      </c>
      <c r="F293" s="17" t="str">
        <f>IF(COUNTIF(Tags!$A:$A,$A293)&gt;0,"ok","à faire")</f>
        <v>ok</v>
      </c>
      <c r="G293" s="17" t="str">
        <f>IF(COUNTIF(Phrases!$A:$A,$A293)&gt;0,"ok","à faire")</f>
        <v>ok</v>
      </c>
      <c r="H293" s="17" t="str">
        <f>IF(COUNTIFS(Phrases!$A:$A,$A293,Phrases!$I:$I,"&lt;&gt;")&gt;0,"ok","à faire")</f>
        <v>à faire</v>
      </c>
      <c r="I293" s="17" t="str">
        <f>IF(COUNTIF(Synonymes!$A:$A,$A293)&gt;0,"ok","")</f>
        <v/>
      </c>
      <c r="J293" s="17">
        <f t="shared" si="4"/>
        <v>1</v>
      </c>
    </row>
    <row r="294" spans="1:10" x14ac:dyDescent="0.3">
      <c r="A294" s="17" t="s">
        <v>1785</v>
      </c>
      <c r="B294" s="17" t="str">
        <f>IFERROR(INDEX(Mots!$B:$B,MATCH($A294,Mots!$A:$A,0)),"introuvable")</f>
        <v>l'auberge du Godet</v>
      </c>
      <c r="C294" s="17" t="str">
        <f>IFERROR(INDEX(Mots!$N:$N,MATCH($A294,Mots!$A:$A,0)),"")</f>
        <v>lieu</v>
      </c>
      <c r="D294" s="17">
        <f>IFERROR(COUNTA(INDEX(Mots!$E:$E,MATCH($A294,Mots!$A:$A,0)):INDEX(Mots!$K:$K,MATCH($A294,Mots!$A:$A,0))),0)</f>
        <v>1</v>
      </c>
      <c r="E294" s="17" t="str">
        <f>IF(COUNTIF(Classement!$A:$A,$A294)&gt;0,"ok","à faire")</f>
        <v>ok</v>
      </c>
      <c r="F294" s="17" t="str">
        <f>IF(COUNTIF(Tags!$A:$A,$A294)&gt;0,"ok","à faire")</f>
        <v>ok</v>
      </c>
      <c r="G294" s="17" t="str">
        <f>IF(COUNTIF(Phrases!$A:$A,$A294)&gt;0,"ok","à faire")</f>
        <v>à faire</v>
      </c>
      <c r="H294" s="17" t="str">
        <f>IF(COUNTIFS(Phrases!$A:$A,$A294,Phrases!$I:$I,"&lt;&gt;")&gt;0,"ok","à faire")</f>
        <v>à faire</v>
      </c>
      <c r="I294" s="17" t="str">
        <f>IF(COUNTIF(Synonymes!$A:$A,$A294)&gt;0,"ok","")</f>
        <v/>
      </c>
      <c r="J294" s="17">
        <f t="shared" si="4"/>
        <v>2</v>
      </c>
    </row>
    <row r="295" spans="1:10" x14ac:dyDescent="0.3">
      <c r="A295" s="17" t="s">
        <v>1789</v>
      </c>
      <c r="B295" s="17" t="str">
        <f>IFERROR(INDEX(Mots!$B:$B,MATCH($A295,Mots!$A:$A,0)),"introuvable")</f>
        <v>le Refuge du Lac à Derborence</v>
      </c>
      <c r="C295" s="17" t="str">
        <f>IFERROR(INDEX(Mots!$N:$N,MATCH($A295,Mots!$A:$A,0)),"")</f>
        <v>lieu</v>
      </c>
      <c r="D295" s="17">
        <f>IFERROR(COUNTA(INDEX(Mots!$E:$E,MATCH($A295,Mots!$A:$A,0)):INDEX(Mots!$K:$K,MATCH($A295,Mots!$A:$A,0))),0)</f>
        <v>1</v>
      </c>
      <c r="E295" s="17" t="str">
        <f>IF(COUNTIF(Classement!$A:$A,$A295)&gt;0,"ok","à faire")</f>
        <v>ok</v>
      </c>
      <c r="F295" s="17" t="str">
        <f>IF(COUNTIF(Tags!$A:$A,$A295)&gt;0,"ok","à faire")</f>
        <v>ok</v>
      </c>
      <c r="G295" s="17" t="str">
        <f>IF(COUNTIF(Phrases!$A:$A,$A295)&gt;0,"ok","à faire")</f>
        <v>à faire</v>
      </c>
      <c r="H295" s="17" t="str">
        <f>IF(COUNTIFS(Phrases!$A:$A,$A295,Phrases!$I:$I,"&lt;&gt;")&gt;0,"ok","à faire")</f>
        <v>à faire</v>
      </c>
      <c r="I295" s="17" t="str">
        <f>IF(COUNTIF(Synonymes!$A:$A,$A295)&gt;0,"ok","")</f>
        <v/>
      </c>
      <c r="J295" s="17">
        <f t="shared" si="4"/>
        <v>2</v>
      </c>
    </row>
    <row r="296" spans="1:10" x14ac:dyDescent="0.3">
      <c r="A296" s="17" t="s">
        <v>1793</v>
      </c>
      <c r="B296" s="17" t="str">
        <f>IFERROR(INDEX(Mots!$B:$B,MATCH($A296,Mots!$A:$A,0)),"introuvable")</f>
        <v>le lac de Derborence</v>
      </c>
      <c r="C296" s="17" t="str">
        <f>IFERROR(INDEX(Mots!$N:$N,MATCH($A296,Mots!$A:$A,0)),"")</f>
        <v>lieu</v>
      </c>
      <c r="D296" s="17">
        <f>IFERROR(COUNTA(INDEX(Mots!$E:$E,MATCH($A296,Mots!$A:$A,0)):INDEX(Mots!$K:$K,MATCH($A296,Mots!$A:$A,0))),0)</f>
        <v>1</v>
      </c>
      <c r="E296" s="17" t="str">
        <f>IF(COUNTIF(Classement!$A:$A,$A296)&gt;0,"ok","à faire")</f>
        <v>ok</v>
      </c>
      <c r="F296" s="17" t="str">
        <f>IF(COUNTIF(Tags!$A:$A,$A296)&gt;0,"ok","à faire")</f>
        <v>ok</v>
      </c>
      <c r="G296" s="17" t="str">
        <f>IF(COUNTIF(Phrases!$A:$A,$A296)&gt;0,"ok","à faire")</f>
        <v>à faire</v>
      </c>
      <c r="H296" s="17" t="str">
        <f>IF(COUNTIFS(Phrases!$A:$A,$A296,Phrases!$I:$I,"&lt;&gt;")&gt;0,"ok","à faire")</f>
        <v>à faire</v>
      </c>
      <c r="I296" s="17" t="str">
        <f>IF(COUNTIF(Synonymes!$A:$A,$A296)&gt;0,"ok","")</f>
        <v/>
      </c>
      <c r="J296" s="17">
        <f t="shared" si="4"/>
        <v>2</v>
      </c>
    </row>
    <row r="297" spans="1:10" x14ac:dyDescent="0.3">
      <c r="A297" s="17" t="s">
        <v>1797</v>
      </c>
      <c r="B297" s="17" t="str">
        <f>IFERROR(INDEX(Mots!$B:$B,MATCH($A297,Mots!$A:$A,0)),"introuvable")</f>
        <v>la buvette de Dorbon</v>
      </c>
      <c r="C297" s="17" t="str">
        <f>IFERROR(INDEX(Mots!$N:$N,MATCH($A297,Mots!$A:$A,0)),"")</f>
        <v>lieu</v>
      </c>
      <c r="D297" s="17">
        <f>IFERROR(COUNTA(INDEX(Mots!$E:$E,MATCH($A297,Mots!$A:$A,0)):INDEX(Mots!$K:$K,MATCH($A297,Mots!$A:$A,0))),0)</f>
        <v>1</v>
      </c>
      <c r="E297" s="17" t="str">
        <f>IF(COUNTIF(Classement!$A:$A,$A297)&gt;0,"ok","à faire")</f>
        <v>ok</v>
      </c>
      <c r="F297" s="17" t="str">
        <f>IF(COUNTIF(Tags!$A:$A,$A297)&gt;0,"ok","à faire")</f>
        <v>ok</v>
      </c>
      <c r="G297" s="17" t="str">
        <f>IF(COUNTIF(Phrases!$A:$A,$A297)&gt;0,"ok","à faire")</f>
        <v>à faire</v>
      </c>
      <c r="H297" s="17" t="str">
        <f>IF(COUNTIFS(Phrases!$A:$A,$A297,Phrases!$I:$I,"&lt;&gt;")&gt;0,"ok","à faire")</f>
        <v>à faire</v>
      </c>
      <c r="I297" s="17" t="str">
        <f>IF(COUNTIF(Synonymes!$A:$A,$A297)&gt;0,"ok","")</f>
        <v/>
      </c>
      <c r="J297" s="17">
        <f t="shared" si="4"/>
        <v>2</v>
      </c>
    </row>
    <row r="298" spans="1:10" x14ac:dyDescent="0.3">
      <c r="A298" s="17" t="s">
        <v>1801</v>
      </c>
      <c r="B298" s="17" t="str">
        <f>IFERROR(INDEX(Mots!$B:$B,MATCH($A298,Mots!$A:$A,0)),"introuvable")</f>
        <v>l'alpage d'Airoz ou Aïre</v>
      </c>
      <c r="C298" s="17" t="str">
        <f>IFERROR(INDEX(Mots!$N:$N,MATCH($A298,Mots!$A:$A,0)),"")</f>
        <v>lieu</v>
      </c>
      <c r="D298" s="17">
        <f>IFERROR(COUNTA(INDEX(Mots!$E:$E,MATCH($A298,Mots!$A:$A,0)):INDEX(Mots!$K:$K,MATCH($A298,Mots!$A:$A,0))),0)</f>
        <v>1</v>
      </c>
      <c r="E298" s="17" t="str">
        <f>IF(COUNTIF(Classement!$A:$A,$A298)&gt;0,"ok","à faire")</f>
        <v>ok</v>
      </c>
      <c r="F298" s="17" t="str">
        <f>IF(COUNTIF(Tags!$A:$A,$A298)&gt;0,"ok","à faire")</f>
        <v>ok</v>
      </c>
      <c r="G298" s="17" t="str">
        <f>IF(COUNTIF(Phrases!$A:$A,$A298)&gt;0,"ok","à faire")</f>
        <v>à faire</v>
      </c>
      <c r="H298" s="17" t="str">
        <f>IF(COUNTIFS(Phrases!$A:$A,$A298,Phrases!$I:$I,"&lt;&gt;")&gt;0,"ok","à faire")</f>
        <v>à faire</v>
      </c>
      <c r="I298" s="17" t="str">
        <f>IF(COUNTIF(Synonymes!$A:$A,$A298)&gt;0,"ok","")</f>
        <v/>
      </c>
      <c r="J298" s="17">
        <f t="shared" si="4"/>
        <v>2</v>
      </c>
    </row>
    <row r="299" spans="1:10" x14ac:dyDescent="0.3">
      <c r="A299" s="17" t="s">
        <v>1805</v>
      </c>
      <c r="B299" s="17" t="str">
        <f>IFERROR(INDEX(Mots!$B:$B,MATCH($A299,Mots!$A:$A,0)),"introuvable")</f>
        <v>l'alpage de Flore</v>
      </c>
      <c r="C299" s="17" t="str">
        <f>IFERROR(INDEX(Mots!$N:$N,MATCH($A299,Mots!$A:$A,0)),"")</f>
        <v>lieu</v>
      </c>
      <c r="D299" s="17">
        <f>IFERROR(COUNTA(INDEX(Mots!$E:$E,MATCH($A299,Mots!$A:$A,0)):INDEX(Mots!$K:$K,MATCH($A299,Mots!$A:$A,0))),0)</f>
        <v>1</v>
      </c>
      <c r="E299" s="17" t="str">
        <f>IF(COUNTIF(Classement!$A:$A,$A299)&gt;0,"ok","à faire")</f>
        <v>ok</v>
      </c>
      <c r="F299" s="17" t="str">
        <f>IF(COUNTIF(Tags!$A:$A,$A299)&gt;0,"ok","à faire")</f>
        <v>ok</v>
      </c>
      <c r="G299" s="17" t="str">
        <f>IF(COUNTIF(Phrases!$A:$A,$A299)&gt;0,"ok","à faire")</f>
        <v>à faire</v>
      </c>
      <c r="H299" s="17" t="str">
        <f>IF(COUNTIFS(Phrases!$A:$A,$A299,Phrases!$I:$I,"&lt;&gt;")&gt;0,"ok","à faire")</f>
        <v>à faire</v>
      </c>
      <c r="I299" s="17" t="str">
        <f>IF(COUNTIF(Synonymes!$A:$A,$A299)&gt;0,"ok","")</f>
        <v/>
      </c>
      <c r="J299" s="17">
        <f t="shared" si="4"/>
        <v>2</v>
      </c>
    </row>
    <row r="300" spans="1:10" x14ac:dyDescent="0.3">
      <c r="A300" s="17" t="s">
        <v>1809</v>
      </c>
      <c r="B300" s="17" t="str">
        <f>IFERROR(INDEX(Mots!$B:$B,MATCH($A300,Mots!$A:$A,0)),"introuvable")</f>
        <v>le lac des Trente pas</v>
      </c>
      <c r="C300" s="17" t="str">
        <f>IFERROR(INDEX(Mots!$N:$N,MATCH($A300,Mots!$A:$A,0)),"")</f>
        <v>lieu</v>
      </c>
      <c r="D300" s="17">
        <f>IFERROR(COUNTA(INDEX(Mots!$E:$E,MATCH($A300,Mots!$A:$A,0)):INDEX(Mots!$K:$K,MATCH($A300,Mots!$A:$A,0))),0)</f>
        <v>1</v>
      </c>
      <c r="E300" s="17" t="str">
        <f>IF(COUNTIF(Classement!$A:$A,$A300)&gt;0,"ok","à faire")</f>
        <v>ok</v>
      </c>
      <c r="F300" s="17" t="str">
        <f>IF(COUNTIF(Tags!$A:$A,$A300)&gt;0,"ok","à faire")</f>
        <v>ok</v>
      </c>
      <c r="G300" s="17" t="str">
        <f>IF(COUNTIF(Phrases!$A:$A,$A300)&gt;0,"ok","à faire")</f>
        <v>à faire</v>
      </c>
      <c r="H300" s="17" t="str">
        <f>IF(COUNTIFS(Phrases!$A:$A,$A300,Phrases!$I:$I,"&lt;&gt;")&gt;0,"ok","à faire")</f>
        <v>à faire</v>
      </c>
      <c r="I300" s="17" t="str">
        <f>IF(COUNTIF(Synonymes!$A:$A,$A300)&gt;0,"ok","")</f>
        <v/>
      </c>
      <c r="J300" s="17">
        <f t="shared" si="4"/>
        <v>2</v>
      </c>
    </row>
    <row r="301" spans="1:10" x14ac:dyDescent="0.3">
      <c r="A301" s="17" t="s">
        <v>1813</v>
      </c>
      <c r="B301" s="17" t="str">
        <f>IFERROR(INDEX(Mots!$B:$B,MATCH($A301,Mots!$A:$A,0)),"introuvable")</f>
        <v>la croix de la Chia</v>
      </c>
      <c r="C301" s="17" t="str">
        <f>IFERROR(INDEX(Mots!$N:$N,MATCH($A301,Mots!$A:$A,0)),"")</f>
        <v>lieu</v>
      </c>
      <c r="D301" s="17">
        <f>IFERROR(COUNTA(INDEX(Mots!$E:$E,MATCH($A301,Mots!$A:$A,0)):INDEX(Mots!$K:$K,MATCH($A301,Mots!$A:$A,0))),0)</f>
        <v>1</v>
      </c>
      <c r="E301" s="17" t="str">
        <f>IF(COUNTIF(Classement!$A:$A,$A301)&gt;0,"ok","à faire")</f>
        <v>ok</v>
      </c>
      <c r="F301" s="17" t="str">
        <f>IF(COUNTIF(Tags!$A:$A,$A301)&gt;0,"ok","à faire")</f>
        <v>ok</v>
      </c>
      <c r="G301" s="17" t="str">
        <f>IF(COUNTIF(Phrases!$A:$A,$A301)&gt;0,"ok","à faire")</f>
        <v>à faire</v>
      </c>
      <c r="H301" s="17" t="str">
        <f>IF(COUNTIFS(Phrases!$A:$A,$A301,Phrases!$I:$I,"&lt;&gt;")&gt;0,"ok","à faire")</f>
        <v>à faire</v>
      </c>
      <c r="I301" s="17" t="str">
        <f>IF(COUNTIF(Synonymes!$A:$A,$A301)&gt;0,"ok","")</f>
        <v/>
      </c>
      <c r="J301" s="17">
        <f t="shared" si="4"/>
        <v>2</v>
      </c>
    </row>
    <row r="302" spans="1:10" x14ac:dyDescent="0.3">
      <c r="A302" s="17" t="s">
        <v>1817</v>
      </c>
      <c r="B302" s="17" t="str">
        <f>IFERROR(INDEX(Mots!$B:$B,MATCH($A302,Mots!$A:$A,0)),"introuvable")</f>
        <v>le Gîte de Lodze</v>
      </c>
      <c r="C302" s="17" t="str">
        <f>IFERROR(INDEX(Mots!$N:$N,MATCH($A302,Mots!$A:$A,0)),"")</f>
        <v>lieu</v>
      </c>
      <c r="D302" s="17">
        <f>IFERROR(COUNTA(INDEX(Mots!$E:$E,MATCH($A302,Mots!$A:$A,0)):INDEX(Mots!$K:$K,MATCH($A302,Mots!$A:$A,0))),0)</f>
        <v>1</v>
      </c>
      <c r="E302" s="17" t="str">
        <f>IF(COUNTIF(Classement!$A:$A,$A302)&gt;0,"ok","à faire")</f>
        <v>ok</v>
      </c>
      <c r="F302" s="17" t="str">
        <f>IF(COUNTIF(Tags!$A:$A,$A302)&gt;0,"ok","à faire")</f>
        <v>ok</v>
      </c>
      <c r="G302" s="17" t="str">
        <f>IF(COUNTIF(Phrases!$A:$A,$A302)&gt;0,"ok","à faire")</f>
        <v>à faire</v>
      </c>
      <c r="H302" s="17" t="str">
        <f>IF(COUNTIFS(Phrases!$A:$A,$A302,Phrases!$I:$I,"&lt;&gt;")&gt;0,"ok","à faire")</f>
        <v>à faire</v>
      </c>
      <c r="I302" s="17" t="str">
        <f>IF(COUNTIF(Synonymes!$A:$A,$A302)&gt;0,"ok","")</f>
        <v/>
      </c>
      <c r="J302" s="17">
        <f t="shared" si="4"/>
        <v>2</v>
      </c>
    </row>
    <row r="303" spans="1:10" x14ac:dyDescent="0.3">
      <c r="A303" s="17" t="s">
        <v>1821</v>
      </c>
      <c r="B303" s="17" t="str">
        <f>IFERROR(INDEX(Mots!$B:$B,MATCH($A303,Mots!$A:$A,0)),"introuvable")</f>
        <v>le restaurant de la Grand-Zour</v>
      </c>
      <c r="C303" s="17" t="str">
        <f>IFERROR(INDEX(Mots!$N:$N,MATCH($A303,Mots!$A:$A,0)),"")</f>
        <v>lieu</v>
      </c>
      <c r="D303" s="17">
        <f>IFERROR(COUNTA(INDEX(Mots!$E:$E,MATCH($A303,Mots!$A:$A,0)):INDEX(Mots!$K:$K,MATCH($A303,Mots!$A:$A,0))),0)</f>
        <v>1</v>
      </c>
      <c r="E303" s="17" t="str">
        <f>IF(COUNTIF(Classement!$A:$A,$A303)&gt;0,"ok","à faire")</f>
        <v>ok</v>
      </c>
      <c r="F303" s="17" t="str">
        <f>IF(COUNTIF(Tags!$A:$A,$A303)&gt;0,"ok","à faire")</f>
        <v>ok</v>
      </c>
      <c r="G303" s="17" t="str">
        <f>IF(COUNTIF(Phrases!$A:$A,$A303)&gt;0,"ok","à faire")</f>
        <v>à faire</v>
      </c>
      <c r="H303" s="17" t="str">
        <f>IF(COUNTIFS(Phrases!$A:$A,$A303,Phrases!$I:$I,"&lt;&gt;")&gt;0,"ok","à faire")</f>
        <v>à faire</v>
      </c>
      <c r="I303" s="17" t="str">
        <f>IF(COUNTIF(Synonymes!$A:$A,$A303)&gt;0,"ok","")</f>
        <v/>
      </c>
      <c r="J303" s="17">
        <f t="shared" si="4"/>
        <v>2</v>
      </c>
    </row>
    <row r="304" spans="1:10" x14ac:dyDescent="0.3">
      <c r="A304" s="17" t="s">
        <v>1825</v>
      </c>
      <c r="B304" s="17" t="str">
        <f>IFERROR(INDEX(Mots!$B:$B,MATCH($A304,Mots!$A:$A,0)),"introuvable")</f>
        <v>la cabane de Prarochet</v>
      </c>
      <c r="C304" s="17" t="str">
        <f>IFERROR(INDEX(Mots!$N:$N,MATCH($A304,Mots!$A:$A,0)),"")</f>
        <v>lieu</v>
      </c>
      <c r="D304" s="17">
        <f>IFERROR(COUNTA(INDEX(Mots!$E:$E,MATCH($A304,Mots!$A:$A,0)):INDEX(Mots!$K:$K,MATCH($A304,Mots!$A:$A,0))),0)</f>
        <v>1</v>
      </c>
      <c r="E304" s="17" t="str">
        <f>IF(COUNTIF(Classement!$A:$A,$A304)&gt;0,"ok","à faire")</f>
        <v>ok</v>
      </c>
      <c r="F304" s="17" t="str">
        <f>IF(COUNTIF(Tags!$A:$A,$A304)&gt;0,"ok","à faire")</f>
        <v>ok</v>
      </c>
      <c r="G304" s="17" t="str">
        <f>IF(COUNTIF(Phrases!$A:$A,$A304)&gt;0,"ok","à faire")</f>
        <v>à faire</v>
      </c>
      <c r="H304" s="17" t="str">
        <f>IF(COUNTIFS(Phrases!$A:$A,$A304,Phrases!$I:$I,"&lt;&gt;")&gt;0,"ok","à faire")</f>
        <v>à faire</v>
      </c>
      <c r="I304" s="17" t="str">
        <f>IF(COUNTIF(Synonymes!$A:$A,$A304)&gt;0,"ok","")</f>
        <v/>
      </c>
      <c r="J304" s="17">
        <f t="shared" si="4"/>
        <v>2</v>
      </c>
    </row>
    <row r="305" spans="1:10" x14ac:dyDescent="0.3">
      <c r="A305" s="17" t="s">
        <v>1829</v>
      </c>
      <c r="B305" s="17" t="str">
        <f>IFERROR(INDEX(Mots!$B:$B,MATCH($A305,Mots!$A:$A,0)),"introuvable")</f>
        <v>le barrage de la Grande Dixence</v>
      </c>
      <c r="C305" s="17" t="str">
        <f>IFERROR(INDEX(Mots!$N:$N,MATCH($A305,Mots!$A:$A,0)),"")</f>
        <v>lieu</v>
      </c>
      <c r="D305" s="17">
        <f>IFERROR(COUNTA(INDEX(Mots!$E:$E,MATCH($A305,Mots!$A:$A,0)):INDEX(Mots!$K:$K,MATCH($A305,Mots!$A:$A,0))),0)</f>
        <v>1</v>
      </c>
      <c r="E305" s="17" t="str">
        <f>IF(COUNTIF(Classement!$A:$A,$A305)&gt;0,"ok","à faire")</f>
        <v>ok</v>
      </c>
      <c r="F305" s="17" t="str">
        <f>IF(COUNTIF(Tags!$A:$A,$A305)&gt;0,"ok","à faire")</f>
        <v>ok</v>
      </c>
      <c r="G305" s="17" t="str">
        <f>IF(COUNTIF(Phrases!$A:$A,$A305)&gt;0,"ok","à faire")</f>
        <v>à faire</v>
      </c>
      <c r="H305" s="17" t="str">
        <f>IF(COUNTIFS(Phrases!$A:$A,$A305,Phrases!$I:$I,"&lt;&gt;")&gt;0,"ok","à faire")</f>
        <v>à faire</v>
      </c>
      <c r="I305" s="17" t="str">
        <f>IF(COUNTIF(Synonymes!$A:$A,$A305)&gt;0,"ok","")</f>
        <v/>
      </c>
      <c r="J305" s="17">
        <f t="shared" si="4"/>
        <v>2</v>
      </c>
    </row>
    <row r="306" spans="1:10" x14ac:dyDescent="0.3">
      <c r="A306" s="17" t="s">
        <v>1833</v>
      </c>
      <c r="B306" s="17" t="str">
        <f>IFERROR(INDEX(Mots!$B:$B,MATCH($A306,Mots!$A:$A,0)),"introuvable")</f>
        <v>l'argent</v>
      </c>
      <c r="C306" s="17" t="str">
        <f>IFERROR(INDEX(Mots!$N:$N,MATCH($A306,Mots!$A:$A,0)),"")</f>
        <v>chose</v>
      </c>
      <c r="D306" s="17">
        <f>IFERROR(COUNTA(INDEX(Mots!$E:$E,MATCH($A306,Mots!$A:$A,0)):INDEX(Mots!$K:$K,MATCH($A306,Mots!$A:$A,0))),0)</f>
        <v>4</v>
      </c>
      <c r="E306" s="17" t="str">
        <f>IF(COUNTIF(Classement!$A:$A,$A306)&gt;0,"ok","à faire")</f>
        <v>ok</v>
      </c>
      <c r="F306" s="17" t="str">
        <f>IF(COUNTIF(Tags!$A:$A,$A306)&gt;0,"ok","à faire")</f>
        <v>ok</v>
      </c>
      <c r="G306" s="17" t="str">
        <f>IF(COUNTIF(Phrases!$A:$A,$A306)&gt;0,"ok","à faire")</f>
        <v>ok</v>
      </c>
      <c r="H306" s="17" t="str">
        <f>IF(COUNTIFS(Phrases!$A:$A,$A306,Phrases!$I:$I,"&lt;&gt;")&gt;0,"ok","à faire")</f>
        <v>à faire</v>
      </c>
      <c r="I306" s="17" t="str">
        <f>IF(COUNTIF(Synonymes!$A:$A,$A306)&gt;0,"ok","")</f>
        <v>ok</v>
      </c>
      <c r="J306" s="17">
        <f t="shared" si="4"/>
        <v>1</v>
      </c>
    </row>
    <row r="307" spans="1:10" x14ac:dyDescent="0.3">
      <c r="A307" s="17" t="s">
        <v>1841</v>
      </c>
      <c r="B307" s="17" t="str">
        <f>IFERROR(INDEX(Mots!$B:$B,MATCH($A307,Mots!$A:$A,0)),"introuvable")</f>
        <v>le salaire</v>
      </c>
      <c r="C307" s="17" t="str">
        <f>IFERROR(INDEX(Mots!$N:$N,MATCH($A307,Mots!$A:$A,0)),"")</f>
        <v>chose</v>
      </c>
      <c r="D307" s="17">
        <f>IFERROR(COUNTA(INDEX(Mots!$E:$E,MATCH($A307,Mots!$A:$A,0)):INDEX(Mots!$K:$K,MATCH($A307,Mots!$A:$A,0))),0)</f>
        <v>1</v>
      </c>
      <c r="E307" s="17" t="str">
        <f>IF(COUNTIF(Classement!$A:$A,$A307)&gt;0,"ok","à faire")</f>
        <v>ok</v>
      </c>
      <c r="F307" s="17" t="str">
        <f>IF(COUNTIF(Tags!$A:$A,$A307)&gt;0,"ok","à faire")</f>
        <v>ok</v>
      </c>
      <c r="G307" s="17" t="str">
        <f>IF(COUNTIF(Phrases!$A:$A,$A307)&gt;0,"ok","à faire")</f>
        <v>ok</v>
      </c>
      <c r="H307" s="17" t="str">
        <f>IF(COUNTIFS(Phrases!$A:$A,$A307,Phrases!$I:$I,"&lt;&gt;")&gt;0,"ok","à faire")</f>
        <v>à faire</v>
      </c>
      <c r="I307" s="17" t="str">
        <f>IF(COUNTIF(Synonymes!$A:$A,$A307)&gt;0,"ok","")</f>
        <v>ok</v>
      </c>
      <c r="J307" s="17">
        <f t="shared" si="4"/>
        <v>1</v>
      </c>
    </row>
    <row r="308" spans="1:10" x14ac:dyDescent="0.3">
      <c r="A308" s="17" t="s">
        <v>1846</v>
      </c>
      <c r="B308" s="17" t="str">
        <f>IFERROR(INDEX(Mots!$B:$B,MATCH($A308,Mots!$A:$A,0)),"introuvable")</f>
        <v>le fruit</v>
      </c>
      <c r="C308" s="17" t="str">
        <f>IFERROR(INDEX(Mots!$N:$N,MATCH($A308,Mots!$A:$A,0)),"")</f>
        <v>chose</v>
      </c>
      <c r="D308" s="17">
        <f>IFERROR(COUNTA(INDEX(Mots!$E:$E,MATCH($A308,Mots!$A:$A,0)):INDEX(Mots!$K:$K,MATCH($A308,Mots!$A:$A,0))),0)</f>
        <v>4</v>
      </c>
      <c r="E308" s="17" t="str">
        <f>IF(COUNTIF(Classement!$A:$A,$A308)&gt;0,"ok","à faire")</f>
        <v>ok</v>
      </c>
      <c r="F308" s="17" t="str">
        <f>IF(COUNTIF(Tags!$A:$A,$A308)&gt;0,"ok","à faire")</f>
        <v>ok</v>
      </c>
      <c r="G308" s="17" t="str">
        <f>IF(COUNTIF(Phrases!$A:$A,$A308)&gt;0,"ok","à faire")</f>
        <v>ok</v>
      </c>
      <c r="H308" s="17" t="str">
        <f>IF(COUNTIFS(Phrases!$A:$A,$A308,Phrases!$I:$I,"&lt;&gt;")&gt;0,"ok","à faire")</f>
        <v>à faire</v>
      </c>
      <c r="I308" s="17" t="str">
        <f>IF(COUNTIF(Synonymes!$A:$A,$A308)&gt;0,"ok","")</f>
        <v/>
      </c>
      <c r="J308" s="17">
        <f t="shared" si="4"/>
        <v>1</v>
      </c>
    </row>
    <row r="309" spans="1:10" x14ac:dyDescent="0.3">
      <c r="A309" s="17" t="s">
        <v>1852</v>
      </c>
      <c r="B309" s="17" t="str">
        <f>IFERROR(INDEX(Mots!$B:$B,MATCH($A309,Mots!$A:$A,0)),"introuvable")</f>
        <v>la pomme</v>
      </c>
      <c r="C309" s="17" t="str">
        <f>IFERROR(INDEX(Mots!$N:$N,MATCH($A309,Mots!$A:$A,0)),"")</f>
        <v>chose</v>
      </c>
      <c r="D309" s="17">
        <f>IFERROR(COUNTA(INDEX(Mots!$E:$E,MATCH($A309,Mots!$A:$A,0)):INDEX(Mots!$K:$K,MATCH($A309,Mots!$A:$A,0))),0)</f>
        <v>1</v>
      </c>
      <c r="E309" s="17" t="str">
        <f>IF(COUNTIF(Classement!$A:$A,$A309)&gt;0,"ok","à faire")</f>
        <v>ok</v>
      </c>
      <c r="F309" s="17" t="str">
        <f>IF(COUNTIF(Tags!$A:$A,$A309)&gt;0,"ok","à faire")</f>
        <v>ok</v>
      </c>
      <c r="G309" s="17" t="str">
        <f>IF(COUNTIF(Phrases!$A:$A,$A309)&gt;0,"ok","à faire")</f>
        <v>ok</v>
      </c>
      <c r="H309" s="17" t="str">
        <f>IF(COUNTIFS(Phrases!$A:$A,$A309,Phrases!$I:$I,"&lt;&gt;")&gt;0,"ok","à faire")</f>
        <v>ok</v>
      </c>
      <c r="I309" s="17" t="str">
        <f>IF(COUNTIF(Synonymes!$A:$A,$A309)&gt;0,"ok","")</f>
        <v/>
      </c>
      <c r="J309" s="17">
        <f t="shared" si="4"/>
        <v>0</v>
      </c>
    </row>
    <row r="310" spans="1:10" x14ac:dyDescent="0.3">
      <c r="A310" s="17" t="s">
        <v>1857</v>
      </c>
      <c r="B310" s="17" t="str">
        <f>IFERROR(INDEX(Mots!$B:$B,MATCH($A310,Mots!$A:$A,0)),"introuvable")</f>
        <v>la poire</v>
      </c>
      <c r="C310" s="17" t="str">
        <f>IFERROR(INDEX(Mots!$N:$N,MATCH($A310,Mots!$A:$A,0)),"")</f>
        <v>chose</v>
      </c>
      <c r="D310" s="17">
        <f>IFERROR(COUNTA(INDEX(Mots!$E:$E,MATCH($A310,Mots!$A:$A,0)):INDEX(Mots!$K:$K,MATCH($A310,Mots!$A:$A,0))),0)</f>
        <v>6</v>
      </c>
      <c r="E310" s="17" t="str">
        <f>IF(COUNTIF(Classement!$A:$A,$A310)&gt;0,"ok","à faire")</f>
        <v>ok</v>
      </c>
      <c r="F310" s="17" t="str">
        <f>IF(COUNTIF(Tags!$A:$A,$A310)&gt;0,"ok","à faire")</f>
        <v>ok</v>
      </c>
      <c r="G310" s="17" t="str">
        <f>IF(COUNTIF(Phrases!$A:$A,$A310)&gt;0,"ok","à faire")</f>
        <v>ok</v>
      </c>
      <c r="H310" s="17" t="str">
        <f>IF(COUNTIFS(Phrases!$A:$A,$A310,Phrases!$I:$I,"&lt;&gt;")&gt;0,"ok","à faire")</f>
        <v>à faire</v>
      </c>
      <c r="I310" s="17" t="str">
        <f>IF(COUNTIF(Synonymes!$A:$A,$A310)&gt;0,"ok","")</f>
        <v/>
      </c>
      <c r="J310" s="17">
        <f t="shared" si="4"/>
        <v>1</v>
      </c>
    </row>
    <row r="311" spans="1:10" x14ac:dyDescent="0.3">
      <c r="A311" s="17" t="s">
        <v>1862</v>
      </c>
      <c r="B311" s="17" t="str">
        <f>IFERROR(INDEX(Mots!$B:$B,MATCH($A311,Mots!$A:$A,0)),"introuvable")</f>
        <v>le pruneau</v>
      </c>
      <c r="C311" s="17" t="str">
        <f>IFERROR(INDEX(Mots!$N:$N,MATCH($A311,Mots!$A:$A,0)),"")</f>
        <v>chose</v>
      </c>
      <c r="D311" s="17">
        <f>IFERROR(COUNTA(INDEX(Mots!$E:$E,MATCH($A311,Mots!$A:$A,0)):INDEX(Mots!$K:$K,MATCH($A311,Mots!$A:$A,0))),0)</f>
        <v>1</v>
      </c>
      <c r="E311" s="17" t="str">
        <f>IF(COUNTIF(Classement!$A:$A,$A311)&gt;0,"ok","à faire")</f>
        <v>ok</v>
      </c>
      <c r="F311" s="17" t="str">
        <f>IF(COUNTIF(Tags!$A:$A,$A311)&gt;0,"ok","à faire")</f>
        <v>ok</v>
      </c>
      <c r="G311" s="17" t="str">
        <f>IF(COUNTIF(Phrases!$A:$A,$A311)&gt;0,"ok","à faire")</f>
        <v>ok</v>
      </c>
      <c r="H311" s="17" t="str">
        <f>IF(COUNTIFS(Phrases!$A:$A,$A311,Phrases!$I:$I,"&lt;&gt;")&gt;0,"ok","à faire")</f>
        <v>ok</v>
      </c>
      <c r="I311" s="17" t="str">
        <f>IF(COUNTIF(Synonymes!$A:$A,$A311)&gt;0,"ok","")</f>
        <v/>
      </c>
      <c r="J311" s="17">
        <f t="shared" si="4"/>
        <v>0</v>
      </c>
    </row>
    <row r="312" spans="1:10" x14ac:dyDescent="0.3">
      <c r="A312" s="17" t="s">
        <v>1867</v>
      </c>
      <c r="B312" s="17" t="str">
        <f>IFERROR(INDEX(Mots!$B:$B,MATCH($A312,Mots!$A:$A,0)),"introuvable")</f>
        <v>la cerise</v>
      </c>
      <c r="C312" s="17" t="str">
        <f>IFERROR(INDEX(Mots!$N:$N,MATCH($A312,Mots!$A:$A,0)),"")</f>
        <v>chose</v>
      </c>
      <c r="D312" s="17">
        <f>IFERROR(COUNTA(INDEX(Mots!$E:$E,MATCH($A312,Mots!$A:$A,0)):INDEX(Mots!$K:$K,MATCH($A312,Mots!$A:$A,0))),0)</f>
        <v>1</v>
      </c>
      <c r="E312" s="17" t="str">
        <f>IF(COUNTIF(Classement!$A:$A,$A312)&gt;0,"ok","à faire")</f>
        <v>ok</v>
      </c>
      <c r="F312" s="17" t="str">
        <f>IF(COUNTIF(Tags!$A:$A,$A312)&gt;0,"ok","à faire")</f>
        <v>ok</v>
      </c>
      <c r="G312" s="17" t="str">
        <f>IF(COUNTIF(Phrases!$A:$A,$A312)&gt;0,"ok","à faire")</f>
        <v>ok</v>
      </c>
      <c r="H312" s="17" t="str">
        <f>IF(COUNTIFS(Phrases!$A:$A,$A312,Phrases!$I:$I,"&lt;&gt;")&gt;0,"ok","à faire")</f>
        <v>à faire</v>
      </c>
      <c r="I312" s="17" t="str">
        <f>IF(COUNTIF(Synonymes!$A:$A,$A312)&gt;0,"ok","")</f>
        <v/>
      </c>
      <c r="J312" s="17">
        <f t="shared" si="4"/>
        <v>1</v>
      </c>
    </row>
    <row r="313" spans="1:10" x14ac:dyDescent="0.3">
      <c r="A313" s="17" t="s">
        <v>1872</v>
      </c>
      <c r="B313" s="17" t="str">
        <f>IFERROR(INDEX(Mots!$B:$B,MATCH($A313,Mots!$A:$A,0)),"introuvable")</f>
        <v>l'abricot</v>
      </c>
      <c r="C313" s="17" t="str">
        <f>IFERROR(INDEX(Mots!$N:$N,MATCH($A313,Mots!$A:$A,0)),"")</f>
        <v>chose</v>
      </c>
      <c r="D313" s="17">
        <f>IFERROR(COUNTA(INDEX(Mots!$E:$E,MATCH($A313,Mots!$A:$A,0)):INDEX(Mots!$K:$K,MATCH($A313,Mots!$A:$A,0))),0)</f>
        <v>1</v>
      </c>
      <c r="E313" s="17" t="str">
        <f>IF(COUNTIF(Classement!$A:$A,$A313)&gt;0,"ok","à faire")</f>
        <v>ok</v>
      </c>
      <c r="F313" s="17" t="str">
        <f>IF(COUNTIF(Tags!$A:$A,$A313)&gt;0,"ok","à faire")</f>
        <v>ok</v>
      </c>
      <c r="G313" s="17" t="str">
        <f>IF(COUNTIF(Phrases!$A:$A,$A313)&gt;0,"ok","à faire")</f>
        <v>ok</v>
      </c>
      <c r="H313" s="17" t="str">
        <f>IF(COUNTIFS(Phrases!$A:$A,$A313,Phrases!$I:$I,"&lt;&gt;")&gt;0,"ok","à faire")</f>
        <v>à faire</v>
      </c>
      <c r="I313" s="17" t="str">
        <f>IF(COUNTIF(Synonymes!$A:$A,$A313)&gt;0,"ok","")</f>
        <v/>
      </c>
      <c r="J313" s="17">
        <f t="shared" si="4"/>
        <v>1</v>
      </c>
    </row>
    <row r="314" spans="1:10" x14ac:dyDescent="0.3">
      <c r="A314" s="17" t="s">
        <v>1876</v>
      </c>
      <c r="B314" s="17" t="str">
        <f>IFERROR(INDEX(Mots!$B:$B,MATCH($A314,Mots!$A:$A,0)),"introuvable")</f>
        <v>la fraise</v>
      </c>
      <c r="C314" s="17" t="str">
        <f>IFERROR(INDEX(Mots!$N:$N,MATCH($A314,Mots!$A:$A,0)),"")</f>
        <v>chose</v>
      </c>
      <c r="D314" s="17">
        <f>IFERROR(COUNTA(INDEX(Mots!$E:$E,MATCH($A314,Mots!$A:$A,0)):INDEX(Mots!$K:$K,MATCH($A314,Mots!$A:$A,0))),0)</f>
        <v>1</v>
      </c>
      <c r="E314" s="17" t="str">
        <f>IF(COUNTIF(Classement!$A:$A,$A314)&gt;0,"ok","à faire")</f>
        <v>ok</v>
      </c>
      <c r="F314" s="17" t="str">
        <f>IF(COUNTIF(Tags!$A:$A,$A314)&gt;0,"ok","à faire")</f>
        <v>ok</v>
      </c>
      <c r="G314" s="17" t="str">
        <f>IF(COUNTIF(Phrases!$A:$A,$A314)&gt;0,"ok","à faire")</f>
        <v>ok</v>
      </c>
      <c r="H314" s="17" t="str">
        <f>IF(COUNTIFS(Phrases!$A:$A,$A314,Phrases!$I:$I,"&lt;&gt;")&gt;0,"ok","à faire")</f>
        <v>ok</v>
      </c>
      <c r="I314" s="17" t="str">
        <f>IF(COUNTIF(Synonymes!$A:$A,$A314)&gt;0,"ok","")</f>
        <v/>
      </c>
      <c r="J314" s="17">
        <f t="shared" si="4"/>
        <v>0</v>
      </c>
    </row>
    <row r="315" spans="1:10" x14ac:dyDescent="0.3">
      <c r="A315" s="17" t="s">
        <v>1880</v>
      </c>
      <c r="B315" s="17" t="str">
        <f>IFERROR(INDEX(Mots!$B:$B,MATCH($A315,Mots!$A:$A,0)),"introuvable")</f>
        <v>la framboise</v>
      </c>
      <c r="C315" s="17" t="str">
        <f>IFERROR(INDEX(Mots!$N:$N,MATCH($A315,Mots!$A:$A,0)),"")</f>
        <v>chose</v>
      </c>
      <c r="D315" s="17">
        <f>IFERROR(COUNTA(INDEX(Mots!$E:$E,MATCH($A315,Mots!$A:$A,0)):INDEX(Mots!$K:$K,MATCH($A315,Mots!$A:$A,0))),0)</f>
        <v>1</v>
      </c>
      <c r="E315" s="17" t="str">
        <f>IF(COUNTIF(Classement!$A:$A,$A315)&gt;0,"ok","à faire")</f>
        <v>ok</v>
      </c>
      <c r="F315" s="17" t="str">
        <f>IF(COUNTIF(Tags!$A:$A,$A315)&gt;0,"ok","à faire")</f>
        <v>ok</v>
      </c>
      <c r="G315" s="17" t="str">
        <f>IF(COUNTIF(Phrases!$A:$A,$A315)&gt;0,"ok","à faire")</f>
        <v>ok</v>
      </c>
      <c r="H315" s="17" t="str">
        <f>IF(COUNTIFS(Phrases!$A:$A,$A315,Phrases!$I:$I,"&lt;&gt;")&gt;0,"ok","à faire")</f>
        <v>à faire</v>
      </c>
      <c r="I315" s="17" t="str">
        <f>IF(COUNTIF(Synonymes!$A:$A,$A315)&gt;0,"ok","")</f>
        <v/>
      </c>
      <c r="J315" s="17">
        <f t="shared" si="4"/>
        <v>1</v>
      </c>
    </row>
    <row r="316" spans="1:10" x14ac:dyDescent="0.3">
      <c r="A316" s="17" t="s">
        <v>1884</v>
      </c>
      <c r="B316" s="17" t="str">
        <f>IFERROR(INDEX(Mots!$B:$B,MATCH($A316,Mots!$A:$A,0)),"introuvable")</f>
        <v>la banane</v>
      </c>
      <c r="C316" s="17" t="str">
        <f>IFERROR(INDEX(Mots!$N:$N,MATCH($A316,Mots!$A:$A,0)),"")</f>
        <v>chose</v>
      </c>
      <c r="D316" s="17">
        <f>IFERROR(COUNTA(INDEX(Mots!$E:$E,MATCH($A316,Mots!$A:$A,0)):INDEX(Mots!$K:$K,MATCH($A316,Mots!$A:$A,0))),0)</f>
        <v>1</v>
      </c>
      <c r="E316" s="17" t="str">
        <f>IF(COUNTIF(Classement!$A:$A,$A316)&gt;0,"ok","à faire")</f>
        <v>ok</v>
      </c>
      <c r="F316" s="17" t="str">
        <f>IF(COUNTIF(Tags!$A:$A,$A316)&gt;0,"ok","à faire")</f>
        <v>ok</v>
      </c>
      <c r="G316" s="17" t="str">
        <f>IF(COUNTIF(Phrases!$A:$A,$A316)&gt;0,"ok","à faire")</f>
        <v>ok</v>
      </c>
      <c r="H316" s="17" t="str">
        <f>IF(COUNTIFS(Phrases!$A:$A,$A316,Phrases!$I:$I,"&lt;&gt;")&gt;0,"ok","à faire")</f>
        <v>ok</v>
      </c>
      <c r="I316" s="17" t="str">
        <f>IF(COUNTIF(Synonymes!$A:$A,$A316)&gt;0,"ok","")</f>
        <v/>
      </c>
      <c r="J316" s="17">
        <f t="shared" si="4"/>
        <v>0</v>
      </c>
    </row>
    <row r="317" spans="1:10" x14ac:dyDescent="0.3">
      <c r="A317" s="17" t="s">
        <v>1889</v>
      </c>
      <c r="B317" s="17" t="str">
        <f>IFERROR(INDEX(Mots!$B:$B,MATCH($A317,Mots!$A:$A,0)),"introuvable")</f>
        <v>l'orange</v>
      </c>
      <c r="C317" s="17" t="str">
        <f>IFERROR(INDEX(Mots!$N:$N,MATCH($A317,Mots!$A:$A,0)),"")</f>
        <v>chose</v>
      </c>
      <c r="D317" s="17">
        <f>IFERROR(COUNTA(INDEX(Mots!$E:$E,MATCH($A317,Mots!$A:$A,0)):INDEX(Mots!$K:$K,MATCH($A317,Mots!$A:$A,0))),0)</f>
        <v>1</v>
      </c>
      <c r="E317" s="17" t="str">
        <f>IF(COUNTIF(Classement!$A:$A,$A317)&gt;0,"ok","à faire")</f>
        <v>ok</v>
      </c>
      <c r="F317" s="17" t="str">
        <f>IF(COUNTIF(Tags!$A:$A,$A317)&gt;0,"ok","à faire")</f>
        <v>ok</v>
      </c>
      <c r="G317" s="17" t="str">
        <f>IF(COUNTIF(Phrases!$A:$A,$A317)&gt;0,"ok","à faire")</f>
        <v>ok</v>
      </c>
      <c r="H317" s="17" t="str">
        <f>IF(COUNTIFS(Phrases!$A:$A,$A317,Phrases!$I:$I,"&lt;&gt;")&gt;0,"ok","à faire")</f>
        <v>ok</v>
      </c>
      <c r="I317" s="17" t="str">
        <f>IF(COUNTIF(Synonymes!$A:$A,$A317)&gt;0,"ok","")</f>
        <v/>
      </c>
      <c r="J317" s="17">
        <f t="shared" si="4"/>
        <v>0</v>
      </c>
    </row>
    <row r="318" spans="1:10" x14ac:dyDescent="0.3">
      <c r="A318" s="17" t="s">
        <v>1894</v>
      </c>
      <c r="B318" s="17" t="str">
        <f>IFERROR(INDEX(Mots!$B:$B,MATCH($A318,Mots!$A:$A,0)),"introuvable")</f>
        <v>la mandarine</v>
      </c>
      <c r="C318" s="17" t="str">
        <f>IFERROR(INDEX(Mots!$N:$N,MATCH($A318,Mots!$A:$A,0)),"")</f>
        <v>chose</v>
      </c>
      <c r="D318" s="17">
        <f>IFERROR(COUNTA(INDEX(Mots!$E:$E,MATCH($A318,Mots!$A:$A,0)):INDEX(Mots!$K:$K,MATCH($A318,Mots!$A:$A,0))),0)</f>
        <v>1</v>
      </c>
      <c r="E318" s="17" t="str">
        <f>IF(COUNTIF(Classement!$A:$A,$A318)&gt;0,"ok","à faire")</f>
        <v>ok</v>
      </c>
      <c r="F318" s="17" t="str">
        <f>IF(COUNTIF(Tags!$A:$A,$A318)&gt;0,"ok","à faire")</f>
        <v>ok</v>
      </c>
      <c r="G318" s="17" t="str">
        <f>IF(COUNTIF(Phrases!$A:$A,$A318)&gt;0,"ok","à faire")</f>
        <v>ok</v>
      </c>
      <c r="H318" s="17" t="str">
        <f>IF(COUNTIFS(Phrases!$A:$A,$A318,Phrases!$I:$I,"&lt;&gt;")&gt;0,"ok","à faire")</f>
        <v>à faire</v>
      </c>
      <c r="I318" s="17" t="str">
        <f>IF(COUNTIF(Synonymes!$A:$A,$A318)&gt;0,"ok","")</f>
        <v/>
      </c>
      <c r="J318" s="17">
        <f t="shared" si="4"/>
        <v>1</v>
      </c>
    </row>
    <row r="319" spans="1:10" x14ac:dyDescent="0.3">
      <c r="A319" s="17" t="s">
        <v>1899</v>
      </c>
      <c r="B319" s="17" t="str">
        <f>IFERROR(INDEX(Mots!$B:$B,MATCH($A319,Mots!$A:$A,0)),"introuvable")</f>
        <v>l'avocat</v>
      </c>
      <c r="C319" s="17" t="str">
        <f>IFERROR(INDEX(Mots!$N:$N,MATCH($A319,Mots!$A:$A,0)),"")</f>
        <v>chose</v>
      </c>
      <c r="D319" s="17">
        <f>IFERROR(COUNTA(INDEX(Mots!$E:$E,MATCH($A319,Mots!$A:$A,0)):INDEX(Mots!$K:$K,MATCH($A319,Mots!$A:$A,0))),0)</f>
        <v>1</v>
      </c>
      <c r="E319" s="17" t="str">
        <f>IF(COUNTIF(Classement!$A:$A,$A319)&gt;0,"ok","à faire")</f>
        <v>ok</v>
      </c>
      <c r="F319" s="17" t="str">
        <f>IF(COUNTIF(Tags!$A:$A,$A319)&gt;0,"ok","à faire")</f>
        <v>ok</v>
      </c>
      <c r="G319" s="17" t="str">
        <f>IF(COUNTIF(Phrases!$A:$A,$A319)&gt;0,"ok","à faire")</f>
        <v>ok</v>
      </c>
      <c r="H319" s="17" t="str">
        <f>IF(COUNTIFS(Phrases!$A:$A,$A319,Phrases!$I:$I,"&lt;&gt;")&gt;0,"ok","à faire")</f>
        <v>à faire</v>
      </c>
      <c r="I319" s="17" t="str">
        <f>IF(COUNTIF(Synonymes!$A:$A,$A319)&gt;0,"ok","")</f>
        <v/>
      </c>
      <c r="J319" s="17">
        <f t="shared" si="4"/>
        <v>1</v>
      </c>
    </row>
    <row r="320" spans="1:10" x14ac:dyDescent="0.3">
      <c r="A320" s="17" t="s">
        <v>1903</v>
      </c>
      <c r="B320" s="17" t="str">
        <f>IFERROR(INDEX(Mots!$B:$B,MATCH($A320,Mots!$A:$A,0)),"introuvable")</f>
        <v>la noix</v>
      </c>
      <c r="C320" s="17" t="str">
        <f>IFERROR(INDEX(Mots!$N:$N,MATCH($A320,Mots!$A:$A,0)),"")</f>
        <v>chose</v>
      </c>
      <c r="D320" s="17">
        <f>IFERROR(COUNTA(INDEX(Mots!$E:$E,MATCH($A320,Mots!$A:$A,0)):INDEX(Mots!$K:$K,MATCH($A320,Mots!$A:$A,0))),0)</f>
        <v>6</v>
      </c>
      <c r="E320" s="17" t="str">
        <f>IF(COUNTIF(Classement!$A:$A,$A320)&gt;0,"ok","à faire")</f>
        <v>ok</v>
      </c>
      <c r="F320" s="17" t="str">
        <f>IF(COUNTIF(Tags!$A:$A,$A320)&gt;0,"ok","à faire")</f>
        <v>ok</v>
      </c>
      <c r="G320" s="17" t="str">
        <f>IF(COUNTIF(Phrases!$A:$A,$A320)&gt;0,"ok","à faire")</f>
        <v>ok</v>
      </c>
      <c r="H320" s="17" t="str">
        <f>IF(COUNTIFS(Phrases!$A:$A,$A320,Phrases!$I:$I,"&lt;&gt;")&gt;0,"ok","à faire")</f>
        <v>ok</v>
      </c>
      <c r="I320" s="17" t="str">
        <f>IF(COUNTIF(Synonymes!$A:$A,$A320)&gt;0,"ok","")</f>
        <v/>
      </c>
      <c r="J320" s="17">
        <f t="shared" si="4"/>
        <v>0</v>
      </c>
    </row>
    <row r="321" spans="1:10" x14ac:dyDescent="0.3">
      <c r="A321" s="17" t="s">
        <v>1907</v>
      </c>
      <c r="B321" s="17" t="str">
        <f>IFERROR(INDEX(Mots!$B:$B,MATCH($A321,Mots!$A:$A,0)),"introuvable")</f>
        <v>la pêche</v>
      </c>
      <c r="C321" s="17" t="str">
        <f>IFERROR(INDEX(Mots!$N:$N,MATCH($A321,Mots!$A:$A,0)),"")</f>
        <v>chose</v>
      </c>
      <c r="D321" s="17">
        <f>IFERROR(COUNTA(INDEX(Mots!$E:$E,MATCH($A321,Mots!$A:$A,0)):INDEX(Mots!$K:$K,MATCH($A321,Mots!$A:$A,0))),0)</f>
        <v>1</v>
      </c>
      <c r="E321" s="17" t="str">
        <f>IF(COUNTIF(Classement!$A:$A,$A321)&gt;0,"ok","à faire")</f>
        <v>ok</v>
      </c>
      <c r="F321" s="17" t="str">
        <f>IF(COUNTIF(Tags!$A:$A,$A321)&gt;0,"ok","à faire")</f>
        <v>ok</v>
      </c>
      <c r="G321" s="17" t="str">
        <f>IF(COUNTIF(Phrases!$A:$A,$A321)&gt;0,"ok","à faire")</f>
        <v>ok</v>
      </c>
      <c r="H321" s="17" t="str">
        <f>IF(COUNTIFS(Phrases!$A:$A,$A321,Phrases!$I:$I,"&lt;&gt;")&gt;0,"ok","à faire")</f>
        <v>à faire</v>
      </c>
      <c r="I321" s="17" t="str">
        <f>IF(COUNTIF(Synonymes!$A:$A,$A321)&gt;0,"ok","")</f>
        <v/>
      </c>
      <c r="J321" s="17">
        <f t="shared" si="4"/>
        <v>1</v>
      </c>
    </row>
    <row r="322" spans="1:10" x14ac:dyDescent="0.3">
      <c r="A322" s="17" t="s">
        <v>1911</v>
      </c>
      <c r="B322" s="17" t="str">
        <f>IFERROR(INDEX(Mots!$B:$B,MATCH($A322,Mots!$A:$A,0)),"introuvable")</f>
        <v>le raisin</v>
      </c>
      <c r="C322" s="17" t="str">
        <f>IFERROR(INDEX(Mots!$N:$N,MATCH($A322,Mots!$A:$A,0)),"")</f>
        <v>chose</v>
      </c>
      <c r="D322" s="17">
        <f>IFERROR(COUNTA(INDEX(Mots!$E:$E,MATCH($A322,Mots!$A:$A,0)):INDEX(Mots!$K:$K,MATCH($A322,Mots!$A:$A,0))),0)</f>
        <v>1</v>
      </c>
      <c r="E322" s="17" t="str">
        <f>IF(COUNTIF(Classement!$A:$A,$A322)&gt;0,"ok","à faire")</f>
        <v>ok</v>
      </c>
      <c r="F322" s="17" t="str">
        <f>IF(COUNTIF(Tags!$A:$A,$A322)&gt;0,"ok","à faire")</f>
        <v>ok</v>
      </c>
      <c r="G322" s="17" t="str">
        <f>IF(COUNTIF(Phrases!$A:$A,$A322)&gt;0,"ok","à faire")</f>
        <v>ok</v>
      </c>
      <c r="H322" s="17" t="str">
        <f>IF(COUNTIFS(Phrases!$A:$A,$A322,Phrases!$I:$I,"&lt;&gt;")&gt;0,"ok","à faire")</f>
        <v>à faire</v>
      </c>
      <c r="I322" s="17" t="str">
        <f>IF(COUNTIF(Synonymes!$A:$A,$A322)&gt;0,"ok","")</f>
        <v/>
      </c>
      <c r="J322" s="17">
        <f t="shared" ref="J322:J385" si="5">COUNTIF(E322:H322,"à faire")</f>
        <v>1</v>
      </c>
    </row>
    <row r="323" spans="1:10" x14ac:dyDescent="0.3">
      <c r="A323" s="17" t="s">
        <v>1915</v>
      </c>
      <c r="B323" s="17" t="str">
        <f>IFERROR(INDEX(Mots!$B:$B,MATCH($A323,Mots!$A:$A,0)),"introuvable")</f>
        <v>la fourmi</v>
      </c>
      <c r="C323" s="17" t="str">
        <f>IFERROR(INDEX(Mots!$N:$N,MATCH($A323,Mots!$A:$A,0)),"")</f>
        <v>animal</v>
      </c>
      <c r="D323" s="17">
        <f>IFERROR(COUNTA(INDEX(Mots!$E:$E,MATCH($A323,Mots!$A:$A,0)):INDEX(Mots!$K:$K,MATCH($A323,Mots!$A:$A,0))),0)</f>
        <v>1</v>
      </c>
      <c r="E323" s="17" t="str">
        <f>IF(COUNTIF(Classement!$A:$A,$A323)&gt;0,"ok","à faire")</f>
        <v>ok</v>
      </c>
      <c r="F323" s="17" t="str">
        <f>IF(COUNTIF(Tags!$A:$A,$A323)&gt;0,"ok","à faire")</f>
        <v>ok</v>
      </c>
      <c r="G323" s="17" t="str">
        <f>IF(COUNTIF(Phrases!$A:$A,$A323)&gt;0,"ok","à faire")</f>
        <v>à faire</v>
      </c>
      <c r="H323" s="17" t="str">
        <f>IF(COUNTIFS(Phrases!$A:$A,$A323,Phrases!$I:$I,"&lt;&gt;")&gt;0,"ok","à faire")</f>
        <v>à faire</v>
      </c>
      <c r="I323" s="17" t="str">
        <f>IF(COUNTIF(Synonymes!$A:$A,$A323)&gt;0,"ok","")</f>
        <v/>
      </c>
      <c r="J323" s="17">
        <f t="shared" si="5"/>
        <v>2</v>
      </c>
    </row>
    <row r="324" spans="1:10" x14ac:dyDescent="0.3">
      <c r="A324" s="17" t="s">
        <v>1919</v>
      </c>
      <c r="B324" s="17" t="str">
        <f>IFERROR(INDEX(Mots!$B:$B,MATCH($A324,Mots!$A:$A,0)),"introuvable")</f>
        <v>la mouche</v>
      </c>
      <c r="C324" s="17" t="str">
        <f>IFERROR(INDEX(Mots!$N:$N,MATCH($A324,Mots!$A:$A,0)),"")</f>
        <v>animal</v>
      </c>
      <c r="D324" s="17">
        <f>IFERROR(COUNTA(INDEX(Mots!$E:$E,MATCH($A324,Mots!$A:$A,0)):INDEX(Mots!$K:$K,MATCH($A324,Mots!$A:$A,0))),0)</f>
        <v>1</v>
      </c>
      <c r="E324" s="17" t="str">
        <f>IF(COUNTIF(Classement!$A:$A,$A324)&gt;0,"ok","à faire")</f>
        <v>ok</v>
      </c>
      <c r="F324" s="17" t="str">
        <f>IF(COUNTIF(Tags!$A:$A,$A324)&gt;0,"ok","à faire")</f>
        <v>ok</v>
      </c>
      <c r="G324" s="17" t="str">
        <f>IF(COUNTIF(Phrases!$A:$A,$A324)&gt;0,"ok","à faire")</f>
        <v>à faire</v>
      </c>
      <c r="H324" s="17" t="str">
        <f>IF(COUNTIFS(Phrases!$A:$A,$A324,Phrases!$I:$I,"&lt;&gt;")&gt;0,"ok","à faire")</f>
        <v>à faire</v>
      </c>
      <c r="I324" s="17" t="str">
        <f>IF(COUNTIF(Synonymes!$A:$A,$A324)&gt;0,"ok","")</f>
        <v/>
      </c>
      <c r="J324" s="17">
        <f t="shared" si="5"/>
        <v>2</v>
      </c>
    </row>
    <row r="325" spans="1:10" x14ac:dyDescent="0.3">
      <c r="A325" s="17" t="s">
        <v>1923</v>
      </c>
      <c r="B325" s="17" t="str">
        <f>IFERROR(INDEX(Mots!$B:$B,MATCH($A325,Mots!$A:$A,0)),"introuvable")</f>
        <v>la toile</v>
      </c>
      <c r="C325" s="17" t="str">
        <f>IFERROR(INDEX(Mots!$N:$N,MATCH($A325,Mots!$A:$A,0)),"")</f>
        <v>animal</v>
      </c>
      <c r="D325" s="17">
        <f>IFERROR(COUNTA(INDEX(Mots!$E:$E,MATCH($A325,Mots!$A:$A,0)):INDEX(Mots!$K:$K,MATCH($A325,Mots!$A:$A,0))),0)</f>
        <v>1</v>
      </c>
      <c r="E325" s="17" t="str">
        <f>IF(COUNTIF(Classement!$A:$A,$A325)&gt;0,"ok","à faire")</f>
        <v>ok</v>
      </c>
      <c r="F325" s="17" t="str">
        <f>IF(COUNTIF(Tags!$A:$A,$A325)&gt;0,"ok","à faire")</f>
        <v>ok</v>
      </c>
      <c r="G325" s="17" t="str">
        <f>IF(COUNTIF(Phrases!$A:$A,$A325)&gt;0,"ok","à faire")</f>
        <v>à faire</v>
      </c>
      <c r="H325" s="17" t="str">
        <f>IF(COUNTIFS(Phrases!$A:$A,$A325,Phrases!$I:$I,"&lt;&gt;")&gt;0,"ok","à faire")</f>
        <v>à faire</v>
      </c>
      <c r="I325" s="17" t="str">
        <f>IF(COUNTIF(Synonymes!$A:$A,$A325)&gt;0,"ok","")</f>
        <v/>
      </c>
      <c r="J325" s="17">
        <f t="shared" si="5"/>
        <v>2</v>
      </c>
    </row>
    <row r="326" spans="1:10" x14ac:dyDescent="0.3">
      <c r="A326" s="17" t="s">
        <v>1927</v>
      </c>
      <c r="B326" s="17" t="str">
        <f>IFERROR(INDEX(Mots!$B:$B,MATCH($A326,Mots!$A:$A,0)),"introuvable")</f>
        <v>l'abeille</v>
      </c>
      <c r="C326" s="17" t="str">
        <f>IFERROR(INDEX(Mots!$N:$N,MATCH($A326,Mots!$A:$A,0)),"")</f>
        <v>animal</v>
      </c>
      <c r="D326" s="17">
        <f>IFERROR(COUNTA(INDEX(Mots!$E:$E,MATCH($A326,Mots!$A:$A,0)):INDEX(Mots!$K:$K,MATCH($A326,Mots!$A:$A,0))),0)</f>
        <v>1</v>
      </c>
      <c r="E326" s="17" t="str">
        <f>IF(COUNTIF(Classement!$A:$A,$A326)&gt;0,"ok","à faire")</f>
        <v>ok</v>
      </c>
      <c r="F326" s="17" t="str">
        <f>IF(COUNTIF(Tags!$A:$A,$A326)&gt;0,"ok","à faire")</f>
        <v>ok</v>
      </c>
      <c r="G326" s="17" t="str">
        <f>IF(COUNTIF(Phrases!$A:$A,$A326)&gt;0,"ok","à faire")</f>
        <v>à faire</v>
      </c>
      <c r="H326" s="17" t="str">
        <f>IF(COUNTIFS(Phrases!$A:$A,$A326,Phrases!$I:$I,"&lt;&gt;")&gt;0,"ok","à faire")</f>
        <v>à faire</v>
      </c>
      <c r="I326" s="17" t="str">
        <f>IF(COUNTIF(Synonymes!$A:$A,$A326)&gt;0,"ok","")</f>
        <v/>
      </c>
      <c r="J326" s="17">
        <f t="shared" si="5"/>
        <v>2</v>
      </c>
    </row>
    <row r="327" spans="1:10" x14ac:dyDescent="0.3">
      <c r="A327" s="17" t="s">
        <v>1931</v>
      </c>
      <c r="B327" s="17" t="str">
        <f>IFERROR(INDEX(Mots!$B:$B,MATCH($A327,Mots!$A:$A,0)),"introuvable")</f>
        <v>l'araignée</v>
      </c>
      <c r="C327" s="17" t="str">
        <f>IFERROR(INDEX(Mots!$N:$N,MATCH($A327,Mots!$A:$A,0)),"")</f>
        <v>animal</v>
      </c>
      <c r="D327" s="17">
        <f>IFERROR(COUNTA(INDEX(Mots!$E:$E,MATCH($A327,Mots!$A:$A,0)):INDEX(Mots!$K:$K,MATCH($A327,Mots!$A:$A,0))),0)</f>
        <v>1</v>
      </c>
      <c r="E327" s="17" t="str">
        <f>IF(COUNTIF(Classement!$A:$A,$A327)&gt;0,"ok","à faire")</f>
        <v>ok</v>
      </c>
      <c r="F327" s="17" t="str">
        <f>IF(COUNTIF(Tags!$A:$A,$A327)&gt;0,"ok","à faire")</f>
        <v>ok</v>
      </c>
      <c r="G327" s="17" t="str">
        <f>IF(COUNTIF(Phrases!$A:$A,$A327)&gt;0,"ok","à faire")</f>
        <v>à faire</v>
      </c>
      <c r="H327" s="17" t="str">
        <f>IF(COUNTIFS(Phrases!$A:$A,$A327,Phrases!$I:$I,"&lt;&gt;")&gt;0,"ok","à faire")</f>
        <v>à faire</v>
      </c>
      <c r="I327" s="17" t="str">
        <f>IF(COUNTIF(Synonymes!$A:$A,$A327)&gt;0,"ok","")</f>
        <v/>
      </c>
      <c r="J327" s="17">
        <f t="shared" si="5"/>
        <v>2</v>
      </c>
    </row>
    <row r="328" spans="1:10" x14ac:dyDescent="0.3">
      <c r="A328" s="17" t="s">
        <v>1935</v>
      </c>
      <c r="B328" s="17" t="str">
        <f>IFERROR(INDEX(Mots!$B:$B,MATCH($A328,Mots!$A:$A,0)),"introuvable")</f>
        <v>le papillon</v>
      </c>
      <c r="C328" s="17" t="str">
        <f>IFERROR(INDEX(Mots!$N:$N,MATCH($A328,Mots!$A:$A,0)),"")</f>
        <v>animal</v>
      </c>
      <c r="D328" s="17">
        <f>IFERROR(COUNTA(INDEX(Mots!$E:$E,MATCH($A328,Mots!$A:$A,0)):INDEX(Mots!$K:$K,MATCH($A328,Mots!$A:$A,0))),0)</f>
        <v>1</v>
      </c>
      <c r="E328" s="17" t="str">
        <f>IF(COUNTIF(Classement!$A:$A,$A328)&gt;0,"ok","à faire")</f>
        <v>ok</v>
      </c>
      <c r="F328" s="17" t="str">
        <f>IF(COUNTIF(Tags!$A:$A,$A328)&gt;0,"ok","à faire")</f>
        <v>ok</v>
      </c>
      <c r="G328" s="17" t="str">
        <f>IF(COUNTIF(Phrases!$A:$A,$A328)&gt;0,"ok","à faire")</f>
        <v>à faire</v>
      </c>
      <c r="H328" s="17" t="str">
        <f>IF(COUNTIFS(Phrases!$A:$A,$A328,Phrases!$I:$I,"&lt;&gt;")&gt;0,"ok","à faire")</f>
        <v>à faire</v>
      </c>
      <c r="I328" s="17" t="str">
        <f>IF(COUNTIF(Synonymes!$A:$A,$A328)&gt;0,"ok","")</f>
        <v/>
      </c>
      <c r="J328" s="17">
        <f t="shared" si="5"/>
        <v>2</v>
      </c>
    </row>
    <row r="329" spans="1:10" x14ac:dyDescent="0.3">
      <c r="A329" s="17" t="s">
        <v>1939</v>
      </c>
      <c r="B329" s="17" t="str">
        <f>IFERROR(INDEX(Mots!$B:$B,MATCH($A329,Mots!$A:$A,0)),"introuvable")</f>
        <v>l'insecte</v>
      </c>
      <c r="C329" s="17" t="str">
        <f>IFERROR(INDEX(Mots!$N:$N,MATCH($A329,Mots!$A:$A,0)),"")</f>
        <v>animal</v>
      </c>
      <c r="D329" s="17">
        <f>IFERROR(COUNTA(INDEX(Mots!$E:$E,MATCH($A329,Mots!$A:$A,0)):INDEX(Mots!$K:$K,MATCH($A329,Mots!$A:$A,0))),0)</f>
        <v>1</v>
      </c>
      <c r="E329" s="17" t="str">
        <f>IF(COUNTIF(Classement!$A:$A,$A329)&gt;0,"ok","à faire")</f>
        <v>ok</v>
      </c>
      <c r="F329" s="17" t="str">
        <f>IF(COUNTIF(Tags!$A:$A,$A329)&gt;0,"ok","à faire")</f>
        <v>ok</v>
      </c>
      <c r="G329" s="17" t="str">
        <f>IF(COUNTIF(Phrases!$A:$A,$A329)&gt;0,"ok","à faire")</f>
        <v>à faire</v>
      </c>
      <c r="H329" s="17" t="str">
        <f>IF(COUNTIFS(Phrases!$A:$A,$A329,Phrases!$I:$I,"&lt;&gt;")&gt;0,"ok","à faire")</f>
        <v>à faire</v>
      </c>
      <c r="I329" s="17" t="str">
        <f>IF(COUNTIF(Synonymes!$A:$A,$A329)&gt;0,"ok","")</f>
        <v/>
      </c>
      <c r="J329" s="17">
        <f t="shared" si="5"/>
        <v>2</v>
      </c>
    </row>
    <row r="330" spans="1:10" x14ac:dyDescent="0.3">
      <c r="A330" s="17" t="s">
        <v>1942</v>
      </c>
      <c r="B330" s="17" t="str">
        <f>IFERROR(INDEX(Mots!$B:$B,MATCH($A330,Mots!$A:$A,0)),"introuvable")</f>
        <v>la guitare</v>
      </c>
      <c r="C330" s="17" t="str">
        <f>IFERROR(INDEX(Mots!$N:$N,MATCH($A330,Mots!$A:$A,0)),"")</f>
        <v>chose</v>
      </c>
      <c r="D330" s="17">
        <f>IFERROR(COUNTA(INDEX(Mots!$E:$E,MATCH($A330,Mots!$A:$A,0)):INDEX(Mots!$K:$K,MATCH($A330,Mots!$A:$A,0))),0)</f>
        <v>5</v>
      </c>
      <c r="E330" s="17" t="str">
        <f>IF(COUNTIF(Classement!$A:$A,$A330)&gt;0,"ok","à faire")</f>
        <v>ok</v>
      </c>
      <c r="F330" s="17" t="str">
        <f>IF(COUNTIF(Tags!$A:$A,$A330)&gt;0,"ok","à faire")</f>
        <v>ok</v>
      </c>
      <c r="G330" s="17" t="str">
        <f>IF(COUNTIF(Phrases!$A:$A,$A330)&gt;0,"ok","à faire")</f>
        <v>ok</v>
      </c>
      <c r="H330" s="17" t="str">
        <f>IF(COUNTIFS(Phrases!$A:$A,$A330,Phrases!$I:$I,"&lt;&gt;")&gt;0,"ok","à faire")</f>
        <v>ok</v>
      </c>
      <c r="I330" s="17" t="str">
        <f>IF(COUNTIF(Synonymes!$A:$A,$A330)&gt;0,"ok","")</f>
        <v/>
      </c>
      <c r="J330" s="17">
        <f t="shared" si="5"/>
        <v>0</v>
      </c>
    </row>
    <row r="331" spans="1:10" x14ac:dyDescent="0.3">
      <c r="A331" s="17" t="s">
        <v>1950</v>
      </c>
      <c r="B331" s="17" t="str">
        <f>IFERROR(INDEX(Mots!$B:$B,MATCH($A331,Mots!$A:$A,0)),"introuvable")</f>
        <v>le piano</v>
      </c>
      <c r="C331" s="17" t="str">
        <f>IFERROR(INDEX(Mots!$N:$N,MATCH($A331,Mots!$A:$A,0)),"")</f>
        <v>chose</v>
      </c>
      <c r="D331" s="17">
        <f>IFERROR(COUNTA(INDEX(Mots!$E:$E,MATCH($A331,Mots!$A:$A,0)):INDEX(Mots!$K:$K,MATCH($A331,Mots!$A:$A,0))),0)</f>
        <v>1</v>
      </c>
      <c r="E331" s="17" t="str">
        <f>IF(COUNTIF(Classement!$A:$A,$A331)&gt;0,"ok","à faire")</f>
        <v>ok</v>
      </c>
      <c r="F331" s="17" t="str">
        <f>IF(COUNTIF(Tags!$A:$A,$A331)&gt;0,"ok","à faire")</f>
        <v>ok</v>
      </c>
      <c r="G331" s="17" t="str">
        <f>IF(COUNTIF(Phrases!$A:$A,$A331)&gt;0,"ok","à faire")</f>
        <v>ok</v>
      </c>
      <c r="H331" s="17" t="str">
        <f>IF(COUNTIFS(Phrases!$A:$A,$A331,Phrases!$I:$I,"&lt;&gt;")&gt;0,"ok","à faire")</f>
        <v>ok</v>
      </c>
      <c r="I331" s="17" t="str">
        <f>IF(COUNTIF(Synonymes!$A:$A,$A331)&gt;0,"ok","")</f>
        <v/>
      </c>
      <c r="J331" s="17">
        <f t="shared" si="5"/>
        <v>0</v>
      </c>
    </row>
    <row r="332" spans="1:10" x14ac:dyDescent="0.3">
      <c r="A332" s="17" t="s">
        <v>1954</v>
      </c>
      <c r="B332" s="17" t="str">
        <f>IFERROR(INDEX(Mots!$B:$B,MATCH($A332,Mots!$A:$A,0)),"introuvable")</f>
        <v>la batterie</v>
      </c>
      <c r="C332" s="17" t="str">
        <f>IFERROR(INDEX(Mots!$N:$N,MATCH($A332,Mots!$A:$A,0)),"")</f>
        <v>chose</v>
      </c>
      <c r="D332" s="17">
        <f>IFERROR(COUNTA(INDEX(Mots!$E:$E,MATCH($A332,Mots!$A:$A,0)):INDEX(Mots!$K:$K,MATCH($A332,Mots!$A:$A,0))),0)</f>
        <v>1</v>
      </c>
      <c r="E332" s="17" t="str">
        <f>IF(COUNTIF(Classement!$A:$A,$A332)&gt;0,"ok","à faire")</f>
        <v>ok</v>
      </c>
      <c r="F332" s="17" t="str">
        <f>IF(COUNTIF(Tags!$A:$A,$A332)&gt;0,"ok","à faire")</f>
        <v>ok</v>
      </c>
      <c r="G332" s="17" t="str">
        <f>IF(COUNTIF(Phrases!$A:$A,$A332)&gt;0,"ok","à faire")</f>
        <v>ok</v>
      </c>
      <c r="H332" s="17" t="str">
        <f>IF(COUNTIFS(Phrases!$A:$A,$A332,Phrases!$I:$I,"&lt;&gt;")&gt;0,"ok","à faire")</f>
        <v>à faire</v>
      </c>
      <c r="I332" s="17" t="str">
        <f>IF(COUNTIF(Synonymes!$A:$A,$A332)&gt;0,"ok","")</f>
        <v/>
      </c>
      <c r="J332" s="17">
        <f t="shared" si="5"/>
        <v>1</v>
      </c>
    </row>
    <row r="333" spans="1:10" x14ac:dyDescent="0.3">
      <c r="A333" s="17" t="s">
        <v>1958</v>
      </c>
      <c r="B333" s="17" t="str">
        <f>IFERROR(INDEX(Mots!$B:$B,MATCH($A333,Mots!$A:$A,0)),"introuvable")</f>
        <v>la grosse caisse</v>
      </c>
      <c r="C333" s="17" t="str">
        <f>IFERROR(INDEX(Mots!$N:$N,MATCH($A333,Mots!$A:$A,0)),"")</f>
        <v>chose</v>
      </c>
      <c r="D333" s="17">
        <f>IFERROR(COUNTA(INDEX(Mots!$E:$E,MATCH($A333,Mots!$A:$A,0)):INDEX(Mots!$K:$K,MATCH($A333,Mots!$A:$A,0))),0)</f>
        <v>1</v>
      </c>
      <c r="E333" s="17" t="str">
        <f>IF(COUNTIF(Classement!$A:$A,$A333)&gt;0,"ok","à faire")</f>
        <v>ok</v>
      </c>
      <c r="F333" s="17" t="str">
        <f>IF(COUNTIF(Tags!$A:$A,$A333)&gt;0,"ok","à faire")</f>
        <v>ok</v>
      </c>
      <c r="G333" s="17" t="str">
        <f>IF(COUNTIF(Phrases!$A:$A,$A333)&gt;0,"ok","à faire")</f>
        <v>ok</v>
      </c>
      <c r="H333" s="17" t="str">
        <f>IF(COUNTIFS(Phrases!$A:$A,$A333,Phrases!$I:$I,"&lt;&gt;")&gt;0,"ok","à faire")</f>
        <v>à faire</v>
      </c>
      <c r="I333" s="17" t="str">
        <f>IF(COUNTIF(Synonymes!$A:$A,$A333)&gt;0,"ok","")</f>
        <v/>
      </c>
      <c r="J333" s="17">
        <f t="shared" si="5"/>
        <v>1</v>
      </c>
    </row>
    <row r="334" spans="1:10" x14ac:dyDescent="0.3">
      <c r="A334" s="17" t="s">
        <v>1962</v>
      </c>
      <c r="B334" s="17" t="str">
        <f>IFERROR(INDEX(Mots!$B:$B,MATCH($A334,Mots!$A:$A,0)),"introuvable")</f>
        <v>les cymbales</v>
      </c>
      <c r="C334" s="17" t="str">
        <f>IFERROR(INDEX(Mots!$N:$N,MATCH($A334,Mots!$A:$A,0)),"")</f>
        <v>chose</v>
      </c>
      <c r="D334" s="17">
        <f>IFERROR(COUNTA(INDEX(Mots!$E:$E,MATCH($A334,Mots!$A:$A,0)):INDEX(Mots!$K:$K,MATCH($A334,Mots!$A:$A,0))),0)</f>
        <v>1</v>
      </c>
      <c r="E334" s="17" t="str">
        <f>IF(COUNTIF(Classement!$A:$A,$A334)&gt;0,"ok","à faire")</f>
        <v>ok</v>
      </c>
      <c r="F334" s="17" t="str">
        <f>IF(COUNTIF(Tags!$A:$A,$A334)&gt;0,"ok","à faire")</f>
        <v>ok</v>
      </c>
      <c r="G334" s="17" t="str">
        <f>IF(COUNTIF(Phrases!$A:$A,$A334)&gt;0,"ok","à faire")</f>
        <v>ok</v>
      </c>
      <c r="H334" s="17" t="str">
        <f>IF(COUNTIFS(Phrases!$A:$A,$A334,Phrases!$I:$I,"&lt;&gt;")&gt;0,"ok","à faire")</f>
        <v>à faire</v>
      </c>
      <c r="I334" s="17" t="str">
        <f>IF(COUNTIF(Synonymes!$A:$A,$A334)&gt;0,"ok","")</f>
        <v/>
      </c>
      <c r="J334" s="17">
        <f t="shared" si="5"/>
        <v>1</v>
      </c>
    </row>
    <row r="335" spans="1:10" x14ac:dyDescent="0.3">
      <c r="A335" s="17" t="s">
        <v>1965</v>
      </c>
      <c r="B335" s="17" t="str">
        <f>IFERROR(INDEX(Mots!$B:$B,MATCH($A335,Mots!$A:$A,0)),"introuvable")</f>
        <v>les timbales</v>
      </c>
      <c r="C335" s="17" t="str">
        <f>IFERROR(INDEX(Mots!$N:$N,MATCH($A335,Mots!$A:$A,0)),"")</f>
        <v>chose</v>
      </c>
      <c r="D335" s="17">
        <f>IFERROR(COUNTA(INDEX(Mots!$E:$E,MATCH($A335,Mots!$A:$A,0)):INDEX(Mots!$K:$K,MATCH($A335,Mots!$A:$A,0))),0)</f>
        <v>1</v>
      </c>
      <c r="E335" s="17" t="str">
        <f>IF(COUNTIF(Classement!$A:$A,$A335)&gt;0,"ok","à faire")</f>
        <v>ok</v>
      </c>
      <c r="F335" s="17" t="str">
        <f>IF(COUNTIF(Tags!$A:$A,$A335)&gt;0,"ok","à faire")</f>
        <v>ok</v>
      </c>
      <c r="G335" s="17" t="str">
        <f>IF(COUNTIF(Phrases!$A:$A,$A335)&gt;0,"ok","à faire")</f>
        <v>ok</v>
      </c>
      <c r="H335" s="17" t="str">
        <f>IF(COUNTIFS(Phrases!$A:$A,$A335,Phrases!$I:$I,"&lt;&gt;")&gt;0,"ok","à faire")</f>
        <v>à faire</v>
      </c>
      <c r="I335" s="17" t="str">
        <f>IF(COUNTIF(Synonymes!$A:$A,$A335)&gt;0,"ok","")</f>
        <v/>
      </c>
      <c r="J335" s="17">
        <f t="shared" si="5"/>
        <v>1</v>
      </c>
    </row>
    <row r="336" spans="1:10" x14ac:dyDescent="0.3">
      <c r="A336" s="17" t="s">
        <v>1968</v>
      </c>
      <c r="B336" s="17" t="str">
        <f>IFERROR(INDEX(Mots!$B:$B,MATCH($A336,Mots!$A:$A,0)),"introuvable")</f>
        <v>le xylophone</v>
      </c>
      <c r="C336" s="17" t="str">
        <f>IFERROR(INDEX(Mots!$N:$N,MATCH($A336,Mots!$A:$A,0)),"")</f>
        <v>chose</v>
      </c>
      <c r="D336" s="17">
        <f>IFERROR(COUNTA(INDEX(Mots!$E:$E,MATCH($A336,Mots!$A:$A,0)):INDEX(Mots!$K:$K,MATCH($A336,Mots!$A:$A,0))),0)</f>
        <v>1</v>
      </c>
      <c r="E336" s="17" t="str">
        <f>IF(COUNTIF(Classement!$A:$A,$A336)&gt;0,"ok","à faire")</f>
        <v>ok</v>
      </c>
      <c r="F336" s="17" t="str">
        <f>IF(COUNTIF(Tags!$A:$A,$A336)&gt;0,"ok","à faire")</f>
        <v>ok</v>
      </c>
      <c r="G336" s="17" t="str">
        <f>IF(COUNTIF(Phrases!$A:$A,$A336)&gt;0,"ok","à faire")</f>
        <v>ok</v>
      </c>
      <c r="H336" s="17" t="str">
        <f>IF(COUNTIFS(Phrases!$A:$A,$A336,Phrases!$I:$I,"&lt;&gt;")&gt;0,"ok","à faire")</f>
        <v>à faire</v>
      </c>
      <c r="I336" s="17" t="str">
        <f>IF(COUNTIF(Synonymes!$A:$A,$A336)&gt;0,"ok","")</f>
        <v/>
      </c>
      <c r="J336" s="17">
        <f t="shared" si="5"/>
        <v>1</v>
      </c>
    </row>
    <row r="337" spans="1:10" x14ac:dyDescent="0.3">
      <c r="A337" s="17" t="s">
        <v>1971</v>
      </c>
      <c r="B337" s="17" t="str">
        <f>IFERROR(INDEX(Mots!$B:$B,MATCH($A337,Mots!$A:$A,0)),"introuvable")</f>
        <v>le vibraphone</v>
      </c>
      <c r="C337" s="17" t="str">
        <f>IFERROR(INDEX(Mots!$N:$N,MATCH($A337,Mots!$A:$A,0)),"")</f>
        <v>chose</v>
      </c>
      <c r="D337" s="17">
        <f>IFERROR(COUNTA(INDEX(Mots!$E:$E,MATCH($A337,Mots!$A:$A,0)):INDEX(Mots!$K:$K,MATCH($A337,Mots!$A:$A,0))),0)</f>
        <v>1</v>
      </c>
      <c r="E337" s="17" t="str">
        <f>IF(COUNTIF(Classement!$A:$A,$A337)&gt;0,"ok","à faire")</f>
        <v>ok</v>
      </c>
      <c r="F337" s="17" t="str">
        <f>IF(COUNTIF(Tags!$A:$A,$A337)&gt;0,"ok","à faire")</f>
        <v>ok</v>
      </c>
      <c r="G337" s="17" t="str">
        <f>IF(COUNTIF(Phrases!$A:$A,$A337)&gt;0,"ok","à faire")</f>
        <v>ok</v>
      </c>
      <c r="H337" s="17" t="str">
        <f>IF(COUNTIFS(Phrases!$A:$A,$A337,Phrases!$I:$I,"&lt;&gt;")&gt;0,"ok","à faire")</f>
        <v>à faire</v>
      </c>
      <c r="I337" s="17" t="str">
        <f>IF(COUNTIF(Synonymes!$A:$A,$A337)&gt;0,"ok","")</f>
        <v/>
      </c>
      <c r="J337" s="17">
        <f t="shared" si="5"/>
        <v>1</v>
      </c>
    </row>
    <row r="338" spans="1:10" x14ac:dyDescent="0.3">
      <c r="A338" s="17" t="s">
        <v>1974</v>
      </c>
      <c r="B338" s="17" t="str">
        <f>IFERROR(INDEX(Mots!$B:$B,MATCH($A338,Mots!$A:$A,0)),"introuvable")</f>
        <v>le marimba</v>
      </c>
      <c r="C338" s="17" t="str">
        <f>IFERROR(INDEX(Mots!$N:$N,MATCH($A338,Mots!$A:$A,0)),"")</f>
        <v>chose</v>
      </c>
      <c r="D338" s="17">
        <f>IFERROR(COUNTA(INDEX(Mots!$E:$E,MATCH($A338,Mots!$A:$A,0)):INDEX(Mots!$K:$K,MATCH($A338,Mots!$A:$A,0))),0)</f>
        <v>1</v>
      </c>
      <c r="E338" s="17" t="str">
        <f>IF(COUNTIF(Classement!$A:$A,$A338)&gt;0,"ok","à faire")</f>
        <v>ok</v>
      </c>
      <c r="F338" s="17" t="str">
        <f>IF(COUNTIF(Tags!$A:$A,$A338)&gt;0,"ok","à faire")</f>
        <v>ok</v>
      </c>
      <c r="G338" s="17" t="str">
        <f>IF(COUNTIF(Phrases!$A:$A,$A338)&gt;0,"ok","à faire")</f>
        <v>ok</v>
      </c>
      <c r="H338" s="17" t="str">
        <f>IF(COUNTIFS(Phrases!$A:$A,$A338,Phrases!$I:$I,"&lt;&gt;")&gt;0,"ok","à faire")</f>
        <v>à faire</v>
      </c>
      <c r="I338" s="17" t="str">
        <f>IF(COUNTIF(Synonymes!$A:$A,$A338)&gt;0,"ok","")</f>
        <v/>
      </c>
      <c r="J338" s="17">
        <f t="shared" si="5"/>
        <v>1</v>
      </c>
    </row>
    <row r="339" spans="1:10" x14ac:dyDescent="0.3">
      <c r="A339" s="17" t="s">
        <v>1977</v>
      </c>
      <c r="B339" s="17" t="str">
        <f>IFERROR(INDEX(Mots!$B:$B,MATCH($A339,Mots!$A:$A,0)),"introuvable")</f>
        <v>le tambour</v>
      </c>
      <c r="C339" s="17" t="str">
        <f>IFERROR(INDEX(Mots!$N:$N,MATCH($A339,Mots!$A:$A,0)),"")</f>
        <v>chose</v>
      </c>
      <c r="D339" s="17">
        <f>IFERROR(COUNTA(INDEX(Mots!$E:$E,MATCH($A339,Mots!$A:$A,0)):INDEX(Mots!$K:$K,MATCH($A339,Mots!$A:$A,0))),0)</f>
        <v>5</v>
      </c>
      <c r="E339" s="17" t="str">
        <f>IF(COUNTIF(Classement!$A:$A,$A339)&gt;0,"ok","à faire")</f>
        <v>ok</v>
      </c>
      <c r="F339" s="17" t="str">
        <f>IF(COUNTIF(Tags!$A:$A,$A339)&gt;0,"ok","à faire")</f>
        <v>ok</v>
      </c>
      <c r="G339" s="17" t="str">
        <f>IF(COUNTIF(Phrases!$A:$A,$A339)&gt;0,"ok","à faire")</f>
        <v>ok</v>
      </c>
      <c r="H339" s="17" t="str">
        <f>IF(COUNTIFS(Phrases!$A:$A,$A339,Phrases!$I:$I,"&lt;&gt;")&gt;0,"ok","à faire")</f>
        <v>ok</v>
      </c>
      <c r="I339" s="17" t="str">
        <f>IF(COUNTIF(Synonymes!$A:$A,$A339)&gt;0,"ok","")</f>
        <v/>
      </c>
      <c r="J339" s="17">
        <f t="shared" si="5"/>
        <v>0</v>
      </c>
    </row>
    <row r="340" spans="1:10" x14ac:dyDescent="0.3">
      <c r="A340" s="17" t="s">
        <v>1985</v>
      </c>
      <c r="B340" s="17" t="str">
        <f>IFERROR(INDEX(Mots!$B:$B,MATCH($A340,Mots!$A:$A,0)),"introuvable")</f>
        <v>le cornet</v>
      </c>
      <c r="C340" s="17" t="str">
        <f>IFERROR(INDEX(Mots!$N:$N,MATCH($A340,Mots!$A:$A,0)),"")</f>
        <v>chose</v>
      </c>
      <c r="D340" s="17">
        <f>IFERROR(COUNTA(INDEX(Mots!$E:$E,MATCH($A340,Mots!$A:$A,0)):INDEX(Mots!$K:$K,MATCH($A340,Mots!$A:$A,0))),0)</f>
        <v>1</v>
      </c>
      <c r="E340" s="17" t="str">
        <f>IF(COUNTIF(Classement!$A:$A,$A340)&gt;0,"ok","à faire")</f>
        <v>ok</v>
      </c>
      <c r="F340" s="17" t="str">
        <f>IF(COUNTIF(Tags!$A:$A,$A340)&gt;0,"ok","à faire")</f>
        <v>ok</v>
      </c>
      <c r="G340" s="17" t="str">
        <f>IF(COUNTIF(Phrases!$A:$A,$A340)&gt;0,"ok","à faire")</f>
        <v>ok</v>
      </c>
      <c r="H340" s="17" t="str">
        <f>IF(COUNTIFS(Phrases!$A:$A,$A340,Phrases!$I:$I,"&lt;&gt;")&gt;0,"ok","à faire")</f>
        <v>à faire</v>
      </c>
      <c r="I340" s="17" t="str">
        <f>IF(COUNTIF(Synonymes!$A:$A,$A340)&gt;0,"ok","")</f>
        <v/>
      </c>
      <c r="J340" s="17">
        <f t="shared" si="5"/>
        <v>1</v>
      </c>
    </row>
    <row r="341" spans="1:10" x14ac:dyDescent="0.3">
      <c r="A341" s="17" t="s">
        <v>1988</v>
      </c>
      <c r="B341" s="17" t="str">
        <f>IFERROR(INDEX(Mots!$B:$B,MATCH($A341,Mots!$A:$A,0)),"introuvable")</f>
        <v>le bugle</v>
      </c>
      <c r="C341" s="17" t="str">
        <f>IFERROR(INDEX(Mots!$N:$N,MATCH($A341,Mots!$A:$A,0)),"")</f>
        <v>chose</v>
      </c>
      <c r="D341" s="17">
        <f>IFERROR(COUNTA(INDEX(Mots!$E:$E,MATCH($A341,Mots!$A:$A,0)):INDEX(Mots!$K:$K,MATCH($A341,Mots!$A:$A,0))),0)</f>
        <v>1</v>
      </c>
      <c r="E341" s="17" t="str">
        <f>IF(COUNTIF(Classement!$A:$A,$A341)&gt;0,"ok","à faire")</f>
        <v>ok</v>
      </c>
      <c r="F341" s="17" t="str">
        <f>IF(COUNTIF(Tags!$A:$A,$A341)&gt;0,"ok","à faire")</f>
        <v>ok</v>
      </c>
      <c r="G341" s="17" t="str">
        <f>IF(COUNTIF(Phrases!$A:$A,$A341)&gt;0,"ok","à faire")</f>
        <v>ok</v>
      </c>
      <c r="H341" s="17" t="str">
        <f>IF(COUNTIFS(Phrases!$A:$A,$A341,Phrases!$I:$I,"&lt;&gt;")&gt;0,"ok","à faire")</f>
        <v>à faire</v>
      </c>
      <c r="I341" s="17" t="str">
        <f>IF(COUNTIF(Synonymes!$A:$A,$A341)&gt;0,"ok","")</f>
        <v/>
      </c>
      <c r="J341" s="17">
        <f t="shared" si="5"/>
        <v>1</v>
      </c>
    </row>
    <row r="342" spans="1:10" x14ac:dyDescent="0.3">
      <c r="A342" s="17" t="s">
        <v>1992</v>
      </c>
      <c r="B342" s="17" t="str">
        <f>IFERROR(INDEX(Mots!$B:$B,MATCH($A342,Mots!$A:$A,0)),"introuvable")</f>
        <v>l'alto</v>
      </c>
      <c r="C342" s="17" t="str">
        <f>IFERROR(INDEX(Mots!$N:$N,MATCH($A342,Mots!$A:$A,0)),"")</f>
        <v>chose</v>
      </c>
      <c r="D342" s="17">
        <f>IFERROR(COUNTA(INDEX(Mots!$E:$E,MATCH($A342,Mots!$A:$A,0)):INDEX(Mots!$K:$K,MATCH($A342,Mots!$A:$A,0))),0)</f>
        <v>1</v>
      </c>
      <c r="E342" s="17" t="str">
        <f>IF(COUNTIF(Classement!$A:$A,$A342)&gt;0,"ok","à faire")</f>
        <v>ok</v>
      </c>
      <c r="F342" s="17" t="str">
        <f>IF(COUNTIF(Tags!$A:$A,$A342)&gt;0,"ok","à faire")</f>
        <v>ok</v>
      </c>
      <c r="G342" s="17" t="str">
        <f>IF(COUNTIF(Phrases!$A:$A,$A342)&gt;0,"ok","à faire")</f>
        <v>ok</v>
      </c>
      <c r="H342" s="17" t="str">
        <f>IF(COUNTIFS(Phrases!$A:$A,$A342,Phrases!$I:$I,"&lt;&gt;")&gt;0,"ok","à faire")</f>
        <v>à faire</v>
      </c>
      <c r="I342" s="17" t="str">
        <f>IF(COUNTIF(Synonymes!$A:$A,$A342)&gt;0,"ok","")</f>
        <v/>
      </c>
      <c r="J342" s="17">
        <f t="shared" si="5"/>
        <v>1</v>
      </c>
    </row>
    <row r="343" spans="1:10" x14ac:dyDescent="0.3">
      <c r="A343" s="17" t="s">
        <v>1996</v>
      </c>
      <c r="B343" s="17" t="str">
        <f>IFERROR(INDEX(Mots!$B:$B,MATCH($A343,Mots!$A:$A,0)),"introuvable")</f>
        <v>le baryton</v>
      </c>
      <c r="C343" s="17" t="str">
        <f>IFERROR(INDEX(Mots!$N:$N,MATCH($A343,Mots!$A:$A,0)),"")</f>
        <v>chose</v>
      </c>
      <c r="D343" s="17">
        <f>IFERROR(COUNTA(INDEX(Mots!$E:$E,MATCH($A343,Mots!$A:$A,0)):INDEX(Mots!$K:$K,MATCH($A343,Mots!$A:$A,0))),0)</f>
        <v>1</v>
      </c>
      <c r="E343" s="17" t="str">
        <f>IF(COUNTIF(Classement!$A:$A,$A343)&gt;0,"ok","à faire")</f>
        <v>ok</v>
      </c>
      <c r="F343" s="17" t="str">
        <f>IF(COUNTIF(Tags!$A:$A,$A343)&gt;0,"ok","à faire")</f>
        <v>ok</v>
      </c>
      <c r="G343" s="17" t="str">
        <f>IF(COUNTIF(Phrases!$A:$A,$A343)&gt;0,"ok","à faire")</f>
        <v>ok</v>
      </c>
      <c r="H343" s="17" t="str">
        <f>IF(COUNTIFS(Phrases!$A:$A,$A343,Phrases!$I:$I,"&lt;&gt;")&gt;0,"ok","à faire")</f>
        <v>à faire</v>
      </c>
      <c r="I343" s="17" t="str">
        <f>IF(COUNTIF(Synonymes!$A:$A,$A343)&gt;0,"ok","")</f>
        <v/>
      </c>
      <c r="J343" s="17">
        <f t="shared" si="5"/>
        <v>1</v>
      </c>
    </row>
    <row r="344" spans="1:10" x14ac:dyDescent="0.3">
      <c r="A344" s="17" t="s">
        <v>2000</v>
      </c>
      <c r="B344" s="17" t="str">
        <f>IFERROR(INDEX(Mots!$B:$B,MATCH($A344,Mots!$A:$A,0)),"introuvable")</f>
        <v>l'euphonium</v>
      </c>
      <c r="C344" s="17" t="str">
        <f>IFERROR(INDEX(Mots!$N:$N,MATCH($A344,Mots!$A:$A,0)),"")</f>
        <v>chose</v>
      </c>
      <c r="D344" s="17">
        <f>IFERROR(COUNTA(INDEX(Mots!$E:$E,MATCH($A344,Mots!$A:$A,0)):INDEX(Mots!$K:$K,MATCH($A344,Mots!$A:$A,0))),0)</f>
        <v>1</v>
      </c>
      <c r="E344" s="17" t="str">
        <f>IF(COUNTIF(Classement!$A:$A,$A344)&gt;0,"ok","à faire")</f>
        <v>ok</v>
      </c>
      <c r="F344" s="17" t="str">
        <f>IF(COUNTIF(Tags!$A:$A,$A344)&gt;0,"ok","à faire")</f>
        <v>ok</v>
      </c>
      <c r="G344" s="17" t="str">
        <f>IF(COUNTIF(Phrases!$A:$A,$A344)&gt;0,"ok","à faire")</f>
        <v>ok</v>
      </c>
      <c r="H344" s="17" t="str">
        <f>IF(COUNTIFS(Phrases!$A:$A,$A344,Phrases!$I:$I,"&lt;&gt;")&gt;0,"ok","à faire")</f>
        <v>à faire</v>
      </c>
      <c r="I344" s="17" t="str">
        <f>IF(COUNTIF(Synonymes!$A:$A,$A344)&gt;0,"ok","")</f>
        <v/>
      </c>
      <c r="J344" s="17">
        <f t="shared" si="5"/>
        <v>1</v>
      </c>
    </row>
    <row r="345" spans="1:10" x14ac:dyDescent="0.3">
      <c r="A345" s="17" t="s">
        <v>2004</v>
      </c>
      <c r="B345" s="17" t="str">
        <f>IFERROR(INDEX(Mots!$B:$B,MATCH($A345,Mots!$A:$A,0)),"introuvable")</f>
        <v>la basse</v>
      </c>
      <c r="C345" s="17" t="str">
        <f>IFERROR(INDEX(Mots!$N:$N,MATCH($A345,Mots!$A:$A,0)),"")</f>
        <v>chose</v>
      </c>
      <c r="D345" s="17">
        <f>IFERROR(COUNTA(INDEX(Mots!$E:$E,MATCH($A345,Mots!$A:$A,0)):INDEX(Mots!$K:$K,MATCH($A345,Mots!$A:$A,0))),0)</f>
        <v>1</v>
      </c>
      <c r="E345" s="17" t="str">
        <f>IF(COUNTIF(Classement!$A:$A,$A345)&gt;0,"ok","à faire")</f>
        <v>ok</v>
      </c>
      <c r="F345" s="17" t="str">
        <f>IF(COUNTIF(Tags!$A:$A,$A345)&gt;0,"ok","à faire")</f>
        <v>ok</v>
      </c>
      <c r="G345" s="17" t="str">
        <f>IF(COUNTIF(Phrases!$A:$A,$A345)&gt;0,"ok","à faire")</f>
        <v>ok</v>
      </c>
      <c r="H345" s="17" t="str">
        <f>IF(COUNTIFS(Phrases!$A:$A,$A345,Phrases!$I:$I,"&lt;&gt;")&gt;0,"ok","à faire")</f>
        <v>à faire</v>
      </c>
      <c r="I345" s="17" t="str">
        <f>IF(COUNTIF(Synonymes!$A:$A,$A345)&gt;0,"ok","")</f>
        <v/>
      </c>
      <c r="J345" s="17">
        <f t="shared" si="5"/>
        <v>1</v>
      </c>
    </row>
    <row r="346" spans="1:10" x14ac:dyDescent="0.3">
      <c r="A346" s="17" t="s">
        <v>2008</v>
      </c>
      <c r="B346" s="17" t="str">
        <f>IFERROR(INDEX(Mots!$B:$B,MATCH($A346,Mots!$A:$A,0)),"introuvable")</f>
        <v>le trombone</v>
      </c>
      <c r="C346" s="17" t="str">
        <f>IFERROR(INDEX(Mots!$N:$N,MATCH($A346,Mots!$A:$A,0)),"")</f>
        <v>chose</v>
      </c>
      <c r="D346" s="17">
        <f>IFERROR(COUNTA(INDEX(Mots!$E:$E,MATCH($A346,Mots!$A:$A,0)):INDEX(Mots!$K:$K,MATCH($A346,Mots!$A:$A,0))),0)</f>
        <v>1</v>
      </c>
      <c r="E346" s="17" t="str">
        <f>IF(COUNTIF(Classement!$A:$A,$A346)&gt;0,"ok","à faire")</f>
        <v>ok</v>
      </c>
      <c r="F346" s="17" t="str">
        <f>IF(COUNTIF(Tags!$A:$A,$A346)&gt;0,"ok","à faire")</f>
        <v>ok</v>
      </c>
      <c r="G346" s="17" t="str">
        <f>IF(COUNTIF(Phrases!$A:$A,$A346)&gt;0,"ok","à faire")</f>
        <v>ok</v>
      </c>
      <c r="H346" s="17" t="str">
        <f>IF(COUNTIFS(Phrases!$A:$A,$A346,Phrases!$I:$I,"&lt;&gt;")&gt;0,"ok","à faire")</f>
        <v>à faire</v>
      </c>
      <c r="I346" s="17" t="str">
        <f>IF(COUNTIF(Synonymes!$A:$A,$A346)&gt;0,"ok","")</f>
        <v/>
      </c>
      <c r="J346" s="17">
        <f t="shared" si="5"/>
        <v>1</v>
      </c>
    </row>
    <row r="347" spans="1:10" x14ac:dyDescent="0.3">
      <c r="A347" s="17" t="s">
        <v>2012</v>
      </c>
      <c r="B347" s="17" t="str">
        <f>IFERROR(INDEX(Mots!$B:$B,MATCH($A347,Mots!$A:$A,0)),"introuvable")</f>
        <v>le légume</v>
      </c>
      <c r="C347" s="17" t="str">
        <f>IFERROR(INDEX(Mots!$N:$N,MATCH($A347,Mots!$A:$A,0)),"")</f>
        <v>chose</v>
      </c>
      <c r="D347" s="17">
        <f>IFERROR(COUNTA(INDEX(Mots!$E:$E,MATCH($A347,Mots!$A:$A,0)):INDEX(Mots!$K:$K,MATCH($A347,Mots!$A:$A,0))),0)</f>
        <v>1</v>
      </c>
      <c r="E347" s="17" t="str">
        <f>IF(COUNTIF(Classement!$A:$A,$A347)&gt;0,"ok","à faire")</f>
        <v>ok</v>
      </c>
      <c r="F347" s="17" t="str">
        <f>IF(COUNTIF(Tags!$A:$A,$A347)&gt;0,"ok","à faire")</f>
        <v>ok</v>
      </c>
      <c r="G347" s="17" t="str">
        <f>IF(COUNTIF(Phrases!$A:$A,$A347)&gt;0,"ok","à faire")</f>
        <v>ok</v>
      </c>
      <c r="H347" s="17" t="str">
        <f>IF(COUNTIFS(Phrases!$A:$A,$A347,Phrases!$I:$I,"&lt;&gt;")&gt;0,"ok","à faire")</f>
        <v>à faire</v>
      </c>
      <c r="I347" s="17" t="str">
        <f>IF(COUNTIF(Synonymes!$A:$A,$A347)&gt;0,"ok","")</f>
        <v/>
      </c>
      <c r="J347" s="17">
        <f t="shared" si="5"/>
        <v>1</v>
      </c>
    </row>
    <row r="348" spans="1:10" x14ac:dyDescent="0.3">
      <c r="A348" s="17" t="s">
        <v>9407</v>
      </c>
      <c r="B348" s="17" t="str">
        <f>IFERROR(INDEX(Mots!$B:$B,MATCH($A348,Mots!$A:$A,0)),"introuvable")</f>
        <v>la pomme de terre</v>
      </c>
      <c r="C348" s="17" t="str">
        <f>IFERROR(INDEX(Mots!$N:$N,MATCH($A348,Mots!$A:$A,0)),"")</f>
        <v>chose</v>
      </c>
      <c r="D348" s="17">
        <f>IFERROR(COUNTA(INDEX(Mots!$E:$E,MATCH($A348,Mots!$A:$A,0)):INDEX(Mots!$K:$K,MATCH($A348,Mots!$A:$A,0))),0)</f>
        <v>1</v>
      </c>
      <c r="E348" s="17" t="str">
        <f>IF(COUNTIF(Classement!$A:$A,$A348)&gt;0,"ok","à faire")</f>
        <v>ok</v>
      </c>
      <c r="F348" s="17" t="str">
        <f>IF(COUNTIF(Tags!$A:$A,$A348)&gt;0,"ok","à faire")</f>
        <v>ok</v>
      </c>
      <c r="G348" s="17" t="str">
        <f>IF(COUNTIF(Phrases!$A:$A,$A348)&gt;0,"ok","à faire")</f>
        <v>ok</v>
      </c>
      <c r="H348" s="17" t="str">
        <f>IF(COUNTIFS(Phrases!$A:$A,$A348,Phrases!$I:$I,"&lt;&gt;")&gt;0,"ok","à faire")</f>
        <v>à faire</v>
      </c>
      <c r="I348" s="17" t="str">
        <f>IF(COUNTIF(Synonymes!$A:$A,$A348)&gt;0,"ok","")</f>
        <v>ok</v>
      </c>
      <c r="J348" s="17">
        <f t="shared" si="5"/>
        <v>1</v>
      </c>
    </row>
    <row r="349" spans="1:10" x14ac:dyDescent="0.3">
      <c r="A349" s="17" t="s">
        <v>2020</v>
      </c>
      <c r="B349" s="17" t="str">
        <f>IFERROR(INDEX(Mots!$B:$B,MATCH($A349,Mots!$A:$A,0)),"introuvable")</f>
        <v>la carotte</v>
      </c>
      <c r="C349" s="17" t="str">
        <f>IFERROR(INDEX(Mots!$N:$N,MATCH($A349,Mots!$A:$A,0)),"")</f>
        <v>chose</v>
      </c>
      <c r="D349" s="17">
        <f>IFERROR(COUNTA(INDEX(Mots!$E:$E,MATCH($A349,Mots!$A:$A,0)):INDEX(Mots!$K:$K,MATCH($A349,Mots!$A:$A,0))),0)</f>
        <v>1</v>
      </c>
      <c r="E349" s="17" t="str">
        <f>IF(COUNTIF(Classement!$A:$A,$A349)&gt;0,"ok","à faire")</f>
        <v>ok</v>
      </c>
      <c r="F349" s="17" t="str">
        <f>IF(COUNTIF(Tags!$A:$A,$A349)&gt;0,"ok","à faire")</f>
        <v>ok</v>
      </c>
      <c r="G349" s="17" t="str">
        <f>IF(COUNTIF(Phrases!$A:$A,$A349)&gt;0,"ok","à faire")</f>
        <v>ok</v>
      </c>
      <c r="H349" s="17" t="str">
        <f>IF(COUNTIFS(Phrases!$A:$A,$A349,Phrases!$I:$I,"&lt;&gt;")&gt;0,"ok","à faire")</f>
        <v>à faire</v>
      </c>
      <c r="I349" s="17" t="str">
        <f>IF(COUNTIF(Synonymes!$A:$A,$A349)&gt;0,"ok","")</f>
        <v/>
      </c>
      <c r="J349" s="17">
        <f t="shared" si="5"/>
        <v>1</v>
      </c>
    </row>
    <row r="350" spans="1:10" x14ac:dyDescent="0.3">
      <c r="A350" s="17" t="s">
        <v>2024</v>
      </c>
      <c r="B350" s="17" t="str">
        <f>IFERROR(INDEX(Mots!$B:$B,MATCH($A350,Mots!$A:$A,0)),"introuvable")</f>
        <v>la tomate</v>
      </c>
      <c r="C350" s="17" t="str">
        <f>IFERROR(INDEX(Mots!$N:$N,MATCH($A350,Mots!$A:$A,0)),"")</f>
        <v>chose</v>
      </c>
      <c r="D350" s="17">
        <f>IFERROR(COUNTA(INDEX(Mots!$E:$E,MATCH($A350,Mots!$A:$A,0)):INDEX(Mots!$K:$K,MATCH($A350,Mots!$A:$A,0))),0)</f>
        <v>1</v>
      </c>
      <c r="E350" s="17" t="str">
        <f>IF(COUNTIF(Classement!$A:$A,$A350)&gt;0,"ok","à faire")</f>
        <v>ok</v>
      </c>
      <c r="F350" s="17" t="str">
        <f>IF(COUNTIF(Tags!$A:$A,$A350)&gt;0,"ok","à faire")</f>
        <v>ok</v>
      </c>
      <c r="G350" s="17" t="str">
        <f>IF(COUNTIF(Phrases!$A:$A,$A350)&gt;0,"ok","à faire")</f>
        <v>ok</v>
      </c>
      <c r="H350" s="17" t="str">
        <f>IF(COUNTIFS(Phrases!$A:$A,$A350,Phrases!$I:$I,"&lt;&gt;")&gt;0,"ok","à faire")</f>
        <v>à faire</v>
      </c>
      <c r="I350" s="17" t="str">
        <f>IF(COUNTIF(Synonymes!$A:$A,$A350)&gt;0,"ok","")</f>
        <v/>
      </c>
      <c r="J350" s="17">
        <f t="shared" si="5"/>
        <v>1</v>
      </c>
    </row>
    <row r="351" spans="1:10" x14ac:dyDescent="0.3">
      <c r="A351" s="17" t="s">
        <v>2028</v>
      </c>
      <c r="B351" s="17" t="str">
        <f>IFERROR(INDEX(Mots!$B:$B,MATCH($A351,Mots!$A:$A,0)),"introuvable")</f>
        <v>le chou-fleur</v>
      </c>
      <c r="C351" s="17" t="str">
        <f>IFERROR(INDEX(Mots!$N:$N,MATCH($A351,Mots!$A:$A,0)),"")</f>
        <v>chose</v>
      </c>
      <c r="D351" s="17">
        <f>IFERROR(COUNTA(INDEX(Mots!$E:$E,MATCH($A351,Mots!$A:$A,0)):INDEX(Mots!$K:$K,MATCH($A351,Mots!$A:$A,0))),0)</f>
        <v>1</v>
      </c>
      <c r="E351" s="17" t="str">
        <f>IF(COUNTIF(Classement!$A:$A,$A351)&gt;0,"ok","à faire")</f>
        <v>ok</v>
      </c>
      <c r="F351" s="17" t="str">
        <f>IF(COUNTIF(Tags!$A:$A,$A351)&gt;0,"ok","à faire")</f>
        <v>ok</v>
      </c>
      <c r="G351" s="17" t="str">
        <f>IF(COUNTIF(Phrases!$A:$A,$A351)&gt;0,"ok","à faire")</f>
        <v>ok</v>
      </c>
      <c r="H351" s="17" t="str">
        <f>IF(COUNTIFS(Phrases!$A:$A,$A351,Phrases!$I:$I,"&lt;&gt;")&gt;0,"ok","à faire")</f>
        <v>à faire</v>
      </c>
      <c r="I351" s="17" t="str">
        <f>IF(COUNTIF(Synonymes!$A:$A,$A351)&gt;0,"ok","")</f>
        <v/>
      </c>
      <c r="J351" s="17">
        <f t="shared" si="5"/>
        <v>1</v>
      </c>
    </row>
    <row r="352" spans="1:10" x14ac:dyDescent="0.3">
      <c r="A352" s="17" t="s">
        <v>2032</v>
      </c>
      <c r="B352" s="17" t="str">
        <f>IFERROR(INDEX(Mots!$B:$B,MATCH($A352,Mots!$A:$A,0)),"introuvable")</f>
        <v>le poireau</v>
      </c>
      <c r="C352" s="17" t="str">
        <f>IFERROR(INDEX(Mots!$N:$N,MATCH($A352,Mots!$A:$A,0)),"")</f>
        <v>chose</v>
      </c>
      <c r="D352" s="17">
        <f>IFERROR(COUNTA(INDEX(Mots!$E:$E,MATCH($A352,Mots!$A:$A,0)):INDEX(Mots!$K:$K,MATCH($A352,Mots!$A:$A,0))),0)</f>
        <v>1</v>
      </c>
      <c r="E352" s="17" t="str">
        <f>IF(COUNTIF(Classement!$A:$A,$A352)&gt;0,"ok","à faire")</f>
        <v>ok</v>
      </c>
      <c r="F352" s="17" t="str">
        <f>IF(COUNTIF(Tags!$A:$A,$A352)&gt;0,"ok","à faire")</f>
        <v>ok</v>
      </c>
      <c r="G352" s="17" t="str">
        <f>IF(COUNTIF(Phrases!$A:$A,$A352)&gt;0,"ok","à faire")</f>
        <v>ok</v>
      </c>
      <c r="H352" s="17" t="str">
        <f>IF(COUNTIFS(Phrases!$A:$A,$A352,Phrases!$I:$I,"&lt;&gt;")&gt;0,"ok","à faire")</f>
        <v>à faire</v>
      </c>
      <c r="I352" s="17" t="str">
        <f>IF(COUNTIF(Synonymes!$A:$A,$A352)&gt;0,"ok","")</f>
        <v/>
      </c>
      <c r="J352" s="17">
        <f t="shared" si="5"/>
        <v>1</v>
      </c>
    </row>
    <row r="353" spans="1:10" x14ac:dyDescent="0.3">
      <c r="A353" s="17" t="s">
        <v>2036</v>
      </c>
      <c r="B353" s="17" t="str">
        <f>IFERROR(INDEX(Mots!$B:$B,MATCH($A353,Mots!$A:$A,0)),"introuvable")</f>
        <v>le brocoli</v>
      </c>
      <c r="C353" s="17" t="str">
        <f>IFERROR(INDEX(Mots!$N:$N,MATCH($A353,Mots!$A:$A,0)),"")</f>
        <v>chose</v>
      </c>
      <c r="D353" s="17">
        <f>IFERROR(COUNTA(INDEX(Mots!$E:$E,MATCH($A353,Mots!$A:$A,0)):INDEX(Mots!$K:$K,MATCH($A353,Mots!$A:$A,0))),0)</f>
        <v>1</v>
      </c>
      <c r="E353" s="17" t="str">
        <f>IF(COUNTIF(Classement!$A:$A,$A353)&gt;0,"ok","à faire")</f>
        <v>ok</v>
      </c>
      <c r="F353" s="17" t="str">
        <f>IF(COUNTIF(Tags!$A:$A,$A353)&gt;0,"ok","à faire")</f>
        <v>ok</v>
      </c>
      <c r="G353" s="17" t="str">
        <f>IF(COUNTIF(Phrases!$A:$A,$A353)&gt;0,"ok","à faire")</f>
        <v>ok</v>
      </c>
      <c r="H353" s="17" t="str">
        <f>IF(COUNTIFS(Phrases!$A:$A,$A353,Phrases!$I:$I,"&lt;&gt;")&gt;0,"ok","à faire")</f>
        <v>à faire</v>
      </c>
      <c r="I353" s="17" t="str">
        <f>IF(COUNTIF(Synonymes!$A:$A,$A353)&gt;0,"ok","")</f>
        <v/>
      </c>
      <c r="J353" s="17">
        <f t="shared" si="5"/>
        <v>1</v>
      </c>
    </row>
    <row r="354" spans="1:10" x14ac:dyDescent="0.3">
      <c r="A354" s="17" t="s">
        <v>2040</v>
      </c>
      <c r="B354" s="17" t="str">
        <f>IFERROR(INDEX(Mots!$B:$B,MATCH($A354,Mots!$A:$A,0)),"introuvable")</f>
        <v>l'asperge</v>
      </c>
      <c r="C354" s="17" t="str">
        <f>IFERROR(INDEX(Mots!$N:$N,MATCH($A354,Mots!$A:$A,0)),"")</f>
        <v>chose</v>
      </c>
      <c r="D354" s="17">
        <f>IFERROR(COUNTA(INDEX(Mots!$E:$E,MATCH($A354,Mots!$A:$A,0)):INDEX(Mots!$K:$K,MATCH($A354,Mots!$A:$A,0))),0)</f>
        <v>1</v>
      </c>
      <c r="E354" s="17" t="str">
        <f>IF(COUNTIF(Classement!$A:$A,$A354)&gt;0,"ok","à faire")</f>
        <v>ok</v>
      </c>
      <c r="F354" s="17" t="str">
        <f>IF(COUNTIF(Tags!$A:$A,$A354)&gt;0,"ok","à faire")</f>
        <v>ok</v>
      </c>
      <c r="G354" s="17" t="str">
        <f>IF(COUNTIF(Phrases!$A:$A,$A354)&gt;0,"ok","à faire")</f>
        <v>ok</v>
      </c>
      <c r="H354" s="17" t="str">
        <f>IF(COUNTIFS(Phrases!$A:$A,$A354,Phrases!$I:$I,"&lt;&gt;")&gt;0,"ok","à faire")</f>
        <v>à faire</v>
      </c>
      <c r="I354" s="17" t="str">
        <f>IF(COUNTIF(Synonymes!$A:$A,$A354)&gt;0,"ok","")</f>
        <v/>
      </c>
      <c r="J354" s="17">
        <f t="shared" si="5"/>
        <v>1</v>
      </c>
    </row>
    <row r="355" spans="1:10" x14ac:dyDescent="0.3">
      <c r="A355" s="17" t="s">
        <v>2044</v>
      </c>
      <c r="B355" s="17" t="str">
        <f>IFERROR(INDEX(Mots!$B:$B,MATCH($A355,Mots!$A:$A,0)),"introuvable")</f>
        <v>la courgette</v>
      </c>
      <c r="C355" s="17" t="str">
        <f>IFERROR(INDEX(Mots!$N:$N,MATCH($A355,Mots!$A:$A,0)),"")</f>
        <v>chose</v>
      </c>
      <c r="D355" s="17">
        <f>IFERROR(COUNTA(INDEX(Mots!$E:$E,MATCH($A355,Mots!$A:$A,0)):INDEX(Mots!$K:$K,MATCH($A355,Mots!$A:$A,0))),0)</f>
        <v>1</v>
      </c>
      <c r="E355" s="17" t="str">
        <f>IF(COUNTIF(Classement!$A:$A,$A355)&gt;0,"ok","à faire")</f>
        <v>ok</v>
      </c>
      <c r="F355" s="17" t="str">
        <f>IF(COUNTIF(Tags!$A:$A,$A355)&gt;0,"ok","à faire")</f>
        <v>ok</v>
      </c>
      <c r="G355" s="17" t="str">
        <f>IF(COUNTIF(Phrases!$A:$A,$A355)&gt;0,"ok","à faire")</f>
        <v>ok</v>
      </c>
      <c r="H355" s="17" t="str">
        <f>IF(COUNTIFS(Phrases!$A:$A,$A355,Phrases!$I:$I,"&lt;&gt;")&gt;0,"ok","à faire")</f>
        <v>à faire</v>
      </c>
      <c r="I355" s="17" t="str">
        <f>IF(COUNTIF(Synonymes!$A:$A,$A355)&gt;0,"ok","")</f>
        <v/>
      </c>
      <c r="J355" s="17">
        <f t="shared" si="5"/>
        <v>1</v>
      </c>
    </row>
    <row r="356" spans="1:10" x14ac:dyDescent="0.3">
      <c r="A356" s="17" t="s">
        <v>2048</v>
      </c>
      <c r="B356" s="17" t="str">
        <f>IFERROR(INDEX(Mots!$B:$B,MATCH($A356,Mots!$A:$A,0)),"introuvable")</f>
        <v>la salade (laitue)</v>
      </c>
      <c r="C356" s="17" t="str">
        <f>IFERROR(INDEX(Mots!$N:$N,MATCH($A356,Mots!$A:$A,0)),"")</f>
        <v>chose</v>
      </c>
      <c r="D356" s="17">
        <f>IFERROR(COUNTA(INDEX(Mots!$E:$E,MATCH($A356,Mots!$A:$A,0)):INDEX(Mots!$K:$K,MATCH($A356,Mots!$A:$A,0))),0)</f>
        <v>4</v>
      </c>
      <c r="E356" s="17" t="str">
        <f>IF(COUNTIF(Classement!$A:$A,$A356)&gt;0,"ok","à faire")</f>
        <v>ok</v>
      </c>
      <c r="F356" s="17" t="str">
        <f>IF(COUNTIF(Tags!$A:$A,$A356)&gt;0,"ok","à faire")</f>
        <v>ok</v>
      </c>
      <c r="G356" s="17" t="str">
        <f>IF(COUNTIF(Phrases!$A:$A,$A356)&gt;0,"ok","à faire")</f>
        <v>ok</v>
      </c>
      <c r="H356" s="17" t="str">
        <f>IF(COUNTIFS(Phrases!$A:$A,$A356,Phrases!$I:$I,"&lt;&gt;")&gt;0,"ok","à faire")</f>
        <v>ok</v>
      </c>
      <c r="I356" s="17" t="str">
        <f>IF(COUNTIF(Synonymes!$A:$A,$A356)&gt;0,"ok","")</f>
        <v/>
      </c>
      <c r="J356" s="17">
        <f t="shared" si="5"/>
        <v>0</v>
      </c>
    </row>
    <row r="357" spans="1:10" x14ac:dyDescent="0.3">
      <c r="A357" s="17" t="s">
        <v>2055</v>
      </c>
      <c r="B357" s="17" t="str">
        <f>IFERROR(INDEX(Mots!$B:$B,MATCH($A357,Mots!$A:$A,0)),"introuvable")</f>
        <v>la betterave à salade</v>
      </c>
      <c r="C357" s="17" t="str">
        <f>IFERROR(INDEX(Mots!$N:$N,MATCH($A357,Mots!$A:$A,0)),"")</f>
        <v>chose</v>
      </c>
      <c r="D357" s="17">
        <f>IFERROR(COUNTA(INDEX(Mots!$E:$E,MATCH($A357,Mots!$A:$A,0)):INDEX(Mots!$K:$K,MATCH($A357,Mots!$A:$A,0))),0)</f>
        <v>1</v>
      </c>
      <c r="E357" s="17" t="str">
        <f>IF(COUNTIF(Classement!$A:$A,$A357)&gt;0,"ok","à faire")</f>
        <v>ok</v>
      </c>
      <c r="F357" s="17" t="str">
        <f>IF(COUNTIF(Tags!$A:$A,$A357)&gt;0,"ok","à faire")</f>
        <v>ok</v>
      </c>
      <c r="G357" s="17" t="str">
        <f>IF(COUNTIF(Phrases!$A:$A,$A357)&gt;0,"ok","à faire")</f>
        <v>ok</v>
      </c>
      <c r="H357" s="17" t="str">
        <f>IF(COUNTIFS(Phrases!$A:$A,$A357,Phrases!$I:$I,"&lt;&gt;")&gt;0,"ok","à faire")</f>
        <v>à faire</v>
      </c>
      <c r="I357" s="17" t="str">
        <f>IF(COUNTIF(Synonymes!$A:$A,$A357)&gt;0,"ok","")</f>
        <v/>
      </c>
      <c r="J357" s="17">
        <f t="shared" si="5"/>
        <v>1</v>
      </c>
    </row>
    <row r="358" spans="1:10" x14ac:dyDescent="0.3">
      <c r="A358" s="17" t="s">
        <v>2059</v>
      </c>
      <c r="B358" s="17" t="str">
        <f>IFERROR(INDEX(Mots!$B:$B,MATCH($A358,Mots!$A:$A,0)),"introuvable")</f>
        <v>le haricot</v>
      </c>
      <c r="C358" s="17" t="str">
        <f>IFERROR(INDEX(Mots!$N:$N,MATCH($A358,Mots!$A:$A,0)),"")</f>
        <v>chose</v>
      </c>
      <c r="D358" s="17">
        <f>IFERROR(COUNTA(INDEX(Mots!$E:$E,MATCH($A358,Mots!$A:$A,0)):INDEX(Mots!$K:$K,MATCH($A358,Mots!$A:$A,0))),0)</f>
        <v>1</v>
      </c>
      <c r="E358" s="17" t="str">
        <f>IF(COUNTIF(Classement!$A:$A,$A358)&gt;0,"ok","à faire")</f>
        <v>ok</v>
      </c>
      <c r="F358" s="17" t="str">
        <f>IF(COUNTIF(Tags!$A:$A,$A358)&gt;0,"ok","à faire")</f>
        <v>ok</v>
      </c>
      <c r="G358" s="17" t="str">
        <f>IF(COUNTIF(Phrases!$A:$A,$A358)&gt;0,"ok","à faire")</f>
        <v>ok</v>
      </c>
      <c r="H358" s="17" t="str">
        <f>IF(COUNTIFS(Phrases!$A:$A,$A358,Phrases!$I:$I,"&lt;&gt;")&gt;0,"ok","à faire")</f>
        <v>à faire</v>
      </c>
      <c r="I358" s="17" t="str">
        <f>IF(COUNTIF(Synonymes!$A:$A,$A358)&gt;0,"ok","")</f>
        <v/>
      </c>
      <c r="J358" s="17">
        <f t="shared" si="5"/>
        <v>1</v>
      </c>
    </row>
    <row r="359" spans="1:10" x14ac:dyDescent="0.3">
      <c r="A359" s="17" t="s">
        <v>2063</v>
      </c>
      <c r="B359" s="17" t="str">
        <f>IFERROR(INDEX(Mots!$B:$B,MATCH($A359,Mots!$A:$A,0)),"introuvable")</f>
        <v>l'oignon</v>
      </c>
      <c r="C359" s="17" t="str">
        <f>IFERROR(INDEX(Mots!$N:$N,MATCH($A359,Mots!$A:$A,0)),"")</f>
        <v>chose</v>
      </c>
      <c r="D359" s="17">
        <f>IFERROR(COUNTA(INDEX(Mots!$E:$E,MATCH($A359,Mots!$A:$A,0)):INDEX(Mots!$K:$K,MATCH($A359,Mots!$A:$A,0))),0)</f>
        <v>1</v>
      </c>
      <c r="E359" s="17" t="str">
        <f>IF(COUNTIF(Classement!$A:$A,$A359)&gt;0,"ok","à faire")</f>
        <v>ok</v>
      </c>
      <c r="F359" s="17" t="str">
        <f>IF(COUNTIF(Tags!$A:$A,$A359)&gt;0,"ok","à faire")</f>
        <v>ok</v>
      </c>
      <c r="G359" s="17" t="str">
        <f>IF(COUNTIF(Phrases!$A:$A,$A359)&gt;0,"ok","à faire")</f>
        <v>ok</v>
      </c>
      <c r="H359" s="17" t="str">
        <f>IF(COUNTIFS(Phrases!$A:$A,$A359,Phrases!$I:$I,"&lt;&gt;")&gt;0,"ok","à faire")</f>
        <v>ok</v>
      </c>
      <c r="I359" s="17" t="str">
        <f>IF(COUNTIF(Synonymes!$A:$A,$A359)&gt;0,"ok","")</f>
        <v/>
      </c>
      <c r="J359" s="17">
        <f t="shared" si="5"/>
        <v>0</v>
      </c>
    </row>
    <row r="360" spans="1:10" x14ac:dyDescent="0.3">
      <c r="A360" s="17" t="s">
        <v>2067</v>
      </c>
      <c r="B360" s="17" t="str">
        <f>IFERROR(INDEX(Mots!$B:$B,MATCH($A360,Mots!$A:$A,0)),"introuvable")</f>
        <v>la ville de Sion</v>
      </c>
      <c r="C360" s="17" t="str">
        <f>IFERROR(INDEX(Mots!$N:$N,MATCH($A360,Mots!$A:$A,0)),"")</f>
        <v>lieu</v>
      </c>
      <c r="D360" s="17">
        <f>IFERROR(COUNTA(INDEX(Mots!$E:$E,MATCH($A360,Mots!$A:$A,0)):INDEX(Mots!$K:$K,MATCH($A360,Mots!$A:$A,0))),0)</f>
        <v>2</v>
      </c>
      <c r="E360" s="17" t="str">
        <f>IF(COUNTIF(Classement!$A:$A,$A360)&gt;0,"ok","à faire")</f>
        <v>ok</v>
      </c>
      <c r="F360" s="17" t="str">
        <f>IF(COUNTIF(Tags!$A:$A,$A360)&gt;0,"ok","à faire")</f>
        <v>ok</v>
      </c>
      <c r="G360" s="17" t="str">
        <f>IF(COUNTIF(Phrases!$A:$A,$A360)&gt;0,"ok","à faire")</f>
        <v>à faire</v>
      </c>
      <c r="H360" s="17" t="str">
        <f>IF(COUNTIFS(Phrases!$A:$A,$A360,Phrases!$I:$I,"&lt;&gt;")&gt;0,"ok","à faire")</f>
        <v>à faire</v>
      </c>
      <c r="I360" s="17" t="str">
        <f>IF(COUNTIF(Synonymes!$A:$A,$A360)&gt;0,"ok","")</f>
        <v/>
      </c>
      <c r="J360" s="17">
        <f t="shared" si="5"/>
        <v>2</v>
      </c>
    </row>
    <row r="361" spans="1:10" x14ac:dyDescent="0.3">
      <c r="A361" s="17" t="s">
        <v>2072</v>
      </c>
      <c r="B361" s="17" t="str">
        <f>IFERROR(INDEX(Mots!$B:$B,MATCH($A361,Mots!$A:$A,0)),"introuvable")</f>
        <v>Vétroz</v>
      </c>
      <c r="C361" s="17" t="str">
        <f>IFERROR(INDEX(Mots!$N:$N,MATCH($A361,Mots!$A:$A,0)),"")</f>
        <v>lieu</v>
      </c>
      <c r="D361" s="17">
        <f>IFERROR(COUNTA(INDEX(Mots!$E:$E,MATCH($A361,Mots!$A:$A,0)):INDEX(Mots!$K:$K,MATCH($A361,Mots!$A:$A,0))),0)</f>
        <v>1</v>
      </c>
      <c r="E361" s="17" t="str">
        <f>IF(COUNTIF(Classement!$A:$A,$A361)&gt;0,"ok","à faire")</f>
        <v>ok</v>
      </c>
      <c r="F361" s="17" t="str">
        <f>IF(COUNTIF(Tags!$A:$A,$A361)&gt;0,"ok","à faire")</f>
        <v>ok</v>
      </c>
      <c r="G361" s="17" t="str">
        <f>IF(COUNTIF(Phrases!$A:$A,$A361)&gt;0,"ok","à faire")</f>
        <v>à faire</v>
      </c>
      <c r="H361" s="17" t="str">
        <f>IF(COUNTIFS(Phrases!$A:$A,$A361,Phrases!$I:$I,"&lt;&gt;")&gt;0,"ok","à faire")</f>
        <v>à faire</v>
      </c>
      <c r="I361" s="17" t="str">
        <f>IF(COUNTIF(Synonymes!$A:$A,$A361)&gt;0,"ok","")</f>
        <v/>
      </c>
      <c r="J361" s="17">
        <f t="shared" si="5"/>
        <v>2</v>
      </c>
    </row>
    <row r="362" spans="1:10" x14ac:dyDescent="0.3">
      <c r="A362" s="17" t="s">
        <v>82</v>
      </c>
      <c r="B362" s="17" t="str">
        <f>IFERROR(INDEX(Mots!$B:$B,MATCH($A362,Mots!$A:$A,0)),"introuvable")</f>
        <v>la ville</v>
      </c>
      <c r="C362" s="17" t="str">
        <f>IFERROR(INDEX(Mots!$N:$N,MATCH($A362,Mots!$A:$A,0)),"")</f>
        <v>lieu</v>
      </c>
      <c r="D362" s="17">
        <f>IFERROR(COUNTA(INDEX(Mots!$E:$E,MATCH($A362,Mots!$A:$A,0)):INDEX(Mots!$K:$K,MATCH($A362,Mots!$A:$A,0))),0)</f>
        <v>1</v>
      </c>
      <c r="E362" s="17" t="str">
        <f>IF(COUNTIF(Classement!$A:$A,$A362)&gt;0,"ok","à faire")</f>
        <v>ok</v>
      </c>
      <c r="F362" s="17" t="str">
        <f>IF(COUNTIF(Tags!$A:$A,$A362)&gt;0,"ok","à faire")</f>
        <v>ok</v>
      </c>
      <c r="G362" s="17" t="str">
        <f>IF(COUNTIF(Phrases!$A:$A,$A362)&gt;0,"ok","à faire")</f>
        <v>ok</v>
      </c>
      <c r="H362" s="17" t="str">
        <f>IF(COUNTIFS(Phrases!$A:$A,$A362,Phrases!$I:$I,"&lt;&gt;")&gt;0,"ok","à faire")</f>
        <v>à faire</v>
      </c>
      <c r="I362" s="17" t="str">
        <f>IF(COUNTIF(Synonymes!$A:$A,$A362)&gt;0,"ok","")</f>
        <v/>
      </c>
      <c r="J362" s="17">
        <f t="shared" si="5"/>
        <v>1</v>
      </c>
    </row>
    <row r="363" spans="1:10" x14ac:dyDescent="0.3">
      <c r="A363" s="17" t="s">
        <v>2080</v>
      </c>
      <c r="B363" s="17" t="str">
        <f>IFERROR(INDEX(Mots!$B:$B,MATCH($A363,Mots!$A:$A,0)),"introuvable")</f>
        <v>la rue</v>
      </c>
      <c r="C363" s="17" t="str">
        <f>IFERROR(INDEX(Mots!$N:$N,MATCH($A363,Mots!$A:$A,0)),"")</f>
        <v>lieu</v>
      </c>
      <c r="D363" s="17">
        <f>IFERROR(COUNTA(INDEX(Mots!$E:$E,MATCH($A363,Mots!$A:$A,0)):INDEX(Mots!$K:$K,MATCH($A363,Mots!$A:$A,0))),0)</f>
        <v>5</v>
      </c>
      <c r="E363" s="17" t="str">
        <f>IF(COUNTIF(Classement!$A:$A,$A363)&gt;0,"ok","à faire")</f>
        <v>ok</v>
      </c>
      <c r="F363" s="17" t="str">
        <f>IF(COUNTIF(Tags!$A:$A,$A363)&gt;0,"ok","à faire")</f>
        <v>ok</v>
      </c>
      <c r="G363" s="17" t="str">
        <f>IF(COUNTIF(Phrases!$A:$A,$A363)&gt;0,"ok","à faire")</f>
        <v>ok</v>
      </c>
      <c r="H363" s="17" t="str">
        <f>IF(COUNTIFS(Phrases!$A:$A,$A363,Phrases!$I:$I,"&lt;&gt;")&gt;0,"ok","à faire")</f>
        <v>à faire</v>
      </c>
      <c r="I363" s="17" t="str">
        <f>IF(COUNTIF(Synonymes!$A:$A,$A363)&gt;0,"ok","")</f>
        <v/>
      </c>
      <c r="J363" s="17">
        <f t="shared" si="5"/>
        <v>1</v>
      </c>
    </row>
    <row r="364" spans="1:10" x14ac:dyDescent="0.3">
      <c r="A364" s="17" t="s">
        <v>2089</v>
      </c>
      <c r="B364" s="17" t="str">
        <f>IFERROR(INDEX(Mots!$B:$B,MATCH($A364,Mots!$A:$A,0)),"introuvable")</f>
        <v>le pont</v>
      </c>
      <c r="C364" s="17" t="str">
        <f>IFERROR(INDEX(Mots!$N:$N,MATCH($A364,Mots!$A:$A,0)),"")</f>
        <v>lieu</v>
      </c>
      <c r="D364" s="17">
        <f>IFERROR(COUNTA(INDEX(Mots!$E:$E,MATCH($A364,Mots!$A:$A,0)):INDEX(Mots!$K:$K,MATCH($A364,Mots!$A:$A,0))),0)</f>
        <v>1</v>
      </c>
      <c r="E364" s="17" t="str">
        <f>IF(COUNTIF(Classement!$A:$A,$A364)&gt;0,"ok","à faire")</f>
        <v>ok</v>
      </c>
      <c r="F364" s="17" t="str">
        <f>IF(COUNTIF(Tags!$A:$A,$A364)&gt;0,"ok","à faire")</f>
        <v>ok</v>
      </c>
      <c r="G364" s="17" t="str">
        <f>IF(COUNTIF(Phrases!$A:$A,$A364)&gt;0,"ok","à faire")</f>
        <v>ok</v>
      </c>
      <c r="H364" s="17" t="str">
        <f>IF(COUNTIFS(Phrases!$A:$A,$A364,Phrases!$I:$I,"&lt;&gt;")&gt;0,"ok","à faire")</f>
        <v>à faire</v>
      </c>
      <c r="I364" s="17" t="str">
        <f>IF(COUNTIF(Synonymes!$A:$A,$A364)&gt;0,"ok","")</f>
        <v/>
      </c>
      <c r="J364" s="17">
        <f t="shared" si="5"/>
        <v>1</v>
      </c>
    </row>
    <row r="365" spans="1:10" x14ac:dyDescent="0.3">
      <c r="A365" s="17" t="s">
        <v>2094</v>
      </c>
      <c r="B365" s="17" t="str">
        <f>IFERROR(INDEX(Mots!$B:$B,MATCH($A365,Mots!$A:$A,0)),"introuvable")</f>
        <v>le tunnel</v>
      </c>
      <c r="C365" s="17" t="str">
        <f>IFERROR(INDEX(Mots!$N:$N,MATCH($A365,Mots!$A:$A,0)),"")</f>
        <v>lieu</v>
      </c>
      <c r="D365" s="17">
        <f>IFERROR(COUNTA(INDEX(Mots!$E:$E,MATCH($A365,Mots!$A:$A,0)):INDEX(Mots!$K:$K,MATCH($A365,Mots!$A:$A,0))),0)</f>
        <v>1</v>
      </c>
      <c r="E365" s="17" t="str">
        <f>IF(COUNTIF(Classement!$A:$A,$A365)&gt;0,"ok","à faire")</f>
        <v>ok</v>
      </c>
      <c r="F365" s="17" t="str">
        <f>IF(COUNTIF(Tags!$A:$A,$A365)&gt;0,"ok","à faire")</f>
        <v>ok</v>
      </c>
      <c r="G365" s="17" t="str">
        <f>IF(COUNTIF(Phrases!$A:$A,$A365)&gt;0,"ok","à faire")</f>
        <v>à faire</v>
      </c>
      <c r="H365" s="17" t="str">
        <f>IF(COUNTIFS(Phrases!$A:$A,$A365,Phrases!$I:$I,"&lt;&gt;")&gt;0,"ok","à faire")</f>
        <v>à faire</v>
      </c>
      <c r="I365" s="17" t="str">
        <f>IF(COUNTIF(Synonymes!$A:$A,$A365)&gt;0,"ok","")</f>
        <v/>
      </c>
      <c r="J365" s="17">
        <f t="shared" si="5"/>
        <v>2</v>
      </c>
    </row>
    <row r="366" spans="1:10" x14ac:dyDescent="0.3">
      <c r="A366" s="17" t="s">
        <v>2098</v>
      </c>
      <c r="B366" s="17" t="str">
        <f>IFERROR(INDEX(Mots!$B:$B,MATCH($A366,Mots!$A:$A,0)),"introuvable")</f>
        <v>le parc</v>
      </c>
      <c r="C366" s="17" t="str">
        <f>IFERROR(INDEX(Mots!$N:$N,MATCH($A366,Mots!$A:$A,0)),"")</f>
        <v>lieu</v>
      </c>
      <c r="D366" s="17">
        <f>IFERROR(COUNTA(INDEX(Mots!$E:$E,MATCH($A366,Mots!$A:$A,0)):INDEX(Mots!$K:$K,MATCH($A366,Mots!$A:$A,0))),0)</f>
        <v>5</v>
      </c>
      <c r="E366" s="17" t="str">
        <f>IF(COUNTIF(Classement!$A:$A,$A366)&gt;0,"ok","à faire")</f>
        <v>ok</v>
      </c>
      <c r="F366" s="17" t="str">
        <f>IF(COUNTIF(Tags!$A:$A,$A366)&gt;0,"ok","à faire")</f>
        <v>ok</v>
      </c>
      <c r="G366" s="17" t="str">
        <f>IF(COUNTIF(Phrases!$A:$A,$A366)&gt;0,"ok","à faire")</f>
        <v>ok</v>
      </c>
      <c r="H366" s="17" t="str">
        <f>IF(COUNTIFS(Phrases!$A:$A,$A366,Phrases!$I:$I,"&lt;&gt;")&gt;0,"ok","à faire")</f>
        <v>à faire</v>
      </c>
      <c r="I366" s="17" t="str">
        <f>IF(COUNTIF(Synonymes!$A:$A,$A366)&gt;0,"ok","")</f>
        <v/>
      </c>
      <c r="J366" s="17">
        <f t="shared" si="5"/>
        <v>1</v>
      </c>
    </row>
    <row r="367" spans="1:10" x14ac:dyDescent="0.3">
      <c r="A367" s="17" t="s">
        <v>2107</v>
      </c>
      <c r="B367" s="17" t="str">
        <f>IFERROR(INDEX(Mots!$B:$B,MATCH($A367,Mots!$A:$A,0)),"introuvable")</f>
        <v>le Bureau des Métiers</v>
      </c>
      <c r="C367" s="17" t="str">
        <f>IFERROR(INDEX(Mots!$N:$N,MATCH($A367,Mots!$A:$A,0)),"")</f>
        <v>lieu</v>
      </c>
      <c r="D367" s="17">
        <f>IFERROR(COUNTA(INDEX(Mots!$E:$E,MATCH($A367,Mots!$A:$A,0)):INDEX(Mots!$K:$K,MATCH($A367,Mots!$A:$A,0))),0)</f>
        <v>1</v>
      </c>
      <c r="E367" s="17" t="str">
        <f>IF(COUNTIF(Classement!$A:$A,$A367)&gt;0,"ok","à faire")</f>
        <v>ok</v>
      </c>
      <c r="F367" s="17" t="str">
        <f>IF(COUNTIF(Tags!$A:$A,$A367)&gt;0,"ok","à faire")</f>
        <v>ok</v>
      </c>
      <c r="G367" s="17" t="str">
        <f>IF(COUNTIF(Phrases!$A:$A,$A367)&gt;0,"ok","à faire")</f>
        <v>à faire</v>
      </c>
      <c r="H367" s="17" t="str">
        <f>IF(COUNTIFS(Phrases!$A:$A,$A367,Phrases!$I:$I,"&lt;&gt;")&gt;0,"ok","à faire")</f>
        <v>à faire</v>
      </c>
      <c r="I367" s="17" t="str">
        <f>IF(COUNTIF(Synonymes!$A:$A,$A367)&gt;0,"ok","")</f>
        <v/>
      </c>
      <c r="J367" s="17">
        <f t="shared" si="5"/>
        <v>2</v>
      </c>
    </row>
    <row r="368" spans="1:10" x14ac:dyDescent="0.3">
      <c r="A368" s="17" t="s">
        <v>2111</v>
      </c>
      <c r="B368" s="17" t="str">
        <f>IFERROR(INDEX(Mots!$B:$B,MATCH($A368,Mots!$A:$A,0)),"introuvable")</f>
        <v>Hôtel de police à Genève</v>
      </c>
      <c r="C368" s="17" t="str">
        <f>IFERROR(INDEX(Mots!$N:$N,MATCH($A368,Mots!$A:$A,0)),"")</f>
        <v>lieu</v>
      </c>
      <c r="D368" s="17">
        <f>IFERROR(COUNTA(INDEX(Mots!$E:$E,MATCH($A368,Mots!$A:$A,0)):INDEX(Mots!$K:$K,MATCH($A368,Mots!$A:$A,0))),0)</f>
        <v>1</v>
      </c>
      <c r="E368" s="17" t="str">
        <f>IF(COUNTIF(Classement!$A:$A,$A368)&gt;0,"ok","à faire")</f>
        <v>ok</v>
      </c>
      <c r="F368" s="17" t="str">
        <f>IF(COUNTIF(Tags!$A:$A,$A368)&gt;0,"ok","à faire")</f>
        <v>ok</v>
      </c>
      <c r="G368" s="17" t="str">
        <f>IF(COUNTIF(Phrases!$A:$A,$A368)&gt;0,"ok","à faire")</f>
        <v>à faire</v>
      </c>
      <c r="H368" s="17" t="str">
        <f>IF(COUNTIFS(Phrases!$A:$A,$A368,Phrases!$I:$I,"&lt;&gt;")&gt;0,"ok","à faire")</f>
        <v>à faire</v>
      </c>
      <c r="I368" s="17" t="str">
        <f>IF(COUNTIF(Synonymes!$A:$A,$A368)&gt;0,"ok","")</f>
        <v/>
      </c>
      <c r="J368" s="17">
        <f t="shared" si="5"/>
        <v>2</v>
      </c>
    </row>
    <row r="369" spans="1:10" x14ac:dyDescent="0.3">
      <c r="A369" s="17" t="s">
        <v>2115</v>
      </c>
      <c r="B369" s="17" t="str">
        <f>IFERROR(INDEX(Mots!$B:$B,MATCH($A369,Mots!$A:$A,0)),"introuvable")</f>
        <v>le CHUV - Hôpital Universitaire Vaudois</v>
      </c>
      <c r="C369" s="17" t="str">
        <f>IFERROR(INDEX(Mots!$N:$N,MATCH($A369,Mots!$A:$A,0)),"")</f>
        <v>lieu</v>
      </c>
      <c r="D369" s="17">
        <f>IFERROR(COUNTA(INDEX(Mots!$E:$E,MATCH($A369,Mots!$A:$A,0)):INDEX(Mots!$K:$K,MATCH($A369,Mots!$A:$A,0))),0)</f>
        <v>1</v>
      </c>
      <c r="E369" s="17" t="str">
        <f>IF(COUNTIF(Classement!$A:$A,$A369)&gt;0,"ok","à faire")</f>
        <v>ok</v>
      </c>
      <c r="F369" s="17" t="str">
        <f>IF(COUNTIF(Tags!$A:$A,$A369)&gt;0,"ok","à faire")</f>
        <v>ok</v>
      </c>
      <c r="G369" s="17" t="str">
        <f>IF(COUNTIF(Phrases!$A:$A,$A369)&gt;0,"ok","à faire")</f>
        <v>à faire</v>
      </c>
      <c r="H369" s="17" t="str">
        <f>IF(COUNTIFS(Phrases!$A:$A,$A369,Phrases!$I:$I,"&lt;&gt;")&gt;0,"ok","à faire")</f>
        <v>à faire</v>
      </c>
      <c r="I369" s="17" t="str">
        <f>IF(COUNTIF(Synonymes!$A:$A,$A369)&gt;0,"ok","")</f>
        <v/>
      </c>
      <c r="J369" s="17">
        <f t="shared" si="5"/>
        <v>2</v>
      </c>
    </row>
    <row r="370" spans="1:10" x14ac:dyDescent="0.3">
      <c r="A370" s="17" t="s">
        <v>2119</v>
      </c>
      <c r="B370" s="17" t="str">
        <f>IFERROR(INDEX(Mots!$B:$B,MATCH($A370,Mots!$A:$A,0)),"introuvable")</f>
        <v>le doigt</v>
      </c>
      <c r="C370" s="17" t="str">
        <f>IFERROR(INDEX(Mots!$N:$N,MATCH($A370,Mots!$A:$A,0)),"")</f>
        <v>chose</v>
      </c>
      <c r="D370" s="17">
        <f>IFERROR(COUNTA(INDEX(Mots!$E:$E,MATCH($A370,Mots!$A:$A,0)):INDEX(Mots!$K:$K,MATCH($A370,Mots!$A:$A,0))),0)</f>
        <v>1</v>
      </c>
      <c r="E370" s="17" t="str">
        <f>IF(COUNTIF(Classement!$A:$A,$A370)&gt;0,"ok","à faire")</f>
        <v>ok</v>
      </c>
      <c r="F370" s="17" t="str">
        <f>IF(COUNTIF(Tags!$A:$A,$A370)&gt;0,"ok","à faire")</f>
        <v>ok</v>
      </c>
      <c r="G370" s="17" t="str">
        <f>IF(COUNTIF(Phrases!$A:$A,$A370)&gt;0,"ok","à faire")</f>
        <v>ok</v>
      </c>
      <c r="H370" s="17" t="str">
        <f>IF(COUNTIFS(Phrases!$A:$A,$A370,Phrases!$I:$I,"&lt;&gt;")&gt;0,"ok","à faire")</f>
        <v>à faire</v>
      </c>
      <c r="I370" s="17" t="str">
        <f>IF(COUNTIF(Synonymes!$A:$A,$A370)&gt;0,"ok","")</f>
        <v/>
      </c>
      <c r="J370" s="17">
        <f t="shared" si="5"/>
        <v>1</v>
      </c>
    </row>
    <row r="371" spans="1:10" x14ac:dyDescent="0.3">
      <c r="A371" s="17" t="s">
        <v>2123</v>
      </c>
      <c r="B371" s="17" t="str">
        <f>IFERROR(INDEX(Mots!$B:$B,MATCH($A371,Mots!$A:$A,0)),"introuvable")</f>
        <v>la main</v>
      </c>
      <c r="C371" s="17" t="str">
        <f>IFERROR(INDEX(Mots!$N:$N,MATCH($A371,Mots!$A:$A,0)),"")</f>
        <v>chose</v>
      </c>
      <c r="D371" s="17">
        <f>IFERROR(COUNTA(INDEX(Mots!$E:$E,MATCH($A371,Mots!$A:$A,0)):INDEX(Mots!$K:$K,MATCH($A371,Mots!$A:$A,0))),0)</f>
        <v>1</v>
      </c>
      <c r="E371" s="17" t="str">
        <f>IF(COUNTIF(Classement!$A:$A,$A371)&gt;0,"ok","à faire")</f>
        <v>ok</v>
      </c>
      <c r="F371" s="17" t="str">
        <f>IF(COUNTIF(Tags!$A:$A,$A371)&gt;0,"ok","à faire")</f>
        <v>ok</v>
      </c>
      <c r="G371" s="17" t="str">
        <f>IF(COUNTIF(Phrases!$A:$A,$A371)&gt;0,"ok","à faire")</f>
        <v>ok</v>
      </c>
      <c r="H371" s="17" t="str">
        <f>IF(COUNTIFS(Phrases!$A:$A,$A371,Phrases!$I:$I,"&lt;&gt;")&gt;0,"ok","à faire")</f>
        <v>à faire</v>
      </c>
      <c r="I371" s="17" t="str">
        <f>IF(COUNTIF(Synonymes!$A:$A,$A371)&gt;0,"ok","")</f>
        <v/>
      </c>
      <c r="J371" s="17">
        <f t="shared" si="5"/>
        <v>1</v>
      </c>
    </row>
    <row r="372" spans="1:10" x14ac:dyDescent="0.3">
      <c r="A372" s="17" t="s">
        <v>2128</v>
      </c>
      <c r="B372" s="17" t="str">
        <f>IFERROR(INDEX(Mots!$B:$B,MATCH($A372,Mots!$A:$A,0)),"introuvable")</f>
        <v>le bras</v>
      </c>
      <c r="C372" s="17" t="str">
        <f>IFERROR(INDEX(Mots!$N:$N,MATCH($A372,Mots!$A:$A,0)),"")</f>
        <v>chose</v>
      </c>
      <c r="D372" s="17">
        <f>IFERROR(COUNTA(INDEX(Mots!$E:$E,MATCH($A372,Mots!$A:$A,0)):INDEX(Mots!$K:$K,MATCH($A372,Mots!$A:$A,0))),0)</f>
        <v>1</v>
      </c>
      <c r="E372" s="17" t="str">
        <f>IF(COUNTIF(Classement!$A:$A,$A372)&gt;0,"ok","à faire")</f>
        <v>ok</v>
      </c>
      <c r="F372" s="17" t="str">
        <f>IF(COUNTIF(Tags!$A:$A,$A372)&gt;0,"ok","à faire")</f>
        <v>ok</v>
      </c>
      <c r="G372" s="17" t="str">
        <f>IF(COUNTIF(Phrases!$A:$A,$A372)&gt;0,"ok","à faire")</f>
        <v>ok</v>
      </c>
      <c r="H372" s="17" t="str">
        <f>IF(COUNTIFS(Phrases!$A:$A,$A372,Phrases!$I:$I,"&lt;&gt;")&gt;0,"ok","à faire")</f>
        <v>à faire</v>
      </c>
      <c r="I372" s="17" t="str">
        <f>IF(COUNTIF(Synonymes!$A:$A,$A372)&gt;0,"ok","")</f>
        <v/>
      </c>
      <c r="J372" s="17">
        <f t="shared" si="5"/>
        <v>1</v>
      </c>
    </row>
    <row r="373" spans="1:10" x14ac:dyDescent="0.3">
      <c r="A373" s="17" t="s">
        <v>2133</v>
      </c>
      <c r="B373" s="17" t="str">
        <f>IFERROR(INDEX(Mots!$B:$B,MATCH($A373,Mots!$A:$A,0)),"introuvable")</f>
        <v>la jambe</v>
      </c>
      <c r="C373" s="17" t="str">
        <f>IFERROR(INDEX(Mots!$N:$N,MATCH($A373,Mots!$A:$A,0)),"")</f>
        <v>chose</v>
      </c>
      <c r="D373" s="17">
        <f>IFERROR(COUNTA(INDEX(Mots!$E:$E,MATCH($A373,Mots!$A:$A,0)):INDEX(Mots!$K:$K,MATCH($A373,Mots!$A:$A,0))),0)</f>
        <v>1</v>
      </c>
      <c r="E373" s="17" t="str">
        <f>IF(COUNTIF(Classement!$A:$A,$A373)&gt;0,"ok","à faire")</f>
        <v>ok</v>
      </c>
      <c r="F373" s="17" t="str">
        <f>IF(COUNTIF(Tags!$A:$A,$A373)&gt;0,"ok","à faire")</f>
        <v>ok</v>
      </c>
      <c r="G373" s="17" t="str">
        <f>IF(COUNTIF(Phrases!$A:$A,$A373)&gt;0,"ok","à faire")</f>
        <v>ok</v>
      </c>
      <c r="H373" s="17" t="str">
        <f>IF(COUNTIFS(Phrases!$A:$A,$A373,Phrases!$I:$I,"&lt;&gt;")&gt;0,"ok","à faire")</f>
        <v>à faire</v>
      </c>
      <c r="I373" s="17" t="str">
        <f>IF(COUNTIF(Synonymes!$A:$A,$A373)&gt;0,"ok","")</f>
        <v/>
      </c>
      <c r="J373" s="17">
        <f t="shared" si="5"/>
        <v>1</v>
      </c>
    </row>
    <row r="374" spans="1:10" x14ac:dyDescent="0.3">
      <c r="A374" s="17" t="s">
        <v>2138</v>
      </c>
      <c r="B374" s="17" t="str">
        <f>IFERROR(INDEX(Mots!$B:$B,MATCH($A374,Mots!$A:$A,0)),"introuvable")</f>
        <v>la cuisse</v>
      </c>
      <c r="C374" s="17" t="str">
        <f>IFERROR(INDEX(Mots!$N:$N,MATCH($A374,Mots!$A:$A,0)),"")</f>
        <v>chose</v>
      </c>
      <c r="D374" s="17">
        <f>IFERROR(COUNTA(INDEX(Mots!$E:$E,MATCH($A374,Mots!$A:$A,0)):INDEX(Mots!$K:$K,MATCH($A374,Mots!$A:$A,0))),0)</f>
        <v>1</v>
      </c>
      <c r="E374" s="17" t="str">
        <f>IF(COUNTIF(Classement!$A:$A,$A374)&gt;0,"ok","à faire")</f>
        <v>ok</v>
      </c>
      <c r="F374" s="17" t="str">
        <f>IF(COUNTIF(Tags!$A:$A,$A374)&gt;0,"ok","à faire")</f>
        <v>ok</v>
      </c>
      <c r="G374" s="17" t="str">
        <f>IF(COUNTIF(Phrases!$A:$A,$A374)&gt;0,"ok","à faire")</f>
        <v>ok</v>
      </c>
      <c r="H374" s="17" t="str">
        <f>IF(COUNTIFS(Phrases!$A:$A,$A374,Phrases!$I:$I,"&lt;&gt;")&gt;0,"ok","à faire")</f>
        <v>à faire</v>
      </c>
      <c r="I374" s="17" t="str">
        <f>IF(COUNTIF(Synonymes!$A:$A,$A374)&gt;0,"ok","")</f>
        <v/>
      </c>
      <c r="J374" s="17">
        <f t="shared" si="5"/>
        <v>1</v>
      </c>
    </row>
    <row r="375" spans="1:10" x14ac:dyDescent="0.3">
      <c r="A375" s="17" t="s">
        <v>2143</v>
      </c>
      <c r="B375" s="17" t="str">
        <f>IFERROR(INDEX(Mots!$B:$B,MATCH($A375,Mots!$A:$A,0)),"introuvable")</f>
        <v>le pied</v>
      </c>
      <c r="C375" s="17" t="str">
        <f>IFERROR(INDEX(Mots!$N:$N,MATCH($A375,Mots!$A:$A,0)),"")</f>
        <v>chose</v>
      </c>
      <c r="D375" s="17">
        <f>IFERROR(COUNTA(INDEX(Mots!$E:$E,MATCH($A375,Mots!$A:$A,0)):INDEX(Mots!$K:$K,MATCH($A375,Mots!$A:$A,0))),0)</f>
        <v>5</v>
      </c>
      <c r="E375" s="17" t="str">
        <f>IF(COUNTIF(Classement!$A:$A,$A375)&gt;0,"ok","à faire")</f>
        <v>ok</v>
      </c>
      <c r="F375" s="17" t="str">
        <f>IF(COUNTIF(Tags!$A:$A,$A375)&gt;0,"ok","à faire")</f>
        <v>ok</v>
      </c>
      <c r="G375" s="17" t="str">
        <f>IF(COUNTIF(Phrases!$A:$A,$A375)&gt;0,"ok","à faire")</f>
        <v>ok</v>
      </c>
      <c r="H375" s="17" t="str">
        <f>IF(COUNTIFS(Phrases!$A:$A,$A375,Phrases!$I:$I,"&lt;&gt;")&gt;0,"ok","à faire")</f>
        <v>à faire</v>
      </c>
      <c r="I375" s="17" t="str">
        <f>IF(COUNTIF(Synonymes!$A:$A,$A375)&gt;0,"ok","")</f>
        <v/>
      </c>
      <c r="J375" s="17">
        <f t="shared" si="5"/>
        <v>1</v>
      </c>
    </row>
    <row r="376" spans="1:10" x14ac:dyDescent="0.3">
      <c r="A376" s="17" t="s">
        <v>2152</v>
      </c>
      <c r="B376" s="17" t="str">
        <f>IFERROR(INDEX(Mots!$B:$B,MATCH($A376,Mots!$A:$A,0)),"introuvable")</f>
        <v>le coude</v>
      </c>
      <c r="C376" s="17" t="str">
        <f>IFERROR(INDEX(Mots!$N:$N,MATCH($A376,Mots!$A:$A,0)),"")</f>
        <v>chose</v>
      </c>
      <c r="D376" s="17">
        <f>IFERROR(COUNTA(INDEX(Mots!$E:$E,MATCH($A376,Mots!$A:$A,0)):INDEX(Mots!$K:$K,MATCH($A376,Mots!$A:$A,0))),0)</f>
        <v>1</v>
      </c>
      <c r="E376" s="17" t="str">
        <f>IF(COUNTIF(Classement!$A:$A,$A376)&gt;0,"ok","à faire")</f>
        <v>ok</v>
      </c>
      <c r="F376" s="17" t="str">
        <f>IF(COUNTIF(Tags!$A:$A,$A376)&gt;0,"ok","à faire")</f>
        <v>ok</v>
      </c>
      <c r="G376" s="17" t="str">
        <f>IF(COUNTIF(Phrases!$A:$A,$A376)&gt;0,"ok","à faire")</f>
        <v>ok</v>
      </c>
      <c r="H376" s="17" t="str">
        <f>IF(COUNTIFS(Phrases!$A:$A,$A376,Phrases!$I:$I,"&lt;&gt;")&gt;0,"ok","à faire")</f>
        <v>ok</v>
      </c>
      <c r="I376" s="17" t="str">
        <f>IF(COUNTIF(Synonymes!$A:$A,$A376)&gt;0,"ok","")</f>
        <v/>
      </c>
      <c r="J376" s="17">
        <f t="shared" si="5"/>
        <v>0</v>
      </c>
    </row>
    <row r="377" spans="1:10" x14ac:dyDescent="0.3">
      <c r="A377" s="17" t="s">
        <v>2156</v>
      </c>
      <c r="B377" s="17" t="str">
        <f>IFERROR(INDEX(Mots!$B:$B,MATCH($A377,Mots!$A:$A,0)),"introuvable")</f>
        <v>le genou</v>
      </c>
      <c r="C377" s="17" t="str">
        <f>IFERROR(INDEX(Mots!$N:$N,MATCH($A377,Mots!$A:$A,0)),"")</f>
        <v>chose</v>
      </c>
      <c r="D377" s="17">
        <f>IFERROR(COUNTA(INDEX(Mots!$E:$E,MATCH($A377,Mots!$A:$A,0)):INDEX(Mots!$K:$K,MATCH($A377,Mots!$A:$A,0))),0)</f>
        <v>1</v>
      </c>
      <c r="E377" s="17" t="str">
        <f>IF(COUNTIF(Classement!$A:$A,$A377)&gt;0,"ok","à faire")</f>
        <v>ok</v>
      </c>
      <c r="F377" s="17" t="str">
        <f>IF(COUNTIF(Tags!$A:$A,$A377)&gt;0,"ok","à faire")</f>
        <v>ok</v>
      </c>
      <c r="G377" s="17" t="str">
        <f>IF(COUNTIF(Phrases!$A:$A,$A377)&gt;0,"ok","à faire")</f>
        <v>ok</v>
      </c>
      <c r="H377" s="17" t="str">
        <f>IF(COUNTIFS(Phrases!$A:$A,$A377,Phrases!$I:$I,"&lt;&gt;")&gt;0,"ok","à faire")</f>
        <v>ok</v>
      </c>
      <c r="I377" s="17" t="str">
        <f>IF(COUNTIF(Synonymes!$A:$A,$A377)&gt;0,"ok","")</f>
        <v/>
      </c>
      <c r="J377" s="17">
        <f t="shared" si="5"/>
        <v>0</v>
      </c>
    </row>
    <row r="378" spans="1:10" x14ac:dyDescent="0.3">
      <c r="A378" s="17" t="s">
        <v>2160</v>
      </c>
      <c r="B378" s="17" t="str">
        <f>IFERROR(INDEX(Mots!$B:$B,MATCH($A378,Mots!$A:$A,0)),"introuvable")</f>
        <v>le médecin</v>
      </c>
      <c r="C378" s="17" t="str">
        <f>IFERROR(INDEX(Mots!$N:$N,MATCH($A378,Mots!$A:$A,0)),"")</f>
        <v>personne</v>
      </c>
      <c r="D378" s="17">
        <f>IFERROR(COUNTA(INDEX(Mots!$E:$E,MATCH($A378,Mots!$A:$A,0)):INDEX(Mots!$K:$K,MATCH($A378,Mots!$A:$A,0))),0)</f>
        <v>5</v>
      </c>
      <c r="E378" s="17" t="str">
        <f>IF(COUNTIF(Classement!$A:$A,$A378)&gt;0,"ok","à faire")</f>
        <v>ok</v>
      </c>
      <c r="F378" s="17" t="str">
        <f>IF(COUNTIF(Tags!$A:$A,$A378)&gt;0,"ok","à faire")</f>
        <v>ok</v>
      </c>
      <c r="G378" s="17" t="str">
        <f>IF(COUNTIF(Phrases!$A:$A,$A378)&gt;0,"ok","à faire")</f>
        <v>ok</v>
      </c>
      <c r="H378" s="17" t="str">
        <f>IF(COUNTIFS(Phrases!$A:$A,$A378,Phrases!$I:$I,"&lt;&gt;")&gt;0,"ok","à faire")</f>
        <v>à faire</v>
      </c>
      <c r="I378" s="17" t="str">
        <f>IF(COUNTIF(Synonymes!$A:$A,$A378)&gt;0,"ok","")</f>
        <v>ok</v>
      </c>
      <c r="J378" s="17">
        <f t="shared" si="5"/>
        <v>1</v>
      </c>
    </row>
    <row r="379" spans="1:10" x14ac:dyDescent="0.3">
      <c r="A379" s="17" t="s">
        <v>2169</v>
      </c>
      <c r="B379" s="17" t="str">
        <f>IFERROR(INDEX(Mots!$B:$B,MATCH($A379,Mots!$A:$A,0)),"introuvable")</f>
        <v>la doctoresse</v>
      </c>
      <c r="C379" s="17" t="str">
        <f>IFERROR(INDEX(Mots!$N:$N,MATCH($A379,Mots!$A:$A,0)),"")</f>
        <v>personne</v>
      </c>
      <c r="D379" s="17">
        <f>IFERROR(COUNTA(INDEX(Mots!$E:$E,MATCH($A379,Mots!$A:$A,0)):INDEX(Mots!$K:$K,MATCH($A379,Mots!$A:$A,0))),0)</f>
        <v>1</v>
      </c>
      <c r="E379" s="17" t="str">
        <f>IF(COUNTIF(Classement!$A:$A,$A379)&gt;0,"ok","à faire")</f>
        <v>ok</v>
      </c>
      <c r="F379" s="17" t="str">
        <f>IF(COUNTIF(Tags!$A:$A,$A379)&gt;0,"ok","à faire")</f>
        <v>ok</v>
      </c>
      <c r="G379" s="17" t="str">
        <f>IF(COUNTIF(Phrases!$A:$A,$A379)&gt;0,"ok","à faire")</f>
        <v>à faire</v>
      </c>
      <c r="H379" s="17" t="str">
        <f>IF(COUNTIFS(Phrases!$A:$A,$A379,Phrases!$I:$I,"&lt;&gt;")&gt;0,"ok","à faire")</f>
        <v>à faire</v>
      </c>
      <c r="I379" s="17" t="str">
        <f>IF(COUNTIF(Synonymes!$A:$A,$A379)&gt;0,"ok","")</f>
        <v/>
      </c>
      <c r="J379" s="17">
        <f t="shared" si="5"/>
        <v>2</v>
      </c>
    </row>
    <row r="380" spans="1:10" x14ac:dyDescent="0.3">
      <c r="A380" s="17" t="s">
        <v>2173</v>
      </c>
      <c r="B380" s="17" t="str">
        <f>IFERROR(INDEX(Mots!$B:$B,MATCH($A380,Mots!$A:$A,0)),"introuvable")</f>
        <v>le policier</v>
      </c>
      <c r="C380" s="17" t="str">
        <f>IFERROR(INDEX(Mots!$N:$N,MATCH($A380,Mots!$A:$A,0)),"")</f>
        <v>personne</v>
      </c>
      <c r="D380" s="17">
        <f>IFERROR(COUNTA(INDEX(Mots!$E:$E,MATCH($A380,Mots!$A:$A,0)):INDEX(Mots!$K:$K,MATCH($A380,Mots!$A:$A,0))),0)</f>
        <v>1</v>
      </c>
      <c r="E380" s="17" t="str">
        <f>IF(COUNTIF(Classement!$A:$A,$A380)&gt;0,"ok","à faire")</f>
        <v>ok</v>
      </c>
      <c r="F380" s="17" t="str">
        <f>IF(COUNTIF(Tags!$A:$A,$A380)&gt;0,"ok","à faire")</f>
        <v>ok</v>
      </c>
      <c r="G380" s="17" t="str">
        <f>IF(COUNTIF(Phrases!$A:$A,$A380)&gt;0,"ok","à faire")</f>
        <v>ok</v>
      </c>
      <c r="H380" s="17" t="str">
        <f>IF(COUNTIFS(Phrases!$A:$A,$A380,Phrases!$I:$I,"&lt;&gt;")&gt;0,"ok","à faire")</f>
        <v>à faire</v>
      </c>
      <c r="I380" s="17" t="str">
        <f>IF(COUNTIF(Synonymes!$A:$A,$A380)&gt;0,"ok","")</f>
        <v/>
      </c>
      <c r="J380" s="17">
        <f t="shared" si="5"/>
        <v>1</v>
      </c>
    </row>
    <row r="381" spans="1:10" x14ac:dyDescent="0.3">
      <c r="A381" s="17" t="s">
        <v>2178</v>
      </c>
      <c r="B381" s="17" t="str">
        <f>IFERROR(INDEX(Mots!$B:$B,MATCH($A381,Mots!$A:$A,0)),"introuvable")</f>
        <v>le charpentier</v>
      </c>
      <c r="C381" s="17" t="str">
        <f>IFERROR(INDEX(Mots!$N:$N,MATCH($A381,Mots!$A:$A,0)),"")</f>
        <v>personne</v>
      </c>
      <c r="D381" s="17">
        <f>IFERROR(COUNTA(INDEX(Mots!$E:$E,MATCH($A381,Mots!$A:$A,0)):INDEX(Mots!$K:$K,MATCH($A381,Mots!$A:$A,0))),0)</f>
        <v>1</v>
      </c>
      <c r="E381" s="17" t="str">
        <f>IF(COUNTIF(Classement!$A:$A,$A381)&gt;0,"ok","à faire")</f>
        <v>ok</v>
      </c>
      <c r="F381" s="17" t="str">
        <f>IF(COUNTIF(Tags!$A:$A,$A381)&gt;0,"ok","à faire")</f>
        <v>ok</v>
      </c>
      <c r="G381" s="17" t="str">
        <f>IF(COUNTIF(Phrases!$A:$A,$A381)&gt;0,"ok","à faire")</f>
        <v>à faire</v>
      </c>
      <c r="H381" s="17" t="str">
        <f>IF(COUNTIFS(Phrases!$A:$A,$A381,Phrases!$I:$I,"&lt;&gt;")&gt;0,"ok","à faire")</f>
        <v>à faire</v>
      </c>
      <c r="I381" s="17" t="str">
        <f>IF(COUNTIF(Synonymes!$A:$A,$A381)&gt;0,"ok","")</f>
        <v/>
      </c>
      <c r="J381" s="17">
        <f t="shared" si="5"/>
        <v>2</v>
      </c>
    </row>
    <row r="382" spans="1:10" x14ac:dyDescent="0.3">
      <c r="A382" s="17" t="s">
        <v>2182</v>
      </c>
      <c r="B382" s="17" t="str">
        <f>IFERROR(INDEX(Mots!$B:$B,MATCH($A382,Mots!$A:$A,0)),"introuvable")</f>
        <v>le maçon</v>
      </c>
      <c r="C382" s="17" t="str">
        <f>IFERROR(INDEX(Mots!$N:$N,MATCH($A382,Mots!$A:$A,0)),"")</f>
        <v>personne</v>
      </c>
      <c r="D382" s="17">
        <f>IFERROR(COUNTA(INDEX(Mots!$E:$E,MATCH($A382,Mots!$A:$A,0)):INDEX(Mots!$K:$K,MATCH($A382,Mots!$A:$A,0))),0)</f>
        <v>1</v>
      </c>
      <c r="E382" s="17" t="str">
        <f>IF(COUNTIF(Classement!$A:$A,$A382)&gt;0,"ok","à faire")</f>
        <v>ok</v>
      </c>
      <c r="F382" s="17" t="str">
        <f>IF(COUNTIF(Tags!$A:$A,$A382)&gt;0,"ok","à faire")</f>
        <v>ok</v>
      </c>
      <c r="G382" s="17" t="str">
        <f>IF(COUNTIF(Phrases!$A:$A,$A382)&gt;0,"ok","à faire")</f>
        <v>à faire</v>
      </c>
      <c r="H382" s="17" t="str">
        <f>IF(COUNTIFS(Phrases!$A:$A,$A382,Phrases!$I:$I,"&lt;&gt;")&gt;0,"ok","à faire")</f>
        <v>à faire</v>
      </c>
      <c r="I382" s="17" t="str">
        <f>IF(COUNTIF(Synonymes!$A:$A,$A382)&gt;0,"ok","")</f>
        <v/>
      </c>
      <c r="J382" s="17">
        <f t="shared" si="5"/>
        <v>2</v>
      </c>
    </row>
    <row r="383" spans="1:10" x14ac:dyDescent="0.3">
      <c r="A383" s="17" t="s">
        <v>2186</v>
      </c>
      <c r="B383" s="17" t="str">
        <f>IFERROR(INDEX(Mots!$B:$B,MATCH($A383,Mots!$A:$A,0)),"introuvable")</f>
        <v>l'installateur sanitaire</v>
      </c>
      <c r="C383" s="17" t="str">
        <f>IFERROR(INDEX(Mots!$N:$N,MATCH($A383,Mots!$A:$A,0)),"")</f>
        <v>personne</v>
      </c>
      <c r="D383" s="17">
        <f>IFERROR(COUNTA(INDEX(Mots!$E:$E,MATCH($A383,Mots!$A:$A,0)):INDEX(Mots!$K:$K,MATCH($A383,Mots!$A:$A,0))),0)</f>
        <v>1</v>
      </c>
      <c r="E383" s="17" t="str">
        <f>IF(COUNTIF(Classement!$A:$A,$A383)&gt;0,"ok","à faire")</f>
        <v>ok</v>
      </c>
      <c r="F383" s="17" t="str">
        <f>IF(COUNTIF(Tags!$A:$A,$A383)&gt;0,"ok","à faire")</f>
        <v>ok</v>
      </c>
      <c r="G383" s="17" t="str">
        <f>IF(COUNTIF(Phrases!$A:$A,$A383)&gt;0,"ok","à faire")</f>
        <v>à faire</v>
      </c>
      <c r="H383" s="17" t="str">
        <f>IF(COUNTIFS(Phrases!$A:$A,$A383,Phrases!$I:$I,"&lt;&gt;")&gt;0,"ok","à faire")</f>
        <v>à faire</v>
      </c>
      <c r="I383" s="17" t="str">
        <f>IF(COUNTIF(Synonymes!$A:$A,$A383)&gt;0,"ok","")</f>
        <v/>
      </c>
      <c r="J383" s="17">
        <f t="shared" si="5"/>
        <v>2</v>
      </c>
    </row>
    <row r="384" spans="1:10" x14ac:dyDescent="0.3">
      <c r="A384" s="17" t="s">
        <v>2190</v>
      </c>
      <c r="B384" s="17" t="str">
        <f>IFERROR(INDEX(Mots!$B:$B,MATCH($A384,Mots!$A:$A,0)),"introuvable")</f>
        <v>le ferblantier</v>
      </c>
      <c r="C384" s="17" t="str">
        <f>IFERROR(INDEX(Mots!$N:$N,MATCH($A384,Mots!$A:$A,0)),"")</f>
        <v>personne</v>
      </c>
      <c r="D384" s="17">
        <f>IFERROR(COUNTA(INDEX(Mots!$E:$E,MATCH($A384,Mots!$A:$A,0)):INDEX(Mots!$K:$K,MATCH($A384,Mots!$A:$A,0))),0)</f>
        <v>1</v>
      </c>
      <c r="E384" s="17" t="str">
        <f>IF(COUNTIF(Classement!$A:$A,$A384)&gt;0,"ok","à faire")</f>
        <v>ok</v>
      </c>
      <c r="F384" s="17" t="str">
        <f>IF(COUNTIF(Tags!$A:$A,$A384)&gt;0,"ok","à faire")</f>
        <v>ok</v>
      </c>
      <c r="G384" s="17" t="str">
        <f>IF(COUNTIF(Phrases!$A:$A,$A384)&gt;0,"ok","à faire")</f>
        <v>à faire</v>
      </c>
      <c r="H384" s="17" t="str">
        <f>IF(COUNTIFS(Phrases!$A:$A,$A384,Phrases!$I:$I,"&lt;&gt;")&gt;0,"ok","à faire")</f>
        <v>à faire</v>
      </c>
      <c r="I384" s="17" t="str">
        <f>IF(COUNTIF(Synonymes!$A:$A,$A384)&gt;0,"ok","")</f>
        <v/>
      </c>
      <c r="J384" s="17">
        <f t="shared" si="5"/>
        <v>2</v>
      </c>
    </row>
    <row r="385" spans="1:10" x14ac:dyDescent="0.3">
      <c r="A385" s="17" t="s">
        <v>2194</v>
      </c>
      <c r="B385" s="17" t="str">
        <f>IFERROR(INDEX(Mots!$B:$B,MATCH($A385,Mots!$A:$A,0)),"introuvable")</f>
        <v>le menuisier</v>
      </c>
      <c r="C385" s="17" t="str">
        <f>IFERROR(INDEX(Mots!$N:$N,MATCH($A385,Mots!$A:$A,0)),"")</f>
        <v>personne</v>
      </c>
      <c r="D385" s="17">
        <f>IFERROR(COUNTA(INDEX(Mots!$E:$E,MATCH($A385,Mots!$A:$A,0)):INDEX(Mots!$K:$K,MATCH($A385,Mots!$A:$A,0))),0)</f>
        <v>1</v>
      </c>
      <c r="E385" s="17" t="str">
        <f>IF(COUNTIF(Classement!$A:$A,$A385)&gt;0,"ok","à faire")</f>
        <v>ok</v>
      </c>
      <c r="F385" s="17" t="str">
        <f>IF(COUNTIF(Tags!$A:$A,$A385)&gt;0,"ok","à faire")</f>
        <v>ok</v>
      </c>
      <c r="G385" s="17" t="str">
        <f>IF(COUNTIF(Phrases!$A:$A,$A385)&gt;0,"ok","à faire")</f>
        <v>à faire</v>
      </c>
      <c r="H385" s="17" t="str">
        <f>IF(COUNTIFS(Phrases!$A:$A,$A385,Phrases!$I:$I,"&lt;&gt;")&gt;0,"ok","à faire")</f>
        <v>à faire</v>
      </c>
      <c r="I385" s="17" t="str">
        <f>IF(COUNTIF(Synonymes!$A:$A,$A385)&gt;0,"ok","")</f>
        <v/>
      </c>
      <c r="J385" s="17">
        <f t="shared" si="5"/>
        <v>2</v>
      </c>
    </row>
    <row r="386" spans="1:10" x14ac:dyDescent="0.3">
      <c r="A386" s="17" t="s">
        <v>2198</v>
      </c>
      <c r="B386" s="17" t="str">
        <f>IFERROR(INDEX(Mots!$B:$B,MATCH($A386,Mots!$A:$A,0)),"introuvable")</f>
        <v>le poseur de cuisine</v>
      </c>
      <c r="C386" s="17" t="str">
        <f>IFERROR(INDEX(Mots!$N:$N,MATCH($A386,Mots!$A:$A,0)),"")</f>
        <v>personne</v>
      </c>
      <c r="D386" s="17">
        <f>IFERROR(COUNTA(INDEX(Mots!$E:$E,MATCH($A386,Mots!$A:$A,0)):INDEX(Mots!$K:$K,MATCH($A386,Mots!$A:$A,0))),0)</f>
        <v>1</v>
      </c>
      <c r="E386" s="17" t="str">
        <f>IF(COUNTIF(Classement!$A:$A,$A386)&gt;0,"ok","à faire")</f>
        <v>ok</v>
      </c>
      <c r="F386" s="17" t="str">
        <f>IF(COUNTIF(Tags!$A:$A,$A386)&gt;0,"ok","à faire")</f>
        <v>ok</v>
      </c>
      <c r="G386" s="17" t="str">
        <f>IF(COUNTIF(Phrases!$A:$A,$A386)&gt;0,"ok","à faire")</f>
        <v>à faire</v>
      </c>
      <c r="H386" s="17" t="str">
        <f>IF(COUNTIFS(Phrases!$A:$A,$A386,Phrases!$I:$I,"&lt;&gt;")&gt;0,"ok","à faire")</f>
        <v>à faire</v>
      </c>
      <c r="I386" s="17" t="str">
        <f>IF(COUNTIF(Synonymes!$A:$A,$A386)&gt;0,"ok","")</f>
        <v/>
      </c>
      <c r="J386" s="17">
        <f t="shared" ref="J386:J449" si="6">COUNTIF(E386:H386,"à faire")</f>
        <v>2</v>
      </c>
    </row>
    <row r="387" spans="1:10" x14ac:dyDescent="0.3">
      <c r="A387" s="17" t="s">
        <v>9531</v>
      </c>
      <c r="B387" s="17" t="str">
        <f>IFERROR(INDEX(Mots!$B:$B,MATCH($A387,Mots!$A:$A,0)),"introuvable")</f>
        <v>le mécanicien</v>
      </c>
      <c r="C387" s="17" t="str">
        <f>IFERROR(INDEX(Mots!$N:$N,MATCH($A387,Mots!$A:$A,0)),"")</f>
        <v>personne</v>
      </c>
      <c r="D387" s="17">
        <f>IFERROR(COUNTA(INDEX(Mots!$E:$E,MATCH($A387,Mots!$A:$A,0)):INDEX(Mots!$K:$K,MATCH($A387,Mots!$A:$A,0))),0)</f>
        <v>1</v>
      </c>
      <c r="E387" s="17" t="str">
        <f>IF(COUNTIF(Classement!$A:$A,$A387)&gt;0,"ok","à faire")</f>
        <v>ok</v>
      </c>
      <c r="F387" s="17" t="str">
        <f>IF(COUNTIF(Tags!$A:$A,$A387)&gt;0,"ok","à faire")</f>
        <v>ok</v>
      </c>
      <c r="G387" s="17" t="str">
        <f>IF(COUNTIF(Phrases!$A:$A,$A387)&gt;0,"ok","à faire")</f>
        <v>à faire</v>
      </c>
      <c r="H387" s="17" t="str">
        <f>IF(COUNTIFS(Phrases!$A:$A,$A387,Phrases!$I:$I,"&lt;&gt;")&gt;0,"ok","à faire")</f>
        <v>à faire</v>
      </c>
      <c r="I387" s="17" t="str">
        <f>IF(COUNTIF(Synonymes!$A:$A,$A387)&gt;0,"ok","")</f>
        <v/>
      </c>
      <c r="J387" s="17">
        <f t="shared" si="6"/>
        <v>2</v>
      </c>
    </row>
    <row r="388" spans="1:10" x14ac:dyDescent="0.3">
      <c r="A388" s="17" t="s">
        <v>2204</v>
      </c>
      <c r="B388" s="17" t="str">
        <f>IFERROR(INDEX(Mots!$B:$B,MATCH($A388,Mots!$A:$A,0)),"introuvable")</f>
        <v>le cuisinier</v>
      </c>
      <c r="C388" s="17" t="str">
        <f>IFERROR(INDEX(Mots!$N:$N,MATCH($A388,Mots!$A:$A,0)),"")</f>
        <v>personne</v>
      </c>
      <c r="D388" s="17">
        <f>IFERROR(COUNTA(INDEX(Mots!$E:$E,MATCH($A388,Mots!$A:$A,0)):INDEX(Mots!$K:$K,MATCH($A388,Mots!$A:$A,0))),0)</f>
        <v>1</v>
      </c>
      <c r="E388" s="17" t="str">
        <f>IF(COUNTIF(Classement!$A:$A,$A388)&gt;0,"ok","à faire")</f>
        <v>ok</v>
      </c>
      <c r="F388" s="17" t="str">
        <f>IF(COUNTIF(Tags!$A:$A,$A388)&gt;0,"ok","à faire")</f>
        <v>ok</v>
      </c>
      <c r="G388" s="17" t="str">
        <f>IF(COUNTIF(Phrases!$A:$A,$A388)&gt;0,"ok","à faire")</f>
        <v>à faire</v>
      </c>
      <c r="H388" s="17" t="str">
        <f>IF(COUNTIFS(Phrases!$A:$A,$A388,Phrases!$I:$I,"&lt;&gt;")&gt;0,"ok","à faire")</f>
        <v>à faire</v>
      </c>
      <c r="I388" s="17" t="str">
        <f>IF(COUNTIF(Synonymes!$A:$A,$A388)&gt;0,"ok","")</f>
        <v>ok</v>
      </c>
      <c r="J388" s="17">
        <f t="shared" si="6"/>
        <v>2</v>
      </c>
    </row>
    <row r="389" spans="1:10" x14ac:dyDescent="0.3">
      <c r="A389" s="17" t="s">
        <v>2208</v>
      </c>
      <c r="B389" s="17" t="str">
        <f>IFERROR(INDEX(Mots!$B:$B,MATCH($A389,Mots!$A:$A,0)),"introuvable")</f>
        <v>le boulanger</v>
      </c>
      <c r="C389" s="17" t="str">
        <f>IFERROR(INDEX(Mots!$N:$N,MATCH($A389,Mots!$A:$A,0)),"")</f>
        <v>personne</v>
      </c>
      <c r="D389" s="17">
        <f>IFERROR(COUNTA(INDEX(Mots!$E:$E,MATCH($A389,Mots!$A:$A,0)):INDEX(Mots!$K:$K,MATCH($A389,Mots!$A:$A,0))),0)</f>
        <v>1</v>
      </c>
      <c r="E389" s="17" t="str">
        <f>IF(COUNTIF(Classement!$A:$A,$A389)&gt;0,"ok","à faire")</f>
        <v>ok</v>
      </c>
      <c r="F389" s="17" t="str">
        <f>IF(COUNTIF(Tags!$A:$A,$A389)&gt;0,"ok","à faire")</f>
        <v>ok</v>
      </c>
      <c r="G389" s="17" t="str">
        <f>IF(COUNTIF(Phrases!$A:$A,$A389)&gt;0,"ok","à faire")</f>
        <v>à faire</v>
      </c>
      <c r="H389" s="17" t="str">
        <f>IF(COUNTIFS(Phrases!$A:$A,$A389,Phrases!$I:$I,"&lt;&gt;")&gt;0,"ok","à faire")</f>
        <v>à faire</v>
      </c>
      <c r="I389" s="17" t="str">
        <f>IF(COUNTIF(Synonymes!$A:$A,$A389)&gt;0,"ok","")</f>
        <v/>
      </c>
      <c r="J389" s="17">
        <f t="shared" si="6"/>
        <v>2</v>
      </c>
    </row>
    <row r="390" spans="1:10" x14ac:dyDescent="0.3">
      <c r="A390" s="17" t="s">
        <v>2212</v>
      </c>
      <c r="B390" s="17" t="str">
        <f>IFERROR(INDEX(Mots!$B:$B,MATCH($A390,Mots!$A:$A,0)),"introuvable")</f>
        <v>le chauffeur</v>
      </c>
      <c r="C390" s="17" t="str">
        <f>IFERROR(INDEX(Mots!$N:$N,MATCH($A390,Mots!$A:$A,0)),"")</f>
        <v>personne</v>
      </c>
      <c r="D390" s="17">
        <f>IFERROR(COUNTA(INDEX(Mots!$E:$E,MATCH($A390,Mots!$A:$A,0)):INDEX(Mots!$K:$K,MATCH($A390,Mots!$A:$A,0))),0)</f>
        <v>1</v>
      </c>
      <c r="E390" s="17" t="str">
        <f>IF(COUNTIF(Classement!$A:$A,$A390)&gt;0,"ok","à faire")</f>
        <v>ok</v>
      </c>
      <c r="F390" s="17" t="str">
        <f>IF(COUNTIF(Tags!$A:$A,$A390)&gt;0,"ok","à faire")</f>
        <v>ok</v>
      </c>
      <c r="G390" s="17" t="str">
        <f>IF(COUNTIF(Phrases!$A:$A,$A390)&gt;0,"ok","à faire")</f>
        <v>à faire</v>
      </c>
      <c r="H390" s="17" t="str">
        <f>IF(COUNTIFS(Phrases!$A:$A,$A390,Phrases!$I:$I,"&lt;&gt;")&gt;0,"ok","à faire")</f>
        <v>à faire</v>
      </c>
      <c r="I390" s="17" t="str">
        <f>IF(COUNTIF(Synonymes!$A:$A,$A390)&gt;0,"ok","")</f>
        <v/>
      </c>
      <c r="J390" s="17">
        <f t="shared" si="6"/>
        <v>2</v>
      </c>
    </row>
    <row r="391" spans="1:10" x14ac:dyDescent="0.3">
      <c r="A391" s="17" t="s">
        <v>2216</v>
      </c>
      <c r="B391" s="17" t="str">
        <f>IFERROR(INDEX(Mots!$B:$B,MATCH($A391,Mots!$A:$A,0)),"introuvable")</f>
        <v>le dessinateur</v>
      </c>
      <c r="C391" s="17" t="str">
        <f>IFERROR(INDEX(Mots!$N:$N,MATCH($A391,Mots!$A:$A,0)),"")</f>
        <v>personne</v>
      </c>
      <c r="D391" s="17">
        <f>IFERROR(COUNTA(INDEX(Mots!$E:$E,MATCH($A391,Mots!$A:$A,0)):INDEX(Mots!$K:$K,MATCH($A391,Mots!$A:$A,0))),0)</f>
        <v>1</v>
      </c>
      <c r="E391" s="17" t="str">
        <f>IF(COUNTIF(Classement!$A:$A,$A391)&gt;0,"ok","à faire")</f>
        <v>ok</v>
      </c>
      <c r="F391" s="17" t="str">
        <f>IF(COUNTIF(Tags!$A:$A,$A391)&gt;0,"ok","à faire")</f>
        <v>ok</v>
      </c>
      <c r="G391" s="17" t="str">
        <f>IF(COUNTIF(Phrases!$A:$A,$A391)&gt;0,"ok","à faire")</f>
        <v>à faire</v>
      </c>
      <c r="H391" s="17" t="str">
        <f>IF(COUNTIFS(Phrases!$A:$A,$A391,Phrases!$I:$I,"&lt;&gt;")&gt;0,"ok","à faire")</f>
        <v>à faire</v>
      </c>
      <c r="I391" s="17" t="str">
        <f>IF(COUNTIF(Synonymes!$A:$A,$A391)&gt;0,"ok","")</f>
        <v/>
      </c>
      <c r="J391" s="17">
        <f t="shared" si="6"/>
        <v>2</v>
      </c>
    </row>
    <row r="392" spans="1:10" x14ac:dyDescent="0.3">
      <c r="A392" s="17" t="s">
        <v>2220</v>
      </c>
      <c r="B392" s="17" t="str">
        <f>IFERROR(INDEX(Mots!$B:$B,MATCH($A392,Mots!$A:$A,0)),"introuvable")</f>
        <v>le professeur</v>
      </c>
      <c r="C392" s="17" t="str">
        <f>IFERROR(INDEX(Mots!$N:$N,MATCH($A392,Mots!$A:$A,0)),"")</f>
        <v>personne</v>
      </c>
      <c r="D392" s="17">
        <f>IFERROR(COUNTA(INDEX(Mots!$E:$E,MATCH($A392,Mots!$A:$A,0)):INDEX(Mots!$K:$K,MATCH($A392,Mots!$A:$A,0))),0)</f>
        <v>5</v>
      </c>
      <c r="E392" s="17" t="str">
        <f>IF(COUNTIF(Classement!$A:$A,$A392)&gt;0,"ok","à faire")</f>
        <v>ok</v>
      </c>
      <c r="F392" s="17" t="str">
        <f>IF(COUNTIF(Tags!$A:$A,$A392)&gt;0,"ok","à faire")</f>
        <v>ok</v>
      </c>
      <c r="G392" s="17" t="str">
        <f>IF(COUNTIF(Phrases!$A:$A,$A392)&gt;0,"ok","à faire")</f>
        <v>ok</v>
      </c>
      <c r="H392" s="17" t="str">
        <f>IF(COUNTIFS(Phrases!$A:$A,$A392,Phrases!$I:$I,"&lt;&gt;")&gt;0,"ok","à faire")</f>
        <v>à faire</v>
      </c>
      <c r="I392" s="17" t="str">
        <f>IF(COUNTIF(Synonymes!$A:$A,$A392)&gt;0,"ok","")</f>
        <v/>
      </c>
      <c r="J392" s="17">
        <f t="shared" si="6"/>
        <v>1</v>
      </c>
    </row>
    <row r="393" spans="1:10" x14ac:dyDescent="0.3">
      <c r="A393" s="17" t="s">
        <v>2229</v>
      </c>
      <c r="B393" s="17" t="str">
        <f>IFERROR(INDEX(Mots!$B:$B,MATCH($A393,Mots!$A:$A,0)),"introuvable")</f>
        <v>l'acteur</v>
      </c>
      <c r="C393" s="17" t="str">
        <f>IFERROR(INDEX(Mots!$N:$N,MATCH($A393,Mots!$A:$A,0)),"")</f>
        <v>personne</v>
      </c>
      <c r="D393" s="17">
        <f>IFERROR(COUNTA(INDEX(Mots!$E:$E,MATCH($A393,Mots!$A:$A,0)):INDEX(Mots!$K:$K,MATCH($A393,Mots!$A:$A,0))),0)</f>
        <v>5</v>
      </c>
      <c r="E393" s="17" t="str">
        <f>IF(COUNTIF(Classement!$A:$A,$A393)&gt;0,"ok","à faire")</f>
        <v>ok</v>
      </c>
      <c r="F393" s="17" t="str">
        <f>IF(COUNTIF(Tags!$A:$A,$A393)&gt;0,"ok","à faire")</f>
        <v>ok</v>
      </c>
      <c r="G393" s="17" t="str">
        <f>IF(COUNTIF(Phrases!$A:$A,$A393)&gt;0,"ok","à faire")</f>
        <v>à faire</v>
      </c>
      <c r="H393" s="17" t="str">
        <f>IF(COUNTIFS(Phrases!$A:$A,$A393,Phrases!$I:$I,"&lt;&gt;")&gt;0,"ok","à faire")</f>
        <v>à faire</v>
      </c>
      <c r="I393" s="17" t="str">
        <f>IF(COUNTIF(Synonymes!$A:$A,$A393)&gt;0,"ok","")</f>
        <v/>
      </c>
      <c r="J393" s="17">
        <f t="shared" si="6"/>
        <v>2</v>
      </c>
    </row>
    <row r="394" spans="1:10" x14ac:dyDescent="0.3">
      <c r="A394" s="17" t="s">
        <v>2237</v>
      </c>
      <c r="B394" s="17" t="str">
        <f>IFERROR(INDEX(Mots!$B:$B,MATCH($A394,Mots!$A:$A,0)),"introuvable")</f>
        <v>l'agriculteur</v>
      </c>
      <c r="C394" s="17" t="str">
        <f>IFERROR(INDEX(Mots!$N:$N,MATCH($A394,Mots!$A:$A,0)),"")</f>
        <v>personne</v>
      </c>
      <c r="D394" s="17">
        <f>IFERROR(COUNTA(INDEX(Mots!$E:$E,MATCH($A394,Mots!$A:$A,0)):INDEX(Mots!$K:$K,MATCH($A394,Mots!$A:$A,0))),0)</f>
        <v>5</v>
      </c>
      <c r="E394" s="17" t="str">
        <f>IF(COUNTIF(Classement!$A:$A,$A394)&gt;0,"ok","à faire")</f>
        <v>ok</v>
      </c>
      <c r="F394" s="17" t="str">
        <f>IF(COUNTIF(Tags!$A:$A,$A394)&gt;0,"ok","à faire")</f>
        <v>ok</v>
      </c>
      <c r="G394" s="17" t="str">
        <f>IF(COUNTIF(Phrases!$A:$A,$A394)&gt;0,"ok","à faire")</f>
        <v>à faire</v>
      </c>
      <c r="H394" s="17" t="str">
        <f>IF(COUNTIFS(Phrases!$A:$A,$A394,Phrases!$I:$I,"&lt;&gt;")&gt;0,"ok","à faire")</f>
        <v>à faire</v>
      </c>
      <c r="I394" s="17" t="str">
        <f>IF(COUNTIF(Synonymes!$A:$A,$A394)&gt;0,"ok","")</f>
        <v/>
      </c>
      <c r="J394" s="17">
        <f t="shared" si="6"/>
        <v>2</v>
      </c>
    </row>
    <row r="395" spans="1:10" x14ac:dyDescent="0.3">
      <c r="A395" s="17" t="s">
        <v>2245</v>
      </c>
      <c r="B395" s="17" t="str">
        <f>IFERROR(INDEX(Mots!$B:$B,MATCH($A395,Mots!$A:$A,0)),"introuvable")</f>
        <v>le banquier</v>
      </c>
      <c r="C395" s="17" t="str">
        <f>IFERROR(INDEX(Mots!$N:$N,MATCH($A395,Mots!$A:$A,0)),"")</f>
        <v>personne</v>
      </c>
      <c r="D395" s="17">
        <f>IFERROR(COUNTA(INDEX(Mots!$E:$E,MATCH($A395,Mots!$A:$A,0)):INDEX(Mots!$K:$K,MATCH($A395,Mots!$A:$A,0))),0)</f>
        <v>4</v>
      </c>
      <c r="E395" s="17" t="str">
        <f>IF(COUNTIF(Classement!$A:$A,$A395)&gt;0,"ok","à faire")</f>
        <v>ok</v>
      </c>
      <c r="F395" s="17" t="str">
        <f>IF(COUNTIF(Tags!$A:$A,$A395)&gt;0,"ok","à faire")</f>
        <v>ok</v>
      </c>
      <c r="G395" s="17" t="str">
        <f>IF(COUNTIF(Phrases!$A:$A,$A395)&gt;0,"ok","à faire")</f>
        <v>à faire</v>
      </c>
      <c r="H395" s="17" t="str">
        <f>IF(COUNTIFS(Phrases!$A:$A,$A395,Phrases!$I:$I,"&lt;&gt;")&gt;0,"ok","à faire")</f>
        <v>à faire</v>
      </c>
      <c r="I395" s="17" t="str">
        <f>IF(COUNTIF(Synonymes!$A:$A,$A395)&gt;0,"ok","")</f>
        <v/>
      </c>
      <c r="J395" s="17">
        <f t="shared" si="6"/>
        <v>2</v>
      </c>
    </row>
    <row r="396" spans="1:10" x14ac:dyDescent="0.3">
      <c r="A396" s="17" t="s">
        <v>2252</v>
      </c>
      <c r="B396" s="17" t="str">
        <f>IFERROR(INDEX(Mots!$B:$B,MATCH($A396,Mots!$A:$A,0)),"introuvable")</f>
        <v>le chanteur</v>
      </c>
      <c r="C396" s="17" t="str">
        <f>IFERROR(INDEX(Mots!$N:$N,MATCH($A396,Mots!$A:$A,0)),"")</f>
        <v>personne</v>
      </c>
      <c r="D396" s="17">
        <f>IFERROR(COUNTA(INDEX(Mots!$E:$E,MATCH($A396,Mots!$A:$A,0)):INDEX(Mots!$K:$K,MATCH($A396,Mots!$A:$A,0))),0)</f>
        <v>5</v>
      </c>
      <c r="E396" s="17" t="str">
        <f>IF(COUNTIF(Classement!$A:$A,$A396)&gt;0,"ok","à faire")</f>
        <v>ok</v>
      </c>
      <c r="F396" s="17" t="str">
        <f>IF(COUNTIF(Tags!$A:$A,$A396)&gt;0,"ok","à faire")</f>
        <v>ok</v>
      </c>
      <c r="G396" s="17" t="str">
        <f>IF(COUNTIF(Phrases!$A:$A,$A396)&gt;0,"ok","à faire")</f>
        <v>à faire</v>
      </c>
      <c r="H396" s="17" t="str">
        <f>IF(COUNTIFS(Phrases!$A:$A,$A396,Phrases!$I:$I,"&lt;&gt;")&gt;0,"ok","à faire")</f>
        <v>à faire</v>
      </c>
      <c r="I396" s="17" t="str">
        <f>IF(COUNTIF(Synonymes!$A:$A,$A396)&gt;0,"ok","")</f>
        <v/>
      </c>
      <c r="J396" s="17">
        <f t="shared" si="6"/>
        <v>2</v>
      </c>
    </row>
    <row r="397" spans="1:10" x14ac:dyDescent="0.3">
      <c r="A397" s="17" t="s">
        <v>2260</v>
      </c>
      <c r="B397" s="17" t="str">
        <f>IFERROR(INDEX(Mots!$B:$B,MATCH($A397,Mots!$A:$A,0)),"introuvable")</f>
        <v>le facteur</v>
      </c>
      <c r="C397" s="17" t="str">
        <f>IFERROR(INDEX(Mots!$N:$N,MATCH($A397,Mots!$A:$A,0)),"")</f>
        <v>personne</v>
      </c>
      <c r="D397" s="17">
        <f>IFERROR(COUNTA(INDEX(Mots!$E:$E,MATCH($A397,Mots!$A:$A,0)):INDEX(Mots!$K:$K,MATCH($A397,Mots!$A:$A,0))),0)</f>
        <v>5</v>
      </c>
      <c r="E397" s="17" t="str">
        <f>IF(COUNTIF(Classement!$A:$A,$A397)&gt;0,"ok","à faire")</f>
        <v>ok</v>
      </c>
      <c r="F397" s="17" t="str">
        <f>IF(COUNTIF(Tags!$A:$A,$A397)&gt;0,"ok","à faire")</f>
        <v>ok</v>
      </c>
      <c r="G397" s="17" t="str">
        <f>IF(COUNTIF(Phrases!$A:$A,$A397)&gt;0,"ok","à faire")</f>
        <v>à faire</v>
      </c>
      <c r="H397" s="17" t="str">
        <f>IF(COUNTIFS(Phrases!$A:$A,$A397,Phrases!$I:$I,"&lt;&gt;")&gt;0,"ok","à faire")</f>
        <v>à faire</v>
      </c>
      <c r="I397" s="17" t="str">
        <f>IF(COUNTIF(Synonymes!$A:$A,$A397)&gt;0,"ok","")</f>
        <v/>
      </c>
      <c r="J397" s="17">
        <f t="shared" si="6"/>
        <v>2</v>
      </c>
    </row>
    <row r="398" spans="1:10" x14ac:dyDescent="0.3">
      <c r="A398" s="17" t="s">
        <v>2268</v>
      </c>
      <c r="B398" s="17" t="str">
        <f>IFERROR(INDEX(Mots!$B:$B,MATCH($A398,Mots!$A:$A,0)),"introuvable")</f>
        <v>le peintre</v>
      </c>
      <c r="C398" s="17" t="str">
        <f>IFERROR(INDEX(Mots!$N:$N,MATCH($A398,Mots!$A:$A,0)),"")</f>
        <v>personne</v>
      </c>
      <c r="D398" s="17">
        <f>IFERROR(COUNTA(INDEX(Mots!$E:$E,MATCH($A398,Mots!$A:$A,0)):INDEX(Mots!$K:$K,MATCH($A398,Mots!$A:$A,0))),0)</f>
        <v>5</v>
      </c>
      <c r="E398" s="17" t="str">
        <f>IF(COUNTIF(Classement!$A:$A,$A398)&gt;0,"ok","à faire")</f>
        <v>ok</v>
      </c>
      <c r="F398" s="17" t="str">
        <f>IF(COUNTIF(Tags!$A:$A,$A398)&gt;0,"ok","à faire")</f>
        <v>ok</v>
      </c>
      <c r="G398" s="17" t="str">
        <f>IF(COUNTIF(Phrases!$A:$A,$A398)&gt;0,"ok","à faire")</f>
        <v>à faire</v>
      </c>
      <c r="H398" s="17" t="str">
        <f>IF(COUNTIFS(Phrases!$A:$A,$A398,Phrases!$I:$I,"&lt;&gt;")&gt;0,"ok","à faire")</f>
        <v>à faire</v>
      </c>
      <c r="I398" s="17" t="str">
        <f>IF(COUNTIF(Synonymes!$A:$A,$A398)&gt;0,"ok","")</f>
        <v/>
      </c>
      <c r="J398" s="17">
        <f t="shared" si="6"/>
        <v>2</v>
      </c>
    </row>
    <row r="399" spans="1:10" x14ac:dyDescent="0.3">
      <c r="A399" s="17" t="s">
        <v>2276</v>
      </c>
      <c r="B399" s="17" t="str">
        <f>IFERROR(INDEX(Mots!$B:$B,MATCH($A399,Mots!$A:$A,0)),"introuvable")</f>
        <v>le pompier</v>
      </c>
      <c r="C399" s="17" t="str">
        <f>IFERROR(INDEX(Mots!$N:$N,MATCH($A399,Mots!$A:$A,0)),"")</f>
        <v>personne</v>
      </c>
      <c r="D399" s="17">
        <f>IFERROR(COUNTA(INDEX(Mots!$E:$E,MATCH($A399,Mots!$A:$A,0)):INDEX(Mots!$K:$K,MATCH($A399,Mots!$A:$A,0))),0)</f>
        <v>5</v>
      </c>
      <c r="E399" s="17" t="str">
        <f>IF(COUNTIF(Classement!$A:$A,$A399)&gt;0,"ok","à faire")</f>
        <v>ok</v>
      </c>
      <c r="F399" s="17" t="str">
        <f>IF(COUNTIF(Tags!$A:$A,$A399)&gt;0,"ok","à faire")</f>
        <v>ok</v>
      </c>
      <c r="G399" s="17" t="str">
        <f>IF(COUNTIF(Phrases!$A:$A,$A399)&gt;0,"ok","à faire")</f>
        <v>à faire</v>
      </c>
      <c r="H399" s="17" t="str">
        <f>IF(COUNTIFS(Phrases!$A:$A,$A399,Phrases!$I:$I,"&lt;&gt;")&gt;0,"ok","à faire")</f>
        <v>à faire</v>
      </c>
      <c r="I399" s="17" t="str">
        <f>IF(COUNTIF(Synonymes!$A:$A,$A399)&gt;0,"ok","")</f>
        <v/>
      </c>
      <c r="J399" s="17">
        <f t="shared" si="6"/>
        <v>2</v>
      </c>
    </row>
    <row r="400" spans="1:10" x14ac:dyDescent="0.3">
      <c r="A400" s="17" t="s">
        <v>2284</v>
      </c>
      <c r="B400" s="17" t="str">
        <f>IFERROR(INDEX(Mots!$B:$B,MATCH($A400,Mots!$A:$A,0)),"introuvable")</f>
        <v>le vendeur</v>
      </c>
      <c r="C400" s="17" t="str">
        <f>IFERROR(INDEX(Mots!$N:$N,MATCH($A400,Mots!$A:$A,0)),"")</f>
        <v>personne</v>
      </c>
      <c r="D400" s="17">
        <f>IFERROR(COUNTA(INDEX(Mots!$E:$E,MATCH($A400,Mots!$A:$A,0)):INDEX(Mots!$K:$K,MATCH($A400,Mots!$A:$A,0))),0)</f>
        <v>1</v>
      </c>
      <c r="E400" s="17" t="str">
        <f>IF(COUNTIF(Classement!$A:$A,$A400)&gt;0,"ok","à faire")</f>
        <v>ok</v>
      </c>
      <c r="F400" s="17" t="str">
        <f>IF(COUNTIF(Tags!$A:$A,$A400)&gt;0,"ok","à faire")</f>
        <v>ok</v>
      </c>
      <c r="G400" s="17" t="str">
        <f>IF(COUNTIF(Phrases!$A:$A,$A400)&gt;0,"ok","à faire")</f>
        <v>à faire</v>
      </c>
      <c r="H400" s="17" t="str">
        <f>IF(COUNTIFS(Phrases!$A:$A,$A400,Phrases!$I:$I,"&lt;&gt;")&gt;0,"ok","à faire")</f>
        <v>à faire</v>
      </c>
      <c r="I400" s="17" t="str">
        <f>IF(COUNTIF(Synonymes!$A:$A,$A400)&gt;0,"ok","")</f>
        <v/>
      </c>
      <c r="J400" s="17">
        <f t="shared" si="6"/>
        <v>2</v>
      </c>
    </row>
    <row r="401" spans="1:10" x14ac:dyDescent="0.3">
      <c r="A401" s="17" t="s">
        <v>2288</v>
      </c>
      <c r="B401" s="17" t="str">
        <f>IFERROR(INDEX(Mots!$B:$B,MATCH($A401,Mots!$A:$A,0)),"introuvable")</f>
        <v>l'écrivain</v>
      </c>
      <c r="C401" s="17" t="str">
        <f>IFERROR(INDEX(Mots!$N:$N,MATCH($A401,Mots!$A:$A,0)),"")</f>
        <v>personne</v>
      </c>
      <c r="D401" s="17">
        <f>IFERROR(COUNTA(INDEX(Mots!$E:$E,MATCH($A401,Mots!$A:$A,0)):INDEX(Mots!$K:$K,MATCH($A401,Mots!$A:$A,0))),0)</f>
        <v>5</v>
      </c>
      <c r="E401" s="17" t="str">
        <f>IF(COUNTIF(Classement!$A:$A,$A401)&gt;0,"ok","à faire")</f>
        <v>ok</v>
      </c>
      <c r="F401" s="17" t="str">
        <f>IF(COUNTIF(Tags!$A:$A,$A401)&gt;0,"ok","à faire")</f>
        <v>ok</v>
      </c>
      <c r="G401" s="17" t="str">
        <f>IF(COUNTIF(Phrases!$A:$A,$A401)&gt;0,"ok","à faire")</f>
        <v>à faire</v>
      </c>
      <c r="H401" s="17" t="str">
        <f>IF(COUNTIFS(Phrases!$A:$A,$A401,Phrases!$I:$I,"&lt;&gt;")&gt;0,"ok","à faire")</f>
        <v>à faire</v>
      </c>
      <c r="I401" s="17" t="str">
        <f>IF(COUNTIF(Synonymes!$A:$A,$A401)&gt;0,"ok","")</f>
        <v/>
      </c>
      <c r="J401" s="17">
        <f t="shared" si="6"/>
        <v>2</v>
      </c>
    </row>
    <row r="402" spans="1:10" x14ac:dyDescent="0.3">
      <c r="A402" s="17" t="s">
        <v>2296</v>
      </c>
      <c r="B402" s="17" t="str">
        <f>IFERROR(INDEX(Mots!$B:$B,MATCH($A402,Mots!$A:$A,0)),"introuvable")</f>
        <v>l'infirmier</v>
      </c>
      <c r="C402" s="17" t="str">
        <f>IFERROR(INDEX(Mots!$N:$N,MATCH($A402,Mots!$A:$A,0)),"")</f>
        <v>personne</v>
      </c>
      <c r="D402" s="17">
        <f>IFERROR(COUNTA(INDEX(Mots!$E:$E,MATCH($A402,Mots!$A:$A,0)):INDEX(Mots!$K:$K,MATCH($A402,Mots!$A:$A,0))),0)</f>
        <v>5</v>
      </c>
      <c r="E402" s="17" t="str">
        <f>IF(COUNTIF(Classement!$A:$A,$A402)&gt;0,"ok","à faire")</f>
        <v>ok</v>
      </c>
      <c r="F402" s="17" t="str">
        <f>IF(COUNTIF(Tags!$A:$A,$A402)&gt;0,"ok","à faire")</f>
        <v>ok</v>
      </c>
      <c r="G402" s="17" t="str">
        <f>IF(COUNTIF(Phrases!$A:$A,$A402)&gt;0,"ok","à faire")</f>
        <v>à faire</v>
      </c>
      <c r="H402" s="17" t="str">
        <f>IF(COUNTIFS(Phrases!$A:$A,$A402,Phrases!$I:$I,"&lt;&gt;")&gt;0,"ok","à faire")</f>
        <v>à faire</v>
      </c>
      <c r="I402" s="17" t="str">
        <f>IF(COUNTIF(Synonymes!$A:$A,$A402)&gt;0,"ok","")</f>
        <v/>
      </c>
      <c r="J402" s="17">
        <f t="shared" si="6"/>
        <v>2</v>
      </c>
    </row>
    <row r="403" spans="1:10" x14ac:dyDescent="0.3">
      <c r="A403" s="17" t="s">
        <v>2304</v>
      </c>
      <c r="B403" s="17" t="str">
        <f>IFERROR(INDEX(Mots!$B:$B,MATCH($A403,Mots!$A:$A,0)),"introuvable")</f>
        <v>blanc</v>
      </c>
      <c r="C403" s="17" t="str">
        <f>IFERROR(INDEX(Mots!$N:$N,MATCH($A403,Mots!$A:$A,0)),"")</f>
        <v>qualité</v>
      </c>
      <c r="D403" s="17">
        <f>IFERROR(COUNTA(INDEX(Mots!$E:$E,MATCH($A403,Mots!$A:$A,0)):INDEX(Mots!$K:$K,MATCH($A403,Mots!$A:$A,0))),0)</f>
        <v>1</v>
      </c>
      <c r="E403" s="17" t="str">
        <f>IF(COUNTIF(Classement!$A:$A,$A403)&gt;0,"ok","à faire")</f>
        <v>ok</v>
      </c>
      <c r="F403" s="17" t="str">
        <f>IF(COUNTIF(Tags!$A:$A,$A403)&gt;0,"ok","à faire")</f>
        <v>ok</v>
      </c>
      <c r="G403" s="17" t="str">
        <f>IF(COUNTIF(Phrases!$A:$A,$A403)&gt;0,"ok","à faire")</f>
        <v>ok</v>
      </c>
      <c r="H403" s="17" t="str">
        <f>IF(COUNTIFS(Phrases!$A:$A,$A403,Phrases!$I:$I,"&lt;&gt;")&gt;0,"ok","à faire")</f>
        <v>ok</v>
      </c>
      <c r="I403" s="17" t="str">
        <f>IF(COUNTIF(Synonymes!$A:$A,$A403)&gt;0,"ok","")</f>
        <v/>
      </c>
      <c r="J403" s="17">
        <f t="shared" si="6"/>
        <v>0</v>
      </c>
    </row>
    <row r="404" spans="1:10" x14ac:dyDescent="0.3">
      <c r="A404" s="17" t="s">
        <v>2309</v>
      </c>
      <c r="B404" s="17" t="str">
        <f>IFERROR(INDEX(Mots!$B:$B,MATCH($A404,Mots!$A:$A,0)),"introuvable")</f>
        <v>bleu</v>
      </c>
      <c r="C404" s="17" t="str">
        <f>IFERROR(INDEX(Mots!$N:$N,MATCH($A404,Mots!$A:$A,0)),"")</f>
        <v>qualité</v>
      </c>
      <c r="D404" s="17">
        <f>IFERROR(COUNTA(INDEX(Mots!$E:$E,MATCH($A404,Mots!$A:$A,0)):INDEX(Mots!$K:$K,MATCH($A404,Mots!$A:$A,0))),0)</f>
        <v>1</v>
      </c>
      <c r="E404" s="17" t="str">
        <f>IF(COUNTIF(Classement!$A:$A,$A404)&gt;0,"ok","à faire")</f>
        <v>ok</v>
      </c>
      <c r="F404" s="17" t="str">
        <f>IF(COUNTIF(Tags!$A:$A,$A404)&gt;0,"ok","à faire")</f>
        <v>ok</v>
      </c>
      <c r="G404" s="17" t="str">
        <f>IF(COUNTIF(Phrases!$A:$A,$A404)&gt;0,"ok","à faire")</f>
        <v>ok</v>
      </c>
      <c r="H404" s="17" t="str">
        <f>IF(COUNTIFS(Phrases!$A:$A,$A404,Phrases!$I:$I,"&lt;&gt;")&gt;0,"ok","à faire")</f>
        <v>ok</v>
      </c>
      <c r="I404" s="17" t="str">
        <f>IF(COUNTIF(Synonymes!$A:$A,$A404)&gt;0,"ok","")</f>
        <v/>
      </c>
      <c r="J404" s="17">
        <f t="shared" si="6"/>
        <v>0</v>
      </c>
    </row>
    <row r="405" spans="1:10" x14ac:dyDescent="0.3">
      <c r="A405" s="17" t="s">
        <v>2313</v>
      </c>
      <c r="B405" s="17" t="str">
        <f>IFERROR(INDEX(Mots!$B:$B,MATCH($A405,Mots!$A:$A,0)),"introuvable")</f>
        <v>gris</v>
      </c>
      <c r="C405" s="17" t="str">
        <f>IFERROR(INDEX(Mots!$N:$N,MATCH($A405,Mots!$A:$A,0)),"")</f>
        <v>qualité</v>
      </c>
      <c r="D405" s="17">
        <f>IFERROR(COUNTA(INDEX(Mots!$E:$E,MATCH($A405,Mots!$A:$A,0)):INDEX(Mots!$K:$K,MATCH($A405,Mots!$A:$A,0))),0)</f>
        <v>1</v>
      </c>
      <c r="E405" s="17" t="str">
        <f>IF(COUNTIF(Classement!$A:$A,$A405)&gt;0,"ok","à faire")</f>
        <v>ok</v>
      </c>
      <c r="F405" s="17" t="str">
        <f>IF(COUNTIF(Tags!$A:$A,$A405)&gt;0,"ok","à faire")</f>
        <v>ok</v>
      </c>
      <c r="G405" s="17" t="str">
        <f>IF(COUNTIF(Phrases!$A:$A,$A405)&gt;0,"ok","à faire")</f>
        <v>ok</v>
      </c>
      <c r="H405" s="17" t="str">
        <f>IF(COUNTIFS(Phrases!$A:$A,$A405,Phrases!$I:$I,"&lt;&gt;")&gt;0,"ok","à faire")</f>
        <v>ok</v>
      </c>
      <c r="I405" s="17" t="str">
        <f>IF(COUNTIF(Synonymes!$A:$A,$A405)&gt;0,"ok","")</f>
        <v/>
      </c>
      <c r="J405" s="17">
        <f t="shared" si="6"/>
        <v>0</v>
      </c>
    </row>
    <row r="406" spans="1:10" x14ac:dyDescent="0.3">
      <c r="A406" s="17" t="s">
        <v>2317</v>
      </c>
      <c r="B406" s="17" t="str">
        <f>IFERROR(INDEX(Mots!$B:$B,MATCH($A406,Mots!$A:$A,0)),"introuvable")</f>
        <v>jaune</v>
      </c>
      <c r="C406" s="17" t="str">
        <f>IFERROR(INDEX(Mots!$N:$N,MATCH($A406,Mots!$A:$A,0)),"")</f>
        <v>qualité</v>
      </c>
      <c r="D406" s="17">
        <f>IFERROR(COUNTA(INDEX(Mots!$E:$E,MATCH($A406,Mots!$A:$A,0)):INDEX(Mots!$K:$K,MATCH($A406,Mots!$A:$A,0))),0)</f>
        <v>1</v>
      </c>
      <c r="E406" s="17" t="str">
        <f>IF(COUNTIF(Classement!$A:$A,$A406)&gt;0,"ok","à faire")</f>
        <v>ok</v>
      </c>
      <c r="F406" s="17" t="str">
        <f>IF(COUNTIF(Tags!$A:$A,$A406)&gt;0,"ok","à faire")</f>
        <v>ok</v>
      </c>
      <c r="G406" s="17" t="str">
        <f>IF(COUNTIF(Phrases!$A:$A,$A406)&gt;0,"ok","à faire")</f>
        <v>ok</v>
      </c>
      <c r="H406" s="17" t="str">
        <f>IF(COUNTIFS(Phrases!$A:$A,$A406,Phrases!$I:$I,"&lt;&gt;")&gt;0,"ok","à faire")</f>
        <v>à faire</v>
      </c>
      <c r="I406" s="17" t="str">
        <f>IF(COUNTIF(Synonymes!$A:$A,$A406)&gt;0,"ok","")</f>
        <v/>
      </c>
      <c r="J406" s="17">
        <f t="shared" si="6"/>
        <v>1</v>
      </c>
    </row>
    <row r="407" spans="1:10" x14ac:dyDescent="0.3">
      <c r="A407" s="17" t="s">
        <v>2321</v>
      </c>
      <c r="B407" s="17" t="str">
        <f>IFERROR(INDEX(Mots!$B:$B,MATCH($A407,Mots!$A:$A,0)),"introuvable")</f>
        <v>la clé</v>
      </c>
      <c r="C407" s="17" t="str">
        <f>IFERROR(INDEX(Mots!$N:$N,MATCH($A407,Mots!$A:$A,0)),"")</f>
        <v>chose</v>
      </c>
      <c r="D407" s="17">
        <f>IFERROR(COUNTA(INDEX(Mots!$E:$E,MATCH($A407,Mots!$A:$A,0)):INDEX(Mots!$K:$K,MATCH($A407,Mots!$A:$A,0))),0)</f>
        <v>1</v>
      </c>
      <c r="E407" s="17" t="str">
        <f>IF(COUNTIF(Classement!$A:$A,$A407)&gt;0,"ok","à faire")</f>
        <v>ok</v>
      </c>
      <c r="F407" s="17" t="str">
        <f>IF(COUNTIF(Tags!$A:$A,$A407)&gt;0,"ok","à faire")</f>
        <v>ok</v>
      </c>
      <c r="G407" s="17" t="str">
        <f>IF(COUNTIF(Phrases!$A:$A,$A407)&gt;0,"ok","à faire")</f>
        <v>ok</v>
      </c>
      <c r="H407" s="17" t="str">
        <f>IF(COUNTIFS(Phrases!$A:$A,$A407,Phrases!$I:$I,"&lt;&gt;")&gt;0,"ok","à faire")</f>
        <v>ok</v>
      </c>
      <c r="I407" s="17" t="str">
        <f>IF(COUNTIF(Synonymes!$A:$A,$A407)&gt;0,"ok","")</f>
        <v/>
      </c>
      <c r="J407" s="17">
        <f t="shared" si="6"/>
        <v>0</v>
      </c>
    </row>
    <row r="408" spans="1:10" x14ac:dyDescent="0.3">
      <c r="A408" s="17" t="s">
        <v>2325</v>
      </c>
      <c r="B408" s="17" t="str">
        <f>IFERROR(INDEX(Mots!$B:$B,MATCH($A408,Mots!$A:$A,0)),"introuvable")</f>
        <v>la couleur</v>
      </c>
      <c r="C408" s="17" t="str">
        <f>IFERROR(INDEX(Mots!$N:$N,MATCH($A408,Mots!$A:$A,0)),"")</f>
        <v>qualité</v>
      </c>
      <c r="D408" s="17">
        <f>IFERROR(COUNTA(INDEX(Mots!$E:$E,MATCH($A408,Mots!$A:$A,0)):INDEX(Mots!$K:$K,MATCH($A408,Mots!$A:$A,0))),0)</f>
        <v>1</v>
      </c>
      <c r="E408" s="17" t="str">
        <f>IF(COUNTIF(Classement!$A:$A,$A408)&gt;0,"ok","à faire")</f>
        <v>ok</v>
      </c>
      <c r="F408" s="17" t="str">
        <f>IF(COUNTIF(Tags!$A:$A,$A408)&gt;0,"ok","à faire")</f>
        <v>ok</v>
      </c>
      <c r="G408" s="17" t="str">
        <f>IF(COUNTIF(Phrases!$A:$A,$A408)&gt;0,"ok","à faire")</f>
        <v>ok</v>
      </c>
      <c r="H408" s="17" t="str">
        <f>IF(COUNTIFS(Phrases!$A:$A,$A408,Phrases!$I:$I,"&lt;&gt;")&gt;0,"ok","à faire")</f>
        <v>ok</v>
      </c>
      <c r="I408" s="17" t="str">
        <f>IF(COUNTIF(Synonymes!$A:$A,$A408)&gt;0,"ok","")</f>
        <v/>
      </c>
      <c r="J408" s="17">
        <f t="shared" si="6"/>
        <v>0</v>
      </c>
    </row>
    <row r="409" spans="1:10" x14ac:dyDescent="0.3">
      <c r="A409" s="17" t="s">
        <v>2329</v>
      </c>
      <c r="B409" s="17" t="str">
        <f>IFERROR(INDEX(Mots!$B:$B,MATCH($A409,Mots!$A:$A,0)),"introuvable")</f>
        <v>le chargeur</v>
      </c>
      <c r="C409" s="17" t="str">
        <f>IFERROR(INDEX(Mots!$N:$N,MATCH($A409,Mots!$A:$A,0)),"")</f>
        <v>chose</v>
      </c>
      <c r="D409" s="17">
        <f>IFERROR(COUNTA(INDEX(Mots!$E:$E,MATCH($A409,Mots!$A:$A,0)):INDEX(Mots!$K:$K,MATCH($A409,Mots!$A:$A,0))),0)</f>
        <v>1</v>
      </c>
      <c r="E409" s="17" t="str">
        <f>IF(COUNTIF(Classement!$A:$A,$A409)&gt;0,"ok","à faire")</f>
        <v>ok</v>
      </c>
      <c r="F409" s="17" t="str">
        <f>IF(COUNTIF(Tags!$A:$A,$A409)&gt;0,"ok","à faire")</f>
        <v>ok</v>
      </c>
      <c r="G409" s="17" t="str">
        <f>IF(COUNTIF(Phrases!$A:$A,$A409)&gt;0,"ok","à faire")</f>
        <v>ok</v>
      </c>
      <c r="H409" s="17" t="str">
        <f>IF(COUNTIFS(Phrases!$A:$A,$A409,Phrases!$I:$I,"&lt;&gt;")&gt;0,"ok","à faire")</f>
        <v>à faire</v>
      </c>
      <c r="I409" s="17" t="str">
        <f>IF(COUNTIF(Synonymes!$A:$A,$A409)&gt;0,"ok","")</f>
        <v>ok</v>
      </c>
      <c r="J409" s="17">
        <f t="shared" si="6"/>
        <v>1</v>
      </c>
    </row>
    <row r="410" spans="1:10" x14ac:dyDescent="0.3">
      <c r="A410" s="17" t="s">
        <v>2333</v>
      </c>
      <c r="B410" s="17" t="str">
        <f>IFERROR(INDEX(Mots!$B:$B,MATCH($A410,Mots!$A:$A,0)),"introuvable")</f>
        <v>le porte-monnaie</v>
      </c>
      <c r="C410" s="17" t="str">
        <f>IFERROR(INDEX(Mots!$N:$N,MATCH($A410,Mots!$A:$A,0)),"")</f>
        <v>chose</v>
      </c>
      <c r="D410" s="17">
        <f>IFERROR(COUNTA(INDEX(Mots!$E:$E,MATCH($A410,Mots!$A:$A,0)):INDEX(Mots!$K:$K,MATCH($A410,Mots!$A:$A,0))),0)</f>
        <v>1</v>
      </c>
      <c r="E410" s="17" t="str">
        <f>IF(COUNTIF(Classement!$A:$A,$A410)&gt;0,"ok","à faire")</f>
        <v>ok</v>
      </c>
      <c r="F410" s="17" t="str">
        <f>IF(COUNTIF(Tags!$A:$A,$A410)&gt;0,"ok","à faire")</f>
        <v>ok</v>
      </c>
      <c r="G410" s="17" t="str">
        <f>IF(COUNTIF(Phrases!$A:$A,$A410)&gt;0,"ok","à faire")</f>
        <v>ok</v>
      </c>
      <c r="H410" s="17" t="str">
        <f>IF(COUNTIFS(Phrases!$A:$A,$A410,Phrases!$I:$I,"&lt;&gt;")&gt;0,"ok","à faire")</f>
        <v>à faire</v>
      </c>
      <c r="I410" s="17" t="str">
        <f>IF(COUNTIF(Synonymes!$A:$A,$A410)&gt;0,"ok","")</f>
        <v>ok</v>
      </c>
      <c r="J410" s="17">
        <f t="shared" si="6"/>
        <v>1</v>
      </c>
    </row>
    <row r="411" spans="1:10" x14ac:dyDescent="0.3">
      <c r="A411" s="17" t="s">
        <v>2337</v>
      </c>
      <c r="B411" s="17" t="str">
        <f>IFERROR(INDEX(Mots!$B:$B,MATCH($A411,Mots!$A:$A,0)),"introuvable")</f>
        <v>le téléphone ou l'Iphone</v>
      </c>
      <c r="C411" s="17" t="str">
        <f>IFERROR(INDEX(Mots!$N:$N,MATCH($A411,Mots!$A:$A,0)),"")</f>
        <v>chose</v>
      </c>
      <c r="D411" s="17">
        <f>IFERROR(COUNTA(INDEX(Mots!$E:$E,MATCH($A411,Mots!$A:$A,0)):INDEX(Mots!$K:$K,MATCH($A411,Mots!$A:$A,0))),0)</f>
        <v>1</v>
      </c>
      <c r="E411" s="17" t="str">
        <f>IF(COUNTIF(Classement!$A:$A,$A411)&gt;0,"ok","à faire")</f>
        <v>ok</v>
      </c>
      <c r="F411" s="17" t="str">
        <f>IF(COUNTIF(Tags!$A:$A,$A411)&gt;0,"ok","à faire")</f>
        <v>ok</v>
      </c>
      <c r="G411" s="17" t="str">
        <f>IF(COUNTIF(Phrases!$A:$A,$A411)&gt;0,"ok","à faire")</f>
        <v>ok</v>
      </c>
      <c r="H411" s="17" t="str">
        <f>IF(COUNTIFS(Phrases!$A:$A,$A411,Phrases!$I:$I,"&lt;&gt;")&gt;0,"ok","à faire")</f>
        <v>à faire</v>
      </c>
      <c r="I411" s="17" t="str">
        <f>IF(COUNTIF(Synonymes!$A:$A,$A411)&gt;0,"ok","")</f>
        <v>ok</v>
      </c>
      <c r="J411" s="17">
        <f t="shared" si="6"/>
        <v>1</v>
      </c>
    </row>
    <row r="412" spans="1:10" x14ac:dyDescent="0.3">
      <c r="A412" s="17" t="s">
        <v>2342</v>
      </c>
      <c r="B412" s="17" t="str">
        <f>IFERROR(INDEX(Mots!$B:$B,MATCH($A412,Mots!$A:$A,0)),"introuvable")</f>
        <v>l'Ipad ou la tablette</v>
      </c>
      <c r="C412" s="17" t="str">
        <f>IFERROR(INDEX(Mots!$N:$N,MATCH($A412,Mots!$A:$A,0)),"")</f>
        <v>chose</v>
      </c>
      <c r="D412" s="17">
        <f>IFERROR(COUNTA(INDEX(Mots!$E:$E,MATCH($A412,Mots!$A:$A,0)):INDEX(Mots!$K:$K,MATCH($A412,Mots!$A:$A,0))),0)</f>
        <v>1</v>
      </c>
      <c r="E412" s="17" t="str">
        <f>IF(COUNTIF(Classement!$A:$A,$A412)&gt;0,"ok","à faire")</f>
        <v>ok</v>
      </c>
      <c r="F412" s="17" t="str">
        <f>IF(COUNTIF(Tags!$A:$A,$A412)&gt;0,"ok","à faire")</f>
        <v>ok</v>
      </c>
      <c r="G412" s="17" t="str">
        <f>IF(COUNTIF(Phrases!$A:$A,$A412)&gt;0,"ok","à faire")</f>
        <v>à faire</v>
      </c>
      <c r="H412" s="17" t="str">
        <f>IF(COUNTIFS(Phrases!$A:$A,$A412,Phrases!$I:$I,"&lt;&gt;")&gt;0,"ok","à faire")</f>
        <v>à faire</v>
      </c>
      <c r="I412" s="17" t="str">
        <f>IF(COUNTIF(Synonymes!$A:$A,$A412)&gt;0,"ok","")</f>
        <v/>
      </c>
      <c r="J412" s="17">
        <f t="shared" si="6"/>
        <v>2</v>
      </c>
    </row>
    <row r="413" spans="1:10" x14ac:dyDescent="0.3">
      <c r="A413" s="17" t="s">
        <v>2346</v>
      </c>
      <c r="B413" s="17" t="str">
        <f>IFERROR(INDEX(Mots!$B:$B,MATCH($A413,Mots!$A:$A,0)),"introuvable")</f>
        <v>marron</v>
      </c>
      <c r="C413" s="17" t="str">
        <f>IFERROR(INDEX(Mots!$N:$N,MATCH($A413,Mots!$A:$A,0)),"")</f>
        <v>qualité</v>
      </c>
      <c r="D413" s="17">
        <f>IFERROR(COUNTA(INDEX(Mots!$E:$E,MATCH($A413,Mots!$A:$A,0)):INDEX(Mots!$K:$K,MATCH($A413,Mots!$A:$A,0))),0)</f>
        <v>1</v>
      </c>
      <c r="E413" s="17" t="str">
        <f>IF(COUNTIF(Classement!$A:$A,$A413)&gt;0,"ok","à faire")</f>
        <v>ok</v>
      </c>
      <c r="F413" s="17" t="str">
        <f>IF(COUNTIF(Tags!$A:$A,$A413)&gt;0,"ok","à faire")</f>
        <v>ok</v>
      </c>
      <c r="G413" s="17" t="str">
        <f>IF(COUNTIF(Phrases!$A:$A,$A413)&gt;0,"ok","à faire")</f>
        <v>ok</v>
      </c>
      <c r="H413" s="17" t="str">
        <f>IF(COUNTIFS(Phrases!$A:$A,$A413,Phrases!$I:$I,"&lt;&gt;")&gt;0,"ok","à faire")</f>
        <v>à faire</v>
      </c>
      <c r="I413" s="17" t="str">
        <f>IF(COUNTIF(Synonymes!$A:$A,$A413)&gt;0,"ok","")</f>
        <v/>
      </c>
      <c r="J413" s="17">
        <f t="shared" si="6"/>
        <v>1</v>
      </c>
    </row>
    <row r="414" spans="1:10" x14ac:dyDescent="0.3">
      <c r="A414" s="17" t="s">
        <v>2350</v>
      </c>
      <c r="B414" s="17" t="str">
        <f>IFERROR(INDEX(Mots!$B:$B,MATCH($A414,Mots!$A:$A,0)),"introuvable")</f>
        <v>noir</v>
      </c>
      <c r="C414" s="17" t="str">
        <f>IFERROR(INDEX(Mots!$N:$N,MATCH($A414,Mots!$A:$A,0)),"")</f>
        <v>qualité</v>
      </c>
      <c r="D414" s="17">
        <f>IFERROR(COUNTA(INDEX(Mots!$E:$E,MATCH($A414,Mots!$A:$A,0)):INDEX(Mots!$K:$K,MATCH($A414,Mots!$A:$A,0))),0)</f>
        <v>1</v>
      </c>
      <c r="E414" s="17" t="str">
        <f>IF(COUNTIF(Classement!$A:$A,$A414)&gt;0,"ok","à faire")</f>
        <v>ok</v>
      </c>
      <c r="F414" s="17" t="str">
        <f>IF(COUNTIF(Tags!$A:$A,$A414)&gt;0,"ok","à faire")</f>
        <v>ok</v>
      </c>
      <c r="G414" s="17" t="str">
        <f>IF(COUNTIF(Phrases!$A:$A,$A414)&gt;0,"ok","à faire")</f>
        <v>ok</v>
      </c>
      <c r="H414" s="17" t="str">
        <f>IF(COUNTIFS(Phrases!$A:$A,$A414,Phrases!$I:$I,"&lt;&gt;")&gt;0,"ok","à faire")</f>
        <v>ok</v>
      </c>
      <c r="I414" s="17" t="str">
        <f>IF(COUNTIF(Synonymes!$A:$A,$A414)&gt;0,"ok","")</f>
        <v/>
      </c>
      <c r="J414" s="17">
        <f t="shared" si="6"/>
        <v>0</v>
      </c>
    </row>
    <row r="415" spans="1:10" x14ac:dyDescent="0.3">
      <c r="A415" s="17" t="s">
        <v>2354</v>
      </c>
      <c r="B415" s="17" t="str">
        <f>IFERROR(INDEX(Mots!$B:$B,MATCH($A415,Mots!$A:$A,0)),"introuvable")</f>
        <v>orange</v>
      </c>
      <c r="C415" s="17" t="str">
        <f>IFERROR(INDEX(Mots!$N:$N,MATCH($A415,Mots!$A:$A,0)),"")</f>
        <v>qualité</v>
      </c>
      <c r="D415" s="17">
        <f>IFERROR(COUNTA(INDEX(Mots!$E:$E,MATCH($A415,Mots!$A:$A,0)):INDEX(Mots!$K:$K,MATCH($A415,Mots!$A:$A,0))),0)</f>
        <v>1</v>
      </c>
      <c r="E415" s="17" t="str">
        <f>IF(COUNTIF(Classement!$A:$A,$A415)&gt;0,"ok","à faire")</f>
        <v>ok</v>
      </c>
      <c r="F415" s="17" t="str">
        <f>IF(COUNTIF(Tags!$A:$A,$A415)&gt;0,"ok","à faire")</f>
        <v>ok</v>
      </c>
      <c r="G415" s="17" t="str">
        <f>IF(COUNTIF(Phrases!$A:$A,$A415)&gt;0,"ok","à faire")</f>
        <v>ok</v>
      </c>
      <c r="H415" s="17" t="str">
        <f>IF(COUNTIFS(Phrases!$A:$A,$A415,Phrases!$I:$I,"&lt;&gt;")&gt;0,"ok","à faire")</f>
        <v>à faire</v>
      </c>
      <c r="I415" s="17" t="str">
        <f>IF(COUNTIF(Synonymes!$A:$A,$A415)&gt;0,"ok","")</f>
        <v/>
      </c>
      <c r="J415" s="17">
        <f t="shared" si="6"/>
        <v>1</v>
      </c>
    </row>
    <row r="416" spans="1:10" x14ac:dyDescent="0.3">
      <c r="A416" s="17" t="s">
        <v>2357</v>
      </c>
      <c r="B416" s="17" t="str">
        <f>IFERROR(INDEX(Mots!$B:$B,MATCH($A416,Mots!$A:$A,0)),"introuvable")</f>
        <v>rose</v>
      </c>
      <c r="C416" s="17" t="str">
        <f>IFERROR(INDEX(Mots!$N:$N,MATCH($A416,Mots!$A:$A,0)),"")</f>
        <v>qualité</v>
      </c>
      <c r="D416" s="17">
        <f>IFERROR(COUNTA(INDEX(Mots!$E:$E,MATCH($A416,Mots!$A:$A,0)):INDEX(Mots!$K:$K,MATCH($A416,Mots!$A:$A,0))),0)</f>
        <v>1</v>
      </c>
      <c r="E416" s="17" t="str">
        <f>IF(COUNTIF(Classement!$A:$A,$A416)&gt;0,"ok","à faire")</f>
        <v>ok</v>
      </c>
      <c r="F416" s="17" t="str">
        <f>IF(COUNTIF(Tags!$A:$A,$A416)&gt;0,"ok","à faire")</f>
        <v>ok</v>
      </c>
      <c r="G416" s="17" t="str">
        <f>IF(COUNTIF(Phrases!$A:$A,$A416)&gt;0,"ok","à faire")</f>
        <v>ok</v>
      </c>
      <c r="H416" s="17" t="str">
        <f>IF(COUNTIFS(Phrases!$A:$A,$A416,Phrases!$I:$I,"&lt;&gt;")&gt;0,"ok","à faire")</f>
        <v>à faire</v>
      </c>
      <c r="I416" s="17" t="str">
        <f>IF(COUNTIF(Synonymes!$A:$A,$A416)&gt;0,"ok","")</f>
        <v/>
      </c>
      <c r="J416" s="17">
        <f t="shared" si="6"/>
        <v>1</v>
      </c>
    </row>
    <row r="417" spans="1:10" x14ac:dyDescent="0.3">
      <c r="A417" s="17" t="s">
        <v>2361</v>
      </c>
      <c r="B417" s="17" t="str">
        <f>IFERROR(INDEX(Mots!$B:$B,MATCH($A417,Mots!$A:$A,0)),"introuvable")</f>
        <v>rouge</v>
      </c>
      <c r="C417" s="17" t="str">
        <f>IFERROR(INDEX(Mots!$N:$N,MATCH($A417,Mots!$A:$A,0)),"")</f>
        <v>qualité</v>
      </c>
      <c r="D417" s="17">
        <f>IFERROR(COUNTA(INDEX(Mots!$E:$E,MATCH($A417,Mots!$A:$A,0)):INDEX(Mots!$K:$K,MATCH($A417,Mots!$A:$A,0))),0)</f>
        <v>1</v>
      </c>
      <c r="E417" s="17" t="str">
        <f>IF(COUNTIF(Classement!$A:$A,$A417)&gt;0,"ok","à faire")</f>
        <v>ok</v>
      </c>
      <c r="F417" s="17" t="str">
        <f>IF(COUNTIF(Tags!$A:$A,$A417)&gt;0,"ok","à faire")</f>
        <v>ok</v>
      </c>
      <c r="G417" s="17" t="str">
        <f>IF(COUNTIF(Phrases!$A:$A,$A417)&gt;0,"ok","à faire")</f>
        <v>ok</v>
      </c>
      <c r="H417" s="17" t="str">
        <f>IF(COUNTIFS(Phrases!$A:$A,$A417,Phrases!$I:$I,"&lt;&gt;")&gt;0,"ok","à faire")</f>
        <v>ok</v>
      </c>
      <c r="I417" s="17" t="str">
        <f>IF(COUNTIF(Synonymes!$A:$A,$A417)&gt;0,"ok","")</f>
        <v/>
      </c>
      <c r="J417" s="17">
        <f t="shared" si="6"/>
        <v>0</v>
      </c>
    </row>
    <row r="418" spans="1:10" x14ac:dyDescent="0.3">
      <c r="A418" s="17" t="s">
        <v>2365</v>
      </c>
      <c r="B418" s="17" t="str">
        <f>IFERROR(INDEX(Mots!$B:$B,MATCH($A418,Mots!$A:$A,0)),"introuvable")</f>
        <v>vert</v>
      </c>
      <c r="C418" s="17" t="str">
        <f>IFERROR(INDEX(Mots!$N:$N,MATCH($A418,Mots!$A:$A,0)),"")</f>
        <v>qualité</v>
      </c>
      <c r="D418" s="17">
        <f>IFERROR(COUNTA(INDEX(Mots!$E:$E,MATCH($A418,Mots!$A:$A,0)):INDEX(Mots!$K:$K,MATCH($A418,Mots!$A:$A,0))),0)</f>
        <v>1</v>
      </c>
      <c r="E418" s="17" t="str">
        <f>IF(COUNTIF(Classement!$A:$A,$A418)&gt;0,"ok","à faire")</f>
        <v>ok</v>
      </c>
      <c r="F418" s="17" t="str">
        <f>IF(COUNTIF(Tags!$A:$A,$A418)&gt;0,"ok","à faire")</f>
        <v>ok</v>
      </c>
      <c r="G418" s="17" t="str">
        <f>IF(COUNTIF(Phrases!$A:$A,$A418)&gt;0,"ok","à faire")</f>
        <v>ok</v>
      </c>
      <c r="H418" s="17" t="str">
        <f>IF(COUNTIFS(Phrases!$A:$A,$A418,Phrases!$I:$I,"&lt;&gt;")&gt;0,"ok","à faire")</f>
        <v>ok</v>
      </c>
      <c r="I418" s="17" t="str">
        <f>IF(COUNTIF(Synonymes!$A:$A,$A418)&gt;0,"ok","")</f>
        <v/>
      </c>
      <c r="J418" s="17">
        <f t="shared" si="6"/>
        <v>0</v>
      </c>
    </row>
    <row r="419" spans="1:10" x14ac:dyDescent="0.3">
      <c r="A419" s="17" t="s">
        <v>2369</v>
      </c>
      <c r="B419" s="17" t="str">
        <f>IFERROR(INDEX(Mots!$B:$B,MATCH($A419,Mots!$A:$A,0)),"introuvable")</f>
        <v>amer  ↔  acide</v>
      </c>
      <c r="C419" s="17" t="str">
        <f>IFERROR(INDEX(Mots!$N:$N,MATCH($A419,Mots!$A:$A,0)),"")</f>
        <v>qualité</v>
      </c>
      <c r="D419" s="17">
        <f>IFERROR(COUNTA(INDEX(Mots!$E:$E,MATCH($A419,Mots!$A:$A,0)):INDEX(Mots!$K:$K,MATCH($A419,Mots!$A:$A,0))),0)</f>
        <v>1</v>
      </c>
      <c r="E419" s="17" t="str">
        <f>IF(COUNTIF(Classement!$A:$A,$A419)&gt;0,"ok","à faire")</f>
        <v>ok</v>
      </c>
      <c r="F419" s="17" t="str">
        <f>IF(COUNTIF(Tags!$A:$A,$A419)&gt;0,"ok","à faire")</f>
        <v>ok</v>
      </c>
      <c r="G419" s="17" t="str">
        <f>IF(COUNTIF(Phrases!$A:$A,$A419)&gt;0,"ok","à faire")</f>
        <v>ok</v>
      </c>
      <c r="H419" s="17" t="str">
        <f>IF(COUNTIFS(Phrases!$A:$A,$A419,Phrases!$I:$I,"&lt;&gt;")&gt;0,"ok","à faire")</f>
        <v>à faire</v>
      </c>
      <c r="I419" s="17" t="str">
        <f>IF(COUNTIF(Synonymes!$A:$A,$A419)&gt;0,"ok","")</f>
        <v/>
      </c>
      <c r="J419" s="17">
        <f t="shared" si="6"/>
        <v>1</v>
      </c>
    </row>
    <row r="420" spans="1:10" x14ac:dyDescent="0.3">
      <c r="A420" s="17" t="s">
        <v>2373</v>
      </c>
      <c r="B420" s="17" t="str">
        <f>IFERROR(INDEX(Mots!$B:$B,MATCH($A420,Mots!$A:$A,0)),"introuvable")</f>
        <v>beau  ↔  laid</v>
      </c>
      <c r="C420" s="17" t="str">
        <f>IFERROR(INDEX(Mots!$N:$N,MATCH($A420,Mots!$A:$A,0)),"")</f>
        <v>qualité</v>
      </c>
      <c r="D420" s="17">
        <f>IFERROR(COUNTA(INDEX(Mots!$E:$E,MATCH($A420,Mots!$A:$A,0)):INDEX(Mots!$K:$K,MATCH($A420,Mots!$A:$A,0))),0)</f>
        <v>1</v>
      </c>
      <c r="E420" s="17" t="str">
        <f>IF(COUNTIF(Classement!$A:$A,$A420)&gt;0,"ok","à faire")</f>
        <v>ok</v>
      </c>
      <c r="F420" s="17" t="str">
        <f>IF(COUNTIF(Tags!$A:$A,$A420)&gt;0,"ok","à faire")</f>
        <v>ok</v>
      </c>
      <c r="G420" s="17" t="str">
        <f>IF(COUNTIF(Phrases!$A:$A,$A420)&gt;0,"ok","à faire")</f>
        <v>ok</v>
      </c>
      <c r="H420" s="17" t="str">
        <f>IF(COUNTIFS(Phrases!$A:$A,$A420,Phrases!$I:$I,"&lt;&gt;")&gt;0,"ok","à faire")</f>
        <v>à faire</v>
      </c>
      <c r="I420" s="17" t="str">
        <f>IF(COUNTIF(Synonymes!$A:$A,$A420)&gt;0,"ok","")</f>
        <v>ok</v>
      </c>
      <c r="J420" s="17">
        <f t="shared" si="6"/>
        <v>1</v>
      </c>
    </row>
    <row r="421" spans="1:10" x14ac:dyDescent="0.3">
      <c r="A421" s="17" t="s">
        <v>2378</v>
      </c>
      <c r="B421" s="17" t="str">
        <f>IFERROR(INDEX(Mots!$B:$B,MATCH($A421,Mots!$A:$A,0)),"introuvable")</f>
        <v>bon  ↔  mauvais</v>
      </c>
      <c r="C421" s="17" t="str">
        <f>IFERROR(INDEX(Mots!$N:$N,MATCH($A421,Mots!$A:$A,0)),"")</f>
        <v>qualité</v>
      </c>
      <c r="D421" s="17">
        <f>IFERROR(COUNTA(INDEX(Mots!$E:$E,MATCH($A421,Mots!$A:$A,0)):INDEX(Mots!$K:$K,MATCH($A421,Mots!$A:$A,0))),0)</f>
        <v>1</v>
      </c>
      <c r="E421" s="17" t="str">
        <f>IF(COUNTIF(Classement!$A:$A,$A421)&gt;0,"ok","à faire")</f>
        <v>ok</v>
      </c>
      <c r="F421" s="17" t="str">
        <f>IF(COUNTIF(Tags!$A:$A,$A421)&gt;0,"ok","à faire")</f>
        <v>ok</v>
      </c>
      <c r="G421" s="17" t="str">
        <f>IF(COUNTIF(Phrases!$A:$A,$A421)&gt;0,"ok","à faire")</f>
        <v>ok</v>
      </c>
      <c r="H421" s="17" t="str">
        <f>IF(COUNTIFS(Phrases!$A:$A,$A421,Phrases!$I:$I,"&lt;&gt;")&gt;0,"ok","à faire")</f>
        <v>ok</v>
      </c>
      <c r="I421" s="17" t="str">
        <f>IF(COUNTIF(Synonymes!$A:$A,$A421)&gt;0,"ok","")</f>
        <v/>
      </c>
      <c r="J421" s="17">
        <f t="shared" si="6"/>
        <v>0</v>
      </c>
    </row>
    <row r="422" spans="1:10" x14ac:dyDescent="0.3">
      <c r="A422" s="17" t="s">
        <v>2384</v>
      </c>
      <c r="B422" s="17" t="str">
        <f>IFERROR(INDEX(Mots!$B:$B,MATCH($A422,Mots!$A:$A,0)),"introuvable")</f>
        <v>brillant  ↔  terne</v>
      </c>
      <c r="C422" s="17" t="str">
        <f>IFERROR(INDEX(Mots!$N:$N,MATCH($A422,Mots!$A:$A,0)),"")</f>
        <v>qualité</v>
      </c>
      <c r="D422" s="17">
        <f>IFERROR(COUNTA(INDEX(Mots!$E:$E,MATCH($A422,Mots!$A:$A,0)):INDEX(Mots!$K:$K,MATCH($A422,Mots!$A:$A,0))),0)</f>
        <v>1</v>
      </c>
      <c r="E422" s="17" t="str">
        <f>IF(COUNTIF(Classement!$A:$A,$A422)&gt;0,"ok","à faire")</f>
        <v>ok</v>
      </c>
      <c r="F422" s="17" t="str">
        <f>IF(COUNTIF(Tags!$A:$A,$A422)&gt;0,"ok","à faire")</f>
        <v>ok</v>
      </c>
      <c r="G422" s="17" t="str">
        <f>IF(COUNTIF(Phrases!$A:$A,$A422)&gt;0,"ok","à faire")</f>
        <v>ok</v>
      </c>
      <c r="H422" s="17" t="str">
        <f>IF(COUNTIFS(Phrases!$A:$A,$A422,Phrases!$I:$I,"&lt;&gt;")&gt;0,"ok","à faire")</f>
        <v>à faire</v>
      </c>
      <c r="I422" s="17" t="str">
        <f>IF(COUNTIF(Synonymes!$A:$A,$A422)&gt;0,"ok","")</f>
        <v/>
      </c>
      <c r="J422" s="17">
        <f t="shared" si="6"/>
        <v>1</v>
      </c>
    </row>
    <row r="423" spans="1:10" x14ac:dyDescent="0.3">
      <c r="A423" s="17" t="s">
        <v>2388</v>
      </c>
      <c r="B423" s="17" t="str">
        <f>IFERROR(INDEX(Mots!$B:$B,MATCH($A423,Mots!$A:$A,0)),"introuvable")</f>
        <v>calme  ↔  agité (énervé)</v>
      </c>
      <c r="C423" s="17" t="str">
        <f>IFERROR(INDEX(Mots!$N:$N,MATCH($A423,Mots!$A:$A,0)),"")</f>
        <v>qualité</v>
      </c>
      <c r="D423" s="17">
        <f>IFERROR(COUNTA(INDEX(Mots!$E:$E,MATCH($A423,Mots!$A:$A,0)):INDEX(Mots!$K:$K,MATCH($A423,Mots!$A:$A,0))),0)</f>
        <v>1</v>
      </c>
      <c r="E423" s="17" t="str">
        <f>IF(COUNTIF(Classement!$A:$A,$A423)&gt;0,"ok","à faire")</f>
        <v>ok</v>
      </c>
      <c r="F423" s="17" t="str">
        <f>IF(COUNTIF(Tags!$A:$A,$A423)&gt;0,"ok","à faire")</f>
        <v>ok</v>
      </c>
      <c r="G423" s="17" t="str">
        <f>IF(COUNTIF(Phrases!$A:$A,$A423)&gt;0,"ok","à faire")</f>
        <v>ok</v>
      </c>
      <c r="H423" s="17" t="str">
        <f>IF(COUNTIFS(Phrases!$A:$A,$A423,Phrases!$I:$I,"&lt;&gt;")&gt;0,"ok","à faire")</f>
        <v>ok</v>
      </c>
      <c r="I423" s="17" t="str">
        <f>IF(COUNTIF(Synonymes!$A:$A,$A423)&gt;0,"ok","")</f>
        <v>ok</v>
      </c>
      <c r="J423" s="17">
        <f t="shared" si="6"/>
        <v>0</v>
      </c>
    </row>
    <row r="424" spans="1:10" x14ac:dyDescent="0.3">
      <c r="A424" s="17" t="s">
        <v>2394</v>
      </c>
      <c r="B424" s="17" t="str">
        <f>IFERROR(INDEX(Mots!$B:$B,MATCH($A424,Mots!$A:$A,0)),"introuvable")</f>
        <v>chaud  ↔  froid</v>
      </c>
      <c r="C424" s="17" t="str">
        <f>IFERROR(INDEX(Mots!$N:$N,MATCH($A424,Mots!$A:$A,0)),"")</f>
        <v>qualité</v>
      </c>
      <c r="D424" s="17">
        <f>IFERROR(COUNTA(INDEX(Mots!$E:$E,MATCH($A424,Mots!$A:$A,0)):INDEX(Mots!$K:$K,MATCH($A424,Mots!$A:$A,0))),0)</f>
        <v>2</v>
      </c>
      <c r="E424" s="17" t="str">
        <f>IF(COUNTIF(Classement!$A:$A,$A424)&gt;0,"ok","à faire")</f>
        <v>ok</v>
      </c>
      <c r="F424" s="17" t="str">
        <f>IF(COUNTIF(Tags!$A:$A,$A424)&gt;0,"ok","à faire")</f>
        <v>ok</v>
      </c>
      <c r="G424" s="17" t="str">
        <f>IF(COUNTIF(Phrases!$A:$A,$A424)&gt;0,"ok","à faire")</f>
        <v>ok</v>
      </c>
      <c r="H424" s="17" t="str">
        <f>IF(COUNTIFS(Phrases!$A:$A,$A424,Phrases!$I:$I,"&lt;&gt;")&gt;0,"ok","à faire")</f>
        <v>ok</v>
      </c>
      <c r="I424" s="17" t="str">
        <f>IF(COUNTIF(Synonymes!$A:$A,$A424)&gt;0,"ok","")</f>
        <v/>
      </c>
      <c r="J424" s="17">
        <f t="shared" si="6"/>
        <v>0</v>
      </c>
    </row>
    <row r="425" spans="1:10" x14ac:dyDescent="0.3">
      <c r="A425" s="17" t="s">
        <v>2400</v>
      </c>
      <c r="B425" s="17" t="str">
        <f>IFERROR(INDEX(Mots!$B:$B,MATCH($A425,Mots!$A:$A,0)),"introuvable")</f>
        <v>cher  ↔  bon marché</v>
      </c>
      <c r="C425" s="17" t="str">
        <f>IFERROR(INDEX(Mots!$N:$N,MATCH($A425,Mots!$A:$A,0)),"")</f>
        <v>qualité</v>
      </c>
      <c r="D425" s="17">
        <f>IFERROR(COUNTA(INDEX(Mots!$E:$E,MATCH($A425,Mots!$A:$A,0)):INDEX(Mots!$K:$K,MATCH($A425,Mots!$A:$A,0))),0)</f>
        <v>2</v>
      </c>
      <c r="E425" s="17" t="str">
        <f>IF(COUNTIF(Classement!$A:$A,$A425)&gt;0,"ok","à faire")</f>
        <v>ok</v>
      </c>
      <c r="F425" s="17" t="str">
        <f>IF(COUNTIF(Tags!$A:$A,$A425)&gt;0,"ok","à faire")</f>
        <v>ok</v>
      </c>
      <c r="G425" s="17" t="str">
        <f>IF(COUNTIF(Phrases!$A:$A,$A425)&gt;0,"ok","à faire")</f>
        <v>ok</v>
      </c>
      <c r="H425" s="17" t="str">
        <f>IF(COUNTIFS(Phrases!$A:$A,$A425,Phrases!$I:$I,"&lt;&gt;")&gt;0,"ok","à faire")</f>
        <v>ok</v>
      </c>
      <c r="I425" s="17" t="str">
        <f>IF(COUNTIF(Synonymes!$A:$A,$A425)&gt;0,"ok","")</f>
        <v/>
      </c>
      <c r="J425" s="17">
        <f t="shared" si="6"/>
        <v>0</v>
      </c>
    </row>
    <row r="426" spans="1:10" x14ac:dyDescent="0.3">
      <c r="A426" s="17" t="s">
        <v>2405</v>
      </c>
      <c r="B426" s="17" t="str">
        <f>IFERROR(INDEX(Mots!$B:$B,MATCH($A426,Mots!$A:$A,0)),"introuvable")</f>
        <v>clair  ↔  sombre</v>
      </c>
      <c r="C426" s="17" t="str">
        <f>IFERROR(INDEX(Mots!$N:$N,MATCH($A426,Mots!$A:$A,0)),"")</f>
        <v>qualité</v>
      </c>
      <c r="D426" s="17">
        <f>IFERROR(COUNTA(INDEX(Mots!$E:$E,MATCH($A426,Mots!$A:$A,0)):INDEX(Mots!$K:$K,MATCH($A426,Mots!$A:$A,0))),0)</f>
        <v>1</v>
      </c>
      <c r="E426" s="17" t="str">
        <f>IF(COUNTIF(Classement!$A:$A,$A426)&gt;0,"ok","à faire")</f>
        <v>ok</v>
      </c>
      <c r="F426" s="17" t="str">
        <f>IF(COUNTIF(Tags!$A:$A,$A426)&gt;0,"ok","à faire")</f>
        <v>ok</v>
      </c>
      <c r="G426" s="17" t="str">
        <f>IF(COUNTIF(Phrases!$A:$A,$A426)&gt;0,"ok","à faire")</f>
        <v>ok</v>
      </c>
      <c r="H426" s="17" t="str">
        <f>IF(COUNTIFS(Phrases!$A:$A,$A426,Phrases!$I:$I,"&lt;&gt;")&gt;0,"ok","à faire")</f>
        <v>ok</v>
      </c>
      <c r="I426" s="17" t="str">
        <f>IF(COUNTIF(Synonymes!$A:$A,$A426)&gt;0,"ok","")</f>
        <v/>
      </c>
      <c r="J426" s="17">
        <f t="shared" si="6"/>
        <v>0</v>
      </c>
    </row>
    <row r="427" spans="1:10" x14ac:dyDescent="0.3">
      <c r="A427" s="17" t="s">
        <v>2411</v>
      </c>
      <c r="B427" s="17" t="str">
        <f>IFERROR(INDEX(Mots!$B:$B,MATCH($A427,Mots!$A:$A,0)),"introuvable")</f>
        <v>content  ↔  triste</v>
      </c>
      <c r="C427" s="17" t="str">
        <f>IFERROR(INDEX(Mots!$N:$N,MATCH($A427,Mots!$A:$A,0)),"")</f>
        <v>qualité</v>
      </c>
      <c r="D427" s="17">
        <f>IFERROR(COUNTA(INDEX(Mots!$E:$E,MATCH($A427,Mots!$A:$A,0)):INDEX(Mots!$K:$K,MATCH($A427,Mots!$A:$A,0))),0)</f>
        <v>1</v>
      </c>
      <c r="E427" s="17" t="str">
        <f>IF(COUNTIF(Classement!$A:$A,$A427)&gt;0,"ok","à faire")</f>
        <v>ok</v>
      </c>
      <c r="F427" s="17" t="str">
        <f>IF(COUNTIF(Tags!$A:$A,$A427)&gt;0,"ok","à faire")</f>
        <v>ok</v>
      </c>
      <c r="G427" s="17" t="str">
        <f>IF(COUNTIF(Phrases!$A:$A,$A427)&gt;0,"ok","à faire")</f>
        <v>ok</v>
      </c>
      <c r="H427" s="17" t="str">
        <f>IF(COUNTIFS(Phrases!$A:$A,$A427,Phrases!$I:$I,"&lt;&gt;")&gt;0,"ok","à faire")</f>
        <v>à faire</v>
      </c>
      <c r="I427" s="17" t="str">
        <f>IF(COUNTIF(Synonymes!$A:$A,$A427)&gt;0,"ok","")</f>
        <v/>
      </c>
      <c r="J427" s="17">
        <f t="shared" si="6"/>
        <v>1</v>
      </c>
    </row>
    <row r="428" spans="1:10" x14ac:dyDescent="0.3">
      <c r="A428" s="17" t="s">
        <v>2417</v>
      </c>
      <c r="B428" s="17" t="str">
        <f>IFERROR(INDEX(Mots!$B:$B,MATCH($A428,Mots!$A:$A,0)),"introuvable")</f>
        <v>courageux  ↔  peureux</v>
      </c>
      <c r="C428" s="17" t="str">
        <f>IFERROR(INDEX(Mots!$N:$N,MATCH($A428,Mots!$A:$A,0)),"")</f>
        <v>qualité</v>
      </c>
      <c r="D428" s="17">
        <f>IFERROR(COUNTA(INDEX(Mots!$E:$E,MATCH($A428,Mots!$A:$A,0)):INDEX(Mots!$K:$K,MATCH($A428,Mots!$A:$A,0))),0)</f>
        <v>1</v>
      </c>
      <c r="E428" s="17" t="str">
        <f>IF(COUNTIF(Classement!$A:$A,$A428)&gt;0,"ok","à faire")</f>
        <v>ok</v>
      </c>
      <c r="F428" s="17" t="str">
        <f>IF(COUNTIF(Tags!$A:$A,$A428)&gt;0,"ok","à faire")</f>
        <v>ok</v>
      </c>
      <c r="G428" s="17" t="str">
        <f>IF(COUNTIF(Phrases!$A:$A,$A428)&gt;0,"ok","à faire")</f>
        <v>ok</v>
      </c>
      <c r="H428" s="17" t="str">
        <f>IF(COUNTIFS(Phrases!$A:$A,$A428,Phrases!$I:$I,"&lt;&gt;")&gt;0,"ok","à faire")</f>
        <v>ok</v>
      </c>
      <c r="I428" s="17" t="str">
        <f>IF(COUNTIF(Synonymes!$A:$A,$A428)&gt;0,"ok","")</f>
        <v/>
      </c>
      <c r="J428" s="17">
        <f t="shared" si="6"/>
        <v>0</v>
      </c>
    </row>
    <row r="429" spans="1:10" x14ac:dyDescent="0.3">
      <c r="A429" s="17" t="s">
        <v>2423</v>
      </c>
      <c r="B429" s="17" t="str">
        <f>IFERROR(INDEX(Mots!$B:$B,MATCH($A429,Mots!$A:$A,0)),"introuvable")</f>
        <v>dessus  ↔  dessous</v>
      </c>
      <c r="C429" s="17" t="str">
        <f>IFERROR(INDEX(Mots!$N:$N,MATCH($A429,Mots!$A:$A,0)),"")</f>
        <v>qualité</v>
      </c>
      <c r="D429" s="17">
        <f>IFERROR(COUNTA(INDEX(Mots!$E:$E,MATCH($A429,Mots!$A:$A,0)):INDEX(Mots!$K:$K,MATCH($A429,Mots!$A:$A,0))),0)</f>
        <v>1</v>
      </c>
      <c r="E429" s="17" t="str">
        <f>IF(COUNTIF(Classement!$A:$A,$A429)&gt;0,"ok","à faire")</f>
        <v>ok</v>
      </c>
      <c r="F429" s="17" t="str">
        <f>IF(COUNTIF(Tags!$A:$A,$A429)&gt;0,"ok","à faire")</f>
        <v>ok</v>
      </c>
      <c r="G429" s="17" t="str">
        <f>IF(COUNTIF(Phrases!$A:$A,$A429)&gt;0,"ok","à faire")</f>
        <v>ok</v>
      </c>
      <c r="H429" s="17" t="str">
        <f>IF(COUNTIFS(Phrases!$A:$A,$A429,Phrases!$I:$I,"&lt;&gt;")&gt;0,"ok","à faire")</f>
        <v>ok</v>
      </c>
      <c r="I429" s="17" t="str">
        <f>IF(COUNTIF(Synonymes!$A:$A,$A429)&gt;0,"ok","")</f>
        <v/>
      </c>
      <c r="J429" s="17">
        <f t="shared" si="6"/>
        <v>0</v>
      </c>
    </row>
    <row r="430" spans="1:10" x14ac:dyDescent="0.3">
      <c r="A430" s="17" t="s">
        <v>2427</v>
      </c>
      <c r="B430" s="17" t="str">
        <f>IFERROR(INDEX(Mots!$B:$B,MATCH($A430,Mots!$A:$A,0)),"introuvable")</f>
        <v>devant  ↔  derrière</v>
      </c>
      <c r="C430" s="17" t="str">
        <f>IFERROR(INDEX(Mots!$N:$N,MATCH($A430,Mots!$A:$A,0)),"")</f>
        <v>qualité</v>
      </c>
      <c r="D430" s="17">
        <f>IFERROR(COUNTA(INDEX(Mots!$E:$E,MATCH($A430,Mots!$A:$A,0)):INDEX(Mots!$K:$K,MATCH($A430,Mots!$A:$A,0))),0)</f>
        <v>1</v>
      </c>
      <c r="E430" s="17" t="str">
        <f>IF(COUNTIF(Classement!$A:$A,$A430)&gt;0,"ok","à faire")</f>
        <v>ok</v>
      </c>
      <c r="F430" s="17" t="str">
        <f>IF(COUNTIF(Tags!$A:$A,$A430)&gt;0,"ok","à faire")</f>
        <v>ok</v>
      </c>
      <c r="G430" s="17" t="str">
        <f>IF(COUNTIF(Phrases!$A:$A,$A430)&gt;0,"ok","à faire")</f>
        <v>ok</v>
      </c>
      <c r="H430" s="17" t="str">
        <f>IF(COUNTIFS(Phrases!$A:$A,$A430,Phrases!$I:$I,"&lt;&gt;")&gt;0,"ok","à faire")</f>
        <v>ok</v>
      </c>
      <c r="I430" s="17" t="str">
        <f>IF(COUNTIF(Synonymes!$A:$A,$A430)&gt;0,"ok","")</f>
        <v/>
      </c>
      <c r="J430" s="17">
        <f t="shared" si="6"/>
        <v>0</v>
      </c>
    </row>
    <row r="431" spans="1:10" x14ac:dyDescent="0.3">
      <c r="A431" s="17" t="s">
        <v>2431</v>
      </c>
      <c r="B431" s="17" t="str">
        <f>IFERROR(INDEX(Mots!$B:$B,MATCH($A431,Mots!$A:$A,0)),"introuvable")</f>
        <v>drôle  ↔  sérieux</v>
      </c>
      <c r="C431" s="17" t="str">
        <f>IFERROR(INDEX(Mots!$N:$N,MATCH($A431,Mots!$A:$A,0)),"")</f>
        <v>qualité</v>
      </c>
      <c r="D431" s="17">
        <f>IFERROR(COUNTA(INDEX(Mots!$E:$E,MATCH($A431,Mots!$A:$A,0)):INDEX(Mots!$K:$K,MATCH($A431,Mots!$A:$A,0))),0)</f>
        <v>1</v>
      </c>
      <c r="E431" s="17" t="str">
        <f>IF(COUNTIF(Classement!$A:$A,$A431)&gt;0,"ok","à faire")</f>
        <v>ok</v>
      </c>
      <c r="F431" s="17" t="str">
        <f>IF(COUNTIF(Tags!$A:$A,$A431)&gt;0,"ok","à faire")</f>
        <v>ok</v>
      </c>
      <c r="G431" s="17" t="str">
        <f>IF(COUNTIF(Phrases!$A:$A,$A431)&gt;0,"ok","à faire")</f>
        <v>ok</v>
      </c>
      <c r="H431" s="17" t="str">
        <f>IF(COUNTIFS(Phrases!$A:$A,$A431,Phrases!$I:$I,"&lt;&gt;")&gt;0,"ok","à faire")</f>
        <v>ok</v>
      </c>
      <c r="I431" s="17" t="str">
        <f>IF(COUNTIF(Synonymes!$A:$A,$A431)&gt;0,"ok","")</f>
        <v/>
      </c>
      <c r="J431" s="17">
        <f t="shared" si="6"/>
        <v>0</v>
      </c>
    </row>
    <row r="432" spans="1:10" x14ac:dyDescent="0.3">
      <c r="A432" s="17" t="s">
        <v>2437</v>
      </c>
      <c r="B432" s="17" t="str">
        <f>IFERROR(INDEX(Mots!$B:$B,MATCH($A432,Mots!$A:$A,0)),"introuvable")</f>
        <v>dur  ↔  mou</v>
      </c>
      <c r="C432" s="17" t="str">
        <f>IFERROR(INDEX(Mots!$N:$N,MATCH($A432,Mots!$A:$A,0)),"")</f>
        <v>qualité</v>
      </c>
      <c r="D432" s="17">
        <f>IFERROR(COUNTA(INDEX(Mots!$E:$E,MATCH($A432,Mots!$A:$A,0)):INDEX(Mots!$K:$K,MATCH($A432,Mots!$A:$A,0))),0)</f>
        <v>1</v>
      </c>
      <c r="E432" s="17" t="str">
        <f>IF(COUNTIF(Classement!$A:$A,$A432)&gt;0,"ok","à faire")</f>
        <v>ok</v>
      </c>
      <c r="F432" s="17" t="str">
        <f>IF(COUNTIF(Tags!$A:$A,$A432)&gt;0,"ok","à faire")</f>
        <v>ok</v>
      </c>
      <c r="G432" s="17" t="str">
        <f>IF(COUNTIF(Phrases!$A:$A,$A432)&gt;0,"ok","à faire")</f>
        <v>ok</v>
      </c>
      <c r="H432" s="17" t="str">
        <f>IF(COUNTIFS(Phrases!$A:$A,$A432,Phrases!$I:$I,"&lt;&gt;")&gt;0,"ok","à faire")</f>
        <v>à faire</v>
      </c>
      <c r="I432" s="17" t="str">
        <f>IF(COUNTIF(Synonymes!$A:$A,$A432)&gt;0,"ok","")</f>
        <v/>
      </c>
      <c r="J432" s="17">
        <f t="shared" si="6"/>
        <v>1</v>
      </c>
    </row>
    <row r="433" spans="1:10" x14ac:dyDescent="0.3">
      <c r="A433" s="17" t="s">
        <v>2443</v>
      </c>
      <c r="B433" s="17" t="str">
        <f>IFERROR(INDEX(Mots!$B:$B,MATCH($A433,Mots!$A:$A,0)),"introuvable")</f>
        <v>épais  ↔  fin</v>
      </c>
      <c r="C433" s="17" t="str">
        <f>IFERROR(INDEX(Mots!$N:$N,MATCH($A433,Mots!$A:$A,0)),"")</f>
        <v>qualité</v>
      </c>
      <c r="D433" s="17">
        <f>IFERROR(COUNTA(INDEX(Mots!$E:$E,MATCH($A433,Mots!$A:$A,0)):INDEX(Mots!$K:$K,MATCH($A433,Mots!$A:$A,0))),0)</f>
        <v>1</v>
      </c>
      <c r="E433" s="17" t="str">
        <f>IF(COUNTIF(Classement!$A:$A,$A433)&gt;0,"ok","à faire")</f>
        <v>ok</v>
      </c>
      <c r="F433" s="17" t="str">
        <f>IF(COUNTIF(Tags!$A:$A,$A433)&gt;0,"ok","à faire")</f>
        <v>ok</v>
      </c>
      <c r="G433" s="17" t="str">
        <f>IF(COUNTIF(Phrases!$A:$A,$A433)&gt;0,"ok","à faire")</f>
        <v>ok</v>
      </c>
      <c r="H433" s="17" t="str">
        <f>IF(COUNTIFS(Phrases!$A:$A,$A433,Phrases!$I:$I,"&lt;&gt;")&gt;0,"ok","à faire")</f>
        <v>à faire</v>
      </c>
      <c r="I433" s="17" t="str">
        <f>IF(COUNTIF(Synonymes!$A:$A,$A433)&gt;0,"ok","")</f>
        <v/>
      </c>
      <c r="J433" s="17">
        <f t="shared" si="6"/>
        <v>1</v>
      </c>
    </row>
    <row r="434" spans="1:10" x14ac:dyDescent="0.3">
      <c r="A434" s="17" t="s">
        <v>2449</v>
      </c>
      <c r="B434" s="17" t="str">
        <f>IFERROR(INDEX(Mots!$B:$B,MATCH($A434,Mots!$A:$A,0)),"introuvable")</f>
        <v>facile  ↔  difficile</v>
      </c>
      <c r="C434" s="17" t="str">
        <f>IFERROR(INDEX(Mots!$N:$N,MATCH($A434,Mots!$A:$A,0)),"")</f>
        <v>qualité</v>
      </c>
      <c r="D434" s="17">
        <f>IFERROR(COUNTA(INDEX(Mots!$E:$E,MATCH($A434,Mots!$A:$A,0)):INDEX(Mots!$K:$K,MATCH($A434,Mots!$A:$A,0))),0)</f>
        <v>1</v>
      </c>
      <c r="E434" s="17" t="str">
        <f>IF(COUNTIF(Classement!$A:$A,$A434)&gt;0,"ok","à faire")</f>
        <v>ok</v>
      </c>
      <c r="F434" s="17" t="str">
        <f>IF(COUNTIF(Tags!$A:$A,$A434)&gt;0,"ok","à faire")</f>
        <v>ok</v>
      </c>
      <c r="G434" s="17" t="str">
        <f>IF(COUNTIF(Phrases!$A:$A,$A434)&gt;0,"ok","à faire")</f>
        <v>ok</v>
      </c>
      <c r="H434" s="17" t="str">
        <f>IF(COUNTIFS(Phrases!$A:$A,$A434,Phrases!$I:$I,"&lt;&gt;")&gt;0,"ok","à faire")</f>
        <v>à faire</v>
      </c>
      <c r="I434" s="17" t="str">
        <f>IF(COUNTIF(Synonymes!$A:$A,$A434)&gt;0,"ok","")</f>
        <v/>
      </c>
      <c r="J434" s="17">
        <f t="shared" si="6"/>
        <v>1</v>
      </c>
    </row>
    <row r="435" spans="1:10" x14ac:dyDescent="0.3">
      <c r="A435" s="17" t="s">
        <v>2455</v>
      </c>
      <c r="B435" s="17" t="str">
        <f>IFERROR(INDEX(Mots!$B:$B,MATCH($A435,Mots!$A:$A,0)),"introuvable")</f>
        <v>fermé  ↔  ouvert</v>
      </c>
      <c r="C435" s="17" t="str">
        <f>IFERROR(INDEX(Mots!$N:$N,MATCH($A435,Mots!$A:$A,0)),"")</f>
        <v>qualité</v>
      </c>
      <c r="D435" s="17">
        <f>IFERROR(COUNTA(INDEX(Mots!$E:$E,MATCH($A435,Mots!$A:$A,0)):INDEX(Mots!$K:$K,MATCH($A435,Mots!$A:$A,0))),0)</f>
        <v>1</v>
      </c>
      <c r="E435" s="17" t="str">
        <f>IF(COUNTIF(Classement!$A:$A,$A435)&gt;0,"ok","à faire")</f>
        <v>ok</v>
      </c>
      <c r="F435" s="17" t="str">
        <f>IF(COUNTIF(Tags!$A:$A,$A435)&gt;0,"ok","à faire")</f>
        <v>ok</v>
      </c>
      <c r="G435" s="17" t="str">
        <f>IF(COUNTIF(Phrases!$A:$A,$A435)&gt;0,"ok","à faire")</f>
        <v>ok</v>
      </c>
      <c r="H435" s="17" t="str">
        <f>IF(COUNTIFS(Phrases!$A:$A,$A435,Phrases!$I:$I,"&lt;&gt;")&gt;0,"ok","à faire")</f>
        <v>ok</v>
      </c>
      <c r="I435" s="17" t="str">
        <f>IF(COUNTIF(Synonymes!$A:$A,$A435)&gt;0,"ok","")</f>
        <v/>
      </c>
      <c r="J435" s="17">
        <f t="shared" si="6"/>
        <v>0</v>
      </c>
    </row>
    <row r="436" spans="1:10" x14ac:dyDescent="0.3">
      <c r="A436" s="17" t="s">
        <v>2461</v>
      </c>
      <c r="B436" s="17" t="str">
        <f>IFERROR(INDEX(Mots!$B:$B,MATCH($A436,Mots!$A:$A,0)),"introuvable")</f>
        <v>fort  ↔  faible</v>
      </c>
      <c r="C436" s="17" t="str">
        <f>IFERROR(INDEX(Mots!$N:$N,MATCH($A436,Mots!$A:$A,0)),"")</f>
        <v>qualité</v>
      </c>
      <c r="D436" s="17">
        <f>IFERROR(COUNTA(INDEX(Mots!$E:$E,MATCH($A436,Mots!$A:$A,0)):INDEX(Mots!$K:$K,MATCH($A436,Mots!$A:$A,0))),0)</f>
        <v>1</v>
      </c>
      <c r="E436" s="17" t="str">
        <f>IF(COUNTIF(Classement!$A:$A,$A436)&gt;0,"ok","à faire")</f>
        <v>ok</v>
      </c>
      <c r="F436" s="17" t="str">
        <f>IF(COUNTIF(Tags!$A:$A,$A436)&gt;0,"ok","à faire")</f>
        <v>ok</v>
      </c>
      <c r="G436" s="17" t="str">
        <f>IF(COUNTIF(Phrases!$A:$A,$A436)&gt;0,"ok","à faire")</f>
        <v>ok</v>
      </c>
      <c r="H436" s="17" t="str">
        <f>IF(COUNTIFS(Phrases!$A:$A,$A436,Phrases!$I:$I,"&lt;&gt;")&gt;0,"ok","à faire")</f>
        <v>ok</v>
      </c>
      <c r="I436" s="17" t="str">
        <f>IF(COUNTIF(Synonymes!$A:$A,$A436)&gt;0,"ok","")</f>
        <v/>
      </c>
      <c r="J436" s="17">
        <f t="shared" si="6"/>
        <v>0</v>
      </c>
    </row>
    <row r="437" spans="1:10" x14ac:dyDescent="0.3">
      <c r="A437" s="17" t="s">
        <v>2467</v>
      </c>
      <c r="B437" s="17" t="str">
        <f>IFERROR(INDEX(Mots!$B:$B,MATCH($A437,Mots!$A:$A,0)),"introuvable")</f>
        <v>gentil  ↔  méchant</v>
      </c>
      <c r="C437" s="17" t="str">
        <f>IFERROR(INDEX(Mots!$N:$N,MATCH($A437,Mots!$A:$A,0)),"")</f>
        <v>qualité</v>
      </c>
      <c r="D437" s="17">
        <f>IFERROR(COUNTA(INDEX(Mots!$E:$E,MATCH($A437,Mots!$A:$A,0)):INDEX(Mots!$K:$K,MATCH($A437,Mots!$A:$A,0))),0)</f>
        <v>2</v>
      </c>
      <c r="E437" s="17" t="str">
        <f>IF(COUNTIF(Classement!$A:$A,$A437)&gt;0,"ok","à faire")</f>
        <v>ok</v>
      </c>
      <c r="F437" s="17" t="str">
        <f>IF(COUNTIF(Tags!$A:$A,$A437)&gt;0,"ok","à faire")</f>
        <v>ok</v>
      </c>
      <c r="G437" s="17" t="str">
        <f>IF(COUNTIF(Phrases!$A:$A,$A437)&gt;0,"ok","à faire")</f>
        <v>ok</v>
      </c>
      <c r="H437" s="17" t="str">
        <f>IF(COUNTIFS(Phrases!$A:$A,$A437,Phrases!$I:$I,"&lt;&gt;")&gt;0,"ok","à faire")</f>
        <v>ok</v>
      </c>
      <c r="I437" s="17" t="str">
        <f>IF(COUNTIF(Synonymes!$A:$A,$A437)&gt;0,"ok","")</f>
        <v/>
      </c>
      <c r="J437" s="17">
        <f t="shared" si="6"/>
        <v>0</v>
      </c>
    </row>
    <row r="438" spans="1:10" x14ac:dyDescent="0.3">
      <c r="A438" s="17" t="s">
        <v>2474</v>
      </c>
      <c r="B438" s="17" t="str">
        <f>IFERROR(INDEX(Mots!$B:$B,MATCH($A438,Mots!$A:$A,0)),"introuvable")</f>
        <v>grand  ↔  petit</v>
      </c>
      <c r="C438" s="17" t="str">
        <f>IFERROR(INDEX(Mots!$N:$N,MATCH($A438,Mots!$A:$A,0)),"")</f>
        <v>qualité</v>
      </c>
      <c r="D438" s="17">
        <f>IFERROR(COUNTA(INDEX(Mots!$E:$E,MATCH($A438,Mots!$A:$A,0)):INDEX(Mots!$K:$K,MATCH($A438,Mots!$A:$A,0))),0)</f>
        <v>1</v>
      </c>
      <c r="E438" s="17" t="str">
        <f>IF(COUNTIF(Classement!$A:$A,$A438)&gt;0,"ok","à faire")</f>
        <v>ok</v>
      </c>
      <c r="F438" s="17" t="str">
        <f>IF(COUNTIF(Tags!$A:$A,$A438)&gt;0,"ok","à faire")</f>
        <v>ok</v>
      </c>
      <c r="G438" s="17" t="str">
        <f>IF(COUNTIF(Phrases!$A:$A,$A438)&gt;0,"ok","à faire")</f>
        <v>ok</v>
      </c>
      <c r="H438" s="17" t="str">
        <f>IF(COUNTIFS(Phrases!$A:$A,$A438,Phrases!$I:$I,"&lt;&gt;")&gt;0,"ok","à faire")</f>
        <v>ok</v>
      </c>
      <c r="I438" s="17" t="str">
        <f>IF(COUNTIF(Synonymes!$A:$A,$A438)&gt;0,"ok","")</f>
        <v/>
      </c>
      <c r="J438" s="17">
        <f t="shared" si="6"/>
        <v>0</v>
      </c>
    </row>
    <row r="439" spans="1:10" x14ac:dyDescent="0.3">
      <c r="A439" s="17" t="s">
        <v>2480</v>
      </c>
      <c r="B439" s="17" t="str">
        <f>IFERROR(INDEX(Mots!$B:$B,MATCH($A439,Mots!$A:$A,0)),"introuvable")</f>
        <v>gros  ↔  mince</v>
      </c>
      <c r="C439" s="17" t="str">
        <f>IFERROR(INDEX(Mots!$N:$N,MATCH($A439,Mots!$A:$A,0)),"")</f>
        <v>qualité</v>
      </c>
      <c r="D439" s="17">
        <f>IFERROR(COUNTA(INDEX(Mots!$E:$E,MATCH($A439,Mots!$A:$A,0)):INDEX(Mots!$K:$K,MATCH($A439,Mots!$A:$A,0))),0)</f>
        <v>1</v>
      </c>
      <c r="E439" s="17" t="str">
        <f>IF(COUNTIF(Classement!$A:$A,$A439)&gt;0,"ok","à faire")</f>
        <v>ok</v>
      </c>
      <c r="F439" s="17" t="str">
        <f>IF(COUNTIF(Tags!$A:$A,$A439)&gt;0,"ok","à faire")</f>
        <v>ok</v>
      </c>
      <c r="G439" s="17" t="str">
        <f>IF(COUNTIF(Phrases!$A:$A,$A439)&gt;0,"ok","à faire")</f>
        <v>ok</v>
      </c>
      <c r="H439" s="17" t="str">
        <f>IF(COUNTIFS(Phrases!$A:$A,$A439,Phrases!$I:$I,"&lt;&gt;")&gt;0,"ok","à faire")</f>
        <v>à faire</v>
      </c>
      <c r="I439" s="17" t="str">
        <f>IF(COUNTIF(Synonymes!$A:$A,$A439)&gt;0,"ok","")</f>
        <v/>
      </c>
      <c r="J439" s="17">
        <f t="shared" si="6"/>
        <v>1</v>
      </c>
    </row>
    <row r="440" spans="1:10" x14ac:dyDescent="0.3">
      <c r="A440" s="17" t="s">
        <v>2485</v>
      </c>
      <c r="B440" s="17" t="str">
        <f>IFERROR(INDEX(Mots!$B:$B,MATCH($A440,Mots!$A:$A,0)),"introuvable")</f>
        <v>haut  ↔  bas</v>
      </c>
      <c r="C440" s="17" t="str">
        <f>IFERROR(INDEX(Mots!$N:$N,MATCH($A440,Mots!$A:$A,0)),"")</f>
        <v>qualité</v>
      </c>
      <c r="D440" s="17">
        <f>IFERROR(COUNTA(INDEX(Mots!$E:$E,MATCH($A440,Mots!$A:$A,0)):INDEX(Mots!$K:$K,MATCH($A440,Mots!$A:$A,0))),0)</f>
        <v>1</v>
      </c>
      <c r="E440" s="17" t="str">
        <f>IF(COUNTIF(Classement!$A:$A,$A440)&gt;0,"ok","à faire")</f>
        <v>ok</v>
      </c>
      <c r="F440" s="17" t="str">
        <f>IF(COUNTIF(Tags!$A:$A,$A440)&gt;0,"ok","à faire")</f>
        <v>ok</v>
      </c>
      <c r="G440" s="17" t="str">
        <f>IF(COUNTIF(Phrases!$A:$A,$A440)&gt;0,"ok","à faire")</f>
        <v>ok</v>
      </c>
      <c r="H440" s="17" t="str">
        <f>IF(COUNTIFS(Phrases!$A:$A,$A440,Phrases!$I:$I,"&lt;&gt;")&gt;0,"ok","à faire")</f>
        <v>à faire</v>
      </c>
      <c r="I440" s="17" t="str">
        <f>IF(COUNTIF(Synonymes!$A:$A,$A440)&gt;0,"ok","")</f>
        <v/>
      </c>
      <c r="J440" s="17">
        <f t="shared" si="6"/>
        <v>1</v>
      </c>
    </row>
    <row r="441" spans="1:10" x14ac:dyDescent="0.3">
      <c r="A441" s="17" t="s">
        <v>2491</v>
      </c>
      <c r="B441" s="17" t="str">
        <f>IFERROR(INDEX(Mots!$B:$B,MATCH($A441,Mots!$A:$A,0)),"introuvable")</f>
        <v>intelligent  ↔  bête</v>
      </c>
      <c r="C441" s="17" t="str">
        <f>IFERROR(INDEX(Mots!$N:$N,MATCH($A441,Mots!$A:$A,0)),"")</f>
        <v>qualité</v>
      </c>
      <c r="D441" s="17">
        <f>IFERROR(COUNTA(INDEX(Mots!$E:$E,MATCH($A441,Mots!$A:$A,0)):INDEX(Mots!$K:$K,MATCH($A441,Mots!$A:$A,0))),0)</f>
        <v>1</v>
      </c>
      <c r="E441" s="17" t="str">
        <f>IF(COUNTIF(Classement!$A:$A,$A441)&gt;0,"ok","à faire")</f>
        <v>ok</v>
      </c>
      <c r="F441" s="17" t="str">
        <f>IF(COUNTIF(Tags!$A:$A,$A441)&gt;0,"ok","à faire")</f>
        <v>ok</v>
      </c>
      <c r="G441" s="17" t="str">
        <f>IF(COUNTIF(Phrases!$A:$A,$A441)&gt;0,"ok","à faire")</f>
        <v>ok</v>
      </c>
      <c r="H441" s="17" t="str">
        <f>IF(COUNTIFS(Phrases!$A:$A,$A441,Phrases!$I:$I,"&lt;&gt;")&gt;0,"ok","à faire")</f>
        <v>à faire</v>
      </c>
      <c r="I441" s="17" t="str">
        <f>IF(COUNTIF(Synonymes!$A:$A,$A441)&gt;0,"ok","")</f>
        <v/>
      </c>
      <c r="J441" s="17">
        <f t="shared" si="6"/>
        <v>1</v>
      </c>
    </row>
    <row r="442" spans="1:10" x14ac:dyDescent="0.3">
      <c r="A442" s="17" t="s">
        <v>2497</v>
      </c>
      <c r="B442" s="17" t="str">
        <f>IFERROR(INDEX(Mots!$B:$B,MATCH($A442,Mots!$A:$A,0)),"introuvable")</f>
        <v>jeune  ↔  vieux</v>
      </c>
      <c r="C442" s="17" t="str">
        <f>IFERROR(INDEX(Mots!$N:$N,MATCH($A442,Mots!$A:$A,0)),"")</f>
        <v>qualité</v>
      </c>
      <c r="D442" s="17">
        <f>IFERROR(COUNTA(INDEX(Mots!$E:$E,MATCH($A442,Mots!$A:$A,0)):INDEX(Mots!$K:$K,MATCH($A442,Mots!$A:$A,0))),0)</f>
        <v>1</v>
      </c>
      <c r="E442" s="17" t="str">
        <f>IF(COUNTIF(Classement!$A:$A,$A442)&gt;0,"ok","à faire")</f>
        <v>ok</v>
      </c>
      <c r="F442" s="17" t="str">
        <f>IF(COUNTIF(Tags!$A:$A,$A442)&gt;0,"ok","à faire")</f>
        <v>ok</v>
      </c>
      <c r="G442" s="17" t="str">
        <f>IF(COUNTIF(Phrases!$A:$A,$A442)&gt;0,"ok","à faire")</f>
        <v>ok</v>
      </c>
      <c r="H442" s="17" t="str">
        <f>IF(COUNTIFS(Phrases!$A:$A,$A442,Phrases!$I:$I,"&lt;&gt;")&gt;0,"ok","à faire")</f>
        <v>ok</v>
      </c>
      <c r="I442" s="17" t="str">
        <f>IF(COUNTIF(Synonymes!$A:$A,$A442)&gt;0,"ok","")</f>
        <v/>
      </c>
      <c r="J442" s="17">
        <f t="shared" si="6"/>
        <v>0</v>
      </c>
    </row>
    <row r="443" spans="1:10" x14ac:dyDescent="0.3">
      <c r="A443" s="17" t="s">
        <v>2503</v>
      </c>
      <c r="B443" s="17" t="str">
        <f>IFERROR(INDEX(Mots!$B:$B,MATCH($A443,Mots!$A:$A,0)),"introuvable")</f>
        <v>large  ↔  étroit</v>
      </c>
      <c r="C443" s="17" t="str">
        <f>IFERROR(INDEX(Mots!$N:$N,MATCH($A443,Mots!$A:$A,0)),"")</f>
        <v>qualité</v>
      </c>
      <c r="D443" s="17">
        <f>IFERROR(COUNTA(INDEX(Mots!$E:$E,MATCH($A443,Mots!$A:$A,0)):INDEX(Mots!$K:$K,MATCH($A443,Mots!$A:$A,0))),0)</f>
        <v>1</v>
      </c>
      <c r="E443" s="17" t="str">
        <f>IF(COUNTIF(Classement!$A:$A,$A443)&gt;0,"ok","à faire")</f>
        <v>ok</v>
      </c>
      <c r="F443" s="17" t="str">
        <f>IF(COUNTIF(Tags!$A:$A,$A443)&gt;0,"ok","à faire")</f>
        <v>ok</v>
      </c>
      <c r="G443" s="17" t="str">
        <f>IF(COUNTIF(Phrases!$A:$A,$A443)&gt;0,"ok","à faire")</f>
        <v>ok</v>
      </c>
      <c r="H443" s="17" t="str">
        <f>IF(COUNTIFS(Phrases!$A:$A,$A443,Phrases!$I:$I,"&lt;&gt;")&gt;0,"ok","à faire")</f>
        <v>à faire</v>
      </c>
      <c r="I443" s="17" t="str">
        <f>IF(COUNTIF(Synonymes!$A:$A,$A443)&gt;0,"ok","")</f>
        <v/>
      </c>
      <c r="J443" s="17">
        <f t="shared" si="6"/>
        <v>1</v>
      </c>
    </row>
    <row r="444" spans="1:10" x14ac:dyDescent="0.3">
      <c r="A444" s="17" t="s">
        <v>2509</v>
      </c>
      <c r="B444" s="17" t="str">
        <f>IFERROR(INDEX(Mots!$B:$B,MATCH($A444,Mots!$A:$A,0)),"introuvable")</f>
        <v>libre  ↔  occupé</v>
      </c>
      <c r="C444" s="17" t="str">
        <f>IFERROR(INDEX(Mots!$N:$N,MATCH($A444,Mots!$A:$A,0)),"")</f>
        <v>qualité</v>
      </c>
      <c r="D444" s="17">
        <f>IFERROR(COUNTA(INDEX(Mots!$E:$E,MATCH($A444,Mots!$A:$A,0)):INDEX(Mots!$K:$K,MATCH($A444,Mots!$A:$A,0))),0)</f>
        <v>1</v>
      </c>
      <c r="E444" s="17" t="str">
        <f>IF(COUNTIF(Classement!$A:$A,$A444)&gt;0,"ok","à faire")</f>
        <v>ok</v>
      </c>
      <c r="F444" s="17" t="str">
        <f>IF(COUNTIF(Tags!$A:$A,$A444)&gt;0,"ok","à faire")</f>
        <v>ok</v>
      </c>
      <c r="G444" s="17" t="str">
        <f>IF(COUNTIF(Phrases!$A:$A,$A444)&gt;0,"ok","à faire")</f>
        <v>ok</v>
      </c>
      <c r="H444" s="17" t="str">
        <f>IF(COUNTIFS(Phrases!$A:$A,$A444,Phrases!$I:$I,"&lt;&gt;")&gt;0,"ok","à faire")</f>
        <v>ok</v>
      </c>
      <c r="I444" s="17" t="str">
        <f>IF(COUNTIF(Synonymes!$A:$A,$A444)&gt;0,"ok","")</f>
        <v/>
      </c>
      <c r="J444" s="17">
        <f t="shared" si="6"/>
        <v>0</v>
      </c>
    </row>
    <row r="445" spans="1:10" x14ac:dyDescent="0.3">
      <c r="A445" s="17" t="s">
        <v>2513</v>
      </c>
      <c r="B445" s="17" t="str">
        <f>IFERROR(INDEX(Mots!$B:$B,MATCH($A445,Mots!$A:$A,0)),"introuvable")</f>
        <v>long  ↔  court</v>
      </c>
      <c r="C445" s="17" t="str">
        <f>IFERROR(INDEX(Mots!$N:$N,MATCH($A445,Mots!$A:$A,0)),"")</f>
        <v>qualité</v>
      </c>
      <c r="D445" s="17">
        <f>IFERROR(COUNTA(INDEX(Mots!$E:$E,MATCH($A445,Mots!$A:$A,0)):INDEX(Mots!$K:$K,MATCH($A445,Mots!$A:$A,0))),0)</f>
        <v>1</v>
      </c>
      <c r="E445" s="17" t="str">
        <f>IF(COUNTIF(Classement!$A:$A,$A445)&gt;0,"ok","à faire")</f>
        <v>ok</v>
      </c>
      <c r="F445" s="17" t="str">
        <f>IF(COUNTIF(Tags!$A:$A,$A445)&gt;0,"ok","à faire")</f>
        <v>ok</v>
      </c>
      <c r="G445" s="17" t="str">
        <f>IF(COUNTIF(Phrases!$A:$A,$A445)&gt;0,"ok","à faire")</f>
        <v>ok</v>
      </c>
      <c r="H445" s="17" t="str">
        <f>IF(COUNTIFS(Phrases!$A:$A,$A445,Phrases!$I:$I,"&lt;&gt;")&gt;0,"ok","à faire")</f>
        <v>ok</v>
      </c>
      <c r="I445" s="17" t="str">
        <f>IF(COUNTIF(Synonymes!$A:$A,$A445)&gt;0,"ok","")</f>
        <v/>
      </c>
      <c r="J445" s="17">
        <f t="shared" si="6"/>
        <v>0</v>
      </c>
    </row>
    <row r="446" spans="1:10" x14ac:dyDescent="0.3">
      <c r="A446" s="17" t="s">
        <v>2519</v>
      </c>
      <c r="B446" s="17" t="str">
        <f>IFERROR(INDEX(Mots!$B:$B,MATCH($A446,Mots!$A:$A,0)),"introuvable")</f>
        <v>lourd  ↔  léger</v>
      </c>
      <c r="C446" s="17" t="str">
        <f>IFERROR(INDEX(Mots!$N:$N,MATCH($A446,Mots!$A:$A,0)),"")</f>
        <v>qualité</v>
      </c>
      <c r="D446" s="17">
        <f>IFERROR(COUNTA(INDEX(Mots!$E:$E,MATCH($A446,Mots!$A:$A,0)):INDEX(Mots!$K:$K,MATCH($A446,Mots!$A:$A,0))),0)</f>
        <v>1</v>
      </c>
      <c r="E446" s="17" t="str">
        <f>IF(COUNTIF(Classement!$A:$A,$A446)&gt;0,"ok","à faire")</f>
        <v>ok</v>
      </c>
      <c r="F446" s="17" t="str">
        <f>IF(COUNTIF(Tags!$A:$A,$A446)&gt;0,"ok","à faire")</f>
        <v>ok</v>
      </c>
      <c r="G446" s="17" t="str">
        <f>IF(COUNTIF(Phrases!$A:$A,$A446)&gt;0,"ok","à faire")</f>
        <v>ok</v>
      </c>
      <c r="H446" s="17" t="str">
        <f>IF(COUNTIFS(Phrases!$A:$A,$A446,Phrases!$I:$I,"&lt;&gt;")&gt;0,"ok","à faire")</f>
        <v>ok</v>
      </c>
      <c r="I446" s="17" t="str">
        <f>IF(COUNTIF(Synonymes!$A:$A,$A446)&gt;0,"ok","")</f>
        <v/>
      </c>
      <c r="J446" s="17">
        <f t="shared" si="6"/>
        <v>0</v>
      </c>
    </row>
    <row r="447" spans="1:10" x14ac:dyDescent="0.3">
      <c r="A447" s="17" t="s">
        <v>2525</v>
      </c>
      <c r="B447" s="17" t="str">
        <f>IFERROR(INDEX(Mots!$B:$B,MATCH($A447,Mots!$A:$A,0)),"introuvable")</f>
        <v>neuf  ↔  usé</v>
      </c>
      <c r="C447" s="17" t="str">
        <f>IFERROR(INDEX(Mots!$N:$N,MATCH($A447,Mots!$A:$A,0)),"")</f>
        <v>qualité</v>
      </c>
      <c r="D447" s="17">
        <f>IFERROR(COUNTA(INDEX(Mots!$E:$E,MATCH($A447,Mots!$A:$A,0)):INDEX(Mots!$K:$K,MATCH($A447,Mots!$A:$A,0))),0)</f>
        <v>1</v>
      </c>
      <c r="E447" s="17" t="str">
        <f>IF(COUNTIF(Classement!$A:$A,$A447)&gt;0,"ok","à faire")</f>
        <v>ok</v>
      </c>
      <c r="F447" s="17" t="str">
        <f>IF(COUNTIF(Tags!$A:$A,$A447)&gt;0,"ok","à faire")</f>
        <v>ok</v>
      </c>
      <c r="G447" s="17" t="str">
        <f>IF(COUNTIF(Phrases!$A:$A,$A447)&gt;0,"ok","à faire")</f>
        <v>ok</v>
      </c>
      <c r="H447" s="17" t="str">
        <f>IF(COUNTIFS(Phrases!$A:$A,$A447,Phrases!$I:$I,"&lt;&gt;")&gt;0,"ok","à faire")</f>
        <v>ok</v>
      </c>
      <c r="I447" s="17" t="str">
        <f>IF(COUNTIF(Synonymes!$A:$A,$A447)&gt;0,"ok","")</f>
        <v/>
      </c>
      <c r="J447" s="17">
        <f t="shared" si="6"/>
        <v>0</v>
      </c>
    </row>
    <row r="448" spans="1:10" x14ac:dyDescent="0.3">
      <c r="A448" s="17" t="s">
        <v>2531</v>
      </c>
      <c r="B448" s="17" t="str">
        <f>IFERROR(INDEX(Mots!$B:$B,MATCH($A448,Mots!$A:$A,0)),"introuvable")</f>
        <v>nouveau  ↔  ancien</v>
      </c>
      <c r="C448" s="17" t="str">
        <f>IFERROR(INDEX(Mots!$N:$N,MATCH($A448,Mots!$A:$A,0)),"")</f>
        <v>qualité</v>
      </c>
      <c r="D448" s="17">
        <f>IFERROR(COUNTA(INDEX(Mots!$E:$E,MATCH($A448,Mots!$A:$A,0)):INDEX(Mots!$K:$K,MATCH($A448,Mots!$A:$A,0))),0)</f>
        <v>1</v>
      </c>
      <c r="E448" s="17" t="str">
        <f>IF(COUNTIF(Classement!$A:$A,$A448)&gt;0,"ok","à faire")</f>
        <v>ok</v>
      </c>
      <c r="F448" s="17" t="str">
        <f>IF(COUNTIF(Tags!$A:$A,$A448)&gt;0,"ok","à faire")</f>
        <v>ok</v>
      </c>
      <c r="G448" s="17" t="str">
        <f>IF(COUNTIF(Phrases!$A:$A,$A448)&gt;0,"ok","à faire")</f>
        <v>ok</v>
      </c>
      <c r="H448" s="17" t="str">
        <f>IF(COUNTIFS(Phrases!$A:$A,$A448,Phrases!$I:$I,"&lt;&gt;")&gt;0,"ok","à faire")</f>
        <v>ok</v>
      </c>
      <c r="I448" s="17" t="str">
        <f>IF(COUNTIF(Synonymes!$A:$A,$A448)&gt;0,"ok","")</f>
        <v/>
      </c>
      <c r="J448" s="17">
        <f t="shared" si="6"/>
        <v>0</v>
      </c>
    </row>
    <row r="449" spans="1:10" x14ac:dyDescent="0.3">
      <c r="A449" s="17" t="s">
        <v>2537</v>
      </c>
      <c r="B449" s="17" t="str">
        <f>IFERROR(INDEX(Mots!$B:$B,MATCH($A449,Mots!$A:$A,0)),"introuvable")</f>
        <v>premier  ↔  dernier</v>
      </c>
      <c r="C449" s="17" t="str">
        <f>IFERROR(INDEX(Mots!$N:$N,MATCH($A449,Mots!$A:$A,0)),"")</f>
        <v>qualité</v>
      </c>
      <c r="D449" s="17">
        <f>IFERROR(COUNTA(INDEX(Mots!$E:$E,MATCH($A449,Mots!$A:$A,0)):INDEX(Mots!$K:$K,MATCH($A449,Mots!$A:$A,0))),0)</f>
        <v>1</v>
      </c>
      <c r="E449" s="17" t="str">
        <f>IF(COUNTIF(Classement!$A:$A,$A449)&gt;0,"ok","à faire")</f>
        <v>ok</v>
      </c>
      <c r="F449" s="17" t="str">
        <f>IF(COUNTIF(Tags!$A:$A,$A449)&gt;0,"ok","à faire")</f>
        <v>à faire</v>
      </c>
      <c r="G449" s="17" t="str">
        <f>IF(COUNTIF(Phrases!$A:$A,$A449)&gt;0,"ok","à faire")</f>
        <v>ok</v>
      </c>
      <c r="H449" s="17" t="str">
        <f>IF(COUNTIFS(Phrases!$A:$A,$A449,Phrases!$I:$I,"&lt;&gt;")&gt;0,"ok","à faire")</f>
        <v>ok</v>
      </c>
      <c r="I449" s="17" t="str">
        <f>IF(COUNTIF(Synonymes!$A:$A,$A449)&gt;0,"ok","")</f>
        <v/>
      </c>
      <c r="J449" s="17">
        <f t="shared" si="6"/>
        <v>1</v>
      </c>
    </row>
    <row r="450" spans="1:10" x14ac:dyDescent="0.3">
      <c r="A450" s="17" t="s">
        <v>2543</v>
      </c>
      <c r="B450" s="17" t="str">
        <f>IFERROR(INDEX(Mots!$B:$B,MATCH($A450,Mots!$A:$A,0)),"introuvable")</f>
        <v>proche  ↔  éloigné</v>
      </c>
      <c r="C450" s="17" t="str">
        <f>IFERROR(INDEX(Mots!$N:$N,MATCH($A450,Mots!$A:$A,0)),"")</f>
        <v>qualité</v>
      </c>
      <c r="D450" s="17">
        <f>IFERROR(COUNTA(INDEX(Mots!$E:$E,MATCH($A450,Mots!$A:$A,0)):INDEX(Mots!$K:$K,MATCH($A450,Mots!$A:$A,0))),0)</f>
        <v>1</v>
      </c>
      <c r="E450" s="17" t="str">
        <f>IF(COUNTIF(Classement!$A:$A,$A450)&gt;0,"ok","à faire")</f>
        <v>ok</v>
      </c>
      <c r="F450" s="17" t="str">
        <f>IF(COUNTIF(Tags!$A:$A,$A450)&gt;0,"ok","à faire")</f>
        <v>à faire</v>
      </c>
      <c r="G450" s="17" t="str">
        <f>IF(COUNTIF(Phrases!$A:$A,$A450)&gt;0,"ok","à faire")</f>
        <v>ok</v>
      </c>
      <c r="H450" s="17" t="str">
        <f>IF(COUNTIFS(Phrases!$A:$A,$A450,Phrases!$I:$I,"&lt;&gt;")&gt;0,"ok","à faire")</f>
        <v>ok</v>
      </c>
      <c r="I450" s="17" t="str">
        <f>IF(COUNTIF(Synonymes!$A:$A,$A450)&gt;0,"ok","")</f>
        <v/>
      </c>
      <c r="J450" s="17">
        <f t="shared" ref="J450:J512" si="7">COUNTIF(E450:H450,"à faire")</f>
        <v>1</v>
      </c>
    </row>
    <row r="451" spans="1:10" x14ac:dyDescent="0.3">
      <c r="A451" s="17" t="s">
        <v>2549</v>
      </c>
      <c r="B451" s="17" t="str">
        <f>IFERROR(INDEX(Mots!$B:$B,MATCH($A451,Mots!$A:$A,0)),"introuvable")</f>
        <v>propre  ↔  sale</v>
      </c>
      <c r="C451" s="17" t="str">
        <f>IFERROR(INDEX(Mots!$N:$N,MATCH($A451,Mots!$A:$A,0)),"")</f>
        <v>qualité</v>
      </c>
      <c r="D451" s="17">
        <f>IFERROR(COUNTA(INDEX(Mots!$E:$E,MATCH($A451,Mots!$A:$A,0)):INDEX(Mots!$K:$K,MATCH($A451,Mots!$A:$A,0))),0)</f>
        <v>1</v>
      </c>
      <c r="E451" s="17" t="str">
        <f>IF(COUNTIF(Classement!$A:$A,$A451)&gt;0,"ok","à faire")</f>
        <v>ok</v>
      </c>
      <c r="F451" s="17" t="str">
        <f>IF(COUNTIF(Tags!$A:$A,$A451)&gt;0,"ok","à faire")</f>
        <v>ok</v>
      </c>
      <c r="G451" s="17" t="str">
        <f>IF(COUNTIF(Phrases!$A:$A,$A451)&gt;0,"ok","à faire")</f>
        <v>ok</v>
      </c>
      <c r="H451" s="17" t="str">
        <f>IF(COUNTIFS(Phrases!$A:$A,$A451,Phrases!$I:$I,"&lt;&gt;")&gt;0,"ok","à faire")</f>
        <v>ok</v>
      </c>
      <c r="I451" s="17" t="str">
        <f>IF(COUNTIF(Synonymes!$A:$A,$A451)&gt;0,"ok","")</f>
        <v/>
      </c>
      <c r="J451" s="17">
        <f t="shared" si="7"/>
        <v>0</v>
      </c>
    </row>
    <row r="452" spans="1:10" x14ac:dyDescent="0.3">
      <c r="A452" s="17" t="s">
        <v>2555</v>
      </c>
      <c r="B452" s="17" t="str">
        <f>IFERROR(INDEX(Mots!$B:$B,MATCH($A452,Mots!$A:$A,0)),"introuvable")</f>
        <v>rapide  ↔  lent</v>
      </c>
      <c r="C452" s="17" t="str">
        <f>IFERROR(INDEX(Mots!$N:$N,MATCH($A452,Mots!$A:$A,0)),"")</f>
        <v>qualité</v>
      </c>
      <c r="D452" s="17">
        <f>IFERROR(COUNTA(INDEX(Mots!$E:$E,MATCH($A452,Mots!$A:$A,0)):INDEX(Mots!$K:$K,MATCH($A452,Mots!$A:$A,0))),0)</f>
        <v>1</v>
      </c>
      <c r="E452" s="17" t="str">
        <f>IF(COUNTIF(Classement!$A:$A,$A452)&gt;0,"ok","à faire")</f>
        <v>ok</v>
      </c>
      <c r="F452" s="17" t="str">
        <f>IF(COUNTIF(Tags!$A:$A,$A452)&gt;0,"ok","à faire")</f>
        <v>ok</v>
      </c>
      <c r="G452" s="17" t="str">
        <f>IF(COUNTIF(Phrases!$A:$A,$A452)&gt;0,"ok","à faire")</f>
        <v>ok</v>
      </c>
      <c r="H452" s="17" t="str">
        <f>IF(COUNTIFS(Phrases!$A:$A,$A452,Phrases!$I:$I,"&lt;&gt;")&gt;0,"ok","à faire")</f>
        <v>à faire</v>
      </c>
      <c r="I452" s="17" t="str">
        <f>IF(COUNTIF(Synonymes!$A:$A,$A452)&gt;0,"ok","")</f>
        <v/>
      </c>
      <c r="J452" s="17">
        <f t="shared" si="7"/>
        <v>1</v>
      </c>
    </row>
    <row r="453" spans="1:10" x14ac:dyDescent="0.3">
      <c r="A453" s="17" t="s">
        <v>2561</v>
      </c>
      <c r="B453" s="17" t="str">
        <f>IFERROR(INDEX(Mots!$B:$B,MATCH($A453,Mots!$A:$A,0)),"introuvable")</f>
        <v>riche  ↔  pauvre</v>
      </c>
      <c r="C453" s="17" t="str">
        <f>IFERROR(INDEX(Mots!$N:$N,MATCH($A453,Mots!$A:$A,0)),"")</f>
        <v>qualité</v>
      </c>
      <c r="D453" s="17">
        <f>IFERROR(COUNTA(INDEX(Mots!$E:$E,MATCH($A453,Mots!$A:$A,0)):INDEX(Mots!$K:$K,MATCH($A453,Mots!$A:$A,0))),0)</f>
        <v>1</v>
      </c>
      <c r="E453" s="17" t="str">
        <f>IF(COUNTIF(Classement!$A:$A,$A453)&gt;0,"ok","à faire")</f>
        <v>ok</v>
      </c>
      <c r="F453" s="17" t="str">
        <f>IF(COUNTIF(Tags!$A:$A,$A453)&gt;0,"ok","à faire")</f>
        <v>ok</v>
      </c>
      <c r="G453" s="17" t="str">
        <f>IF(COUNTIF(Phrases!$A:$A,$A453)&gt;0,"ok","à faire")</f>
        <v>ok</v>
      </c>
      <c r="H453" s="17" t="str">
        <f>IF(COUNTIFS(Phrases!$A:$A,$A453,Phrases!$I:$I,"&lt;&gt;")&gt;0,"ok","à faire")</f>
        <v>à faire</v>
      </c>
      <c r="I453" s="17" t="str">
        <f>IF(COUNTIF(Synonymes!$A:$A,$A453)&gt;0,"ok","")</f>
        <v/>
      </c>
      <c r="J453" s="17">
        <f t="shared" si="7"/>
        <v>1</v>
      </c>
    </row>
    <row r="454" spans="1:10" x14ac:dyDescent="0.3">
      <c r="A454" s="17" t="s">
        <v>2567</v>
      </c>
      <c r="B454" s="17" t="str">
        <f>IFERROR(INDEX(Mots!$B:$B,MATCH($A454,Mots!$A:$A,0)),"introuvable")</f>
        <v>sain  ↔  malade</v>
      </c>
      <c r="C454" s="17" t="str">
        <f>IFERROR(INDEX(Mots!$N:$N,MATCH($A454,Mots!$A:$A,0)),"")</f>
        <v>qualité</v>
      </c>
      <c r="D454" s="17">
        <f>IFERROR(COUNTA(INDEX(Mots!$E:$E,MATCH($A454,Mots!$A:$A,0)):INDEX(Mots!$K:$K,MATCH($A454,Mots!$A:$A,0))),0)</f>
        <v>1</v>
      </c>
      <c r="E454" s="17" t="str">
        <f>IF(COUNTIF(Classement!$A:$A,$A454)&gt;0,"ok","à faire")</f>
        <v>ok</v>
      </c>
      <c r="F454" s="17" t="str">
        <f>IF(COUNTIF(Tags!$A:$A,$A454)&gt;0,"ok","à faire")</f>
        <v>à faire</v>
      </c>
      <c r="G454" s="17" t="str">
        <f>IF(COUNTIF(Phrases!$A:$A,$A454)&gt;0,"ok","à faire")</f>
        <v>ok</v>
      </c>
      <c r="H454" s="17" t="str">
        <f>IF(COUNTIFS(Phrases!$A:$A,$A454,Phrases!$I:$I,"&lt;&gt;")&gt;0,"ok","à faire")</f>
        <v>ok</v>
      </c>
      <c r="I454" s="17" t="str">
        <f>IF(COUNTIF(Synonymes!$A:$A,$A454)&gt;0,"ok","")</f>
        <v/>
      </c>
      <c r="J454" s="17">
        <f t="shared" si="7"/>
        <v>1</v>
      </c>
    </row>
    <row r="455" spans="1:10" x14ac:dyDescent="0.3">
      <c r="A455" s="17" t="s">
        <v>2573</v>
      </c>
      <c r="B455" s="17" t="str">
        <f>IFERROR(INDEX(Mots!$B:$B,MATCH($A455,Mots!$A:$A,0)),"introuvable")</f>
        <v>sec  ↔  mouillé</v>
      </c>
      <c r="C455" s="17" t="str">
        <f>IFERROR(INDEX(Mots!$N:$N,MATCH($A455,Mots!$A:$A,0)),"")</f>
        <v>qualité</v>
      </c>
      <c r="D455" s="17">
        <f>IFERROR(COUNTA(INDEX(Mots!$E:$E,MATCH($A455,Mots!$A:$A,0)):INDEX(Mots!$K:$K,MATCH($A455,Mots!$A:$A,0))),0)</f>
        <v>1</v>
      </c>
      <c r="E455" s="17" t="str">
        <f>IF(COUNTIF(Classement!$A:$A,$A455)&gt;0,"ok","à faire")</f>
        <v>ok</v>
      </c>
      <c r="F455" s="17" t="str">
        <f>IF(COUNTIF(Tags!$A:$A,$A455)&gt;0,"ok","à faire")</f>
        <v>ok</v>
      </c>
      <c r="G455" s="17" t="str">
        <f>IF(COUNTIF(Phrases!$A:$A,$A455)&gt;0,"ok","à faire")</f>
        <v>ok</v>
      </c>
      <c r="H455" s="17" t="str">
        <f>IF(COUNTIFS(Phrases!$A:$A,$A455,Phrases!$I:$I,"&lt;&gt;")&gt;0,"ok","à faire")</f>
        <v>ok</v>
      </c>
      <c r="I455" s="17" t="str">
        <f>IF(COUNTIF(Synonymes!$A:$A,$A455)&gt;0,"ok","")</f>
        <v/>
      </c>
      <c r="J455" s="17">
        <f t="shared" si="7"/>
        <v>0</v>
      </c>
    </row>
    <row r="456" spans="1:10" x14ac:dyDescent="0.3">
      <c r="A456" s="17" t="s">
        <v>2579</v>
      </c>
      <c r="B456" s="17" t="str">
        <f>IFERROR(INDEX(Mots!$B:$B,MATCH($A456,Mots!$A:$A,0)),"introuvable")</f>
        <v>silencieux  ↔  bruyant</v>
      </c>
      <c r="C456" s="17" t="str">
        <f>IFERROR(INDEX(Mots!$N:$N,MATCH($A456,Mots!$A:$A,0)),"")</f>
        <v>qualité</v>
      </c>
      <c r="D456" s="17">
        <f>IFERROR(COUNTA(INDEX(Mots!$E:$E,MATCH($A456,Mots!$A:$A,0)):INDEX(Mots!$K:$K,MATCH($A456,Mots!$A:$A,0))),0)</f>
        <v>1</v>
      </c>
      <c r="E456" s="17" t="str">
        <f>IF(COUNTIF(Classement!$A:$A,$A456)&gt;0,"ok","à faire")</f>
        <v>ok</v>
      </c>
      <c r="F456" s="17" t="str">
        <f>IF(COUNTIF(Tags!$A:$A,$A456)&gt;0,"ok","à faire")</f>
        <v>à faire</v>
      </c>
      <c r="G456" s="17" t="str">
        <f>IF(COUNTIF(Phrases!$A:$A,$A456)&gt;0,"ok","à faire")</f>
        <v>ok</v>
      </c>
      <c r="H456" s="17" t="str">
        <f>IF(COUNTIFS(Phrases!$A:$A,$A456,Phrases!$I:$I,"&lt;&gt;")&gt;0,"ok","à faire")</f>
        <v>à faire</v>
      </c>
      <c r="I456" s="17" t="str">
        <f>IF(COUNTIF(Synonymes!$A:$A,$A456)&gt;0,"ok","")</f>
        <v/>
      </c>
      <c r="J456" s="17">
        <f t="shared" si="7"/>
        <v>2</v>
      </c>
    </row>
    <row r="457" spans="1:10" x14ac:dyDescent="0.3">
      <c r="A457" s="17" t="s">
        <v>2584</v>
      </c>
      <c r="B457" s="17" t="str">
        <f>IFERROR(INDEX(Mots!$B:$B,MATCH($A457,Mots!$A:$A,0)),"introuvable")</f>
        <v>sucré  ↔  salé</v>
      </c>
      <c r="C457" s="17" t="str">
        <f>IFERROR(INDEX(Mots!$N:$N,MATCH($A457,Mots!$A:$A,0)),"")</f>
        <v>qualité</v>
      </c>
      <c r="D457" s="17">
        <f>IFERROR(COUNTA(INDEX(Mots!$E:$E,MATCH($A457,Mots!$A:$A,0)):INDEX(Mots!$K:$K,MATCH($A457,Mots!$A:$A,0))),0)</f>
        <v>1</v>
      </c>
      <c r="E457" s="17" t="str">
        <f>IF(COUNTIF(Classement!$A:$A,$A457)&gt;0,"ok","à faire")</f>
        <v>ok</v>
      </c>
      <c r="F457" s="17" t="str">
        <f>IF(COUNTIF(Tags!$A:$A,$A457)&gt;0,"ok","à faire")</f>
        <v>ok</v>
      </c>
      <c r="G457" s="17" t="str">
        <f>IF(COUNTIF(Phrases!$A:$A,$A457)&gt;0,"ok","à faire")</f>
        <v>ok</v>
      </c>
      <c r="H457" s="17" t="str">
        <f>IF(COUNTIFS(Phrases!$A:$A,$A457,Phrases!$I:$I,"&lt;&gt;")&gt;0,"ok","à faire")</f>
        <v>ok</v>
      </c>
      <c r="I457" s="17" t="str">
        <f>IF(COUNTIF(Synonymes!$A:$A,$A457)&gt;0,"ok","")</f>
        <v/>
      </c>
      <c r="J457" s="17">
        <f t="shared" si="7"/>
        <v>0</v>
      </c>
    </row>
    <row r="458" spans="1:10" x14ac:dyDescent="0.3">
      <c r="A458" s="17" t="s">
        <v>2588</v>
      </c>
      <c r="B458" s="17" t="str">
        <f>IFERROR(INDEX(Mots!$B:$B,MATCH($A458,Mots!$A:$A,0)),"introuvable")</f>
        <v>vide  ↔  plein</v>
      </c>
      <c r="C458" s="17" t="str">
        <f>IFERROR(INDEX(Mots!$N:$N,MATCH($A458,Mots!$A:$A,0)),"")</f>
        <v>qualité</v>
      </c>
      <c r="D458" s="17">
        <f>IFERROR(COUNTA(INDEX(Mots!$E:$E,MATCH($A458,Mots!$A:$A,0)):INDEX(Mots!$K:$K,MATCH($A458,Mots!$A:$A,0))),0)</f>
        <v>1</v>
      </c>
      <c r="E458" s="17" t="str">
        <f>IF(COUNTIF(Classement!$A:$A,$A458)&gt;0,"ok","à faire")</f>
        <v>ok</v>
      </c>
      <c r="F458" s="17" t="str">
        <f>IF(COUNTIF(Tags!$A:$A,$A458)&gt;0,"ok","à faire")</f>
        <v>ok</v>
      </c>
      <c r="G458" s="17" t="str">
        <f>IF(COUNTIF(Phrases!$A:$A,$A458)&gt;0,"ok","à faire")</f>
        <v>ok</v>
      </c>
      <c r="H458" s="17" t="str">
        <f>IF(COUNTIFS(Phrases!$A:$A,$A458,Phrases!$I:$I,"&lt;&gt;")&gt;0,"ok","à faire")</f>
        <v>ok</v>
      </c>
      <c r="I458" s="17" t="str">
        <f>IF(COUNTIF(Synonymes!$A:$A,$A458)&gt;0,"ok","")</f>
        <v/>
      </c>
      <c r="J458" s="17">
        <f t="shared" si="7"/>
        <v>0</v>
      </c>
    </row>
    <row r="459" spans="1:10" x14ac:dyDescent="0.3">
      <c r="A459" s="17" t="s">
        <v>2594</v>
      </c>
      <c r="B459" s="17" t="str">
        <f>IFERROR(INDEX(Mots!$B:$B,MATCH($A459,Mots!$A:$A,0)),"introuvable")</f>
        <v>vrai  ↔  faux</v>
      </c>
      <c r="C459" s="17" t="str">
        <f>IFERROR(INDEX(Mots!$N:$N,MATCH($A459,Mots!$A:$A,0)),"")</f>
        <v>qualité</v>
      </c>
      <c r="D459" s="17">
        <f>IFERROR(COUNTA(INDEX(Mots!$E:$E,MATCH($A459,Mots!$A:$A,0)):INDEX(Mots!$K:$K,MATCH($A459,Mots!$A:$A,0))),0)</f>
        <v>1</v>
      </c>
      <c r="E459" s="17" t="str">
        <f>IF(COUNTIF(Classement!$A:$A,$A459)&gt;0,"ok","à faire")</f>
        <v>ok</v>
      </c>
      <c r="F459" s="17" t="str">
        <f>IF(COUNTIF(Tags!$A:$A,$A459)&gt;0,"ok","à faire")</f>
        <v>à faire</v>
      </c>
      <c r="G459" s="17" t="str">
        <f>IF(COUNTIF(Phrases!$A:$A,$A459)&gt;0,"ok","à faire")</f>
        <v>ok</v>
      </c>
      <c r="H459" s="17" t="str">
        <f>IF(COUNTIFS(Phrases!$A:$A,$A459,Phrases!$I:$I,"&lt;&gt;")&gt;0,"ok","à faire")</f>
        <v>ok</v>
      </c>
      <c r="I459" s="17" t="str">
        <f>IF(COUNTIF(Synonymes!$A:$A,$A459)&gt;0,"ok","")</f>
        <v/>
      </c>
      <c r="J459" s="17">
        <f t="shared" si="7"/>
        <v>1</v>
      </c>
    </row>
    <row r="460" spans="1:10" x14ac:dyDescent="0.3">
      <c r="A460" s="17" t="s">
        <v>2600</v>
      </c>
      <c r="B460" s="17" t="str">
        <f>IFERROR(INDEX(Mots!$B:$B,MATCH($A460,Mots!$A:$A,0)),"introuvable")</f>
        <v>carré</v>
      </c>
      <c r="C460" s="17" t="str">
        <f>IFERROR(INDEX(Mots!$N:$N,MATCH($A460,Mots!$A:$A,0)),"")</f>
        <v>qualité</v>
      </c>
      <c r="D460" s="17">
        <f>IFERROR(COUNTA(INDEX(Mots!$E:$E,MATCH($A460,Mots!$A:$A,0)):INDEX(Mots!$K:$K,MATCH($A460,Mots!$A:$A,0))),0)</f>
        <v>1</v>
      </c>
      <c r="E460" s="17" t="str">
        <f>IF(COUNTIF(Classement!$A:$A,$A460)&gt;0,"ok","à faire")</f>
        <v>ok</v>
      </c>
      <c r="F460" s="17" t="str">
        <f>IF(COUNTIF(Tags!$A:$A,$A460)&gt;0,"ok","à faire")</f>
        <v>ok</v>
      </c>
      <c r="G460" s="17" t="str">
        <f>IF(COUNTIF(Phrases!$A:$A,$A460)&gt;0,"ok","à faire")</f>
        <v>ok</v>
      </c>
      <c r="H460" s="17" t="str">
        <f>IF(COUNTIFS(Phrases!$A:$A,$A460,Phrases!$I:$I,"&lt;&gt;")&gt;0,"ok","à faire")</f>
        <v>à faire</v>
      </c>
      <c r="I460" s="17" t="str">
        <f>IF(COUNTIF(Synonymes!$A:$A,$A460)&gt;0,"ok","")</f>
        <v/>
      </c>
      <c r="J460" s="17">
        <f t="shared" si="7"/>
        <v>1</v>
      </c>
    </row>
    <row r="461" spans="1:10" x14ac:dyDescent="0.3">
      <c r="A461" s="17" t="s">
        <v>2604</v>
      </c>
      <c r="B461" s="17" t="str">
        <f>IFERROR(INDEX(Mots!$B:$B,MATCH($A461,Mots!$A:$A,0)),"introuvable")</f>
        <v>triangle</v>
      </c>
      <c r="C461" s="17" t="str">
        <f>IFERROR(INDEX(Mots!$N:$N,MATCH($A461,Mots!$A:$A,0)),"")</f>
        <v>qualité</v>
      </c>
      <c r="D461" s="17">
        <f>IFERROR(COUNTA(INDEX(Mots!$E:$E,MATCH($A461,Mots!$A:$A,0)):INDEX(Mots!$K:$K,MATCH($A461,Mots!$A:$A,0))),0)</f>
        <v>1</v>
      </c>
      <c r="E461" s="17" t="str">
        <f>IF(COUNTIF(Classement!$A:$A,$A461)&gt;0,"ok","à faire")</f>
        <v>ok</v>
      </c>
      <c r="F461" s="17" t="str">
        <f>IF(COUNTIF(Tags!$A:$A,$A461)&gt;0,"ok","à faire")</f>
        <v>ok</v>
      </c>
      <c r="G461" s="17" t="str">
        <f>IF(COUNTIF(Phrases!$A:$A,$A461)&gt;0,"ok","à faire")</f>
        <v>ok</v>
      </c>
      <c r="H461" s="17" t="str">
        <f>IF(COUNTIFS(Phrases!$A:$A,$A461,Phrases!$I:$I,"&lt;&gt;")&gt;0,"ok","à faire")</f>
        <v>à faire</v>
      </c>
      <c r="I461" s="17" t="str">
        <f>IF(COUNTIF(Synonymes!$A:$A,$A461)&gt;0,"ok","")</f>
        <v/>
      </c>
      <c r="J461" s="17">
        <f t="shared" si="7"/>
        <v>1</v>
      </c>
    </row>
    <row r="462" spans="1:10" x14ac:dyDescent="0.3">
      <c r="A462" s="17" t="s">
        <v>2608</v>
      </c>
      <c r="B462" s="17" t="str">
        <f>IFERROR(INDEX(Mots!$B:$B,MATCH($A462,Mots!$A:$A,0)),"introuvable")</f>
        <v>courbe</v>
      </c>
      <c r="C462" s="17" t="str">
        <f>IFERROR(INDEX(Mots!$N:$N,MATCH($A462,Mots!$A:$A,0)),"")</f>
        <v>qualité</v>
      </c>
      <c r="D462" s="17">
        <f>IFERROR(COUNTA(INDEX(Mots!$E:$E,MATCH($A462,Mots!$A:$A,0)):INDEX(Mots!$K:$K,MATCH($A462,Mots!$A:$A,0))),0)</f>
        <v>1</v>
      </c>
      <c r="E462" s="17" t="str">
        <f>IF(COUNTIF(Classement!$A:$A,$A462)&gt;0,"ok","à faire")</f>
        <v>ok</v>
      </c>
      <c r="F462" s="17" t="str">
        <f>IF(COUNTIF(Tags!$A:$A,$A462)&gt;0,"ok","à faire")</f>
        <v>ok</v>
      </c>
      <c r="G462" s="17" t="str">
        <f>IF(COUNTIF(Phrases!$A:$A,$A462)&gt;0,"ok","à faire")</f>
        <v>ok</v>
      </c>
      <c r="H462" s="17" t="str">
        <f>IF(COUNTIFS(Phrases!$A:$A,$A462,Phrases!$I:$I,"&lt;&gt;")&gt;0,"ok","à faire")</f>
        <v>à faire</v>
      </c>
      <c r="I462" s="17" t="str">
        <f>IF(COUNTIF(Synonymes!$A:$A,$A462)&gt;0,"ok","")</f>
        <v/>
      </c>
      <c r="J462" s="17">
        <f t="shared" si="7"/>
        <v>1</v>
      </c>
    </row>
    <row r="463" spans="1:10" x14ac:dyDescent="0.3">
      <c r="A463" s="17" t="s">
        <v>2611</v>
      </c>
      <c r="B463" s="17" t="str">
        <f>IFERROR(INDEX(Mots!$B:$B,MATCH($A463,Mots!$A:$A,0)),"introuvable")</f>
        <v>droit</v>
      </c>
      <c r="C463" s="17" t="str">
        <f>IFERROR(INDEX(Mots!$N:$N,MATCH($A463,Mots!$A:$A,0)),"")</f>
        <v>qualité</v>
      </c>
      <c r="D463" s="17">
        <f>IFERROR(COUNTA(INDEX(Mots!$E:$E,MATCH($A463,Mots!$A:$A,0)):INDEX(Mots!$K:$K,MATCH($A463,Mots!$A:$A,0))),0)</f>
        <v>1</v>
      </c>
      <c r="E463" s="17" t="str">
        <f>IF(COUNTIF(Classement!$A:$A,$A463)&gt;0,"ok","à faire")</f>
        <v>ok</v>
      </c>
      <c r="F463" s="17" t="str">
        <f>IF(COUNTIF(Tags!$A:$A,$A463)&gt;0,"ok","à faire")</f>
        <v>ok</v>
      </c>
      <c r="G463" s="17" t="str">
        <f>IF(COUNTIF(Phrases!$A:$A,$A463)&gt;0,"ok","à faire")</f>
        <v>ok</v>
      </c>
      <c r="H463" s="17" t="str">
        <f>IF(COUNTIFS(Phrases!$A:$A,$A463,Phrases!$I:$I,"&lt;&gt;")&gt;0,"ok","à faire")</f>
        <v>ok</v>
      </c>
      <c r="I463" s="17" t="str">
        <f>IF(COUNTIF(Synonymes!$A:$A,$A463)&gt;0,"ok","")</f>
        <v/>
      </c>
      <c r="J463" s="17">
        <f t="shared" si="7"/>
        <v>0</v>
      </c>
    </row>
    <row r="464" spans="1:10" x14ac:dyDescent="0.3">
      <c r="A464" s="17" t="s">
        <v>2614</v>
      </c>
      <c r="B464" s="17" t="str">
        <f>IFERROR(INDEX(Mots!$B:$B,MATCH($A464,Mots!$A:$A,0)),"introuvable")</f>
        <v>la hauteur</v>
      </c>
      <c r="C464" s="17" t="str">
        <f>IFERROR(INDEX(Mots!$N:$N,MATCH($A464,Mots!$A:$A,0)),"")</f>
        <v>qualité</v>
      </c>
      <c r="D464" s="17">
        <f>IFERROR(COUNTA(INDEX(Mots!$E:$E,MATCH($A464,Mots!$A:$A,0)):INDEX(Mots!$K:$K,MATCH($A464,Mots!$A:$A,0))),0)</f>
        <v>1</v>
      </c>
      <c r="E464" s="17" t="str">
        <f>IF(COUNTIF(Classement!$A:$A,$A464)&gt;0,"ok","à faire")</f>
        <v>ok</v>
      </c>
      <c r="F464" s="17" t="str">
        <f>IF(COUNTIF(Tags!$A:$A,$A464)&gt;0,"ok","à faire")</f>
        <v>ok</v>
      </c>
      <c r="G464" s="17" t="str">
        <f>IF(COUNTIF(Phrases!$A:$A,$A464)&gt;0,"ok","à faire")</f>
        <v>ok</v>
      </c>
      <c r="H464" s="17" t="str">
        <f>IF(COUNTIFS(Phrases!$A:$A,$A464,Phrases!$I:$I,"&lt;&gt;")&gt;0,"ok","à faire")</f>
        <v>ok</v>
      </c>
      <c r="I464" s="17" t="str">
        <f>IF(COUNTIF(Synonymes!$A:$A,$A464)&gt;0,"ok","")</f>
        <v/>
      </c>
      <c r="J464" s="17">
        <f t="shared" si="7"/>
        <v>0</v>
      </c>
    </row>
    <row r="465" spans="1:10" x14ac:dyDescent="0.3">
      <c r="A465" s="17" t="s">
        <v>2618</v>
      </c>
      <c r="B465" s="17" t="str">
        <f>IFERROR(INDEX(Mots!$B:$B,MATCH($A465,Mots!$A:$A,0)),"introuvable")</f>
        <v>la largeur</v>
      </c>
      <c r="C465" s="17" t="str">
        <f>IFERROR(INDEX(Mots!$N:$N,MATCH($A465,Mots!$A:$A,0)),"")</f>
        <v>qualité</v>
      </c>
      <c r="D465" s="17">
        <f>IFERROR(COUNTA(INDEX(Mots!$E:$E,MATCH($A465,Mots!$A:$A,0)):INDEX(Mots!$K:$K,MATCH($A465,Mots!$A:$A,0))),0)</f>
        <v>1</v>
      </c>
      <c r="E465" s="17" t="str">
        <f>IF(COUNTIF(Classement!$A:$A,$A465)&gt;0,"ok","à faire")</f>
        <v>ok</v>
      </c>
      <c r="F465" s="17" t="str">
        <f>IF(COUNTIF(Tags!$A:$A,$A465)&gt;0,"ok","à faire")</f>
        <v>ok</v>
      </c>
      <c r="G465" s="17" t="str">
        <f>IF(COUNTIF(Phrases!$A:$A,$A465)&gt;0,"ok","à faire")</f>
        <v>ok</v>
      </c>
      <c r="H465" s="17" t="str">
        <f>IF(COUNTIFS(Phrases!$A:$A,$A465,Phrases!$I:$I,"&lt;&gt;")&gt;0,"ok","à faire")</f>
        <v>à faire</v>
      </c>
      <c r="I465" s="17" t="str">
        <f>IF(COUNTIF(Synonymes!$A:$A,$A465)&gt;0,"ok","")</f>
        <v/>
      </c>
      <c r="J465" s="17">
        <f t="shared" si="7"/>
        <v>1</v>
      </c>
    </row>
    <row r="466" spans="1:10" x14ac:dyDescent="0.3">
      <c r="A466" s="17" t="s">
        <v>2622</v>
      </c>
      <c r="B466" s="17" t="str">
        <f>IFERROR(INDEX(Mots!$B:$B,MATCH($A466,Mots!$A:$A,0)),"introuvable")</f>
        <v>la longueur</v>
      </c>
      <c r="C466" s="17" t="str">
        <f>IFERROR(INDEX(Mots!$N:$N,MATCH($A466,Mots!$A:$A,0)),"")</f>
        <v>qualité</v>
      </c>
      <c r="D466" s="17">
        <f>IFERROR(COUNTA(INDEX(Mots!$E:$E,MATCH($A466,Mots!$A:$A,0)):INDEX(Mots!$K:$K,MATCH($A466,Mots!$A:$A,0))),0)</f>
        <v>1</v>
      </c>
      <c r="E466" s="17" t="str">
        <f>IF(COUNTIF(Classement!$A:$A,$A466)&gt;0,"ok","à faire")</f>
        <v>ok</v>
      </c>
      <c r="F466" s="17" t="str">
        <f>IF(COUNTIF(Tags!$A:$A,$A466)&gt;0,"ok","à faire")</f>
        <v>ok</v>
      </c>
      <c r="G466" s="17" t="str">
        <f>IF(COUNTIF(Phrases!$A:$A,$A466)&gt;0,"ok","à faire")</f>
        <v>ok</v>
      </c>
      <c r="H466" s="17" t="str">
        <f>IF(COUNTIFS(Phrases!$A:$A,$A466,Phrases!$I:$I,"&lt;&gt;")&gt;0,"ok","à faire")</f>
        <v>à faire</v>
      </c>
      <c r="I466" s="17" t="str">
        <f>IF(COUNTIF(Synonymes!$A:$A,$A466)&gt;0,"ok","")</f>
        <v/>
      </c>
      <c r="J466" s="17">
        <f t="shared" si="7"/>
        <v>1</v>
      </c>
    </row>
    <row r="467" spans="1:10" x14ac:dyDescent="0.3">
      <c r="A467" s="17" t="s">
        <v>2626</v>
      </c>
      <c r="B467" s="17" t="str">
        <f>IFERROR(INDEX(Mots!$B:$B,MATCH($A467,Mots!$A:$A,0)),"introuvable")</f>
        <v>le cercle</v>
      </c>
      <c r="C467" s="17" t="str">
        <f>IFERROR(INDEX(Mots!$N:$N,MATCH($A467,Mots!$A:$A,0)),"")</f>
        <v>qualité</v>
      </c>
      <c r="D467" s="17">
        <f>IFERROR(COUNTA(INDEX(Mots!$E:$E,MATCH($A467,Mots!$A:$A,0)):INDEX(Mots!$K:$K,MATCH($A467,Mots!$A:$A,0))),0)</f>
        <v>1</v>
      </c>
      <c r="E467" s="17" t="str">
        <f>IF(COUNTIF(Classement!$A:$A,$A467)&gt;0,"ok","à faire")</f>
        <v>ok</v>
      </c>
      <c r="F467" s="17" t="str">
        <f>IF(COUNTIF(Tags!$A:$A,$A467)&gt;0,"ok","à faire")</f>
        <v>ok</v>
      </c>
      <c r="G467" s="17" t="str">
        <f>IF(COUNTIF(Phrases!$A:$A,$A467)&gt;0,"ok","à faire")</f>
        <v>ok</v>
      </c>
      <c r="H467" s="17" t="str">
        <f>IF(COUNTIFS(Phrases!$A:$A,$A467,Phrases!$I:$I,"&lt;&gt;")&gt;0,"ok","à faire")</f>
        <v>ok</v>
      </c>
      <c r="I467" s="17" t="str">
        <f>IF(COUNTIF(Synonymes!$A:$A,$A467)&gt;0,"ok","")</f>
        <v/>
      </c>
      <c r="J467" s="17">
        <f t="shared" si="7"/>
        <v>0</v>
      </c>
    </row>
    <row r="468" spans="1:10" x14ac:dyDescent="0.3">
      <c r="A468" s="8" t="s">
        <v>9600</v>
      </c>
      <c r="B468" s="17" t="str">
        <f>IFERROR(INDEX(Mots!$B:$B,MATCH($A468,Mots!$A:$A,0)),"introuvable")</f>
        <v>le rectangle</v>
      </c>
      <c r="C468" s="17" t="str">
        <f>IFERROR(INDEX(Mots!$N:$N,MATCH($A468,Mots!$A:$A,0)),"")</f>
        <v>qualité</v>
      </c>
      <c r="D468" s="17">
        <f>IFERROR(COUNTA(INDEX(Mots!$E:$E,MATCH($A468,Mots!$A:$A,0)):INDEX(Mots!$K:$K,MATCH($A468,Mots!$A:$A,0))),0)</f>
        <v>1</v>
      </c>
      <c r="E468" s="17" t="str">
        <f>IF(COUNTIF(Classement!$A:$A,$A468)&gt;0,"ok","à faire")</f>
        <v>ok</v>
      </c>
      <c r="F468" s="17" t="str">
        <f>IF(COUNTIF(Tags!$A:$A,$A468)&gt;0,"ok","à faire")</f>
        <v>ok</v>
      </c>
      <c r="G468" s="17" t="str">
        <f>IF(COUNTIF(Phrases!$A:$A,$A468)&gt;0,"ok","à faire")</f>
        <v>ok</v>
      </c>
      <c r="H468" s="17" t="str">
        <f>IF(COUNTIFS(Phrases!$A:$A,$A468,Phrases!$I:$I,"&lt;&gt;")&gt;0,"ok","à faire")</f>
        <v>à faire</v>
      </c>
      <c r="I468" s="17" t="str">
        <f>IF(COUNTIF(Synonymes!$A:$A,$A468)&gt;0,"ok","")</f>
        <v/>
      </c>
      <c r="J468" s="17">
        <f t="shared" si="7"/>
        <v>1</v>
      </c>
    </row>
    <row r="469" spans="1:10" x14ac:dyDescent="0.3">
      <c r="A469" s="17" t="s">
        <v>2633</v>
      </c>
      <c r="B469" s="17" t="str">
        <f>IFERROR(INDEX(Mots!$B:$B,MATCH($A469,Mots!$A:$A,0)),"introuvable")</f>
        <v>l'épaisseur</v>
      </c>
      <c r="C469" s="17" t="str">
        <f>IFERROR(INDEX(Mots!$N:$N,MATCH($A469,Mots!$A:$A,0)),"")</f>
        <v>qualité</v>
      </c>
      <c r="D469" s="17">
        <f>IFERROR(COUNTA(INDEX(Mots!$E:$E,MATCH($A469,Mots!$A:$A,0)):INDEX(Mots!$K:$K,MATCH($A469,Mots!$A:$A,0))),0)</f>
        <v>1</v>
      </c>
      <c r="E469" s="17" t="str">
        <f>IF(COUNTIF(Classement!$A:$A,$A469)&gt;0,"ok","à faire")</f>
        <v>ok</v>
      </c>
      <c r="F469" s="17" t="str">
        <f>IF(COUNTIF(Tags!$A:$A,$A469)&gt;0,"ok","à faire")</f>
        <v>ok</v>
      </c>
      <c r="G469" s="17" t="str">
        <f>IF(COUNTIF(Phrases!$A:$A,$A469)&gt;0,"ok","à faire")</f>
        <v>ok</v>
      </c>
      <c r="H469" s="17" t="str">
        <f>IF(COUNTIFS(Phrases!$A:$A,$A469,Phrases!$I:$I,"&lt;&gt;")&gt;0,"ok","à faire")</f>
        <v>à faire</v>
      </c>
      <c r="I469" s="17" t="str">
        <f>IF(COUNTIF(Synonymes!$A:$A,$A469)&gt;0,"ok","")</f>
        <v/>
      </c>
      <c r="J469" s="17">
        <f t="shared" si="7"/>
        <v>1</v>
      </c>
    </row>
    <row r="470" spans="1:10" x14ac:dyDescent="0.3">
      <c r="A470" s="17" t="s">
        <v>2637</v>
      </c>
      <c r="B470" s="17" t="str">
        <f>IFERROR(INDEX(Mots!$B:$B,MATCH($A470,Mots!$A:$A,0)),"introuvable")</f>
        <v>pointu</v>
      </c>
      <c r="C470" s="17" t="str">
        <f>IFERROR(INDEX(Mots!$N:$N,MATCH($A470,Mots!$A:$A,0)),"")</f>
        <v>qualité</v>
      </c>
      <c r="D470" s="17">
        <f>IFERROR(COUNTA(INDEX(Mots!$E:$E,MATCH($A470,Mots!$A:$A,0)):INDEX(Mots!$K:$K,MATCH($A470,Mots!$A:$A,0))),0)</f>
        <v>1</v>
      </c>
      <c r="E470" s="17" t="str">
        <f>IF(COUNTIF(Classement!$A:$A,$A470)&gt;0,"ok","à faire")</f>
        <v>ok</v>
      </c>
      <c r="F470" s="17" t="str">
        <f>IF(COUNTIF(Tags!$A:$A,$A470)&gt;0,"ok","à faire")</f>
        <v>ok</v>
      </c>
      <c r="G470" s="17" t="str">
        <f>IF(COUNTIF(Phrases!$A:$A,$A470)&gt;0,"ok","à faire")</f>
        <v>ok</v>
      </c>
      <c r="H470" s="17" t="str">
        <f>IF(COUNTIFS(Phrases!$A:$A,$A470,Phrases!$I:$I,"&lt;&gt;")&gt;0,"ok","à faire")</f>
        <v>à faire</v>
      </c>
      <c r="I470" s="17" t="str">
        <f>IF(COUNTIF(Synonymes!$A:$A,$A470)&gt;0,"ok","")</f>
        <v/>
      </c>
      <c r="J470" s="17">
        <f t="shared" si="7"/>
        <v>1</v>
      </c>
    </row>
    <row r="471" spans="1:10" x14ac:dyDescent="0.3">
      <c r="A471" s="17" t="s">
        <v>2640</v>
      </c>
      <c r="B471" s="17" t="str">
        <f>IFERROR(INDEX(Mots!$B:$B,MATCH($A471,Mots!$A:$A,0)),"introuvable")</f>
        <v>rond</v>
      </c>
      <c r="C471" s="17" t="str">
        <f>IFERROR(INDEX(Mots!$N:$N,MATCH($A471,Mots!$A:$A,0)),"")</f>
        <v>qualité</v>
      </c>
      <c r="D471" s="17">
        <f>IFERROR(COUNTA(INDEX(Mots!$E:$E,MATCH($A471,Mots!$A:$A,0)):INDEX(Mots!$K:$K,MATCH($A471,Mots!$A:$A,0))),0)</f>
        <v>1</v>
      </c>
      <c r="E471" s="17" t="str">
        <f>IF(COUNTIF(Classement!$A:$A,$A471)&gt;0,"ok","à faire")</f>
        <v>ok</v>
      </c>
      <c r="F471" s="17" t="str">
        <f>IF(COUNTIF(Tags!$A:$A,$A471)&gt;0,"ok","à faire")</f>
        <v>ok</v>
      </c>
      <c r="G471" s="17" t="str">
        <f>IF(COUNTIF(Phrases!$A:$A,$A471)&gt;0,"ok","à faire")</f>
        <v>ok</v>
      </c>
      <c r="H471" s="17" t="str">
        <f>IF(COUNTIFS(Phrases!$A:$A,$A471,Phrases!$I:$I,"&lt;&gt;")&gt;0,"ok","à faire")</f>
        <v>à faire</v>
      </c>
      <c r="I471" s="17" t="str">
        <f>IF(COUNTIF(Synonymes!$A:$A,$A471)&gt;0,"ok","")</f>
        <v/>
      </c>
      <c r="J471" s="17">
        <f t="shared" si="7"/>
        <v>1</v>
      </c>
    </row>
    <row r="472" spans="1:10" x14ac:dyDescent="0.3">
      <c r="A472" s="17" t="s">
        <v>2643</v>
      </c>
      <c r="B472" s="17" t="str">
        <f>IFERROR(INDEX(Mots!$B:$B,MATCH($A472,Mots!$A:$A,0)),"introuvable")</f>
        <v>l'aigle</v>
      </c>
      <c r="C472" s="17" t="str">
        <f>IFERROR(INDEX(Mots!$N:$N,MATCH($A472,Mots!$A:$A,0)),"")</f>
        <v>animal</v>
      </c>
      <c r="D472" s="17">
        <f>IFERROR(COUNTA(INDEX(Mots!$E:$E,MATCH($A472,Mots!$A:$A,0)):INDEX(Mots!$K:$K,MATCH($A472,Mots!$A:$A,0))),0)</f>
        <v>5</v>
      </c>
      <c r="E472" s="17" t="str">
        <f>IF(COUNTIF(Classement!$A:$A,$A472)&gt;0,"ok","à faire")</f>
        <v>ok</v>
      </c>
      <c r="F472" s="17" t="str">
        <f>IF(COUNTIF(Tags!$A:$A,$A472)&gt;0,"ok","à faire")</f>
        <v>ok</v>
      </c>
      <c r="G472" s="17" t="str">
        <f>IF(COUNTIF(Phrases!$A:$A,$A472)&gt;0,"ok","à faire")</f>
        <v>ok</v>
      </c>
      <c r="H472" s="17" t="str">
        <f>IF(COUNTIFS(Phrases!$A:$A,$A472,Phrases!$I:$I,"&lt;&gt;")&gt;0,"ok","à faire")</f>
        <v>à faire</v>
      </c>
      <c r="I472" s="17" t="str">
        <f>IF(COUNTIF(Synonymes!$A:$A,$A472)&gt;0,"ok","")</f>
        <v/>
      </c>
      <c r="J472" s="17">
        <f t="shared" si="7"/>
        <v>1</v>
      </c>
    </row>
    <row r="473" spans="1:10" x14ac:dyDescent="0.3">
      <c r="A473" s="17" t="s">
        <v>2652</v>
      </c>
      <c r="B473" s="17" t="str">
        <f>IFERROR(INDEX(Mots!$B:$B,MATCH($A473,Mots!$A:$A,0)),"introuvable")</f>
        <v>le gypaète barbu</v>
      </c>
      <c r="C473" s="17" t="str">
        <f>IFERROR(INDEX(Mots!$N:$N,MATCH($A473,Mots!$A:$A,0)),"")</f>
        <v>animal</v>
      </c>
      <c r="D473" s="17">
        <f>IFERROR(COUNTA(INDEX(Mots!$E:$E,MATCH($A473,Mots!$A:$A,0)):INDEX(Mots!$K:$K,MATCH($A473,Mots!$A:$A,0))),0)</f>
        <v>1</v>
      </c>
      <c r="E473" s="17" t="str">
        <f>IF(COUNTIF(Classement!$A:$A,$A473)&gt;0,"ok","à faire")</f>
        <v>ok</v>
      </c>
      <c r="F473" s="17" t="str">
        <f>IF(COUNTIF(Tags!$A:$A,$A473)&gt;0,"ok","à faire")</f>
        <v>ok</v>
      </c>
      <c r="G473" s="17" t="str">
        <f>IF(COUNTIF(Phrases!$A:$A,$A473)&gt;0,"ok","à faire")</f>
        <v>ok</v>
      </c>
      <c r="H473" s="17" t="str">
        <f>IF(COUNTIFS(Phrases!$A:$A,$A473,Phrases!$I:$I,"&lt;&gt;")&gt;0,"ok","à faire")</f>
        <v>à faire</v>
      </c>
      <c r="I473" s="17" t="str">
        <f>IF(COUNTIF(Synonymes!$A:$A,$A473)&gt;0,"ok","")</f>
        <v/>
      </c>
      <c r="J473" s="17">
        <f t="shared" si="7"/>
        <v>1</v>
      </c>
    </row>
    <row r="474" spans="1:10" x14ac:dyDescent="0.3">
      <c r="A474" s="17" t="s">
        <v>2657</v>
      </c>
      <c r="B474" s="17" t="str">
        <f>IFERROR(INDEX(Mots!$B:$B,MATCH($A474,Mots!$A:$A,0)),"introuvable")</f>
        <v>le moineau</v>
      </c>
      <c r="C474" s="17" t="str">
        <f>IFERROR(INDEX(Mots!$N:$N,MATCH($A474,Mots!$A:$A,0)),"")</f>
        <v>animal</v>
      </c>
      <c r="D474" s="17">
        <f>IFERROR(COUNTA(INDEX(Mots!$E:$E,MATCH($A474,Mots!$A:$A,0)):INDEX(Mots!$K:$K,MATCH($A474,Mots!$A:$A,0))),0)</f>
        <v>1</v>
      </c>
      <c r="E474" s="17" t="str">
        <f>IF(COUNTIF(Classement!$A:$A,$A474)&gt;0,"ok","à faire")</f>
        <v>ok</v>
      </c>
      <c r="F474" s="17" t="str">
        <f>IF(COUNTIF(Tags!$A:$A,$A474)&gt;0,"ok","à faire")</f>
        <v>ok</v>
      </c>
      <c r="G474" s="17" t="str">
        <f>IF(COUNTIF(Phrases!$A:$A,$A474)&gt;0,"ok","à faire")</f>
        <v>ok</v>
      </c>
      <c r="H474" s="17" t="str">
        <f>IF(COUNTIFS(Phrases!$A:$A,$A474,Phrases!$I:$I,"&lt;&gt;")&gt;0,"ok","à faire")</f>
        <v>à faire</v>
      </c>
      <c r="I474" s="17" t="str">
        <f>IF(COUNTIF(Synonymes!$A:$A,$A474)&gt;0,"ok","")</f>
        <v/>
      </c>
      <c r="J474" s="17">
        <f t="shared" si="7"/>
        <v>1</v>
      </c>
    </row>
    <row r="475" spans="1:10" x14ac:dyDescent="0.3">
      <c r="A475" s="17" t="s">
        <v>2662</v>
      </c>
      <c r="B475" s="17" t="str">
        <f>IFERROR(INDEX(Mots!$B:$B,MATCH($A475,Mots!$A:$A,0)),"introuvable")</f>
        <v>le pigeon</v>
      </c>
      <c r="C475" s="17" t="str">
        <f>IFERROR(INDEX(Mots!$N:$N,MATCH($A475,Mots!$A:$A,0)),"")</f>
        <v>animal</v>
      </c>
      <c r="D475" s="17">
        <f>IFERROR(COUNTA(INDEX(Mots!$E:$E,MATCH($A475,Mots!$A:$A,0)):INDEX(Mots!$K:$K,MATCH($A475,Mots!$A:$A,0))),0)</f>
        <v>1</v>
      </c>
      <c r="E475" s="17" t="str">
        <f>IF(COUNTIF(Classement!$A:$A,$A475)&gt;0,"ok","à faire")</f>
        <v>ok</v>
      </c>
      <c r="F475" s="17" t="str">
        <f>IF(COUNTIF(Tags!$A:$A,$A475)&gt;0,"ok","à faire")</f>
        <v>ok</v>
      </c>
      <c r="G475" s="17" t="str">
        <f>IF(COUNTIF(Phrases!$A:$A,$A475)&gt;0,"ok","à faire")</f>
        <v>ok</v>
      </c>
      <c r="H475" s="17" t="str">
        <f>IF(COUNTIFS(Phrases!$A:$A,$A475,Phrases!$I:$I,"&lt;&gt;")&gt;0,"ok","à faire")</f>
        <v>à faire</v>
      </c>
      <c r="I475" s="17" t="str">
        <f>IF(COUNTIF(Synonymes!$A:$A,$A475)&gt;0,"ok","")</f>
        <v/>
      </c>
      <c r="J475" s="17">
        <f t="shared" si="7"/>
        <v>1</v>
      </c>
    </row>
    <row r="476" spans="1:10" x14ac:dyDescent="0.3">
      <c r="A476" s="17" t="s">
        <v>2666</v>
      </c>
      <c r="B476" s="17" t="str">
        <f>IFERROR(INDEX(Mots!$B:$B,MATCH($A476,Mots!$A:$A,0)),"introuvable")</f>
        <v>une pizza</v>
      </c>
      <c r="C476" s="17" t="str">
        <f>IFERROR(INDEX(Mots!$N:$N,MATCH($A476,Mots!$A:$A,0)),"")</f>
        <v>chose</v>
      </c>
      <c r="D476" s="17">
        <f>IFERROR(COUNTA(INDEX(Mots!$E:$E,MATCH($A476,Mots!$A:$A,0)):INDEX(Mots!$K:$K,MATCH($A476,Mots!$A:$A,0))),0)</f>
        <v>5</v>
      </c>
      <c r="E476" s="17" t="str">
        <f>IF(COUNTIF(Classement!$A:$A,$A476)&gt;0,"ok","à faire")</f>
        <v>ok</v>
      </c>
      <c r="F476" s="17" t="str">
        <f>IF(COUNTIF(Tags!$A:$A,$A476)&gt;0,"ok","à faire")</f>
        <v>ok</v>
      </c>
      <c r="G476" s="17" t="str">
        <f>IF(COUNTIF(Phrases!$A:$A,$A476)&gt;0,"ok","à faire")</f>
        <v>ok</v>
      </c>
      <c r="H476" s="17" t="str">
        <f>IF(COUNTIFS(Phrases!$A:$A,$A476,Phrases!$I:$I,"&lt;&gt;")&gt;0,"ok","à faire")</f>
        <v>à faire</v>
      </c>
      <c r="I476" s="17" t="str">
        <f>IF(COUNTIF(Synonymes!$A:$A,$A476)&gt;0,"ok","")</f>
        <v/>
      </c>
      <c r="J476" s="17">
        <f t="shared" si="7"/>
        <v>1</v>
      </c>
    </row>
    <row r="477" spans="1:10" x14ac:dyDescent="0.3">
      <c r="A477" s="17" t="s">
        <v>2675</v>
      </c>
      <c r="B477" s="17" t="str">
        <f>IFERROR(INDEX(Mots!$B:$B,MATCH($A477,Mots!$A:$A,0)),"introuvable")</f>
        <v>les lasagnes</v>
      </c>
      <c r="C477" s="17" t="str">
        <f>IFERROR(INDEX(Mots!$N:$N,MATCH($A477,Mots!$A:$A,0)),"")</f>
        <v>chose</v>
      </c>
      <c r="D477" s="17">
        <f>IFERROR(COUNTA(INDEX(Mots!$E:$E,MATCH($A477,Mots!$A:$A,0)):INDEX(Mots!$K:$K,MATCH($A477,Mots!$A:$A,0))),0)</f>
        <v>1</v>
      </c>
      <c r="E477" s="17" t="str">
        <f>IF(COUNTIF(Classement!$A:$A,$A477)&gt;0,"ok","à faire")</f>
        <v>ok</v>
      </c>
      <c r="F477" s="17" t="str">
        <f>IF(COUNTIF(Tags!$A:$A,$A477)&gt;0,"ok","à faire")</f>
        <v>ok</v>
      </c>
      <c r="G477" s="17" t="str">
        <f>IF(COUNTIF(Phrases!$A:$A,$A477)&gt;0,"ok","à faire")</f>
        <v>ok</v>
      </c>
      <c r="H477" s="17" t="str">
        <f>IF(COUNTIFS(Phrases!$A:$A,$A477,Phrases!$I:$I,"&lt;&gt;")&gt;0,"ok","à faire")</f>
        <v>à faire</v>
      </c>
      <c r="I477" s="17" t="str">
        <f>IF(COUNTIF(Synonymes!$A:$A,$A477)&gt;0,"ok","")</f>
        <v/>
      </c>
      <c r="J477" s="17">
        <f t="shared" si="7"/>
        <v>1</v>
      </c>
    </row>
    <row r="478" spans="1:10" x14ac:dyDescent="0.3">
      <c r="A478" s="17" t="s">
        <v>2680</v>
      </c>
      <c r="B478" s="17" t="str">
        <f>IFERROR(INDEX(Mots!$B:$B,MATCH($A478,Mots!$A:$A,0)),"introuvable")</f>
        <v>les cornettes</v>
      </c>
      <c r="C478" s="17" t="str">
        <f>IFERROR(INDEX(Mots!$N:$N,MATCH($A478,Mots!$A:$A,0)),"")</f>
        <v>chose</v>
      </c>
      <c r="D478" s="17">
        <f>IFERROR(COUNTA(INDEX(Mots!$E:$E,MATCH($A478,Mots!$A:$A,0)):INDEX(Mots!$K:$K,MATCH($A478,Mots!$A:$A,0))),0)</f>
        <v>1</v>
      </c>
      <c r="E478" s="17" t="str">
        <f>IF(COUNTIF(Classement!$A:$A,$A478)&gt;0,"ok","à faire")</f>
        <v>ok</v>
      </c>
      <c r="F478" s="17" t="str">
        <f>IF(COUNTIF(Tags!$A:$A,$A478)&gt;0,"ok","à faire")</f>
        <v>ok</v>
      </c>
      <c r="G478" s="17" t="str">
        <f>IF(COUNTIF(Phrases!$A:$A,$A478)&gt;0,"ok","à faire")</f>
        <v>ok</v>
      </c>
      <c r="H478" s="17" t="str">
        <f>IF(COUNTIFS(Phrases!$A:$A,$A478,Phrases!$I:$I,"&lt;&gt;")&gt;0,"ok","à faire")</f>
        <v>à faire</v>
      </c>
      <c r="I478" s="17" t="str">
        <f>IF(COUNTIF(Synonymes!$A:$A,$A478)&gt;0,"ok","")</f>
        <v/>
      </c>
      <c r="J478" s="17">
        <f t="shared" si="7"/>
        <v>1</v>
      </c>
    </row>
    <row r="479" spans="1:10" x14ac:dyDescent="0.3">
      <c r="A479" s="17" t="s">
        <v>2684</v>
      </c>
      <c r="B479" s="17" t="str">
        <f>IFERROR(INDEX(Mots!$B:$B,MATCH($A479,Mots!$A:$A,0)),"introuvable")</f>
        <v>les spaghetti</v>
      </c>
      <c r="C479" s="17" t="str">
        <f>IFERROR(INDEX(Mots!$N:$N,MATCH($A479,Mots!$A:$A,0)),"")</f>
        <v>chose</v>
      </c>
      <c r="D479" s="17">
        <f>IFERROR(COUNTA(INDEX(Mots!$E:$E,MATCH($A479,Mots!$A:$A,0)):INDEX(Mots!$K:$K,MATCH($A479,Mots!$A:$A,0))),0)</f>
        <v>1</v>
      </c>
      <c r="E479" s="17" t="str">
        <f>IF(COUNTIF(Classement!$A:$A,$A479)&gt;0,"ok","à faire")</f>
        <v>ok</v>
      </c>
      <c r="F479" s="17" t="str">
        <f>IF(COUNTIF(Tags!$A:$A,$A479)&gt;0,"ok","à faire")</f>
        <v>ok</v>
      </c>
      <c r="G479" s="17" t="str">
        <f>IF(COUNTIF(Phrases!$A:$A,$A479)&gt;0,"ok","à faire")</f>
        <v>ok</v>
      </c>
      <c r="H479" s="17" t="str">
        <f>IF(COUNTIFS(Phrases!$A:$A,$A479,Phrases!$I:$I,"&lt;&gt;")&gt;0,"ok","à faire")</f>
        <v>à faire</v>
      </c>
      <c r="I479" s="17" t="str">
        <f>IF(COUNTIF(Synonymes!$A:$A,$A479)&gt;0,"ok","")</f>
        <v/>
      </c>
      <c r="J479" s="17">
        <f t="shared" si="7"/>
        <v>1</v>
      </c>
    </row>
    <row r="480" spans="1:10" x14ac:dyDescent="0.3">
      <c r="A480" s="17" t="s">
        <v>2689</v>
      </c>
      <c r="B480" s="17" t="str">
        <f>IFERROR(INDEX(Mots!$B:$B,MATCH($A480,Mots!$A:$A,0)),"introuvable")</f>
        <v>les pennes</v>
      </c>
      <c r="C480" s="17" t="str">
        <f>IFERROR(INDEX(Mots!$N:$N,MATCH($A480,Mots!$A:$A,0)),"")</f>
        <v>chose</v>
      </c>
      <c r="D480" s="17">
        <f>IFERROR(COUNTA(INDEX(Mots!$E:$E,MATCH($A480,Mots!$A:$A,0)):INDEX(Mots!$K:$K,MATCH($A480,Mots!$A:$A,0))),0)</f>
        <v>1</v>
      </c>
      <c r="E480" s="17" t="str">
        <f>IF(COUNTIF(Classement!$A:$A,$A480)&gt;0,"ok","à faire")</f>
        <v>ok</v>
      </c>
      <c r="F480" s="17" t="str">
        <f>IF(COUNTIF(Tags!$A:$A,$A480)&gt;0,"ok","à faire")</f>
        <v>ok</v>
      </c>
      <c r="G480" s="17" t="str">
        <f>IF(COUNTIF(Phrases!$A:$A,$A480)&gt;0,"ok","à faire")</f>
        <v>ok</v>
      </c>
      <c r="H480" s="17" t="str">
        <f>IF(COUNTIFS(Phrases!$A:$A,$A480,Phrases!$I:$I,"&lt;&gt;")&gt;0,"ok","à faire")</f>
        <v>à faire</v>
      </c>
      <c r="I480" s="17" t="str">
        <f>IF(COUNTIF(Synonymes!$A:$A,$A480)&gt;0,"ok","")</f>
        <v/>
      </c>
      <c r="J480" s="17">
        <f t="shared" si="7"/>
        <v>1</v>
      </c>
    </row>
    <row r="481" spans="1:10" x14ac:dyDescent="0.3">
      <c r="A481" s="17" t="s">
        <v>2693</v>
      </c>
      <c r="B481" s="17" t="str">
        <f>IFERROR(INDEX(Mots!$B:$B,MATCH($A481,Mots!$A:$A,0)),"introuvable")</f>
        <v>un oeuf au plat</v>
      </c>
      <c r="C481" s="17" t="str">
        <f>IFERROR(INDEX(Mots!$N:$N,MATCH($A481,Mots!$A:$A,0)),"")</f>
        <v>chose</v>
      </c>
      <c r="D481" s="17">
        <f>IFERROR(COUNTA(INDEX(Mots!$E:$E,MATCH($A481,Mots!$A:$A,0)):INDEX(Mots!$K:$K,MATCH($A481,Mots!$A:$A,0))),0)</f>
        <v>1</v>
      </c>
      <c r="E481" s="17" t="str">
        <f>IF(COUNTIF(Classement!$A:$A,$A481)&gt;0,"ok","à faire")</f>
        <v>ok</v>
      </c>
      <c r="F481" s="17" t="str">
        <f>IF(COUNTIF(Tags!$A:$A,$A481)&gt;0,"ok","à faire")</f>
        <v>ok</v>
      </c>
      <c r="G481" s="17" t="str">
        <f>IF(COUNTIF(Phrases!$A:$A,$A481)&gt;0,"ok","à faire")</f>
        <v>ok</v>
      </c>
      <c r="H481" s="17" t="str">
        <f>IF(COUNTIFS(Phrases!$A:$A,$A481,Phrases!$I:$I,"&lt;&gt;")&gt;0,"ok","à faire")</f>
        <v>à faire</v>
      </c>
      <c r="I481" s="17" t="str">
        <f>IF(COUNTIF(Synonymes!$A:$A,$A481)&gt;0,"ok","")</f>
        <v/>
      </c>
      <c r="J481" s="17">
        <f t="shared" si="7"/>
        <v>1</v>
      </c>
    </row>
    <row r="482" spans="1:10" x14ac:dyDescent="0.3">
      <c r="A482" s="17" t="s">
        <v>2698</v>
      </c>
      <c r="B482" s="17" t="str">
        <f>IFERROR(INDEX(Mots!$B:$B,MATCH($A482,Mots!$A:$A,0)),"introuvable")</f>
        <v>l'omelette</v>
      </c>
      <c r="C482" s="17" t="str">
        <f>IFERROR(INDEX(Mots!$N:$N,MATCH($A482,Mots!$A:$A,0)),"")</f>
        <v>chose</v>
      </c>
      <c r="D482" s="17">
        <f>IFERROR(COUNTA(INDEX(Mots!$E:$E,MATCH($A482,Mots!$A:$A,0)):INDEX(Mots!$K:$K,MATCH($A482,Mots!$A:$A,0))),0)</f>
        <v>1</v>
      </c>
      <c r="E482" s="17" t="str">
        <f>IF(COUNTIF(Classement!$A:$A,$A482)&gt;0,"ok","à faire")</f>
        <v>ok</v>
      </c>
      <c r="F482" s="17" t="str">
        <f>IF(COUNTIF(Tags!$A:$A,$A482)&gt;0,"ok","à faire")</f>
        <v>ok</v>
      </c>
      <c r="G482" s="17" t="str">
        <f>IF(COUNTIF(Phrases!$A:$A,$A482)&gt;0,"ok","à faire")</f>
        <v>ok</v>
      </c>
      <c r="H482" s="17" t="str">
        <f>IF(COUNTIFS(Phrases!$A:$A,$A482,Phrases!$I:$I,"&lt;&gt;")&gt;0,"ok","à faire")</f>
        <v>à faire</v>
      </c>
      <c r="I482" s="17" t="str">
        <f>IF(COUNTIF(Synonymes!$A:$A,$A482)&gt;0,"ok","")</f>
        <v/>
      </c>
      <c r="J482" s="17">
        <f t="shared" si="7"/>
        <v>1</v>
      </c>
    </row>
    <row r="483" spans="1:10" x14ac:dyDescent="0.3">
      <c r="A483" s="17" t="s">
        <v>2702</v>
      </c>
      <c r="B483" s="17" t="str">
        <f>IFERROR(INDEX(Mots!$B:$B,MATCH($A483,Mots!$A:$A,0)),"introuvable")</f>
        <v>la polenta</v>
      </c>
      <c r="C483" s="17" t="str">
        <f>IFERROR(INDEX(Mots!$N:$N,MATCH($A483,Mots!$A:$A,0)),"")</f>
        <v>chose</v>
      </c>
      <c r="D483" s="17">
        <f>IFERROR(COUNTA(INDEX(Mots!$E:$E,MATCH($A483,Mots!$A:$A,0)):INDEX(Mots!$K:$K,MATCH($A483,Mots!$A:$A,0))),0)</f>
        <v>1</v>
      </c>
      <c r="E483" s="17" t="str">
        <f>IF(COUNTIF(Classement!$A:$A,$A483)&gt;0,"ok","à faire")</f>
        <v>ok</v>
      </c>
      <c r="F483" s="17" t="str">
        <f>IF(COUNTIF(Tags!$A:$A,$A483)&gt;0,"ok","à faire")</f>
        <v>ok</v>
      </c>
      <c r="G483" s="17" t="str">
        <f>IF(COUNTIF(Phrases!$A:$A,$A483)&gt;0,"ok","à faire")</f>
        <v>ok</v>
      </c>
      <c r="H483" s="17" t="str">
        <f>IF(COUNTIFS(Phrases!$A:$A,$A483,Phrases!$I:$I,"&lt;&gt;")&gt;0,"ok","à faire")</f>
        <v>à faire</v>
      </c>
      <c r="I483" s="17" t="str">
        <f>IF(COUNTIF(Synonymes!$A:$A,$A483)&gt;0,"ok","")</f>
        <v/>
      </c>
      <c r="J483" s="17">
        <f t="shared" si="7"/>
        <v>1</v>
      </c>
    </row>
    <row r="484" spans="1:10" x14ac:dyDescent="0.3">
      <c r="A484" s="17" t="s">
        <v>2706</v>
      </c>
      <c r="B484" s="17" t="str">
        <f>IFERROR(INDEX(Mots!$B:$B,MATCH($A484,Mots!$A:$A,0)),"introuvable")</f>
        <v>la fondue</v>
      </c>
      <c r="C484" s="17" t="str">
        <f>IFERROR(INDEX(Mots!$N:$N,MATCH($A484,Mots!$A:$A,0)),"")</f>
        <v>chose</v>
      </c>
      <c r="D484" s="17">
        <f>IFERROR(COUNTA(INDEX(Mots!$E:$E,MATCH($A484,Mots!$A:$A,0)):INDEX(Mots!$K:$K,MATCH($A484,Mots!$A:$A,0))),0)</f>
        <v>1</v>
      </c>
      <c r="E484" s="17" t="str">
        <f>IF(COUNTIF(Classement!$A:$A,$A484)&gt;0,"ok","à faire")</f>
        <v>ok</v>
      </c>
      <c r="F484" s="17" t="str">
        <f>IF(COUNTIF(Tags!$A:$A,$A484)&gt;0,"ok","à faire")</f>
        <v>ok</v>
      </c>
      <c r="G484" s="17" t="str">
        <f>IF(COUNTIF(Phrases!$A:$A,$A484)&gt;0,"ok","à faire")</f>
        <v>ok</v>
      </c>
      <c r="H484" s="17" t="str">
        <f>IF(COUNTIFS(Phrases!$A:$A,$A484,Phrases!$I:$I,"&lt;&gt;")&gt;0,"ok","à faire")</f>
        <v>ok</v>
      </c>
      <c r="I484" s="17" t="str">
        <f>IF(COUNTIF(Synonymes!$A:$A,$A484)&gt;0,"ok","")</f>
        <v/>
      </c>
      <c r="J484" s="17">
        <f t="shared" si="7"/>
        <v>0</v>
      </c>
    </row>
    <row r="485" spans="1:10" x14ac:dyDescent="0.3">
      <c r="A485" s="17" t="s">
        <v>2710</v>
      </c>
      <c r="B485" s="17" t="str">
        <f>IFERROR(INDEX(Mots!$B:$B,MATCH($A485,Mots!$A:$A,0)),"introuvable")</f>
        <v>la raclette</v>
      </c>
      <c r="C485" s="17" t="str">
        <f>IFERROR(INDEX(Mots!$N:$N,MATCH($A485,Mots!$A:$A,0)),"")</f>
        <v>chose</v>
      </c>
      <c r="D485" s="17">
        <f>IFERROR(COUNTA(INDEX(Mots!$E:$E,MATCH($A485,Mots!$A:$A,0)):INDEX(Mots!$K:$K,MATCH($A485,Mots!$A:$A,0))),0)</f>
        <v>1</v>
      </c>
      <c r="E485" s="17" t="str">
        <f>IF(COUNTIF(Classement!$A:$A,$A485)&gt;0,"ok","à faire")</f>
        <v>ok</v>
      </c>
      <c r="F485" s="17" t="str">
        <f>IF(COUNTIF(Tags!$A:$A,$A485)&gt;0,"ok","à faire")</f>
        <v>ok</v>
      </c>
      <c r="G485" s="17" t="str">
        <f>IF(COUNTIF(Phrases!$A:$A,$A485)&gt;0,"ok","à faire")</f>
        <v>ok</v>
      </c>
      <c r="H485" s="17" t="str">
        <f>IF(COUNTIFS(Phrases!$A:$A,$A485,Phrases!$I:$I,"&lt;&gt;")&gt;0,"ok","à faire")</f>
        <v>ok</v>
      </c>
      <c r="I485" s="17" t="str">
        <f>IF(COUNTIF(Synonymes!$A:$A,$A485)&gt;0,"ok","")</f>
        <v/>
      </c>
      <c r="J485" s="17">
        <f t="shared" si="7"/>
        <v>0</v>
      </c>
    </row>
    <row r="486" spans="1:10" x14ac:dyDescent="0.3">
      <c r="A486" s="17" t="s">
        <v>2714</v>
      </c>
      <c r="B486" s="17" t="str">
        <f>IFERROR(INDEX(Mots!$B:$B,MATCH($A486,Mots!$A:$A,0)),"introuvable")</f>
        <v>la soupe</v>
      </c>
      <c r="C486" s="17" t="str">
        <f>IFERROR(INDEX(Mots!$N:$N,MATCH($A486,Mots!$A:$A,0)),"")</f>
        <v>chose</v>
      </c>
      <c r="D486" s="17">
        <f>IFERROR(COUNTA(INDEX(Mots!$E:$E,MATCH($A486,Mots!$A:$A,0)):INDEX(Mots!$K:$K,MATCH($A486,Mots!$A:$A,0))),0)</f>
        <v>1</v>
      </c>
      <c r="E486" s="17" t="str">
        <f>IF(COUNTIF(Classement!$A:$A,$A486)&gt;0,"ok","à faire")</f>
        <v>ok</v>
      </c>
      <c r="F486" s="17" t="str">
        <f>IF(COUNTIF(Tags!$A:$A,$A486)&gt;0,"ok","à faire")</f>
        <v>ok</v>
      </c>
      <c r="G486" s="17" t="str">
        <f>IF(COUNTIF(Phrases!$A:$A,$A486)&gt;0,"ok","à faire")</f>
        <v>ok</v>
      </c>
      <c r="H486" s="17" t="str">
        <f>IF(COUNTIFS(Phrases!$A:$A,$A486,Phrases!$I:$I,"&lt;&gt;")&gt;0,"ok","à faire")</f>
        <v>à faire</v>
      </c>
      <c r="I486" s="17" t="str">
        <f>IF(COUNTIF(Synonymes!$A:$A,$A486)&gt;0,"ok","")</f>
        <v/>
      </c>
      <c r="J486" s="17">
        <f t="shared" si="7"/>
        <v>1</v>
      </c>
    </row>
    <row r="487" spans="1:10" x14ac:dyDescent="0.3">
      <c r="A487" s="17" t="s">
        <v>2719</v>
      </c>
      <c r="B487" s="17" t="str">
        <f>IFERROR(INDEX(Mots!$B:$B,MATCH($A487,Mots!$A:$A,0)),"introuvable")</f>
        <v>des filets de perche</v>
      </c>
      <c r="C487" s="17" t="str">
        <f>IFERROR(INDEX(Mots!$N:$N,MATCH($A487,Mots!$A:$A,0)),"")</f>
        <v>chose</v>
      </c>
      <c r="D487" s="17">
        <f>IFERROR(COUNTA(INDEX(Mots!$E:$E,MATCH($A487,Mots!$A:$A,0)):INDEX(Mots!$K:$K,MATCH($A487,Mots!$A:$A,0))),0)</f>
        <v>1</v>
      </c>
      <c r="E487" s="17" t="str">
        <f>IF(COUNTIF(Classement!$A:$A,$A487)&gt;0,"ok","à faire")</f>
        <v>ok</v>
      </c>
      <c r="F487" s="17" t="str">
        <f>IF(COUNTIF(Tags!$A:$A,$A487)&gt;0,"ok","à faire")</f>
        <v>ok</v>
      </c>
      <c r="G487" s="17" t="str">
        <f>IF(COUNTIF(Phrases!$A:$A,$A487)&gt;0,"ok","à faire")</f>
        <v>ok</v>
      </c>
      <c r="H487" s="17" t="str">
        <f>IF(COUNTIFS(Phrases!$A:$A,$A487,Phrases!$I:$I,"&lt;&gt;")&gt;0,"ok","à faire")</f>
        <v>à faire</v>
      </c>
      <c r="I487" s="17" t="str">
        <f>IF(COUNTIF(Synonymes!$A:$A,$A487)&gt;0,"ok","")</f>
        <v/>
      </c>
      <c r="J487" s="17">
        <f t="shared" si="7"/>
        <v>1</v>
      </c>
    </row>
    <row r="488" spans="1:10" x14ac:dyDescent="0.3">
      <c r="A488" s="17" t="s">
        <v>2722</v>
      </c>
      <c r="B488" s="17" t="str">
        <f>IFERROR(INDEX(Mots!$B:$B,MATCH($A488,Mots!$A:$A,0)),"introuvable")</f>
        <v>un filet de truite</v>
      </c>
      <c r="C488" s="17" t="str">
        <f>IFERROR(INDEX(Mots!$N:$N,MATCH($A488,Mots!$A:$A,0)),"")</f>
        <v>chose</v>
      </c>
      <c r="D488" s="17">
        <f>IFERROR(COUNTA(INDEX(Mots!$E:$E,MATCH($A488,Mots!$A:$A,0)):INDEX(Mots!$K:$K,MATCH($A488,Mots!$A:$A,0))),0)</f>
        <v>1</v>
      </c>
      <c r="E488" s="17" t="str">
        <f>IF(COUNTIF(Classement!$A:$A,$A488)&gt;0,"ok","à faire")</f>
        <v>ok</v>
      </c>
      <c r="F488" s="17" t="str">
        <f>IF(COUNTIF(Tags!$A:$A,$A488)&gt;0,"ok","à faire")</f>
        <v>ok</v>
      </c>
      <c r="G488" s="17" t="str">
        <f>IF(COUNTIF(Phrases!$A:$A,$A488)&gt;0,"ok","à faire")</f>
        <v>ok</v>
      </c>
      <c r="H488" s="17" t="str">
        <f>IF(COUNTIFS(Phrases!$A:$A,$A488,Phrases!$I:$I,"&lt;&gt;")&gt;0,"ok","à faire")</f>
        <v>à faire</v>
      </c>
      <c r="I488" s="17" t="str">
        <f>IF(COUNTIF(Synonymes!$A:$A,$A488)&gt;0,"ok","")</f>
        <v/>
      </c>
      <c r="J488" s="17">
        <f t="shared" si="7"/>
        <v>1</v>
      </c>
    </row>
    <row r="489" spans="1:10" x14ac:dyDescent="0.3">
      <c r="A489" s="17" t="s">
        <v>2725</v>
      </c>
      <c r="B489" s="17" t="str">
        <f>IFERROR(INDEX(Mots!$B:$B,MATCH($A489,Mots!$A:$A,0)),"introuvable")</f>
        <v>l'ami</v>
      </c>
      <c r="C489" s="17" t="str">
        <f>IFERROR(INDEX(Mots!$N:$N,MATCH($A489,Mots!$A:$A,0)),"")</f>
        <v>sentiment</v>
      </c>
      <c r="D489" s="17">
        <f>IFERROR(COUNTA(INDEX(Mots!$E:$E,MATCH($A489,Mots!$A:$A,0)):INDEX(Mots!$K:$K,MATCH($A489,Mots!$A:$A,0))),0)</f>
        <v>1</v>
      </c>
      <c r="E489" s="17" t="str">
        <f>IF(COUNTIF(Classement!$A:$A,$A489)&gt;0,"ok","à faire")</f>
        <v>ok</v>
      </c>
      <c r="F489" s="17" t="str">
        <f>IF(COUNTIF(Tags!$A:$A,$A489)&gt;0,"ok","à faire")</f>
        <v>ok</v>
      </c>
      <c r="G489" s="17" t="str">
        <f>IF(COUNTIF(Phrases!$A:$A,$A489)&gt;0,"ok","à faire")</f>
        <v>ok</v>
      </c>
      <c r="H489" s="17" t="str">
        <f>IF(COUNTIFS(Phrases!$A:$A,$A489,Phrases!$I:$I,"&lt;&gt;")&gt;0,"ok","à faire")</f>
        <v>à faire</v>
      </c>
      <c r="I489" s="17" t="str">
        <f>IF(COUNTIF(Synonymes!$A:$A,$A489)&gt;0,"ok","")</f>
        <v>ok</v>
      </c>
      <c r="J489" s="17">
        <f t="shared" si="7"/>
        <v>1</v>
      </c>
    </row>
    <row r="490" spans="1:10" x14ac:dyDescent="0.3">
      <c r="A490" s="17" t="s">
        <v>2730</v>
      </c>
      <c r="B490" s="17" t="str">
        <f>IFERROR(INDEX(Mots!$B:$B,MATCH($A490,Mots!$A:$A,0)),"introuvable")</f>
        <v>la banque</v>
      </c>
      <c r="C490" s="17" t="str">
        <f>IFERROR(INDEX(Mots!$N:$N,MATCH($A490,Mots!$A:$A,0)),"")</f>
        <v>lieu</v>
      </c>
      <c r="D490" s="17">
        <f>IFERROR(COUNTA(INDEX(Mots!$E:$E,MATCH($A490,Mots!$A:$A,0)):INDEX(Mots!$K:$K,MATCH($A490,Mots!$A:$A,0))),0)</f>
        <v>4</v>
      </c>
      <c r="E490" s="17" t="str">
        <f>IF(COUNTIF(Classement!$A:$A,$A490)&gt;0,"ok","à faire")</f>
        <v>ok</v>
      </c>
      <c r="F490" s="17" t="str">
        <f>IF(COUNTIF(Tags!$A:$A,$A490)&gt;0,"ok","à faire")</f>
        <v>ok</v>
      </c>
      <c r="G490" s="17" t="str">
        <f>IF(COUNTIF(Phrases!$A:$A,$A490)&gt;0,"ok","à faire")</f>
        <v>ok</v>
      </c>
      <c r="H490" s="17" t="str">
        <f>IF(COUNTIFS(Phrases!$A:$A,$A490,Phrases!$I:$I,"&lt;&gt;")&gt;0,"ok","à faire")</f>
        <v>à faire</v>
      </c>
      <c r="I490" s="17" t="str">
        <f>IF(COUNTIF(Synonymes!$A:$A,$A490)&gt;0,"ok","")</f>
        <v/>
      </c>
      <c r="J490" s="17">
        <f t="shared" si="7"/>
        <v>1</v>
      </c>
    </row>
    <row r="491" spans="1:10" x14ac:dyDescent="0.3">
      <c r="A491" s="17" t="s">
        <v>2737</v>
      </c>
      <c r="B491" s="17" t="str">
        <f>IFERROR(INDEX(Mots!$B:$B,MATCH($A491,Mots!$A:$A,0)),"introuvable")</f>
        <v>le magasin</v>
      </c>
      <c r="C491" s="17" t="str">
        <f>IFERROR(INDEX(Mots!$N:$N,MATCH($A491,Mots!$A:$A,0)),"")</f>
        <v>lieu</v>
      </c>
      <c r="D491" s="17">
        <f>IFERROR(COUNTA(INDEX(Mots!$E:$E,MATCH($A491,Mots!$A:$A,0)):INDEX(Mots!$K:$K,MATCH($A491,Mots!$A:$A,0))),0)</f>
        <v>5</v>
      </c>
      <c r="E491" s="17" t="str">
        <f>IF(COUNTIF(Classement!$A:$A,$A491)&gt;0,"ok","à faire")</f>
        <v>ok</v>
      </c>
      <c r="F491" s="17" t="str">
        <f>IF(COUNTIF(Tags!$A:$A,$A491)&gt;0,"ok","à faire")</f>
        <v>ok</v>
      </c>
      <c r="G491" s="17" t="str">
        <f>IF(COUNTIF(Phrases!$A:$A,$A491)&gt;0,"ok","à faire")</f>
        <v>ok</v>
      </c>
      <c r="H491" s="17" t="str">
        <f>IF(COUNTIFS(Phrases!$A:$A,$A491,Phrases!$I:$I,"&lt;&gt;")&gt;0,"ok","à faire")</f>
        <v>à faire</v>
      </c>
      <c r="I491" s="17" t="str">
        <f>IF(COUNTIF(Synonymes!$A:$A,$A491)&gt;0,"ok","")</f>
        <v>ok</v>
      </c>
      <c r="J491" s="17">
        <f t="shared" si="7"/>
        <v>1</v>
      </c>
    </row>
    <row r="492" spans="1:10" x14ac:dyDescent="0.3">
      <c r="A492" s="8" t="s">
        <v>9417</v>
      </c>
      <c r="B492" s="17" t="str">
        <f>IFERROR(INDEX(Mots!$B:$B,MATCH($A492,Mots!$A:$A,0)),"introuvable")</f>
        <v>le marché</v>
      </c>
      <c r="C492" s="17" t="str">
        <f>IFERROR(INDEX(Mots!$N:$N,MATCH($A492,Mots!$A:$A,0)),"")</f>
        <v>lieu</v>
      </c>
      <c r="D492" s="17">
        <f>IFERROR(COUNTA(INDEX(Mots!$E:$E,MATCH($A492,Mots!$A:$A,0)):INDEX(Mots!$K:$K,MATCH($A492,Mots!$A:$A,0))),0)</f>
        <v>1</v>
      </c>
      <c r="E492" s="17" t="str">
        <f>IF(COUNTIF(Classement!$A:$A,$A492)&gt;0,"ok","à faire")</f>
        <v>ok</v>
      </c>
      <c r="F492" s="17" t="str">
        <f>IF(COUNTIF(Tags!$A:$A,$A492)&gt;0,"ok","à faire")</f>
        <v>ok</v>
      </c>
      <c r="G492" s="17" t="str">
        <f>IF(COUNTIF(Phrases!$A:$A,$A492)&gt;0,"ok","à faire")</f>
        <v>ok</v>
      </c>
      <c r="H492" s="17" t="str">
        <f>IF(COUNTIFS(Phrases!$A:$A,$A492,Phrases!$I:$I,"&lt;&gt;")&gt;0,"ok","à faire")</f>
        <v>à faire</v>
      </c>
      <c r="I492" s="17" t="str">
        <f>IF(COUNTIF(Synonymes!$A:$A,$A492)&gt;0,"ok","")</f>
        <v/>
      </c>
      <c r="J492" s="17">
        <f t="shared" si="7"/>
        <v>1</v>
      </c>
    </row>
    <row r="493" spans="1:10" x14ac:dyDescent="0.3">
      <c r="A493" s="17" t="s">
        <v>2749</v>
      </c>
      <c r="B493" s="17" t="str">
        <f>IFERROR(INDEX(Mots!$B:$B,MATCH($A493,Mots!$A:$A,0)),"introuvable")</f>
        <v>le restaurant</v>
      </c>
      <c r="C493" s="17" t="str">
        <f>IFERROR(INDEX(Mots!$N:$N,MATCH($A493,Mots!$A:$A,0)),"")</f>
        <v>lieu</v>
      </c>
      <c r="D493" s="17">
        <f>IFERROR(COUNTA(INDEX(Mots!$E:$E,MATCH($A493,Mots!$A:$A,0)):INDEX(Mots!$K:$K,MATCH($A493,Mots!$A:$A,0))),0)</f>
        <v>5</v>
      </c>
      <c r="E493" s="17" t="str">
        <f>IF(COUNTIF(Classement!$A:$A,$A493)&gt;0,"ok","à faire")</f>
        <v>ok</v>
      </c>
      <c r="F493" s="17" t="str">
        <f>IF(COUNTIF(Tags!$A:$A,$A493)&gt;0,"ok","à faire")</f>
        <v>ok</v>
      </c>
      <c r="G493" s="17" t="str">
        <f>IF(COUNTIF(Phrases!$A:$A,$A493)&gt;0,"ok","à faire")</f>
        <v>ok</v>
      </c>
      <c r="H493" s="17" t="str">
        <f>IF(COUNTIFS(Phrases!$A:$A,$A493,Phrases!$I:$I,"&lt;&gt;")&gt;0,"ok","à faire")</f>
        <v>à faire</v>
      </c>
      <c r="I493" s="17" t="str">
        <f>IF(COUNTIF(Synonymes!$A:$A,$A493)&gt;0,"ok","")</f>
        <v/>
      </c>
      <c r="J493" s="17">
        <f t="shared" si="7"/>
        <v>1</v>
      </c>
    </row>
    <row r="494" spans="1:10" x14ac:dyDescent="0.3">
      <c r="A494" s="17" t="s">
        <v>2758</v>
      </c>
      <c r="B494" s="17" t="str">
        <f>IFERROR(INDEX(Mots!$B:$B,MATCH($A494,Mots!$A:$A,0)),"introuvable")</f>
        <v>l'hôtel</v>
      </c>
      <c r="C494" s="17" t="str">
        <f>IFERROR(INDEX(Mots!$N:$N,MATCH($A494,Mots!$A:$A,0)),"")</f>
        <v>lieu</v>
      </c>
      <c r="D494" s="17">
        <f>IFERROR(COUNTA(INDEX(Mots!$E:$E,MATCH($A494,Mots!$A:$A,0)):INDEX(Mots!$K:$K,MATCH($A494,Mots!$A:$A,0))),0)</f>
        <v>5</v>
      </c>
      <c r="E494" s="17" t="str">
        <f>IF(COUNTIF(Classement!$A:$A,$A494)&gt;0,"ok","à faire")</f>
        <v>ok</v>
      </c>
      <c r="F494" s="17" t="str">
        <f>IF(COUNTIF(Tags!$A:$A,$A494)&gt;0,"ok","à faire")</f>
        <v>ok</v>
      </c>
      <c r="G494" s="17" t="str">
        <f>IF(COUNTIF(Phrases!$A:$A,$A494)&gt;0,"ok","à faire")</f>
        <v>ok</v>
      </c>
      <c r="H494" s="17" t="str">
        <f>IF(COUNTIFS(Phrases!$A:$A,$A494,Phrases!$I:$I,"&lt;&gt;")&gt;0,"ok","à faire")</f>
        <v>à faire</v>
      </c>
      <c r="I494" s="17" t="str">
        <f>IF(COUNTIF(Synonymes!$A:$A,$A494)&gt;0,"ok","")</f>
        <v/>
      </c>
      <c r="J494" s="17">
        <f t="shared" si="7"/>
        <v>1</v>
      </c>
    </row>
    <row r="495" spans="1:10" x14ac:dyDescent="0.3">
      <c r="A495" s="17" t="s">
        <v>2767</v>
      </c>
      <c r="B495" s="17" t="str">
        <f>IFERROR(INDEX(Mots!$B:$B,MATCH($A495,Mots!$A:$A,0)),"introuvable")</f>
        <v>la salle de bain</v>
      </c>
      <c r="C495" s="17" t="str">
        <f>IFERROR(INDEX(Mots!$N:$N,MATCH($A495,Mots!$A:$A,0)),"")</f>
        <v>chose</v>
      </c>
      <c r="D495" s="17">
        <f>IFERROR(COUNTA(INDEX(Mots!$E:$E,MATCH($A495,Mots!$A:$A,0)):INDEX(Mots!$K:$K,MATCH($A495,Mots!$A:$A,0))),0)</f>
        <v>1</v>
      </c>
      <c r="E495" s="17" t="str">
        <f>IF(COUNTIF(Classement!$A:$A,$A495)&gt;0,"ok","à faire")</f>
        <v>ok</v>
      </c>
      <c r="F495" s="17" t="str">
        <f>IF(COUNTIF(Tags!$A:$A,$A495)&gt;0,"ok","à faire")</f>
        <v>ok</v>
      </c>
      <c r="G495" s="17" t="str">
        <f>IF(COUNTIF(Phrases!$A:$A,$A495)&gt;0,"ok","à faire")</f>
        <v>ok</v>
      </c>
      <c r="H495" s="17" t="str">
        <f>IF(COUNTIFS(Phrases!$A:$A,$A495,Phrases!$I:$I,"&lt;&gt;")&gt;0,"ok","à faire")</f>
        <v>à faire</v>
      </c>
      <c r="I495" s="17" t="str">
        <f>IF(COUNTIF(Synonymes!$A:$A,$A495)&gt;0,"ok","")</f>
        <v>ok</v>
      </c>
      <c r="J495" s="17">
        <f t="shared" si="7"/>
        <v>1</v>
      </c>
    </row>
    <row r="496" spans="1:10" x14ac:dyDescent="0.3">
      <c r="A496" s="17" t="s">
        <v>2770</v>
      </c>
      <c r="B496" s="17" t="str">
        <f>IFERROR(INDEX(Mots!$B:$B,MATCH($A496,Mots!$A:$A,0)),"introuvable")</f>
        <v>le lavabo</v>
      </c>
      <c r="C496" s="17" t="str">
        <f>IFERROR(INDEX(Mots!$N:$N,MATCH($A496,Mots!$A:$A,0)),"")</f>
        <v>chose</v>
      </c>
      <c r="D496" s="17">
        <f>IFERROR(COUNTA(INDEX(Mots!$E:$E,MATCH($A496,Mots!$A:$A,0)):INDEX(Mots!$K:$K,MATCH($A496,Mots!$A:$A,0))),0)</f>
        <v>1</v>
      </c>
      <c r="E496" s="17" t="str">
        <f>IF(COUNTIF(Classement!$A:$A,$A496)&gt;0,"ok","à faire")</f>
        <v>ok</v>
      </c>
      <c r="F496" s="17" t="str">
        <f>IF(COUNTIF(Tags!$A:$A,$A496)&gt;0,"ok","à faire")</f>
        <v>ok</v>
      </c>
      <c r="G496" s="17" t="str">
        <f>IF(COUNTIF(Phrases!$A:$A,$A496)&gt;0,"ok","à faire")</f>
        <v>ok</v>
      </c>
      <c r="H496" s="17" t="str">
        <f>IF(COUNTIFS(Phrases!$A:$A,$A496,Phrases!$I:$I,"&lt;&gt;")&gt;0,"ok","à faire")</f>
        <v>à faire</v>
      </c>
      <c r="I496" s="17" t="str">
        <f>IF(COUNTIF(Synonymes!$A:$A,$A496)&gt;0,"ok","")</f>
        <v/>
      </c>
      <c r="J496" s="17">
        <f t="shared" si="7"/>
        <v>1</v>
      </c>
    </row>
    <row r="497" spans="1:10" x14ac:dyDescent="0.3">
      <c r="A497" s="17" t="s">
        <v>2773</v>
      </c>
      <c r="B497" s="17" t="str">
        <f>IFERROR(INDEX(Mots!$B:$B,MATCH($A497,Mots!$A:$A,0)),"introuvable")</f>
        <v>le savon</v>
      </c>
      <c r="C497" s="17" t="str">
        <f>IFERROR(INDEX(Mots!$N:$N,MATCH($A497,Mots!$A:$A,0)),"")</f>
        <v>chose</v>
      </c>
      <c r="D497" s="17">
        <f>IFERROR(COUNTA(INDEX(Mots!$E:$E,MATCH($A497,Mots!$A:$A,0)):INDEX(Mots!$K:$K,MATCH($A497,Mots!$A:$A,0))),0)</f>
        <v>1</v>
      </c>
      <c r="E497" s="17" t="str">
        <f>IF(COUNTIF(Classement!$A:$A,$A497)&gt;0,"ok","à faire")</f>
        <v>ok</v>
      </c>
      <c r="F497" s="17" t="str">
        <f>IF(COUNTIF(Tags!$A:$A,$A497)&gt;0,"ok","à faire")</f>
        <v>ok</v>
      </c>
      <c r="G497" s="17" t="str">
        <f>IF(COUNTIF(Phrases!$A:$A,$A497)&gt;0,"ok","à faire")</f>
        <v>ok</v>
      </c>
      <c r="H497" s="17" t="str">
        <f>IF(COUNTIFS(Phrases!$A:$A,$A497,Phrases!$I:$I,"&lt;&gt;")&gt;0,"ok","à faire")</f>
        <v>à faire</v>
      </c>
      <c r="I497" s="17" t="str">
        <f>IF(COUNTIF(Synonymes!$A:$A,$A497)&gt;0,"ok","")</f>
        <v/>
      </c>
      <c r="J497" s="17">
        <f t="shared" si="7"/>
        <v>1</v>
      </c>
    </row>
    <row r="498" spans="1:10" x14ac:dyDescent="0.3">
      <c r="A498" s="17" t="s">
        <v>2777</v>
      </c>
      <c r="B498" s="17" t="str">
        <f>IFERROR(INDEX(Mots!$B:$B,MATCH($A498,Mots!$A:$A,0)),"introuvable")</f>
        <v>le miroir</v>
      </c>
      <c r="C498" s="17" t="str">
        <f>IFERROR(INDEX(Mots!$N:$N,MATCH($A498,Mots!$A:$A,0)),"")</f>
        <v>chose</v>
      </c>
      <c r="D498" s="17">
        <f>IFERROR(COUNTA(INDEX(Mots!$E:$E,MATCH($A498,Mots!$A:$A,0)):INDEX(Mots!$K:$K,MATCH($A498,Mots!$A:$A,0))),0)</f>
        <v>1</v>
      </c>
      <c r="E498" s="17" t="str">
        <f>IF(COUNTIF(Classement!$A:$A,$A498)&gt;0,"ok","à faire")</f>
        <v>ok</v>
      </c>
      <c r="F498" s="17" t="str">
        <f>IF(COUNTIF(Tags!$A:$A,$A498)&gt;0,"ok","à faire")</f>
        <v>ok</v>
      </c>
      <c r="G498" s="17" t="str">
        <f>IF(COUNTIF(Phrases!$A:$A,$A498)&gt;0,"ok","à faire")</f>
        <v>ok</v>
      </c>
      <c r="H498" s="17" t="str">
        <f>IF(COUNTIFS(Phrases!$A:$A,$A498,Phrases!$I:$I,"&lt;&gt;")&gt;0,"ok","à faire")</f>
        <v>à faire</v>
      </c>
      <c r="I498" s="17" t="str">
        <f>IF(COUNTIF(Synonymes!$A:$A,$A498)&gt;0,"ok","")</f>
        <v/>
      </c>
      <c r="J498" s="17">
        <f t="shared" si="7"/>
        <v>1</v>
      </c>
    </row>
    <row r="499" spans="1:10" x14ac:dyDescent="0.3">
      <c r="A499" s="17" t="s">
        <v>2780</v>
      </c>
      <c r="B499" s="17" t="str">
        <f>IFERROR(INDEX(Mots!$B:$B,MATCH($A499,Mots!$A:$A,0)),"introuvable")</f>
        <v>le WC</v>
      </c>
      <c r="C499" s="17" t="str">
        <f>IFERROR(INDEX(Mots!$N:$N,MATCH($A499,Mots!$A:$A,0)),"")</f>
        <v>chose</v>
      </c>
      <c r="D499" s="17">
        <f>IFERROR(COUNTA(INDEX(Mots!$E:$E,MATCH($A499,Mots!$A:$A,0)):INDEX(Mots!$K:$K,MATCH($A499,Mots!$A:$A,0))),0)</f>
        <v>1</v>
      </c>
      <c r="E499" s="17" t="str">
        <f>IF(COUNTIF(Classement!$A:$A,$A499)&gt;0,"ok","à faire")</f>
        <v>ok</v>
      </c>
      <c r="F499" s="17" t="str">
        <f>IF(COUNTIF(Tags!$A:$A,$A499)&gt;0,"ok","à faire")</f>
        <v>ok</v>
      </c>
      <c r="G499" s="17" t="str">
        <f>IF(COUNTIF(Phrases!$A:$A,$A499)&gt;0,"ok","à faire")</f>
        <v>ok</v>
      </c>
      <c r="H499" s="17" t="str">
        <f>IF(COUNTIFS(Phrases!$A:$A,$A499,Phrases!$I:$I,"&lt;&gt;")&gt;0,"ok","à faire")</f>
        <v>à faire</v>
      </c>
      <c r="I499" s="17" t="str">
        <f>IF(COUNTIF(Synonymes!$A:$A,$A499)&gt;0,"ok","")</f>
        <v/>
      </c>
      <c r="J499" s="17">
        <f t="shared" si="7"/>
        <v>1</v>
      </c>
    </row>
    <row r="500" spans="1:10" x14ac:dyDescent="0.3">
      <c r="A500" s="17" t="s">
        <v>2784</v>
      </c>
      <c r="B500" s="17" t="str">
        <f>IFERROR(INDEX(Mots!$B:$B,MATCH($A500,Mots!$A:$A,0)),"introuvable")</f>
        <v>la douche</v>
      </c>
      <c r="C500" s="17" t="str">
        <f>IFERROR(INDEX(Mots!$N:$N,MATCH($A500,Mots!$A:$A,0)),"")</f>
        <v>chose</v>
      </c>
      <c r="D500" s="17">
        <f>IFERROR(COUNTA(INDEX(Mots!$E:$E,MATCH($A500,Mots!$A:$A,0)):INDEX(Mots!$K:$K,MATCH($A500,Mots!$A:$A,0))),0)</f>
        <v>1</v>
      </c>
      <c r="E500" s="17" t="str">
        <f>IF(COUNTIF(Classement!$A:$A,$A500)&gt;0,"ok","à faire")</f>
        <v>ok</v>
      </c>
      <c r="F500" s="17" t="str">
        <f>IF(COUNTIF(Tags!$A:$A,$A500)&gt;0,"ok","à faire")</f>
        <v>ok</v>
      </c>
      <c r="G500" s="17" t="str">
        <f>IF(COUNTIF(Phrases!$A:$A,$A500)&gt;0,"ok","à faire")</f>
        <v>ok</v>
      </c>
      <c r="H500" s="17" t="str">
        <f>IF(COUNTIFS(Phrases!$A:$A,$A500,Phrases!$I:$I,"&lt;&gt;")&gt;0,"ok","à faire")</f>
        <v>à faire</v>
      </c>
      <c r="I500" s="17" t="str">
        <f>IF(COUNTIF(Synonymes!$A:$A,$A500)&gt;0,"ok","")</f>
        <v/>
      </c>
      <c r="J500" s="17">
        <f t="shared" si="7"/>
        <v>1</v>
      </c>
    </row>
    <row r="501" spans="1:10" x14ac:dyDescent="0.3">
      <c r="A501" s="17" t="s">
        <v>2788</v>
      </c>
      <c r="B501" s="17" t="str">
        <f>IFERROR(INDEX(Mots!$B:$B,MATCH($A501,Mots!$A:$A,0)),"introuvable")</f>
        <v>la baignoire</v>
      </c>
      <c r="C501" s="17" t="str">
        <f>IFERROR(INDEX(Mots!$N:$N,MATCH($A501,Mots!$A:$A,0)),"")</f>
        <v>chose</v>
      </c>
      <c r="D501" s="17">
        <f>IFERROR(COUNTA(INDEX(Mots!$E:$E,MATCH($A501,Mots!$A:$A,0)):INDEX(Mots!$K:$K,MATCH($A501,Mots!$A:$A,0))),0)</f>
        <v>1</v>
      </c>
      <c r="E501" s="17" t="str">
        <f>IF(COUNTIF(Classement!$A:$A,$A501)&gt;0,"ok","à faire")</f>
        <v>ok</v>
      </c>
      <c r="F501" s="17" t="str">
        <f>IF(COUNTIF(Tags!$A:$A,$A501)&gt;0,"ok","à faire")</f>
        <v>ok</v>
      </c>
      <c r="G501" s="17" t="str">
        <f>IF(COUNTIF(Phrases!$A:$A,$A501)&gt;0,"ok","à faire")</f>
        <v>ok</v>
      </c>
      <c r="H501" s="17" t="str">
        <f>IF(COUNTIFS(Phrases!$A:$A,$A501,Phrases!$I:$I,"&lt;&gt;")&gt;0,"ok","à faire")</f>
        <v>à faire</v>
      </c>
      <c r="I501" s="17" t="str">
        <f>IF(COUNTIF(Synonymes!$A:$A,$A501)&gt;0,"ok","")</f>
        <v/>
      </c>
      <c r="J501" s="17">
        <f t="shared" si="7"/>
        <v>1</v>
      </c>
    </row>
    <row r="502" spans="1:10" x14ac:dyDescent="0.3">
      <c r="A502" s="17" t="s">
        <v>2791</v>
      </c>
      <c r="B502" s="17" t="str">
        <f>IFERROR(INDEX(Mots!$B:$B,MATCH($A502,Mots!$A:$A,0)),"introuvable")</f>
        <v>le rasoir</v>
      </c>
      <c r="C502" s="17" t="str">
        <f>IFERROR(INDEX(Mots!$N:$N,MATCH($A502,Mots!$A:$A,0)),"")</f>
        <v>chose</v>
      </c>
      <c r="D502" s="17">
        <f>IFERROR(COUNTA(INDEX(Mots!$E:$E,MATCH($A502,Mots!$A:$A,0)):INDEX(Mots!$K:$K,MATCH($A502,Mots!$A:$A,0))),0)</f>
        <v>1</v>
      </c>
      <c r="E502" s="17" t="str">
        <f>IF(COUNTIF(Classement!$A:$A,$A502)&gt;0,"ok","à faire")</f>
        <v>ok</v>
      </c>
      <c r="F502" s="17" t="str">
        <f>IF(COUNTIF(Tags!$A:$A,$A502)&gt;0,"ok","à faire")</f>
        <v>ok</v>
      </c>
      <c r="G502" s="17" t="str">
        <f>IF(COUNTIF(Phrases!$A:$A,$A502)&gt;0,"ok","à faire")</f>
        <v>ok</v>
      </c>
      <c r="H502" s="17" t="str">
        <f>IF(COUNTIFS(Phrases!$A:$A,$A502,Phrases!$I:$I,"&lt;&gt;")&gt;0,"ok","à faire")</f>
        <v>à faire</v>
      </c>
      <c r="I502" s="17" t="str">
        <f>IF(COUNTIF(Synonymes!$A:$A,$A502)&gt;0,"ok","")</f>
        <v/>
      </c>
      <c r="J502" s="17">
        <f t="shared" si="7"/>
        <v>1</v>
      </c>
    </row>
    <row r="503" spans="1:10" x14ac:dyDescent="0.3">
      <c r="A503" s="17" t="s">
        <v>2795</v>
      </c>
      <c r="B503" s="17" t="str">
        <f>IFERROR(INDEX(Mots!$B:$B,MATCH($A503,Mots!$A:$A,0)),"introuvable")</f>
        <v>le déodorant</v>
      </c>
      <c r="C503" s="17" t="str">
        <f>IFERROR(INDEX(Mots!$N:$N,MATCH($A503,Mots!$A:$A,0)),"")</f>
        <v>chose</v>
      </c>
      <c r="D503" s="17">
        <f>IFERROR(COUNTA(INDEX(Mots!$E:$E,MATCH($A503,Mots!$A:$A,0)):INDEX(Mots!$K:$K,MATCH($A503,Mots!$A:$A,0))),0)</f>
        <v>1</v>
      </c>
      <c r="E503" s="17" t="str">
        <f>IF(COUNTIF(Classement!$A:$A,$A503)&gt;0,"ok","à faire")</f>
        <v>ok</v>
      </c>
      <c r="F503" s="17" t="str">
        <f>IF(COUNTIF(Tags!$A:$A,$A503)&gt;0,"ok","à faire")</f>
        <v>ok</v>
      </c>
      <c r="G503" s="17" t="str">
        <f>IF(COUNTIF(Phrases!$A:$A,$A503)&gt;0,"ok","à faire")</f>
        <v>ok</v>
      </c>
      <c r="H503" s="17" t="str">
        <f>IF(COUNTIFS(Phrases!$A:$A,$A503,Phrases!$I:$I,"&lt;&gt;")&gt;0,"ok","à faire")</f>
        <v>à faire</v>
      </c>
      <c r="I503" s="17" t="str">
        <f>IF(COUNTIF(Synonymes!$A:$A,$A503)&gt;0,"ok","")</f>
        <v/>
      </c>
      <c r="J503" s="17">
        <f t="shared" si="7"/>
        <v>1</v>
      </c>
    </row>
    <row r="504" spans="1:10" x14ac:dyDescent="0.3">
      <c r="A504" s="17" t="s">
        <v>2798</v>
      </c>
      <c r="B504" s="17" t="str">
        <f>IFERROR(INDEX(Mots!$B:$B,MATCH($A504,Mots!$A:$A,0)),"introuvable")</f>
        <v>le dentifrice</v>
      </c>
      <c r="C504" s="17" t="str">
        <f>IFERROR(INDEX(Mots!$N:$N,MATCH($A504,Mots!$A:$A,0)),"")</f>
        <v>chose</v>
      </c>
      <c r="D504" s="17">
        <f>IFERROR(COUNTA(INDEX(Mots!$E:$E,MATCH($A504,Mots!$A:$A,0)):INDEX(Mots!$K:$K,MATCH($A504,Mots!$A:$A,0))),0)</f>
        <v>1</v>
      </c>
      <c r="E504" s="17" t="str">
        <f>IF(COUNTIF(Classement!$A:$A,$A504)&gt;0,"ok","à faire")</f>
        <v>ok</v>
      </c>
      <c r="F504" s="17" t="str">
        <f>IF(COUNTIF(Tags!$A:$A,$A504)&gt;0,"ok","à faire")</f>
        <v>ok</v>
      </c>
      <c r="G504" s="17" t="str">
        <f>IF(COUNTIF(Phrases!$A:$A,$A504)&gt;0,"ok","à faire")</f>
        <v>ok</v>
      </c>
      <c r="H504" s="17" t="str">
        <f>IF(COUNTIFS(Phrases!$A:$A,$A504,Phrases!$I:$I,"&lt;&gt;")&gt;0,"ok","à faire")</f>
        <v>à faire</v>
      </c>
      <c r="I504" s="17" t="str">
        <f>IF(COUNTIF(Synonymes!$A:$A,$A504)&gt;0,"ok","")</f>
        <v/>
      </c>
      <c r="J504" s="17">
        <f t="shared" si="7"/>
        <v>1</v>
      </c>
    </row>
    <row r="505" spans="1:10" x14ac:dyDescent="0.3">
      <c r="A505" s="17" t="s">
        <v>2802</v>
      </c>
      <c r="B505" s="17" t="str">
        <f>IFERROR(INDEX(Mots!$B:$B,MATCH($A505,Mots!$A:$A,0)),"introuvable")</f>
        <v>la brosse à dents</v>
      </c>
      <c r="C505" s="17" t="str">
        <f>IFERROR(INDEX(Mots!$N:$N,MATCH($A505,Mots!$A:$A,0)),"")</f>
        <v>chose</v>
      </c>
      <c r="D505" s="17">
        <f>IFERROR(COUNTA(INDEX(Mots!$E:$E,MATCH($A505,Mots!$A:$A,0)):INDEX(Mots!$K:$K,MATCH($A505,Mots!$A:$A,0))),0)</f>
        <v>1</v>
      </c>
      <c r="E505" s="17" t="str">
        <f>IF(COUNTIF(Classement!$A:$A,$A505)&gt;0,"ok","à faire")</f>
        <v>ok</v>
      </c>
      <c r="F505" s="17" t="str">
        <f>IF(COUNTIF(Tags!$A:$A,$A505)&gt;0,"ok","à faire")</f>
        <v>ok</v>
      </c>
      <c r="G505" s="17" t="str">
        <f>IF(COUNTIF(Phrases!$A:$A,$A505)&gt;0,"ok","à faire")</f>
        <v>ok</v>
      </c>
      <c r="H505" s="17" t="str">
        <f>IF(COUNTIFS(Phrases!$A:$A,$A505,Phrases!$I:$I,"&lt;&gt;")&gt;0,"ok","à faire")</f>
        <v>à faire</v>
      </c>
      <c r="I505" s="17" t="str">
        <f>IF(COUNTIF(Synonymes!$A:$A,$A505)&gt;0,"ok","")</f>
        <v/>
      </c>
      <c r="J505" s="17">
        <f t="shared" si="7"/>
        <v>1</v>
      </c>
    </row>
    <row r="506" spans="1:10" x14ac:dyDescent="0.3">
      <c r="A506" s="17" t="s">
        <v>2805</v>
      </c>
      <c r="B506" s="17" t="str">
        <f>IFERROR(INDEX(Mots!$B:$B,MATCH($A506,Mots!$A:$A,0)),"introuvable")</f>
        <v>la branche d'un arbre</v>
      </c>
      <c r="C506" s="17" t="str">
        <f>IFERROR(INDEX(Mots!$N:$N,MATCH($A506,Mots!$A:$A,0)),"")</f>
        <v>chose</v>
      </c>
      <c r="D506" s="17">
        <f>IFERROR(COUNTA(INDEX(Mots!$E:$E,MATCH($A506,Mots!$A:$A,0)):INDEX(Mots!$K:$K,MATCH($A506,Mots!$A:$A,0))),0)</f>
        <v>1</v>
      </c>
      <c r="E506" s="17" t="str">
        <f>IF(COUNTIF(Classement!$A:$A,$A506)&gt;0,"ok","à faire")</f>
        <v>ok</v>
      </c>
      <c r="F506" s="17" t="str">
        <f>IF(COUNTIF(Tags!$A:$A,$A506)&gt;0,"ok","à faire")</f>
        <v>ok</v>
      </c>
      <c r="G506" s="17" t="str">
        <f>IF(COUNTIF(Phrases!$A:$A,$A506)&gt;0,"ok","à faire")</f>
        <v>ok</v>
      </c>
      <c r="H506" s="17" t="str">
        <f>IF(COUNTIFS(Phrases!$A:$A,$A506,Phrases!$I:$I,"&lt;&gt;")&gt;0,"ok","à faire")</f>
        <v>à faire</v>
      </c>
      <c r="I506" s="17" t="str">
        <f>IF(COUNTIF(Synonymes!$A:$A,$A506)&gt;0,"ok","")</f>
        <v/>
      </c>
      <c r="J506" s="17">
        <f t="shared" si="7"/>
        <v>1</v>
      </c>
    </row>
    <row r="507" spans="1:10" x14ac:dyDescent="0.3">
      <c r="A507" s="17" t="s">
        <v>2809</v>
      </c>
      <c r="B507" s="17" t="str">
        <f>IFERROR(INDEX(Mots!$B:$B,MATCH($A507,Mots!$A:$A,0)),"introuvable")</f>
        <v>la fleur</v>
      </c>
      <c r="C507" s="17" t="str">
        <f>IFERROR(INDEX(Mots!$N:$N,MATCH($A507,Mots!$A:$A,0)),"")</f>
        <v>chose</v>
      </c>
      <c r="D507" s="17">
        <f>IFERROR(COUNTA(INDEX(Mots!$E:$E,MATCH($A507,Mots!$A:$A,0)):INDEX(Mots!$K:$K,MATCH($A507,Mots!$A:$A,0))),0)</f>
        <v>3</v>
      </c>
      <c r="E507" s="17" t="str">
        <f>IF(COUNTIF(Classement!$A:$A,$A507)&gt;0,"ok","à faire")</f>
        <v>ok</v>
      </c>
      <c r="F507" s="17" t="str">
        <f>IF(COUNTIF(Tags!$A:$A,$A507)&gt;0,"ok","à faire")</f>
        <v>ok</v>
      </c>
      <c r="G507" s="17" t="str">
        <f>IF(COUNTIF(Phrases!$A:$A,$A507)&gt;0,"ok","à faire")</f>
        <v>ok</v>
      </c>
      <c r="H507" s="17" t="str">
        <f>IF(COUNTIFS(Phrases!$A:$A,$A507,Phrases!$I:$I,"&lt;&gt;")&gt;0,"ok","à faire")</f>
        <v>à faire</v>
      </c>
      <c r="I507" s="17" t="str">
        <f>IF(COUNTIF(Synonymes!$A:$A,$A507)&gt;0,"ok","")</f>
        <v/>
      </c>
      <c r="J507" s="17">
        <f t="shared" si="7"/>
        <v>1</v>
      </c>
    </row>
    <row r="508" spans="1:10" x14ac:dyDescent="0.3">
      <c r="A508" s="17" t="s">
        <v>2816</v>
      </c>
      <c r="B508" s="17" t="str">
        <f>IFERROR(INDEX(Mots!$B:$B,MATCH($A508,Mots!$A:$A,0)),"introuvable")</f>
        <v>la plante</v>
      </c>
      <c r="C508" s="17" t="str">
        <f>IFERROR(INDEX(Mots!$N:$N,MATCH($A508,Mots!$A:$A,0)),"")</f>
        <v>chose</v>
      </c>
      <c r="D508" s="17">
        <f>IFERROR(COUNTA(INDEX(Mots!$E:$E,MATCH($A508,Mots!$A:$A,0)):INDEX(Mots!$K:$K,MATCH($A508,Mots!$A:$A,0))),0)</f>
        <v>5</v>
      </c>
      <c r="E508" s="17" t="str">
        <f>IF(COUNTIF(Classement!$A:$A,$A508)&gt;0,"ok","à faire")</f>
        <v>ok</v>
      </c>
      <c r="F508" s="17" t="str">
        <f>IF(COUNTIF(Tags!$A:$A,$A508)&gt;0,"ok","à faire")</f>
        <v>ok</v>
      </c>
      <c r="G508" s="17" t="str">
        <f>IF(COUNTIF(Phrases!$A:$A,$A508)&gt;0,"ok","à faire")</f>
        <v>ok</v>
      </c>
      <c r="H508" s="17" t="str">
        <f>IF(COUNTIFS(Phrases!$A:$A,$A508,Phrases!$I:$I,"&lt;&gt;")&gt;0,"ok","à faire")</f>
        <v>à faire</v>
      </c>
      <c r="I508" s="17" t="str">
        <f>IF(COUNTIF(Synonymes!$A:$A,$A508)&gt;0,"ok","")</f>
        <v/>
      </c>
      <c r="J508" s="17">
        <f t="shared" si="7"/>
        <v>1</v>
      </c>
    </row>
    <row r="509" spans="1:10" x14ac:dyDescent="0.3">
      <c r="A509" s="17" t="s">
        <v>2825</v>
      </c>
      <c r="B509" s="17" t="str">
        <f>IFERROR(INDEX(Mots!$B:$B,MATCH($A509,Mots!$A:$A,0)),"introuvable")</f>
        <v>l'arbre</v>
      </c>
      <c r="C509" s="17" t="str">
        <f>IFERROR(INDEX(Mots!$N:$N,MATCH($A509,Mots!$A:$A,0)),"")</f>
        <v>chose</v>
      </c>
      <c r="D509" s="17">
        <f>IFERROR(COUNTA(INDEX(Mots!$E:$E,MATCH($A509,Mots!$A:$A,0)):INDEX(Mots!$K:$K,MATCH($A509,Mots!$A:$A,0))),0)</f>
        <v>1</v>
      </c>
      <c r="E509" s="17" t="str">
        <f>IF(COUNTIF(Classement!$A:$A,$A509)&gt;0,"ok","à faire")</f>
        <v>ok</v>
      </c>
      <c r="F509" s="17" t="str">
        <f>IF(COUNTIF(Tags!$A:$A,$A509)&gt;0,"ok","à faire")</f>
        <v>ok</v>
      </c>
      <c r="G509" s="17" t="str">
        <f>IF(COUNTIF(Phrases!$A:$A,$A509)&gt;0,"ok","à faire")</f>
        <v>ok</v>
      </c>
      <c r="H509" s="17" t="str">
        <f>IF(COUNTIFS(Phrases!$A:$A,$A509,Phrases!$I:$I,"&lt;&gt;")&gt;0,"ok","à faire")</f>
        <v>à faire</v>
      </c>
      <c r="I509" s="17" t="str">
        <f>IF(COUNTIF(Synonymes!$A:$A,$A509)&gt;0,"ok","")</f>
        <v/>
      </c>
      <c r="J509" s="17">
        <f t="shared" si="7"/>
        <v>1</v>
      </c>
    </row>
    <row r="510" spans="1:10" x14ac:dyDescent="0.3">
      <c r="A510" s="17" t="s">
        <v>2830</v>
      </c>
      <c r="B510" s="17" t="str">
        <f>IFERROR(INDEX(Mots!$B:$B,MATCH($A510,Mots!$A:$A,0)),"introuvable")</f>
        <v>l'herbe</v>
      </c>
      <c r="C510" s="17" t="str">
        <f>IFERROR(INDEX(Mots!$N:$N,MATCH($A510,Mots!$A:$A,0)),"")</f>
        <v>chose</v>
      </c>
      <c r="D510" s="17">
        <f>IFERROR(COUNTA(INDEX(Mots!$E:$E,MATCH($A510,Mots!$A:$A,0)):INDEX(Mots!$K:$K,MATCH($A510,Mots!$A:$A,0))),0)</f>
        <v>5</v>
      </c>
      <c r="E510" s="17" t="str">
        <f>IF(COUNTIF(Classement!$A:$A,$A510)&gt;0,"ok","à faire")</f>
        <v>ok</v>
      </c>
      <c r="F510" s="17" t="str">
        <f>IF(COUNTIF(Tags!$A:$A,$A510)&gt;0,"ok","à faire")</f>
        <v>ok</v>
      </c>
      <c r="G510" s="17" t="str">
        <f>IF(COUNTIF(Phrases!$A:$A,$A510)&gt;0,"ok","à faire")</f>
        <v>ok</v>
      </c>
      <c r="H510" s="17" t="str">
        <f>IF(COUNTIFS(Phrases!$A:$A,$A510,Phrases!$I:$I,"&lt;&gt;")&gt;0,"ok","à faire")</f>
        <v>à faire</v>
      </c>
      <c r="I510" s="17" t="str">
        <f>IF(COUNTIF(Synonymes!$A:$A,$A510)&gt;0,"ok","")</f>
        <v/>
      </c>
      <c r="J510" s="17">
        <f t="shared" si="7"/>
        <v>1</v>
      </c>
    </row>
    <row r="511" spans="1:10" x14ac:dyDescent="0.3">
      <c r="A511" s="17" t="s">
        <v>2839</v>
      </c>
      <c r="B511" s="17" t="str">
        <f>IFERROR(INDEX(Mots!$B:$B,MATCH($A511,Mots!$A:$A,0)),"introuvable")</f>
        <v>le vélo</v>
      </c>
      <c r="C511" s="17" t="str">
        <f>IFERROR(INDEX(Mots!$N:$N,MATCH($A511,Mots!$A:$A,0)),"")</f>
        <v>chose</v>
      </c>
      <c r="D511" s="17">
        <f>IFERROR(COUNTA(INDEX(Mots!$E:$E,MATCH($A511,Mots!$A:$A,0)):INDEX(Mots!$K:$K,MATCH($A511,Mots!$A:$A,0))),0)</f>
        <v>5</v>
      </c>
      <c r="E511" s="17" t="str">
        <f>IF(COUNTIF(Classement!$A:$A,$A511)&gt;0,"ok","à faire")</f>
        <v>ok</v>
      </c>
      <c r="F511" s="17" t="str">
        <f>IF(COUNTIF(Tags!$A:$A,$A511)&gt;0,"ok","à faire")</f>
        <v>ok</v>
      </c>
      <c r="G511" s="17" t="str">
        <f>IF(COUNTIF(Phrases!$A:$A,$A511)&gt;0,"ok","à faire")</f>
        <v>ok</v>
      </c>
      <c r="H511" s="17" t="str">
        <f>IF(COUNTIFS(Phrases!$A:$A,$A511,Phrases!$I:$I,"&lt;&gt;")&gt;0,"ok","à faire")</f>
        <v>à faire</v>
      </c>
      <c r="I511" s="17" t="str">
        <f>IF(COUNTIF(Synonymes!$A:$A,$A511)&gt;0,"ok","")</f>
        <v>ok</v>
      </c>
      <c r="J511" s="17">
        <f t="shared" si="7"/>
        <v>1</v>
      </c>
    </row>
    <row r="512" spans="1:10" x14ac:dyDescent="0.3">
      <c r="A512" s="17" t="s">
        <v>2848</v>
      </c>
      <c r="B512" s="17" t="str">
        <f>IFERROR(INDEX(Mots!$B:$B,MATCH($A512,Mots!$A:$A,0)),"introuvable")</f>
        <v>la moto</v>
      </c>
      <c r="C512" s="17" t="str">
        <f>IFERROR(INDEX(Mots!$N:$N,MATCH($A512,Mots!$A:$A,0)),"")</f>
        <v>chose</v>
      </c>
      <c r="D512" s="17">
        <f>IFERROR(COUNTA(INDEX(Mots!$E:$E,MATCH($A512,Mots!$A:$A,0)):INDEX(Mots!$K:$K,MATCH($A512,Mots!$A:$A,0))),0)</f>
        <v>1</v>
      </c>
      <c r="E512" s="17" t="str">
        <f>IF(COUNTIF(Classement!$A:$A,$A512)&gt;0,"ok","à faire")</f>
        <v>ok</v>
      </c>
      <c r="F512" s="17" t="str">
        <f>IF(COUNTIF(Tags!$A:$A,$A512)&gt;0,"ok","à faire")</f>
        <v>ok</v>
      </c>
      <c r="G512" s="17" t="str">
        <f>IF(COUNTIF(Phrases!$A:$A,$A512)&gt;0,"ok","à faire")</f>
        <v>ok</v>
      </c>
      <c r="H512" s="17" t="str">
        <f>IF(COUNTIFS(Phrases!$A:$A,$A512,Phrases!$I:$I,"&lt;&gt;")&gt;0,"ok","à faire")</f>
        <v>à faire</v>
      </c>
      <c r="I512" s="17" t="str">
        <f>IF(COUNTIF(Synonymes!$A:$A,$A512)&gt;0,"ok","")</f>
        <v/>
      </c>
      <c r="J512" s="17">
        <f t="shared" si="7"/>
        <v>1</v>
      </c>
    </row>
    <row r="513" spans="1:10" x14ac:dyDescent="0.3">
      <c r="A513" s="17" t="s">
        <v>2851</v>
      </c>
      <c r="B513" s="17" t="str">
        <f>IFERROR(INDEX(Mots!$B:$B,MATCH($A513,Mots!$A:$A,0)),"introuvable")</f>
        <v>la voiture</v>
      </c>
      <c r="C513" s="17" t="str">
        <f>IFERROR(INDEX(Mots!$N:$N,MATCH($A513,Mots!$A:$A,0)),"")</f>
        <v>chose</v>
      </c>
      <c r="D513" s="17">
        <f>IFERROR(COUNTA(INDEX(Mots!$E:$E,MATCH($A513,Mots!$A:$A,0)):INDEX(Mots!$K:$K,MATCH($A513,Mots!$A:$A,0))),0)</f>
        <v>1</v>
      </c>
      <c r="E513" s="17" t="str">
        <f>IF(COUNTIF(Classement!$A:$A,$A513)&gt;0,"ok","à faire")</f>
        <v>ok</v>
      </c>
      <c r="F513" s="17" t="str">
        <f>IF(COUNTIF(Tags!$A:$A,$A513)&gt;0,"ok","à faire")</f>
        <v>ok</v>
      </c>
      <c r="G513" s="17" t="str">
        <f>IF(COUNTIF(Phrases!$A:$A,$A513)&gt;0,"ok","à faire")</f>
        <v>ok</v>
      </c>
      <c r="H513" s="17" t="str">
        <f>IF(COUNTIFS(Phrases!$A:$A,$A513,Phrases!$I:$I,"&lt;&gt;")&gt;0,"ok","à faire")</f>
        <v>à faire</v>
      </c>
      <c r="I513" s="17" t="str">
        <f>IF(COUNTIF(Synonymes!$A:$A,$A513)&gt;0,"ok","")</f>
        <v>ok</v>
      </c>
      <c r="J513" s="17">
        <f t="shared" ref="J513:J576" si="8">COUNTIF(E513:H513,"à faire")</f>
        <v>1</v>
      </c>
    </row>
    <row r="514" spans="1:10" x14ac:dyDescent="0.3">
      <c r="A514" s="17" t="s">
        <v>2854</v>
      </c>
      <c r="B514" s="17" t="str">
        <f>IFERROR(INDEX(Mots!$B:$B,MATCH($A514,Mots!$A:$A,0)),"introuvable")</f>
        <v>le pickup</v>
      </c>
      <c r="C514" s="17" t="str">
        <f>IFERROR(INDEX(Mots!$N:$N,MATCH($A514,Mots!$A:$A,0)),"")</f>
        <v>chose</v>
      </c>
      <c r="D514" s="17">
        <f>IFERROR(COUNTA(INDEX(Mots!$E:$E,MATCH($A514,Mots!$A:$A,0)):INDEX(Mots!$K:$K,MATCH($A514,Mots!$A:$A,0))),0)</f>
        <v>1</v>
      </c>
      <c r="E514" s="17" t="str">
        <f>IF(COUNTIF(Classement!$A:$A,$A514)&gt;0,"ok","à faire")</f>
        <v>ok</v>
      </c>
      <c r="F514" s="17" t="str">
        <f>IF(COUNTIF(Tags!$A:$A,$A514)&gt;0,"ok","à faire")</f>
        <v>ok</v>
      </c>
      <c r="G514" s="17" t="str">
        <f>IF(COUNTIF(Phrases!$A:$A,$A514)&gt;0,"ok","à faire")</f>
        <v>ok</v>
      </c>
      <c r="H514" s="17" t="str">
        <f>IF(COUNTIFS(Phrases!$A:$A,$A514,Phrases!$I:$I,"&lt;&gt;")&gt;0,"ok","à faire")</f>
        <v>à faire</v>
      </c>
      <c r="I514" s="17" t="str">
        <f>IF(COUNTIF(Synonymes!$A:$A,$A514)&gt;0,"ok","")</f>
        <v/>
      </c>
      <c r="J514" s="17">
        <f t="shared" si="8"/>
        <v>1</v>
      </c>
    </row>
    <row r="515" spans="1:10" x14ac:dyDescent="0.3">
      <c r="A515" s="17" t="s">
        <v>2857</v>
      </c>
      <c r="B515" s="17" t="str">
        <f>IFERROR(INDEX(Mots!$B:$B,MATCH($A515,Mots!$A:$A,0)),"introuvable")</f>
        <v>le  car postal</v>
      </c>
      <c r="C515" s="17" t="str">
        <f>IFERROR(INDEX(Mots!$N:$N,MATCH($A515,Mots!$A:$A,0)),"")</f>
        <v>chose</v>
      </c>
      <c r="D515" s="17">
        <f>IFERROR(COUNTA(INDEX(Mots!$E:$E,MATCH($A515,Mots!$A:$A,0)):INDEX(Mots!$K:$K,MATCH($A515,Mots!$A:$A,0))),0)</f>
        <v>1</v>
      </c>
      <c r="E515" s="17" t="str">
        <f>IF(COUNTIF(Classement!$A:$A,$A515)&gt;0,"ok","à faire")</f>
        <v>ok</v>
      </c>
      <c r="F515" s="17" t="str">
        <f>IF(COUNTIF(Tags!$A:$A,$A515)&gt;0,"ok","à faire")</f>
        <v>ok</v>
      </c>
      <c r="G515" s="17" t="str">
        <f>IF(COUNTIF(Phrases!$A:$A,$A515)&gt;0,"ok","à faire")</f>
        <v>ok</v>
      </c>
      <c r="H515" s="17" t="str">
        <f>IF(COUNTIFS(Phrases!$A:$A,$A515,Phrases!$I:$I,"&lt;&gt;")&gt;0,"ok","à faire")</f>
        <v>à faire</v>
      </c>
      <c r="I515" s="17" t="str">
        <f>IF(COUNTIF(Synonymes!$A:$A,$A515)&gt;0,"ok","")</f>
        <v/>
      </c>
      <c r="J515" s="17">
        <f t="shared" si="8"/>
        <v>1</v>
      </c>
    </row>
    <row r="516" spans="1:10" x14ac:dyDescent="0.3">
      <c r="A516" s="17" t="s">
        <v>2861</v>
      </c>
      <c r="B516" s="17" t="str">
        <f>IFERROR(INDEX(Mots!$B:$B,MATCH($A516,Mots!$A:$A,0)),"introuvable")</f>
        <v>le camion</v>
      </c>
      <c r="C516" s="17" t="str">
        <f>IFERROR(INDEX(Mots!$N:$N,MATCH($A516,Mots!$A:$A,0)),"")</f>
        <v>chose</v>
      </c>
      <c r="D516" s="17">
        <f>IFERROR(COUNTA(INDEX(Mots!$E:$E,MATCH($A516,Mots!$A:$A,0)):INDEX(Mots!$K:$K,MATCH($A516,Mots!$A:$A,0))),0)</f>
        <v>1</v>
      </c>
      <c r="E516" s="17" t="str">
        <f>IF(COUNTIF(Classement!$A:$A,$A516)&gt;0,"ok","à faire")</f>
        <v>ok</v>
      </c>
      <c r="F516" s="17" t="str">
        <f>IF(COUNTIF(Tags!$A:$A,$A516)&gt;0,"ok","à faire")</f>
        <v>ok</v>
      </c>
      <c r="G516" s="17" t="str">
        <f>IF(COUNTIF(Phrases!$A:$A,$A516)&gt;0,"ok","à faire")</f>
        <v>ok</v>
      </c>
      <c r="H516" s="17" t="str">
        <f>IF(COUNTIFS(Phrases!$A:$A,$A516,Phrases!$I:$I,"&lt;&gt;")&gt;0,"ok","à faire")</f>
        <v>à faire</v>
      </c>
      <c r="I516" s="17" t="str">
        <f>IF(COUNTIF(Synonymes!$A:$A,$A516)&gt;0,"ok","")</f>
        <v/>
      </c>
      <c r="J516" s="17">
        <f t="shared" si="8"/>
        <v>1</v>
      </c>
    </row>
    <row r="517" spans="1:10" x14ac:dyDescent="0.3">
      <c r="A517" s="17" t="s">
        <v>2864</v>
      </c>
      <c r="B517" s="17" t="str">
        <f>IFERROR(INDEX(Mots!$B:$B,MATCH($A517,Mots!$A:$A,0)),"introuvable")</f>
        <v>le tracteur</v>
      </c>
      <c r="C517" s="17" t="str">
        <f>IFERROR(INDEX(Mots!$N:$N,MATCH($A517,Mots!$A:$A,0)),"")</f>
        <v>chose</v>
      </c>
      <c r="D517" s="17">
        <f>IFERROR(COUNTA(INDEX(Mots!$E:$E,MATCH($A517,Mots!$A:$A,0)):INDEX(Mots!$K:$K,MATCH($A517,Mots!$A:$A,0))),0)</f>
        <v>1</v>
      </c>
      <c r="E517" s="17" t="str">
        <f>IF(COUNTIF(Classement!$A:$A,$A517)&gt;0,"ok","à faire")</f>
        <v>ok</v>
      </c>
      <c r="F517" s="17" t="str">
        <f>IF(COUNTIF(Tags!$A:$A,$A517)&gt;0,"ok","à faire")</f>
        <v>ok</v>
      </c>
      <c r="G517" s="17" t="str">
        <f>IF(COUNTIF(Phrases!$A:$A,$A517)&gt;0,"ok","à faire")</f>
        <v>ok</v>
      </c>
      <c r="H517" s="17" t="str">
        <f>IF(COUNTIFS(Phrases!$A:$A,$A517,Phrases!$I:$I,"&lt;&gt;")&gt;0,"ok","à faire")</f>
        <v>à faire</v>
      </c>
      <c r="I517" s="17" t="str">
        <f>IF(COUNTIF(Synonymes!$A:$A,$A517)&gt;0,"ok","")</f>
        <v/>
      </c>
      <c r="J517" s="17">
        <f t="shared" si="8"/>
        <v>1</v>
      </c>
    </row>
    <row r="518" spans="1:10" x14ac:dyDescent="0.3">
      <c r="A518" s="17" t="s">
        <v>2867</v>
      </c>
      <c r="B518" s="17" t="str">
        <f>IFERROR(INDEX(Mots!$B:$B,MATCH($A518,Mots!$A:$A,0)),"introuvable")</f>
        <v>le train</v>
      </c>
      <c r="C518" s="17" t="str">
        <f>IFERROR(INDEX(Mots!$N:$N,MATCH($A518,Mots!$A:$A,0)),"")</f>
        <v>chose</v>
      </c>
      <c r="D518" s="17">
        <f>IFERROR(COUNTA(INDEX(Mots!$E:$E,MATCH($A518,Mots!$A:$A,0)):INDEX(Mots!$K:$K,MATCH($A518,Mots!$A:$A,0))),0)</f>
        <v>5</v>
      </c>
      <c r="E518" s="17" t="str">
        <f>IF(COUNTIF(Classement!$A:$A,$A518)&gt;0,"ok","à faire")</f>
        <v>ok</v>
      </c>
      <c r="F518" s="17" t="str">
        <f>IF(COUNTIF(Tags!$A:$A,$A518)&gt;0,"ok","à faire")</f>
        <v>ok</v>
      </c>
      <c r="G518" s="17" t="str">
        <f>IF(COUNTIF(Phrases!$A:$A,$A518)&gt;0,"ok","à faire")</f>
        <v>ok</v>
      </c>
      <c r="H518" s="17" t="str">
        <f>IF(COUNTIFS(Phrases!$A:$A,$A518,Phrases!$I:$I,"&lt;&gt;")&gt;0,"ok","à faire")</f>
        <v>à faire</v>
      </c>
      <c r="I518" s="17" t="str">
        <f>IF(COUNTIF(Synonymes!$A:$A,$A518)&gt;0,"ok","")</f>
        <v/>
      </c>
      <c r="J518" s="17">
        <f t="shared" si="8"/>
        <v>1</v>
      </c>
    </row>
    <row r="519" spans="1:10" x14ac:dyDescent="0.3">
      <c r="A519" s="17" t="s">
        <v>2876</v>
      </c>
      <c r="B519" s="17" t="str">
        <f>IFERROR(INDEX(Mots!$B:$B,MATCH($A519,Mots!$A:$A,0)),"introuvable")</f>
        <v>la route</v>
      </c>
      <c r="C519" s="17" t="str">
        <f>IFERROR(INDEX(Mots!$N:$N,MATCH($A519,Mots!$A:$A,0)),"")</f>
        <v>chose</v>
      </c>
      <c r="D519" s="17">
        <f>IFERROR(COUNTA(INDEX(Mots!$E:$E,MATCH($A519,Mots!$A:$A,0)):INDEX(Mots!$K:$K,MATCH($A519,Mots!$A:$A,0))),0)</f>
        <v>1</v>
      </c>
      <c r="E519" s="17" t="str">
        <f>IF(COUNTIF(Classement!$A:$A,$A519)&gt;0,"ok","à faire")</f>
        <v>ok</v>
      </c>
      <c r="F519" s="17" t="str">
        <f>IF(COUNTIF(Tags!$A:$A,$A519)&gt;0,"ok","à faire")</f>
        <v>ok</v>
      </c>
      <c r="G519" s="17" t="str">
        <f>IF(COUNTIF(Phrases!$A:$A,$A519)&gt;0,"ok","à faire")</f>
        <v>ok</v>
      </c>
      <c r="H519" s="17" t="str">
        <f>IF(COUNTIFS(Phrases!$A:$A,$A519,Phrases!$I:$I,"&lt;&gt;")&gt;0,"ok","à faire")</f>
        <v>à faire</v>
      </c>
      <c r="I519" s="17" t="str">
        <f>IF(COUNTIF(Synonymes!$A:$A,$A519)&gt;0,"ok","")</f>
        <v/>
      </c>
      <c r="J519" s="17">
        <f t="shared" si="8"/>
        <v>1</v>
      </c>
    </row>
    <row r="520" spans="1:10" x14ac:dyDescent="0.3">
      <c r="A520" s="17" t="s">
        <v>2881</v>
      </c>
      <c r="B520" s="17" t="str">
        <f>IFERROR(INDEX(Mots!$B:$B,MATCH($A520,Mots!$A:$A,0)),"introuvable")</f>
        <v>les feux de circulation</v>
      </c>
      <c r="C520" s="17" t="str">
        <f>IFERROR(INDEX(Mots!$N:$N,MATCH($A520,Mots!$A:$A,0)),"")</f>
        <v>chose</v>
      </c>
      <c r="D520" s="17">
        <f>IFERROR(COUNTA(INDEX(Mots!$E:$E,MATCH($A520,Mots!$A:$A,0)):INDEX(Mots!$K:$K,MATCH($A520,Mots!$A:$A,0))),0)</f>
        <v>4</v>
      </c>
      <c r="E520" s="17" t="str">
        <f>IF(COUNTIF(Classement!$A:$A,$A520)&gt;0,"ok","à faire")</f>
        <v>ok</v>
      </c>
      <c r="F520" s="17" t="str">
        <f>IF(COUNTIF(Tags!$A:$A,$A520)&gt;0,"ok","à faire")</f>
        <v>ok</v>
      </c>
      <c r="G520" s="17" t="str">
        <f>IF(COUNTIF(Phrases!$A:$A,$A520)&gt;0,"ok","à faire")</f>
        <v>ok</v>
      </c>
      <c r="H520" s="17" t="str">
        <f>IF(COUNTIFS(Phrases!$A:$A,$A520,Phrases!$I:$I,"&lt;&gt;")&gt;0,"ok","à faire")</f>
        <v>à faire</v>
      </c>
      <c r="I520" s="17" t="str">
        <f>IF(COUNTIF(Synonymes!$A:$A,$A520)&gt;0,"ok","")</f>
        <v/>
      </c>
      <c r="J520" s="17">
        <f t="shared" si="8"/>
        <v>1</v>
      </c>
    </row>
    <row r="521" spans="1:10" x14ac:dyDescent="0.3">
      <c r="A521" s="17" t="s">
        <v>2889</v>
      </c>
      <c r="B521" s="17" t="str">
        <f>IFERROR(INDEX(Mots!$B:$B,MATCH($A521,Mots!$A:$A,0)),"introuvable")</f>
        <v>l'avion</v>
      </c>
      <c r="C521" s="17" t="str">
        <f>IFERROR(INDEX(Mots!$N:$N,MATCH($A521,Mots!$A:$A,0)),"")</f>
        <v>chose</v>
      </c>
      <c r="D521" s="17">
        <f>IFERROR(COUNTA(INDEX(Mots!$E:$E,MATCH($A521,Mots!$A:$A,0)):INDEX(Mots!$K:$K,MATCH($A521,Mots!$A:$A,0))),0)</f>
        <v>1</v>
      </c>
      <c r="E521" s="17" t="str">
        <f>IF(COUNTIF(Classement!$A:$A,$A521)&gt;0,"ok","à faire")</f>
        <v>ok</v>
      </c>
      <c r="F521" s="17" t="str">
        <f>IF(COUNTIF(Tags!$A:$A,$A521)&gt;0,"ok","à faire")</f>
        <v>ok</v>
      </c>
      <c r="G521" s="17" t="str">
        <f>IF(COUNTIF(Phrases!$A:$A,$A521)&gt;0,"ok","à faire")</f>
        <v>ok</v>
      </c>
      <c r="H521" s="17" t="str">
        <f>IF(COUNTIFS(Phrases!$A:$A,$A521,Phrases!$I:$I,"&lt;&gt;")&gt;0,"ok","à faire")</f>
        <v>à faire</v>
      </c>
      <c r="I521" s="17" t="str">
        <f>IF(COUNTIF(Synonymes!$A:$A,$A521)&gt;0,"ok","")</f>
        <v/>
      </c>
      <c r="J521" s="17">
        <f t="shared" si="8"/>
        <v>1</v>
      </c>
    </row>
    <row r="522" spans="1:10" x14ac:dyDescent="0.3">
      <c r="A522" s="17" t="s">
        <v>2894</v>
      </c>
      <c r="B522" s="17" t="str">
        <f>IFERROR(INDEX(Mots!$B:$B,MATCH($A522,Mots!$A:$A,0)),"introuvable")</f>
        <v>l'helicoptère</v>
      </c>
      <c r="C522" s="17" t="str">
        <f>IFERROR(INDEX(Mots!$N:$N,MATCH($A522,Mots!$A:$A,0)),"")</f>
        <v>chose</v>
      </c>
      <c r="D522" s="17">
        <f>IFERROR(COUNTA(INDEX(Mots!$E:$E,MATCH($A522,Mots!$A:$A,0)):INDEX(Mots!$K:$K,MATCH($A522,Mots!$A:$A,0))),0)</f>
        <v>1</v>
      </c>
      <c r="E522" s="17" t="str">
        <f>IF(COUNTIF(Classement!$A:$A,$A522)&gt;0,"ok","à faire")</f>
        <v>ok</v>
      </c>
      <c r="F522" s="17" t="str">
        <f>IF(COUNTIF(Tags!$A:$A,$A522)&gt;0,"ok","à faire")</f>
        <v>ok</v>
      </c>
      <c r="G522" s="17" t="str">
        <f>IF(COUNTIF(Phrases!$A:$A,$A522)&gt;0,"ok","à faire")</f>
        <v>ok</v>
      </c>
      <c r="H522" s="17" t="str">
        <f>IF(COUNTIFS(Phrases!$A:$A,$A522,Phrases!$I:$I,"&lt;&gt;")&gt;0,"ok","à faire")</f>
        <v>à faire</v>
      </c>
      <c r="I522" s="17" t="str">
        <f>IF(COUNTIF(Synonymes!$A:$A,$A522)&gt;0,"ok","")</f>
        <v/>
      </c>
      <c r="J522" s="17">
        <f t="shared" si="8"/>
        <v>1</v>
      </c>
    </row>
    <row r="523" spans="1:10" x14ac:dyDescent="0.3">
      <c r="A523" s="17" t="s">
        <v>2898</v>
      </c>
      <c r="B523" s="17" t="str">
        <f>IFERROR(INDEX(Mots!$B:$B,MATCH($A523,Mots!$A:$A,0)),"introuvable")</f>
        <v>le bateau</v>
      </c>
      <c r="C523" s="17" t="str">
        <f>IFERROR(INDEX(Mots!$N:$N,MATCH($A523,Mots!$A:$A,0)),"")</f>
        <v>chose</v>
      </c>
      <c r="D523" s="17">
        <f>IFERROR(COUNTA(INDEX(Mots!$E:$E,MATCH($A523,Mots!$A:$A,0)):INDEX(Mots!$K:$K,MATCH($A523,Mots!$A:$A,0))),0)</f>
        <v>5</v>
      </c>
      <c r="E523" s="17" t="str">
        <f>IF(COUNTIF(Classement!$A:$A,$A523)&gt;0,"ok","à faire")</f>
        <v>ok</v>
      </c>
      <c r="F523" s="17" t="str">
        <f>IF(COUNTIF(Tags!$A:$A,$A523)&gt;0,"ok","à faire")</f>
        <v>ok</v>
      </c>
      <c r="G523" s="17" t="str">
        <f>IF(COUNTIF(Phrases!$A:$A,$A523)&gt;0,"ok","à faire")</f>
        <v>ok</v>
      </c>
      <c r="H523" s="17" t="str">
        <f>IF(COUNTIFS(Phrases!$A:$A,$A523,Phrases!$I:$I,"&lt;&gt;")&gt;0,"ok","à faire")</f>
        <v>à faire</v>
      </c>
      <c r="I523" s="17" t="str">
        <f>IF(COUNTIF(Synonymes!$A:$A,$A523)&gt;0,"ok","")</f>
        <v/>
      </c>
      <c r="J523" s="17">
        <f t="shared" si="8"/>
        <v>1</v>
      </c>
    </row>
    <row r="524" spans="1:10" x14ac:dyDescent="0.3">
      <c r="A524" s="17" t="s">
        <v>2906</v>
      </c>
      <c r="B524" s="17" t="str">
        <f>IFERROR(INDEX(Mots!$B:$B,MATCH($A524,Mots!$A:$A,0)),"introuvable")</f>
        <v>du rôti de boeuf</v>
      </c>
      <c r="C524" s="17" t="str">
        <f>IFERROR(INDEX(Mots!$N:$N,MATCH($A524,Mots!$A:$A,0)),"")</f>
        <v>chose</v>
      </c>
      <c r="D524" s="17">
        <f>IFERROR(COUNTA(INDEX(Mots!$E:$E,MATCH($A524,Mots!$A:$A,0)):INDEX(Mots!$K:$K,MATCH($A524,Mots!$A:$A,0))),0)</f>
        <v>1</v>
      </c>
      <c r="E524" s="17" t="str">
        <f>IF(COUNTIF(Classement!$A:$A,$A524)&gt;0,"ok","à faire")</f>
        <v>ok</v>
      </c>
      <c r="F524" s="17" t="str">
        <f>IF(COUNTIF(Tags!$A:$A,$A524)&gt;0,"ok","à faire")</f>
        <v>ok</v>
      </c>
      <c r="G524" s="17" t="str">
        <f>IF(COUNTIF(Phrases!$A:$A,$A524)&gt;0,"ok","à faire")</f>
        <v>ok</v>
      </c>
      <c r="H524" s="17" t="str">
        <f>IF(COUNTIFS(Phrases!$A:$A,$A524,Phrases!$I:$I,"&lt;&gt;")&gt;0,"ok","à faire")</f>
        <v>à faire</v>
      </c>
      <c r="I524" s="17" t="str">
        <f>IF(COUNTIF(Synonymes!$A:$A,$A524)&gt;0,"ok","")</f>
        <v/>
      </c>
      <c r="J524" s="17">
        <f t="shared" si="8"/>
        <v>1</v>
      </c>
    </row>
    <row r="525" spans="1:10" x14ac:dyDescent="0.3">
      <c r="A525" s="17" t="s">
        <v>2908</v>
      </c>
      <c r="B525" s="17" t="str">
        <f>IFERROR(INDEX(Mots!$B:$B,MATCH($A525,Mots!$A:$A,0)),"introuvable")</f>
        <v>le boeuf</v>
      </c>
      <c r="C525" s="17" t="str">
        <f>IFERROR(INDEX(Mots!$N:$N,MATCH($A525,Mots!$A:$A,0)),"")</f>
        <v>chose</v>
      </c>
      <c r="D525" s="17">
        <f>IFERROR(COUNTA(INDEX(Mots!$E:$E,MATCH($A525,Mots!$A:$A,0)):INDEX(Mots!$K:$K,MATCH($A525,Mots!$A:$A,0))),0)</f>
        <v>1</v>
      </c>
      <c r="E525" s="17" t="str">
        <f>IF(COUNTIF(Classement!$A:$A,$A525)&gt;0,"ok","à faire")</f>
        <v>ok</v>
      </c>
      <c r="F525" s="17" t="str">
        <f>IF(COUNTIF(Tags!$A:$A,$A525)&gt;0,"ok","à faire")</f>
        <v>ok</v>
      </c>
      <c r="G525" s="17" t="str">
        <f>IF(COUNTIF(Phrases!$A:$A,$A525)&gt;0,"ok","à faire")</f>
        <v>ok</v>
      </c>
      <c r="H525" s="17" t="str">
        <f>IF(COUNTIFS(Phrases!$A:$A,$A525,Phrases!$I:$I,"&lt;&gt;")&gt;0,"ok","à faire")</f>
        <v>à faire</v>
      </c>
      <c r="I525" s="17" t="str">
        <f>IF(COUNTIF(Synonymes!$A:$A,$A525)&gt;0,"ok","")</f>
        <v/>
      </c>
      <c r="J525" s="17">
        <f t="shared" si="8"/>
        <v>1</v>
      </c>
    </row>
    <row r="526" spans="1:10" x14ac:dyDescent="0.3">
      <c r="A526" s="17" t="s">
        <v>2912</v>
      </c>
      <c r="B526" s="17" t="str">
        <f>IFERROR(INDEX(Mots!$B:$B,MATCH($A526,Mots!$A:$A,0)),"introuvable")</f>
        <v>un steack de boeuf frites</v>
      </c>
      <c r="C526" s="17" t="str">
        <f>IFERROR(INDEX(Mots!$N:$N,MATCH($A526,Mots!$A:$A,0)),"")</f>
        <v>chose</v>
      </c>
      <c r="D526" s="17">
        <f>IFERROR(COUNTA(INDEX(Mots!$E:$E,MATCH($A526,Mots!$A:$A,0)):INDEX(Mots!$K:$K,MATCH($A526,Mots!$A:$A,0))),0)</f>
        <v>1</v>
      </c>
      <c r="E526" s="17" t="str">
        <f>IF(COUNTIF(Classement!$A:$A,$A526)&gt;0,"ok","à faire")</f>
        <v>ok</v>
      </c>
      <c r="F526" s="17" t="str">
        <f>IF(COUNTIF(Tags!$A:$A,$A526)&gt;0,"ok","à faire")</f>
        <v>ok</v>
      </c>
      <c r="G526" s="17" t="str">
        <f>IF(COUNTIF(Phrases!$A:$A,$A526)&gt;0,"ok","à faire")</f>
        <v>ok</v>
      </c>
      <c r="H526" s="17" t="str">
        <f>IF(COUNTIFS(Phrases!$A:$A,$A526,Phrases!$I:$I,"&lt;&gt;")&gt;0,"ok","à faire")</f>
        <v>à faire</v>
      </c>
      <c r="I526" s="17" t="str">
        <f>IF(COUNTIF(Synonymes!$A:$A,$A526)&gt;0,"ok","")</f>
        <v/>
      </c>
      <c r="J526" s="17">
        <f t="shared" si="8"/>
        <v>1</v>
      </c>
    </row>
    <row r="527" spans="1:10" x14ac:dyDescent="0.3">
      <c r="A527" s="17" t="s">
        <v>2915</v>
      </c>
      <c r="B527" s="17" t="str">
        <f>IFERROR(INDEX(Mots!$B:$B,MATCH($A527,Mots!$A:$A,0)),"introuvable")</f>
        <v>le porc</v>
      </c>
      <c r="C527" s="17" t="str">
        <f>IFERROR(INDEX(Mots!$N:$N,MATCH($A527,Mots!$A:$A,0)),"")</f>
        <v>chose</v>
      </c>
      <c r="D527" s="17">
        <f>IFERROR(COUNTA(INDEX(Mots!$E:$E,MATCH($A527,Mots!$A:$A,0)):INDEX(Mots!$K:$K,MATCH($A527,Mots!$A:$A,0))),0)</f>
        <v>1</v>
      </c>
      <c r="E527" s="17" t="str">
        <f>IF(COUNTIF(Classement!$A:$A,$A527)&gt;0,"ok","à faire")</f>
        <v>ok</v>
      </c>
      <c r="F527" s="17" t="str">
        <f>IF(COUNTIF(Tags!$A:$A,$A527)&gt;0,"ok","à faire")</f>
        <v>ok</v>
      </c>
      <c r="G527" s="17" t="str">
        <f>IF(COUNTIF(Phrases!$A:$A,$A527)&gt;0,"ok","à faire")</f>
        <v>ok</v>
      </c>
      <c r="H527" s="17" t="str">
        <f>IF(COUNTIFS(Phrases!$A:$A,$A527,Phrases!$I:$I,"&lt;&gt;")&gt;0,"ok","à faire")</f>
        <v>à faire</v>
      </c>
      <c r="I527" s="17" t="str">
        <f>IF(COUNTIF(Synonymes!$A:$A,$A527)&gt;0,"ok","")</f>
        <v/>
      </c>
      <c r="J527" s="17">
        <f t="shared" si="8"/>
        <v>1</v>
      </c>
    </row>
    <row r="528" spans="1:10" x14ac:dyDescent="0.3">
      <c r="A528" s="17" t="s">
        <v>2919</v>
      </c>
      <c r="B528" s="17" t="str">
        <f>IFERROR(INDEX(Mots!$B:$B,MATCH($A528,Mots!$A:$A,0)),"introuvable")</f>
        <v>du filet mignon de porc</v>
      </c>
      <c r="C528" s="17" t="str">
        <f>IFERROR(INDEX(Mots!$N:$N,MATCH($A528,Mots!$A:$A,0)),"")</f>
        <v>chose</v>
      </c>
      <c r="D528" s="17">
        <f>IFERROR(COUNTA(INDEX(Mots!$E:$E,MATCH($A528,Mots!$A:$A,0)):INDEX(Mots!$K:$K,MATCH($A528,Mots!$A:$A,0))),0)</f>
        <v>2</v>
      </c>
      <c r="E528" s="17" t="str">
        <f>IF(COUNTIF(Classement!$A:$A,$A528)&gt;0,"ok","à faire")</f>
        <v>ok</v>
      </c>
      <c r="F528" s="17" t="str">
        <f>IF(COUNTIF(Tags!$A:$A,$A528)&gt;0,"ok","à faire")</f>
        <v>ok</v>
      </c>
      <c r="G528" s="17" t="str">
        <f>IF(COUNTIF(Phrases!$A:$A,$A528)&gt;0,"ok","à faire")</f>
        <v>ok</v>
      </c>
      <c r="H528" s="17" t="str">
        <f>IF(COUNTIFS(Phrases!$A:$A,$A528,Phrases!$I:$I,"&lt;&gt;")&gt;0,"ok","à faire")</f>
        <v>à faire</v>
      </c>
      <c r="I528" s="17" t="str">
        <f>IF(COUNTIF(Synonymes!$A:$A,$A528)&gt;0,"ok","")</f>
        <v/>
      </c>
      <c r="J528" s="17">
        <f t="shared" si="8"/>
        <v>1</v>
      </c>
    </row>
    <row r="529" spans="1:10" x14ac:dyDescent="0.3">
      <c r="A529" s="17" t="s">
        <v>2923</v>
      </c>
      <c r="B529" s="17" t="str">
        <f>IFERROR(INDEX(Mots!$B:$B,MATCH($A529,Mots!$A:$A,0)),"introuvable")</f>
        <v>du rôti de porc</v>
      </c>
      <c r="C529" s="17" t="str">
        <f>IFERROR(INDEX(Mots!$N:$N,MATCH($A529,Mots!$A:$A,0)),"")</f>
        <v>chose</v>
      </c>
      <c r="D529" s="17">
        <f>IFERROR(COUNTA(INDEX(Mots!$E:$E,MATCH($A529,Mots!$A:$A,0)):INDEX(Mots!$K:$K,MATCH($A529,Mots!$A:$A,0))),0)</f>
        <v>1</v>
      </c>
      <c r="E529" s="17" t="str">
        <f>IF(COUNTIF(Classement!$A:$A,$A529)&gt;0,"ok","à faire")</f>
        <v>ok</v>
      </c>
      <c r="F529" s="17" t="str">
        <f>IF(COUNTIF(Tags!$A:$A,$A529)&gt;0,"ok","à faire")</f>
        <v>ok</v>
      </c>
      <c r="G529" s="17" t="str">
        <f>IF(COUNTIF(Phrases!$A:$A,$A529)&gt;0,"ok","à faire")</f>
        <v>ok</v>
      </c>
      <c r="H529" s="17" t="str">
        <f>IF(COUNTIFS(Phrases!$A:$A,$A529,Phrases!$I:$I,"&lt;&gt;")&gt;0,"ok","à faire")</f>
        <v>à faire</v>
      </c>
      <c r="I529" s="17" t="str">
        <f>IF(COUNTIF(Synonymes!$A:$A,$A529)&gt;0,"ok","")</f>
        <v/>
      </c>
      <c r="J529" s="17">
        <f t="shared" si="8"/>
        <v>1</v>
      </c>
    </row>
    <row r="530" spans="1:10" x14ac:dyDescent="0.3">
      <c r="A530" s="17" t="s">
        <v>2925</v>
      </c>
      <c r="B530" s="17" t="str">
        <f>IFERROR(INDEX(Mots!$B:$B,MATCH($A530,Mots!$A:$A,0)),"introuvable")</f>
        <v>une côtelette de porc</v>
      </c>
      <c r="C530" s="17" t="str">
        <f>IFERROR(INDEX(Mots!$N:$N,MATCH($A530,Mots!$A:$A,0)),"")</f>
        <v>chose</v>
      </c>
      <c r="D530" s="17">
        <f>IFERROR(COUNTA(INDEX(Mots!$E:$E,MATCH($A530,Mots!$A:$A,0)):INDEX(Mots!$K:$K,MATCH($A530,Mots!$A:$A,0))),0)</f>
        <v>1</v>
      </c>
      <c r="E530" s="17" t="str">
        <f>IF(COUNTIF(Classement!$A:$A,$A530)&gt;0,"ok","à faire")</f>
        <v>ok</v>
      </c>
      <c r="F530" s="17" t="str">
        <f>IF(COUNTIF(Tags!$A:$A,$A530)&gt;0,"ok","à faire")</f>
        <v>ok</v>
      </c>
      <c r="G530" s="17" t="str">
        <f>IF(COUNTIF(Phrases!$A:$A,$A530)&gt;0,"ok","à faire")</f>
        <v>ok</v>
      </c>
      <c r="H530" s="17" t="str">
        <f>IF(COUNTIFS(Phrases!$A:$A,$A530,Phrases!$I:$I,"&lt;&gt;")&gt;0,"ok","à faire")</f>
        <v>à faire</v>
      </c>
      <c r="I530" s="17" t="str">
        <f>IF(COUNTIF(Synonymes!$A:$A,$A530)&gt;0,"ok","")</f>
        <v/>
      </c>
      <c r="J530" s="17">
        <f t="shared" si="8"/>
        <v>1</v>
      </c>
    </row>
    <row r="531" spans="1:10" x14ac:dyDescent="0.3">
      <c r="A531" s="17" t="s">
        <v>2929</v>
      </c>
      <c r="B531" s="17" t="str">
        <f>IFERROR(INDEX(Mots!$B:$B,MATCH($A531,Mots!$A:$A,0)),"introuvable")</f>
        <v>le poulet</v>
      </c>
      <c r="C531" s="17" t="str">
        <f>IFERROR(INDEX(Mots!$N:$N,MATCH($A531,Mots!$A:$A,0)),"")</f>
        <v>chose</v>
      </c>
      <c r="D531" s="17">
        <f>IFERROR(COUNTA(INDEX(Mots!$E:$E,MATCH($A531,Mots!$A:$A,0)):INDEX(Mots!$K:$K,MATCH($A531,Mots!$A:$A,0))),0)</f>
        <v>2</v>
      </c>
      <c r="E531" s="17" t="str">
        <f>IF(COUNTIF(Classement!$A:$A,$A531)&gt;0,"ok","à faire")</f>
        <v>ok</v>
      </c>
      <c r="F531" s="17" t="str">
        <f>IF(COUNTIF(Tags!$A:$A,$A531)&gt;0,"ok","à faire")</f>
        <v>ok</v>
      </c>
      <c r="G531" s="17" t="str">
        <f>IF(COUNTIF(Phrases!$A:$A,$A531)&gt;0,"ok","à faire")</f>
        <v>ok</v>
      </c>
      <c r="H531" s="17" t="str">
        <f>IF(COUNTIFS(Phrases!$A:$A,$A531,Phrases!$I:$I,"&lt;&gt;")&gt;0,"ok","à faire")</f>
        <v>à faire</v>
      </c>
      <c r="I531" s="17" t="str">
        <f>IF(COUNTIF(Synonymes!$A:$A,$A531)&gt;0,"ok","")</f>
        <v/>
      </c>
      <c r="J531" s="17">
        <f t="shared" si="8"/>
        <v>1</v>
      </c>
    </row>
    <row r="532" spans="1:10" x14ac:dyDescent="0.3">
      <c r="A532" s="17" t="s">
        <v>2935</v>
      </c>
      <c r="B532" s="17" t="str">
        <f>IFERROR(INDEX(Mots!$B:$B,MATCH($A532,Mots!$A:$A,0)),"introuvable")</f>
        <v>un blanc de poulet</v>
      </c>
      <c r="C532" s="17" t="str">
        <f>IFERROR(INDEX(Mots!$N:$N,MATCH($A532,Mots!$A:$A,0)),"")</f>
        <v>chose</v>
      </c>
      <c r="D532" s="17">
        <f>IFERROR(COUNTA(INDEX(Mots!$E:$E,MATCH($A532,Mots!$A:$A,0)):INDEX(Mots!$K:$K,MATCH($A532,Mots!$A:$A,0))),0)</f>
        <v>1</v>
      </c>
      <c r="E532" s="17" t="str">
        <f>IF(COUNTIF(Classement!$A:$A,$A532)&gt;0,"ok","à faire")</f>
        <v>ok</v>
      </c>
      <c r="F532" s="17" t="str">
        <f>IF(COUNTIF(Tags!$A:$A,$A532)&gt;0,"ok","à faire")</f>
        <v>ok</v>
      </c>
      <c r="G532" s="17" t="str">
        <f>IF(COUNTIF(Phrases!$A:$A,$A532)&gt;0,"ok","à faire")</f>
        <v>ok</v>
      </c>
      <c r="H532" s="17" t="str">
        <f>IF(COUNTIFS(Phrases!$A:$A,$A532,Phrases!$I:$I,"&lt;&gt;")&gt;0,"ok","à faire")</f>
        <v>à faire</v>
      </c>
      <c r="I532" s="17" t="str">
        <f>IF(COUNTIF(Synonymes!$A:$A,$A532)&gt;0,"ok","")</f>
        <v/>
      </c>
      <c r="J532" s="17">
        <f t="shared" si="8"/>
        <v>1</v>
      </c>
    </row>
    <row r="533" spans="1:10" x14ac:dyDescent="0.3">
      <c r="A533" s="17" t="s">
        <v>2939</v>
      </c>
      <c r="B533" s="17" t="str">
        <f>IFERROR(INDEX(Mots!$B:$B,MATCH($A533,Mots!$A:$A,0)),"introuvable")</f>
        <v>une cuisse de poulet</v>
      </c>
      <c r="C533" s="17" t="str">
        <f>IFERROR(INDEX(Mots!$N:$N,MATCH($A533,Mots!$A:$A,0)),"")</f>
        <v>chose</v>
      </c>
      <c r="D533" s="17">
        <f>IFERROR(COUNTA(INDEX(Mots!$E:$E,MATCH($A533,Mots!$A:$A,0)):INDEX(Mots!$K:$K,MATCH($A533,Mots!$A:$A,0))),0)</f>
        <v>1</v>
      </c>
      <c r="E533" s="17" t="str">
        <f>IF(COUNTIF(Classement!$A:$A,$A533)&gt;0,"ok","à faire")</f>
        <v>ok</v>
      </c>
      <c r="F533" s="17" t="str">
        <f>IF(COUNTIF(Tags!$A:$A,$A533)&gt;0,"ok","à faire")</f>
        <v>ok</v>
      </c>
      <c r="G533" s="17" t="str">
        <f>IF(COUNTIF(Phrases!$A:$A,$A533)&gt;0,"ok","à faire")</f>
        <v>ok</v>
      </c>
      <c r="H533" s="17" t="str">
        <f>IF(COUNTIFS(Phrases!$A:$A,$A533,Phrases!$I:$I,"&lt;&gt;")&gt;0,"ok","à faire")</f>
        <v>à faire</v>
      </c>
      <c r="I533" s="17" t="str">
        <f>IF(COUNTIF(Synonymes!$A:$A,$A533)&gt;0,"ok","")</f>
        <v/>
      </c>
      <c r="J533" s="17">
        <f t="shared" si="8"/>
        <v>1</v>
      </c>
    </row>
    <row r="534" spans="1:10" x14ac:dyDescent="0.3">
      <c r="A534" s="17" t="s">
        <v>2943</v>
      </c>
      <c r="B534" s="17" t="str">
        <f>IFERROR(INDEX(Mots!$B:$B,MATCH($A534,Mots!$A:$A,0)),"introuvable")</f>
        <v>du poulet au curry</v>
      </c>
      <c r="C534" s="17" t="str">
        <f>IFERROR(INDEX(Mots!$N:$N,MATCH($A534,Mots!$A:$A,0)),"")</f>
        <v>chose</v>
      </c>
      <c r="D534" s="17">
        <f>IFERROR(COUNTA(INDEX(Mots!$E:$E,MATCH($A534,Mots!$A:$A,0)):INDEX(Mots!$K:$K,MATCH($A534,Mots!$A:$A,0))),0)</f>
        <v>1</v>
      </c>
      <c r="E534" s="17" t="str">
        <f>IF(COUNTIF(Classement!$A:$A,$A534)&gt;0,"ok","à faire")</f>
        <v>ok</v>
      </c>
      <c r="F534" s="17" t="str">
        <f>IF(COUNTIF(Tags!$A:$A,$A534)&gt;0,"ok","à faire")</f>
        <v>ok</v>
      </c>
      <c r="G534" s="17" t="str">
        <f>IF(COUNTIF(Phrases!$A:$A,$A534)&gt;0,"ok","à faire")</f>
        <v>ok</v>
      </c>
      <c r="H534" s="17" t="str">
        <f>IF(COUNTIFS(Phrases!$A:$A,$A534,Phrases!$I:$I,"&lt;&gt;")&gt;0,"ok","à faire")</f>
        <v>à faire</v>
      </c>
      <c r="I534" s="17" t="str">
        <f>IF(COUNTIF(Synonymes!$A:$A,$A534)&gt;0,"ok","")</f>
        <v/>
      </c>
      <c r="J534" s="17">
        <f t="shared" si="8"/>
        <v>1</v>
      </c>
    </row>
    <row r="535" spans="1:10" x14ac:dyDescent="0.3">
      <c r="A535" s="17" t="s">
        <v>2946</v>
      </c>
      <c r="B535" s="17" t="str">
        <f>IFERROR(INDEX(Mots!$B:$B,MATCH($A535,Mots!$A:$A,0)),"introuvable")</f>
        <v>Dacia Duster</v>
      </c>
      <c r="C535" s="17" t="str">
        <f>IFERROR(INDEX(Mots!$N:$N,MATCH($A535,Mots!$A:$A,0)),"")</f>
        <v>chose</v>
      </c>
      <c r="D535" s="17">
        <f>IFERROR(COUNTA(INDEX(Mots!$E:$E,MATCH($A535,Mots!$A:$A,0)):INDEX(Mots!$K:$K,MATCH($A535,Mots!$A:$A,0))),0)</f>
        <v>1</v>
      </c>
      <c r="E535" s="17" t="str">
        <f>IF(COUNTIF(Classement!$A:$A,$A535)&gt;0,"ok","à faire")</f>
        <v>ok</v>
      </c>
      <c r="F535" s="17" t="str">
        <f>IF(COUNTIF(Tags!$A:$A,$A535)&gt;0,"ok","à faire")</f>
        <v>ok</v>
      </c>
      <c r="G535" s="17" t="str">
        <f>IF(COUNTIF(Phrases!$A:$A,$A535)&gt;0,"ok","à faire")</f>
        <v>ok</v>
      </c>
      <c r="H535" s="17" t="str">
        <f>IF(COUNTIFS(Phrases!$A:$A,$A535,Phrases!$I:$I,"&lt;&gt;")&gt;0,"ok","à faire")</f>
        <v>à faire</v>
      </c>
      <c r="I535" s="17" t="str">
        <f>IF(COUNTIF(Synonymes!$A:$A,$A535)&gt;0,"ok","")</f>
        <v/>
      </c>
      <c r="J535" s="17">
        <f t="shared" si="8"/>
        <v>1</v>
      </c>
    </row>
    <row r="536" spans="1:10" x14ac:dyDescent="0.3">
      <c r="A536" s="17" t="s">
        <v>2949</v>
      </c>
      <c r="B536" s="17" t="str">
        <f>IFERROR(INDEX(Mots!$B:$B,MATCH($A536,Mots!$A:$A,0)),"introuvable")</f>
        <v>le pare-brise</v>
      </c>
      <c r="C536" s="17" t="str">
        <f>IFERROR(INDEX(Mots!$N:$N,MATCH($A536,Mots!$A:$A,0)),"")</f>
        <v>chose</v>
      </c>
      <c r="D536" s="17">
        <f>IFERROR(COUNTA(INDEX(Mots!$E:$E,MATCH($A536,Mots!$A:$A,0)):INDEX(Mots!$K:$K,MATCH($A536,Mots!$A:$A,0))),0)</f>
        <v>1</v>
      </c>
      <c r="E536" s="17" t="str">
        <f>IF(COUNTIF(Classement!$A:$A,$A536)&gt;0,"ok","à faire")</f>
        <v>ok</v>
      </c>
      <c r="F536" s="17" t="str">
        <f>IF(COUNTIF(Tags!$A:$A,$A536)&gt;0,"ok","à faire")</f>
        <v>ok</v>
      </c>
      <c r="G536" s="17" t="str">
        <f>IF(COUNTIF(Phrases!$A:$A,$A536)&gt;0,"ok","à faire")</f>
        <v>ok</v>
      </c>
      <c r="H536" s="17" t="str">
        <f>IF(COUNTIFS(Phrases!$A:$A,$A536,Phrases!$I:$I,"&lt;&gt;")&gt;0,"ok","à faire")</f>
        <v>à faire</v>
      </c>
      <c r="I536" s="17" t="str">
        <f>IF(COUNTIF(Synonymes!$A:$A,$A536)&gt;0,"ok","")</f>
        <v/>
      </c>
      <c r="J536" s="17">
        <f t="shared" si="8"/>
        <v>1</v>
      </c>
    </row>
    <row r="537" spans="1:10" x14ac:dyDescent="0.3">
      <c r="A537" s="17" t="s">
        <v>2953</v>
      </c>
      <c r="B537" s="17" t="str">
        <f>IFERROR(INDEX(Mots!$B:$B,MATCH($A537,Mots!$A:$A,0)),"introuvable")</f>
        <v>les essuie glace</v>
      </c>
      <c r="C537" s="17" t="str">
        <f>IFERROR(INDEX(Mots!$N:$N,MATCH($A537,Mots!$A:$A,0)),"")</f>
        <v>chose</v>
      </c>
      <c r="D537" s="17">
        <f>IFERROR(COUNTA(INDEX(Mots!$E:$E,MATCH($A537,Mots!$A:$A,0)):INDEX(Mots!$K:$K,MATCH($A537,Mots!$A:$A,0))),0)</f>
        <v>1</v>
      </c>
      <c r="E537" s="17" t="str">
        <f>IF(COUNTIF(Classement!$A:$A,$A537)&gt;0,"ok","à faire")</f>
        <v>ok</v>
      </c>
      <c r="F537" s="17" t="str">
        <f>IF(COUNTIF(Tags!$A:$A,$A537)&gt;0,"ok","à faire")</f>
        <v>ok</v>
      </c>
      <c r="G537" s="17" t="str">
        <f>IF(COUNTIF(Phrases!$A:$A,$A537)&gt;0,"ok","à faire")</f>
        <v>ok</v>
      </c>
      <c r="H537" s="17" t="str">
        <f>IF(COUNTIFS(Phrases!$A:$A,$A537,Phrases!$I:$I,"&lt;&gt;")&gt;0,"ok","à faire")</f>
        <v>à faire</v>
      </c>
      <c r="I537" s="17" t="str">
        <f>IF(COUNTIF(Synonymes!$A:$A,$A537)&gt;0,"ok","")</f>
        <v/>
      </c>
      <c r="J537" s="17">
        <f t="shared" si="8"/>
        <v>1</v>
      </c>
    </row>
    <row r="538" spans="1:10" x14ac:dyDescent="0.3">
      <c r="A538" s="17" t="s">
        <v>2956</v>
      </c>
      <c r="B538" s="17" t="str">
        <f>IFERROR(INDEX(Mots!$B:$B,MATCH($A538,Mots!$A:$A,0)),"introuvable")</f>
        <v>le capot</v>
      </c>
      <c r="C538" s="17" t="str">
        <f>IFERROR(INDEX(Mots!$N:$N,MATCH($A538,Mots!$A:$A,0)),"")</f>
        <v>chose</v>
      </c>
      <c r="D538" s="17">
        <f>IFERROR(COUNTA(INDEX(Mots!$E:$E,MATCH($A538,Mots!$A:$A,0)):INDEX(Mots!$K:$K,MATCH($A538,Mots!$A:$A,0))),0)</f>
        <v>1</v>
      </c>
      <c r="E538" s="17" t="str">
        <f>IF(COUNTIF(Classement!$A:$A,$A538)&gt;0,"ok","à faire")</f>
        <v>ok</v>
      </c>
      <c r="F538" s="17" t="str">
        <f>IF(COUNTIF(Tags!$A:$A,$A538)&gt;0,"ok","à faire")</f>
        <v>ok</v>
      </c>
      <c r="G538" s="17" t="str">
        <f>IF(COUNTIF(Phrases!$A:$A,$A538)&gt;0,"ok","à faire")</f>
        <v>ok</v>
      </c>
      <c r="H538" s="17" t="str">
        <f>IF(COUNTIFS(Phrases!$A:$A,$A538,Phrases!$I:$I,"&lt;&gt;")&gt;0,"ok","à faire")</f>
        <v>à faire</v>
      </c>
      <c r="I538" s="17" t="str">
        <f>IF(COUNTIF(Synonymes!$A:$A,$A538)&gt;0,"ok","")</f>
        <v/>
      </c>
      <c r="J538" s="17">
        <f t="shared" si="8"/>
        <v>1</v>
      </c>
    </row>
    <row r="539" spans="1:10" x14ac:dyDescent="0.3">
      <c r="A539" s="17" t="s">
        <v>2959</v>
      </c>
      <c r="B539" s="17" t="str">
        <f>IFERROR(INDEX(Mots!$B:$B,MATCH($A539,Mots!$A:$A,0)),"introuvable")</f>
        <v>l'aile</v>
      </c>
      <c r="C539" s="17" t="str">
        <f>IFERROR(INDEX(Mots!$N:$N,MATCH($A539,Mots!$A:$A,0)),"")</f>
        <v>chose</v>
      </c>
      <c r="D539" s="17">
        <f>IFERROR(COUNTA(INDEX(Mots!$E:$E,MATCH($A539,Mots!$A:$A,0)):INDEX(Mots!$K:$K,MATCH($A539,Mots!$A:$A,0))),0)</f>
        <v>1</v>
      </c>
      <c r="E539" s="17" t="str">
        <f>IF(COUNTIF(Classement!$A:$A,$A539)&gt;0,"ok","à faire")</f>
        <v>ok</v>
      </c>
      <c r="F539" s="17" t="str">
        <f>IF(COUNTIF(Tags!$A:$A,$A539)&gt;0,"ok","à faire")</f>
        <v>ok</v>
      </c>
      <c r="G539" s="17" t="str">
        <f>IF(COUNTIF(Phrases!$A:$A,$A539)&gt;0,"ok","à faire")</f>
        <v>ok</v>
      </c>
      <c r="H539" s="17" t="str">
        <f>IF(COUNTIFS(Phrases!$A:$A,$A539,Phrases!$I:$I,"&lt;&gt;")&gt;0,"ok","à faire")</f>
        <v>à faire</v>
      </c>
      <c r="I539" s="17" t="str">
        <f>IF(COUNTIF(Synonymes!$A:$A,$A539)&gt;0,"ok","")</f>
        <v/>
      </c>
      <c r="J539" s="17">
        <f t="shared" si="8"/>
        <v>1</v>
      </c>
    </row>
    <row r="540" spans="1:10" x14ac:dyDescent="0.3">
      <c r="A540" s="17" t="s">
        <v>2962</v>
      </c>
      <c r="B540" s="17" t="str">
        <f>IFERROR(INDEX(Mots!$B:$B,MATCH($A540,Mots!$A:$A,0)),"introuvable")</f>
        <v>le pare-chocs</v>
      </c>
      <c r="C540" s="17" t="str">
        <f>IFERROR(INDEX(Mots!$N:$N,MATCH($A540,Mots!$A:$A,0)),"")</f>
        <v>chose</v>
      </c>
      <c r="D540" s="17">
        <f>IFERROR(COUNTA(INDEX(Mots!$E:$E,MATCH($A540,Mots!$A:$A,0)):INDEX(Mots!$K:$K,MATCH($A540,Mots!$A:$A,0))),0)</f>
        <v>1</v>
      </c>
      <c r="E540" s="17" t="str">
        <f>IF(COUNTIF(Classement!$A:$A,$A540)&gt;0,"ok","à faire")</f>
        <v>ok</v>
      </c>
      <c r="F540" s="17" t="str">
        <f>IF(COUNTIF(Tags!$A:$A,$A540)&gt;0,"ok","à faire")</f>
        <v>ok</v>
      </c>
      <c r="G540" s="17" t="str">
        <f>IF(COUNTIF(Phrases!$A:$A,$A540)&gt;0,"ok","à faire")</f>
        <v>ok</v>
      </c>
      <c r="H540" s="17" t="str">
        <f>IF(COUNTIFS(Phrases!$A:$A,$A540,Phrases!$I:$I,"&lt;&gt;")&gt;0,"ok","à faire")</f>
        <v>à faire</v>
      </c>
      <c r="I540" s="17" t="str">
        <f>IF(COUNTIF(Synonymes!$A:$A,$A540)&gt;0,"ok","")</f>
        <v/>
      </c>
      <c r="J540" s="17">
        <f t="shared" si="8"/>
        <v>1</v>
      </c>
    </row>
    <row r="541" spans="1:10" x14ac:dyDescent="0.3">
      <c r="A541" s="17" t="s">
        <v>9653</v>
      </c>
      <c r="B541" s="17" t="str">
        <f>IFERROR(INDEX(Mots!$B:$B,MATCH($A541,Mots!$A:$A,0)),"introuvable")</f>
        <v>la jante</v>
      </c>
      <c r="C541" s="17" t="str">
        <f>IFERROR(INDEX(Mots!$N:$N,MATCH($A541,Mots!$A:$A,0)),"")</f>
        <v>chose</v>
      </c>
      <c r="D541" s="17">
        <f>IFERROR(COUNTA(INDEX(Mots!$E:$E,MATCH($A541,Mots!$A:$A,0)):INDEX(Mots!$K:$K,MATCH($A541,Mots!$A:$A,0))),0)</f>
        <v>1</v>
      </c>
      <c r="E541" s="17" t="str">
        <f>IF(COUNTIF(Classement!$A:$A,$A541)&gt;0,"ok","à faire")</f>
        <v>ok</v>
      </c>
      <c r="F541" s="17" t="str">
        <f>IF(COUNTIF(Tags!$A:$A,$A541)&gt;0,"ok","à faire")</f>
        <v>ok</v>
      </c>
      <c r="G541" s="17" t="str">
        <f>IF(COUNTIF(Phrases!$A:$A,$A541)&gt;0,"ok","à faire")</f>
        <v>ok</v>
      </c>
      <c r="H541" s="17" t="str">
        <f>IF(COUNTIFS(Phrases!$A:$A,$A541,Phrases!$I:$I,"&lt;&gt;")&gt;0,"ok","à faire")</f>
        <v>à faire</v>
      </c>
      <c r="I541" s="17" t="str">
        <f>IF(COUNTIF(Synonymes!$A:$A,$A541)&gt;0,"ok","")</f>
        <v/>
      </c>
      <c r="J541" s="17">
        <f t="shared" si="8"/>
        <v>1</v>
      </c>
    </row>
    <row r="542" spans="1:10" x14ac:dyDescent="0.3">
      <c r="A542" s="17" t="s">
        <v>9652</v>
      </c>
      <c r="B542" s="17" t="str">
        <f>IFERROR(INDEX(Mots!$B:$B,MATCH($A542,Mots!$A:$A,0)),"introuvable")</f>
        <v>le pneu</v>
      </c>
      <c r="C542" s="17" t="str">
        <f>IFERROR(INDEX(Mots!$N:$N,MATCH($A542,Mots!$A:$A,0)),"")</f>
        <v>chose</v>
      </c>
      <c r="D542" s="17">
        <f>IFERROR(COUNTA(INDEX(Mots!$E:$E,MATCH($A542,Mots!$A:$A,0)):INDEX(Mots!$K:$K,MATCH($A542,Mots!$A:$A,0))),0)</f>
        <v>1</v>
      </c>
      <c r="E542" s="17" t="str">
        <f>IF(COUNTIF(Classement!$A:$A,$A542)&gt;0,"ok","à faire")</f>
        <v>ok</v>
      </c>
      <c r="F542" s="17" t="str">
        <f>IF(COUNTIF(Tags!$A:$A,$A542)&gt;0,"ok","à faire")</f>
        <v>ok</v>
      </c>
      <c r="G542" s="17" t="str">
        <f>IF(COUNTIF(Phrases!$A:$A,$A542)&gt;0,"ok","à faire")</f>
        <v>ok</v>
      </c>
      <c r="H542" s="17" t="str">
        <f>IF(COUNTIFS(Phrases!$A:$A,$A542,Phrases!$I:$I,"&lt;&gt;")&gt;0,"ok","à faire")</f>
        <v>à faire</v>
      </c>
      <c r="I542" s="17" t="str">
        <f>IF(COUNTIF(Synonymes!$A:$A,$A542)&gt;0,"ok","")</f>
        <v/>
      </c>
      <c r="J542" s="17">
        <f t="shared" si="8"/>
        <v>1</v>
      </c>
    </row>
    <row r="543" spans="1:10" x14ac:dyDescent="0.3">
      <c r="A543" s="17" t="s">
        <v>2970</v>
      </c>
      <c r="B543" s="17" t="str">
        <f>IFERROR(INDEX(Mots!$B:$B,MATCH($A543,Mots!$A:$A,0)),"introuvable")</f>
        <v>la portière</v>
      </c>
      <c r="C543" s="17" t="str">
        <f>IFERROR(INDEX(Mots!$N:$N,MATCH($A543,Mots!$A:$A,0)),"")</f>
        <v>chose</v>
      </c>
      <c r="D543" s="17">
        <f>IFERROR(COUNTA(INDEX(Mots!$E:$E,MATCH($A543,Mots!$A:$A,0)):INDEX(Mots!$K:$K,MATCH($A543,Mots!$A:$A,0))),0)</f>
        <v>5</v>
      </c>
      <c r="E543" s="17" t="str">
        <f>IF(COUNTIF(Classement!$A:$A,$A543)&gt;0,"ok","à faire")</f>
        <v>ok</v>
      </c>
      <c r="F543" s="17" t="str">
        <f>IF(COUNTIF(Tags!$A:$A,$A543)&gt;0,"ok","à faire")</f>
        <v>ok</v>
      </c>
      <c r="G543" s="17" t="str">
        <f>IF(COUNTIF(Phrases!$A:$A,$A543)&gt;0,"ok","à faire")</f>
        <v>ok</v>
      </c>
      <c r="H543" s="17" t="str">
        <f>IF(COUNTIFS(Phrases!$A:$A,$A543,Phrases!$I:$I,"&lt;&gt;")&gt;0,"ok","à faire")</f>
        <v>ok</v>
      </c>
      <c r="I543" s="17" t="str">
        <f>IF(COUNTIF(Synonymes!$A:$A,$A543)&gt;0,"ok","")</f>
        <v/>
      </c>
      <c r="J543" s="17">
        <f t="shared" si="8"/>
        <v>0</v>
      </c>
    </row>
    <row r="544" spans="1:10" x14ac:dyDescent="0.3">
      <c r="A544" s="17" t="s">
        <v>2978</v>
      </c>
      <c r="B544" s="17" t="str">
        <f>IFERROR(INDEX(Mots!$B:$B,MATCH($A544,Mots!$A:$A,0)),"introuvable")</f>
        <v>le clignotant</v>
      </c>
      <c r="C544" s="17" t="str">
        <f>IFERROR(INDEX(Mots!$N:$N,MATCH($A544,Mots!$A:$A,0)),"")</f>
        <v>chose</v>
      </c>
      <c r="D544" s="17">
        <f>IFERROR(COUNTA(INDEX(Mots!$E:$E,MATCH($A544,Mots!$A:$A,0)):INDEX(Mots!$K:$K,MATCH($A544,Mots!$A:$A,0))),0)</f>
        <v>1</v>
      </c>
      <c r="E544" s="17" t="str">
        <f>IF(COUNTIF(Classement!$A:$A,$A544)&gt;0,"ok","à faire")</f>
        <v>ok</v>
      </c>
      <c r="F544" s="17" t="str">
        <f>IF(COUNTIF(Tags!$A:$A,$A544)&gt;0,"ok","à faire")</f>
        <v>ok</v>
      </c>
      <c r="G544" s="17" t="str">
        <f>IF(COUNTIF(Phrases!$A:$A,$A544)&gt;0,"ok","à faire")</f>
        <v>ok</v>
      </c>
      <c r="H544" s="17" t="str">
        <f>IF(COUNTIFS(Phrases!$A:$A,$A544,Phrases!$I:$I,"&lt;&gt;")&gt;0,"ok","à faire")</f>
        <v>ok</v>
      </c>
      <c r="I544" s="17" t="str">
        <f>IF(COUNTIF(Synonymes!$A:$A,$A544)&gt;0,"ok","")</f>
        <v/>
      </c>
      <c r="J544" s="17">
        <f t="shared" si="8"/>
        <v>0</v>
      </c>
    </row>
    <row r="545" spans="1:10" x14ac:dyDescent="0.3">
      <c r="A545" s="17" t="s">
        <v>2982</v>
      </c>
      <c r="B545" s="17" t="str">
        <f>IFERROR(INDEX(Mots!$B:$B,MATCH($A545,Mots!$A:$A,0)),"introuvable")</f>
        <v>le klaxon</v>
      </c>
      <c r="C545" s="17" t="str">
        <f>IFERROR(INDEX(Mots!$N:$N,MATCH($A545,Mots!$A:$A,0)),"")</f>
        <v>chose</v>
      </c>
      <c r="D545" s="17">
        <f>IFERROR(COUNTA(INDEX(Mots!$E:$E,MATCH($A545,Mots!$A:$A,0)):INDEX(Mots!$K:$K,MATCH($A545,Mots!$A:$A,0))),0)</f>
        <v>5</v>
      </c>
      <c r="E545" s="17" t="str">
        <f>IF(COUNTIF(Classement!$A:$A,$A545)&gt;0,"ok","à faire")</f>
        <v>ok</v>
      </c>
      <c r="F545" s="17" t="str">
        <f>IF(COUNTIF(Tags!$A:$A,$A545)&gt;0,"ok","à faire")</f>
        <v>ok</v>
      </c>
      <c r="G545" s="17" t="str">
        <f>IF(COUNTIF(Phrases!$A:$A,$A545)&gt;0,"ok","à faire")</f>
        <v>ok</v>
      </c>
      <c r="H545" s="17" t="str">
        <f>IF(COUNTIFS(Phrases!$A:$A,$A545,Phrases!$I:$I,"&lt;&gt;")&gt;0,"ok","à faire")</f>
        <v>ok</v>
      </c>
      <c r="I545" s="17" t="str">
        <f>IF(COUNTIF(Synonymes!$A:$A,$A545)&gt;0,"ok","")</f>
        <v/>
      </c>
      <c r="J545" s="17">
        <f t="shared" si="8"/>
        <v>0</v>
      </c>
    </row>
    <row r="546" spans="1:10" x14ac:dyDescent="0.3">
      <c r="A546" s="17" t="s">
        <v>2990</v>
      </c>
      <c r="B546" s="17" t="str">
        <f>IFERROR(INDEX(Mots!$B:$B,MATCH($A546,Mots!$A:$A,0)),"introuvable")</f>
        <v>le phare</v>
      </c>
      <c r="C546" s="17" t="str">
        <f>IFERROR(INDEX(Mots!$N:$N,MATCH($A546,Mots!$A:$A,0)),"")</f>
        <v>chose</v>
      </c>
      <c r="D546" s="17">
        <f>IFERROR(COUNTA(INDEX(Mots!$E:$E,MATCH($A546,Mots!$A:$A,0)):INDEX(Mots!$K:$K,MATCH($A546,Mots!$A:$A,0))),0)</f>
        <v>5</v>
      </c>
      <c r="E546" s="17" t="str">
        <f>IF(COUNTIF(Classement!$A:$A,$A546)&gt;0,"ok","à faire")</f>
        <v>ok</v>
      </c>
      <c r="F546" s="17" t="str">
        <f>IF(COUNTIF(Tags!$A:$A,$A546)&gt;0,"ok","à faire")</f>
        <v>ok</v>
      </c>
      <c r="G546" s="17" t="str">
        <f>IF(COUNTIF(Phrases!$A:$A,$A546)&gt;0,"ok","à faire")</f>
        <v>ok</v>
      </c>
      <c r="H546" s="17" t="str">
        <f>IF(COUNTIFS(Phrases!$A:$A,$A546,Phrases!$I:$I,"&lt;&gt;")&gt;0,"ok","à faire")</f>
        <v>ok</v>
      </c>
      <c r="I546" s="17" t="str">
        <f>IF(COUNTIF(Synonymes!$A:$A,$A546)&gt;0,"ok","")</f>
        <v/>
      </c>
      <c r="J546" s="17">
        <f t="shared" si="8"/>
        <v>0</v>
      </c>
    </row>
    <row r="547" spans="1:10" x14ac:dyDescent="0.3">
      <c r="A547" s="17" t="s">
        <v>2998</v>
      </c>
      <c r="B547" s="17" t="str">
        <f>IFERROR(INDEX(Mots!$B:$B,MATCH($A547,Mots!$A:$A,0)),"introuvable")</f>
        <v>le rétroviseur</v>
      </c>
      <c r="C547" s="17" t="str">
        <f>IFERROR(INDEX(Mots!$N:$N,MATCH($A547,Mots!$A:$A,0)),"")</f>
        <v>chose</v>
      </c>
      <c r="D547" s="17">
        <f>IFERROR(COUNTA(INDEX(Mots!$E:$E,MATCH($A547,Mots!$A:$A,0)):INDEX(Mots!$K:$K,MATCH($A547,Mots!$A:$A,0))),0)</f>
        <v>5</v>
      </c>
      <c r="E547" s="17" t="str">
        <f>IF(COUNTIF(Classement!$A:$A,$A547)&gt;0,"ok","à faire")</f>
        <v>ok</v>
      </c>
      <c r="F547" s="17" t="str">
        <f>IF(COUNTIF(Tags!$A:$A,$A547)&gt;0,"ok","à faire")</f>
        <v>ok</v>
      </c>
      <c r="G547" s="17" t="str">
        <f>IF(COUNTIF(Phrases!$A:$A,$A547)&gt;0,"ok","à faire")</f>
        <v>ok</v>
      </c>
      <c r="H547" s="17" t="str">
        <f>IF(COUNTIFS(Phrases!$A:$A,$A547,Phrases!$I:$I,"&lt;&gt;")&gt;0,"ok","à faire")</f>
        <v>à faire</v>
      </c>
      <c r="I547" s="17" t="str">
        <f>IF(COUNTIF(Synonymes!$A:$A,$A547)&gt;0,"ok","")</f>
        <v/>
      </c>
      <c r="J547" s="17">
        <f t="shared" si="8"/>
        <v>1</v>
      </c>
    </row>
    <row r="548" spans="1:10" x14ac:dyDescent="0.3">
      <c r="A548" s="17" t="s">
        <v>3006</v>
      </c>
      <c r="B548" s="17" t="str">
        <f>IFERROR(INDEX(Mots!$B:$B,MATCH($A548,Mots!$A:$A,0)),"introuvable")</f>
        <v>le siège</v>
      </c>
      <c r="C548" s="17" t="str">
        <f>IFERROR(INDEX(Mots!$N:$N,MATCH($A548,Mots!$A:$A,0)),"")</f>
        <v>chose</v>
      </c>
      <c r="D548" s="17">
        <f>IFERROR(COUNTA(INDEX(Mots!$E:$E,MATCH($A548,Mots!$A:$A,0)):INDEX(Mots!$K:$K,MATCH($A548,Mots!$A:$A,0))),0)</f>
        <v>1</v>
      </c>
      <c r="E548" s="17" t="str">
        <f>IF(COUNTIF(Classement!$A:$A,$A548)&gt;0,"ok","à faire")</f>
        <v>ok</v>
      </c>
      <c r="F548" s="17" t="str">
        <f>IF(COUNTIF(Tags!$A:$A,$A548)&gt;0,"ok","à faire")</f>
        <v>ok</v>
      </c>
      <c r="G548" s="17" t="str">
        <f>IF(COUNTIF(Phrases!$A:$A,$A548)&gt;0,"ok","à faire")</f>
        <v>ok</v>
      </c>
      <c r="H548" s="17" t="str">
        <f>IF(COUNTIFS(Phrases!$A:$A,$A548,Phrases!$I:$I,"&lt;&gt;")&gt;0,"ok","à faire")</f>
        <v>à faire</v>
      </c>
      <c r="I548" s="17" t="str">
        <f>IF(COUNTIF(Synonymes!$A:$A,$A548)&gt;0,"ok","")</f>
        <v/>
      </c>
      <c r="J548" s="17">
        <f t="shared" si="8"/>
        <v>1</v>
      </c>
    </row>
    <row r="549" spans="1:10" x14ac:dyDescent="0.3">
      <c r="A549" s="17" t="s">
        <v>3009</v>
      </c>
      <c r="B549" s="17" t="str">
        <f>IFERROR(INDEX(Mots!$B:$B,MATCH($A549,Mots!$A:$A,0)),"introuvable")</f>
        <v>le volant</v>
      </c>
      <c r="C549" s="17" t="str">
        <f>IFERROR(INDEX(Mots!$N:$N,MATCH($A549,Mots!$A:$A,0)),"")</f>
        <v>chose</v>
      </c>
      <c r="D549" s="17">
        <f>IFERROR(COUNTA(INDEX(Mots!$E:$E,MATCH($A549,Mots!$A:$A,0)):INDEX(Mots!$K:$K,MATCH($A549,Mots!$A:$A,0))),0)</f>
        <v>5</v>
      </c>
      <c r="E549" s="17" t="str">
        <f>IF(COUNTIF(Classement!$A:$A,$A549)&gt;0,"ok","à faire")</f>
        <v>ok</v>
      </c>
      <c r="F549" s="17" t="str">
        <f>IF(COUNTIF(Tags!$A:$A,$A549)&gt;0,"ok","à faire")</f>
        <v>ok</v>
      </c>
      <c r="G549" s="17" t="str">
        <f>IF(COUNTIF(Phrases!$A:$A,$A549)&gt;0,"ok","à faire")</f>
        <v>ok</v>
      </c>
      <c r="H549" s="17" t="str">
        <f>IF(COUNTIFS(Phrases!$A:$A,$A549,Phrases!$I:$I,"&lt;&gt;")&gt;0,"ok","à faire")</f>
        <v>à faire</v>
      </c>
      <c r="I549" s="17" t="str">
        <f>IF(COUNTIF(Synonymes!$A:$A,$A549)&gt;0,"ok","")</f>
        <v/>
      </c>
      <c r="J549" s="17">
        <f t="shared" si="8"/>
        <v>1</v>
      </c>
    </row>
    <row r="550" spans="1:10" x14ac:dyDescent="0.3">
      <c r="A550" s="17" t="s">
        <v>3018</v>
      </c>
      <c r="B550" s="17" t="str">
        <f>IFERROR(INDEX(Mots!$B:$B,MATCH($A550,Mots!$A:$A,0)),"introuvable")</f>
        <v>le tableau de bord</v>
      </c>
      <c r="C550" s="17" t="str">
        <f>IFERROR(INDEX(Mots!$N:$N,MATCH($A550,Mots!$A:$A,0)),"")</f>
        <v>chose</v>
      </c>
      <c r="D550" s="17">
        <f>IFERROR(COUNTA(INDEX(Mots!$E:$E,MATCH($A550,Mots!$A:$A,0)):INDEX(Mots!$K:$K,MATCH($A550,Mots!$A:$A,0))),0)</f>
        <v>1</v>
      </c>
      <c r="E550" s="17" t="str">
        <f>IF(COUNTIF(Classement!$A:$A,$A550)&gt;0,"ok","à faire")</f>
        <v>ok</v>
      </c>
      <c r="F550" s="17" t="str">
        <f>IF(COUNTIF(Tags!$A:$A,$A550)&gt;0,"ok","à faire")</f>
        <v>ok</v>
      </c>
      <c r="G550" s="17" t="str">
        <f>IF(COUNTIF(Phrases!$A:$A,$A550)&gt;0,"ok","à faire")</f>
        <v>ok</v>
      </c>
      <c r="H550" s="17" t="str">
        <f>IF(COUNTIFS(Phrases!$A:$A,$A550,Phrases!$I:$I,"&lt;&gt;")&gt;0,"ok","à faire")</f>
        <v>à faire</v>
      </c>
      <c r="I550" s="17" t="str">
        <f>IF(COUNTIF(Synonymes!$A:$A,$A550)&gt;0,"ok","")</f>
        <v/>
      </c>
      <c r="J550" s="17">
        <f t="shared" si="8"/>
        <v>1</v>
      </c>
    </row>
    <row r="551" spans="1:10" x14ac:dyDescent="0.3">
      <c r="A551" s="17" t="s">
        <v>3022</v>
      </c>
      <c r="B551" s="17" t="str">
        <f>IFERROR(INDEX(Mots!$B:$B,MATCH($A551,Mots!$A:$A,0)),"introuvable")</f>
        <v>le coffre</v>
      </c>
      <c r="C551" s="17" t="str">
        <f>IFERROR(INDEX(Mots!$N:$N,MATCH($A551,Mots!$A:$A,0)),"")</f>
        <v>chose</v>
      </c>
      <c r="D551" s="17">
        <f>IFERROR(COUNTA(INDEX(Mots!$E:$E,MATCH($A551,Mots!$A:$A,0)):INDEX(Mots!$K:$K,MATCH($A551,Mots!$A:$A,0))),0)</f>
        <v>1</v>
      </c>
      <c r="E551" s="17" t="str">
        <f>IF(COUNTIF(Classement!$A:$A,$A551)&gt;0,"ok","à faire")</f>
        <v>ok</v>
      </c>
      <c r="F551" s="17" t="str">
        <f>IF(COUNTIF(Tags!$A:$A,$A551)&gt;0,"ok","à faire")</f>
        <v>ok</v>
      </c>
      <c r="G551" s="17" t="str">
        <f>IF(COUNTIF(Phrases!$A:$A,$A551)&gt;0,"ok","à faire")</f>
        <v>ok</v>
      </c>
      <c r="H551" s="17" t="str">
        <f>IF(COUNTIFS(Phrases!$A:$A,$A551,Phrases!$I:$I,"&lt;&gt;")&gt;0,"ok","à faire")</f>
        <v>à faire</v>
      </c>
      <c r="I551" s="17" t="str">
        <f>IF(COUNTIF(Synonymes!$A:$A,$A551)&gt;0,"ok","")</f>
        <v/>
      </c>
      <c r="J551" s="17">
        <f t="shared" si="8"/>
        <v>1</v>
      </c>
    </row>
    <row r="552" spans="1:10" x14ac:dyDescent="0.3">
      <c r="A552" s="17" t="s">
        <v>3025</v>
      </c>
      <c r="B552" s="17" t="str">
        <f>IFERROR(INDEX(Mots!$B:$B,MATCH($A552,Mots!$A:$A,0)),"introuvable")</f>
        <v>la vitesse</v>
      </c>
      <c r="C552" s="17" t="str">
        <f>IFERROR(INDEX(Mots!$N:$N,MATCH($A552,Mots!$A:$A,0)),"")</f>
        <v>chose</v>
      </c>
      <c r="D552" s="17">
        <f>IFERROR(COUNTA(INDEX(Mots!$E:$E,MATCH($A552,Mots!$A:$A,0)):INDEX(Mots!$K:$K,MATCH($A552,Mots!$A:$A,0))),0)</f>
        <v>5</v>
      </c>
      <c r="E552" s="17" t="str">
        <f>IF(COUNTIF(Classement!$A:$A,$A552)&gt;0,"ok","à faire")</f>
        <v>ok</v>
      </c>
      <c r="F552" s="17" t="str">
        <f>IF(COUNTIF(Tags!$A:$A,$A552)&gt;0,"ok","à faire")</f>
        <v>ok</v>
      </c>
      <c r="G552" s="17" t="str">
        <f>IF(COUNTIF(Phrases!$A:$A,$A552)&gt;0,"ok","à faire")</f>
        <v>ok</v>
      </c>
      <c r="H552" s="17" t="str">
        <f>IF(COUNTIFS(Phrases!$A:$A,$A552,Phrases!$I:$I,"&lt;&gt;")&gt;0,"ok","à faire")</f>
        <v>ok</v>
      </c>
      <c r="I552" s="17" t="str">
        <f>IF(COUNTIF(Synonymes!$A:$A,$A552)&gt;0,"ok","")</f>
        <v/>
      </c>
      <c r="J552" s="17">
        <f t="shared" si="8"/>
        <v>0</v>
      </c>
    </row>
    <row r="553" spans="1:10" x14ac:dyDescent="0.3">
      <c r="A553" s="17" t="s">
        <v>3033</v>
      </c>
      <c r="B553" s="17" t="str">
        <f>IFERROR(INDEX(Mots!$B:$B,MATCH($A553,Mots!$A:$A,0)),"introuvable")</f>
        <v>mes enfants</v>
      </c>
      <c r="C553" s="17" t="str">
        <f>IFERROR(INDEX(Mots!$N:$N,MATCH($A553,Mots!$A:$A,0)),"")</f>
        <v>personne</v>
      </c>
      <c r="D553" s="17">
        <f>IFERROR(COUNTA(INDEX(Mots!$E:$E,MATCH($A553,Mots!$A:$A,0)):INDEX(Mots!$K:$K,MATCH($A553,Mots!$A:$A,0))),0)</f>
        <v>1</v>
      </c>
      <c r="E553" s="17" t="str">
        <f>IF(COUNTIF(Classement!$A:$A,$A553)&gt;0,"ok","à faire")</f>
        <v>ok</v>
      </c>
      <c r="F553" s="17" t="str">
        <f>IF(COUNTIF(Tags!$A:$A,$A553)&gt;0,"ok","à faire")</f>
        <v>ok</v>
      </c>
      <c r="G553" s="17" t="str">
        <f>IF(COUNTIF(Phrases!$A:$A,$A553)&gt;0,"ok","à faire")</f>
        <v>ok</v>
      </c>
      <c r="H553" s="17" t="str">
        <f>IF(COUNTIFS(Phrases!$A:$A,$A553,Phrases!$I:$I,"&lt;&gt;")&gt;0,"ok","à faire")</f>
        <v>à faire</v>
      </c>
      <c r="I553" s="17" t="str">
        <f>IF(COUNTIF(Synonymes!$A:$A,$A553)&gt;0,"ok","")</f>
        <v/>
      </c>
      <c r="J553" s="17">
        <f t="shared" si="8"/>
        <v>1</v>
      </c>
    </row>
    <row r="554" spans="1:10" x14ac:dyDescent="0.3">
      <c r="A554" s="17" t="s">
        <v>3036</v>
      </c>
      <c r="B554" s="17" t="str">
        <f>IFERROR(INDEX(Mots!$B:$B,MATCH($A554,Mots!$A:$A,0)),"introuvable")</f>
        <v>Mathilde</v>
      </c>
      <c r="C554" s="17" t="str">
        <f>IFERROR(INDEX(Mots!$N:$N,MATCH($A554,Mots!$A:$A,0)),"")</f>
        <v>personne</v>
      </c>
      <c r="D554" s="17">
        <f>IFERROR(COUNTA(INDEX(Mots!$E:$E,MATCH($A554,Mots!$A:$A,0)):INDEX(Mots!$K:$K,MATCH($A554,Mots!$A:$A,0))),0)</f>
        <v>4</v>
      </c>
      <c r="E554" s="17" t="str">
        <f>IF(COUNTIF(Classement!$A:$A,$A554)&gt;0,"ok","à faire")</f>
        <v>ok</v>
      </c>
      <c r="F554" s="17" t="str">
        <f>IF(COUNTIF(Tags!$A:$A,$A554)&gt;0,"ok","à faire")</f>
        <v>ok</v>
      </c>
      <c r="G554" s="17" t="str">
        <f>IF(COUNTIF(Phrases!$A:$A,$A554)&gt;0,"ok","à faire")</f>
        <v>ok</v>
      </c>
      <c r="H554" s="17" t="str">
        <f>IF(COUNTIFS(Phrases!$A:$A,$A554,Phrases!$I:$I,"&lt;&gt;")&gt;0,"ok","à faire")</f>
        <v>à faire</v>
      </c>
      <c r="I554" s="17" t="str">
        <f>IF(COUNTIF(Synonymes!$A:$A,$A554)&gt;0,"ok","")</f>
        <v/>
      </c>
      <c r="J554" s="17">
        <f t="shared" si="8"/>
        <v>1</v>
      </c>
    </row>
    <row r="555" spans="1:10" x14ac:dyDescent="0.3">
      <c r="A555" s="17" t="s">
        <v>3039</v>
      </c>
      <c r="B555" s="17" t="str">
        <f>IFERROR(INDEX(Mots!$B:$B,MATCH($A555,Mots!$A:$A,0)),"introuvable")</f>
        <v>Julien</v>
      </c>
      <c r="C555" s="17" t="str">
        <f>IFERROR(INDEX(Mots!$N:$N,MATCH($A555,Mots!$A:$A,0)),"")</f>
        <v>personne</v>
      </c>
      <c r="D555" s="17">
        <f>IFERROR(COUNTA(INDEX(Mots!$E:$E,MATCH($A555,Mots!$A:$A,0)):INDEX(Mots!$K:$K,MATCH($A555,Mots!$A:$A,0))),0)</f>
        <v>1</v>
      </c>
      <c r="E555" s="17" t="str">
        <f>IF(COUNTIF(Classement!$A:$A,$A555)&gt;0,"ok","à faire")</f>
        <v>ok</v>
      </c>
      <c r="F555" s="17" t="str">
        <f>IF(COUNTIF(Tags!$A:$A,$A555)&gt;0,"ok","à faire")</f>
        <v>ok</v>
      </c>
      <c r="G555" s="17" t="str">
        <f>IF(COUNTIF(Phrases!$A:$A,$A555)&gt;0,"ok","à faire")</f>
        <v>ok</v>
      </c>
      <c r="H555" s="17" t="str">
        <f>IF(COUNTIFS(Phrases!$A:$A,$A555,Phrases!$I:$I,"&lt;&gt;")&gt;0,"ok","à faire")</f>
        <v>à faire</v>
      </c>
      <c r="I555" s="17" t="str">
        <f>IF(COUNTIF(Synonymes!$A:$A,$A555)&gt;0,"ok","")</f>
        <v/>
      </c>
      <c r="J555" s="17">
        <f t="shared" si="8"/>
        <v>1</v>
      </c>
    </row>
    <row r="556" spans="1:10" x14ac:dyDescent="0.3">
      <c r="A556" s="17" t="s">
        <v>3043</v>
      </c>
      <c r="B556" s="17" t="str">
        <f>IFERROR(INDEX(Mots!$B:$B,MATCH($A556,Mots!$A:$A,0)),"introuvable")</f>
        <v>Emma</v>
      </c>
      <c r="C556" s="17" t="str">
        <f>IFERROR(INDEX(Mots!$N:$N,MATCH($A556,Mots!$A:$A,0)),"")</f>
        <v>personne</v>
      </c>
      <c r="D556" s="17">
        <f>IFERROR(COUNTA(INDEX(Mots!$E:$E,MATCH($A556,Mots!$A:$A,0)):INDEX(Mots!$K:$K,MATCH($A556,Mots!$A:$A,0))),0)</f>
        <v>2</v>
      </c>
      <c r="E556" s="17" t="str">
        <f>IF(COUNTIF(Classement!$A:$A,$A556)&gt;0,"ok","à faire")</f>
        <v>ok</v>
      </c>
      <c r="F556" s="17" t="str">
        <f>IF(COUNTIF(Tags!$A:$A,$A556)&gt;0,"ok","à faire")</f>
        <v>ok</v>
      </c>
      <c r="G556" s="17" t="str">
        <f>IF(COUNTIF(Phrases!$A:$A,$A556)&gt;0,"ok","à faire")</f>
        <v>ok</v>
      </c>
      <c r="H556" s="17" t="str">
        <f>IF(COUNTIFS(Phrases!$A:$A,$A556,Phrases!$I:$I,"&lt;&gt;")&gt;0,"ok","à faire")</f>
        <v>à faire</v>
      </c>
      <c r="I556" s="17" t="str">
        <f>IF(COUNTIF(Synonymes!$A:$A,$A556)&gt;0,"ok","")</f>
        <v/>
      </c>
      <c r="J556" s="17">
        <f t="shared" si="8"/>
        <v>1</v>
      </c>
    </row>
    <row r="557" spans="1:10" x14ac:dyDescent="0.3">
      <c r="A557" s="17" t="s">
        <v>3047</v>
      </c>
      <c r="B557" s="17" t="str">
        <f>IFERROR(INDEX(Mots!$B:$B,MATCH($A557,Mots!$A:$A,0)),"introuvable")</f>
        <v>Loïc</v>
      </c>
      <c r="C557" s="17" t="str">
        <f>IFERROR(INDEX(Mots!$N:$N,MATCH($A557,Mots!$A:$A,0)),"")</f>
        <v>personne</v>
      </c>
      <c r="D557" s="17">
        <f>IFERROR(COUNTA(INDEX(Mots!$E:$E,MATCH($A557,Mots!$A:$A,0)):INDEX(Mots!$K:$K,MATCH($A557,Mots!$A:$A,0))),0)</f>
        <v>2</v>
      </c>
      <c r="E557" s="17" t="str">
        <f>IF(COUNTIF(Classement!$A:$A,$A557)&gt;0,"ok","à faire")</f>
        <v>ok</v>
      </c>
      <c r="F557" s="17" t="str">
        <f>IF(COUNTIF(Tags!$A:$A,$A557)&gt;0,"ok","à faire")</f>
        <v>ok</v>
      </c>
      <c r="G557" s="17" t="str">
        <f>IF(COUNTIF(Phrases!$A:$A,$A557)&gt;0,"ok","à faire")</f>
        <v>ok</v>
      </c>
      <c r="H557" s="17" t="str">
        <f>IF(COUNTIFS(Phrases!$A:$A,$A557,Phrases!$I:$I,"&lt;&gt;")&gt;0,"ok","à faire")</f>
        <v>à faire</v>
      </c>
      <c r="I557" s="17" t="str">
        <f>IF(COUNTIF(Synonymes!$A:$A,$A557)&gt;0,"ok","")</f>
        <v/>
      </c>
      <c r="J557" s="17">
        <f t="shared" si="8"/>
        <v>1</v>
      </c>
    </row>
    <row r="558" spans="1:10" x14ac:dyDescent="0.3">
      <c r="A558" s="17" t="s">
        <v>3051</v>
      </c>
      <c r="B558" s="17" t="str">
        <f>IFERROR(INDEX(Mots!$B:$B,MATCH($A558,Mots!$A:$A,0)),"introuvable")</f>
        <v>Emile, le copain de Mathilde</v>
      </c>
      <c r="C558" s="17" t="str">
        <f>IFERROR(INDEX(Mots!$N:$N,MATCH($A558,Mots!$A:$A,0)),"")</f>
        <v>personne</v>
      </c>
      <c r="D558" s="17">
        <f>IFERROR(COUNTA(INDEX(Mots!$E:$E,MATCH($A558,Mots!$A:$A,0)):INDEX(Mots!$K:$K,MATCH($A558,Mots!$A:$A,0))),0)</f>
        <v>1</v>
      </c>
      <c r="E558" s="17" t="str">
        <f>IF(COUNTIF(Classement!$A:$A,$A558)&gt;0,"ok","à faire")</f>
        <v>ok</v>
      </c>
      <c r="F558" s="17" t="str">
        <f>IF(COUNTIF(Tags!$A:$A,$A558)&gt;0,"ok","à faire")</f>
        <v>ok</v>
      </c>
      <c r="G558" s="17" t="str">
        <f>IF(COUNTIF(Phrases!$A:$A,$A558)&gt;0,"ok","à faire")</f>
        <v>à faire</v>
      </c>
      <c r="H558" s="17" t="str">
        <f>IF(COUNTIFS(Phrases!$A:$A,$A558,Phrases!$I:$I,"&lt;&gt;")&gt;0,"ok","à faire")</f>
        <v>à faire</v>
      </c>
      <c r="I558" s="17" t="str">
        <f>IF(COUNTIF(Synonymes!$A:$A,$A558)&gt;0,"ok","")</f>
        <v/>
      </c>
      <c r="J558" s="17">
        <f t="shared" si="8"/>
        <v>2</v>
      </c>
    </row>
    <row r="559" spans="1:10" x14ac:dyDescent="0.3">
      <c r="A559" s="17" t="s">
        <v>3055</v>
      </c>
      <c r="B559" s="17" t="str">
        <f>IFERROR(INDEX(Mots!$B:$B,MATCH($A559,Mots!$A:$A,0)),"introuvable")</f>
        <v>Eva, la copine de Julien</v>
      </c>
      <c r="C559" s="17" t="str">
        <f>IFERROR(INDEX(Mots!$N:$N,MATCH($A559,Mots!$A:$A,0)),"")</f>
        <v>personne</v>
      </c>
      <c r="D559" s="17">
        <f>IFERROR(COUNTA(INDEX(Mots!$E:$E,MATCH($A559,Mots!$A:$A,0)):INDEX(Mots!$K:$K,MATCH($A559,Mots!$A:$A,0))),0)</f>
        <v>1</v>
      </c>
      <c r="E559" s="17" t="str">
        <f>IF(COUNTIF(Classement!$A:$A,$A559)&gt;0,"ok","à faire")</f>
        <v>ok</v>
      </c>
      <c r="F559" s="17" t="str">
        <f>IF(COUNTIF(Tags!$A:$A,$A559)&gt;0,"ok","à faire")</f>
        <v>ok</v>
      </c>
      <c r="G559" s="17" t="str">
        <f>IF(COUNTIF(Phrases!$A:$A,$A559)&gt;0,"ok","à faire")</f>
        <v>à faire</v>
      </c>
      <c r="H559" s="17" t="str">
        <f>IF(COUNTIFS(Phrases!$A:$A,$A559,Phrases!$I:$I,"&lt;&gt;")&gt;0,"ok","à faire")</f>
        <v>à faire</v>
      </c>
      <c r="I559" s="17" t="str">
        <f>IF(COUNTIF(Synonymes!$A:$A,$A559)&gt;0,"ok","")</f>
        <v/>
      </c>
      <c r="J559" s="17">
        <f t="shared" si="8"/>
        <v>2</v>
      </c>
    </row>
    <row r="560" spans="1:10" x14ac:dyDescent="0.3">
      <c r="A560" s="17" t="s">
        <v>3059</v>
      </c>
      <c r="B560" s="17" t="str">
        <f>IFERROR(INDEX(Mots!$B:$B,MATCH($A560,Mots!$A:$A,0)),"introuvable")</f>
        <v>Paul, le copain d'Emma</v>
      </c>
      <c r="C560" s="17" t="str">
        <f>IFERROR(INDEX(Mots!$N:$N,MATCH($A560,Mots!$A:$A,0)),"")</f>
        <v>personne</v>
      </c>
      <c r="D560" s="17">
        <f>IFERROR(COUNTA(INDEX(Mots!$E:$E,MATCH($A560,Mots!$A:$A,0)):INDEX(Mots!$K:$K,MATCH($A560,Mots!$A:$A,0))),0)</f>
        <v>1</v>
      </c>
      <c r="E560" s="17" t="str">
        <f>IF(COUNTIF(Classement!$A:$A,$A560)&gt;0,"ok","à faire")</f>
        <v>ok</v>
      </c>
      <c r="F560" s="17" t="str">
        <f>IF(COUNTIF(Tags!$A:$A,$A560)&gt;0,"ok","à faire")</f>
        <v>ok</v>
      </c>
      <c r="G560" s="17" t="str">
        <f>IF(COUNTIF(Phrases!$A:$A,$A560)&gt;0,"ok","à faire")</f>
        <v>à faire</v>
      </c>
      <c r="H560" s="17" t="str">
        <f>IF(COUNTIFS(Phrases!$A:$A,$A560,Phrases!$I:$I,"&lt;&gt;")&gt;0,"ok","à faire")</f>
        <v>à faire</v>
      </c>
      <c r="I560" s="17" t="str">
        <f>IF(COUNTIF(Synonymes!$A:$A,$A560)&gt;0,"ok","")</f>
        <v/>
      </c>
      <c r="J560" s="17">
        <f t="shared" si="8"/>
        <v>2</v>
      </c>
    </row>
    <row r="561" spans="1:10" x14ac:dyDescent="0.3">
      <c r="A561" s="17" t="s">
        <v>3063</v>
      </c>
      <c r="B561" s="17" t="str">
        <f>IFERROR(INDEX(Mots!$B:$B,MATCH($A561,Mots!$A:$A,0)),"introuvable")</f>
        <v>Claudia</v>
      </c>
      <c r="C561" s="17" t="str">
        <f>IFERROR(INDEX(Mots!$N:$N,MATCH($A561,Mots!$A:$A,0)),"")</f>
        <v>personne</v>
      </c>
      <c r="D561" s="17">
        <f>IFERROR(COUNTA(INDEX(Mots!$E:$E,MATCH($A561,Mots!$A:$A,0)):INDEX(Mots!$K:$K,MATCH($A561,Mots!$A:$A,0))),0)</f>
        <v>1</v>
      </c>
      <c r="E561" s="17" t="str">
        <f>IF(COUNTIF(Classement!$A:$A,$A561)&gt;0,"ok","à faire")</f>
        <v>ok</v>
      </c>
      <c r="F561" s="17" t="str">
        <f>IF(COUNTIF(Tags!$A:$A,$A561)&gt;0,"ok","à faire")</f>
        <v>ok</v>
      </c>
      <c r="G561" s="17" t="str">
        <f>IF(COUNTIF(Phrases!$A:$A,$A561)&gt;0,"ok","à faire")</f>
        <v>à faire</v>
      </c>
      <c r="H561" s="17" t="str">
        <f>IF(COUNTIFS(Phrases!$A:$A,$A561,Phrases!$I:$I,"&lt;&gt;")&gt;0,"ok","à faire")</f>
        <v>à faire</v>
      </c>
      <c r="I561" s="17" t="str">
        <f>IF(COUNTIF(Synonymes!$A:$A,$A561)&gt;0,"ok","")</f>
        <v/>
      </c>
      <c r="J561" s="17">
        <f t="shared" si="8"/>
        <v>2</v>
      </c>
    </row>
    <row r="562" spans="1:10" x14ac:dyDescent="0.3">
      <c r="A562" s="17" t="s">
        <v>3066</v>
      </c>
      <c r="B562" s="17" t="str">
        <f>IFERROR(INDEX(Mots!$B:$B,MATCH($A562,Mots!$A:$A,0)),"introuvable")</f>
        <v>Patrick</v>
      </c>
      <c r="C562" s="17" t="str">
        <f>IFERROR(INDEX(Mots!$N:$N,MATCH($A562,Mots!$A:$A,0)),"")</f>
        <v>personne</v>
      </c>
      <c r="D562" s="17">
        <f>IFERROR(COUNTA(INDEX(Mots!$E:$E,MATCH($A562,Mots!$A:$A,0)):INDEX(Mots!$K:$K,MATCH($A562,Mots!$A:$A,0))),0)</f>
        <v>1</v>
      </c>
      <c r="E562" s="17" t="str">
        <f>IF(COUNTIF(Classement!$A:$A,$A562)&gt;0,"ok","à faire")</f>
        <v>ok</v>
      </c>
      <c r="F562" s="17" t="str">
        <f>IF(COUNTIF(Tags!$A:$A,$A562)&gt;0,"ok","à faire")</f>
        <v>ok</v>
      </c>
      <c r="G562" s="17" t="str">
        <f>IF(COUNTIF(Phrases!$A:$A,$A562)&gt;0,"ok","à faire")</f>
        <v>à faire</v>
      </c>
      <c r="H562" s="17" t="str">
        <f>IF(COUNTIFS(Phrases!$A:$A,$A562,Phrases!$I:$I,"&lt;&gt;")&gt;0,"ok","à faire")</f>
        <v>à faire</v>
      </c>
      <c r="I562" s="17" t="str">
        <f>IF(COUNTIF(Synonymes!$A:$A,$A562)&gt;0,"ok","")</f>
        <v/>
      </c>
      <c r="J562" s="17">
        <f t="shared" si="8"/>
        <v>2</v>
      </c>
    </row>
    <row r="563" spans="1:10" x14ac:dyDescent="0.3">
      <c r="A563" s="17" t="s">
        <v>3070</v>
      </c>
      <c r="B563" s="17" t="str">
        <f>IFERROR(INDEX(Mots!$B:$B,MATCH($A563,Mots!$A:$A,0)),"introuvable")</f>
        <v>Olivier</v>
      </c>
      <c r="C563" s="17" t="str">
        <f>IFERROR(INDEX(Mots!$N:$N,MATCH($A563,Mots!$A:$A,0)),"")</f>
        <v>personne</v>
      </c>
      <c r="D563" s="17">
        <f>IFERROR(COUNTA(INDEX(Mots!$E:$E,MATCH($A563,Mots!$A:$A,0)):INDEX(Mots!$K:$K,MATCH($A563,Mots!$A:$A,0))),0)</f>
        <v>1</v>
      </c>
      <c r="E563" s="17" t="str">
        <f>IF(COUNTIF(Classement!$A:$A,$A563)&gt;0,"ok","à faire")</f>
        <v>ok</v>
      </c>
      <c r="F563" s="17" t="str">
        <f>IF(COUNTIF(Tags!$A:$A,$A563)&gt;0,"ok","à faire")</f>
        <v>ok</v>
      </c>
      <c r="G563" s="17" t="str">
        <f>IF(COUNTIF(Phrases!$A:$A,$A563)&gt;0,"ok","à faire")</f>
        <v>à faire</v>
      </c>
      <c r="H563" s="17" t="str">
        <f>IF(COUNTIFS(Phrases!$A:$A,$A563,Phrases!$I:$I,"&lt;&gt;")&gt;0,"ok","à faire")</f>
        <v>à faire</v>
      </c>
      <c r="I563" s="17" t="str">
        <f>IF(COUNTIF(Synonymes!$A:$A,$A563)&gt;0,"ok","")</f>
        <v/>
      </c>
      <c r="J563" s="17">
        <f t="shared" si="8"/>
        <v>2</v>
      </c>
    </row>
    <row r="564" spans="1:10" x14ac:dyDescent="0.3">
      <c r="A564" s="17" t="s">
        <v>3073</v>
      </c>
      <c r="B564" s="17" t="str">
        <f>IFERROR(INDEX(Mots!$B:$B,MATCH($A564,Mots!$A:$A,0)),"introuvable")</f>
        <v>Barbara</v>
      </c>
      <c r="C564" s="17" t="str">
        <f>IFERROR(INDEX(Mots!$N:$N,MATCH($A564,Mots!$A:$A,0)),"")</f>
        <v>personne</v>
      </c>
      <c r="D564" s="17">
        <f>IFERROR(COUNTA(INDEX(Mots!$E:$E,MATCH($A564,Mots!$A:$A,0)):INDEX(Mots!$K:$K,MATCH($A564,Mots!$A:$A,0))),0)</f>
        <v>1</v>
      </c>
      <c r="E564" s="17" t="str">
        <f>IF(COUNTIF(Classement!$A:$A,$A564)&gt;0,"ok","à faire")</f>
        <v>ok</v>
      </c>
      <c r="F564" s="17" t="str">
        <f>IF(COUNTIF(Tags!$A:$A,$A564)&gt;0,"ok","à faire")</f>
        <v>ok</v>
      </c>
      <c r="G564" s="17" t="str">
        <f>IF(COUNTIF(Phrases!$A:$A,$A564)&gt;0,"ok","à faire")</f>
        <v>à faire</v>
      </c>
      <c r="H564" s="17" t="str">
        <f>IF(COUNTIFS(Phrases!$A:$A,$A564,Phrases!$I:$I,"&lt;&gt;")&gt;0,"ok","à faire")</f>
        <v>à faire</v>
      </c>
      <c r="I564" s="17" t="str">
        <f>IF(COUNTIF(Synonymes!$A:$A,$A564)&gt;0,"ok","")</f>
        <v/>
      </c>
      <c r="J564" s="17">
        <f t="shared" si="8"/>
        <v>2</v>
      </c>
    </row>
    <row r="565" spans="1:10" x14ac:dyDescent="0.3">
      <c r="A565" s="17" t="s">
        <v>3076</v>
      </c>
      <c r="B565" s="17" t="str">
        <f>IFERROR(INDEX(Mots!$B:$B,MATCH($A565,Mots!$A:$A,0)),"introuvable")</f>
        <v>Sandrine</v>
      </c>
      <c r="C565" s="17" t="str">
        <f>IFERROR(INDEX(Mots!$N:$N,MATCH($A565,Mots!$A:$A,0)),"")</f>
        <v>personne</v>
      </c>
      <c r="D565" s="17">
        <f>IFERROR(COUNTA(INDEX(Mots!$E:$E,MATCH($A565,Mots!$A:$A,0)):INDEX(Mots!$K:$K,MATCH($A565,Mots!$A:$A,0))),0)</f>
        <v>1</v>
      </c>
      <c r="E565" s="17" t="str">
        <f>IF(COUNTIF(Classement!$A:$A,$A565)&gt;0,"ok","à faire")</f>
        <v>ok</v>
      </c>
      <c r="F565" s="17" t="str">
        <f>IF(COUNTIF(Tags!$A:$A,$A565)&gt;0,"ok","à faire")</f>
        <v>ok</v>
      </c>
      <c r="G565" s="17" t="str">
        <f>IF(COUNTIF(Phrases!$A:$A,$A565)&gt;0,"ok","à faire")</f>
        <v>à faire</v>
      </c>
      <c r="H565" s="17" t="str">
        <f>IF(COUNTIFS(Phrases!$A:$A,$A565,Phrases!$I:$I,"&lt;&gt;")&gt;0,"ok","à faire")</f>
        <v>à faire</v>
      </c>
      <c r="I565" s="17" t="str">
        <f>IF(COUNTIF(Synonymes!$A:$A,$A565)&gt;0,"ok","")</f>
        <v/>
      </c>
      <c r="J565" s="17">
        <f t="shared" si="8"/>
        <v>2</v>
      </c>
    </row>
    <row r="566" spans="1:10" x14ac:dyDescent="0.3">
      <c r="A566" s="17" t="s">
        <v>3079</v>
      </c>
      <c r="B566" s="17" t="str">
        <f>IFERROR(INDEX(Mots!$B:$B,MATCH($A566,Mots!$A:$A,0)),"introuvable")</f>
        <v>Docteur Nicole Ducrey Crettenand</v>
      </c>
      <c r="C566" s="17" t="str">
        <f>IFERROR(INDEX(Mots!$N:$N,MATCH($A566,Mots!$A:$A,0)),"")</f>
        <v>personne</v>
      </c>
      <c r="D566" s="17">
        <f>IFERROR(COUNTA(INDEX(Mots!$E:$E,MATCH($A566,Mots!$A:$A,0)):INDEX(Mots!$K:$K,MATCH($A566,Mots!$A:$A,0))),0)</f>
        <v>1</v>
      </c>
      <c r="E566" s="17" t="str">
        <f>IF(COUNTIF(Classement!$A:$A,$A566)&gt;0,"ok","à faire")</f>
        <v>ok</v>
      </c>
      <c r="F566" s="17" t="str">
        <f>IF(COUNTIF(Tags!$A:$A,$A566)&gt;0,"ok","à faire")</f>
        <v>ok</v>
      </c>
      <c r="G566" s="17" t="str">
        <f>IF(COUNTIF(Phrases!$A:$A,$A566)&gt;0,"ok","à faire")</f>
        <v>à faire</v>
      </c>
      <c r="H566" s="17" t="str">
        <f>IF(COUNTIFS(Phrases!$A:$A,$A566,Phrases!$I:$I,"&lt;&gt;")&gt;0,"ok","à faire")</f>
        <v>à faire</v>
      </c>
      <c r="I566" s="17" t="str">
        <f>IF(COUNTIF(Synonymes!$A:$A,$A566)&gt;0,"ok","")</f>
        <v/>
      </c>
      <c r="J566" s="17">
        <f t="shared" si="8"/>
        <v>2</v>
      </c>
    </row>
    <row r="567" spans="1:10" x14ac:dyDescent="0.3">
      <c r="A567" s="17" t="s">
        <v>3082</v>
      </c>
      <c r="B567" s="17" t="str">
        <f>IFERROR(INDEX(Mots!$B:$B,MATCH($A567,Mots!$A:$A,0)),"introuvable")</f>
        <v>Professeur Joseph-André Ghika, neurologue</v>
      </c>
      <c r="C567" s="17" t="str">
        <f>IFERROR(INDEX(Mots!$N:$N,MATCH($A567,Mots!$A:$A,0)),"")</f>
        <v>personne</v>
      </c>
      <c r="D567" s="17">
        <f>IFERROR(COUNTA(INDEX(Mots!$E:$E,MATCH($A567,Mots!$A:$A,0)):INDEX(Mots!$K:$K,MATCH($A567,Mots!$A:$A,0))),0)</f>
        <v>1</v>
      </c>
      <c r="E567" s="17" t="str">
        <f>IF(COUNTIF(Classement!$A:$A,$A567)&gt;0,"ok","à faire")</f>
        <v>ok</v>
      </c>
      <c r="F567" s="17" t="str">
        <f>IF(COUNTIF(Tags!$A:$A,$A567)&gt;0,"ok","à faire")</f>
        <v>ok</v>
      </c>
      <c r="G567" s="17" t="str">
        <f>IF(COUNTIF(Phrases!$A:$A,$A567)&gt;0,"ok","à faire")</f>
        <v>à faire</v>
      </c>
      <c r="H567" s="17" t="str">
        <f>IF(COUNTIFS(Phrases!$A:$A,$A567,Phrases!$I:$I,"&lt;&gt;")&gt;0,"ok","à faire")</f>
        <v>à faire</v>
      </c>
      <c r="I567" s="17" t="str">
        <f>IF(COUNTIF(Synonymes!$A:$A,$A567)&gt;0,"ok","")</f>
        <v/>
      </c>
      <c r="J567" s="17">
        <f t="shared" si="8"/>
        <v>2</v>
      </c>
    </row>
    <row r="568" spans="1:10" x14ac:dyDescent="0.3">
      <c r="A568" s="17" t="s">
        <v>3086</v>
      </c>
      <c r="B568" s="17" t="str">
        <f>IFERROR(INDEX(Mots!$B:$B,MATCH($A568,Mots!$A:$A,0)),"introuvable")</f>
        <v>Louane</v>
      </c>
      <c r="C568" s="17" t="str">
        <f>IFERROR(INDEX(Mots!$N:$N,MATCH($A568,Mots!$A:$A,0)),"")</f>
        <v>personne</v>
      </c>
      <c r="D568" s="17">
        <f>IFERROR(COUNTA(INDEX(Mots!$E:$E,MATCH($A568,Mots!$A:$A,0)):INDEX(Mots!$K:$K,MATCH($A568,Mots!$A:$A,0))),0)</f>
        <v>1</v>
      </c>
      <c r="E568" s="17" t="str">
        <f>IF(COUNTIF(Classement!$A:$A,$A568)&gt;0,"ok","à faire")</f>
        <v>ok</v>
      </c>
      <c r="F568" s="17" t="str">
        <f>IF(COUNTIF(Tags!$A:$A,$A568)&gt;0,"ok","à faire")</f>
        <v>ok</v>
      </c>
      <c r="G568" s="17" t="str">
        <f>IF(COUNTIF(Phrases!$A:$A,$A568)&gt;0,"ok","à faire")</f>
        <v>à faire</v>
      </c>
      <c r="H568" s="17" t="str">
        <f>IF(COUNTIFS(Phrases!$A:$A,$A568,Phrases!$I:$I,"&lt;&gt;")&gt;0,"ok","à faire")</f>
        <v>à faire</v>
      </c>
      <c r="I568" s="17" t="str">
        <f>IF(COUNTIF(Synonymes!$A:$A,$A568)&gt;0,"ok","")</f>
        <v/>
      </c>
      <c r="J568" s="17">
        <f t="shared" si="8"/>
        <v>2</v>
      </c>
    </row>
    <row r="569" spans="1:10" x14ac:dyDescent="0.3">
      <c r="A569" s="17" t="s">
        <v>3090</v>
      </c>
      <c r="B569" s="17" t="str">
        <f>IFERROR(INDEX(Mots!$B:$B,MATCH($A569,Mots!$A:$A,0)),"introuvable")</f>
        <v>Melwyn</v>
      </c>
      <c r="C569" s="17" t="str">
        <f>IFERROR(INDEX(Mots!$N:$N,MATCH($A569,Mots!$A:$A,0)),"")</f>
        <v>personne</v>
      </c>
      <c r="D569" s="17">
        <f>IFERROR(COUNTA(INDEX(Mots!$E:$E,MATCH($A569,Mots!$A:$A,0)):INDEX(Mots!$K:$K,MATCH($A569,Mots!$A:$A,0))),0)</f>
        <v>1</v>
      </c>
      <c r="E569" s="17" t="str">
        <f>IF(COUNTIF(Classement!$A:$A,$A569)&gt;0,"ok","à faire")</f>
        <v>ok</v>
      </c>
      <c r="F569" s="17" t="str">
        <f>IF(COUNTIF(Tags!$A:$A,$A569)&gt;0,"ok","à faire")</f>
        <v>ok</v>
      </c>
      <c r="G569" s="17" t="str">
        <f>IF(COUNTIF(Phrases!$A:$A,$A569)&gt;0,"ok","à faire")</f>
        <v>à faire</v>
      </c>
      <c r="H569" s="17" t="str">
        <f>IF(COUNTIFS(Phrases!$A:$A,$A569,Phrases!$I:$I,"&lt;&gt;")&gt;0,"ok","à faire")</f>
        <v>à faire</v>
      </c>
      <c r="I569" s="17" t="str">
        <f>IF(COUNTIF(Synonymes!$A:$A,$A569)&gt;0,"ok","")</f>
        <v/>
      </c>
      <c r="J569" s="17">
        <f t="shared" si="8"/>
        <v>2</v>
      </c>
    </row>
    <row r="570" spans="1:10" x14ac:dyDescent="0.3">
      <c r="A570" s="17" t="s">
        <v>3094</v>
      </c>
      <c r="B570" s="17" t="str">
        <f>IFERROR(INDEX(Mots!$B:$B,MATCH($A570,Mots!$A:$A,0)),"introuvable")</f>
        <v>Jason</v>
      </c>
      <c r="C570" s="17" t="str">
        <f>IFERROR(INDEX(Mots!$N:$N,MATCH($A570,Mots!$A:$A,0)),"")</f>
        <v>personne</v>
      </c>
      <c r="D570" s="17">
        <f>IFERROR(COUNTA(INDEX(Mots!$E:$E,MATCH($A570,Mots!$A:$A,0)):INDEX(Mots!$K:$K,MATCH($A570,Mots!$A:$A,0))),0)</f>
        <v>1</v>
      </c>
      <c r="E570" s="17" t="str">
        <f>IF(COUNTIF(Classement!$A:$A,$A570)&gt;0,"ok","à faire")</f>
        <v>ok</v>
      </c>
      <c r="F570" s="17" t="str">
        <f>IF(COUNTIF(Tags!$A:$A,$A570)&gt;0,"ok","à faire")</f>
        <v>ok</v>
      </c>
      <c r="G570" s="17" t="str">
        <f>IF(COUNTIF(Phrases!$A:$A,$A570)&gt;0,"ok","à faire")</f>
        <v>à faire</v>
      </c>
      <c r="H570" s="17" t="str">
        <f>IF(COUNTIFS(Phrases!$A:$A,$A570,Phrases!$I:$I,"&lt;&gt;")&gt;0,"ok","à faire")</f>
        <v>à faire</v>
      </c>
      <c r="I570" s="17" t="str">
        <f>IF(COUNTIF(Synonymes!$A:$A,$A570)&gt;0,"ok","")</f>
        <v/>
      </c>
      <c r="J570" s="17">
        <f t="shared" si="8"/>
        <v>2</v>
      </c>
    </row>
    <row r="571" spans="1:10" x14ac:dyDescent="0.3">
      <c r="A571" s="17" t="s">
        <v>3098</v>
      </c>
      <c r="B571" s="17" t="str">
        <f>IFERROR(INDEX(Mots!$B:$B,MATCH($A571,Mots!$A:$A,0)),"introuvable")</f>
        <v>Yanis</v>
      </c>
      <c r="C571" s="17" t="str">
        <f>IFERROR(INDEX(Mots!$N:$N,MATCH($A571,Mots!$A:$A,0)),"")</f>
        <v>personne</v>
      </c>
      <c r="D571" s="17">
        <f>IFERROR(COUNTA(INDEX(Mots!$E:$E,MATCH($A571,Mots!$A:$A,0)):INDEX(Mots!$K:$K,MATCH($A571,Mots!$A:$A,0))),0)</f>
        <v>1</v>
      </c>
      <c r="E571" s="17" t="str">
        <f>IF(COUNTIF(Classement!$A:$A,$A571)&gt;0,"ok","à faire")</f>
        <v>ok</v>
      </c>
      <c r="F571" s="17" t="str">
        <f>IF(COUNTIF(Tags!$A:$A,$A571)&gt;0,"ok","à faire")</f>
        <v>ok</v>
      </c>
      <c r="G571" s="17" t="str">
        <f>IF(COUNTIF(Phrases!$A:$A,$A571)&gt;0,"ok","à faire")</f>
        <v>à faire</v>
      </c>
      <c r="H571" s="17" t="str">
        <f>IF(COUNTIFS(Phrases!$A:$A,$A571,Phrases!$I:$I,"&lt;&gt;")&gt;0,"ok","à faire")</f>
        <v>à faire</v>
      </c>
      <c r="I571" s="17" t="str">
        <f>IF(COUNTIF(Synonymes!$A:$A,$A571)&gt;0,"ok","")</f>
        <v/>
      </c>
      <c r="J571" s="17">
        <f t="shared" si="8"/>
        <v>2</v>
      </c>
    </row>
    <row r="572" spans="1:10" x14ac:dyDescent="0.3">
      <c r="A572" s="17" t="s">
        <v>3102</v>
      </c>
      <c r="B572" s="17" t="str">
        <f>IFERROR(INDEX(Mots!$B:$B,MATCH($A572,Mots!$A:$A,0)),"introuvable")</f>
        <v>Alison</v>
      </c>
      <c r="C572" s="17" t="str">
        <f>IFERROR(INDEX(Mots!$N:$N,MATCH($A572,Mots!$A:$A,0)),"")</f>
        <v>personne</v>
      </c>
      <c r="D572" s="17">
        <f>IFERROR(COUNTA(INDEX(Mots!$E:$E,MATCH($A572,Mots!$A:$A,0)):INDEX(Mots!$K:$K,MATCH($A572,Mots!$A:$A,0))),0)</f>
        <v>1</v>
      </c>
      <c r="E572" s="17" t="str">
        <f>IF(COUNTIF(Classement!$A:$A,$A572)&gt;0,"ok","à faire")</f>
        <v>ok</v>
      </c>
      <c r="F572" s="17" t="str">
        <f>IF(COUNTIF(Tags!$A:$A,$A572)&gt;0,"ok","à faire")</f>
        <v>ok</v>
      </c>
      <c r="G572" s="17" t="str">
        <f>IF(COUNTIF(Phrases!$A:$A,$A572)&gt;0,"ok","à faire")</f>
        <v>à faire</v>
      </c>
      <c r="H572" s="17" t="str">
        <f>IF(COUNTIFS(Phrases!$A:$A,$A572,Phrases!$I:$I,"&lt;&gt;")&gt;0,"ok","à faire")</f>
        <v>à faire</v>
      </c>
      <c r="I572" s="17" t="str">
        <f>IF(COUNTIF(Synonymes!$A:$A,$A572)&gt;0,"ok","")</f>
        <v/>
      </c>
      <c r="J572" s="17">
        <f t="shared" si="8"/>
        <v>2</v>
      </c>
    </row>
    <row r="573" spans="1:10" x14ac:dyDescent="0.3">
      <c r="A573" s="17" t="s">
        <v>3106</v>
      </c>
      <c r="B573" s="17" t="str">
        <f>IFERROR(INDEX(Mots!$B:$B,MATCH($A573,Mots!$A:$A,0)),"introuvable")</f>
        <v>Germaine</v>
      </c>
      <c r="C573" s="17" t="str">
        <f>IFERROR(INDEX(Mots!$N:$N,MATCH($A573,Mots!$A:$A,0)),"")</f>
        <v>personne</v>
      </c>
      <c r="D573" s="17">
        <f>IFERROR(COUNTA(INDEX(Mots!$E:$E,MATCH($A573,Mots!$A:$A,0)):INDEX(Mots!$K:$K,MATCH($A573,Mots!$A:$A,0))),0)</f>
        <v>1</v>
      </c>
      <c r="E573" s="17" t="str">
        <f>IF(COUNTIF(Classement!$A:$A,$A573)&gt;0,"ok","à faire")</f>
        <v>ok</v>
      </c>
      <c r="F573" s="17" t="str">
        <f>IF(COUNTIF(Tags!$A:$A,$A573)&gt;0,"ok","à faire")</f>
        <v>ok</v>
      </c>
      <c r="G573" s="17" t="str">
        <f>IF(COUNTIF(Phrases!$A:$A,$A573)&gt;0,"ok","à faire")</f>
        <v>à faire</v>
      </c>
      <c r="H573" s="17" t="str">
        <f>IF(COUNTIFS(Phrases!$A:$A,$A573,Phrases!$I:$I,"&lt;&gt;")&gt;0,"ok","à faire")</f>
        <v>à faire</v>
      </c>
      <c r="I573" s="17" t="str">
        <f>IF(COUNTIF(Synonymes!$A:$A,$A573)&gt;0,"ok","")</f>
        <v/>
      </c>
      <c r="J573" s="17">
        <f t="shared" si="8"/>
        <v>2</v>
      </c>
    </row>
    <row r="574" spans="1:10" x14ac:dyDescent="0.3">
      <c r="A574" s="17" t="s">
        <v>3110</v>
      </c>
      <c r="B574" s="17" t="str">
        <f>IFERROR(INDEX(Mots!$B:$B,MATCH($A574,Mots!$A:$A,0)),"introuvable")</f>
        <v>Noël</v>
      </c>
      <c r="C574" s="17" t="str">
        <f>IFERROR(INDEX(Mots!$N:$N,MATCH($A574,Mots!$A:$A,0)),"")</f>
        <v>personne</v>
      </c>
      <c r="D574" s="17">
        <f>IFERROR(COUNTA(INDEX(Mots!$E:$E,MATCH($A574,Mots!$A:$A,0)):INDEX(Mots!$K:$K,MATCH($A574,Mots!$A:$A,0))),0)</f>
        <v>1</v>
      </c>
      <c r="E574" s="17" t="str">
        <f>IF(COUNTIF(Classement!$A:$A,$A574)&gt;0,"ok","à faire")</f>
        <v>ok</v>
      </c>
      <c r="F574" s="17" t="str">
        <f>IF(COUNTIF(Tags!$A:$A,$A574)&gt;0,"ok","à faire")</f>
        <v>ok</v>
      </c>
      <c r="G574" s="17" t="str">
        <f>IF(COUNTIF(Phrases!$A:$A,$A574)&gt;0,"ok","à faire")</f>
        <v>à faire</v>
      </c>
      <c r="H574" s="17" t="str">
        <f>IF(COUNTIFS(Phrases!$A:$A,$A574,Phrases!$I:$I,"&lt;&gt;")&gt;0,"ok","à faire")</f>
        <v>à faire</v>
      </c>
      <c r="I574" s="17" t="str">
        <f>IF(COUNTIF(Synonymes!$A:$A,$A574)&gt;0,"ok","")</f>
        <v/>
      </c>
      <c r="J574" s="17">
        <f t="shared" si="8"/>
        <v>2</v>
      </c>
    </row>
    <row r="575" spans="1:10" x14ac:dyDescent="0.3">
      <c r="A575" s="17" t="s">
        <v>3114</v>
      </c>
      <c r="B575" s="17" t="str">
        <f>IFERROR(INDEX(Mots!$B:$B,MATCH($A575,Mots!$A:$A,0)),"introuvable")</f>
        <v>la peau</v>
      </c>
      <c r="C575" s="17" t="str">
        <f>IFERROR(INDEX(Mots!$N:$N,MATCH($A575,Mots!$A:$A,0)),"")</f>
        <v>chose</v>
      </c>
      <c r="D575" s="17">
        <f>IFERROR(COUNTA(INDEX(Mots!$E:$E,MATCH($A575,Mots!$A:$A,0)):INDEX(Mots!$K:$K,MATCH($A575,Mots!$A:$A,0))),0)</f>
        <v>1</v>
      </c>
      <c r="E575" s="17" t="str">
        <f>IF(COUNTIF(Classement!$A:$A,$A575)&gt;0,"ok","à faire")</f>
        <v>ok</v>
      </c>
      <c r="F575" s="17" t="str">
        <f>IF(COUNTIF(Tags!$A:$A,$A575)&gt;0,"ok","à faire")</f>
        <v>ok</v>
      </c>
      <c r="G575" s="17" t="str">
        <f>IF(COUNTIF(Phrases!$A:$A,$A575)&gt;0,"ok","à faire")</f>
        <v>ok</v>
      </c>
      <c r="H575" s="17" t="str">
        <f>IF(COUNTIFS(Phrases!$A:$A,$A575,Phrases!$I:$I,"&lt;&gt;")&gt;0,"ok","à faire")</f>
        <v>ok</v>
      </c>
      <c r="I575" s="17" t="str">
        <f>IF(COUNTIF(Synonymes!$A:$A,$A575)&gt;0,"ok","")</f>
        <v/>
      </c>
      <c r="J575" s="17">
        <f t="shared" si="8"/>
        <v>0</v>
      </c>
    </row>
    <row r="576" spans="1:10" x14ac:dyDescent="0.3">
      <c r="A576" s="17" t="s">
        <v>3117</v>
      </c>
      <c r="B576" s="17" t="str">
        <f>IFERROR(INDEX(Mots!$B:$B,MATCH($A576,Mots!$A:$A,0)),"introuvable")</f>
        <v>la voix</v>
      </c>
      <c r="C576" s="17" t="str">
        <f>IFERROR(INDEX(Mots!$N:$N,MATCH($A576,Mots!$A:$A,0)),"")</f>
        <v>chose</v>
      </c>
      <c r="D576" s="17">
        <f>IFERROR(COUNTA(INDEX(Mots!$E:$E,MATCH($A576,Mots!$A:$A,0)):INDEX(Mots!$K:$K,MATCH($A576,Mots!$A:$A,0))),0)</f>
        <v>1</v>
      </c>
      <c r="E576" s="17" t="str">
        <f>IF(COUNTIF(Classement!$A:$A,$A576)&gt;0,"ok","à faire")</f>
        <v>ok</v>
      </c>
      <c r="F576" s="17" t="str">
        <f>IF(COUNTIF(Tags!$A:$A,$A576)&gt;0,"ok","à faire")</f>
        <v>ok</v>
      </c>
      <c r="G576" s="17" t="str">
        <f>IF(COUNTIF(Phrases!$A:$A,$A576)&gt;0,"ok","à faire")</f>
        <v>ok</v>
      </c>
      <c r="H576" s="17" t="str">
        <f>IF(COUNTIFS(Phrases!$A:$A,$A576,Phrases!$I:$I,"&lt;&gt;")&gt;0,"ok","à faire")</f>
        <v>ok</v>
      </c>
      <c r="I576" s="17" t="str">
        <f>IF(COUNTIF(Synonymes!$A:$A,$A576)&gt;0,"ok","")</f>
        <v/>
      </c>
      <c r="J576" s="17">
        <f t="shared" si="8"/>
        <v>0</v>
      </c>
    </row>
    <row r="577" spans="1:10" x14ac:dyDescent="0.3">
      <c r="A577" s="17" t="s">
        <v>3121</v>
      </c>
      <c r="B577" s="17" t="str">
        <f>IFERROR(INDEX(Mots!$B:$B,MATCH($A577,Mots!$A:$A,0)),"introuvable")</f>
        <v>le cerveau</v>
      </c>
      <c r="C577" s="17" t="str">
        <f>IFERROR(INDEX(Mots!$N:$N,MATCH($A577,Mots!$A:$A,0)),"")</f>
        <v>chose</v>
      </c>
      <c r="D577" s="17">
        <f>IFERROR(COUNTA(INDEX(Mots!$E:$E,MATCH($A577,Mots!$A:$A,0)):INDEX(Mots!$K:$K,MATCH($A577,Mots!$A:$A,0))),0)</f>
        <v>1</v>
      </c>
      <c r="E577" s="17" t="str">
        <f>IF(COUNTIF(Classement!$A:$A,$A577)&gt;0,"ok","à faire")</f>
        <v>ok</v>
      </c>
      <c r="F577" s="17" t="str">
        <f>IF(COUNTIF(Tags!$A:$A,$A577)&gt;0,"ok","à faire")</f>
        <v>ok</v>
      </c>
      <c r="G577" s="17" t="str">
        <f>IF(COUNTIF(Phrases!$A:$A,$A577)&gt;0,"ok","à faire")</f>
        <v>ok</v>
      </c>
      <c r="H577" s="17" t="str">
        <f>IF(COUNTIFS(Phrases!$A:$A,$A577,Phrases!$I:$I,"&lt;&gt;")&gt;0,"ok","à faire")</f>
        <v>à faire</v>
      </c>
      <c r="I577" s="17" t="str">
        <f>IF(COUNTIF(Synonymes!$A:$A,$A577)&gt;0,"ok","")</f>
        <v/>
      </c>
      <c r="J577" s="17">
        <f t="shared" ref="J577:J640" si="9">COUNTIF(E577:H577,"à faire")</f>
        <v>1</v>
      </c>
    </row>
    <row r="578" spans="1:10" x14ac:dyDescent="0.3">
      <c r="A578" s="17" t="s">
        <v>3125</v>
      </c>
      <c r="B578" s="17" t="str">
        <f>IFERROR(INDEX(Mots!$B:$B,MATCH($A578,Mots!$A:$A,0)),"introuvable")</f>
        <v>le muscle</v>
      </c>
      <c r="C578" s="17" t="str">
        <f>IFERROR(INDEX(Mots!$N:$N,MATCH($A578,Mots!$A:$A,0)),"")</f>
        <v>chose</v>
      </c>
      <c r="D578" s="17">
        <f>IFERROR(COUNTA(INDEX(Mots!$E:$E,MATCH($A578,Mots!$A:$A,0)):INDEX(Mots!$K:$K,MATCH($A578,Mots!$A:$A,0))),0)</f>
        <v>1</v>
      </c>
      <c r="E578" s="17" t="str">
        <f>IF(COUNTIF(Classement!$A:$A,$A578)&gt;0,"ok","à faire")</f>
        <v>ok</v>
      </c>
      <c r="F578" s="17" t="str">
        <f>IF(COUNTIF(Tags!$A:$A,$A578)&gt;0,"ok","à faire")</f>
        <v>ok</v>
      </c>
      <c r="G578" s="17" t="str">
        <f>IF(COUNTIF(Phrases!$A:$A,$A578)&gt;0,"ok","à faire")</f>
        <v>ok</v>
      </c>
      <c r="H578" s="17" t="str">
        <f>IF(COUNTIFS(Phrases!$A:$A,$A578,Phrases!$I:$I,"&lt;&gt;")&gt;0,"ok","à faire")</f>
        <v>à faire</v>
      </c>
      <c r="I578" s="17" t="str">
        <f>IF(COUNTIF(Synonymes!$A:$A,$A578)&gt;0,"ok","")</f>
        <v/>
      </c>
      <c r="J578" s="17">
        <f t="shared" si="9"/>
        <v>1</v>
      </c>
    </row>
    <row r="579" spans="1:10" x14ac:dyDescent="0.3">
      <c r="A579" s="17" t="s">
        <v>3129</v>
      </c>
      <c r="B579" s="17" t="str">
        <f>IFERROR(INDEX(Mots!$B:$B,MATCH($A579,Mots!$A:$A,0)),"introuvable")</f>
        <v>le sang</v>
      </c>
      <c r="C579" s="17" t="str">
        <f>IFERROR(INDEX(Mots!$N:$N,MATCH($A579,Mots!$A:$A,0)),"")</f>
        <v>chose</v>
      </c>
      <c r="D579" s="17">
        <f>IFERROR(COUNTA(INDEX(Mots!$E:$E,MATCH($A579,Mots!$A:$A,0)):INDEX(Mots!$K:$K,MATCH($A579,Mots!$A:$A,0))),0)</f>
        <v>1</v>
      </c>
      <c r="E579" s="17" t="str">
        <f>IF(COUNTIF(Classement!$A:$A,$A579)&gt;0,"ok","à faire")</f>
        <v>ok</v>
      </c>
      <c r="F579" s="17" t="str">
        <f>IF(COUNTIF(Tags!$A:$A,$A579)&gt;0,"ok","à faire")</f>
        <v>ok</v>
      </c>
      <c r="G579" s="17" t="str">
        <f>IF(COUNTIF(Phrases!$A:$A,$A579)&gt;0,"ok","à faire")</f>
        <v>ok</v>
      </c>
      <c r="H579" s="17" t="str">
        <f>IF(COUNTIFS(Phrases!$A:$A,$A579,Phrases!$I:$I,"&lt;&gt;")&gt;0,"ok","à faire")</f>
        <v>ok</v>
      </c>
      <c r="I579" s="17" t="str">
        <f>IF(COUNTIF(Synonymes!$A:$A,$A579)&gt;0,"ok","")</f>
        <v/>
      </c>
      <c r="J579" s="17">
        <f t="shared" si="9"/>
        <v>0</v>
      </c>
    </row>
    <row r="580" spans="1:10" x14ac:dyDescent="0.3">
      <c r="A580" s="17" t="s">
        <v>3133</v>
      </c>
      <c r="B580" s="17" t="str">
        <f>IFERROR(INDEX(Mots!$B:$B,MATCH($A580,Mots!$A:$A,0)),"introuvable")</f>
        <v>le squelette</v>
      </c>
      <c r="C580" s="17" t="str">
        <f>IFERROR(INDEX(Mots!$N:$N,MATCH($A580,Mots!$A:$A,0)),"")</f>
        <v>chose</v>
      </c>
      <c r="D580" s="17">
        <f>IFERROR(COUNTA(INDEX(Mots!$E:$E,MATCH($A580,Mots!$A:$A,0)):INDEX(Mots!$K:$K,MATCH($A580,Mots!$A:$A,0))),0)</f>
        <v>1</v>
      </c>
      <c r="E580" s="17" t="str">
        <f>IF(COUNTIF(Classement!$A:$A,$A580)&gt;0,"ok","à faire")</f>
        <v>ok</v>
      </c>
      <c r="F580" s="17" t="str">
        <f>IF(COUNTIF(Tags!$A:$A,$A580)&gt;0,"ok","à faire")</f>
        <v>ok</v>
      </c>
      <c r="G580" s="17" t="str">
        <f>IF(COUNTIF(Phrases!$A:$A,$A580)&gt;0,"ok","à faire")</f>
        <v>ok</v>
      </c>
      <c r="H580" s="17" t="str">
        <f>IF(COUNTIFS(Phrases!$A:$A,$A580,Phrases!$I:$I,"&lt;&gt;")&gt;0,"ok","à faire")</f>
        <v>à faire</v>
      </c>
      <c r="I580" s="17" t="str">
        <f>IF(COUNTIF(Synonymes!$A:$A,$A580)&gt;0,"ok","")</f>
        <v/>
      </c>
      <c r="J580" s="17">
        <f t="shared" si="9"/>
        <v>1</v>
      </c>
    </row>
    <row r="581" spans="1:10" x14ac:dyDescent="0.3">
      <c r="A581" s="17" t="s">
        <v>3137</v>
      </c>
      <c r="B581" s="17" t="str">
        <f>IFERROR(INDEX(Mots!$B:$B,MATCH($A581,Mots!$A:$A,0)),"introuvable")</f>
        <v>l'estomac</v>
      </c>
      <c r="C581" s="17" t="str">
        <f>IFERROR(INDEX(Mots!$N:$N,MATCH($A581,Mots!$A:$A,0)),"")</f>
        <v>chose</v>
      </c>
      <c r="D581" s="17">
        <f>IFERROR(COUNTA(INDEX(Mots!$E:$E,MATCH($A581,Mots!$A:$A,0)):INDEX(Mots!$K:$K,MATCH($A581,Mots!$A:$A,0))),0)</f>
        <v>1</v>
      </c>
      <c r="E581" s="17" t="str">
        <f>IF(COUNTIF(Classement!$A:$A,$A581)&gt;0,"ok","à faire")</f>
        <v>ok</v>
      </c>
      <c r="F581" s="17" t="str">
        <f>IF(COUNTIF(Tags!$A:$A,$A581)&gt;0,"ok","à faire")</f>
        <v>ok</v>
      </c>
      <c r="G581" s="17" t="str">
        <f>IF(COUNTIF(Phrases!$A:$A,$A581)&gt;0,"ok","à faire")</f>
        <v>ok</v>
      </c>
      <c r="H581" s="17" t="str">
        <f>IF(COUNTIFS(Phrases!$A:$A,$A581,Phrases!$I:$I,"&lt;&gt;")&gt;0,"ok","à faire")</f>
        <v>ok</v>
      </c>
      <c r="I581" s="17" t="str">
        <f>IF(COUNTIF(Synonymes!$A:$A,$A581)&gt;0,"ok","")</f>
        <v/>
      </c>
      <c r="J581" s="17">
        <f t="shared" si="9"/>
        <v>0</v>
      </c>
    </row>
    <row r="582" spans="1:10" x14ac:dyDescent="0.3">
      <c r="A582" s="17" t="s">
        <v>3141</v>
      </c>
      <c r="B582" s="17" t="str">
        <f>IFERROR(INDEX(Mots!$B:$B,MATCH($A582,Mots!$A:$A,0)),"introuvable")</f>
        <v>l'ongle</v>
      </c>
      <c r="C582" s="17" t="str">
        <f>IFERROR(INDEX(Mots!$N:$N,MATCH($A582,Mots!$A:$A,0)),"")</f>
        <v>chose</v>
      </c>
      <c r="D582" s="17">
        <f>IFERROR(COUNTA(INDEX(Mots!$E:$E,MATCH($A582,Mots!$A:$A,0)):INDEX(Mots!$K:$K,MATCH($A582,Mots!$A:$A,0))),0)</f>
        <v>1</v>
      </c>
      <c r="E582" s="17" t="str">
        <f>IF(COUNTIF(Classement!$A:$A,$A582)&gt;0,"ok","à faire")</f>
        <v>ok</v>
      </c>
      <c r="F582" s="17" t="str">
        <f>IF(COUNTIF(Tags!$A:$A,$A582)&gt;0,"ok","à faire")</f>
        <v>ok</v>
      </c>
      <c r="G582" s="17" t="str">
        <f>IF(COUNTIF(Phrases!$A:$A,$A582)&gt;0,"ok","à faire")</f>
        <v>ok</v>
      </c>
      <c r="H582" s="17" t="str">
        <f>IF(COUNTIFS(Phrases!$A:$A,$A582,Phrases!$I:$I,"&lt;&gt;")&gt;0,"ok","à faire")</f>
        <v>ok</v>
      </c>
      <c r="I582" s="17" t="str">
        <f>IF(COUNTIF(Synonymes!$A:$A,$A582)&gt;0,"ok","")</f>
        <v/>
      </c>
      <c r="J582" s="17">
        <f t="shared" si="9"/>
        <v>0</v>
      </c>
    </row>
    <row r="583" spans="1:10" x14ac:dyDescent="0.3">
      <c r="A583" s="17" t="s">
        <v>3145</v>
      </c>
      <c r="B583" s="17" t="str">
        <f>IFERROR(INDEX(Mots!$B:$B,MATCH($A583,Mots!$A:$A,0)),"introuvable")</f>
        <v>l'os</v>
      </c>
      <c r="C583" s="17" t="str">
        <f>IFERROR(INDEX(Mots!$N:$N,MATCH($A583,Mots!$A:$A,0)),"")</f>
        <v>chose</v>
      </c>
      <c r="D583" s="17">
        <f>IFERROR(COUNTA(INDEX(Mots!$E:$E,MATCH($A583,Mots!$A:$A,0)):INDEX(Mots!$K:$K,MATCH($A583,Mots!$A:$A,0))),0)</f>
        <v>1</v>
      </c>
      <c r="E583" s="17" t="str">
        <f>IF(COUNTIF(Classement!$A:$A,$A583)&gt;0,"ok","à faire")</f>
        <v>ok</v>
      </c>
      <c r="F583" s="17" t="str">
        <f>IF(COUNTIF(Tags!$A:$A,$A583)&gt;0,"ok","à faire")</f>
        <v>ok</v>
      </c>
      <c r="G583" s="17" t="str">
        <f>IF(COUNTIF(Phrases!$A:$A,$A583)&gt;0,"ok","à faire")</f>
        <v>ok</v>
      </c>
      <c r="H583" s="17" t="str">
        <f>IF(COUNTIFS(Phrases!$A:$A,$A583,Phrases!$I:$I,"&lt;&gt;")&gt;0,"ok","à faire")</f>
        <v>à faire</v>
      </c>
      <c r="I583" s="17" t="str">
        <f>IF(COUNTIF(Synonymes!$A:$A,$A583)&gt;0,"ok","")</f>
        <v/>
      </c>
      <c r="J583" s="17">
        <f t="shared" si="9"/>
        <v>1</v>
      </c>
    </row>
    <row r="584" spans="1:10" x14ac:dyDescent="0.3">
      <c r="A584" s="17" t="s">
        <v>3149</v>
      </c>
      <c r="B584" s="17" t="str">
        <f>IFERROR(INDEX(Mots!$B:$B,MATCH($A584,Mots!$A:$A,0)),"introuvable")</f>
        <v>faire les vitres</v>
      </c>
      <c r="C584" s="17" t="str">
        <f>IFERROR(INDEX(Mots!$N:$N,MATCH($A584,Mots!$A:$A,0)),"")</f>
        <v>chose</v>
      </c>
      <c r="D584" s="17">
        <f>IFERROR(COUNTA(INDEX(Mots!$E:$E,MATCH($A584,Mots!$A:$A,0)):INDEX(Mots!$K:$K,MATCH($A584,Mots!$A:$A,0))),0)</f>
        <v>1</v>
      </c>
      <c r="E584" s="17" t="str">
        <f>IF(COUNTIF(Classement!$A:$A,$A584)&gt;0,"ok","à faire")</f>
        <v>ok</v>
      </c>
      <c r="F584" s="17" t="str">
        <f>IF(COUNTIF(Tags!$A:$A,$A584)&gt;0,"ok","à faire")</f>
        <v>ok</v>
      </c>
      <c r="G584" s="17" t="str">
        <f>IF(COUNTIF(Phrases!$A:$A,$A584)&gt;0,"ok","à faire")</f>
        <v>ok</v>
      </c>
      <c r="H584" s="17" t="str">
        <f>IF(COUNTIFS(Phrases!$A:$A,$A584,Phrases!$I:$I,"&lt;&gt;")&gt;0,"ok","à faire")</f>
        <v>à faire</v>
      </c>
      <c r="I584" s="17" t="str">
        <f>IF(COUNTIF(Synonymes!$A:$A,$A584)&gt;0,"ok","")</f>
        <v/>
      </c>
      <c r="J584" s="17">
        <f t="shared" si="9"/>
        <v>1</v>
      </c>
    </row>
    <row r="585" spans="1:10" x14ac:dyDescent="0.3">
      <c r="A585" s="17" t="s">
        <v>3152</v>
      </c>
      <c r="B585" s="17" t="str">
        <f>IFERROR(INDEX(Mots!$B:$B,MATCH($A585,Mots!$A:$A,0)),"introuvable")</f>
        <v>la serpillière</v>
      </c>
      <c r="C585" s="17" t="str">
        <f>IFERROR(INDEX(Mots!$N:$N,MATCH($A585,Mots!$A:$A,0)),"")</f>
        <v>chose</v>
      </c>
      <c r="D585" s="17">
        <f>IFERROR(COUNTA(INDEX(Mots!$E:$E,MATCH($A585,Mots!$A:$A,0)):INDEX(Mots!$K:$K,MATCH($A585,Mots!$A:$A,0))),0)</f>
        <v>1</v>
      </c>
      <c r="E585" s="17" t="str">
        <f>IF(COUNTIF(Classement!$A:$A,$A585)&gt;0,"ok","à faire")</f>
        <v>ok</v>
      </c>
      <c r="F585" s="17" t="str">
        <f>IF(COUNTIF(Tags!$A:$A,$A585)&gt;0,"ok","à faire")</f>
        <v>ok</v>
      </c>
      <c r="G585" s="17" t="str">
        <f>IF(COUNTIF(Phrases!$A:$A,$A585)&gt;0,"ok","à faire")</f>
        <v>ok</v>
      </c>
      <c r="H585" s="17" t="str">
        <f>IF(COUNTIFS(Phrases!$A:$A,$A585,Phrases!$I:$I,"&lt;&gt;")&gt;0,"ok","à faire")</f>
        <v>ok</v>
      </c>
      <c r="I585" s="17" t="str">
        <f>IF(COUNTIF(Synonymes!$A:$A,$A585)&gt;0,"ok","")</f>
        <v/>
      </c>
      <c r="J585" s="17">
        <f t="shared" si="9"/>
        <v>0</v>
      </c>
    </row>
    <row r="586" spans="1:10" x14ac:dyDescent="0.3">
      <c r="A586" s="17" t="s">
        <v>3156</v>
      </c>
      <c r="B586" s="17" t="str">
        <f>IFERROR(INDEX(Mots!$B:$B,MATCH($A586,Mots!$A:$A,0)),"introuvable")</f>
        <v>l'aspirateur</v>
      </c>
      <c r="C586" s="17" t="str">
        <f>IFERROR(INDEX(Mots!$N:$N,MATCH($A586,Mots!$A:$A,0)),"")</f>
        <v>chose</v>
      </c>
      <c r="D586" s="17">
        <f>IFERROR(COUNTA(INDEX(Mots!$E:$E,MATCH($A586,Mots!$A:$A,0)):INDEX(Mots!$K:$K,MATCH($A586,Mots!$A:$A,0))),0)</f>
        <v>5</v>
      </c>
      <c r="E586" s="17" t="str">
        <f>IF(COUNTIF(Classement!$A:$A,$A586)&gt;0,"ok","à faire")</f>
        <v>ok</v>
      </c>
      <c r="F586" s="17" t="str">
        <f>IF(COUNTIF(Tags!$A:$A,$A586)&gt;0,"ok","à faire")</f>
        <v>ok</v>
      </c>
      <c r="G586" s="17" t="str">
        <f>IF(COUNTIF(Phrases!$A:$A,$A586)&gt;0,"ok","à faire")</f>
        <v>ok</v>
      </c>
      <c r="H586" s="17" t="str">
        <f>IF(COUNTIFS(Phrases!$A:$A,$A586,Phrases!$I:$I,"&lt;&gt;")&gt;0,"ok","à faire")</f>
        <v>à faire</v>
      </c>
      <c r="I586" s="17" t="str">
        <f>IF(COUNTIF(Synonymes!$A:$A,$A586)&gt;0,"ok","")</f>
        <v/>
      </c>
      <c r="J586" s="17">
        <f t="shared" si="9"/>
        <v>1</v>
      </c>
    </row>
    <row r="587" spans="1:10" x14ac:dyDescent="0.3">
      <c r="A587" s="17" t="s">
        <v>3164</v>
      </c>
      <c r="B587" s="17" t="str">
        <f>IFERROR(INDEX(Mots!$B:$B,MATCH($A587,Mots!$A:$A,0)),"introuvable")</f>
        <v>le chiffon</v>
      </c>
      <c r="C587" s="17" t="str">
        <f>IFERROR(INDEX(Mots!$N:$N,MATCH($A587,Mots!$A:$A,0)),"")</f>
        <v>chose</v>
      </c>
      <c r="D587" s="17">
        <f>IFERROR(COUNTA(INDEX(Mots!$E:$E,MATCH($A587,Mots!$A:$A,0)):INDEX(Mots!$K:$K,MATCH($A587,Mots!$A:$A,0))),0)</f>
        <v>1</v>
      </c>
      <c r="E587" s="17" t="str">
        <f>IF(COUNTIF(Classement!$A:$A,$A587)&gt;0,"ok","à faire")</f>
        <v>ok</v>
      </c>
      <c r="F587" s="17" t="str">
        <f>IF(COUNTIF(Tags!$A:$A,$A587)&gt;0,"ok","à faire")</f>
        <v>ok</v>
      </c>
      <c r="G587" s="17" t="str">
        <f>IF(COUNTIF(Phrases!$A:$A,$A587)&gt;0,"ok","à faire")</f>
        <v>ok</v>
      </c>
      <c r="H587" s="17" t="str">
        <f>IF(COUNTIFS(Phrases!$A:$A,$A587,Phrases!$I:$I,"&lt;&gt;")&gt;0,"ok","à faire")</f>
        <v>ok</v>
      </c>
      <c r="I587" s="17" t="str">
        <f>IF(COUNTIF(Synonymes!$A:$A,$A587)&gt;0,"ok","")</f>
        <v>ok</v>
      </c>
      <c r="J587" s="17">
        <f t="shared" si="9"/>
        <v>0</v>
      </c>
    </row>
    <row r="588" spans="1:10" x14ac:dyDescent="0.3">
      <c r="A588" s="17" t="s">
        <v>3168</v>
      </c>
      <c r="B588" s="17" t="str">
        <f>IFERROR(INDEX(Mots!$B:$B,MATCH($A588,Mots!$A:$A,0)),"introuvable")</f>
        <v>le matériel pour récurrer</v>
      </c>
      <c r="C588" s="17" t="str">
        <f>IFERROR(INDEX(Mots!$N:$N,MATCH($A588,Mots!$A:$A,0)),"")</f>
        <v>chose</v>
      </c>
      <c r="D588" s="17">
        <f>IFERROR(COUNTA(INDEX(Mots!$E:$E,MATCH($A588,Mots!$A:$A,0)):INDEX(Mots!$K:$K,MATCH($A588,Mots!$A:$A,0))),0)</f>
        <v>1</v>
      </c>
      <c r="E588" s="17" t="str">
        <f>IF(COUNTIF(Classement!$A:$A,$A588)&gt;0,"ok","à faire")</f>
        <v>ok</v>
      </c>
      <c r="F588" s="17" t="str">
        <f>IF(COUNTIF(Tags!$A:$A,$A588)&gt;0,"ok","à faire")</f>
        <v>ok</v>
      </c>
      <c r="G588" s="17" t="str">
        <f>IF(COUNTIF(Phrases!$A:$A,$A588)&gt;0,"ok","à faire")</f>
        <v>ok</v>
      </c>
      <c r="H588" s="17" t="str">
        <f>IF(COUNTIFS(Phrases!$A:$A,$A588,Phrases!$I:$I,"&lt;&gt;")&gt;0,"ok","à faire")</f>
        <v>à faire</v>
      </c>
      <c r="I588" s="17" t="str">
        <f>IF(COUNTIF(Synonymes!$A:$A,$A588)&gt;0,"ok","")</f>
        <v>ok</v>
      </c>
      <c r="J588" s="17">
        <f t="shared" si="9"/>
        <v>1</v>
      </c>
    </row>
    <row r="589" spans="1:10" x14ac:dyDescent="0.3">
      <c r="A589" s="17" t="s">
        <v>3173</v>
      </c>
      <c r="B589" s="17" t="str">
        <f>IFERROR(INDEX(Mots!$B:$B,MATCH($A589,Mots!$A:$A,0)),"introuvable")</f>
        <v>le meister proper</v>
      </c>
      <c r="C589" s="17" t="str">
        <f>IFERROR(INDEX(Mots!$N:$N,MATCH($A589,Mots!$A:$A,0)),"")</f>
        <v>chose</v>
      </c>
      <c r="D589" s="17">
        <f>IFERROR(COUNTA(INDEX(Mots!$E:$E,MATCH($A589,Mots!$A:$A,0)):INDEX(Mots!$K:$K,MATCH($A589,Mots!$A:$A,0))),0)</f>
        <v>1</v>
      </c>
      <c r="E589" s="17" t="str">
        <f>IF(COUNTIF(Classement!$A:$A,$A589)&gt;0,"ok","à faire")</f>
        <v>ok</v>
      </c>
      <c r="F589" s="17" t="str">
        <f>IF(COUNTIF(Tags!$A:$A,$A589)&gt;0,"ok","à faire")</f>
        <v>ok</v>
      </c>
      <c r="G589" s="17" t="str">
        <f>IF(COUNTIF(Phrases!$A:$A,$A589)&gt;0,"ok","à faire")</f>
        <v>ok</v>
      </c>
      <c r="H589" s="17" t="str">
        <f>IF(COUNTIFS(Phrases!$A:$A,$A589,Phrases!$I:$I,"&lt;&gt;")&gt;0,"ok","à faire")</f>
        <v>à faire</v>
      </c>
      <c r="I589" s="17" t="str">
        <f>IF(COUNTIF(Synonymes!$A:$A,$A589)&gt;0,"ok","")</f>
        <v/>
      </c>
      <c r="J589" s="17">
        <f t="shared" si="9"/>
        <v>1</v>
      </c>
    </row>
    <row r="590" spans="1:10" x14ac:dyDescent="0.3">
      <c r="A590" s="17" t="s">
        <v>3177</v>
      </c>
      <c r="B590" s="17" t="str">
        <f>IFERROR(INDEX(Mots!$B:$B,MATCH($A590,Mots!$A:$A,0)),"introuvable")</f>
        <v>l'éponge</v>
      </c>
      <c r="C590" s="17" t="str">
        <f>IFERROR(INDEX(Mots!$N:$N,MATCH($A590,Mots!$A:$A,0)),"")</f>
        <v>chose</v>
      </c>
      <c r="D590" s="17">
        <f>IFERROR(COUNTA(INDEX(Mots!$E:$E,MATCH($A590,Mots!$A:$A,0)):INDEX(Mots!$K:$K,MATCH($A590,Mots!$A:$A,0))),0)</f>
        <v>1</v>
      </c>
      <c r="E590" s="17" t="str">
        <f>IF(COUNTIF(Classement!$A:$A,$A590)&gt;0,"ok","à faire")</f>
        <v>ok</v>
      </c>
      <c r="F590" s="17" t="str">
        <f>IF(COUNTIF(Tags!$A:$A,$A590)&gt;0,"ok","à faire")</f>
        <v>ok</v>
      </c>
      <c r="G590" s="17" t="str">
        <f>IF(COUNTIF(Phrases!$A:$A,$A590)&gt;0,"ok","à faire")</f>
        <v>ok</v>
      </c>
      <c r="H590" s="17" t="str">
        <f>IF(COUNTIFS(Phrases!$A:$A,$A590,Phrases!$I:$I,"&lt;&gt;")&gt;0,"ok","à faire")</f>
        <v>ok</v>
      </c>
      <c r="I590" s="17" t="str">
        <f>IF(COUNTIF(Synonymes!$A:$A,$A590)&gt;0,"ok","")</f>
        <v/>
      </c>
      <c r="J590" s="17">
        <f t="shared" si="9"/>
        <v>0</v>
      </c>
    </row>
    <row r="591" spans="1:10" x14ac:dyDescent="0.3">
      <c r="A591" s="17" t="s">
        <v>3181</v>
      </c>
      <c r="B591" s="17" t="str">
        <f>IFERROR(INDEX(Mots!$B:$B,MATCH($A591,Mots!$A:$A,0)),"introuvable")</f>
        <v>la chambre</v>
      </c>
      <c r="C591" s="17" t="str">
        <f>IFERROR(INDEX(Mots!$N:$N,MATCH($A591,Mots!$A:$A,0)),"")</f>
        <v>chose</v>
      </c>
      <c r="D591" s="17">
        <f>IFERROR(COUNTA(INDEX(Mots!$E:$E,MATCH($A591,Mots!$A:$A,0)):INDEX(Mots!$K:$K,MATCH($A591,Mots!$A:$A,0))),0)</f>
        <v>1</v>
      </c>
      <c r="E591" s="17" t="str">
        <f>IF(COUNTIF(Classement!$A:$A,$A591)&gt;0,"ok","à faire")</f>
        <v>ok</v>
      </c>
      <c r="F591" s="17" t="str">
        <f>IF(COUNTIF(Tags!$A:$A,$A591)&gt;0,"ok","à faire")</f>
        <v>ok</v>
      </c>
      <c r="G591" s="17" t="str">
        <f>IF(COUNTIF(Phrases!$A:$A,$A591)&gt;0,"ok","à faire")</f>
        <v>ok</v>
      </c>
      <c r="H591" s="17" t="str">
        <f>IF(COUNTIFS(Phrases!$A:$A,$A591,Phrases!$I:$I,"&lt;&gt;")&gt;0,"ok","à faire")</f>
        <v>à faire</v>
      </c>
      <c r="I591" s="17" t="str">
        <f>IF(COUNTIF(Synonymes!$A:$A,$A591)&gt;0,"ok","")</f>
        <v/>
      </c>
      <c r="J591" s="17">
        <f t="shared" si="9"/>
        <v>1</v>
      </c>
    </row>
    <row r="592" spans="1:10" x14ac:dyDescent="0.3">
      <c r="A592" s="17" t="s">
        <v>3185</v>
      </c>
      <c r="B592" s="17" t="str">
        <f>IFERROR(INDEX(Mots!$B:$B,MATCH($A592,Mots!$A:$A,0)),"introuvable")</f>
        <v>le lit</v>
      </c>
      <c r="C592" s="17" t="str">
        <f>IFERROR(INDEX(Mots!$N:$N,MATCH($A592,Mots!$A:$A,0)),"")</f>
        <v>chose</v>
      </c>
      <c r="D592" s="17">
        <f>IFERROR(COUNTA(INDEX(Mots!$E:$E,MATCH($A592,Mots!$A:$A,0)):INDEX(Mots!$K:$K,MATCH($A592,Mots!$A:$A,0))),0)</f>
        <v>1</v>
      </c>
      <c r="E592" s="17" t="str">
        <f>IF(COUNTIF(Classement!$A:$A,$A592)&gt;0,"ok","à faire")</f>
        <v>ok</v>
      </c>
      <c r="F592" s="17" t="str">
        <f>IF(COUNTIF(Tags!$A:$A,$A592)&gt;0,"ok","à faire")</f>
        <v>ok</v>
      </c>
      <c r="G592" s="17" t="str">
        <f>IF(COUNTIF(Phrases!$A:$A,$A592)&gt;0,"ok","à faire")</f>
        <v>ok</v>
      </c>
      <c r="H592" s="17" t="str">
        <f>IF(COUNTIFS(Phrases!$A:$A,$A592,Phrases!$I:$I,"&lt;&gt;")&gt;0,"ok","à faire")</f>
        <v>à faire</v>
      </c>
      <c r="I592" s="17" t="str">
        <f>IF(COUNTIF(Synonymes!$A:$A,$A592)&gt;0,"ok","")</f>
        <v/>
      </c>
      <c r="J592" s="17">
        <f t="shared" si="9"/>
        <v>1</v>
      </c>
    </row>
    <row r="593" spans="1:10" x14ac:dyDescent="0.3">
      <c r="A593" s="17" t="s">
        <v>3188</v>
      </c>
      <c r="B593" s="17" t="str">
        <f>IFERROR(INDEX(Mots!$B:$B,MATCH($A593,Mots!$A:$A,0)),"introuvable")</f>
        <v>le matelas</v>
      </c>
      <c r="C593" s="17" t="str">
        <f>IFERROR(INDEX(Mots!$N:$N,MATCH($A593,Mots!$A:$A,0)),"")</f>
        <v>chose</v>
      </c>
      <c r="D593" s="17">
        <f>IFERROR(COUNTA(INDEX(Mots!$E:$E,MATCH($A593,Mots!$A:$A,0)):INDEX(Mots!$K:$K,MATCH($A593,Mots!$A:$A,0))),0)</f>
        <v>1</v>
      </c>
      <c r="E593" s="17" t="str">
        <f>IF(COUNTIF(Classement!$A:$A,$A593)&gt;0,"ok","à faire")</f>
        <v>ok</v>
      </c>
      <c r="F593" s="17" t="str">
        <f>IF(COUNTIF(Tags!$A:$A,$A593)&gt;0,"ok","à faire")</f>
        <v>ok</v>
      </c>
      <c r="G593" s="17" t="str">
        <f>IF(COUNTIF(Phrases!$A:$A,$A593)&gt;0,"ok","à faire")</f>
        <v>ok</v>
      </c>
      <c r="H593" s="17" t="str">
        <f>IF(COUNTIFS(Phrases!$A:$A,$A593,Phrases!$I:$I,"&lt;&gt;")&gt;0,"ok","à faire")</f>
        <v>à faire</v>
      </c>
      <c r="I593" s="17" t="str">
        <f>IF(COUNTIF(Synonymes!$A:$A,$A593)&gt;0,"ok","")</f>
        <v/>
      </c>
      <c r="J593" s="17">
        <f t="shared" si="9"/>
        <v>1</v>
      </c>
    </row>
    <row r="594" spans="1:10" x14ac:dyDescent="0.3">
      <c r="A594" s="17" t="s">
        <v>3193</v>
      </c>
      <c r="B594" s="17" t="str">
        <f>IFERROR(INDEX(Mots!$B:$B,MATCH($A594,Mots!$A:$A,0)),"introuvable")</f>
        <v>l'oreiller</v>
      </c>
      <c r="C594" s="17" t="str">
        <f>IFERROR(INDEX(Mots!$N:$N,MATCH($A594,Mots!$A:$A,0)),"")</f>
        <v>chose</v>
      </c>
      <c r="D594" s="17">
        <f>IFERROR(COUNTA(INDEX(Mots!$E:$E,MATCH($A594,Mots!$A:$A,0)):INDEX(Mots!$K:$K,MATCH($A594,Mots!$A:$A,0))),0)</f>
        <v>1</v>
      </c>
      <c r="E594" s="17" t="str">
        <f>IF(COUNTIF(Classement!$A:$A,$A594)&gt;0,"ok","à faire")</f>
        <v>ok</v>
      </c>
      <c r="F594" s="17" t="str">
        <f>IF(COUNTIF(Tags!$A:$A,$A594)&gt;0,"ok","à faire")</f>
        <v>ok</v>
      </c>
      <c r="G594" s="17" t="str">
        <f>IF(COUNTIF(Phrases!$A:$A,$A594)&gt;0,"ok","à faire")</f>
        <v>ok</v>
      </c>
      <c r="H594" s="17" t="str">
        <f>IF(COUNTIFS(Phrases!$A:$A,$A594,Phrases!$I:$I,"&lt;&gt;")&gt;0,"ok","à faire")</f>
        <v>à faire</v>
      </c>
      <c r="I594" s="17" t="str">
        <f>IF(COUNTIF(Synonymes!$A:$A,$A594)&gt;0,"ok","")</f>
        <v>ok</v>
      </c>
      <c r="J594" s="17">
        <f t="shared" si="9"/>
        <v>1</v>
      </c>
    </row>
    <row r="595" spans="1:10" x14ac:dyDescent="0.3">
      <c r="A595" s="17" t="s">
        <v>3197</v>
      </c>
      <c r="B595" s="17" t="str">
        <f>IFERROR(INDEX(Mots!$B:$B,MATCH($A595,Mots!$A:$A,0)),"introuvable")</f>
        <v>le duvet</v>
      </c>
      <c r="C595" s="17" t="str">
        <f>IFERROR(INDEX(Mots!$N:$N,MATCH($A595,Mots!$A:$A,0)),"")</f>
        <v>chose</v>
      </c>
      <c r="D595" s="17">
        <f>IFERROR(COUNTA(INDEX(Mots!$E:$E,MATCH($A595,Mots!$A:$A,0)):INDEX(Mots!$K:$K,MATCH($A595,Mots!$A:$A,0))),0)</f>
        <v>1</v>
      </c>
      <c r="E595" s="17" t="str">
        <f>IF(COUNTIF(Classement!$A:$A,$A595)&gt;0,"ok","à faire")</f>
        <v>ok</v>
      </c>
      <c r="F595" s="17" t="str">
        <f>IF(COUNTIF(Tags!$A:$A,$A595)&gt;0,"ok","à faire")</f>
        <v>ok</v>
      </c>
      <c r="G595" s="17" t="str">
        <f>IF(COUNTIF(Phrases!$A:$A,$A595)&gt;0,"ok","à faire")</f>
        <v>ok</v>
      </c>
      <c r="H595" s="17" t="str">
        <f>IF(COUNTIFS(Phrases!$A:$A,$A595,Phrases!$I:$I,"&lt;&gt;")&gt;0,"ok","à faire")</f>
        <v>à faire</v>
      </c>
      <c r="I595" s="17" t="str">
        <f>IF(COUNTIF(Synonymes!$A:$A,$A595)&gt;0,"ok","")</f>
        <v/>
      </c>
      <c r="J595" s="17">
        <f t="shared" si="9"/>
        <v>1</v>
      </c>
    </row>
    <row r="596" spans="1:10" x14ac:dyDescent="0.3">
      <c r="A596" s="17" t="s">
        <v>3200</v>
      </c>
      <c r="B596" s="17" t="str">
        <f>IFERROR(INDEX(Mots!$B:$B,MATCH($A596,Mots!$A:$A,0)),"introuvable")</f>
        <v>le réveil</v>
      </c>
      <c r="C596" s="17" t="str">
        <f>IFERROR(INDEX(Mots!$N:$N,MATCH($A596,Mots!$A:$A,0)),"")</f>
        <v>chose</v>
      </c>
      <c r="D596" s="17">
        <f>IFERROR(COUNTA(INDEX(Mots!$E:$E,MATCH($A596,Mots!$A:$A,0)):INDEX(Mots!$K:$K,MATCH($A596,Mots!$A:$A,0))),0)</f>
        <v>1</v>
      </c>
      <c r="E596" s="17" t="str">
        <f>IF(COUNTIF(Classement!$A:$A,$A596)&gt;0,"ok","à faire")</f>
        <v>ok</v>
      </c>
      <c r="F596" s="17" t="str">
        <f>IF(COUNTIF(Tags!$A:$A,$A596)&gt;0,"ok","à faire")</f>
        <v>ok</v>
      </c>
      <c r="G596" s="17" t="str">
        <f>IF(COUNTIF(Phrases!$A:$A,$A596)&gt;0,"ok","à faire")</f>
        <v>ok</v>
      </c>
      <c r="H596" s="17" t="str">
        <f>IF(COUNTIFS(Phrases!$A:$A,$A596,Phrases!$I:$I,"&lt;&gt;")&gt;0,"ok","à faire")</f>
        <v>à faire</v>
      </c>
      <c r="I596" s="17" t="str">
        <f>IF(COUNTIF(Synonymes!$A:$A,$A596)&gt;0,"ok","")</f>
        <v/>
      </c>
      <c r="J596" s="17">
        <f t="shared" si="9"/>
        <v>1</v>
      </c>
    </row>
    <row r="597" spans="1:10" x14ac:dyDescent="0.3">
      <c r="A597" s="17" t="s">
        <v>3205</v>
      </c>
      <c r="B597" s="17" t="str">
        <f>IFERROR(INDEX(Mots!$B:$B,MATCH($A597,Mots!$A:$A,0)),"introuvable")</f>
        <v>l'armoire</v>
      </c>
      <c r="C597" s="17" t="str">
        <f>IFERROR(INDEX(Mots!$N:$N,MATCH($A597,Mots!$A:$A,0)),"")</f>
        <v>chose</v>
      </c>
      <c r="D597" s="17">
        <f>IFERROR(COUNTA(INDEX(Mots!$E:$E,MATCH($A597,Mots!$A:$A,0)):INDEX(Mots!$K:$K,MATCH($A597,Mots!$A:$A,0))),0)</f>
        <v>1</v>
      </c>
      <c r="E597" s="17" t="str">
        <f>IF(COUNTIF(Classement!$A:$A,$A597)&gt;0,"ok","à faire")</f>
        <v>ok</v>
      </c>
      <c r="F597" s="17" t="str">
        <f>IF(COUNTIF(Tags!$A:$A,$A597)&gt;0,"ok","à faire")</f>
        <v>ok</v>
      </c>
      <c r="G597" s="17" t="str">
        <f>IF(COUNTIF(Phrases!$A:$A,$A597)&gt;0,"ok","à faire")</f>
        <v>ok</v>
      </c>
      <c r="H597" s="17" t="str">
        <f>IF(COUNTIFS(Phrases!$A:$A,$A597,Phrases!$I:$I,"&lt;&gt;")&gt;0,"ok","à faire")</f>
        <v>à faire</v>
      </c>
      <c r="I597" s="17" t="str">
        <f>IF(COUNTIF(Synonymes!$A:$A,$A597)&gt;0,"ok","")</f>
        <v/>
      </c>
      <c r="J597" s="17">
        <f t="shared" si="9"/>
        <v>1</v>
      </c>
    </row>
    <row r="598" spans="1:10" x14ac:dyDescent="0.3">
      <c r="A598" s="17" t="s">
        <v>3208</v>
      </c>
      <c r="B598" s="17" t="str">
        <f>IFERROR(INDEX(Mots!$B:$B,MATCH($A598,Mots!$A:$A,0)),"introuvable")</f>
        <v>la corbeille à linge</v>
      </c>
      <c r="C598" s="17" t="str">
        <f>IFERROR(INDEX(Mots!$N:$N,MATCH($A598,Mots!$A:$A,0)),"")</f>
        <v>chose</v>
      </c>
      <c r="D598" s="17">
        <f>IFERROR(COUNTA(INDEX(Mots!$E:$E,MATCH($A598,Mots!$A:$A,0)):INDEX(Mots!$K:$K,MATCH($A598,Mots!$A:$A,0))),0)</f>
        <v>1</v>
      </c>
      <c r="E598" s="17" t="str">
        <f>IF(COUNTIF(Classement!$A:$A,$A598)&gt;0,"ok","à faire")</f>
        <v>ok</v>
      </c>
      <c r="F598" s="17" t="str">
        <f>IF(COUNTIF(Tags!$A:$A,$A598)&gt;0,"ok","à faire")</f>
        <v>ok</v>
      </c>
      <c r="G598" s="17" t="str">
        <f>IF(COUNTIF(Phrases!$A:$A,$A598)&gt;0,"ok","à faire")</f>
        <v>ok</v>
      </c>
      <c r="H598" s="17" t="str">
        <f>IF(COUNTIFS(Phrases!$A:$A,$A598,Phrases!$I:$I,"&lt;&gt;")&gt;0,"ok","à faire")</f>
        <v>à faire</v>
      </c>
      <c r="I598" s="17" t="str">
        <f>IF(COUNTIF(Synonymes!$A:$A,$A598)&gt;0,"ok","")</f>
        <v>ok</v>
      </c>
      <c r="J598" s="17">
        <f t="shared" si="9"/>
        <v>1</v>
      </c>
    </row>
    <row r="599" spans="1:10" x14ac:dyDescent="0.3">
      <c r="A599" s="17" t="s">
        <v>3211</v>
      </c>
      <c r="B599" s="17" t="str">
        <f>IFERROR(INDEX(Mots!$B:$B,MATCH($A599,Mots!$A:$A,0)),"introuvable")</f>
        <v>le panier à linge</v>
      </c>
      <c r="C599" s="17" t="str">
        <f>IFERROR(INDEX(Mots!$N:$N,MATCH($A599,Mots!$A:$A,0)),"")</f>
        <v>chose</v>
      </c>
      <c r="D599" s="17">
        <f>IFERROR(COUNTA(INDEX(Mots!$E:$E,MATCH($A599,Mots!$A:$A,0)):INDEX(Mots!$K:$K,MATCH($A599,Mots!$A:$A,0))),0)</f>
        <v>1</v>
      </c>
      <c r="E599" s="17" t="str">
        <f>IF(COUNTIF(Classement!$A:$A,$A599)&gt;0,"ok","à faire")</f>
        <v>ok</v>
      </c>
      <c r="F599" s="17" t="str">
        <f>IF(COUNTIF(Tags!$A:$A,$A599)&gt;0,"ok","à faire")</f>
        <v>ok</v>
      </c>
      <c r="G599" s="17" t="str">
        <f>IF(COUNTIF(Phrases!$A:$A,$A599)&gt;0,"ok","à faire")</f>
        <v>ok</v>
      </c>
      <c r="H599" s="17" t="str">
        <f>IF(COUNTIFS(Phrases!$A:$A,$A599,Phrases!$I:$I,"&lt;&gt;")&gt;0,"ok","à faire")</f>
        <v>à faire</v>
      </c>
      <c r="I599" s="17" t="str">
        <f>IF(COUNTIF(Synonymes!$A:$A,$A599)&gt;0,"ok","")</f>
        <v/>
      </c>
      <c r="J599" s="17">
        <f t="shared" si="9"/>
        <v>1</v>
      </c>
    </row>
    <row r="600" spans="1:10" x14ac:dyDescent="0.3">
      <c r="A600" s="17" t="s">
        <v>3215</v>
      </c>
      <c r="B600" s="17" t="str">
        <f>IFERROR(INDEX(Mots!$B:$B,MATCH($A600,Mots!$A:$A,0)),"introuvable")</f>
        <v>la lessive</v>
      </c>
      <c r="C600" s="17" t="str">
        <f>IFERROR(INDEX(Mots!$N:$N,MATCH($A600,Mots!$A:$A,0)),"")</f>
        <v>chose</v>
      </c>
      <c r="D600" s="17">
        <f>IFERROR(COUNTA(INDEX(Mots!$E:$E,MATCH($A600,Mots!$A:$A,0)):INDEX(Mots!$K:$K,MATCH($A600,Mots!$A:$A,0))),0)</f>
        <v>1</v>
      </c>
      <c r="E600" s="17" t="str">
        <f>IF(COUNTIF(Classement!$A:$A,$A600)&gt;0,"ok","à faire")</f>
        <v>ok</v>
      </c>
      <c r="F600" s="17" t="str">
        <f>IF(COUNTIF(Tags!$A:$A,$A600)&gt;0,"ok","à faire")</f>
        <v>ok</v>
      </c>
      <c r="G600" s="17" t="str">
        <f>IF(COUNTIF(Phrases!$A:$A,$A600)&gt;0,"ok","à faire")</f>
        <v>ok</v>
      </c>
      <c r="H600" s="17" t="str">
        <f>IF(COUNTIFS(Phrases!$A:$A,$A600,Phrases!$I:$I,"&lt;&gt;")&gt;0,"ok","à faire")</f>
        <v>ok</v>
      </c>
      <c r="I600" s="17" t="str">
        <f>IF(COUNTIF(Synonymes!$A:$A,$A600)&gt;0,"ok","")</f>
        <v/>
      </c>
      <c r="J600" s="17">
        <f t="shared" si="9"/>
        <v>0</v>
      </c>
    </row>
    <row r="601" spans="1:10" x14ac:dyDescent="0.3">
      <c r="A601" s="17" t="s">
        <v>3219</v>
      </c>
      <c r="B601" s="17" t="str">
        <f>IFERROR(INDEX(Mots!$B:$B,MATCH($A601,Mots!$A:$A,0)),"introuvable")</f>
        <v>le linge</v>
      </c>
      <c r="C601" s="17" t="str">
        <f>IFERROR(INDEX(Mots!$N:$N,MATCH($A601,Mots!$A:$A,0)),"")</f>
        <v>chose</v>
      </c>
      <c r="D601" s="17">
        <f>IFERROR(COUNTA(INDEX(Mots!$E:$E,MATCH($A601,Mots!$A:$A,0)):INDEX(Mots!$K:$K,MATCH($A601,Mots!$A:$A,0))),0)</f>
        <v>1</v>
      </c>
      <c r="E601" s="17" t="str">
        <f>IF(COUNTIF(Classement!$A:$A,$A601)&gt;0,"ok","à faire")</f>
        <v>ok</v>
      </c>
      <c r="F601" s="17" t="str">
        <f>IF(COUNTIF(Tags!$A:$A,$A601)&gt;0,"ok","à faire")</f>
        <v>ok</v>
      </c>
      <c r="G601" s="17" t="str">
        <f>IF(COUNTIF(Phrases!$A:$A,$A601)&gt;0,"ok","à faire")</f>
        <v>ok</v>
      </c>
      <c r="H601" s="17" t="str">
        <f>IF(COUNTIFS(Phrases!$A:$A,$A601,Phrases!$I:$I,"&lt;&gt;")&gt;0,"ok","à faire")</f>
        <v>ok</v>
      </c>
      <c r="I601" s="17" t="str">
        <f>IF(COUNTIF(Synonymes!$A:$A,$A601)&gt;0,"ok","")</f>
        <v>ok</v>
      </c>
      <c r="J601" s="17">
        <f t="shared" si="9"/>
        <v>0</v>
      </c>
    </row>
    <row r="602" spans="1:10" x14ac:dyDescent="0.3">
      <c r="A602" s="17" t="s">
        <v>3223</v>
      </c>
      <c r="B602" s="17" t="str">
        <f>IFERROR(INDEX(Mots!$B:$B,MATCH($A602,Mots!$A:$A,0)),"introuvable")</f>
        <v>le bureau</v>
      </c>
      <c r="C602" s="17" t="str">
        <f>IFERROR(INDEX(Mots!$N:$N,MATCH($A602,Mots!$A:$A,0)),"")</f>
        <v>chose</v>
      </c>
      <c r="D602" s="17">
        <f>IFERROR(COUNTA(INDEX(Mots!$E:$E,MATCH($A602,Mots!$A:$A,0)):INDEX(Mots!$K:$K,MATCH($A602,Mots!$A:$A,0))),0)</f>
        <v>1</v>
      </c>
      <c r="E602" s="17" t="str">
        <f>IF(COUNTIF(Classement!$A:$A,$A602)&gt;0,"ok","à faire")</f>
        <v>ok</v>
      </c>
      <c r="F602" s="17" t="str">
        <f>IF(COUNTIF(Tags!$A:$A,$A602)&gt;0,"ok","à faire")</f>
        <v>ok</v>
      </c>
      <c r="G602" s="17" t="str">
        <f>IF(COUNTIF(Phrases!$A:$A,$A602)&gt;0,"ok","à faire")</f>
        <v>ok</v>
      </c>
      <c r="H602" s="17" t="str">
        <f>IF(COUNTIFS(Phrases!$A:$A,$A602,Phrases!$I:$I,"&lt;&gt;")&gt;0,"ok","à faire")</f>
        <v>à faire</v>
      </c>
      <c r="I602" s="17" t="str">
        <f>IF(COUNTIF(Synonymes!$A:$A,$A602)&gt;0,"ok","")</f>
        <v/>
      </c>
      <c r="J602" s="17">
        <f t="shared" si="9"/>
        <v>1</v>
      </c>
    </row>
    <row r="603" spans="1:10" x14ac:dyDescent="0.3">
      <c r="A603" s="17" t="s">
        <v>3226</v>
      </c>
      <c r="B603" s="17" t="str">
        <f>IFERROR(INDEX(Mots!$B:$B,MATCH($A603,Mots!$A:$A,0)),"introuvable")</f>
        <v>le classeur</v>
      </c>
      <c r="C603" s="17" t="str">
        <f>IFERROR(INDEX(Mots!$N:$N,MATCH($A603,Mots!$A:$A,0)),"")</f>
        <v>chose</v>
      </c>
      <c r="D603" s="17">
        <f>IFERROR(COUNTA(INDEX(Mots!$E:$E,MATCH($A603,Mots!$A:$A,0)):INDEX(Mots!$K:$K,MATCH($A603,Mots!$A:$A,0))),0)</f>
        <v>1</v>
      </c>
      <c r="E603" s="17" t="str">
        <f>IF(COUNTIF(Classement!$A:$A,$A603)&gt;0,"ok","à faire")</f>
        <v>ok</v>
      </c>
      <c r="F603" s="17" t="str">
        <f>IF(COUNTIF(Tags!$A:$A,$A603)&gt;0,"ok","à faire")</f>
        <v>ok</v>
      </c>
      <c r="G603" s="17" t="str">
        <f>IF(COUNTIF(Phrases!$A:$A,$A603)&gt;0,"ok","à faire")</f>
        <v>ok</v>
      </c>
      <c r="H603" s="17" t="str">
        <f>IF(COUNTIFS(Phrases!$A:$A,$A603,Phrases!$I:$I,"&lt;&gt;")&gt;0,"ok","à faire")</f>
        <v>à faire</v>
      </c>
      <c r="I603" s="17" t="str">
        <f>IF(COUNTIF(Synonymes!$A:$A,$A603)&gt;0,"ok","")</f>
        <v/>
      </c>
      <c r="J603" s="17">
        <f t="shared" si="9"/>
        <v>1</v>
      </c>
    </row>
    <row r="604" spans="1:10" x14ac:dyDescent="0.3">
      <c r="A604" s="17" t="s">
        <v>3229</v>
      </c>
      <c r="B604" s="17" t="str">
        <f>IFERROR(INDEX(Mots!$B:$B,MATCH($A604,Mots!$A:$A,0)),"introuvable")</f>
        <v>la calculatrice</v>
      </c>
      <c r="C604" s="17" t="str">
        <f>IFERROR(INDEX(Mots!$N:$N,MATCH($A604,Mots!$A:$A,0)),"")</f>
        <v>chose</v>
      </c>
      <c r="D604" s="17">
        <f>IFERROR(COUNTA(INDEX(Mots!$E:$E,MATCH($A604,Mots!$A:$A,0)):INDEX(Mots!$K:$K,MATCH($A604,Mots!$A:$A,0))),0)</f>
        <v>1</v>
      </c>
      <c r="E604" s="17" t="str">
        <f>IF(COUNTIF(Classement!$A:$A,$A604)&gt;0,"ok","à faire")</f>
        <v>ok</v>
      </c>
      <c r="F604" s="17" t="str">
        <f>IF(COUNTIF(Tags!$A:$A,$A604)&gt;0,"ok","à faire")</f>
        <v>ok</v>
      </c>
      <c r="G604" s="17" t="str">
        <f>IF(COUNTIF(Phrases!$A:$A,$A604)&gt;0,"ok","à faire")</f>
        <v>ok</v>
      </c>
      <c r="H604" s="17" t="str">
        <f>IF(COUNTIFS(Phrases!$A:$A,$A604,Phrases!$I:$I,"&lt;&gt;")&gt;0,"ok","à faire")</f>
        <v>à faire</v>
      </c>
      <c r="I604" s="17" t="str">
        <f>IF(COUNTIF(Synonymes!$A:$A,$A604)&gt;0,"ok","")</f>
        <v/>
      </c>
      <c r="J604" s="17">
        <f t="shared" si="9"/>
        <v>1</v>
      </c>
    </row>
    <row r="605" spans="1:10" x14ac:dyDescent="0.3">
      <c r="A605" s="17" t="s">
        <v>3233</v>
      </c>
      <c r="B605" s="17" t="str">
        <f>IFERROR(INDEX(Mots!$B:$B,MATCH($A605,Mots!$A:$A,0)),"introuvable")</f>
        <v>l'ordinateur</v>
      </c>
      <c r="C605" s="17" t="str">
        <f>IFERROR(INDEX(Mots!$N:$N,MATCH($A605,Mots!$A:$A,0)),"")</f>
        <v>chose</v>
      </c>
      <c r="D605" s="17">
        <f>IFERROR(COUNTA(INDEX(Mots!$E:$E,MATCH($A605,Mots!$A:$A,0)):INDEX(Mots!$K:$K,MATCH($A605,Mots!$A:$A,0))),0)</f>
        <v>1</v>
      </c>
      <c r="E605" s="17" t="str">
        <f>IF(COUNTIF(Classement!$A:$A,$A605)&gt;0,"ok","à faire")</f>
        <v>ok</v>
      </c>
      <c r="F605" s="17" t="str">
        <f>IF(COUNTIF(Tags!$A:$A,$A605)&gt;0,"ok","à faire")</f>
        <v>ok</v>
      </c>
      <c r="G605" s="17" t="str">
        <f>IF(COUNTIF(Phrases!$A:$A,$A605)&gt;0,"ok","à faire")</f>
        <v>ok</v>
      </c>
      <c r="H605" s="17" t="str">
        <f>IF(COUNTIFS(Phrases!$A:$A,$A605,Phrases!$I:$I,"&lt;&gt;")&gt;0,"ok","à faire")</f>
        <v>à faire</v>
      </c>
      <c r="I605" s="17" t="str">
        <f>IF(COUNTIF(Synonymes!$A:$A,$A605)&gt;0,"ok","")</f>
        <v>ok</v>
      </c>
      <c r="J605" s="17">
        <f t="shared" si="9"/>
        <v>1</v>
      </c>
    </row>
    <row r="606" spans="1:10" x14ac:dyDescent="0.3">
      <c r="A606" s="17" t="s">
        <v>3238</v>
      </c>
      <c r="B606" s="17" t="str">
        <f>IFERROR(INDEX(Mots!$B:$B,MATCH($A606,Mots!$A:$A,0)),"introuvable")</f>
        <v>l'essence</v>
      </c>
      <c r="C606" s="17" t="str">
        <f>IFERROR(INDEX(Mots!$N:$N,MATCH($A606,Mots!$A:$A,0)),"")</f>
        <v>chose</v>
      </c>
      <c r="D606" s="17">
        <f>IFERROR(COUNTA(INDEX(Mots!$E:$E,MATCH($A606,Mots!$A:$A,0)):INDEX(Mots!$K:$K,MATCH($A606,Mots!$A:$A,0))),0)</f>
        <v>1</v>
      </c>
      <c r="E606" s="17" t="str">
        <f>IF(COUNTIF(Classement!$A:$A,$A606)&gt;0,"ok","à faire")</f>
        <v>ok</v>
      </c>
      <c r="F606" s="17" t="str">
        <f>IF(COUNTIF(Tags!$A:$A,$A606)&gt;0,"ok","à faire")</f>
        <v>ok</v>
      </c>
      <c r="G606" s="17" t="str">
        <f>IF(COUNTIF(Phrases!$A:$A,$A606)&gt;0,"ok","à faire")</f>
        <v>ok</v>
      </c>
      <c r="H606" s="17" t="str">
        <f>IF(COUNTIFS(Phrases!$A:$A,$A606,Phrases!$I:$I,"&lt;&gt;")&gt;0,"ok","à faire")</f>
        <v>à faire</v>
      </c>
      <c r="I606" s="17" t="str">
        <f>IF(COUNTIF(Synonymes!$A:$A,$A606)&gt;0,"ok","")</f>
        <v>ok</v>
      </c>
      <c r="J606" s="17">
        <f t="shared" si="9"/>
        <v>1</v>
      </c>
    </row>
    <row r="607" spans="1:10" x14ac:dyDescent="0.3">
      <c r="A607" s="17" t="s">
        <v>3242</v>
      </c>
      <c r="B607" s="17" t="str">
        <f>IFERROR(INDEX(Mots!$B:$B,MATCH($A607,Mots!$A:$A,0)),"introuvable")</f>
        <v>la jauge d'huile</v>
      </c>
      <c r="C607" s="17" t="str">
        <f>IFERROR(INDEX(Mots!$N:$N,MATCH($A607,Mots!$A:$A,0)),"")</f>
        <v>chose</v>
      </c>
      <c r="D607" s="17">
        <f>IFERROR(COUNTA(INDEX(Mots!$E:$E,MATCH($A607,Mots!$A:$A,0)):INDEX(Mots!$K:$K,MATCH($A607,Mots!$A:$A,0))),0)</f>
        <v>1</v>
      </c>
      <c r="E607" s="17" t="str">
        <f>IF(COUNTIF(Classement!$A:$A,$A607)&gt;0,"ok","à faire")</f>
        <v>ok</v>
      </c>
      <c r="F607" s="17" t="str">
        <f>IF(COUNTIF(Tags!$A:$A,$A607)&gt;0,"ok","à faire")</f>
        <v>ok</v>
      </c>
      <c r="G607" s="17" t="str">
        <f>IF(COUNTIF(Phrases!$A:$A,$A607)&gt;0,"ok","à faire")</f>
        <v>ok</v>
      </c>
      <c r="H607" s="17" t="str">
        <f>IF(COUNTIFS(Phrases!$A:$A,$A607,Phrases!$I:$I,"&lt;&gt;")&gt;0,"ok","à faire")</f>
        <v>à faire</v>
      </c>
      <c r="I607" s="17" t="str">
        <f>IF(COUNTIF(Synonymes!$A:$A,$A607)&gt;0,"ok","")</f>
        <v/>
      </c>
      <c r="J607" s="17">
        <f t="shared" si="9"/>
        <v>1</v>
      </c>
    </row>
    <row r="608" spans="1:10" x14ac:dyDescent="0.3">
      <c r="A608" s="17" t="s">
        <v>3245</v>
      </c>
      <c r="B608" s="17" t="str">
        <f>IFERROR(INDEX(Mots!$B:$B,MATCH($A608,Mots!$A:$A,0)),"introuvable")</f>
        <v>l'huile moteur</v>
      </c>
      <c r="C608" s="17" t="str">
        <f>IFERROR(INDEX(Mots!$N:$N,MATCH($A608,Mots!$A:$A,0)),"")</f>
        <v>chose</v>
      </c>
      <c r="D608" s="17">
        <f>IFERROR(COUNTA(INDEX(Mots!$E:$E,MATCH($A608,Mots!$A:$A,0)):INDEX(Mots!$K:$K,MATCH($A608,Mots!$A:$A,0))),0)</f>
        <v>1</v>
      </c>
      <c r="E608" s="17" t="str">
        <f>IF(COUNTIF(Classement!$A:$A,$A608)&gt;0,"ok","à faire")</f>
        <v>ok</v>
      </c>
      <c r="F608" s="17" t="str">
        <f>IF(COUNTIF(Tags!$A:$A,$A608)&gt;0,"ok","à faire")</f>
        <v>ok</v>
      </c>
      <c r="G608" s="17" t="str">
        <f>IF(COUNTIF(Phrases!$A:$A,$A608)&gt;0,"ok","à faire")</f>
        <v>ok</v>
      </c>
      <c r="H608" s="17" t="str">
        <f>IF(COUNTIFS(Phrases!$A:$A,$A608,Phrases!$I:$I,"&lt;&gt;")&gt;0,"ok","à faire")</f>
        <v>à faire</v>
      </c>
      <c r="I608" s="17" t="str">
        <f>IF(COUNTIF(Synonymes!$A:$A,$A608)&gt;0,"ok","")</f>
        <v/>
      </c>
      <c r="J608" s="17">
        <f t="shared" si="9"/>
        <v>1</v>
      </c>
    </row>
    <row r="609" spans="1:10" x14ac:dyDescent="0.3">
      <c r="A609" s="17" t="s">
        <v>3249</v>
      </c>
      <c r="B609" s="17" t="str">
        <f>IFERROR(INDEX(Mots!$B:$B,MATCH($A609,Mots!$A:$A,0)),"introuvable")</f>
        <v>le liquide lave-glace</v>
      </c>
      <c r="C609" s="17" t="str">
        <f>IFERROR(INDEX(Mots!$N:$N,MATCH($A609,Mots!$A:$A,0)),"")</f>
        <v>chose</v>
      </c>
      <c r="D609" s="17">
        <f>IFERROR(COUNTA(INDEX(Mots!$E:$E,MATCH($A609,Mots!$A:$A,0)):INDEX(Mots!$K:$K,MATCH($A609,Mots!$A:$A,0))),0)</f>
        <v>1</v>
      </c>
      <c r="E609" s="17" t="str">
        <f>IF(COUNTIF(Classement!$A:$A,$A609)&gt;0,"ok","à faire")</f>
        <v>ok</v>
      </c>
      <c r="F609" s="17" t="str">
        <f>IF(COUNTIF(Tags!$A:$A,$A609)&gt;0,"ok","à faire")</f>
        <v>ok</v>
      </c>
      <c r="G609" s="17" t="str">
        <f>IF(COUNTIF(Phrases!$A:$A,$A609)&gt;0,"ok","à faire")</f>
        <v>ok</v>
      </c>
      <c r="H609" s="17" t="str">
        <f>IF(COUNTIFS(Phrases!$A:$A,$A609,Phrases!$I:$I,"&lt;&gt;")&gt;0,"ok","à faire")</f>
        <v>à faire</v>
      </c>
      <c r="I609" s="17" t="str">
        <f>IF(COUNTIF(Synonymes!$A:$A,$A609)&gt;0,"ok","")</f>
        <v/>
      </c>
      <c r="J609" s="17">
        <f t="shared" si="9"/>
        <v>1</v>
      </c>
    </row>
    <row r="610" spans="1:10" x14ac:dyDescent="0.3">
      <c r="A610" s="17" t="s">
        <v>3254</v>
      </c>
      <c r="B610" s="17" t="str">
        <f>IFERROR(INDEX(Mots!$B:$B,MATCH($A610,Mots!$A:$A,0)),"introuvable")</f>
        <v>l'entonnoir</v>
      </c>
      <c r="C610" s="17" t="str">
        <f>IFERROR(INDEX(Mots!$N:$N,MATCH($A610,Mots!$A:$A,0)),"")</f>
        <v>chose</v>
      </c>
      <c r="D610" s="17">
        <f>IFERROR(COUNTA(INDEX(Mots!$E:$E,MATCH($A610,Mots!$A:$A,0)):INDEX(Mots!$K:$K,MATCH($A610,Mots!$A:$A,0))),0)</f>
        <v>1</v>
      </c>
      <c r="E610" s="17" t="str">
        <f>IF(COUNTIF(Classement!$A:$A,$A610)&gt;0,"ok","à faire")</f>
        <v>ok</v>
      </c>
      <c r="F610" s="17" t="str">
        <f>IF(COUNTIF(Tags!$A:$A,$A610)&gt;0,"ok","à faire")</f>
        <v>ok</v>
      </c>
      <c r="G610" s="17" t="str">
        <f>IF(COUNTIF(Phrases!$A:$A,$A610)&gt;0,"ok","à faire")</f>
        <v>ok</v>
      </c>
      <c r="H610" s="17" t="str">
        <f>IF(COUNTIFS(Phrases!$A:$A,$A610,Phrases!$I:$I,"&lt;&gt;")&gt;0,"ok","à faire")</f>
        <v>à faire</v>
      </c>
      <c r="I610" s="17" t="str">
        <f>IF(COUNTIF(Synonymes!$A:$A,$A610)&gt;0,"ok","")</f>
        <v/>
      </c>
      <c r="J610" s="17">
        <f t="shared" si="9"/>
        <v>1</v>
      </c>
    </row>
    <row r="611" spans="1:10" x14ac:dyDescent="0.3">
      <c r="A611" s="17" t="s">
        <v>3258</v>
      </c>
      <c r="B611" s="17" t="str">
        <f>IFERROR(INDEX(Mots!$B:$B,MATCH($A611,Mots!$A:$A,0)),"introuvable")</f>
        <v>la paire de slip</v>
      </c>
      <c r="C611" s="17" t="str">
        <f>IFERROR(INDEX(Mots!$N:$N,MATCH($A611,Mots!$A:$A,0)),"")</f>
        <v>chose</v>
      </c>
      <c r="D611" s="17">
        <f>IFERROR(COUNTA(INDEX(Mots!$E:$E,MATCH($A611,Mots!$A:$A,0)):INDEX(Mots!$K:$K,MATCH($A611,Mots!$A:$A,0))),0)</f>
        <v>1</v>
      </c>
      <c r="E611" s="17" t="str">
        <f>IF(COUNTIF(Classement!$A:$A,$A611)&gt;0,"ok","à faire")</f>
        <v>ok</v>
      </c>
      <c r="F611" s="17" t="str">
        <f>IF(COUNTIF(Tags!$A:$A,$A611)&gt;0,"ok","à faire")</f>
        <v>ok</v>
      </c>
      <c r="G611" s="17" t="str">
        <f>IF(COUNTIF(Phrases!$A:$A,$A611)&gt;0,"ok","à faire")</f>
        <v>ok</v>
      </c>
      <c r="H611" s="17" t="str">
        <f>IF(COUNTIFS(Phrases!$A:$A,$A611,Phrases!$I:$I,"&lt;&gt;")&gt;0,"ok","à faire")</f>
        <v>à faire</v>
      </c>
      <c r="I611" s="17" t="str">
        <f>IF(COUNTIF(Synonymes!$A:$A,$A611)&gt;0,"ok","")</f>
        <v/>
      </c>
      <c r="J611" s="17">
        <f t="shared" si="9"/>
        <v>1</v>
      </c>
    </row>
    <row r="612" spans="1:10" x14ac:dyDescent="0.3">
      <c r="A612" s="17" t="s">
        <v>3262</v>
      </c>
      <c r="B612" s="17" t="str">
        <f>IFERROR(INDEX(Mots!$B:$B,MATCH($A612,Mots!$A:$A,0)),"introuvable")</f>
        <v>les bas</v>
      </c>
      <c r="C612" s="17" t="str">
        <f>IFERROR(INDEX(Mots!$N:$N,MATCH($A612,Mots!$A:$A,0)),"")</f>
        <v>chose</v>
      </c>
      <c r="D612" s="17">
        <f>IFERROR(COUNTA(INDEX(Mots!$E:$E,MATCH($A612,Mots!$A:$A,0)):INDEX(Mots!$K:$K,MATCH($A612,Mots!$A:$A,0))),0)</f>
        <v>1</v>
      </c>
      <c r="E612" s="17" t="str">
        <f>IF(COUNTIF(Classement!$A:$A,$A612)&gt;0,"ok","à faire")</f>
        <v>ok</v>
      </c>
      <c r="F612" s="17" t="str">
        <f>IF(COUNTIF(Tags!$A:$A,$A612)&gt;0,"ok","à faire")</f>
        <v>ok</v>
      </c>
      <c r="G612" s="17" t="str">
        <f>IF(COUNTIF(Phrases!$A:$A,$A612)&gt;0,"ok","à faire")</f>
        <v>ok</v>
      </c>
      <c r="H612" s="17" t="str">
        <f>IF(COUNTIFS(Phrases!$A:$A,$A612,Phrases!$I:$I,"&lt;&gt;")&gt;0,"ok","à faire")</f>
        <v>à faire</v>
      </c>
      <c r="I612" s="17" t="str">
        <f>IF(COUNTIF(Synonymes!$A:$A,$A612)&gt;0,"ok","")</f>
        <v>ok</v>
      </c>
      <c r="J612" s="17">
        <f t="shared" si="9"/>
        <v>1</v>
      </c>
    </row>
    <row r="613" spans="1:10" x14ac:dyDescent="0.3">
      <c r="A613" s="17" t="s">
        <v>3267</v>
      </c>
      <c r="B613" s="17" t="str">
        <f>IFERROR(INDEX(Mots!$B:$B,MATCH($A613,Mots!$A:$A,0)),"introuvable")</f>
        <v>le pantalon</v>
      </c>
      <c r="C613" s="17" t="str">
        <f>IFERROR(INDEX(Mots!$N:$N,MATCH($A613,Mots!$A:$A,0)),"")</f>
        <v>chose</v>
      </c>
      <c r="D613" s="17">
        <f>IFERROR(COUNTA(INDEX(Mots!$E:$E,MATCH($A613,Mots!$A:$A,0)):INDEX(Mots!$K:$K,MATCH($A613,Mots!$A:$A,0))),0)</f>
        <v>1</v>
      </c>
      <c r="E613" s="17" t="str">
        <f>IF(COUNTIF(Classement!$A:$A,$A613)&gt;0,"ok","à faire")</f>
        <v>ok</v>
      </c>
      <c r="F613" s="17" t="str">
        <f>IF(COUNTIF(Tags!$A:$A,$A613)&gt;0,"ok","à faire")</f>
        <v>ok</v>
      </c>
      <c r="G613" s="17" t="str">
        <f>IF(COUNTIF(Phrases!$A:$A,$A613)&gt;0,"ok","à faire")</f>
        <v>ok</v>
      </c>
      <c r="H613" s="17" t="str">
        <f>IF(COUNTIFS(Phrases!$A:$A,$A613,Phrases!$I:$I,"&lt;&gt;")&gt;0,"ok","à faire")</f>
        <v>à faire</v>
      </c>
      <c r="I613" s="17" t="str">
        <f>IF(COUNTIF(Synonymes!$A:$A,$A613)&gt;0,"ok","")</f>
        <v/>
      </c>
      <c r="J613" s="17">
        <f t="shared" si="9"/>
        <v>1</v>
      </c>
    </row>
    <row r="614" spans="1:10" x14ac:dyDescent="0.3">
      <c r="A614" s="17" t="s">
        <v>3272</v>
      </c>
      <c r="B614" s="17" t="str">
        <f>IFERROR(INDEX(Mots!$B:$B,MATCH($A614,Mots!$A:$A,0)),"introuvable")</f>
        <v>le jeans (pantalon)</v>
      </c>
      <c r="C614" s="17" t="str">
        <f>IFERROR(INDEX(Mots!$N:$N,MATCH($A614,Mots!$A:$A,0)),"")</f>
        <v>chose</v>
      </c>
      <c r="D614" s="17">
        <f>IFERROR(COUNTA(INDEX(Mots!$E:$E,MATCH($A614,Mots!$A:$A,0)):INDEX(Mots!$K:$K,MATCH($A614,Mots!$A:$A,0))),0)</f>
        <v>1</v>
      </c>
      <c r="E614" s="17" t="str">
        <f>IF(COUNTIF(Classement!$A:$A,$A614)&gt;0,"ok","à faire")</f>
        <v>ok</v>
      </c>
      <c r="F614" s="17" t="str">
        <f>IF(COUNTIF(Tags!$A:$A,$A614)&gt;0,"ok","à faire")</f>
        <v>ok</v>
      </c>
      <c r="G614" s="17" t="str">
        <f>IF(COUNTIF(Phrases!$A:$A,$A614)&gt;0,"ok","à faire")</f>
        <v>ok</v>
      </c>
      <c r="H614" s="17" t="str">
        <f>IF(COUNTIFS(Phrases!$A:$A,$A614,Phrases!$I:$I,"&lt;&gt;")&gt;0,"ok","à faire")</f>
        <v>à faire</v>
      </c>
      <c r="I614" s="17" t="str">
        <f>IF(COUNTIF(Synonymes!$A:$A,$A614)&gt;0,"ok","")</f>
        <v/>
      </c>
      <c r="J614" s="17">
        <f t="shared" si="9"/>
        <v>1</v>
      </c>
    </row>
    <row r="615" spans="1:10" x14ac:dyDescent="0.3">
      <c r="A615" s="17" t="s">
        <v>3275</v>
      </c>
      <c r="B615" s="17" t="str">
        <f>IFERROR(INDEX(Mots!$B:$B,MATCH($A615,Mots!$A:$A,0)),"introuvable")</f>
        <v>les cuissettes</v>
      </c>
      <c r="C615" s="17" t="str">
        <f>IFERROR(INDEX(Mots!$N:$N,MATCH($A615,Mots!$A:$A,0)),"")</f>
        <v>chose</v>
      </c>
      <c r="D615" s="17">
        <f>IFERROR(COUNTA(INDEX(Mots!$E:$E,MATCH($A615,Mots!$A:$A,0)):INDEX(Mots!$K:$K,MATCH($A615,Mots!$A:$A,0))),0)</f>
        <v>1</v>
      </c>
      <c r="E615" s="17" t="str">
        <f>IF(COUNTIF(Classement!$A:$A,$A615)&gt;0,"ok","à faire")</f>
        <v>ok</v>
      </c>
      <c r="F615" s="17" t="str">
        <f>IF(COUNTIF(Tags!$A:$A,$A615)&gt;0,"ok","à faire")</f>
        <v>ok</v>
      </c>
      <c r="G615" s="17" t="str">
        <f>IF(COUNTIF(Phrases!$A:$A,$A615)&gt;0,"ok","à faire")</f>
        <v>ok</v>
      </c>
      <c r="H615" s="17" t="str">
        <f>IF(COUNTIFS(Phrases!$A:$A,$A615,Phrases!$I:$I,"&lt;&gt;")&gt;0,"ok","à faire")</f>
        <v>à faire</v>
      </c>
      <c r="I615" s="17" t="str">
        <f>IF(COUNTIF(Synonymes!$A:$A,$A615)&gt;0,"ok","")</f>
        <v>ok</v>
      </c>
      <c r="J615" s="17">
        <f t="shared" si="9"/>
        <v>1</v>
      </c>
    </row>
    <row r="616" spans="1:10" x14ac:dyDescent="0.3">
      <c r="A616" s="17" t="s">
        <v>3280</v>
      </c>
      <c r="B616" s="17" t="str">
        <f>IFERROR(INDEX(Mots!$B:$B,MATCH($A616,Mots!$A:$A,0)),"introuvable")</f>
        <v>la jupe</v>
      </c>
      <c r="C616" s="17" t="str">
        <f>IFERROR(INDEX(Mots!$N:$N,MATCH($A616,Mots!$A:$A,0)),"")</f>
        <v>chose</v>
      </c>
      <c r="D616" s="17">
        <f>IFERROR(COUNTA(INDEX(Mots!$E:$E,MATCH($A616,Mots!$A:$A,0)):INDEX(Mots!$K:$K,MATCH($A616,Mots!$A:$A,0))),0)</f>
        <v>1</v>
      </c>
      <c r="E616" s="17" t="str">
        <f>IF(COUNTIF(Classement!$A:$A,$A616)&gt;0,"ok","à faire")</f>
        <v>ok</v>
      </c>
      <c r="F616" s="17" t="str">
        <f>IF(COUNTIF(Tags!$A:$A,$A616)&gt;0,"ok","à faire")</f>
        <v>ok</v>
      </c>
      <c r="G616" s="17" t="str">
        <f>IF(COUNTIF(Phrases!$A:$A,$A616)&gt;0,"ok","à faire")</f>
        <v>ok</v>
      </c>
      <c r="H616" s="17" t="str">
        <f>IF(COUNTIFS(Phrases!$A:$A,$A616,Phrases!$I:$I,"&lt;&gt;")&gt;0,"ok","à faire")</f>
        <v>ok</v>
      </c>
      <c r="I616" s="17" t="str">
        <f>IF(COUNTIF(Synonymes!$A:$A,$A616)&gt;0,"ok","")</f>
        <v/>
      </c>
      <c r="J616" s="17">
        <f t="shared" si="9"/>
        <v>0</v>
      </c>
    </row>
    <row r="617" spans="1:10" x14ac:dyDescent="0.3">
      <c r="A617" s="17" t="s">
        <v>3284</v>
      </c>
      <c r="B617" s="17" t="str">
        <f>IFERROR(INDEX(Mots!$B:$B,MATCH($A617,Mots!$A:$A,0)),"introuvable")</f>
        <v>le juste-au-corps</v>
      </c>
      <c r="C617" s="17" t="str">
        <f>IFERROR(INDEX(Mots!$N:$N,MATCH($A617,Mots!$A:$A,0)),"")</f>
        <v>chose</v>
      </c>
      <c r="D617" s="17">
        <f>IFERROR(COUNTA(INDEX(Mots!$E:$E,MATCH($A617,Mots!$A:$A,0)):INDEX(Mots!$K:$K,MATCH($A617,Mots!$A:$A,0))),0)</f>
        <v>1</v>
      </c>
      <c r="E617" s="17" t="str">
        <f>IF(COUNTIF(Classement!$A:$A,$A617)&gt;0,"ok","à faire")</f>
        <v>ok</v>
      </c>
      <c r="F617" s="17" t="str">
        <f>IF(COUNTIF(Tags!$A:$A,$A617)&gt;0,"ok","à faire")</f>
        <v>ok</v>
      </c>
      <c r="G617" s="17" t="str">
        <f>IF(COUNTIF(Phrases!$A:$A,$A617)&gt;0,"ok","à faire")</f>
        <v>ok</v>
      </c>
      <c r="H617" s="17" t="str">
        <f>IF(COUNTIFS(Phrases!$A:$A,$A617,Phrases!$I:$I,"&lt;&gt;")&gt;0,"ok","à faire")</f>
        <v>à faire</v>
      </c>
      <c r="I617" s="17" t="str">
        <f>IF(COUNTIF(Synonymes!$A:$A,$A617)&gt;0,"ok","")</f>
        <v/>
      </c>
      <c r="J617" s="17">
        <f t="shared" si="9"/>
        <v>1</v>
      </c>
    </row>
    <row r="618" spans="1:10" x14ac:dyDescent="0.3">
      <c r="A618" s="17" t="s">
        <v>3288</v>
      </c>
      <c r="B618" s="17" t="str">
        <f>IFERROR(INDEX(Mots!$B:$B,MATCH($A618,Mots!$A:$A,0)),"introuvable")</f>
        <v>le t-shirt</v>
      </c>
      <c r="C618" s="17" t="str">
        <f>IFERROR(INDEX(Mots!$N:$N,MATCH($A618,Mots!$A:$A,0)),"")</f>
        <v>chose</v>
      </c>
      <c r="D618" s="17">
        <f>IFERROR(COUNTA(INDEX(Mots!$E:$E,MATCH($A618,Mots!$A:$A,0)):INDEX(Mots!$K:$K,MATCH($A618,Mots!$A:$A,0))),0)</f>
        <v>1</v>
      </c>
      <c r="E618" s="17" t="str">
        <f>IF(COUNTIF(Classement!$A:$A,$A618)&gt;0,"ok","à faire")</f>
        <v>ok</v>
      </c>
      <c r="F618" s="17" t="str">
        <f>IF(COUNTIF(Tags!$A:$A,$A618)&gt;0,"ok","à faire")</f>
        <v>ok</v>
      </c>
      <c r="G618" s="17" t="str">
        <f>IF(COUNTIF(Phrases!$A:$A,$A618)&gt;0,"ok","à faire")</f>
        <v>ok</v>
      </c>
      <c r="H618" s="17" t="str">
        <f>IF(COUNTIFS(Phrases!$A:$A,$A618,Phrases!$I:$I,"&lt;&gt;")&gt;0,"ok","à faire")</f>
        <v>à faire</v>
      </c>
      <c r="I618" s="17" t="str">
        <f>IF(COUNTIF(Synonymes!$A:$A,$A618)&gt;0,"ok","")</f>
        <v/>
      </c>
      <c r="J618" s="17">
        <f t="shared" si="9"/>
        <v>1</v>
      </c>
    </row>
    <row r="619" spans="1:10" x14ac:dyDescent="0.3">
      <c r="A619" s="17" t="s">
        <v>3292</v>
      </c>
      <c r="B619" s="17" t="str">
        <f>IFERROR(INDEX(Mots!$B:$B,MATCH($A619,Mots!$A:$A,0)),"introuvable")</f>
        <v>la chemise</v>
      </c>
      <c r="C619" s="17" t="str">
        <f>IFERROR(INDEX(Mots!$N:$N,MATCH($A619,Mots!$A:$A,0)),"")</f>
        <v>chose</v>
      </c>
      <c r="D619" s="17">
        <f>IFERROR(COUNTA(INDEX(Mots!$E:$E,MATCH($A619,Mots!$A:$A,0)):INDEX(Mots!$K:$K,MATCH($A619,Mots!$A:$A,0))),0)</f>
        <v>5</v>
      </c>
      <c r="E619" s="17" t="str">
        <f>IF(COUNTIF(Classement!$A:$A,$A619)&gt;0,"ok","à faire")</f>
        <v>ok</v>
      </c>
      <c r="F619" s="17" t="str">
        <f>IF(COUNTIF(Tags!$A:$A,$A619)&gt;0,"ok","à faire")</f>
        <v>ok</v>
      </c>
      <c r="G619" s="17" t="str">
        <f>IF(COUNTIF(Phrases!$A:$A,$A619)&gt;0,"ok","à faire")</f>
        <v>ok</v>
      </c>
      <c r="H619" s="17" t="str">
        <f>IF(COUNTIFS(Phrases!$A:$A,$A619,Phrases!$I:$I,"&lt;&gt;")&gt;0,"ok","à faire")</f>
        <v>à faire</v>
      </c>
      <c r="I619" s="17" t="str">
        <f>IF(COUNTIF(Synonymes!$A:$A,$A619)&gt;0,"ok","")</f>
        <v/>
      </c>
      <c r="J619" s="17">
        <f t="shared" si="9"/>
        <v>1</v>
      </c>
    </row>
    <row r="620" spans="1:10" x14ac:dyDescent="0.3">
      <c r="A620" s="17" t="s">
        <v>3301</v>
      </c>
      <c r="B620" s="17" t="str">
        <f>IFERROR(INDEX(Mots!$B:$B,MATCH($A620,Mots!$A:$A,0)),"introuvable")</f>
        <v>le polo</v>
      </c>
      <c r="C620" s="17" t="str">
        <f>IFERROR(INDEX(Mots!$N:$N,MATCH($A620,Mots!$A:$A,0)),"")</f>
        <v>chose</v>
      </c>
      <c r="D620" s="17">
        <f>IFERROR(COUNTA(INDEX(Mots!$E:$E,MATCH($A620,Mots!$A:$A,0)):INDEX(Mots!$K:$K,MATCH($A620,Mots!$A:$A,0))),0)</f>
        <v>1</v>
      </c>
      <c r="E620" s="17" t="str">
        <f>IF(COUNTIF(Classement!$A:$A,$A620)&gt;0,"ok","à faire")</f>
        <v>ok</v>
      </c>
      <c r="F620" s="17" t="str">
        <f>IF(COUNTIF(Tags!$A:$A,$A620)&gt;0,"ok","à faire")</f>
        <v>ok</v>
      </c>
      <c r="G620" s="17" t="str">
        <f>IF(COUNTIF(Phrases!$A:$A,$A620)&gt;0,"ok","à faire")</f>
        <v>ok</v>
      </c>
      <c r="H620" s="17" t="str">
        <f>IF(COUNTIFS(Phrases!$A:$A,$A620,Phrases!$I:$I,"&lt;&gt;")&gt;0,"ok","à faire")</f>
        <v>à faire</v>
      </c>
      <c r="I620" s="17" t="str">
        <f>IF(COUNTIF(Synonymes!$A:$A,$A620)&gt;0,"ok","")</f>
        <v/>
      </c>
      <c r="J620" s="17">
        <f t="shared" si="9"/>
        <v>1</v>
      </c>
    </row>
    <row r="621" spans="1:10" x14ac:dyDescent="0.3">
      <c r="A621" s="17" t="s">
        <v>9460</v>
      </c>
      <c r="B621" s="17" t="str">
        <f>IFERROR(INDEX(Mots!$B:$B,MATCH($A621,Mots!$A:$A,0)),"introuvable")</f>
        <v>le pull ou pullover</v>
      </c>
      <c r="C621" s="17" t="str">
        <f>IFERROR(INDEX(Mots!$N:$N,MATCH($A621,Mots!$A:$A,0)),"")</f>
        <v>chose</v>
      </c>
      <c r="D621" s="17">
        <f>IFERROR(COUNTA(INDEX(Mots!$E:$E,MATCH($A621,Mots!$A:$A,0)):INDEX(Mots!$K:$K,MATCH($A621,Mots!$A:$A,0))),0)</f>
        <v>1</v>
      </c>
      <c r="E621" s="17" t="str">
        <f>IF(COUNTIF(Classement!$A:$A,$A621)&gt;0,"ok","à faire")</f>
        <v>ok</v>
      </c>
      <c r="F621" s="17" t="str">
        <f>IF(COUNTIF(Tags!$A:$A,$A621)&gt;0,"ok","à faire")</f>
        <v>ok</v>
      </c>
      <c r="G621" s="17" t="str">
        <f>IF(COUNTIF(Phrases!$A:$A,$A621)&gt;0,"ok","à faire")</f>
        <v>ok</v>
      </c>
      <c r="H621" s="17" t="str">
        <f>IF(COUNTIFS(Phrases!$A:$A,$A621,Phrases!$I:$I,"&lt;&gt;")&gt;0,"ok","à faire")</f>
        <v>à faire</v>
      </c>
      <c r="I621" s="17" t="str">
        <f>IF(COUNTIF(Synonymes!$A:$A,$A621)&gt;0,"ok","")</f>
        <v/>
      </c>
      <c r="J621" s="17">
        <f t="shared" si="9"/>
        <v>1</v>
      </c>
    </row>
    <row r="622" spans="1:10" x14ac:dyDescent="0.3">
      <c r="A622" s="17" t="s">
        <v>3309</v>
      </c>
      <c r="B622" s="17" t="str">
        <f>IFERROR(INDEX(Mots!$B:$B,MATCH($A622,Mots!$A:$A,0)),"introuvable")</f>
        <v>la veste</v>
      </c>
      <c r="C622" s="17" t="str">
        <f>IFERROR(INDEX(Mots!$N:$N,MATCH($A622,Mots!$A:$A,0)),"")</f>
        <v>chose</v>
      </c>
      <c r="D622" s="17">
        <f>IFERROR(COUNTA(INDEX(Mots!$E:$E,MATCH($A622,Mots!$A:$A,0)):INDEX(Mots!$K:$K,MATCH($A622,Mots!$A:$A,0))),0)</f>
        <v>1</v>
      </c>
      <c r="E622" s="17" t="str">
        <f>IF(COUNTIF(Classement!$A:$A,$A622)&gt;0,"ok","à faire")</f>
        <v>ok</v>
      </c>
      <c r="F622" s="17" t="str">
        <f>IF(COUNTIF(Tags!$A:$A,$A622)&gt;0,"ok","à faire")</f>
        <v>ok</v>
      </c>
      <c r="G622" s="17" t="str">
        <f>IF(COUNTIF(Phrases!$A:$A,$A622)&gt;0,"ok","à faire")</f>
        <v>ok</v>
      </c>
      <c r="H622" s="17" t="str">
        <f>IF(COUNTIFS(Phrases!$A:$A,$A622,Phrases!$I:$I,"&lt;&gt;")&gt;0,"ok","à faire")</f>
        <v>à faire</v>
      </c>
      <c r="I622" s="17" t="str">
        <f>IF(COUNTIF(Synonymes!$A:$A,$A622)&gt;0,"ok","")</f>
        <v/>
      </c>
      <c r="J622" s="17">
        <f t="shared" si="9"/>
        <v>1</v>
      </c>
    </row>
    <row r="623" spans="1:10" x14ac:dyDescent="0.3">
      <c r="A623" s="17" t="s">
        <v>3313</v>
      </c>
      <c r="B623" s="17" t="str">
        <f>IFERROR(INDEX(Mots!$B:$B,MATCH($A623,Mots!$A:$A,0)),"introuvable")</f>
        <v>le pain</v>
      </c>
      <c r="C623" s="17" t="str">
        <f>IFERROR(INDEX(Mots!$N:$N,MATCH($A623,Mots!$A:$A,0)),"")</f>
        <v>chose</v>
      </c>
      <c r="D623" s="17">
        <f>IFERROR(COUNTA(INDEX(Mots!$E:$E,MATCH($A623,Mots!$A:$A,0)):INDEX(Mots!$K:$K,MATCH($A623,Mots!$A:$A,0))),0)</f>
        <v>1</v>
      </c>
      <c r="E623" s="17" t="str">
        <f>IF(COUNTIF(Classement!$A:$A,$A623)&gt;0,"ok","à faire")</f>
        <v>ok</v>
      </c>
      <c r="F623" s="17" t="str">
        <f>IF(COUNTIF(Tags!$A:$A,$A623)&gt;0,"ok","à faire")</f>
        <v>ok</v>
      </c>
      <c r="G623" s="17" t="str">
        <f>IF(COUNTIF(Phrases!$A:$A,$A623)&gt;0,"ok","à faire")</f>
        <v>ok</v>
      </c>
      <c r="H623" s="17" t="str">
        <f>IF(COUNTIFS(Phrases!$A:$A,$A623,Phrases!$I:$I,"&lt;&gt;")&gt;0,"ok","à faire")</f>
        <v>à faire</v>
      </c>
      <c r="I623" s="17" t="str">
        <f>IF(COUNTIF(Synonymes!$A:$A,$A623)&gt;0,"ok","")</f>
        <v/>
      </c>
      <c r="J623" s="17">
        <f t="shared" si="9"/>
        <v>1</v>
      </c>
    </row>
    <row r="624" spans="1:10" x14ac:dyDescent="0.3">
      <c r="A624" s="17" t="s">
        <v>3317</v>
      </c>
      <c r="B624" s="17" t="str">
        <f>IFERROR(INDEX(Mots!$B:$B,MATCH($A624,Mots!$A:$A,0)),"introuvable")</f>
        <v>le gendarme</v>
      </c>
      <c r="C624" s="17" t="str">
        <f>IFERROR(INDEX(Mots!$N:$N,MATCH($A624,Mots!$A:$A,0)),"")</f>
        <v>chose</v>
      </c>
      <c r="D624" s="17">
        <f>IFERROR(COUNTA(INDEX(Mots!$E:$E,MATCH($A624,Mots!$A:$A,0)):INDEX(Mots!$K:$K,MATCH($A624,Mots!$A:$A,0))),0)</f>
        <v>1</v>
      </c>
      <c r="E624" s="17" t="str">
        <f>IF(COUNTIF(Classement!$A:$A,$A624)&gt;0,"ok","à faire")</f>
        <v>ok</v>
      </c>
      <c r="F624" s="17" t="str">
        <f>IF(COUNTIF(Tags!$A:$A,$A624)&gt;0,"ok","à faire")</f>
        <v>ok</v>
      </c>
      <c r="G624" s="17" t="str">
        <f>IF(COUNTIF(Phrases!$A:$A,$A624)&gt;0,"ok","à faire")</f>
        <v>ok</v>
      </c>
      <c r="H624" s="17" t="str">
        <f>IF(COUNTIFS(Phrases!$A:$A,$A624,Phrases!$I:$I,"&lt;&gt;")&gt;0,"ok","à faire")</f>
        <v>à faire</v>
      </c>
      <c r="I624" s="17" t="str">
        <f>IF(COUNTIF(Synonymes!$A:$A,$A624)&gt;0,"ok","")</f>
        <v/>
      </c>
      <c r="J624" s="17">
        <f t="shared" si="9"/>
        <v>1</v>
      </c>
    </row>
    <row r="625" spans="1:10" x14ac:dyDescent="0.3">
      <c r="A625" s="17" t="s">
        <v>3322</v>
      </c>
      <c r="B625" s="17" t="str">
        <f>IFERROR(INDEX(Mots!$B:$B,MATCH($A625,Mots!$A:$A,0)),"introuvable")</f>
        <v>la saucisse</v>
      </c>
      <c r="C625" s="17" t="str">
        <f>IFERROR(INDEX(Mots!$N:$N,MATCH($A625,Mots!$A:$A,0)),"")</f>
        <v>chose</v>
      </c>
      <c r="D625" s="17">
        <f>IFERROR(COUNTA(INDEX(Mots!$E:$E,MATCH($A625,Mots!$A:$A,0)):INDEX(Mots!$K:$K,MATCH($A625,Mots!$A:$A,0))),0)</f>
        <v>1</v>
      </c>
      <c r="E625" s="17" t="str">
        <f>IF(COUNTIF(Classement!$A:$A,$A625)&gt;0,"ok","à faire")</f>
        <v>ok</v>
      </c>
      <c r="F625" s="17" t="str">
        <f>IF(COUNTIF(Tags!$A:$A,$A625)&gt;0,"ok","à faire")</f>
        <v>ok</v>
      </c>
      <c r="G625" s="17" t="str">
        <f>IF(COUNTIF(Phrases!$A:$A,$A625)&gt;0,"ok","à faire")</f>
        <v>ok</v>
      </c>
      <c r="H625" s="17" t="str">
        <f>IF(COUNTIFS(Phrases!$A:$A,$A625,Phrases!$I:$I,"&lt;&gt;")&gt;0,"ok","à faire")</f>
        <v>à faire</v>
      </c>
      <c r="I625" s="17" t="str">
        <f>IF(COUNTIF(Synonymes!$A:$A,$A625)&gt;0,"ok","")</f>
        <v/>
      </c>
      <c r="J625" s="17">
        <f t="shared" si="9"/>
        <v>1</v>
      </c>
    </row>
    <row r="626" spans="1:10" x14ac:dyDescent="0.3">
      <c r="A626" s="17" t="s">
        <v>3326</v>
      </c>
      <c r="B626" s="17" t="str">
        <f>IFERROR(INDEX(Mots!$B:$B,MATCH($A626,Mots!$A:$A,0)),"introuvable")</f>
        <v>le café</v>
      </c>
      <c r="C626" s="17" t="str">
        <f>IFERROR(INDEX(Mots!$N:$N,MATCH($A626,Mots!$A:$A,0)),"")</f>
        <v>chose</v>
      </c>
      <c r="D626" s="17">
        <f>IFERROR(COUNTA(INDEX(Mots!$E:$E,MATCH($A626,Mots!$A:$A,0)):INDEX(Mots!$K:$K,MATCH($A626,Mots!$A:$A,0))),0)</f>
        <v>2</v>
      </c>
      <c r="E626" s="17" t="str">
        <f>IF(COUNTIF(Classement!$A:$A,$A626)&gt;0,"ok","à faire")</f>
        <v>ok</v>
      </c>
      <c r="F626" s="17" t="str">
        <f>IF(COUNTIF(Tags!$A:$A,$A626)&gt;0,"ok","à faire")</f>
        <v>ok</v>
      </c>
      <c r="G626" s="17" t="str">
        <f>IF(COUNTIF(Phrases!$A:$A,$A626)&gt;0,"ok","à faire")</f>
        <v>ok</v>
      </c>
      <c r="H626" s="17" t="str">
        <f>IF(COUNTIFS(Phrases!$A:$A,$A626,Phrases!$I:$I,"&lt;&gt;")&gt;0,"ok","à faire")</f>
        <v>à faire</v>
      </c>
      <c r="I626" s="17" t="str">
        <f>IF(COUNTIF(Synonymes!$A:$A,$A626)&gt;0,"ok","")</f>
        <v/>
      </c>
      <c r="J626" s="17">
        <f t="shared" si="9"/>
        <v>1</v>
      </c>
    </row>
    <row r="627" spans="1:10" x14ac:dyDescent="0.3">
      <c r="A627" s="17" t="s">
        <v>3332</v>
      </c>
      <c r="B627" s="17" t="str">
        <f>IFERROR(INDEX(Mots!$B:$B,MATCH($A627,Mots!$A:$A,0)),"introuvable")</f>
        <v>le fromage</v>
      </c>
      <c r="C627" s="17" t="str">
        <f>IFERROR(INDEX(Mots!$N:$N,MATCH($A627,Mots!$A:$A,0)),"")</f>
        <v>chose</v>
      </c>
      <c r="D627" s="17">
        <f>IFERROR(COUNTA(INDEX(Mots!$E:$E,MATCH($A627,Mots!$A:$A,0)):INDEX(Mots!$K:$K,MATCH($A627,Mots!$A:$A,0))),0)</f>
        <v>1</v>
      </c>
      <c r="E627" s="17" t="str">
        <f>IF(COUNTIF(Classement!$A:$A,$A627)&gt;0,"ok","à faire")</f>
        <v>ok</v>
      </c>
      <c r="F627" s="17" t="str">
        <f>IF(COUNTIF(Tags!$A:$A,$A627)&gt;0,"ok","à faire")</f>
        <v>ok</v>
      </c>
      <c r="G627" s="17" t="str">
        <f>IF(COUNTIF(Phrases!$A:$A,$A627)&gt;0,"ok","à faire")</f>
        <v>ok</v>
      </c>
      <c r="H627" s="17" t="str">
        <f>IF(COUNTIFS(Phrases!$A:$A,$A627,Phrases!$I:$I,"&lt;&gt;")&gt;0,"ok","à faire")</f>
        <v>à faire</v>
      </c>
      <c r="I627" s="17" t="str">
        <f>IF(COUNTIF(Synonymes!$A:$A,$A627)&gt;0,"ok","")</f>
        <v/>
      </c>
      <c r="J627" s="17">
        <f t="shared" si="9"/>
        <v>1</v>
      </c>
    </row>
    <row r="628" spans="1:10" x14ac:dyDescent="0.3">
      <c r="A628" s="17" t="s">
        <v>34</v>
      </c>
      <c r="B628" s="17" t="str">
        <f>IFERROR(INDEX(Mots!$B:$B,MATCH($A628,Mots!$A:$A,0)),"introuvable")</f>
        <v>la maison</v>
      </c>
      <c r="C628" s="17" t="str">
        <f>IFERROR(INDEX(Mots!$N:$N,MATCH($A628,Mots!$A:$A,0)),"")</f>
        <v>chose</v>
      </c>
      <c r="D628" s="17">
        <f>IFERROR(COUNTA(INDEX(Mots!$E:$E,MATCH($A628,Mots!$A:$A,0)):INDEX(Mots!$K:$K,MATCH($A628,Mots!$A:$A,0))),0)</f>
        <v>5</v>
      </c>
      <c r="E628" s="17" t="str">
        <f>IF(COUNTIF(Classement!$A:$A,$A628)&gt;0,"ok","à faire")</f>
        <v>ok</v>
      </c>
      <c r="F628" s="17" t="str">
        <f>IF(COUNTIF(Tags!$A:$A,$A628)&gt;0,"ok","à faire")</f>
        <v>ok</v>
      </c>
      <c r="G628" s="17" t="str">
        <f>IF(COUNTIF(Phrases!$A:$A,$A628)&gt;0,"ok","à faire")</f>
        <v>ok</v>
      </c>
      <c r="H628" s="17" t="str">
        <f>IF(COUNTIFS(Phrases!$A:$A,$A628,Phrases!$I:$I,"&lt;&gt;")&gt;0,"ok","à faire")</f>
        <v>à faire</v>
      </c>
      <c r="I628" s="17" t="str">
        <f>IF(COUNTIF(Synonymes!$A:$A,$A628)&gt;0,"ok","")</f>
        <v>ok</v>
      </c>
      <c r="J628" s="17">
        <f t="shared" si="9"/>
        <v>1</v>
      </c>
    </row>
    <row r="629" spans="1:10" x14ac:dyDescent="0.3">
      <c r="A629" s="17" t="s">
        <v>3344</v>
      </c>
      <c r="B629" s="17" t="str">
        <f>IFERROR(INDEX(Mots!$B:$B,MATCH($A629,Mots!$A:$A,0)),"introuvable")</f>
        <v>le chalet</v>
      </c>
      <c r="C629" s="17" t="str">
        <f>IFERROR(INDEX(Mots!$N:$N,MATCH($A629,Mots!$A:$A,0)),"")</f>
        <v>chose</v>
      </c>
      <c r="D629" s="17">
        <f>IFERROR(COUNTA(INDEX(Mots!$E:$E,MATCH($A629,Mots!$A:$A,0)):INDEX(Mots!$K:$K,MATCH($A629,Mots!$A:$A,0))),0)</f>
        <v>1</v>
      </c>
      <c r="E629" s="17" t="str">
        <f>IF(COUNTIF(Classement!$A:$A,$A629)&gt;0,"ok","à faire")</f>
        <v>ok</v>
      </c>
      <c r="F629" s="17" t="str">
        <f>IF(COUNTIF(Tags!$A:$A,$A629)&gt;0,"ok","à faire")</f>
        <v>ok</v>
      </c>
      <c r="G629" s="17" t="str">
        <f>IF(COUNTIF(Phrases!$A:$A,$A629)&gt;0,"ok","à faire")</f>
        <v>ok</v>
      </c>
      <c r="H629" s="17" t="str">
        <f>IF(COUNTIFS(Phrases!$A:$A,$A629,Phrases!$I:$I,"&lt;&gt;")&gt;0,"ok","à faire")</f>
        <v>à faire</v>
      </c>
      <c r="I629" s="17" t="str">
        <f>IF(COUNTIF(Synonymes!$A:$A,$A629)&gt;0,"ok","")</f>
        <v/>
      </c>
      <c r="J629" s="17">
        <f t="shared" si="9"/>
        <v>1</v>
      </c>
    </row>
    <row r="630" spans="1:10" x14ac:dyDescent="0.3">
      <c r="A630" s="17" t="s">
        <v>3347</v>
      </c>
      <c r="B630" s="17" t="str">
        <f>IFERROR(INDEX(Mots!$B:$B,MATCH($A630,Mots!$A:$A,0)),"introuvable")</f>
        <v>le garage</v>
      </c>
      <c r="C630" s="17" t="str">
        <f>IFERROR(INDEX(Mots!$N:$N,MATCH($A630,Mots!$A:$A,0)),"")</f>
        <v>chose</v>
      </c>
      <c r="D630" s="17">
        <f>IFERROR(COUNTA(INDEX(Mots!$E:$E,MATCH($A630,Mots!$A:$A,0)):INDEX(Mots!$K:$K,MATCH($A630,Mots!$A:$A,0))),0)</f>
        <v>1</v>
      </c>
      <c r="E630" s="17" t="str">
        <f>IF(COUNTIF(Classement!$A:$A,$A630)&gt;0,"ok","à faire")</f>
        <v>ok</v>
      </c>
      <c r="F630" s="17" t="str">
        <f>IF(COUNTIF(Tags!$A:$A,$A630)&gt;0,"ok","à faire")</f>
        <v>ok</v>
      </c>
      <c r="G630" s="17" t="str">
        <f>IF(COUNTIF(Phrases!$A:$A,$A630)&gt;0,"ok","à faire")</f>
        <v>ok</v>
      </c>
      <c r="H630" s="17" t="str">
        <f>IF(COUNTIFS(Phrases!$A:$A,$A630,Phrases!$I:$I,"&lt;&gt;")&gt;0,"ok","à faire")</f>
        <v>à faire</v>
      </c>
      <c r="I630" s="17" t="str">
        <f>IF(COUNTIF(Synonymes!$A:$A,$A630)&gt;0,"ok","")</f>
        <v/>
      </c>
      <c r="J630" s="17">
        <f t="shared" si="9"/>
        <v>1</v>
      </c>
    </row>
    <row r="631" spans="1:10" x14ac:dyDescent="0.3">
      <c r="A631" s="17" t="s">
        <v>3350</v>
      </c>
      <c r="B631" s="17" t="str">
        <f>IFERROR(INDEX(Mots!$B:$B,MATCH($A631,Mots!$A:$A,0)),"introuvable")</f>
        <v>la porte</v>
      </c>
      <c r="C631" s="17" t="str">
        <f>IFERROR(INDEX(Mots!$N:$N,MATCH($A631,Mots!$A:$A,0)),"")</f>
        <v>chose</v>
      </c>
      <c r="D631" s="17">
        <f>IFERROR(COUNTA(INDEX(Mots!$E:$E,MATCH($A631,Mots!$A:$A,0)):INDEX(Mots!$K:$K,MATCH($A631,Mots!$A:$A,0))),0)</f>
        <v>1</v>
      </c>
      <c r="E631" s="17" t="str">
        <f>IF(COUNTIF(Classement!$A:$A,$A631)&gt;0,"ok","à faire")</f>
        <v>ok</v>
      </c>
      <c r="F631" s="17" t="str">
        <f>IF(COUNTIF(Tags!$A:$A,$A631)&gt;0,"ok","à faire")</f>
        <v>ok</v>
      </c>
      <c r="G631" s="17" t="str">
        <f>IF(COUNTIF(Phrases!$A:$A,$A631)&gt;0,"ok","à faire")</f>
        <v>ok</v>
      </c>
      <c r="H631" s="17" t="str">
        <f>IF(COUNTIFS(Phrases!$A:$A,$A631,Phrases!$I:$I,"&lt;&gt;")&gt;0,"ok","à faire")</f>
        <v>à faire</v>
      </c>
      <c r="I631" s="17" t="str">
        <f>IF(COUNTIF(Synonymes!$A:$A,$A631)&gt;0,"ok","")</f>
        <v/>
      </c>
      <c r="J631" s="17">
        <f t="shared" si="9"/>
        <v>1</v>
      </c>
    </row>
    <row r="632" spans="1:10" x14ac:dyDescent="0.3">
      <c r="A632" s="17" t="s">
        <v>3354</v>
      </c>
      <c r="B632" s="17" t="str">
        <f>IFERROR(INDEX(Mots!$B:$B,MATCH($A632,Mots!$A:$A,0)),"introuvable")</f>
        <v>la fenêtre</v>
      </c>
      <c r="C632" s="17" t="str">
        <f>IFERROR(INDEX(Mots!$N:$N,MATCH($A632,Mots!$A:$A,0)),"")</f>
        <v>chose</v>
      </c>
      <c r="D632" s="17">
        <f>IFERROR(COUNTA(INDEX(Mots!$E:$E,MATCH($A632,Mots!$A:$A,0)):INDEX(Mots!$K:$K,MATCH($A632,Mots!$A:$A,0))),0)</f>
        <v>6</v>
      </c>
      <c r="E632" s="17" t="str">
        <f>IF(COUNTIF(Classement!$A:$A,$A632)&gt;0,"ok","à faire")</f>
        <v>ok</v>
      </c>
      <c r="F632" s="17" t="str">
        <f>IF(COUNTIF(Tags!$A:$A,$A632)&gt;0,"ok","à faire")</f>
        <v>ok</v>
      </c>
      <c r="G632" s="17" t="str">
        <f>IF(COUNTIF(Phrases!$A:$A,$A632)&gt;0,"ok","à faire")</f>
        <v>ok</v>
      </c>
      <c r="H632" s="17" t="str">
        <f>IF(COUNTIFS(Phrases!$A:$A,$A632,Phrases!$I:$I,"&lt;&gt;")&gt;0,"ok","à faire")</f>
        <v>à faire</v>
      </c>
      <c r="I632" s="17" t="str">
        <f>IF(COUNTIF(Synonymes!$A:$A,$A632)&gt;0,"ok","")</f>
        <v/>
      </c>
      <c r="J632" s="17">
        <f t="shared" si="9"/>
        <v>1</v>
      </c>
    </row>
    <row r="633" spans="1:10" x14ac:dyDescent="0.3">
      <c r="A633" s="17" t="s">
        <v>10088</v>
      </c>
      <c r="B633" s="17" t="str">
        <f>IFERROR(INDEX(Mots!$B:$B,MATCH($A633,Mots!$A:$A,0)),"introuvable")</f>
        <v>le store</v>
      </c>
      <c r="C633" s="17" t="str">
        <f>IFERROR(INDEX(Mots!$N:$N,MATCH($A633,Mots!$A:$A,0)),"")</f>
        <v>chose</v>
      </c>
      <c r="D633" s="17">
        <f>IFERROR(COUNTA(INDEX(Mots!$E:$E,MATCH($A633,Mots!$A:$A,0)):INDEX(Mots!$K:$K,MATCH($A633,Mots!$A:$A,0))),0)</f>
        <v>6</v>
      </c>
      <c r="E633" s="17" t="str">
        <f>IF(COUNTIF(Classement!$A:$A,$A633)&gt;0,"ok","à faire")</f>
        <v>ok</v>
      </c>
      <c r="F633" s="17" t="str">
        <f>IF(COUNTIF(Tags!$A:$A,$A633)&gt;0,"ok","à faire")</f>
        <v>ok</v>
      </c>
      <c r="G633" s="17" t="str">
        <f>IF(COUNTIF(Phrases!$A:$A,$A633)&gt;0,"ok","à faire")</f>
        <v>ok</v>
      </c>
      <c r="H633" s="17" t="str">
        <f>IF(COUNTIFS(Phrases!$A:$A,$A633,Phrases!$I:$I,"&lt;&gt;")&gt;0,"ok","à faire")</f>
        <v>ok</v>
      </c>
      <c r="I633" s="17" t="str">
        <f>IF(COUNTIF(Synonymes!$A:$A,$A633)&gt;0,"ok","")</f>
        <v/>
      </c>
      <c r="J633" s="17">
        <f t="shared" si="9"/>
        <v>0</v>
      </c>
    </row>
    <row r="634" spans="1:10" x14ac:dyDescent="0.3">
      <c r="A634" s="17" t="s">
        <v>3360</v>
      </c>
      <c r="B634" s="17" t="str">
        <f>IFERROR(INDEX(Mots!$B:$B,MATCH($A634,Mots!$A:$A,0)),"introuvable")</f>
        <v>les volets</v>
      </c>
      <c r="C634" s="17" t="str">
        <f>IFERROR(INDEX(Mots!$N:$N,MATCH($A634,Mots!$A:$A,0)),"")</f>
        <v>chose</v>
      </c>
      <c r="D634" s="17">
        <f>IFERROR(COUNTA(INDEX(Mots!$E:$E,MATCH($A634,Mots!$A:$A,0)):INDEX(Mots!$K:$K,MATCH($A634,Mots!$A:$A,0))),0)</f>
        <v>1</v>
      </c>
      <c r="E634" s="17" t="str">
        <f>IF(COUNTIF(Classement!$A:$A,$A634)&gt;0,"ok","à faire")</f>
        <v>ok</v>
      </c>
      <c r="F634" s="17" t="str">
        <f>IF(COUNTIF(Tags!$A:$A,$A634)&gt;0,"ok","à faire")</f>
        <v>ok</v>
      </c>
      <c r="G634" s="17" t="str">
        <f>IF(COUNTIF(Phrases!$A:$A,$A634)&gt;0,"ok","à faire")</f>
        <v>ok</v>
      </c>
      <c r="H634" s="17" t="str">
        <f>IF(COUNTIFS(Phrases!$A:$A,$A634,Phrases!$I:$I,"&lt;&gt;")&gt;0,"ok","à faire")</f>
        <v>ok</v>
      </c>
      <c r="I634" s="17" t="str">
        <f>IF(COUNTIF(Synonymes!$A:$A,$A634)&gt;0,"ok","")</f>
        <v/>
      </c>
      <c r="J634" s="17">
        <f t="shared" si="9"/>
        <v>0</v>
      </c>
    </row>
    <row r="635" spans="1:10" x14ac:dyDescent="0.3">
      <c r="A635" s="17" t="s">
        <v>3364</v>
      </c>
      <c r="B635" s="17" t="str">
        <f>IFERROR(INDEX(Mots!$B:$B,MATCH($A635,Mots!$A:$A,0)),"introuvable")</f>
        <v>l'escalier</v>
      </c>
      <c r="C635" s="17" t="str">
        <f>IFERROR(INDEX(Mots!$N:$N,MATCH($A635,Mots!$A:$A,0)),"")</f>
        <v>chose</v>
      </c>
      <c r="D635" s="17">
        <f>IFERROR(COUNTA(INDEX(Mots!$E:$E,MATCH($A635,Mots!$A:$A,0)):INDEX(Mots!$K:$K,MATCH($A635,Mots!$A:$A,0))),0)</f>
        <v>1</v>
      </c>
      <c r="E635" s="17" t="str">
        <f>IF(COUNTIF(Classement!$A:$A,$A635)&gt;0,"ok","à faire")</f>
        <v>ok</v>
      </c>
      <c r="F635" s="17" t="str">
        <f>IF(COUNTIF(Tags!$A:$A,$A635)&gt;0,"ok","à faire")</f>
        <v>ok</v>
      </c>
      <c r="G635" s="17" t="str">
        <f>IF(COUNTIF(Phrases!$A:$A,$A635)&gt;0,"ok","à faire")</f>
        <v>ok</v>
      </c>
      <c r="H635" s="17" t="str">
        <f>IF(COUNTIFS(Phrases!$A:$A,$A635,Phrases!$I:$I,"&lt;&gt;")&gt;0,"ok","à faire")</f>
        <v>à faire</v>
      </c>
      <c r="I635" s="17" t="str">
        <f>IF(COUNTIF(Synonymes!$A:$A,$A635)&gt;0,"ok","")</f>
        <v/>
      </c>
      <c r="J635" s="17">
        <f t="shared" si="9"/>
        <v>1</v>
      </c>
    </row>
    <row r="636" spans="1:10" x14ac:dyDescent="0.3">
      <c r="A636" s="17" t="s">
        <v>3368</v>
      </c>
      <c r="B636" s="17" t="str">
        <f>IFERROR(INDEX(Mots!$B:$B,MATCH($A636,Mots!$A:$A,0)),"introuvable")</f>
        <v>l'ampoule</v>
      </c>
      <c r="C636" s="17" t="str">
        <f>IFERROR(INDEX(Mots!$N:$N,MATCH($A636,Mots!$A:$A,0)),"")</f>
        <v>chose</v>
      </c>
      <c r="D636" s="17">
        <f>IFERROR(COUNTA(INDEX(Mots!$E:$E,MATCH($A636,Mots!$A:$A,0)):INDEX(Mots!$K:$K,MATCH($A636,Mots!$A:$A,0))),0)</f>
        <v>1</v>
      </c>
      <c r="E636" s="17" t="str">
        <f>IF(COUNTIF(Classement!$A:$A,$A636)&gt;0,"ok","à faire")</f>
        <v>ok</v>
      </c>
      <c r="F636" s="17" t="str">
        <f>IF(COUNTIF(Tags!$A:$A,$A636)&gt;0,"ok","à faire")</f>
        <v>ok</v>
      </c>
      <c r="G636" s="17" t="str">
        <f>IF(COUNTIF(Phrases!$A:$A,$A636)&gt;0,"ok","à faire")</f>
        <v>ok</v>
      </c>
      <c r="H636" s="17" t="str">
        <f>IF(COUNTIFS(Phrases!$A:$A,$A636,Phrases!$I:$I,"&lt;&gt;")&gt;0,"ok","à faire")</f>
        <v>à faire</v>
      </c>
      <c r="I636" s="17" t="str">
        <f>IF(COUNTIF(Synonymes!$A:$A,$A636)&gt;0,"ok","")</f>
        <v/>
      </c>
      <c r="J636" s="17">
        <f t="shared" si="9"/>
        <v>1</v>
      </c>
    </row>
    <row r="637" spans="1:10" x14ac:dyDescent="0.3">
      <c r="A637" s="17" t="s">
        <v>9553</v>
      </c>
      <c r="B637" s="17" t="str">
        <f>IFERROR(INDEX(Mots!$B:$B,MATCH($A637,Mots!$A:$A,0)),"introuvable")</f>
        <v>l'interrupteur</v>
      </c>
      <c r="C637" s="17" t="str">
        <f>IFERROR(INDEX(Mots!$N:$N,MATCH($A637,Mots!$A:$A,0)),"")</f>
        <v>chose</v>
      </c>
      <c r="D637" s="17">
        <f>IFERROR(COUNTA(INDEX(Mots!$E:$E,MATCH($A637,Mots!$A:$A,0)):INDEX(Mots!$K:$K,MATCH($A637,Mots!$A:$A,0))),0)</f>
        <v>6</v>
      </c>
      <c r="E637" s="17" t="str">
        <f>IF(COUNTIF(Classement!$A:$A,$A637)&gt;0,"ok","à faire")</f>
        <v>ok</v>
      </c>
      <c r="F637" s="17" t="str">
        <f>IF(COUNTIF(Tags!$A:$A,$A637)&gt;0,"ok","à faire")</f>
        <v>ok</v>
      </c>
      <c r="G637" s="17" t="str">
        <f>IF(COUNTIF(Phrases!$A:$A,$A637)&gt;0,"ok","à faire")</f>
        <v>ok</v>
      </c>
      <c r="H637" s="17" t="str">
        <f>IF(COUNTIFS(Phrases!$A:$A,$A637,Phrases!$I:$I,"&lt;&gt;")&gt;0,"ok","à faire")</f>
        <v>à faire</v>
      </c>
      <c r="I637" s="17" t="str">
        <f>IF(COUNTIF(Synonymes!$A:$A,$A637)&gt;0,"ok","")</f>
        <v/>
      </c>
      <c r="J637" s="17">
        <f t="shared" si="9"/>
        <v>1</v>
      </c>
    </row>
    <row r="638" spans="1:10" x14ac:dyDescent="0.3">
      <c r="A638" s="17" t="s">
        <v>3371</v>
      </c>
      <c r="B638" s="17" t="str">
        <f>IFERROR(INDEX(Mots!$B:$B,MATCH($A638,Mots!$A:$A,0)),"introuvable")</f>
        <v>les fusibles pour l'électricité</v>
      </c>
      <c r="C638" s="17" t="str">
        <f>IFERROR(INDEX(Mots!$N:$N,MATCH($A638,Mots!$A:$A,0)),"")</f>
        <v>chose</v>
      </c>
      <c r="D638" s="17">
        <f>IFERROR(COUNTA(INDEX(Mots!$E:$E,MATCH($A638,Mots!$A:$A,0)):INDEX(Mots!$K:$K,MATCH($A638,Mots!$A:$A,0))),0)</f>
        <v>1</v>
      </c>
      <c r="E638" s="17" t="str">
        <f>IF(COUNTIF(Classement!$A:$A,$A638)&gt;0,"ok","à faire")</f>
        <v>ok</v>
      </c>
      <c r="F638" s="17" t="str">
        <f>IF(COUNTIF(Tags!$A:$A,$A638)&gt;0,"ok","à faire")</f>
        <v>ok</v>
      </c>
      <c r="G638" s="17" t="str">
        <f>IF(COUNTIF(Phrases!$A:$A,$A638)&gt;0,"ok","à faire")</f>
        <v>ok</v>
      </c>
      <c r="H638" s="17" t="str">
        <f>IF(COUNTIFS(Phrases!$A:$A,$A638,Phrases!$I:$I,"&lt;&gt;")&gt;0,"ok","à faire")</f>
        <v>à faire</v>
      </c>
      <c r="I638" s="17" t="str">
        <f>IF(COUNTIF(Synonymes!$A:$A,$A638)&gt;0,"ok","")</f>
        <v/>
      </c>
      <c r="J638" s="17">
        <f t="shared" si="9"/>
        <v>1</v>
      </c>
    </row>
    <row r="639" spans="1:10" x14ac:dyDescent="0.3">
      <c r="A639" s="17" t="s">
        <v>3374</v>
      </c>
      <c r="B639" s="17" t="str">
        <f>IFERROR(INDEX(Mots!$B:$B,MATCH($A639,Mots!$A:$A,0)),"introuvable")</f>
        <v>le mur</v>
      </c>
      <c r="C639" s="17" t="str">
        <f>IFERROR(INDEX(Mots!$N:$N,MATCH($A639,Mots!$A:$A,0)),"")</f>
        <v>chose</v>
      </c>
      <c r="D639" s="17">
        <f>IFERROR(COUNTA(INDEX(Mots!$E:$E,MATCH($A639,Mots!$A:$A,0)):INDEX(Mots!$K:$K,MATCH($A639,Mots!$A:$A,0))),0)</f>
        <v>1</v>
      </c>
      <c r="E639" s="17" t="str">
        <f>IF(COUNTIF(Classement!$A:$A,$A639)&gt;0,"ok","à faire")</f>
        <v>ok</v>
      </c>
      <c r="F639" s="17" t="str">
        <f>IF(COUNTIF(Tags!$A:$A,$A639)&gt;0,"ok","à faire")</f>
        <v>ok</v>
      </c>
      <c r="G639" s="17" t="str">
        <f>IF(COUNTIF(Phrases!$A:$A,$A639)&gt;0,"ok","à faire")</f>
        <v>ok</v>
      </c>
      <c r="H639" s="17" t="str">
        <f>IF(COUNTIFS(Phrases!$A:$A,$A639,Phrases!$I:$I,"&lt;&gt;")&gt;0,"ok","à faire")</f>
        <v>à faire</v>
      </c>
      <c r="I639" s="17" t="str">
        <f>IF(COUNTIF(Synonymes!$A:$A,$A639)&gt;0,"ok","")</f>
        <v/>
      </c>
      <c r="J639" s="17">
        <f t="shared" si="9"/>
        <v>1</v>
      </c>
    </row>
    <row r="640" spans="1:10" x14ac:dyDescent="0.3">
      <c r="A640" s="17" t="s">
        <v>3378</v>
      </c>
      <c r="B640" s="17" t="str">
        <f>IFERROR(INDEX(Mots!$B:$B,MATCH($A640,Mots!$A:$A,0)),"introuvable")</f>
        <v>le toit</v>
      </c>
      <c r="C640" s="17" t="str">
        <f>IFERROR(INDEX(Mots!$N:$N,MATCH($A640,Mots!$A:$A,0)),"")</f>
        <v>chose</v>
      </c>
      <c r="D640" s="17">
        <f>IFERROR(COUNTA(INDEX(Mots!$E:$E,MATCH($A640,Mots!$A:$A,0)):INDEX(Mots!$K:$K,MATCH($A640,Mots!$A:$A,0))),0)</f>
        <v>1</v>
      </c>
      <c r="E640" s="17" t="str">
        <f>IF(COUNTIF(Classement!$A:$A,$A640)&gt;0,"ok","à faire")</f>
        <v>ok</v>
      </c>
      <c r="F640" s="17" t="str">
        <f>IF(COUNTIF(Tags!$A:$A,$A640)&gt;0,"ok","à faire")</f>
        <v>ok</v>
      </c>
      <c r="G640" s="17" t="str">
        <f>IF(COUNTIF(Phrases!$A:$A,$A640)&gt;0,"ok","à faire")</f>
        <v>ok</v>
      </c>
      <c r="H640" s="17" t="str">
        <f>IF(COUNTIFS(Phrases!$A:$A,$A640,Phrases!$I:$I,"&lt;&gt;")&gt;0,"ok","à faire")</f>
        <v>à faire</v>
      </c>
      <c r="I640" s="17" t="str">
        <f>IF(COUNTIF(Synonymes!$A:$A,$A640)&gt;0,"ok","")</f>
        <v/>
      </c>
      <c r="J640" s="17">
        <f t="shared" si="9"/>
        <v>1</v>
      </c>
    </row>
    <row r="641" spans="1:10" x14ac:dyDescent="0.3">
      <c r="A641" s="17" t="s">
        <v>3383</v>
      </c>
      <c r="B641" s="17" t="str">
        <f>IFERROR(INDEX(Mots!$B:$B,MATCH($A641,Mots!$A:$A,0)),"introuvable")</f>
        <v>le chéneau</v>
      </c>
      <c r="C641" s="17" t="str">
        <f>IFERROR(INDEX(Mots!$N:$N,MATCH($A641,Mots!$A:$A,0)),"")</f>
        <v>chose</v>
      </c>
      <c r="D641" s="17">
        <f>IFERROR(COUNTA(INDEX(Mots!$E:$E,MATCH($A641,Mots!$A:$A,0)):INDEX(Mots!$K:$K,MATCH($A641,Mots!$A:$A,0))),0)</f>
        <v>1</v>
      </c>
      <c r="E641" s="17" t="str">
        <f>IF(COUNTIF(Classement!$A:$A,$A641)&gt;0,"ok","à faire")</f>
        <v>ok</v>
      </c>
      <c r="F641" s="17" t="str">
        <f>IF(COUNTIF(Tags!$A:$A,$A641)&gt;0,"ok","à faire")</f>
        <v>ok</v>
      </c>
      <c r="G641" s="17" t="str">
        <f>IF(COUNTIF(Phrases!$A:$A,$A641)&gt;0,"ok","à faire")</f>
        <v>ok</v>
      </c>
      <c r="H641" s="17" t="str">
        <f>IF(COUNTIFS(Phrases!$A:$A,$A641,Phrases!$I:$I,"&lt;&gt;")&gt;0,"ok","à faire")</f>
        <v>à faire</v>
      </c>
      <c r="I641" s="17" t="str">
        <f>IF(COUNTIF(Synonymes!$A:$A,$A641)&gt;0,"ok","")</f>
        <v/>
      </c>
      <c r="J641" s="17">
        <f t="shared" ref="J641:J704" si="10">COUNTIF(E641:H641,"à faire")</f>
        <v>1</v>
      </c>
    </row>
    <row r="642" spans="1:10" x14ac:dyDescent="0.3">
      <c r="A642" s="17" t="s">
        <v>3386</v>
      </c>
      <c r="B642" s="17" t="str">
        <f>IFERROR(INDEX(Mots!$B:$B,MATCH($A642,Mots!$A:$A,0)),"introuvable")</f>
        <v>la barrière</v>
      </c>
      <c r="C642" s="17" t="str">
        <f>IFERROR(INDEX(Mots!$N:$N,MATCH($A642,Mots!$A:$A,0)),"")</f>
        <v>chose</v>
      </c>
      <c r="D642" s="17">
        <f>IFERROR(COUNTA(INDEX(Mots!$E:$E,MATCH($A642,Mots!$A:$A,0)):INDEX(Mots!$K:$K,MATCH($A642,Mots!$A:$A,0))),0)</f>
        <v>6</v>
      </c>
      <c r="E642" s="17" t="str">
        <f>IF(COUNTIF(Classement!$A:$A,$A642)&gt;0,"ok","à faire")</f>
        <v>ok</v>
      </c>
      <c r="F642" s="17" t="str">
        <f>IF(COUNTIF(Tags!$A:$A,$A642)&gt;0,"ok","à faire")</f>
        <v>ok</v>
      </c>
      <c r="G642" s="17" t="str">
        <f>IF(COUNTIF(Phrases!$A:$A,$A642)&gt;0,"ok","à faire")</f>
        <v>ok</v>
      </c>
      <c r="H642" s="17" t="str">
        <f>IF(COUNTIFS(Phrases!$A:$A,$A642,Phrases!$I:$I,"&lt;&gt;")&gt;0,"ok","à faire")</f>
        <v>à faire</v>
      </c>
      <c r="I642" s="17" t="str">
        <f>IF(COUNTIF(Synonymes!$A:$A,$A642)&gt;0,"ok","")</f>
        <v>ok</v>
      </c>
      <c r="J642" s="17">
        <f t="shared" si="10"/>
        <v>1</v>
      </c>
    </row>
    <row r="643" spans="1:10" x14ac:dyDescent="0.3">
      <c r="A643" s="17" t="s">
        <v>3394</v>
      </c>
      <c r="B643" s="17" t="str">
        <f>IFERROR(INDEX(Mots!$B:$B,MATCH($A643,Mots!$A:$A,0)),"introuvable")</f>
        <v>la prise</v>
      </c>
      <c r="C643" s="17" t="str">
        <f>IFERROR(INDEX(Mots!$N:$N,MATCH($A643,Mots!$A:$A,0)),"")</f>
        <v>chose</v>
      </c>
      <c r="D643" s="17">
        <f>IFERROR(COUNTA(INDEX(Mots!$E:$E,MATCH($A643,Mots!$A:$A,0)):INDEX(Mots!$K:$K,MATCH($A643,Mots!$A:$A,0))),0)</f>
        <v>1</v>
      </c>
      <c r="E643" s="17" t="str">
        <f>IF(COUNTIF(Classement!$A:$A,$A643)&gt;0,"ok","à faire")</f>
        <v>ok</v>
      </c>
      <c r="F643" s="17" t="str">
        <f>IF(COUNTIF(Tags!$A:$A,$A643)&gt;0,"ok","à faire")</f>
        <v>ok</v>
      </c>
      <c r="G643" s="17" t="str">
        <f>IF(COUNTIF(Phrases!$A:$A,$A643)&gt;0,"ok","à faire")</f>
        <v>ok</v>
      </c>
      <c r="H643" s="17" t="str">
        <f>IF(COUNTIFS(Phrases!$A:$A,$A643,Phrases!$I:$I,"&lt;&gt;")&gt;0,"ok","à faire")</f>
        <v>ok</v>
      </c>
      <c r="I643" s="17" t="str">
        <f>IF(COUNTIF(Synonymes!$A:$A,$A643)&gt;0,"ok","")</f>
        <v/>
      </c>
      <c r="J643" s="17">
        <f t="shared" si="10"/>
        <v>0</v>
      </c>
    </row>
    <row r="644" spans="1:10" x14ac:dyDescent="0.3">
      <c r="A644" s="17" t="s">
        <v>3398</v>
      </c>
      <c r="B644" s="17" t="str">
        <f>IFERROR(INDEX(Mots!$B:$B,MATCH($A644,Mots!$A:$A,0)),"introuvable")</f>
        <v>la serrure</v>
      </c>
      <c r="C644" s="17" t="str">
        <f>IFERROR(INDEX(Mots!$N:$N,MATCH($A644,Mots!$A:$A,0)),"")</f>
        <v>chose</v>
      </c>
      <c r="D644" s="17">
        <f>IFERROR(COUNTA(INDEX(Mots!$E:$E,MATCH($A644,Mots!$A:$A,0)):INDEX(Mots!$K:$K,MATCH($A644,Mots!$A:$A,0))),0)</f>
        <v>1</v>
      </c>
      <c r="E644" s="17" t="str">
        <f>IF(COUNTIF(Classement!$A:$A,$A644)&gt;0,"ok","à faire")</f>
        <v>ok</v>
      </c>
      <c r="F644" s="17" t="str">
        <f>IF(COUNTIF(Tags!$A:$A,$A644)&gt;0,"ok","à faire")</f>
        <v>ok</v>
      </c>
      <c r="G644" s="17" t="str">
        <f>IF(COUNTIF(Phrases!$A:$A,$A644)&gt;0,"ok","à faire")</f>
        <v>ok</v>
      </c>
      <c r="H644" s="17" t="str">
        <f>IF(COUNTIFS(Phrases!$A:$A,$A644,Phrases!$I:$I,"&lt;&gt;")&gt;0,"ok","à faire")</f>
        <v>à faire</v>
      </c>
      <c r="I644" s="17" t="str">
        <f>IF(COUNTIF(Synonymes!$A:$A,$A644)&gt;0,"ok","")</f>
        <v/>
      </c>
      <c r="J644" s="17">
        <f t="shared" si="10"/>
        <v>1</v>
      </c>
    </row>
    <row r="645" spans="1:10" x14ac:dyDescent="0.3">
      <c r="A645" s="17" t="s">
        <v>3402</v>
      </c>
      <c r="B645" s="17" t="str">
        <f>IFERROR(INDEX(Mots!$B:$B,MATCH($A645,Mots!$A:$A,0)),"introuvable")</f>
        <v>le fourneau à bois</v>
      </c>
      <c r="C645" s="17" t="str">
        <f>IFERROR(INDEX(Mots!$N:$N,MATCH($A645,Mots!$A:$A,0)),"")</f>
        <v>chose</v>
      </c>
      <c r="D645" s="17">
        <f>IFERROR(COUNTA(INDEX(Mots!$E:$E,MATCH($A645,Mots!$A:$A,0)):INDEX(Mots!$K:$K,MATCH($A645,Mots!$A:$A,0))),0)</f>
        <v>1</v>
      </c>
      <c r="E645" s="17" t="str">
        <f>IF(COUNTIF(Classement!$A:$A,$A645)&gt;0,"ok","à faire")</f>
        <v>ok</v>
      </c>
      <c r="F645" s="17" t="str">
        <f>IF(COUNTIF(Tags!$A:$A,$A645)&gt;0,"ok","à faire")</f>
        <v>ok</v>
      </c>
      <c r="G645" s="17" t="str">
        <f>IF(COUNTIF(Phrases!$A:$A,$A645)&gt;0,"ok","à faire")</f>
        <v>ok</v>
      </c>
      <c r="H645" s="17" t="str">
        <f>IF(COUNTIFS(Phrases!$A:$A,$A645,Phrases!$I:$I,"&lt;&gt;")&gt;0,"ok","à faire")</f>
        <v>à faire</v>
      </c>
      <c r="I645" s="17" t="str">
        <f>IF(COUNTIF(Synonymes!$A:$A,$A645)&gt;0,"ok","")</f>
        <v/>
      </c>
      <c r="J645" s="17">
        <f t="shared" si="10"/>
        <v>1</v>
      </c>
    </row>
    <row r="646" spans="1:10" x14ac:dyDescent="0.3">
      <c r="A646" s="17" t="s">
        <v>3406</v>
      </c>
      <c r="B646" s="17" t="str">
        <f>IFERROR(INDEX(Mots!$B:$B,MATCH($A646,Mots!$A:$A,0)),"introuvable")</f>
        <v>le fourneau à pellets</v>
      </c>
      <c r="C646" s="17" t="str">
        <f>IFERROR(INDEX(Mots!$N:$N,MATCH($A646,Mots!$A:$A,0)),"")</f>
        <v>chose</v>
      </c>
      <c r="D646" s="17">
        <f>IFERROR(COUNTA(INDEX(Mots!$E:$E,MATCH($A646,Mots!$A:$A,0)):INDEX(Mots!$K:$K,MATCH($A646,Mots!$A:$A,0))),0)</f>
        <v>1</v>
      </c>
      <c r="E646" s="17" t="str">
        <f>IF(COUNTIF(Classement!$A:$A,$A646)&gt;0,"ok","à faire")</f>
        <v>ok</v>
      </c>
      <c r="F646" s="17" t="str">
        <f>IF(COUNTIF(Tags!$A:$A,$A646)&gt;0,"ok","à faire")</f>
        <v>ok</v>
      </c>
      <c r="G646" s="17" t="str">
        <f>IF(COUNTIF(Phrases!$A:$A,$A646)&gt;0,"ok","à faire")</f>
        <v>ok</v>
      </c>
      <c r="H646" s="17" t="str">
        <f>IF(COUNTIFS(Phrases!$A:$A,$A646,Phrases!$I:$I,"&lt;&gt;")&gt;0,"ok","à faire")</f>
        <v>à faire</v>
      </c>
      <c r="I646" s="17" t="str">
        <f>IF(COUNTIF(Synonymes!$A:$A,$A646)&gt;0,"ok","")</f>
        <v/>
      </c>
      <c r="J646" s="17">
        <f t="shared" si="10"/>
        <v>1</v>
      </c>
    </row>
    <row r="647" spans="1:10" x14ac:dyDescent="0.3">
      <c r="A647" s="17" t="s">
        <v>3410</v>
      </c>
      <c r="B647" s="17" t="str">
        <f>IFERROR(INDEX(Mots!$B:$B,MATCH($A647,Mots!$A:$A,0)),"introuvable")</f>
        <v>accepter</v>
      </c>
      <c r="C647" s="17" t="str">
        <f>IFERROR(INDEX(Mots!$N:$N,MATCH($A647,Mots!$A:$A,0)),"")</f>
        <v>action</v>
      </c>
      <c r="D647" s="17">
        <f>IFERROR(COUNTA(INDEX(Mots!$E:$E,MATCH($A647,Mots!$A:$A,0)):INDEX(Mots!$K:$K,MATCH($A647,Mots!$A:$A,0))),0)</f>
        <v>5</v>
      </c>
      <c r="E647" s="17" t="str">
        <f>IF(COUNTIF(Classement!$A:$A,$A647)&gt;0,"ok","à faire")</f>
        <v>ok</v>
      </c>
      <c r="F647" s="17" t="str">
        <f>IF(COUNTIF(Tags!$A:$A,$A647)&gt;0,"ok","à faire")</f>
        <v>ok</v>
      </c>
      <c r="G647" s="17" t="str">
        <f>IF(COUNTIF(Phrases!$A:$A,$A647)&gt;0,"ok","à faire")</f>
        <v>ok</v>
      </c>
      <c r="H647" s="17" t="str">
        <f>IF(COUNTIFS(Phrases!$A:$A,$A647,Phrases!$I:$I,"&lt;&gt;")&gt;0,"ok","à faire")</f>
        <v>ok</v>
      </c>
      <c r="I647" s="17" t="str">
        <f>IF(COUNTIF(Synonymes!$A:$A,$A647)&gt;0,"ok","")</f>
        <v>ok</v>
      </c>
      <c r="J647" s="17">
        <f t="shared" si="10"/>
        <v>0</v>
      </c>
    </row>
    <row r="648" spans="1:10" x14ac:dyDescent="0.3">
      <c r="A648" s="17" t="s">
        <v>3419</v>
      </c>
      <c r="B648" s="17" t="str">
        <f>IFERROR(INDEX(Mots!$B:$B,MATCH($A648,Mots!$A:$A,0)),"introuvable")</f>
        <v>acheter</v>
      </c>
      <c r="C648" s="17" t="str">
        <f>IFERROR(INDEX(Mots!$N:$N,MATCH($A648,Mots!$A:$A,0)),"")</f>
        <v>action</v>
      </c>
      <c r="D648" s="17">
        <f>IFERROR(COUNTA(INDEX(Mots!$E:$E,MATCH($A648,Mots!$A:$A,0)):INDEX(Mots!$K:$K,MATCH($A648,Mots!$A:$A,0))),0)</f>
        <v>5</v>
      </c>
      <c r="E648" s="17" t="str">
        <f>IF(COUNTIF(Classement!$A:$A,$A648)&gt;0,"ok","à faire")</f>
        <v>ok</v>
      </c>
      <c r="F648" s="17" t="str">
        <f>IF(COUNTIF(Tags!$A:$A,$A648)&gt;0,"ok","à faire")</f>
        <v>ok</v>
      </c>
      <c r="G648" s="17" t="str">
        <f>IF(COUNTIF(Phrases!$A:$A,$A648)&gt;0,"ok","à faire")</f>
        <v>ok</v>
      </c>
      <c r="H648" s="17" t="str">
        <f>IF(COUNTIFS(Phrases!$A:$A,$A648,Phrases!$I:$I,"&lt;&gt;")&gt;0,"ok","à faire")</f>
        <v>ok</v>
      </c>
      <c r="I648" s="17" t="str">
        <f>IF(COUNTIF(Synonymes!$A:$A,$A648)&gt;0,"ok","")</f>
        <v/>
      </c>
      <c r="J648" s="17">
        <f t="shared" si="10"/>
        <v>0</v>
      </c>
    </row>
    <row r="649" spans="1:10" x14ac:dyDescent="0.3">
      <c r="A649" s="17" t="s">
        <v>3427</v>
      </c>
      <c r="B649" s="17" t="str">
        <f>IFERROR(INDEX(Mots!$B:$B,MATCH($A649,Mots!$A:$A,0)),"introuvable")</f>
        <v>adulte</v>
      </c>
      <c r="C649" s="17" t="str">
        <f>IFERROR(INDEX(Mots!$N:$N,MATCH($A649,Mots!$A:$A,0)),"")</f>
        <v>qualité</v>
      </c>
      <c r="D649" s="17">
        <f>IFERROR(COUNTA(INDEX(Mots!$E:$E,MATCH($A649,Mots!$A:$A,0)):INDEX(Mots!$K:$K,MATCH($A649,Mots!$A:$A,0))),0)</f>
        <v>5</v>
      </c>
      <c r="E649" s="17" t="str">
        <f>IF(COUNTIF(Classement!$A:$A,$A649)&gt;0,"ok","à faire")</f>
        <v>ok</v>
      </c>
      <c r="F649" s="17" t="str">
        <f>IF(COUNTIF(Tags!$A:$A,$A649)&gt;0,"ok","à faire")</f>
        <v>ok</v>
      </c>
      <c r="G649" s="17" t="str">
        <f>IF(COUNTIF(Phrases!$A:$A,$A649)&gt;0,"ok","à faire")</f>
        <v>ok</v>
      </c>
      <c r="H649" s="17" t="str">
        <f>IF(COUNTIFS(Phrases!$A:$A,$A649,Phrases!$I:$I,"&lt;&gt;")&gt;0,"ok","à faire")</f>
        <v>à faire</v>
      </c>
      <c r="I649" s="17" t="str">
        <f>IF(COUNTIF(Synonymes!$A:$A,$A649)&gt;0,"ok","")</f>
        <v/>
      </c>
      <c r="J649" s="17">
        <f t="shared" si="10"/>
        <v>1</v>
      </c>
    </row>
    <row r="650" spans="1:10" x14ac:dyDescent="0.3">
      <c r="A650" s="17" t="s">
        <v>3434</v>
      </c>
      <c r="B650" s="17" t="str">
        <f>IFERROR(INDEX(Mots!$B:$B,MATCH($A650,Mots!$A:$A,0)),"introuvable")</f>
        <v>désagréable</v>
      </c>
      <c r="C650" s="17" t="str">
        <f>IFERROR(INDEX(Mots!$N:$N,MATCH($A650,Mots!$A:$A,0)),"")</f>
        <v>qualité</v>
      </c>
      <c r="D650" s="17">
        <f>IFERROR(COUNTA(INDEX(Mots!$E:$E,MATCH($A650,Mots!$A:$A,0)):INDEX(Mots!$K:$K,MATCH($A650,Mots!$A:$A,0))),0)</f>
        <v>2</v>
      </c>
      <c r="E650" s="17" t="str">
        <f>IF(COUNTIF(Classement!$A:$A,$A650)&gt;0,"ok","à faire")</f>
        <v>à faire</v>
      </c>
      <c r="F650" s="17" t="str">
        <f>IF(COUNTIF(Tags!$A:$A,$A650)&gt;0,"ok","à faire")</f>
        <v>à faire</v>
      </c>
      <c r="G650" s="17" t="str">
        <f>IF(COUNTIF(Phrases!$A:$A,$A650)&gt;0,"ok","à faire")</f>
        <v>ok</v>
      </c>
      <c r="H650" s="17" t="str">
        <f>IF(COUNTIFS(Phrases!$A:$A,$A650,Phrases!$I:$I,"&lt;&gt;")&gt;0,"ok","à faire")</f>
        <v>à faire</v>
      </c>
      <c r="I650" s="17" t="str">
        <f>IF(COUNTIF(Synonymes!$A:$A,$A650)&gt;0,"ok","")</f>
        <v/>
      </c>
      <c r="J650" s="17">
        <f t="shared" si="10"/>
        <v>3</v>
      </c>
    </row>
    <row r="651" spans="1:10" x14ac:dyDescent="0.3">
      <c r="A651" s="17" t="s">
        <v>3439</v>
      </c>
      <c r="B651" s="17" t="str">
        <f>IFERROR(INDEX(Mots!$B:$B,MATCH($A651,Mots!$A:$A,0)),"introuvable")</f>
        <v>aider</v>
      </c>
      <c r="C651" s="17" t="str">
        <f>IFERROR(INDEX(Mots!$N:$N,MATCH($A651,Mots!$A:$A,0)),"")</f>
        <v>action</v>
      </c>
      <c r="D651" s="17">
        <f>IFERROR(COUNTA(INDEX(Mots!$E:$E,MATCH($A651,Mots!$A:$A,0)):INDEX(Mots!$K:$K,MATCH($A651,Mots!$A:$A,0))),0)</f>
        <v>5</v>
      </c>
      <c r="E651" s="17" t="str">
        <f>IF(COUNTIF(Classement!$A:$A,$A651)&gt;0,"ok","à faire")</f>
        <v>ok</v>
      </c>
      <c r="F651" s="17" t="str">
        <f>IF(COUNTIF(Tags!$A:$A,$A651)&gt;0,"ok","à faire")</f>
        <v>ok</v>
      </c>
      <c r="G651" s="17" t="str">
        <f>IF(COUNTIF(Phrases!$A:$A,$A651)&gt;0,"ok","à faire")</f>
        <v>ok</v>
      </c>
      <c r="H651" s="17" t="str">
        <f>IF(COUNTIFS(Phrases!$A:$A,$A651,Phrases!$I:$I,"&lt;&gt;")&gt;0,"ok","à faire")</f>
        <v>ok</v>
      </c>
      <c r="I651" s="17" t="str">
        <f>IF(COUNTIF(Synonymes!$A:$A,$A651)&gt;0,"ok","")</f>
        <v/>
      </c>
      <c r="J651" s="17">
        <f t="shared" si="10"/>
        <v>0</v>
      </c>
    </row>
    <row r="652" spans="1:10" x14ac:dyDescent="0.3">
      <c r="A652" s="17" t="s">
        <v>3447</v>
      </c>
      <c r="B652" s="17" t="str">
        <f>IFERROR(INDEX(Mots!$B:$B,MATCH($A652,Mots!$A:$A,0)),"introuvable")</f>
        <v>ailleurs</v>
      </c>
      <c r="C652" s="17" t="str">
        <f>IFERROR(INDEX(Mots!$N:$N,MATCH($A652,Mots!$A:$A,0)),"")</f>
        <v>mot utile</v>
      </c>
      <c r="D652" s="17">
        <f>IFERROR(COUNTA(INDEX(Mots!$E:$E,MATCH($A652,Mots!$A:$A,0)):INDEX(Mots!$K:$K,MATCH($A652,Mots!$A:$A,0))),0)</f>
        <v>3</v>
      </c>
      <c r="E652" s="17" t="str">
        <f>IF(COUNTIF(Classement!$A:$A,$A652)&gt;0,"ok","à faire")</f>
        <v>ok</v>
      </c>
      <c r="F652" s="17" t="str">
        <f>IF(COUNTIF(Tags!$A:$A,$A652)&gt;0,"ok","à faire")</f>
        <v>ok</v>
      </c>
      <c r="G652" s="17" t="str">
        <f>IF(COUNTIF(Phrases!$A:$A,$A652)&gt;0,"ok","à faire")</f>
        <v>à faire</v>
      </c>
      <c r="H652" s="17" t="str">
        <f>IF(COUNTIFS(Phrases!$A:$A,$A652,Phrases!$I:$I,"&lt;&gt;")&gt;0,"ok","à faire")</f>
        <v>à faire</v>
      </c>
      <c r="I652" s="17" t="str">
        <f>IF(COUNTIF(Synonymes!$A:$A,$A652)&gt;0,"ok","")</f>
        <v>ok</v>
      </c>
      <c r="J652" s="17">
        <f t="shared" si="10"/>
        <v>2</v>
      </c>
    </row>
    <row r="653" spans="1:10" x14ac:dyDescent="0.3">
      <c r="A653" s="17" t="s">
        <v>3452</v>
      </c>
      <c r="B653" s="17" t="str">
        <f>IFERROR(INDEX(Mots!$B:$B,MATCH($A653,Mots!$A:$A,0)),"introuvable")</f>
        <v>aimable</v>
      </c>
      <c r="C653" s="17" t="str">
        <f>IFERROR(INDEX(Mots!$N:$N,MATCH($A653,Mots!$A:$A,0)),"")</f>
        <v>qualité</v>
      </c>
      <c r="D653" s="17">
        <f>IFERROR(COUNTA(INDEX(Mots!$E:$E,MATCH($A653,Mots!$A:$A,0)):INDEX(Mots!$K:$K,MATCH($A653,Mots!$A:$A,0))),0)</f>
        <v>1</v>
      </c>
      <c r="E653" s="17" t="str">
        <f>IF(COUNTIF(Classement!$A:$A,$A653)&gt;0,"ok","à faire")</f>
        <v>ok</v>
      </c>
      <c r="F653" s="17" t="str">
        <f>IF(COUNTIF(Tags!$A:$A,$A653)&gt;0,"ok","à faire")</f>
        <v>ok</v>
      </c>
      <c r="G653" s="17" t="str">
        <f>IF(COUNTIF(Phrases!$A:$A,$A653)&gt;0,"ok","à faire")</f>
        <v>ok</v>
      </c>
      <c r="H653" s="17" t="str">
        <f>IF(COUNTIFS(Phrases!$A:$A,$A653,Phrases!$I:$I,"&lt;&gt;")&gt;0,"ok","à faire")</f>
        <v>à faire</v>
      </c>
      <c r="I653" s="17" t="str">
        <f>IF(COUNTIF(Synonymes!$A:$A,$A653)&gt;0,"ok","")</f>
        <v>ok</v>
      </c>
      <c r="J653" s="17">
        <f t="shared" si="10"/>
        <v>1</v>
      </c>
    </row>
    <row r="654" spans="1:10" x14ac:dyDescent="0.3">
      <c r="A654" s="17" t="s">
        <v>3455</v>
      </c>
      <c r="B654" s="17" t="str">
        <f>IFERROR(INDEX(Mots!$B:$B,MATCH($A654,Mots!$A:$A,0)),"introuvable")</f>
        <v>aimer</v>
      </c>
      <c r="C654" s="17" t="str">
        <f>IFERROR(INDEX(Mots!$N:$N,MATCH($A654,Mots!$A:$A,0)),"")</f>
        <v>action</v>
      </c>
      <c r="D654" s="17">
        <f>IFERROR(COUNTA(INDEX(Mots!$E:$E,MATCH($A654,Mots!$A:$A,0)):INDEX(Mots!$K:$K,MATCH($A654,Mots!$A:$A,0))),0)</f>
        <v>5</v>
      </c>
      <c r="E654" s="17" t="str">
        <f>IF(COUNTIF(Classement!$A:$A,$A654)&gt;0,"ok","à faire")</f>
        <v>ok</v>
      </c>
      <c r="F654" s="17" t="str">
        <f>IF(COUNTIF(Tags!$A:$A,$A654)&gt;0,"ok","à faire")</f>
        <v>ok</v>
      </c>
      <c r="G654" s="17" t="str">
        <f>IF(COUNTIF(Phrases!$A:$A,$A654)&gt;0,"ok","à faire")</f>
        <v>ok</v>
      </c>
      <c r="H654" s="17" t="str">
        <f>IF(COUNTIFS(Phrases!$A:$A,$A654,Phrases!$I:$I,"&lt;&gt;")&gt;0,"ok","à faire")</f>
        <v>ok</v>
      </c>
      <c r="I654" s="17" t="str">
        <f>IF(COUNTIF(Synonymes!$A:$A,$A654)&gt;0,"ok","")</f>
        <v>ok</v>
      </c>
      <c r="J654" s="17">
        <f t="shared" si="10"/>
        <v>0</v>
      </c>
    </row>
    <row r="655" spans="1:10" x14ac:dyDescent="0.3">
      <c r="A655" s="17" t="s">
        <v>3463</v>
      </c>
      <c r="B655" s="17" t="str">
        <f>IFERROR(INDEX(Mots!$B:$B,MATCH($A655,Mots!$A:$A,0)),"introuvable")</f>
        <v>aller</v>
      </c>
      <c r="C655" s="17" t="str">
        <f>IFERROR(INDEX(Mots!$N:$N,MATCH($A655,Mots!$A:$A,0)),"")</f>
        <v>action</v>
      </c>
      <c r="D655" s="17">
        <f>IFERROR(COUNTA(INDEX(Mots!$E:$E,MATCH($A655,Mots!$A:$A,0)):INDEX(Mots!$K:$K,MATCH($A655,Mots!$A:$A,0))),0)</f>
        <v>5</v>
      </c>
      <c r="E655" s="17" t="str">
        <f>IF(COUNTIF(Classement!$A:$A,$A655)&gt;0,"ok","à faire")</f>
        <v>ok</v>
      </c>
      <c r="F655" s="17" t="str">
        <f>IF(COUNTIF(Tags!$A:$A,$A655)&gt;0,"ok","à faire")</f>
        <v>ok</v>
      </c>
      <c r="G655" s="17" t="str">
        <f>IF(COUNTIF(Phrases!$A:$A,$A655)&gt;0,"ok","à faire")</f>
        <v>ok</v>
      </c>
      <c r="H655" s="17" t="str">
        <f>IF(COUNTIFS(Phrases!$A:$A,$A655,Phrases!$I:$I,"&lt;&gt;")&gt;0,"ok","à faire")</f>
        <v>ok</v>
      </c>
      <c r="I655" s="17" t="str">
        <f>IF(COUNTIF(Synonymes!$A:$A,$A655)&gt;0,"ok","")</f>
        <v/>
      </c>
      <c r="J655" s="17">
        <f t="shared" si="10"/>
        <v>0</v>
      </c>
    </row>
    <row r="656" spans="1:10" x14ac:dyDescent="0.3">
      <c r="A656" s="17" t="s">
        <v>3471</v>
      </c>
      <c r="B656" s="17" t="str">
        <f>IFERROR(INDEX(Mots!$B:$B,MATCH($A656,Mots!$A:$A,0)),"introuvable")</f>
        <v>annoncer</v>
      </c>
      <c r="C656" s="17" t="str">
        <f>IFERROR(INDEX(Mots!$N:$N,MATCH($A656,Mots!$A:$A,0)),"")</f>
        <v>action</v>
      </c>
      <c r="D656" s="17">
        <f>IFERROR(COUNTA(INDEX(Mots!$E:$E,MATCH($A656,Mots!$A:$A,0)):INDEX(Mots!$K:$K,MATCH($A656,Mots!$A:$A,0))),0)</f>
        <v>4</v>
      </c>
      <c r="E656" s="17" t="str">
        <f>IF(COUNTIF(Classement!$A:$A,$A656)&gt;0,"ok","à faire")</f>
        <v>ok</v>
      </c>
      <c r="F656" s="17" t="str">
        <f>IF(COUNTIF(Tags!$A:$A,$A656)&gt;0,"ok","à faire")</f>
        <v>ok</v>
      </c>
      <c r="G656" s="17" t="str">
        <f>IF(COUNTIF(Phrases!$A:$A,$A656)&gt;0,"ok","à faire")</f>
        <v>ok</v>
      </c>
      <c r="H656" s="17" t="str">
        <f>IF(COUNTIFS(Phrases!$A:$A,$A656,Phrases!$I:$I,"&lt;&gt;")&gt;0,"ok","à faire")</f>
        <v>ok</v>
      </c>
      <c r="I656" s="17" t="str">
        <f>IF(COUNTIF(Synonymes!$A:$A,$A656)&gt;0,"ok","")</f>
        <v>ok</v>
      </c>
      <c r="J656" s="17">
        <f t="shared" si="10"/>
        <v>0</v>
      </c>
    </row>
    <row r="657" spans="1:10" x14ac:dyDescent="0.3">
      <c r="A657" s="17" t="s">
        <v>3478</v>
      </c>
      <c r="B657" s="17" t="str">
        <f>IFERROR(INDEX(Mots!$B:$B,MATCH($A657,Mots!$A:$A,0)),"introuvable")</f>
        <v>appeler</v>
      </c>
      <c r="C657" s="17" t="str">
        <f>IFERROR(INDEX(Mots!$N:$N,MATCH($A657,Mots!$A:$A,0)),"")</f>
        <v>action</v>
      </c>
      <c r="D657" s="17">
        <f>IFERROR(COUNTA(INDEX(Mots!$E:$E,MATCH($A657,Mots!$A:$A,0)):INDEX(Mots!$K:$K,MATCH($A657,Mots!$A:$A,0))),0)</f>
        <v>5</v>
      </c>
      <c r="E657" s="17" t="str">
        <f>IF(COUNTIF(Classement!$A:$A,$A657)&gt;0,"ok","à faire")</f>
        <v>ok</v>
      </c>
      <c r="F657" s="17" t="str">
        <f>IF(COUNTIF(Tags!$A:$A,$A657)&gt;0,"ok","à faire")</f>
        <v>ok</v>
      </c>
      <c r="G657" s="17" t="str">
        <f>IF(COUNTIF(Phrases!$A:$A,$A657)&gt;0,"ok","à faire")</f>
        <v>ok</v>
      </c>
      <c r="H657" s="17" t="str">
        <f>IF(COUNTIFS(Phrases!$A:$A,$A657,Phrases!$I:$I,"&lt;&gt;")&gt;0,"ok","à faire")</f>
        <v>ok</v>
      </c>
      <c r="I657" s="17" t="str">
        <f>IF(COUNTIF(Synonymes!$A:$A,$A657)&gt;0,"ok","")</f>
        <v/>
      </c>
      <c r="J657" s="17">
        <f t="shared" si="10"/>
        <v>0</v>
      </c>
    </row>
    <row r="658" spans="1:10" x14ac:dyDescent="0.3">
      <c r="A658" s="17" t="s">
        <v>3486</v>
      </c>
      <c r="B658" s="17" t="str">
        <f>IFERROR(INDEX(Mots!$B:$B,MATCH($A658,Mots!$A:$A,0)),"introuvable")</f>
        <v>apprendre</v>
      </c>
      <c r="C658" s="17" t="str">
        <f>IFERROR(INDEX(Mots!$N:$N,MATCH($A658,Mots!$A:$A,0)),"")</f>
        <v>action</v>
      </c>
      <c r="D658" s="17">
        <f>IFERROR(COUNTA(INDEX(Mots!$E:$E,MATCH($A658,Mots!$A:$A,0)):INDEX(Mots!$K:$K,MATCH($A658,Mots!$A:$A,0))),0)</f>
        <v>1</v>
      </c>
      <c r="E658" s="17" t="str">
        <f>IF(COUNTIF(Classement!$A:$A,$A658)&gt;0,"ok","à faire")</f>
        <v>ok</v>
      </c>
      <c r="F658" s="17" t="str">
        <f>IF(COUNTIF(Tags!$A:$A,$A658)&gt;0,"ok","à faire")</f>
        <v>ok</v>
      </c>
      <c r="G658" s="17" t="str">
        <f>IF(COUNTIF(Phrases!$A:$A,$A658)&gt;0,"ok","à faire")</f>
        <v>ok</v>
      </c>
      <c r="H658" s="17" t="str">
        <f>IF(COUNTIFS(Phrases!$A:$A,$A658,Phrases!$I:$I,"&lt;&gt;")&gt;0,"ok","à faire")</f>
        <v>ok</v>
      </c>
      <c r="I658" s="17" t="str">
        <f>IF(COUNTIF(Synonymes!$A:$A,$A658)&gt;0,"ok","")</f>
        <v>ok</v>
      </c>
      <c r="J658" s="17">
        <f t="shared" si="10"/>
        <v>0</v>
      </c>
    </row>
    <row r="659" spans="1:10" x14ac:dyDescent="0.3">
      <c r="A659" s="17" t="s">
        <v>3490</v>
      </c>
      <c r="B659" s="17" t="str">
        <f>IFERROR(INDEX(Mots!$B:$B,MATCH($A659,Mots!$A:$A,0)),"introuvable")</f>
        <v>armé</v>
      </c>
      <c r="C659" s="17" t="str">
        <f>IFERROR(INDEX(Mots!$N:$N,MATCH($A659,Mots!$A:$A,0)),"")</f>
        <v>qualité</v>
      </c>
      <c r="D659" s="17">
        <f>IFERROR(COUNTA(INDEX(Mots!$E:$E,MATCH($A659,Mots!$A:$A,0)):INDEX(Mots!$K:$K,MATCH($A659,Mots!$A:$A,0))),0)</f>
        <v>5</v>
      </c>
      <c r="E659" s="17" t="str">
        <f>IF(COUNTIF(Classement!$A:$A,$A659)&gt;0,"ok","à faire")</f>
        <v>ok</v>
      </c>
      <c r="F659" s="17" t="str">
        <f>IF(COUNTIF(Tags!$A:$A,$A659)&gt;0,"ok","à faire")</f>
        <v>à faire</v>
      </c>
      <c r="G659" s="17" t="str">
        <f>IF(COUNTIF(Phrases!$A:$A,$A659)&gt;0,"ok","à faire")</f>
        <v>ok</v>
      </c>
      <c r="H659" s="17" t="str">
        <f>IF(COUNTIFS(Phrases!$A:$A,$A659,Phrases!$I:$I,"&lt;&gt;")&gt;0,"ok","à faire")</f>
        <v>ok</v>
      </c>
      <c r="I659" s="17" t="str">
        <f>IF(COUNTIF(Synonymes!$A:$A,$A659)&gt;0,"ok","")</f>
        <v/>
      </c>
      <c r="J659" s="17">
        <f t="shared" si="10"/>
        <v>1</v>
      </c>
    </row>
    <row r="660" spans="1:10" x14ac:dyDescent="0.3">
      <c r="A660" s="17" t="s">
        <v>3498</v>
      </c>
      <c r="B660" s="17" t="str">
        <f>IFERROR(INDEX(Mots!$B:$B,MATCH($A660,Mots!$A:$A,0)),"introuvable")</f>
        <v>arrondi</v>
      </c>
      <c r="C660" s="17" t="str">
        <f>IFERROR(INDEX(Mots!$N:$N,MATCH($A660,Mots!$A:$A,0)),"")</f>
        <v>qualité</v>
      </c>
      <c r="D660" s="17">
        <f>IFERROR(COUNTA(INDEX(Mots!$E:$E,MATCH($A660,Mots!$A:$A,0)):INDEX(Mots!$K:$K,MATCH($A660,Mots!$A:$A,0))),0)</f>
        <v>5</v>
      </c>
      <c r="E660" s="17" t="str">
        <f>IF(COUNTIF(Classement!$A:$A,$A660)&gt;0,"ok","à faire")</f>
        <v>ok</v>
      </c>
      <c r="F660" s="17" t="str">
        <f>IF(COUNTIF(Tags!$A:$A,$A660)&gt;0,"ok","à faire")</f>
        <v>ok</v>
      </c>
      <c r="G660" s="17" t="str">
        <f>IF(COUNTIF(Phrases!$A:$A,$A660)&gt;0,"ok","à faire")</f>
        <v>ok</v>
      </c>
      <c r="H660" s="17" t="str">
        <f>IF(COUNTIFS(Phrases!$A:$A,$A660,Phrases!$I:$I,"&lt;&gt;")&gt;0,"ok","à faire")</f>
        <v>à faire</v>
      </c>
      <c r="I660" s="17" t="str">
        <f>IF(COUNTIF(Synonymes!$A:$A,$A660)&gt;0,"ok","")</f>
        <v/>
      </c>
      <c r="J660" s="17">
        <f t="shared" si="10"/>
        <v>1</v>
      </c>
    </row>
    <row r="661" spans="1:10" x14ac:dyDescent="0.3">
      <c r="A661" s="17" t="s">
        <v>3505</v>
      </c>
      <c r="B661" s="17" t="str">
        <f>IFERROR(INDEX(Mots!$B:$B,MATCH($A661,Mots!$A:$A,0)),"introuvable")</f>
        <v>assez</v>
      </c>
      <c r="C661" s="17" t="str">
        <f>IFERROR(INDEX(Mots!$N:$N,MATCH($A661,Mots!$A:$A,0)),"")</f>
        <v>mot utile</v>
      </c>
      <c r="D661" s="17">
        <f>IFERROR(COUNTA(INDEX(Mots!$E:$E,MATCH($A661,Mots!$A:$A,0)):INDEX(Mots!$K:$K,MATCH($A661,Mots!$A:$A,0))),0)</f>
        <v>2</v>
      </c>
      <c r="E661" s="17" t="str">
        <f>IF(COUNTIF(Classement!$A:$A,$A661)&gt;0,"ok","à faire")</f>
        <v>ok</v>
      </c>
      <c r="F661" s="17" t="str">
        <f>IF(COUNTIF(Tags!$A:$A,$A661)&gt;0,"ok","à faire")</f>
        <v>ok</v>
      </c>
      <c r="G661" s="17" t="str">
        <f>IF(COUNTIF(Phrases!$A:$A,$A661)&gt;0,"ok","à faire")</f>
        <v>à faire</v>
      </c>
      <c r="H661" s="17" t="str">
        <f>IF(COUNTIFS(Phrases!$A:$A,$A661,Phrases!$I:$I,"&lt;&gt;")&gt;0,"ok","à faire")</f>
        <v>à faire</v>
      </c>
      <c r="I661" s="17" t="str">
        <f>IF(COUNTIF(Synonymes!$A:$A,$A661)&gt;0,"ok","")</f>
        <v>ok</v>
      </c>
      <c r="J661" s="17">
        <f t="shared" si="10"/>
        <v>2</v>
      </c>
    </row>
    <row r="662" spans="1:10" x14ac:dyDescent="0.3">
      <c r="A662" s="17" t="s">
        <v>3509</v>
      </c>
      <c r="B662" s="17" t="str">
        <f>IFERROR(INDEX(Mots!$B:$B,MATCH($A662,Mots!$A:$A,0)),"introuvable")</f>
        <v>attendre</v>
      </c>
      <c r="C662" s="17" t="str">
        <f>IFERROR(INDEX(Mots!$N:$N,MATCH($A662,Mots!$A:$A,0)),"")</f>
        <v>action</v>
      </c>
      <c r="D662" s="17">
        <f>IFERROR(COUNTA(INDEX(Mots!$E:$E,MATCH($A662,Mots!$A:$A,0)):INDEX(Mots!$K:$K,MATCH($A662,Mots!$A:$A,0))),0)</f>
        <v>4</v>
      </c>
      <c r="E662" s="17" t="str">
        <f>IF(COUNTIF(Classement!$A:$A,$A662)&gt;0,"ok","à faire")</f>
        <v>ok</v>
      </c>
      <c r="F662" s="17" t="str">
        <f>IF(COUNTIF(Tags!$A:$A,$A662)&gt;0,"ok","à faire")</f>
        <v>ok</v>
      </c>
      <c r="G662" s="17" t="str">
        <f>IF(COUNTIF(Phrases!$A:$A,$A662)&gt;0,"ok","à faire")</f>
        <v>ok</v>
      </c>
      <c r="H662" s="17" t="str">
        <f>IF(COUNTIFS(Phrases!$A:$A,$A662,Phrases!$I:$I,"&lt;&gt;")&gt;0,"ok","à faire")</f>
        <v>à faire</v>
      </c>
      <c r="I662" s="17" t="str">
        <f>IF(COUNTIF(Synonymes!$A:$A,$A662)&gt;0,"ok","")</f>
        <v>ok</v>
      </c>
      <c r="J662" s="17">
        <f t="shared" si="10"/>
        <v>1</v>
      </c>
    </row>
    <row r="663" spans="1:10" x14ac:dyDescent="0.3">
      <c r="A663" s="17" t="s">
        <v>3516</v>
      </c>
      <c r="B663" s="17" t="str">
        <f>IFERROR(INDEX(Mots!$B:$B,MATCH($A663,Mots!$A:$A,0)),"introuvable")</f>
        <v>aussi</v>
      </c>
      <c r="C663" s="17" t="str">
        <f>IFERROR(INDEX(Mots!$N:$N,MATCH($A663,Mots!$A:$A,0)),"")</f>
        <v>mot utile</v>
      </c>
      <c r="D663" s="17">
        <f>IFERROR(COUNTA(INDEX(Mots!$E:$E,MATCH($A663,Mots!$A:$A,0)):INDEX(Mots!$K:$K,MATCH($A663,Mots!$A:$A,0))),0)</f>
        <v>2</v>
      </c>
      <c r="E663" s="17" t="str">
        <f>IF(COUNTIF(Classement!$A:$A,$A663)&gt;0,"ok","à faire")</f>
        <v>ok</v>
      </c>
      <c r="F663" s="17" t="str">
        <f>IF(COUNTIF(Tags!$A:$A,$A663)&gt;0,"ok","à faire")</f>
        <v>ok</v>
      </c>
      <c r="G663" s="17" t="str">
        <f>IF(COUNTIF(Phrases!$A:$A,$A663)&gt;0,"ok","à faire")</f>
        <v>ok</v>
      </c>
      <c r="H663" s="17" t="str">
        <f>IF(COUNTIFS(Phrases!$A:$A,$A663,Phrases!$I:$I,"&lt;&gt;")&gt;0,"ok","à faire")</f>
        <v>à faire</v>
      </c>
      <c r="I663" s="17" t="str">
        <f>IF(COUNTIF(Synonymes!$A:$A,$A663)&gt;0,"ok","")</f>
        <v/>
      </c>
      <c r="J663" s="17">
        <f t="shared" si="10"/>
        <v>1</v>
      </c>
    </row>
    <row r="664" spans="1:10" x14ac:dyDescent="0.3">
      <c r="A664" s="17" t="s">
        <v>3520</v>
      </c>
      <c r="B664" s="17" t="str">
        <f>IFERROR(INDEX(Mots!$B:$B,MATCH($A664,Mots!$A:$A,0)),"introuvable")</f>
        <v>autant</v>
      </c>
      <c r="C664" s="17" t="str">
        <f>IFERROR(INDEX(Mots!$N:$N,MATCH($A664,Mots!$A:$A,0)),"")</f>
        <v>mot utile</v>
      </c>
      <c r="D664" s="17">
        <f>IFERROR(COUNTA(INDEX(Mots!$E:$E,MATCH($A664,Mots!$A:$A,0)):INDEX(Mots!$K:$K,MATCH($A664,Mots!$A:$A,0))),0)</f>
        <v>2</v>
      </c>
      <c r="E664" s="17" t="str">
        <f>IF(COUNTIF(Classement!$A:$A,$A664)&gt;0,"ok","à faire")</f>
        <v>ok</v>
      </c>
      <c r="F664" s="17" t="str">
        <f>IF(COUNTIF(Tags!$A:$A,$A664)&gt;0,"ok","à faire")</f>
        <v>ok</v>
      </c>
      <c r="G664" s="17" t="str">
        <f>IF(COUNTIF(Phrases!$A:$A,$A664)&gt;0,"ok","à faire")</f>
        <v>à faire</v>
      </c>
      <c r="H664" s="17" t="str">
        <f>IF(COUNTIFS(Phrases!$A:$A,$A664,Phrases!$I:$I,"&lt;&gt;")&gt;0,"ok","à faire")</f>
        <v>à faire</v>
      </c>
      <c r="I664" s="17" t="str">
        <f>IF(COUNTIF(Synonymes!$A:$A,$A664)&gt;0,"ok","")</f>
        <v/>
      </c>
      <c r="J664" s="17">
        <f t="shared" si="10"/>
        <v>2</v>
      </c>
    </row>
    <row r="665" spans="1:10" x14ac:dyDescent="0.3">
      <c r="A665" s="17" t="s">
        <v>3524</v>
      </c>
      <c r="B665" s="17" t="str">
        <f>IFERROR(INDEX(Mots!$B:$B,MATCH($A665,Mots!$A:$A,0)),"introuvable")</f>
        <v>autour</v>
      </c>
      <c r="C665" s="17" t="str">
        <f>IFERROR(INDEX(Mots!$N:$N,MATCH($A665,Mots!$A:$A,0)),"")</f>
        <v>mot utile</v>
      </c>
      <c r="D665" s="17">
        <f>IFERROR(COUNTA(INDEX(Mots!$E:$E,MATCH($A665,Mots!$A:$A,0)):INDEX(Mots!$K:$K,MATCH($A665,Mots!$A:$A,0))),0)</f>
        <v>3</v>
      </c>
      <c r="E665" s="17" t="str">
        <f>IF(COUNTIF(Classement!$A:$A,$A665)&gt;0,"ok","à faire")</f>
        <v>ok</v>
      </c>
      <c r="F665" s="17" t="str">
        <f>IF(COUNTIF(Tags!$A:$A,$A665)&gt;0,"ok","à faire")</f>
        <v>ok</v>
      </c>
      <c r="G665" s="17" t="str">
        <f>IF(COUNTIF(Phrases!$A:$A,$A665)&gt;0,"ok","à faire")</f>
        <v>à faire</v>
      </c>
      <c r="H665" s="17" t="str">
        <f>IF(COUNTIFS(Phrases!$A:$A,$A665,Phrases!$I:$I,"&lt;&gt;")&gt;0,"ok","à faire")</f>
        <v>à faire</v>
      </c>
      <c r="I665" s="17" t="str">
        <f>IF(COUNTIF(Synonymes!$A:$A,$A665)&gt;0,"ok","")</f>
        <v/>
      </c>
      <c r="J665" s="17">
        <f t="shared" si="10"/>
        <v>2</v>
      </c>
    </row>
    <row r="666" spans="1:10" x14ac:dyDescent="0.3">
      <c r="A666" s="17" t="s">
        <v>3529</v>
      </c>
      <c r="B666" s="17" t="str">
        <f>IFERROR(INDEX(Mots!$B:$B,MATCH($A666,Mots!$A:$A,0)),"introuvable")</f>
        <v>avoir</v>
      </c>
      <c r="C666" s="17" t="str">
        <f>IFERROR(INDEX(Mots!$N:$N,MATCH($A666,Mots!$A:$A,0)),"")</f>
        <v>action</v>
      </c>
      <c r="D666" s="17">
        <f>IFERROR(COUNTA(INDEX(Mots!$E:$E,MATCH($A666,Mots!$A:$A,0)):INDEX(Mots!$K:$K,MATCH($A666,Mots!$A:$A,0))),0)</f>
        <v>1</v>
      </c>
      <c r="E666" s="17" t="str">
        <f>IF(COUNTIF(Classement!$A:$A,$A666)&gt;0,"ok","à faire")</f>
        <v>ok</v>
      </c>
      <c r="F666" s="17" t="str">
        <f>IF(COUNTIF(Tags!$A:$A,$A666)&gt;0,"ok","à faire")</f>
        <v>à faire</v>
      </c>
      <c r="G666" s="17" t="str">
        <f>IF(COUNTIF(Phrases!$A:$A,$A666)&gt;0,"ok","à faire")</f>
        <v>ok</v>
      </c>
      <c r="H666" s="17" t="str">
        <f>IF(COUNTIFS(Phrases!$A:$A,$A666,Phrases!$I:$I,"&lt;&gt;")&gt;0,"ok","à faire")</f>
        <v>ok</v>
      </c>
      <c r="I666" s="17" t="str">
        <f>IF(COUNTIF(Synonymes!$A:$A,$A666)&gt;0,"ok","")</f>
        <v>ok</v>
      </c>
      <c r="J666" s="17">
        <f t="shared" si="10"/>
        <v>1</v>
      </c>
    </row>
    <row r="667" spans="1:10" x14ac:dyDescent="0.3">
      <c r="A667" s="17" t="s">
        <v>3533</v>
      </c>
      <c r="B667" s="17" t="str">
        <f>IFERROR(INDEX(Mots!$B:$B,MATCH($A667,Mots!$A:$A,0)),"introuvable")</f>
        <v>avouer</v>
      </c>
      <c r="C667" s="17" t="str">
        <f>IFERROR(INDEX(Mots!$N:$N,MATCH($A667,Mots!$A:$A,0)),"")</f>
        <v>action</v>
      </c>
      <c r="D667" s="17">
        <f>IFERROR(COUNTA(INDEX(Mots!$E:$E,MATCH($A667,Mots!$A:$A,0)):INDEX(Mots!$K:$K,MATCH($A667,Mots!$A:$A,0))),0)</f>
        <v>1</v>
      </c>
      <c r="E667" s="17" t="str">
        <f>IF(COUNTIF(Classement!$A:$A,$A667)&gt;0,"ok","à faire")</f>
        <v>ok</v>
      </c>
      <c r="F667" s="17" t="str">
        <f>IF(COUNTIF(Tags!$A:$A,$A667)&gt;0,"ok","à faire")</f>
        <v>ok</v>
      </c>
      <c r="G667" s="17" t="str">
        <f>IF(COUNTIF(Phrases!$A:$A,$A667)&gt;0,"ok","à faire")</f>
        <v>ok</v>
      </c>
      <c r="H667" s="17" t="str">
        <f>IF(COUNTIFS(Phrases!$A:$A,$A667,Phrases!$I:$I,"&lt;&gt;")&gt;0,"ok","à faire")</f>
        <v>ok</v>
      </c>
      <c r="I667" s="17" t="str">
        <f>IF(COUNTIF(Synonymes!$A:$A,$A667)&gt;0,"ok","")</f>
        <v>ok</v>
      </c>
      <c r="J667" s="17">
        <f t="shared" si="10"/>
        <v>0</v>
      </c>
    </row>
    <row r="668" spans="1:10" x14ac:dyDescent="0.3">
      <c r="A668" s="17" t="s">
        <v>3537</v>
      </c>
      <c r="B668" s="17" t="str">
        <f>IFERROR(INDEX(Mots!$B:$B,MATCH($A668,Mots!$A:$A,0)),"introuvable")</f>
        <v>beaucoup</v>
      </c>
      <c r="C668" s="17" t="str">
        <f>IFERROR(INDEX(Mots!$N:$N,MATCH($A668,Mots!$A:$A,0)),"")</f>
        <v>mot utile</v>
      </c>
      <c r="D668" s="17">
        <f>IFERROR(COUNTA(INDEX(Mots!$E:$E,MATCH($A668,Mots!$A:$A,0)):INDEX(Mots!$K:$K,MATCH($A668,Mots!$A:$A,0))),0)</f>
        <v>2</v>
      </c>
      <c r="E668" s="17" t="str">
        <f>IF(COUNTIF(Classement!$A:$A,$A668)&gt;0,"ok","à faire")</f>
        <v>ok</v>
      </c>
      <c r="F668" s="17" t="str">
        <f>IF(COUNTIF(Tags!$A:$A,$A668)&gt;0,"ok","à faire")</f>
        <v>ok</v>
      </c>
      <c r="G668" s="17" t="str">
        <f>IF(COUNTIF(Phrases!$A:$A,$A668)&gt;0,"ok","à faire")</f>
        <v>à faire</v>
      </c>
      <c r="H668" s="17" t="str">
        <f>IF(COUNTIFS(Phrases!$A:$A,$A668,Phrases!$I:$I,"&lt;&gt;")&gt;0,"ok","à faire")</f>
        <v>à faire</v>
      </c>
      <c r="I668" s="17" t="str">
        <f>IF(COUNTIF(Synonymes!$A:$A,$A668)&gt;0,"ok","")</f>
        <v/>
      </c>
      <c r="J668" s="17">
        <f t="shared" si="10"/>
        <v>2</v>
      </c>
    </row>
    <row r="669" spans="1:10" x14ac:dyDescent="0.3">
      <c r="A669" s="17" t="s">
        <v>3541</v>
      </c>
      <c r="B669" s="17" t="str">
        <f>IFERROR(INDEX(Mots!$B:$B,MATCH($A669,Mots!$A:$A,0)),"introuvable")</f>
        <v>bien</v>
      </c>
      <c r="C669" s="17" t="str">
        <f>IFERROR(INDEX(Mots!$N:$N,MATCH($A669,Mots!$A:$A,0)),"")</f>
        <v>mot utile</v>
      </c>
      <c r="D669" s="17">
        <f>IFERROR(COUNTA(INDEX(Mots!$E:$E,MATCH($A669,Mots!$A:$A,0)):INDEX(Mots!$K:$K,MATCH($A669,Mots!$A:$A,0))),0)</f>
        <v>5</v>
      </c>
      <c r="E669" s="17" t="str">
        <f>IF(COUNTIF(Classement!$A:$A,$A669)&gt;0,"ok","à faire")</f>
        <v>ok</v>
      </c>
      <c r="F669" s="17" t="str">
        <f>IF(COUNTIF(Tags!$A:$A,$A669)&gt;0,"ok","à faire")</f>
        <v>ok</v>
      </c>
      <c r="G669" s="17" t="str">
        <f>IF(COUNTIF(Phrases!$A:$A,$A669)&gt;0,"ok","à faire")</f>
        <v>à faire</v>
      </c>
      <c r="H669" s="17" t="str">
        <f>IF(COUNTIFS(Phrases!$A:$A,$A669,Phrases!$I:$I,"&lt;&gt;")&gt;0,"ok","à faire")</f>
        <v>à faire</v>
      </c>
      <c r="I669" s="17" t="str">
        <f>IF(COUNTIF(Synonymes!$A:$A,$A669)&gt;0,"ok","")</f>
        <v>ok</v>
      </c>
      <c r="J669" s="17">
        <f t="shared" si="10"/>
        <v>2</v>
      </c>
    </row>
    <row r="670" spans="1:10" x14ac:dyDescent="0.3">
      <c r="A670" s="17" t="s">
        <v>3548</v>
      </c>
      <c r="B670" s="17" t="str">
        <f>IFERROR(INDEX(Mots!$B:$B,MATCH($A670,Mots!$A:$A,0)),"introuvable")</f>
        <v>bientôt</v>
      </c>
      <c r="C670" s="17" t="str">
        <f>IFERROR(INDEX(Mots!$N:$N,MATCH($A670,Mots!$A:$A,0)),"")</f>
        <v>mot utile</v>
      </c>
      <c r="D670" s="17">
        <f>IFERROR(COUNTA(INDEX(Mots!$E:$E,MATCH($A670,Mots!$A:$A,0)):INDEX(Mots!$K:$K,MATCH($A670,Mots!$A:$A,0))),0)</f>
        <v>2</v>
      </c>
      <c r="E670" s="17" t="str">
        <f>IF(COUNTIF(Classement!$A:$A,$A670)&gt;0,"ok","à faire")</f>
        <v>ok</v>
      </c>
      <c r="F670" s="17" t="str">
        <f>IF(COUNTIF(Tags!$A:$A,$A670)&gt;0,"ok","à faire")</f>
        <v>ok</v>
      </c>
      <c r="G670" s="17" t="str">
        <f>IF(COUNTIF(Phrases!$A:$A,$A670)&gt;0,"ok","à faire")</f>
        <v>à faire</v>
      </c>
      <c r="H670" s="17" t="str">
        <f>IF(COUNTIFS(Phrases!$A:$A,$A670,Phrases!$I:$I,"&lt;&gt;")&gt;0,"ok","à faire")</f>
        <v>à faire</v>
      </c>
      <c r="I670" s="17" t="str">
        <f>IF(COUNTIF(Synonymes!$A:$A,$A670)&gt;0,"ok","")</f>
        <v/>
      </c>
      <c r="J670" s="17">
        <f t="shared" si="10"/>
        <v>2</v>
      </c>
    </row>
    <row r="671" spans="1:10" x14ac:dyDescent="0.3">
      <c r="A671" s="17" t="s">
        <v>3553</v>
      </c>
      <c r="B671" s="17" t="str">
        <f>IFERROR(INDEX(Mots!$B:$B,MATCH($A671,Mots!$A:$A,0)),"introuvable")</f>
        <v>boire</v>
      </c>
      <c r="C671" s="17" t="str">
        <f>IFERROR(INDEX(Mots!$N:$N,MATCH($A671,Mots!$A:$A,0)),"")</f>
        <v>action</v>
      </c>
      <c r="D671" s="17">
        <f>IFERROR(COUNTA(INDEX(Mots!$E:$E,MATCH($A671,Mots!$A:$A,0)):INDEX(Mots!$K:$K,MATCH($A671,Mots!$A:$A,0))),0)</f>
        <v>5</v>
      </c>
      <c r="E671" s="17" t="str">
        <f>IF(COUNTIF(Classement!$A:$A,$A671)&gt;0,"ok","à faire")</f>
        <v>ok</v>
      </c>
      <c r="F671" s="17" t="str">
        <f>IF(COUNTIF(Tags!$A:$A,$A671)&gt;0,"ok","à faire")</f>
        <v>ok</v>
      </c>
      <c r="G671" s="17" t="str">
        <f>IF(COUNTIF(Phrases!$A:$A,$A671)&gt;0,"ok","à faire")</f>
        <v>ok</v>
      </c>
      <c r="H671" s="17" t="str">
        <f>IF(COUNTIFS(Phrases!$A:$A,$A671,Phrases!$I:$I,"&lt;&gt;")&gt;0,"ok","à faire")</f>
        <v>ok</v>
      </c>
      <c r="I671" s="17" t="str">
        <f>IF(COUNTIF(Synonymes!$A:$A,$A671)&gt;0,"ok","")</f>
        <v/>
      </c>
      <c r="J671" s="17">
        <f t="shared" si="10"/>
        <v>0</v>
      </c>
    </row>
    <row r="672" spans="1:10" x14ac:dyDescent="0.3">
      <c r="A672" s="17" t="s">
        <v>9516</v>
      </c>
      <c r="B672" s="17" t="str">
        <f>IFERROR(INDEX(Mots!$B:$B,MATCH($A672,Mots!$A:$A,0)),"introuvable")</f>
        <v>brun</v>
      </c>
      <c r="C672" s="17" t="str">
        <f>IFERROR(INDEX(Mots!$N:$N,MATCH($A672,Mots!$A:$A,0)),"")</f>
        <v>qualité</v>
      </c>
      <c r="D672" s="17">
        <f>IFERROR(COUNTA(INDEX(Mots!$E:$E,MATCH($A672,Mots!$A:$A,0)):INDEX(Mots!$K:$K,MATCH($A672,Mots!$A:$A,0))),0)</f>
        <v>1</v>
      </c>
      <c r="E672" s="17" t="str">
        <f>IF(COUNTIF(Classement!$A:$A,$A672)&gt;0,"ok","à faire")</f>
        <v>ok</v>
      </c>
      <c r="F672" s="17" t="str">
        <f>IF(COUNTIF(Tags!$A:$A,$A672)&gt;0,"ok","à faire")</f>
        <v>ok</v>
      </c>
      <c r="G672" s="17" t="str">
        <f>IF(COUNTIF(Phrases!$A:$A,$A672)&gt;0,"ok","à faire")</f>
        <v>ok</v>
      </c>
      <c r="H672" s="17" t="str">
        <f>IF(COUNTIFS(Phrases!$A:$A,$A672,Phrases!$I:$I,"&lt;&gt;")&gt;0,"ok","à faire")</f>
        <v>à faire</v>
      </c>
      <c r="I672" s="17" t="str">
        <f>IF(COUNTIF(Synonymes!$A:$A,$A672)&gt;0,"ok","")</f>
        <v/>
      </c>
      <c r="J672" s="17">
        <f t="shared" si="10"/>
        <v>1</v>
      </c>
    </row>
    <row r="673" spans="1:10" x14ac:dyDescent="0.3">
      <c r="A673" s="17" t="s">
        <v>3564</v>
      </c>
      <c r="B673" s="17" t="str">
        <f>IFERROR(INDEX(Mots!$B:$B,MATCH($A673,Mots!$A:$A,0)),"introuvable")</f>
        <v>brusquement</v>
      </c>
      <c r="C673" s="17" t="str">
        <f>IFERROR(INDEX(Mots!$N:$N,MATCH($A673,Mots!$A:$A,0)),"")</f>
        <v>qualité</v>
      </c>
      <c r="D673" s="17">
        <f>IFERROR(COUNTA(INDEX(Mots!$E:$E,MATCH($A673,Mots!$A:$A,0)):INDEX(Mots!$K:$K,MATCH($A673,Mots!$A:$A,0))),0)</f>
        <v>2</v>
      </c>
      <c r="E673" s="17" t="str">
        <f>IF(COUNTIF(Classement!$A:$A,$A673)&gt;0,"ok","à faire")</f>
        <v>ok</v>
      </c>
      <c r="F673" s="17" t="str">
        <f>IF(COUNTIF(Tags!$A:$A,$A673)&gt;0,"ok","à faire")</f>
        <v>à faire</v>
      </c>
      <c r="G673" s="17" t="str">
        <f>IF(COUNTIF(Phrases!$A:$A,$A673)&gt;0,"ok","à faire")</f>
        <v>ok</v>
      </c>
      <c r="H673" s="17" t="str">
        <f>IF(COUNTIFS(Phrases!$A:$A,$A673,Phrases!$I:$I,"&lt;&gt;")&gt;0,"ok","à faire")</f>
        <v>à faire</v>
      </c>
      <c r="I673" s="17" t="str">
        <f>IF(COUNTIF(Synonymes!$A:$A,$A673)&gt;0,"ok","")</f>
        <v>ok</v>
      </c>
      <c r="J673" s="17">
        <f t="shared" si="10"/>
        <v>2</v>
      </c>
    </row>
    <row r="674" spans="1:10" x14ac:dyDescent="0.3">
      <c r="A674" s="17" t="s">
        <v>3566</v>
      </c>
      <c r="B674" s="17" t="str">
        <f>IFERROR(INDEX(Mots!$B:$B,MATCH($A674,Mots!$A:$A,0)),"introuvable")</f>
        <v>cacher</v>
      </c>
      <c r="C674" s="17" t="str">
        <f>IFERROR(INDEX(Mots!$N:$N,MATCH($A674,Mots!$A:$A,0)),"")</f>
        <v>action</v>
      </c>
      <c r="D674" s="17">
        <f>IFERROR(COUNTA(INDEX(Mots!$E:$E,MATCH($A674,Mots!$A:$A,0)):INDEX(Mots!$K:$K,MATCH($A674,Mots!$A:$A,0))),0)</f>
        <v>5</v>
      </c>
      <c r="E674" s="17" t="str">
        <f>IF(COUNTIF(Classement!$A:$A,$A674)&gt;0,"ok","à faire")</f>
        <v>ok</v>
      </c>
      <c r="F674" s="17" t="str">
        <f>IF(COUNTIF(Tags!$A:$A,$A674)&gt;0,"ok","à faire")</f>
        <v>à faire</v>
      </c>
      <c r="G674" s="17" t="str">
        <f>IF(COUNTIF(Phrases!$A:$A,$A674)&gt;0,"ok","à faire")</f>
        <v>ok</v>
      </c>
      <c r="H674" s="17" t="str">
        <f>IF(COUNTIFS(Phrases!$A:$A,$A674,Phrases!$I:$I,"&lt;&gt;")&gt;0,"ok","à faire")</f>
        <v>ok</v>
      </c>
      <c r="I674" s="17" t="str">
        <f>IF(COUNTIF(Synonymes!$A:$A,$A674)&gt;0,"ok","")</f>
        <v>ok</v>
      </c>
      <c r="J674" s="17">
        <f t="shared" si="10"/>
        <v>1</v>
      </c>
    </row>
    <row r="675" spans="1:10" x14ac:dyDescent="0.3">
      <c r="A675" s="8" t="s">
        <v>9498</v>
      </c>
      <c r="B675" s="17" t="str">
        <f>IFERROR(INDEX(Mots!$B:$B,MATCH($A675,Mots!$A:$A,0)),"introuvable")</f>
        <v>cassé</v>
      </c>
      <c r="C675" s="17" t="str">
        <f>IFERROR(INDEX(Mots!$N:$N,MATCH($A675,Mots!$A:$A,0)),"")</f>
        <v>qualité</v>
      </c>
      <c r="D675" s="17">
        <f>IFERROR(COUNTA(INDEX(Mots!$E:$E,MATCH($A675,Mots!$A:$A,0)):INDEX(Mots!$K:$K,MATCH($A675,Mots!$A:$A,0))),0)</f>
        <v>5</v>
      </c>
      <c r="E675" s="17" t="str">
        <f>IF(COUNTIF(Classement!$A:$A,$A675)&gt;0,"ok","à faire")</f>
        <v>ok</v>
      </c>
      <c r="F675" s="17" t="str">
        <f>IF(COUNTIF(Tags!$A:$A,$A675)&gt;0,"ok","à faire")</f>
        <v>ok</v>
      </c>
      <c r="G675" s="17" t="str">
        <f>IF(COUNTIF(Phrases!$A:$A,$A675)&gt;0,"ok","à faire")</f>
        <v>ok</v>
      </c>
      <c r="H675" s="17" t="str">
        <f>IF(COUNTIFS(Phrases!$A:$A,$A675,Phrases!$I:$I,"&lt;&gt;")&gt;0,"ok","à faire")</f>
        <v>ok</v>
      </c>
      <c r="I675" s="17" t="str">
        <f>IF(COUNTIF(Synonymes!$A:$A,$A675)&gt;0,"ok","")</f>
        <v/>
      </c>
      <c r="J675" s="17">
        <f t="shared" si="10"/>
        <v>0</v>
      </c>
    </row>
    <row r="676" spans="1:10" x14ac:dyDescent="0.3">
      <c r="A676" s="17" t="s">
        <v>3576</v>
      </c>
      <c r="B676" s="17" t="str">
        <f>IFERROR(INDEX(Mots!$B:$B,MATCH($A676,Mots!$A:$A,0)),"introuvable")</f>
        <v>casser</v>
      </c>
      <c r="C676" s="17" t="str">
        <f>IFERROR(INDEX(Mots!$N:$N,MATCH($A676,Mots!$A:$A,0)),"")</f>
        <v>action</v>
      </c>
      <c r="D676" s="17">
        <f>IFERROR(COUNTA(INDEX(Mots!$E:$E,MATCH($A676,Mots!$A:$A,0)):INDEX(Mots!$K:$K,MATCH($A676,Mots!$A:$A,0))),0)</f>
        <v>5</v>
      </c>
      <c r="E676" s="17" t="str">
        <f>IF(COUNTIF(Classement!$A:$A,$A676)&gt;0,"ok","à faire")</f>
        <v>ok</v>
      </c>
      <c r="F676" s="17" t="str">
        <f>IF(COUNTIF(Tags!$A:$A,$A676)&gt;0,"ok","à faire")</f>
        <v>à faire</v>
      </c>
      <c r="G676" s="17" t="str">
        <f>IF(COUNTIF(Phrases!$A:$A,$A676)&gt;0,"ok","à faire")</f>
        <v>ok</v>
      </c>
      <c r="H676" s="17" t="str">
        <f>IF(COUNTIFS(Phrases!$A:$A,$A676,Phrases!$I:$I,"&lt;&gt;")&gt;0,"ok","à faire")</f>
        <v>ok</v>
      </c>
      <c r="I676" s="17" t="str">
        <f>IF(COUNTIF(Synonymes!$A:$A,$A676)&gt;0,"ok","")</f>
        <v>ok</v>
      </c>
      <c r="J676" s="17">
        <f t="shared" si="10"/>
        <v>1</v>
      </c>
    </row>
    <row r="677" spans="1:10" x14ac:dyDescent="0.3">
      <c r="A677" s="17" t="s">
        <v>3584</v>
      </c>
      <c r="B677" s="17" t="str">
        <f>IFERROR(INDEX(Mots!$B:$B,MATCH($A677,Mots!$A:$A,0)),"introuvable")</f>
        <v>certain</v>
      </c>
      <c r="C677" s="17" t="str">
        <f>IFERROR(INDEX(Mots!$N:$N,MATCH($A677,Mots!$A:$A,0)),"")</f>
        <v>qualité</v>
      </c>
      <c r="D677" s="17">
        <f>IFERROR(COUNTA(INDEX(Mots!$E:$E,MATCH($A677,Mots!$A:$A,0)):INDEX(Mots!$K:$K,MATCH($A677,Mots!$A:$A,0))),0)</f>
        <v>1</v>
      </c>
      <c r="E677" s="17" t="str">
        <f>IF(COUNTIF(Classement!$A:$A,$A677)&gt;0,"ok","à faire")</f>
        <v>ok</v>
      </c>
      <c r="F677" s="17" t="str">
        <f>IF(COUNTIF(Tags!$A:$A,$A677)&gt;0,"ok","à faire")</f>
        <v>à faire</v>
      </c>
      <c r="G677" s="17" t="str">
        <f>IF(COUNTIF(Phrases!$A:$A,$A677)&gt;0,"ok","à faire")</f>
        <v>ok</v>
      </c>
      <c r="H677" s="17" t="str">
        <f>IF(COUNTIFS(Phrases!$A:$A,$A677,Phrases!$I:$I,"&lt;&gt;")&gt;0,"ok","à faire")</f>
        <v>ok</v>
      </c>
      <c r="I677" s="17" t="str">
        <f>IF(COUNTIF(Synonymes!$A:$A,$A677)&gt;0,"ok","")</f>
        <v/>
      </c>
      <c r="J677" s="17">
        <f t="shared" si="10"/>
        <v>1</v>
      </c>
    </row>
    <row r="678" spans="1:10" x14ac:dyDescent="0.3">
      <c r="A678" s="17" t="s">
        <v>3587</v>
      </c>
      <c r="B678" s="17" t="str">
        <f>IFERROR(INDEX(Mots!$B:$B,MATCH($A678,Mots!$A:$A,0)),"introuvable")</f>
        <v>changer</v>
      </c>
      <c r="C678" s="17" t="str">
        <f>IFERROR(INDEX(Mots!$N:$N,MATCH($A678,Mots!$A:$A,0)),"")</f>
        <v>action</v>
      </c>
      <c r="D678" s="17">
        <f>IFERROR(COUNTA(INDEX(Mots!$E:$E,MATCH($A678,Mots!$A:$A,0)):INDEX(Mots!$K:$K,MATCH($A678,Mots!$A:$A,0))),0)</f>
        <v>3</v>
      </c>
      <c r="E678" s="17" t="str">
        <f>IF(COUNTIF(Classement!$A:$A,$A678)&gt;0,"ok","à faire")</f>
        <v>ok</v>
      </c>
      <c r="F678" s="17" t="str">
        <f>IF(COUNTIF(Tags!$A:$A,$A678)&gt;0,"ok","à faire")</f>
        <v>ok</v>
      </c>
      <c r="G678" s="17" t="str">
        <f>IF(COUNTIF(Phrases!$A:$A,$A678)&gt;0,"ok","à faire")</f>
        <v>ok</v>
      </c>
      <c r="H678" s="17" t="str">
        <f>IF(COUNTIFS(Phrases!$A:$A,$A678,Phrases!$I:$I,"&lt;&gt;")&gt;0,"ok","à faire")</f>
        <v>à faire</v>
      </c>
      <c r="I678" s="17" t="str">
        <f>IF(COUNTIF(Synonymes!$A:$A,$A678)&gt;0,"ok","")</f>
        <v/>
      </c>
      <c r="J678" s="17">
        <f t="shared" si="10"/>
        <v>1</v>
      </c>
    </row>
    <row r="679" spans="1:10" x14ac:dyDescent="0.3">
      <c r="A679" s="17" t="s">
        <v>3593</v>
      </c>
      <c r="B679" s="17" t="str">
        <f>IFERROR(INDEX(Mots!$B:$B,MATCH($A679,Mots!$A:$A,0)),"introuvable")</f>
        <v>chanter</v>
      </c>
      <c r="C679" s="17" t="str">
        <f>IFERROR(INDEX(Mots!$N:$N,MATCH($A679,Mots!$A:$A,0)),"")</f>
        <v>action</v>
      </c>
      <c r="D679" s="17">
        <f>IFERROR(COUNTA(INDEX(Mots!$E:$E,MATCH($A679,Mots!$A:$A,0)):INDEX(Mots!$K:$K,MATCH($A679,Mots!$A:$A,0))),0)</f>
        <v>5</v>
      </c>
      <c r="E679" s="17" t="str">
        <f>IF(COUNTIF(Classement!$A:$A,$A679)&gt;0,"ok","à faire")</f>
        <v>ok</v>
      </c>
      <c r="F679" s="17" t="str">
        <f>IF(COUNTIF(Tags!$A:$A,$A679)&gt;0,"ok","à faire")</f>
        <v>ok</v>
      </c>
      <c r="G679" s="17" t="str">
        <f>IF(COUNTIF(Phrases!$A:$A,$A679)&gt;0,"ok","à faire")</f>
        <v>ok</v>
      </c>
      <c r="H679" s="17" t="str">
        <f>IF(COUNTIFS(Phrases!$A:$A,$A679,Phrases!$I:$I,"&lt;&gt;")&gt;0,"ok","à faire")</f>
        <v>ok</v>
      </c>
      <c r="I679" s="17" t="str">
        <f>IF(COUNTIF(Synonymes!$A:$A,$A679)&gt;0,"ok","")</f>
        <v/>
      </c>
      <c r="J679" s="17">
        <f t="shared" si="10"/>
        <v>0</v>
      </c>
    </row>
    <row r="680" spans="1:10" x14ac:dyDescent="0.3">
      <c r="A680" s="17" t="s">
        <v>3601</v>
      </c>
      <c r="B680" s="17" t="str">
        <f>IFERROR(INDEX(Mots!$B:$B,MATCH($A680,Mots!$A:$A,0)),"introuvable")</f>
        <v>chercher</v>
      </c>
      <c r="C680" s="17" t="str">
        <f>IFERROR(INDEX(Mots!$N:$N,MATCH($A680,Mots!$A:$A,0)),"")</f>
        <v>action</v>
      </c>
      <c r="D680" s="17">
        <f>IFERROR(COUNTA(INDEX(Mots!$E:$E,MATCH($A680,Mots!$A:$A,0)):INDEX(Mots!$K:$K,MATCH($A680,Mots!$A:$A,0))),0)</f>
        <v>4</v>
      </c>
      <c r="E680" s="17" t="str">
        <f>IF(COUNTIF(Classement!$A:$A,$A680)&gt;0,"ok","à faire")</f>
        <v>ok</v>
      </c>
      <c r="F680" s="17" t="str">
        <f>IF(COUNTIF(Tags!$A:$A,$A680)&gt;0,"ok","à faire")</f>
        <v>à faire</v>
      </c>
      <c r="G680" s="17" t="str">
        <f>IF(COUNTIF(Phrases!$A:$A,$A680)&gt;0,"ok","à faire")</f>
        <v>ok</v>
      </c>
      <c r="H680" s="17" t="str">
        <f>IF(COUNTIFS(Phrases!$A:$A,$A680,Phrases!$I:$I,"&lt;&gt;")&gt;0,"ok","à faire")</f>
        <v>ok</v>
      </c>
      <c r="I680" s="17" t="str">
        <f>IF(COUNTIF(Synonymes!$A:$A,$A680)&gt;0,"ok","")</f>
        <v/>
      </c>
      <c r="J680" s="17">
        <f t="shared" si="10"/>
        <v>1</v>
      </c>
    </row>
    <row r="681" spans="1:10" x14ac:dyDescent="0.3">
      <c r="A681" s="17" t="s">
        <v>3608</v>
      </c>
      <c r="B681" s="17" t="str">
        <f>IFERROR(INDEX(Mots!$B:$B,MATCH($A681,Mots!$A:$A,0)),"introuvable")</f>
        <v>choisir</v>
      </c>
      <c r="C681" s="17" t="str">
        <f>IFERROR(INDEX(Mots!$N:$N,MATCH($A681,Mots!$A:$A,0)),"")</f>
        <v>action</v>
      </c>
      <c r="D681" s="17">
        <f>IFERROR(COUNTA(INDEX(Mots!$E:$E,MATCH($A681,Mots!$A:$A,0)):INDEX(Mots!$K:$K,MATCH($A681,Mots!$A:$A,0))),0)</f>
        <v>4</v>
      </c>
      <c r="E681" s="17" t="str">
        <f>IF(COUNTIF(Classement!$A:$A,$A681)&gt;0,"ok","à faire")</f>
        <v>ok</v>
      </c>
      <c r="F681" s="17" t="str">
        <f>IF(COUNTIF(Tags!$A:$A,$A681)&gt;0,"ok","à faire")</f>
        <v>ok</v>
      </c>
      <c r="G681" s="17" t="str">
        <f>IF(COUNTIF(Phrases!$A:$A,$A681)&gt;0,"ok","à faire")</f>
        <v>ok</v>
      </c>
      <c r="H681" s="17" t="str">
        <f>IF(COUNTIFS(Phrases!$A:$A,$A681,Phrases!$I:$I,"&lt;&gt;")&gt;0,"ok","à faire")</f>
        <v>à faire</v>
      </c>
      <c r="I681" s="17" t="str">
        <f>IF(COUNTIF(Synonymes!$A:$A,$A681)&gt;0,"ok","")</f>
        <v/>
      </c>
      <c r="J681" s="17">
        <f t="shared" si="10"/>
        <v>1</v>
      </c>
    </row>
    <row r="682" spans="1:10" x14ac:dyDescent="0.3">
      <c r="A682" s="17" t="s">
        <v>3615</v>
      </c>
      <c r="B682" s="17" t="str">
        <f>IFERROR(INDEX(Mots!$B:$B,MATCH($A682,Mots!$A:$A,0)),"introuvable")</f>
        <v>Christophe Germanier</v>
      </c>
      <c r="C682" s="17" t="str">
        <f>IFERROR(INDEX(Mots!$N:$N,MATCH($A682,Mots!$A:$A,0)),"")</f>
        <v>personne</v>
      </c>
      <c r="D682" s="17">
        <f>IFERROR(COUNTA(INDEX(Mots!$E:$E,MATCH($A682,Mots!$A:$A,0)):INDEX(Mots!$K:$K,MATCH($A682,Mots!$A:$A,0))),0)</f>
        <v>1</v>
      </c>
      <c r="E682" s="17" t="str">
        <f>IF(COUNTIF(Classement!$A:$A,$A682)&gt;0,"ok","à faire")</f>
        <v>ok</v>
      </c>
      <c r="F682" s="17" t="str">
        <f>IF(COUNTIF(Tags!$A:$A,$A682)&gt;0,"ok","à faire")</f>
        <v>ok</v>
      </c>
      <c r="G682" s="17" t="str">
        <f>IF(COUNTIF(Phrases!$A:$A,$A682)&gt;0,"ok","à faire")</f>
        <v>à faire</v>
      </c>
      <c r="H682" s="17" t="str">
        <f>IF(COUNTIFS(Phrases!$A:$A,$A682,Phrases!$I:$I,"&lt;&gt;")&gt;0,"ok","à faire")</f>
        <v>à faire</v>
      </c>
      <c r="I682" s="17" t="str">
        <f>IF(COUNTIF(Synonymes!$A:$A,$A682)&gt;0,"ok","")</f>
        <v/>
      </c>
      <c r="J682" s="17">
        <f t="shared" si="10"/>
        <v>2</v>
      </c>
    </row>
    <row r="683" spans="1:10" x14ac:dyDescent="0.3">
      <c r="A683" s="17" t="s">
        <v>3619</v>
      </c>
      <c r="B683" s="17" t="str">
        <f>IFERROR(INDEX(Mots!$B:$B,MATCH($A683,Mots!$A:$A,0)),"introuvable")</f>
        <v>chuchoter</v>
      </c>
      <c r="C683" s="17" t="str">
        <f>IFERROR(INDEX(Mots!$N:$N,MATCH($A683,Mots!$A:$A,0)),"")</f>
        <v>action</v>
      </c>
      <c r="D683" s="17">
        <f>IFERROR(COUNTA(INDEX(Mots!$E:$E,MATCH($A683,Mots!$A:$A,0)):INDEX(Mots!$K:$K,MATCH($A683,Mots!$A:$A,0))),0)</f>
        <v>4</v>
      </c>
      <c r="E683" s="17" t="str">
        <f>IF(COUNTIF(Classement!$A:$A,$A683)&gt;0,"ok","à faire")</f>
        <v>ok</v>
      </c>
      <c r="F683" s="17" t="str">
        <f>IF(COUNTIF(Tags!$A:$A,$A683)&gt;0,"ok","à faire")</f>
        <v>ok</v>
      </c>
      <c r="G683" s="17" t="str">
        <f>IF(COUNTIF(Phrases!$A:$A,$A683)&gt;0,"ok","à faire")</f>
        <v>ok</v>
      </c>
      <c r="H683" s="17" t="str">
        <f>IF(COUNTIFS(Phrases!$A:$A,$A683,Phrases!$I:$I,"&lt;&gt;")&gt;0,"ok","à faire")</f>
        <v>à faire</v>
      </c>
      <c r="I683" s="17" t="str">
        <f>IF(COUNTIF(Synonymes!$A:$A,$A683)&gt;0,"ok","")</f>
        <v>ok</v>
      </c>
      <c r="J683" s="17">
        <f t="shared" si="10"/>
        <v>1</v>
      </c>
    </row>
    <row r="684" spans="1:10" x14ac:dyDescent="0.3">
      <c r="A684" s="17" t="s">
        <v>3626</v>
      </c>
      <c r="B684" s="17" t="str">
        <f>IFERROR(INDEX(Mots!$B:$B,MATCH($A684,Mots!$A:$A,0)),"introuvable")</f>
        <v>Claudine Fumeaux</v>
      </c>
      <c r="C684" s="17" t="str">
        <f>IFERROR(INDEX(Mots!$N:$N,MATCH($A684,Mots!$A:$A,0)),"")</f>
        <v>personne</v>
      </c>
      <c r="D684" s="17">
        <f>IFERROR(COUNTA(INDEX(Mots!$E:$E,MATCH($A684,Mots!$A:$A,0)):INDEX(Mots!$K:$K,MATCH($A684,Mots!$A:$A,0))),0)</f>
        <v>1</v>
      </c>
      <c r="E684" s="17" t="str">
        <f>IF(COUNTIF(Classement!$A:$A,$A684)&gt;0,"ok","à faire")</f>
        <v>ok</v>
      </c>
      <c r="F684" s="17" t="str">
        <f>IF(COUNTIF(Tags!$A:$A,$A684)&gt;0,"ok","à faire")</f>
        <v>ok</v>
      </c>
      <c r="G684" s="17" t="str">
        <f>IF(COUNTIF(Phrases!$A:$A,$A684)&gt;0,"ok","à faire")</f>
        <v>à faire</v>
      </c>
      <c r="H684" s="17" t="str">
        <f>IF(COUNTIFS(Phrases!$A:$A,$A684,Phrases!$I:$I,"&lt;&gt;")&gt;0,"ok","à faire")</f>
        <v>à faire</v>
      </c>
      <c r="I684" s="17" t="str">
        <f>IF(COUNTIF(Synonymes!$A:$A,$A684)&gt;0,"ok","")</f>
        <v/>
      </c>
      <c r="J684" s="17">
        <f t="shared" si="10"/>
        <v>2</v>
      </c>
    </row>
    <row r="685" spans="1:10" x14ac:dyDescent="0.3">
      <c r="A685" s="17" t="s">
        <v>3630</v>
      </c>
      <c r="B685" s="17" t="str">
        <f>IFERROR(INDEX(Mots!$B:$B,MATCH($A685,Mots!$A:$A,0)),"introuvable")</f>
        <v>collant</v>
      </c>
      <c r="C685" s="17" t="str">
        <f>IFERROR(INDEX(Mots!$N:$N,MATCH($A685,Mots!$A:$A,0)),"")</f>
        <v>qualité</v>
      </c>
      <c r="D685" s="17">
        <f>IFERROR(COUNTA(INDEX(Mots!$E:$E,MATCH($A685,Mots!$A:$A,0)):INDEX(Mots!$K:$K,MATCH($A685,Mots!$A:$A,0))),0)</f>
        <v>5</v>
      </c>
      <c r="E685" s="17" t="str">
        <f>IF(COUNTIF(Classement!$A:$A,$A685)&gt;0,"ok","à faire")</f>
        <v>ok</v>
      </c>
      <c r="F685" s="17" t="str">
        <f>IF(COUNTIF(Tags!$A:$A,$A685)&gt;0,"ok","à faire")</f>
        <v>ok</v>
      </c>
      <c r="G685" s="17" t="str">
        <f>IF(COUNTIF(Phrases!$A:$A,$A685)&gt;0,"ok","à faire")</f>
        <v>ok</v>
      </c>
      <c r="H685" s="17" t="str">
        <f>IF(COUNTIFS(Phrases!$A:$A,$A685,Phrases!$I:$I,"&lt;&gt;")&gt;0,"ok","à faire")</f>
        <v>à faire</v>
      </c>
      <c r="I685" s="17" t="str">
        <f>IF(COUNTIF(Synonymes!$A:$A,$A685)&gt;0,"ok","")</f>
        <v/>
      </c>
      <c r="J685" s="17">
        <f t="shared" si="10"/>
        <v>1</v>
      </c>
    </row>
    <row r="686" spans="1:10" x14ac:dyDescent="0.3">
      <c r="A686" s="8" t="s">
        <v>9484</v>
      </c>
      <c r="B686" s="17" t="str">
        <f>IFERROR(INDEX(Mots!$B:$B,MATCH($A686,Mots!$A:$A,0)),"introuvable")</f>
        <v>colorée</v>
      </c>
      <c r="C686" s="17" t="str">
        <f>IFERROR(INDEX(Mots!$N:$N,MATCH($A686,Mots!$A:$A,0)),"")</f>
        <v>qualité</v>
      </c>
      <c r="D686" s="17">
        <f>IFERROR(COUNTA(INDEX(Mots!$E:$E,MATCH($A686,Mots!$A:$A,0)):INDEX(Mots!$K:$K,MATCH($A686,Mots!$A:$A,0))),0)</f>
        <v>5</v>
      </c>
      <c r="E686" s="17" t="str">
        <f>IF(COUNTIF(Classement!$A:$A,$A686)&gt;0,"ok","à faire")</f>
        <v>ok</v>
      </c>
      <c r="F686" s="17" t="str">
        <f>IF(COUNTIF(Tags!$A:$A,$A686)&gt;0,"ok","à faire")</f>
        <v>ok</v>
      </c>
      <c r="G686" s="17" t="str">
        <f>IF(COUNTIF(Phrases!$A:$A,$A686)&gt;0,"ok","à faire")</f>
        <v>ok</v>
      </c>
      <c r="H686" s="17" t="str">
        <f>IF(COUNTIFS(Phrases!$A:$A,$A686,Phrases!$I:$I,"&lt;&gt;")&gt;0,"ok","à faire")</f>
        <v>à faire</v>
      </c>
      <c r="I686" s="17" t="str">
        <f>IF(COUNTIF(Synonymes!$A:$A,$A686)&gt;0,"ok","")</f>
        <v/>
      </c>
      <c r="J686" s="17">
        <f t="shared" si="10"/>
        <v>1</v>
      </c>
    </row>
    <row r="687" spans="1:10" x14ac:dyDescent="0.3">
      <c r="A687" s="17" t="s">
        <v>3639</v>
      </c>
      <c r="B687" s="17" t="str">
        <f>IFERROR(INDEX(Mots!$B:$B,MATCH($A687,Mots!$A:$A,0)),"introuvable")</f>
        <v>commencer</v>
      </c>
      <c r="C687" s="17" t="str">
        <f>IFERROR(INDEX(Mots!$N:$N,MATCH($A687,Mots!$A:$A,0)),"")</f>
        <v>action</v>
      </c>
      <c r="D687" s="17">
        <f>IFERROR(COUNTA(INDEX(Mots!$E:$E,MATCH($A687,Mots!$A:$A,0)):INDEX(Mots!$K:$K,MATCH($A687,Mots!$A:$A,0))),0)</f>
        <v>3</v>
      </c>
      <c r="E687" s="17" t="str">
        <f>IF(COUNTIF(Classement!$A:$A,$A687)&gt;0,"ok","à faire")</f>
        <v>ok</v>
      </c>
      <c r="F687" s="17" t="str">
        <f>IF(COUNTIF(Tags!$A:$A,$A687)&gt;0,"ok","à faire")</f>
        <v>à faire</v>
      </c>
      <c r="G687" s="17" t="str">
        <f>IF(COUNTIF(Phrases!$A:$A,$A687)&gt;0,"ok","à faire")</f>
        <v>ok</v>
      </c>
      <c r="H687" s="17" t="str">
        <f>IF(COUNTIFS(Phrases!$A:$A,$A687,Phrases!$I:$I,"&lt;&gt;")&gt;0,"ok","à faire")</f>
        <v>à faire</v>
      </c>
      <c r="I687" s="17" t="str">
        <f>IF(COUNTIF(Synonymes!$A:$A,$A687)&gt;0,"ok","")</f>
        <v>ok</v>
      </c>
      <c r="J687" s="17">
        <f t="shared" si="10"/>
        <v>2</v>
      </c>
    </row>
    <row r="688" spans="1:10" x14ac:dyDescent="0.3">
      <c r="A688" s="17" t="s">
        <v>3646</v>
      </c>
      <c r="B688" s="17" t="str">
        <f>IFERROR(INDEX(Mots!$B:$B,MATCH($A688,Mots!$A:$A,0)),"introuvable")</f>
        <v>comparer</v>
      </c>
      <c r="C688" s="17" t="str">
        <f>IFERROR(INDEX(Mots!$N:$N,MATCH($A688,Mots!$A:$A,0)),"")</f>
        <v>action</v>
      </c>
      <c r="D688" s="17">
        <f>IFERROR(COUNTA(INDEX(Mots!$E:$E,MATCH($A688,Mots!$A:$A,0)):INDEX(Mots!$K:$K,MATCH($A688,Mots!$A:$A,0))),0)</f>
        <v>3</v>
      </c>
      <c r="E688" s="17" t="str">
        <f>IF(COUNTIF(Classement!$A:$A,$A688)&gt;0,"ok","à faire")</f>
        <v>ok</v>
      </c>
      <c r="F688" s="17" t="str">
        <f>IF(COUNTIF(Tags!$A:$A,$A688)&gt;0,"ok","à faire")</f>
        <v>ok</v>
      </c>
      <c r="G688" s="17" t="str">
        <f>IF(COUNTIF(Phrases!$A:$A,$A688)&gt;0,"ok","à faire")</f>
        <v>ok</v>
      </c>
      <c r="H688" s="17" t="str">
        <f>IF(COUNTIFS(Phrases!$A:$A,$A688,Phrases!$I:$I,"&lt;&gt;")&gt;0,"ok","à faire")</f>
        <v>à faire</v>
      </c>
      <c r="I688" s="17" t="str">
        <f>IF(COUNTIF(Synonymes!$A:$A,$A688)&gt;0,"ok","")</f>
        <v/>
      </c>
      <c r="J688" s="17">
        <f t="shared" si="10"/>
        <v>1</v>
      </c>
    </row>
    <row r="689" spans="1:10" x14ac:dyDescent="0.3">
      <c r="A689" s="17" t="s">
        <v>3653</v>
      </c>
      <c r="B689" s="17" t="str">
        <f>IFERROR(INDEX(Mots!$B:$B,MATCH($A689,Mots!$A:$A,0)),"introuvable")</f>
        <v>complet</v>
      </c>
      <c r="C689" s="17" t="str">
        <f>IFERROR(INDEX(Mots!$N:$N,MATCH($A689,Mots!$A:$A,0)),"")</f>
        <v>qualité</v>
      </c>
      <c r="D689" s="17">
        <f>IFERROR(COUNTA(INDEX(Mots!$E:$E,MATCH($A689,Mots!$A:$A,0)):INDEX(Mots!$K:$K,MATCH($A689,Mots!$A:$A,0))),0)</f>
        <v>2</v>
      </c>
      <c r="E689" s="17" t="str">
        <f>IF(COUNTIF(Classement!$A:$A,$A689)&gt;0,"ok","à faire")</f>
        <v>ok</v>
      </c>
      <c r="F689" s="17" t="str">
        <f>IF(COUNTIF(Tags!$A:$A,$A689)&gt;0,"ok","à faire")</f>
        <v>à faire</v>
      </c>
      <c r="G689" s="17" t="str">
        <f>IF(COUNTIF(Phrases!$A:$A,$A689)&gt;0,"ok","à faire")</f>
        <v>ok</v>
      </c>
      <c r="H689" s="17" t="str">
        <f>IF(COUNTIFS(Phrases!$A:$A,$A689,Phrases!$I:$I,"&lt;&gt;")&gt;0,"ok","à faire")</f>
        <v>ok</v>
      </c>
      <c r="I689" s="17" t="str">
        <f>IF(COUNTIF(Synonymes!$A:$A,$A689)&gt;0,"ok","")</f>
        <v>ok</v>
      </c>
      <c r="J689" s="17">
        <f t="shared" si="10"/>
        <v>1</v>
      </c>
    </row>
    <row r="690" spans="1:10" x14ac:dyDescent="0.3">
      <c r="A690" s="17" t="s">
        <v>3657</v>
      </c>
      <c r="B690" s="17" t="str">
        <f>IFERROR(INDEX(Mots!$B:$B,MATCH($A690,Mots!$A:$A,0)),"introuvable")</f>
        <v>comprendre</v>
      </c>
      <c r="C690" s="17" t="str">
        <f>IFERROR(INDEX(Mots!$N:$N,MATCH($A690,Mots!$A:$A,0)),"")</f>
        <v>action</v>
      </c>
      <c r="D690" s="17">
        <f>IFERROR(COUNTA(INDEX(Mots!$E:$E,MATCH($A690,Mots!$A:$A,0)):INDEX(Mots!$K:$K,MATCH($A690,Mots!$A:$A,0))),0)</f>
        <v>3</v>
      </c>
      <c r="E690" s="17" t="str">
        <f>IF(COUNTIF(Classement!$A:$A,$A690)&gt;0,"ok","à faire")</f>
        <v>ok</v>
      </c>
      <c r="F690" s="17" t="str">
        <f>IF(COUNTIF(Tags!$A:$A,$A690)&gt;0,"ok","à faire")</f>
        <v>ok</v>
      </c>
      <c r="G690" s="17" t="str">
        <f>IF(COUNTIF(Phrases!$A:$A,$A690)&gt;0,"ok","à faire")</f>
        <v>ok</v>
      </c>
      <c r="H690" s="17" t="str">
        <f>IF(COUNTIFS(Phrases!$A:$A,$A690,Phrases!$I:$I,"&lt;&gt;")&gt;0,"ok","à faire")</f>
        <v>ok</v>
      </c>
      <c r="I690" s="17" t="str">
        <f>IF(COUNTIF(Synonymes!$A:$A,$A690)&gt;0,"ok","")</f>
        <v>ok</v>
      </c>
      <c r="J690" s="17">
        <f t="shared" si="10"/>
        <v>0</v>
      </c>
    </row>
    <row r="691" spans="1:10" x14ac:dyDescent="0.3">
      <c r="A691" s="17" t="s">
        <v>3663</v>
      </c>
      <c r="B691" s="17" t="str">
        <f>IFERROR(INDEX(Mots!$B:$B,MATCH($A691,Mots!$A:$A,0)),"introuvable")</f>
        <v>compter</v>
      </c>
      <c r="C691" s="17" t="str">
        <f>IFERROR(INDEX(Mots!$N:$N,MATCH($A691,Mots!$A:$A,0)),"")</f>
        <v>action</v>
      </c>
      <c r="D691" s="17">
        <f>IFERROR(COUNTA(INDEX(Mots!$E:$E,MATCH($A691,Mots!$A:$A,0)):INDEX(Mots!$K:$K,MATCH($A691,Mots!$A:$A,0))),0)</f>
        <v>5</v>
      </c>
      <c r="E691" s="17" t="str">
        <f>IF(COUNTIF(Classement!$A:$A,$A691)&gt;0,"ok","à faire")</f>
        <v>ok</v>
      </c>
      <c r="F691" s="17" t="str">
        <f>IF(COUNTIF(Tags!$A:$A,$A691)&gt;0,"ok","à faire")</f>
        <v>ok</v>
      </c>
      <c r="G691" s="17" t="str">
        <f>IF(COUNTIF(Phrases!$A:$A,$A691)&gt;0,"ok","à faire")</f>
        <v>ok</v>
      </c>
      <c r="H691" s="17" t="str">
        <f>IF(COUNTIFS(Phrases!$A:$A,$A691,Phrases!$I:$I,"&lt;&gt;")&gt;0,"ok","à faire")</f>
        <v>ok</v>
      </c>
      <c r="I691" s="17" t="str">
        <f>IF(COUNTIF(Synonymes!$A:$A,$A691)&gt;0,"ok","")</f>
        <v/>
      </c>
      <c r="J691" s="17">
        <f t="shared" si="10"/>
        <v>0</v>
      </c>
    </row>
    <row r="692" spans="1:10" x14ac:dyDescent="0.3">
      <c r="A692" s="17" t="s">
        <v>3671</v>
      </c>
      <c r="B692" s="17" t="str">
        <f>IFERROR(INDEX(Mots!$B:$B,MATCH($A692,Mots!$A:$A,0)),"introuvable")</f>
        <v>confortable</v>
      </c>
      <c r="C692" s="17" t="str">
        <f>IFERROR(INDEX(Mots!$N:$N,MATCH($A692,Mots!$A:$A,0)),"")</f>
        <v>qualité</v>
      </c>
      <c r="D692" s="17">
        <f>IFERROR(COUNTA(INDEX(Mots!$E:$E,MATCH($A692,Mots!$A:$A,0)):INDEX(Mots!$K:$K,MATCH($A692,Mots!$A:$A,0))),0)</f>
        <v>4</v>
      </c>
      <c r="E692" s="17" t="str">
        <f>IF(COUNTIF(Classement!$A:$A,$A692)&gt;0,"ok","à faire")</f>
        <v>ok</v>
      </c>
      <c r="F692" s="17" t="str">
        <f>IF(COUNTIF(Tags!$A:$A,$A692)&gt;0,"ok","à faire")</f>
        <v>à faire</v>
      </c>
      <c r="G692" s="17" t="str">
        <f>IF(COUNTIF(Phrases!$A:$A,$A692)&gt;0,"ok","à faire")</f>
        <v>ok</v>
      </c>
      <c r="H692" s="17" t="str">
        <f>IF(COUNTIFS(Phrases!$A:$A,$A692,Phrases!$I:$I,"&lt;&gt;")&gt;0,"ok","à faire")</f>
        <v>à faire</v>
      </c>
      <c r="I692" s="17" t="str">
        <f>IF(COUNTIF(Synonymes!$A:$A,$A692)&gt;0,"ok","")</f>
        <v>ok</v>
      </c>
      <c r="J692" s="17">
        <f t="shared" si="10"/>
        <v>2</v>
      </c>
    </row>
    <row r="693" spans="1:10" x14ac:dyDescent="0.3">
      <c r="A693" s="17" t="s">
        <v>3677</v>
      </c>
      <c r="B693" s="17" t="str">
        <f>IFERROR(INDEX(Mots!$B:$B,MATCH($A693,Mots!$A:$A,0)),"introuvable")</f>
        <v>connaître</v>
      </c>
      <c r="C693" s="17" t="str">
        <f>IFERROR(INDEX(Mots!$N:$N,MATCH($A693,Mots!$A:$A,0)),"")</f>
        <v>action</v>
      </c>
      <c r="D693" s="17">
        <f>IFERROR(COUNTA(INDEX(Mots!$E:$E,MATCH($A693,Mots!$A:$A,0)):INDEX(Mots!$K:$K,MATCH($A693,Mots!$A:$A,0))),0)</f>
        <v>1</v>
      </c>
      <c r="E693" s="17" t="str">
        <f>IF(COUNTIF(Classement!$A:$A,$A693)&gt;0,"ok","à faire")</f>
        <v>ok</v>
      </c>
      <c r="F693" s="17" t="str">
        <f>IF(COUNTIF(Tags!$A:$A,$A693)&gt;0,"ok","à faire")</f>
        <v>ok</v>
      </c>
      <c r="G693" s="17" t="str">
        <f>IF(COUNTIF(Phrases!$A:$A,$A693)&gt;0,"ok","à faire")</f>
        <v>ok</v>
      </c>
      <c r="H693" s="17" t="str">
        <f>IF(COUNTIFS(Phrases!$A:$A,$A693,Phrases!$I:$I,"&lt;&gt;")&gt;0,"ok","à faire")</f>
        <v>ok</v>
      </c>
      <c r="I693" s="17" t="str">
        <f>IF(COUNTIF(Synonymes!$A:$A,$A693)&gt;0,"ok","")</f>
        <v>ok</v>
      </c>
      <c r="J693" s="17">
        <f t="shared" si="10"/>
        <v>0</v>
      </c>
    </row>
    <row r="694" spans="1:10" x14ac:dyDescent="0.3">
      <c r="A694" s="17" t="s">
        <v>3681</v>
      </c>
      <c r="B694" s="17" t="str">
        <f>IFERROR(INDEX(Mots!$B:$B,MATCH($A694,Mots!$A:$A,0)),"introuvable")</f>
        <v>conseiller</v>
      </c>
      <c r="C694" s="17" t="str">
        <f>IFERROR(INDEX(Mots!$N:$N,MATCH($A694,Mots!$A:$A,0)),"")</f>
        <v>action</v>
      </c>
      <c r="D694" s="17">
        <f>IFERROR(COUNTA(INDEX(Mots!$E:$E,MATCH($A694,Mots!$A:$A,0)):INDEX(Mots!$K:$K,MATCH($A694,Mots!$A:$A,0))),0)</f>
        <v>1</v>
      </c>
      <c r="E694" s="17" t="str">
        <f>IF(COUNTIF(Classement!$A:$A,$A694)&gt;0,"ok","à faire")</f>
        <v>ok</v>
      </c>
      <c r="F694" s="17" t="str">
        <f>IF(COUNTIF(Tags!$A:$A,$A694)&gt;0,"ok","à faire")</f>
        <v>ok</v>
      </c>
      <c r="G694" s="17" t="str">
        <f>IF(COUNTIF(Phrases!$A:$A,$A694)&gt;0,"ok","à faire")</f>
        <v>ok</v>
      </c>
      <c r="H694" s="17" t="str">
        <f>IF(COUNTIFS(Phrases!$A:$A,$A694,Phrases!$I:$I,"&lt;&gt;")&gt;0,"ok","à faire")</f>
        <v>ok</v>
      </c>
      <c r="I694" s="17" t="str">
        <f>IF(COUNTIF(Synonymes!$A:$A,$A694)&gt;0,"ok","")</f>
        <v/>
      </c>
      <c r="J694" s="17">
        <f t="shared" si="10"/>
        <v>0</v>
      </c>
    </row>
    <row r="695" spans="1:10" x14ac:dyDescent="0.3">
      <c r="A695" s="17" t="s">
        <v>3685</v>
      </c>
      <c r="B695" s="17" t="str">
        <f>IFERROR(INDEX(Mots!$B:$B,MATCH($A695,Mots!$A:$A,0)),"introuvable")</f>
        <v>contre</v>
      </c>
      <c r="C695" s="17" t="str">
        <f>IFERROR(INDEX(Mots!$N:$N,MATCH($A695,Mots!$A:$A,0)),"")</f>
        <v>action</v>
      </c>
      <c r="D695" s="17">
        <f>IFERROR(COUNTA(INDEX(Mots!$E:$E,MATCH($A695,Mots!$A:$A,0)):INDEX(Mots!$K:$K,MATCH($A695,Mots!$A:$A,0))),0)</f>
        <v>5</v>
      </c>
      <c r="E695" s="17" t="str">
        <f>IF(COUNTIF(Classement!$A:$A,$A695)&gt;0,"ok","à faire")</f>
        <v>ok</v>
      </c>
      <c r="F695" s="17" t="str">
        <f>IF(COUNTIF(Tags!$A:$A,$A695)&gt;0,"ok","à faire")</f>
        <v>à faire</v>
      </c>
      <c r="G695" s="17" t="str">
        <f>IF(COUNTIF(Phrases!$A:$A,$A695)&gt;0,"ok","à faire")</f>
        <v>à faire</v>
      </c>
      <c r="H695" s="17" t="str">
        <f>IF(COUNTIFS(Phrases!$A:$A,$A695,Phrases!$I:$I,"&lt;&gt;")&gt;0,"ok","à faire")</f>
        <v>à faire</v>
      </c>
      <c r="I695" s="17" t="str">
        <f>IF(COUNTIF(Synonymes!$A:$A,$A695)&gt;0,"ok","")</f>
        <v/>
      </c>
      <c r="J695" s="17">
        <f t="shared" si="10"/>
        <v>3</v>
      </c>
    </row>
    <row r="696" spans="1:10" x14ac:dyDescent="0.3">
      <c r="A696" s="17" t="s">
        <v>3692</v>
      </c>
      <c r="B696" s="17" t="str">
        <f>IFERROR(INDEX(Mots!$B:$B,MATCH($A696,Mots!$A:$A,0)),"introuvable")</f>
        <v>correct</v>
      </c>
      <c r="C696" s="17" t="str">
        <f>IFERROR(INDEX(Mots!$N:$N,MATCH($A696,Mots!$A:$A,0)),"")</f>
        <v>qualité</v>
      </c>
      <c r="D696" s="17">
        <f>IFERROR(COUNTA(INDEX(Mots!$E:$E,MATCH($A696,Mots!$A:$A,0)):INDEX(Mots!$K:$K,MATCH($A696,Mots!$A:$A,0))),0)</f>
        <v>3</v>
      </c>
      <c r="E696" s="17" t="str">
        <f>IF(COUNTIF(Classement!$A:$A,$A696)&gt;0,"ok","à faire")</f>
        <v>ok</v>
      </c>
      <c r="F696" s="17" t="str">
        <f>IF(COUNTIF(Tags!$A:$A,$A696)&gt;0,"ok","à faire")</f>
        <v>à faire</v>
      </c>
      <c r="G696" s="17" t="str">
        <f>IF(COUNTIF(Phrases!$A:$A,$A696)&gt;0,"ok","à faire")</f>
        <v>ok</v>
      </c>
      <c r="H696" s="17" t="str">
        <f>IF(COUNTIFS(Phrases!$A:$A,$A696,Phrases!$I:$I,"&lt;&gt;")&gt;0,"ok","à faire")</f>
        <v>ok</v>
      </c>
      <c r="I696" s="17" t="str">
        <f>IF(COUNTIF(Synonymes!$A:$A,$A696)&gt;0,"ok","")</f>
        <v>ok</v>
      </c>
      <c r="J696" s="17">
        <f t="shared" si="10"/>
        <v>1</v>
      </c>
    </row>
    <row r="697" spans="1:10" x14ac:dyDescent="0.3">
      <c r="A697" s="17" t="s">
        <v>3697</v>
      </c>
      <c r="B697" s="17" t="str">
        <f>IFERROR(INDEX(Mots!$B:$B,MATCH($A697,Mots!$A:$A,0)),"introuvable")</f>
        <v>coupant</v>
      </c>
      <c r="C697" s="17" t="str">
        <f>IFERROR(INDEX(Mots!$N:$N,MATCH($A697,Mots!$A:$A,0)),"")</f>
        <v>mot utile</v>
      </c>
      <c r="D697" s="17">
        <f>IFERROR(COUNTA(INDEX(Mots!$E:$E,MATCH($A697,Mots!$A:$A,0)):INDEX(Mots!$K:$K,MATCH($A697,Mots!$A:$A,0))),0)</f>
        <v>4</v>
      </c>
      <c r="E697" s="17" t="str">
        <f>IF(COUNTIF(Classement!$A:$A,$A697)&gt;0,"ok","à faire")</f>
        <v>ok</v>
      </c>
      <c r="F697" s="17" t="str">
        <f>IF(COUNTIF(Tags!$A:$A,$A697)&gt;0,"ok","à faire")</f>
        <v>ok</v>
      </c>
      <c r="G697" s="17" t="str">
        <f>IF(COUNTIF(Phrases!$A:$A,$A697)&gt;0,"ok","à faire")</f>
        <v>ok</v>
      </c>
      <c r="H697" s="17" t="str">
        <f>IF(COUNTIFS(Phrases!$A:$A,$A697,Phrases!$I:$I,"&lt;&gt;")&gt;0,"ok","à faire")</f>
        <v>à faire</v>
      </c>
      <c r="I697" s="17" t="str">
        <f>IF(COUNTIF(Synonymes!$A:$A,$A697)&gt;0,"ok","")</f>
        <v>ok</v>
      </c>
      <c r="J697" s="17">
        <f t="shared" si="10"/>
        <v>1</v>
      </c>
    </row>
    <row r="698" spans="1:10" x14ac:dyDescent="0.3">
      <c r="A698" s="17" t="s">
        <v>3702</v>
      </c>
      <c r="B698" s="17" t="str">
        <f>IFERROR(INDEX(Mots!$B:$B,MATCH($A698,Mots!$A:$A,0)),"introuvable")</f>
        <v>couper</v>
      </c>
      <c r="C698" s="17" t="str">
        <f>IFERROR(INDEX(Mots!$N:$N,MATCH($A698,Mots!$A:$A,0)),"")</f>
        <v>action</v>
      </c>
      <c r="D698" s="17">
        <f>IFERROR(COUNTA(INDEX(Mots!$E:$E,MATCH($A698,Mots!$A:$A,0)):INDEX(Mots!$K:$K,MATCH($A698,Mots!$A:$A,0))),0)</f>
        <v>5</v>
      </c>
      <c r="E698" s="17" t="str">
        <f>IF(COUNTIF(Classement!$A:$A,$A698)&gt;0,"ok","à faire")</f>
        <v>ok</v>
      </c>
      <c r="F698" s="17" t="str">
        <f>IF(COUNTIF(Tags!$A:$A,$A698)&gt;0,"ok","à faire")</f>
        <v>à faire</v>
      </c>
      <c r="G698" s="17" t="str">
        <f>IF(COUNTIF(Phrases!$A:$A,$A698)&gt;0,"ok","à faire")</f>
        <v>ok</v>
      </c>
      <c r="H698" s="17" t="str">
        <f>IF(COUNTIFS(Phrases!$A:$A,$A698,Phrases!$I:$I,"&lt;&gt;")&gt;0,"ok","à faire")</f>
        <v>ok</v>
      </c>
      <c r="I698" s="17" t="str">
        <f>IF(COUNTIF(Synonymes!$A:$A,$A698)&gt;0,"ok","")</f>
        <v>ok</v>
      </c>
      <c r="J698" s="17">
        <f t="shared" si="10"/>
        <v>1</v>
      </c>
    </row>
    <row r="699" spans="1:10" x14ac:dyDescent="0.3">
      <c r="A699" s="17" t="s">
        <v>3710</v>
      </c>
      <c r="B699" s="17" t="str">
        <f>IFERROR(INDEX(Mots!$B:$B,MATCH($A699,Mots!$A:$A,0)),"introuvable")</f>
        <v>courir</v>
      </c>
      <c r="C699" s="17" t="str">
        <f>IFERROR(INDEX(Mots!$N:$N,MATCH($A699,Mots!$A:$A,0)),"")</f>
        <v>action</v>
      </c>
      <c r="D699" s="17">
        <f>IFERROR(COUNTA(INDEX(Mots!$E:$E,MATCH($A699,Mots!$A:$A,0)):INDEX(Mots!$K:$K,MATCH($A699,Mots!$A:$A,0))),0)</f>
        <v>5</v>
      </c>
      <c r="E699" s="17" t="str">
        <f>IF(COUNTIF(Classement!$A:$A,$A699)&gt;0,"ok","à faire")</f>
        <v>ok</v>
      </c>
      <c r="F699" s="17" t="str">
        <f>IF(COUNTIF(Tags!$A:$A,$A699)&gt;0,"ok","à faire")</f>
        <v>ok</v>
      </c>
      <c r="G699" s="17" t="str">
        <f>IF(COUNTIF(Phrases!$A:$A,$A699)&gt;0,"ok","à faire")</f>
        <v>ok</v>
      </c>
      <c r="H699" s="17" t="str">
        <f>IF(COUNTIFS(Phrases!$A:$A,$A699,Phrases!$I:$I,"&lt;&gt;")&gt;0,"ok","à faire")</f>
        <v>ok</v>
      </c>
      <c r="I699" s="17" t="str">
        <f>IF(COUNTIF(Synonymes!$A:$A,$A699)&gt;0,"ok","")</f>
        <v/>
      </c>
      <c r="J699" s="17">
        <f t="shared" si="10"/>
        <v>0</v>
      </c>
    </row>
    <row r="700" spans="1:10" x14ac:dyDescent="0.3">
      <c r="A700" s="17" t="s">
        <v>3718</v>
      </c>
      <c r="B700" s="17" t="str">
        <f>IFERROR(INDEX(Mots!$B:$B,MATCH($A700,Mots!$A:$A,0)),"introuvable")</f>
        <v>creux</v>
      </c>
      <c r="C700" s="17" t="str">
        <f>IFERROR(INDEX(Mots!$N:$N,MATCH($A700,Mots!$A:$A,0)),"")</f>
        <v>qualité</v>
      </c>
      <c r="D700" s="17">
        <f>IFERROR(COUNTA(INDEX(Mots!$E:$E,MATCH($A700,Mots!$A:$A,0)):INDEX(Mots!$K:$K,MATCH($A700,Mots!$A:$A,0))),0)</f>
        <v>5</v>
      </c>
      <c r="E700" s="17" t="str">
        <f>IF(COUNTIF(Classement!$A:$A,$A700)&gt;0,"ok","à faire")</f>
        <v>ok</v>
      </c>
      <c r="F700" s="17" t="str">
        <f>IF(COUNTIF(Tags!$A:$A,$A700)&gt;0,"ok","à faire")</f>
        <v>ok</v>
      </c>
      <c r="G700" s="17" t="str">
        <f>IF(COUNTIF(Phrases!$A:$A,$A700)&gt;0,"ok","à faire")</f>
        <v>ok</v>
      </c>
      <c r="H700" s="17" t="str">
        <f>IF(COUNTIFS(Phrases!$A:$A,$A700,Phrases!$I:$I,"&lt;&gt;")&gt;0,"ok","à faire")</f>
        <v>à faire</v>
      </c>
      <c r="I700" s="17" t="str">
        <f>IF(COUNTIF(Synonymes!$A:$A,$A700)&gt;0,"ok","")</f>
        <v>ok</v>
      </c>
      <c r="J700" s="17">
        <f t="shared" si="10"/>
        <v>1</v>
      </c>
    </row>
    <row r="701" spans="1:10" x14ac:dyDescent="0.3">
      <c r="A701" s="17" t="s">
        <v>3725</v>
      </c>
      <c r="B701" s="17" t="str">
        <f>IFERROR(INDEX(Mots!$B:$B,MATCH($A701,Mots!$A:$A,0)),"introuvable")</f>
        <v>crier</v>
      </c>
      <c r="C701" s="17" t="str">
        <f>IFERROR(INDEX(Mots!$N:$N,MATCH($A701,Mots!$A:$A,0)),"")</f>
        <v>action</v>
      </c>
      <c r="D701" s="17">
        <f>IFERROR(COUNTA(INDEX(Mots!$E:$E,MATCH($A701,Mots!$A:$A,0)):INDEX(Mots!$K:$K,MATCH($A701,Mots!$A:$A,0))),0)</f>
        <v>5</v>
      </c>
      <c r="E701" s="17" t="str">
        <f>IF(COUNTIF(Classement!$A:$A,$A701)&gt;0,"ok","à faire")</f>
        <v>ok</v>
      </c>
      <c r="F701" s="17" t="str">
        <f>IF(COUNTIF(Tags!$A:$A,$A701)&gt;0,"ok","à faire")</f>
        <v>ok</v>
      </c>
      <c r="G701" s="17" t="str">
        <f>IF(COUNTIF(Phrases!$A:$A,$A701)&gt;0,"ok","à faire")</f>
        <v>ok</v>
      </c>
      <c r="H701" s="17" t="str">
        <f>IF(COUNTIFS(Phrases!$A:$A,$A701,Phrases!$I:$I,"&lt;&gt;")&gt;0,"ok","à faire")</f>
        <v>ok</v>
      </c>
      <c r="I701" s="17" t="str">
        <f>IF(COUNTIF(Synonymes!$A:$A,$A701)&gt;0,"ok","")</f>
        <v>ok</v>
      </c>
      <c r="J701" s="17">
        <f t="shared" si="10"/>
        <v>0</v>
      </c>
    </row>
    <row r="702" spans="1:10" x14ac:dyDescent="0.3">
      <c r="A702" s="17" t="s">
        <v>3733</v>
      </c>
      <c r="B702" s="17" t="str">
        <f>IFERROR(INDEX(Mots!$B:$B,MATCH($A702,Mots!$A:$A,0)),"introuvable")</f>
        <v>croire</v>
      </c>
      <c r="C702" s="17" t="str">
        <f>IFERROR(INDEX(Mots!$N:$N,MATCH($A702,Mots!$A:$A,0)),"")</f>
        <v>action</v>
      </c>
      <c r="D702" s="17">
        <f>IFERROR(COUNTA(INDEX(Mots!$E:$E,MATCH($A702,Mots!$A:$A,0)):INDEX(Mots!$K:$K,MATCH($A702,Mots!$A:$A,0))),0)</f>
        <v>3</v>
      </c>
      <c r="E702" s="17" t="str">
        <f>IF(COUNTIF(Classement!$A:$A,$A702)&gt;0,"ok","à faire")</f>
        <v>ok</v>
      </c>
      <c r="F702" s="17" t="str">
        <f>IF(COUNTIF(Tags!$A:$A,$A702)&gt;0,"ok","à faire")</f>
        <v>ok</v>
      </c>
      <c r="G702" s="17" t="str">
        <f>IF(COUNTIF(Phrases!$A:$A,$A702)&gt;0,"ok","à faire")</f>
        <v>ok</v>
      </c>
      <c r="H702" s="17" t="str">
        <f>IF(COUNTIFS(Phrases!$A:$A,$A702,Phrases!$I:$I,"&lt;&gt;")&gt;0,"ok","à faire")</f>
        <v>à faire</v>
      </c>
      <c r="I702" s="17" t="str">
        <f>IF(COUNTIF(Synonymes!$A:$A,$A702)&gt;0,"ok","")</f>
        <v/>
      </c>
      <c r="J702" s="17">
        <f t="shared" si="10"/>
        <v>1</v>
      </c>
    </row>
    <row r="703" spans="1:10" x14ac:dyDescent="0.3">
      <c r="A703" s="17" t="s">
        <v>3739</v>
      </c>
      <c r="B703" s="17" t="str">
        <f>IFERROR(INDEX(Mots!$B:$B,MATCH($A703,Mots!$A:$A,0)),"introuvable")</f>
        <v>cuire</v>
      </c>
      <c r="C703" s="17" t="str">
        <f>IFERROR(INDEX(Mots!$N:$N,MATCH($A703,Mots!$A:$A,0)),"")</f>
        <v>action</v>
      </c>
      <c r="D703" s="17">
        <f>IFERROR(COUNTA(INDEX(Mots!$E:$E,MATCH($A703,Mots!$A:$A,0)):INDEX(Mots!$K:$K,MATCH($A703,Mots!$A:$A,0))),0)</f>
        <v>5</v>
      </c>
      <c r="E703" s="17" t="str">
        <f>IF(COUNTIF(Classement!$A:$A,$A703)&gt;0,"ok","à faire")</f>
        <v>ok</v>
      </c>
      <c r="F703" s="17" t="str">
        <f>IF(COUNTIF(Tags!$A:$A,$A703)&gt;0,"ok","à faire")</f>
        <v>ok</v>
      </c>
      <c r="G703" s="17" t="str">
        <f>IF(COUNTIF(Phrases!$A:$A,$A703)&gt;0,"ok","à faire")</f>
        <v>ok</v>
      </c>
      <c r="H703" s="17" t="str">
        <f>IF(COUNTIFS(Phrases!$A:$A,$A703,Phrases!$I:$I,"&lt;&gt;")&gt;0,"ok","à faire")</f>
        <v>ok</v>
      </c>
      <c r="I703" s="17" t="str">
        <f>IF(COUNTIF(Synonymes!$A:$A,$A703)&gt;0,"ok","")</f>
        <v>ok</v>
      </c>
      <c r="J703" s="17">
        <f t="shared" si="10"/>
        <v>0</v>
      </c>
    </row>
    <row r="704" spans="1:10" x14ac:dyDescent="0.3">
      <c r="A704" s="17" t="s">
        <v>3747</v>
      </c>
      <c r="B704" s="17" t="str">
        <f>IFERROR(INDEX(Mots!$B:$B,MATCH($A704,Mots!$A:$A,0)),"introuvable")</f>
        <v>d'abord</v>
      </c>
      <c r="C704" s="17" t="str">
        <f>IFERROR(INDEX(Mots!$N:$N,MATCH($A704,Mots!$A:$A,0)),"")</f>
        <v>mot utile</v>
      </c>
      <c r="D704" s="17">
        <f>IFERROR(COUNTA(INDEX(Mots!$E:$E,MATCH($A704,Mots!$A:$A,0)):INDEX(Mots!$K:$K,MATCH($A704,Mots!$A:$A,0))),0)</f>
        <v>4</v>
      </c>
      <c r="E704" s="17" t="str">
        <f>IF(COUNTIF(Classement!$A:$A,$A704)&gt;0,"ok","à faire")</f>
        <v>ok</v>
      </c>
      <c r="F704" s="17" t="str">
        <f>IF(COUNTIF(Tags!$A:$A,$A704)&gt;0,"ok","à faire")</f>
        <v>ok</v>
      </c>
      <c r="G704" s="17" t="str">
        <f>IF(COUNTIF(Phrases!$A:$A,$A704)&gt;0,"ok","à faire")</f>
        <v>à faire</v>
      </c>
      <c r="H704" s="17" t="str">
        <f>IF(COUNTIFS(Phrases!$A:$A,$A704,Phrases!$I:$I,"&lt;&gt;")&gt;0,"ok","à faire")</f>
        <v>à faire</v>
      </c>
      <c r="I704" s="17" t="str">
        <f>IF(COUNTIF(Synonymes!$A:$A,$A704)&gt;0,"ok","")</f>
        <v/>
      </c>
      <c r="J704" s="17">
        <f t="shared" si="10"/>
        <v>2</v>
      </c>
    </row>
    <row r="705" spans="1:10" x14ac:dyDescent="0.3">
      <c r="A705" s="17" t="s">
        <v>3754</v>
      </c>
      <c r="B705" s="17" t="str">
        <f>IFERROR(INDEX(Mots!$B:$B,MATCH($A705,Mots!$A:$A,0)),"introuvable")</f>
        <v>Damien Lagger</v>
      </c>
      <c r="C705" s="17" t="str">
        <f>IFERROR(INDEX(Mots!$N:$N,MATCH($A705,Mots!$A:$A,0)),"")</f>
        <v>personne</v>
      </c>
      <c r="D705" s="17">
        <f>IFERROR(COUNTA(INDEX(Mots!$E:$E,MATCH($A705,Mots!$A:$A,0)):INDEX(Mots!$K:$K,MATCH($A705,Mots!$A:$A,0))),0)</f>
        <v>3</v>
      </c>
      <c r="E705" s="17" t="str">
        <f>IF(COUNTIF(Classement!$A:$A,$A705)&gt;0,"ok","à faire")</f>
        <v>ok</v>
      </c>
      <c r="F705" s="17" t="str">
        <f>IF(COUNTIF(Tags!$A:$A,$A705)&gt;0,"ok","à faire")</f>
        <v>ok</v>
      </c>
      <c r="G705" s="17" t="str">
        <f>IF(COUNTIF(Phrases!$A:$A,$A705)&gt;0,"ok","à faire")</f>
        <v>à faire</v>
      </c>
      <c r="H705" s="17" t="str">
        <f>IF(COUNTIFS(Phrases!$A:$A,$A705,Phrases!$I:$I,"&lt;&gt;")&gt;0,"ok","à faire")</f>
        <v>à faire</v>
      </c>
      <c r="I705" s="17" t="str">
        <f>IF(COUNTIF(Synonymes!$A:$A,$A705)&gt;0,"ok","")</f>
        <v/>
      </c>
      <c r="J705" s="17">
        <f t="shared" ref="J705:J768" si="11">COUNTIF(E705:H705,"à faire")</f>
        <v>2</v>
      </c>
    </row>
    <row r="706" spans="1:10" x14ac:dyDescent="0.3">
      <c r="A706" s="17" t="s">
        <v>3758</v>
      </c>
      <c r="B706" s="17" t="str">
        <f>IFERROR(INDEX(Mots!$B:$B,MATCH($A706,Mots!$A:$A,0)),"introuvable")</f>
        <v>dangereux</v>
      </c>
      <c r="C706" s="17" t="str">
        <f>IFERROR(INDEX(Mots!$N:$N,MATCH($A706,Mots!$A:$A,0)),"")</f>
        <v>qualité</v>
      </c>
      <c r="D706" s="17">
        <f>IFERROR(COUNTA(INDEX(Mots!$E:$E,MATCH($A706,Mots!$A:$A,0)):INDEX(Mots!$K:$K,MATCH($A706,Mots!$A:$A,0))),0)</f>
        <v>5</v>
      </c>
      <c r="E706" s="17" t="str">
        <f>IF(COUNTIF(Classement!$A:$A,$A706)&gt;0,"ok","à faire")</f>
        <v>ok</v>
      </c>
      <c r="F706" s="17" t="str">
        <f>IF(COUNTIF(Tags!$A:$A,$A706)&gt;0,"ok","à faire")</f>
        <v>ok</v>
      </c>
      <c r="G706" s="17" t="str">
        <f>IF(COUNTIF(Phrases!$A:$A,$A706)&gt;0,"ok","à faire")</f>
        <v>ok</v>
      </c>
      <c r="H706" s="17" t="str">
        <f>IF(COUNTIFS(Phrases!$A:$A,$A706,Phrases!$I:$I,"&lt;&gt;")&gt;0,"ok","à faire")</f>
        <v>ok</v>
      </c>
      <c r="I706" s="17" t="str">
        <f>IF(COUNTIF(Synonymes!$A:$A,$A706)&gt;0,"ok","")</f>
        <v/>
      </c>
      <c r="J706" s="17">
        <f t="shared" si="11"/>
        <v>0</v>
      </c>
    </row>
    <row r="707" spans="1:10" x14ac:dyDescent="0.3">
      <c r="A707" s="17" t="s">
        <v>3764</v>
      </c>
      <c r="B707" s="17" t="str">
        <f>IFERROR(INDEX(Mots!$B:$B,MATCH($A707,Mots!$A:$A,0)),"introuvable")</f>
        <v>danser</v>
      </c>
      <c r="C707" s="17" t="str">
        <f>IFERROR(INDEX(Mots!$N:$N,MATCH($A707,Mots!$A:$A,0)),"")</f>
        <v>action</v>
      </c>
      <c r="D707" s="17">
        <f>IFERROR(COUNTA(INDEX(Mots!$E:$E,MATCH($A707,Mots!$A:$A,0)):INDEX(Mots!$K:$K,MATCH($A707,Mots!$A:$A,0))),0)</f>
        <v>5</v>
      </c>
      <c r="E707" s="17" t="str">
        <f>IF(COUNTIF(Classement!$A:$A,$A707)&gt;0,"ok","à faire")</f>
        <v>ok</v>
      </c>
      <c r="F707" s="17" t="str">
        <f>IF(COUNTIF(Tags!$A:$A,$A707)&gt;0,"ok","à faire")</f>
        <v>ok</v>
      </c>
      <c r="G707" s="17" t="str">
        <f>IF(COUNTIF(Phrases!$A:$A,$A707)&gt;0,"ok","à faire")</f>
        <v>ok</v>
      </c>
      <c r="H707" s="17" t="str">
        <f>IF(COUNTIFS(Phrases!$A:$A,$A707,Phrases!$I:$I,"&lt;&gt;")&gt;0,"ok","à faire")</f>
        <v>ok</v>
      </c>
      <c r="I707" s="17" t="str">
        <f>IF(COUNTIF(Synonymes!$A:$A,$A707)&gt;0,"ok","")</f>
        <v/>
      </c>
      <c r="J707" s="17">
        <f t="shared" si="11"/>
        <v>0</v>
      </c>
    </row>
    <row r="708" spans="1:10" x14ac:dyDescent="0.3">
      <c r="A708" s="17" t="s">
        <v>3772</v>
      </c>
      <c r="B708" s="17" t="str">
        <f>IFERROR(INDEX(Mots!$B:$B,MATCH($A708,Mots!$A:$A,0)),"introuvable")</f>
        <v>décider</v>
      </c>
      <c r="C708" s="17" t="str">
        <f>IFERROR(INDEX(Mots!$N:$N,MATCH($A708,Mots!$A:$A,0)),"")</f>
        <v>action</v>
      </c>
      <c r="D708" s="17">
        <f>IFERROR(COUNTA(INDEX(Mots!$E:$E,MATCH($A708,Mots!$A:$A,0)):INDEX(Mots!$K:$K,MATCH($A708,Mots!$A:$A,0))),0)</f>
        <v>5</v>
      </c>
      <c r="E708" s="17" t="str">
        <f>IF(COUNTIF(Classement!$A:$A,$A708)&gt;0,"ok","à faire")</f>
        <v>ok</v>
      </c>
      <c r="F708" s="17" t="str">
        <f>IF(COUNTIF(Tags!$A:$A,$A708)&gt;0,"ok","à faire")</f>
        <v>ok</v>
      </c>
      <c r="G708" s="17" t="str">
        <f>IF(COUNTIF(Phrases!$A:$A,$A708)&gt;0,"ok","à faire")</f>
        <v>ok</v>
      </c>
      <c r="H708" s="17" t="str">
        <f>IF(COUNTIFS(Phrases!$A:$A,$A708,Phrases!$I:$I,"&lt;&gt;")&gt;0,"ok","à faire")</f>
        <v>ok</v>
      </c>
      <c r="I708" s="17" t="str">
        <f>IF(COUNTIF(Synonymes!$A:$A,$A708)&gt;0,"ok","")</f>
        <v/>
      </c>
      <c r="J708" s="17">
        <f t="shared" si="11"/>
        <v>0</v>
      </c>
    </row>
    <row r="709" spans="1:10" x14ac:dyDescent="0.3">
      <c r="A709" s="17" t="s">
        <v>3780</v>
      </c>
      <c r="B709" s="17" t="str">
        <f>IFERROR(INDEX(Mots!$B:$B,MATCH($A709,Mots!$A:$A,0)),"introuvable")</f>
        <v>dedans</v>
      </c>
      <c r="C709" s="17" t="str">
        <f>IFERROR(INDEX(Mots!$N:$N,MATCH($A709,Mots!$A:$A,0)),"")</f>
        <v>mot utile</v>
      </c>
      <c r="D709" s="17">
        <f>IFERROR(COUNTA(INDEX(Mots!$E:$E,MATCH($A709,Mots!$A:$A,0)):INDEX(Mots!$K:$K,MATCH($A709,Mots!$A:$A,0))),0)</f>
        <v>3</v>
      </c>
      <c r="E709" s="17" t="str">
        <f>IF(COUNTIF(Classement!$A:$A,$A709)&gt;0,"ok","à faire")</f>
        <v>ok</v>
      </c>
      <c r="F709" s="17" t="str">
        <f>IF(COUNTIF(Tags!$A:$A,$A709)&gt;0,"ok","à faire")</f>
        <v>ok</v>
      </c>
      <c r="G709" s="17" t="str">
        <f>IF(COUNTIF(Phrases!$A:$A,$A709)&gt;0,"ok","à faire")</f>
        <v>à faire</v>
      </c>
      <c r="H709" s="17" t="str">
        <f>IF(COUNTIFS(Phrases!$A:$A,$A709,Phrases!$I:$I,"&lt;&gt;")&gt;0,"ok","à faire")</f>
        <v>à faire</v>
      </c>
      <c r="I709" s="17" t="str">
        <f>IF(COUNTIF(Synonymes!$A:$A,$A709)&gt;0,"ok","")</f>
        <v/>
      </c>
      <c r="J709" s="17">
        <f t="shared" si="11"/>
        <v>2</v>
      </c>
    </row>
    <row r="710" spans="1:10" x14ac:dyDescent="0.3">
      <c r="A710" s="17" t="s">
        <v>3785</v>
      </c>
      <c r="B710" s="17" t="str">
        <f>IFERROR(INDEX(Mots!$B:$B,MATCH($A710,Mots!$A:$A,0)),"introuvable")</f>
        <v>dehors</v>
      </c>
      <c r="C710" s="17" t="str">
        <f>IFERROR(INDEX(Mots!$N:$N,MATCH($A710,Mots!$A:$A,0)),"")</f>
        <v>mot utile</v>
      </c>
      <c r="D710" s="17">
        <f>IFERROR(COUNTA(INDEX(Mots!$E:$E,MATCH($A710,Mots!$A:$A,0)):INDEX(Mots!$K:$K,MATCH($A710,Mots!$A:$A,0))),0)</f>
        <v>2</v>
      </c>
      <c r="E710" s="17" t="str">
        <f>IF(COUNTIF(Classement!$A:$A,$A710)&gt;0,"ok","à faire")</f>
        <v>ok</v>
      </c>
      <c r="F710" s="17" t="str">
        <f>IF(COUNTIF(Tags!$A:$A,$A710)&gt;0,"ok","à faire")</f>
        <v>ok</v>
      </c>
      <c r="G710" s="17" t="str">
        <f>IF(COUNTIF(Phrases!$A:$A,$A710)&gt;0,"ok","à faire")</f>
        <v>à faire</v>
      </c>
      <c r="H710" s="17" t="str">
        <f>IF(COUNTIFS(Phrases!$A:$A,$A710,Phrases!$I:$I,"&lt;&gt;")&gt;0,"ok","à faire")</f>
        <v>à faire</v>
      </c>
      <c r="I710" s="17" t="str">
        <f>IF(COUNTIF(Synonymes!$A:$A,$A710)&gt;0,"ok","")</f>
        <v/>
      </c>
      <c r="J710" s="17">
        <f t="shared" si="11"/>
        <v>2</v>
      </c>
    </row>
    <row r="711" spans="1:10" x14ac:dyDescent="0.3">
      <c r="A711" s="17" t="s">
        <v>3789</v>
      </c>
      <c r="B711" s="17" t="str">
        <f>IFERROR(INDEX(Mots!$B:$B,MATCH($A711,Mots!$A:$A,0)),"introuvable")</f>
        <v>déjà</v>
      </c>
      <c r="C711" s="17" t="str">
        <f>IFERROR(INDEX(Mots!$N:$N,MATCH($A711,Mots!$A:$A,0)),"")</f>
        <v>mot utile</v>
      </c>
      <c r="D711" s="17">
        <f>IFERROR(COUNTA(INDEX(Mots!$E:$E,MATCH($A711,Mots!$A:$A,0)):INDEX(Mots!$K:$K,MATCH($A711,Mots!$A:$A,0))),0)</f>
        <v>2</v>
      </c>
      <c r="E711" s="17" t="str">
        <f>IF(COUNTIF(Classement!$A:$A,$A711)&gt;0,"ok","à faire")</f>
        <v>ok</v>
      </c>
      <c r="F711" s="17" t="str">
        <f>IF(COUNTIF(Tags!$A:$A,$A711)&gt;0,"ok","à faire")</f>
        <v>ok</v>
      </c>
      <c r="G711" s="17" t="str">
        <f>IF(COUNTIF(Phrases!$A:$A,$A711)&gt;0,"ok","à faire")</f>
        <v>à faire</v>
      </c>
      <c r="H711" s="17" t="str">
        <f>IF(COUNTIFS(Phrases!$A:$A,$A711,Phrases!$I:$I,"&lt;&gt;")&gt;0,"ok","à faire")</f>
        <v>à faire</v>
      </c>
      <c r="I711" s="17" t="str">
        <f>IF(COUNTIF(Synonymes!$A:$A,$A711)&gt;0,"ok","")</f>
        <v/>
      </c>
      <c r="J711" s="17">
        <f t="shared" si="11"/>
        <v>2</v>
      </c>
    </row>
    <row r="712" spans="1:10" x14ac:dyDescent="0.3">
      <c r="A712" s="17" t="s">
        <v>3794</v>
      </c>
      <c r="B712" s="17" t="str">
        <f>IFERROR(INDEX(Mots!$B:$B,MATCH($A712,Mots!$A:$A,0)),"introuvable")</f>
        <v>demander</v>
      </c>
      <c r="C712" s="17" t="str">
        <f>IFERROR(INDEX(Mots!$N:$N,MATCH($A712,Mots!$A:$A,0)),"")</f>
        <v>action</v>
      </c>
      <c r="D712" s="17">
        <f>IFERROR(COUNTA(INDEX(Mots!$E:$E,MATCH($A712,Mots!$A:$A,0)):INDEX(Mots!$K:$K,MATCH($A712,Mots!$A:$A,0))),0)</f>
        <v>4</v>
      </c>
      <c r="E712" s="17" t="str">
        <f>IF(COUNTIF(Classement!$A:$A,$A712)&gt;0,"ok","à faire")</f>
        <v>ok</v>
      </c>
      <c r="F712" s="17" t="str">
        <f>IF(COUNTIF(Tags!$A:$A,$A712)&gt;0,"ok","à faire")</f>
        <v>ok</v>
      </c>
      <c r="G712" s="17" t="str">
        <f>IF(COUNTIF(Phrases!$A:$A,$A712)&gt;0,"ok","à faire")</f>
        <v>ok</v>
      </c>
      <c r="H712" s="17" t="str">
        <f>IF(COUNTIFS(Phrases!$A:$A,$A712,Phrases!$I:$I,"&lt;&gt;")&gt;0,"ok","à faire")</f>
        <v>ok</v>
      </c>
      <c r="I712" s="17" t="str">
        <f>IF(COUNTIF(Synonymes!$A:$A,$A712)&gt;0,"ok","")</f>
        <v/>
      </c>
      <c r="J712" s="17">
        <f t="shared" si="11"/>
        <v>0</v>
      </c>
    </row>
    <row r="713" spans="1:10" x14ac:dyDescent="0.3">
      <c r="A713" s="17" t="s">
        <v>3801</v>
      </c>
      <c r="B713" s="17" t="str">
        <f>IFERROR(INDEX(Mots!$B:$B,MATCH($A713,Mots!$A:$A,0)),"introuvable")</f>
        <v>descendre</v>
      </c>
      <c r="C713" s="17" t="str">
        <f>IFERROR(INDEX(Mots!$N:$N,MATCH($A713,Mots!$A:$A,0)),"")</f>
        <v>action</v>
      </c>
      <c r="D713" s="17">
        <f>IFERROR(COUNTA(INDEX(Mots!$E:$E,MATCH($A713,Mots!$A:$A,0)):INDEX(Mots!$K:$K,MATCH($A713,Mots!$A:$A,0))),0)</f>
        <v>6</v>
      </c>
      <c r="E713" s="17" t="str">
        <f>IF(COUNTIF(Classement!$A:$A,$A713)&gt;0,"ok","à faire")</f>
        <v>ok</v>
      </c>
      <c r="F713" s="17" t="str">
        <f>IF(COUNTIF(Tags!$A:$A,$A713)&gt;0,"ok","à faire")</f>
        <v>à faire</v>
      </c>
      <c r="G713" s="17" t="str">
        <f>IF(COUNTIF(Phrases!$A:$A,$A713)&gt;0,"ok","à faire")</f>
        <v>ok</v>
      </c>
      <c r="H713" s="17" t="str">
        <f>IF(COUNTIFS(Phrases!$A:$A,$A713,Phrases!$I:$I,"&lt;&gt;")&gt;0,"ok","à faire")</f>
        <v>ok</v>
      </c>
      <c r="I713" s="17" t="str">
        <f>IF(COUNTIF(Synonymes!$A:$A,$A713)&gt;0,"ok","")</f>
        <v/>
      </c>
      <c r="J713" s="17">
        <f t="shared" si="11"/>
        <v>1</v>
      </c>
    </row>
    <row r="714" spans="1:10" x14ac:dyDescent="0.3">
      <c r="A714" s="17" t="s">
        <v>3809</v>
      </c>
      <c r="B714" s="17" t="str">
        <f>IFERROR(INDEX(Mots!$B:$B,MATCH($A714,Mots!$A:$A,0)),"introuvable")</f>
        <v>deviner</v>
      </c>
      <c r="C714" s="17" t="str">
        <f>IFERROR(INDEX(Mots!$N:$N,MATCH($A714,Mots!$A:$A,0)),"")</f>
        <v>action</v>
      </c>
      <c r="D714" s="17">
        <f>IFERROR(COUNTA(INDEX(Mots!$E:$E,MATCH($A714,Mots!$A:$A,0)):INDEX(Mots!$K:$K,MATCH($A714,Mots!$A:$A,0))),0)</f>
        <v>2</v>
      </c>
      <c r="E714" s="17" t="str">
        <f>IF(COUNTIF(Classement!$A:$A,$A714)&gt;0,"ok","à faire")</f>
        <v>ok</v>
      </c>
      <c r="F714" s="17" t="str">
        <f>IF(COUNTIF(Tags!$A:$A,$A714)&gt;0,"ok","à faire")</f>
        <v>ok</v>
      </c>
      <c r="G714" s="17" t="str">
        <f>IF(COUNTIF(Phrases!$A:$A,$A714)&gt;0,"ok","à faire")</f>
        <v>ok</v>
      </c>
      <c r="H714" s="17" t="str">
        <f>IF(COUNTIFS(Phrases!$A:$A,$A714,Phrases!$I:$I,"&lt;&gt;")&gt;0,"ok","à faire")</f>
        <v>ok</v>
      </c>
      <c r="I714" s="17" t="str">
        <f>IF(COUNTIF(Synonymes!$A:$A,$A714)&gt;0,"ok","")</f>
        <v/>
      </c>
      <c r="J714" s="17">
        <f t="shared" si="11"/>
        <v>0</v>
      </c>
    </row>
    <row r="715" spans="1:10" x14ac:dyDescent="0.3">
      <c r="A715" s="17" t="s">
        <v>9526</v>
      </c>
      <c r="B715" s="17" t="str">
        <f>IFERROR(INDEX(Mots!$B:$B,MATCH($A715,Mots!$A:$A,0)),"introuvable")</f>
        <v>différent</v>
      </c>
      <c r="C715" s="17" t="str">
        <f>IFERROR(INDEX(Mots!$N:$N,MATCH($A715,Mots!$A:$A,0)),"")</f>
        <v>qualité</v>
      </c>
      <c r="D715" s="17">
        <f>IFERROR(COUNTA(INDEX(Mots!$E:$E,MATCH($A715,Mots!$A:$A,0)):INDEX(Mots!$K:$K,MATCH($A715,Mots!$A:$A,0))),0)</f>
        <v>2</v>
      </c>
      <c r="E715" s="17" t="str">
        <f>IF(COUNTIF(Classement!$A:$A,$A715)&gt;0,"ok","à faire")</f>
        <v>ok</v>
      </c>
      <c r="F715" s="17" t="str">
        <f>IF(COUNTIF(Tags!$A:$A,$A715)&gt;0,"ok","à faire")</f>
        <v>à faire</v>
      </c>
      <c r="G715" s="17" t="str">
        <f>IF(COUNTIF(Phrases!$A:$A,$A715)&gt;0,"ok","à faire")</f>
        <v>ok</v>
      </c>
      <c r="H715" s="17" t="str">
        <f>IF(COUNTIFS(Phrases!$A:$A,$A715,Phrases!$I:$I,"&lt;&gt;")&gt;0,"ok","à faire")</f>
        <v>à faire</v>
      </c>
      <c r="I715" s="17" t="str">
        <f>IF(COUNTIF(Synonymes!$A:$A,$A715)&gt;0,"ok","")</f>
        <v/>
      </c>
      <c r="J715" s="17">
        <f t="shared" si="11"/>
        <v>2</v>
      </c>
    </row>
    <row r="716" spans="1:10" x14ac:dyDescent="0.3">
      <c r="A716" s="17" t="s">
        <v>3818</v>
      </c>
      <c r="B716" s="17" t="str">
        <f>IFERROR(INDEX(Mots!$B:$B,MATCH($A716,Mots!$A:$A,0)),"introuvable")</f>
        <v>dire</v>
      </c>
      <c r="C716" s="17" t="str">
        <f>IFERROR(INDEX(Mots!$N:$N,MATCH($A716,Mots!$A:$A,0)),"")</f>
        <v>action</v>
      </c>
      <c r="D716" s="17">
        <f>IFERROR(COUNTA(INDEX(Mots!$E:$E,MATCH($A716,Mots!$A:$A,0)):INDEX(Mots!$K:$K,MATCH($A716,Mots!$A:$A,0))),0)</f>
        <v>2</v>
      </c>
      <c r="E716" s="17" t="str">
        <f>IF(COUNTIF(Classement!$A:$A,$A716)&gt;0,"ok","à faire")</f>
        <v>ok</v>
      </c>
      <c r="F716" s="17" t="str">
        <f>IF(COUNTIF(Tags!$A:$A,$A716)&gt;0,"ok","à faire")</f>
        <v>ok</v>
      </c>
      <c r="G716" s="17" t="str">
        <f>IF(COUNTIF(Phrases!$A:$A,$A716)&gt;0,"ok","à faire")</f>
        <v>ok</v>
      </c>
      <c r="H716" s="17" t="str">
        <f>IF(COUNTIFS(Phrases!$A:$A,$A716,Phrases!$I:$I,"&lt;&gt;")&gt;0,"ok","à faire")</f>
        <v>ok</v>
      </c>
      <c r="I716" s="17" t="str">
        <f>IF(COUNTIF(Synonymes!$A:$A,$A716)&gt;0,"ok","")</f>
        <v/>
      </c>
      <c r="J716" s="17">
        <f t="shared" si="11"/>
        <v>0</v>
      </c>
    </row>
    <row r="717" spans="1:10" x14ac:dyDescent="0.3">
      <c r="A717" s="17" t="s">
        <v>3823</v>
      </c>
      <c r="B717" s="17" t="str">
        <f>IFERROR(INDEX(Mots!$B:$B,MATCH($A717,Mots!$A:$A,0)),"introuvable")</f>
        <v>disponible</v>
      </c>
      <c r="C717" s="17" t="str">
        <f>IFERROR(INDEX(Mots!$N:$N,MATCH($A717,Mots!$A:$A,0)),"")</f>
        <v>qualité</v>
      </c>
      <c r="D717" s="17">
        <f>IFERROR(COUNTA(INDEX(Mots!$E:$E,MATCH($A717,Mots!$A:$A,0)):INDEX(Mots!$K:$K,MATCH($A717,Mots!$A:$A,0))),0)</f>
        <v>2</v>
      </c>
      <c r="E717" s="17" t="str">
        <f>IF(COUNTIF(Classement!$A:$A,$A717)&gt;0,"ok","à faire")</f>
        <v>ok</v>
      </c>
      <c r="F717" s="17" t="str">
        <f>IF(COUNTIF(Tags!$A:$A,$A717)&gt;0,"ok","à faire")</f>
        <v>à faire</v>
      </c>
      <c r="G717" s="17" t="str">
        <f>IF(COUNTIF(Phrases!$A:$A,$A717)&gt;0,"ok","à faire")</f>
        <v>ok</v>
      </c>
      <c r="H717" s="17" t="str">
        <f>IF(COUNTIFS(Phrases!$A:$A,$A717,Phrases!$I:$I,"&lt;&gt;")&gt;0,"ok","à faire")</f>
        <v>ok</v>
      </c>
      <c r="I717" s="17" t="str">
        <f>IF(COUNTIF(Synonymes!$A:$A,$A717)&gt;0,"ok","")</f>
        <v>ok</v>
      </c>
      <c r="J717" s="17">
        <f t="shared" si="11"/>
        <v>1</v>
      </c>
    </row>
    <row r="718" spans="1:10" x14ac:dyDescent="0.3">
      <c r="A718" s="17" t="s">
        <v>3827</v>
      </c>
      <c r="B718" s="17" t="str">
        <f>IFERROR(INDEX(Mots!$B:$B,MATCH($A718,Mots!$A:$A,0)),"introuvable")</f>
        <v>domestique</v>
      </c>
      <c r="C718" s="17" t="str">
        <f>IFERROR(INDEX(Mots!$N:$N,MATCH($A718,Mots!$A:$A,0)),"")</f>
        <v>animal</v>
      </c>
      <c r="D718" s="17">
        <f>IFERROR(COUNTA(INDEX(Mots!$E:$E,MATCH($A718,Mots!$A:$A,0)):INDEX(Mots!$K:$K,MATCH($A718,Mots!$A:$A,0))),0)</f>
        <v>1</v>
      </c>
      <c r="E718" s="17" t="str">
        <f>IF(COUNTIF(Classement!$A:$A,$A718)&gt;0,"ok","à faire")</f>
        <v>ok</v>
      </c>
      <c r="F718" s="17" t="str">
        <f>IF(COUNTIF(Tags!$A:$A,$A718)&gt;0,"ok","à faire")</f>
        <v>à faire</v>
      </c>
      <c r="G718" s="17" t="str">
        <f>IF(COUNTIF(Phrases!$A:$A,$A718)&gt;0,"ok","à faire")</f>
        <v>à faire</v>
      </c>
      <c r="H718" s="17" t="str">
        <f>IF(COUNTIFS(Phrases!$A:$A,$A718,Phrases!$I:$I,"&lt;&gt;")&gt;0,"ok","à faire")</f>
        <v>à faire</v>
      </c>
      <c r="I718" s="17" t="str">
        <f>IF(COUNTIF(Synonymes!$A:$A,$A718)&gt;0,"ok","")</f>
        <v/>
      </c>
      <c r="J718" s="17">
        <f t="shared" si="11"/>
        <v>3</v>
      </c>
    </row>
    <row r="719" spans="1:10" x14ac:dyDescent="0.3">
      <c r="A719" s="17" t="s">
        <v>3830</v>
      </c>
      <c r="B719" s="17" t="str">
        <f>IFERROR(INDEX(Mots!$B:$B,MATCH($A719,Mots!$A:$A,0)),"introuvable")</f>
        <v>donner</v>
      </c>
      <c r="C719" s="17" t="str">
        <f>IFERROR(INDEX(Mots!$N:$N,MATCH($A719,Mots!$A:$A,0)),"")</f>
        <v>action</v>
      </c>
      <c r="D719" s="17">
        <f>IFERROR(COUNTA(INDEX(Mots!$E:$E,MATCH($A719,Mots!$A:$A,0)):INDEX(Mots!$K:$K,MATCH($A719,Mots!$A:$A,0))),0)</f>
        <v>3</v>
      </c>
      <c r="E719" s="17" t="str">
        <f>IF(COUNTIF(Classement!$A:$A,$A719)&gt;0,"ok","à faire")</f>
        <v>ok</v>
      </c>
      <c r="F719" s="17" t="str">
        <f>IF(COUNTIF(Tags!$A:$A,$A719)&gt;0,"ok","à faire")</f>
        <v>ok</v>
      </c>
      <c r="G719" s="17" t="str">
        <f>IF(COUNTIF(Phrases!$A:$A,$A719)&gt;0,"ok","à faire")</f>
        <v>ok</v>
      </c>
      <c r="H719" s="17" t="str">
        <f>IF(COUNTIFS(Phrases!$A:$A,$A719,Phrases!$I:$I,"&lt;&gt;")&gt;0,"ok","à faire")</f>
        <v>ok</v>
      </c>
      <c r="I719" s="17" t="str">
        <f>IF(COUNTIF(Synonymes!$A:$A,$A719)&gt;0,"ok","")</f>
        <v/>
      </c>
      <c r="J719" s="17">
        <f t="shared" si="11"/>
        <v>0</v>
      </c>
    </row>
    <row r="720" spans="1:10" x14ac:dyDescent="0.3">
      <c r="A720" s="17" t="s">
        <v>3836</v>
      </c>
      <c r="B720" s="17" t="str">
        <f>IFERROR(INDEX(Mots!$B:$B,MATCH($A720,Mots!$A:$A,0)),"introuvable")</f>
        <v>dormir</v>
      </c>
      <c r="C720" s="17" t="str">
        <f>IFERROR(INDEX(Mots!$N:$N,MATCH($A720,Mots!$A:$A,0)),"")</f>
        <v>action</v>
      </c>
      <c r="D720" s="17">
        <f>IFERROR(COUNTA(INDEX(Mots!$E:$E,MATCH($A720,Mots!$A:$A,0)):INDEX(Mots!$K:$K,MATCH($A720,Mots!$A:$A,0))),0)</f>
        <v>5</v>
      </c>
      <c r="E720" s="17" t="str">
        <f>IF(COUNTIF(Classement!$A:$A,$A720)&gt;0,"ok","à faire")</f>
        <v>ok</v>
      </c>
      <c r="F720" s="17" t="str">
        <f>IF(COUNTIF(Tags!$A:$A,$A720)&gt;0,"ok","à faire")</f>
        <v>ok</v>
      </c>
      <c r="G720" s="17" t="str">
        <f>IF(COUNTIF(Phrases!$A:$A,$A720)&gt;0,"ok","à faire")</f>
        <v>ok</v>
      </c>
      <c r="H720" s="17" t="str">
        <f>IF(COUNTIFS(Phrases!$A:$A,$A720,Phrases!$I:$I,"&lt;&gt;")&gt;0,"ok","à faire")</f>
        <v>ok</v>
      </c>
      <c r="I720" s="17" t="str">
        <f>IF(COUNTIF(Synonymes!$A:$A,$A720)&gt;0,"ok","")</f>
        <v/>
      </c>
      <c r="J720" s="17">
        <f t="shared" si="11"/>
        <v>0</v>
      </c>
    </row>
    <row r="721" spans="1:10" x14ac:dyDescent="0.3">
      <c r="A721" s="17" t="s">
        <v>3844</v>
      </c>
      <c r="B721" s="17" t="str">
        <f>IFERROR(INDEX(Mots!$B:$B,MATCH($A721,Mots!$A:$A,0)),"introuvable")</f>
        <v>doux - douce</v>
      </c>
      <c r="C721" s="17" t="str">
        <f>IFERROR(INDEX(Mots!$N:$N,MATCH($A721,Mots!$A:$A,0)),"")</f>
        <v>qualité</v>
      </c>
      <c r="D721" s="17">
        <f>IFERROR(COUNTA(INDEX(Mots!$E:$E,MATCH($A721,Mots!$A:$A,0)):INDEX(Mots!$K:$K,MATCH($A721,Mots!$A:$A,0))),0)</f>
        <v>4</v>
      </c>
      <c r="E721" s="17" t="str">
        <f>IF(COUNTIF(Classement!$A:$A,$A721)&gt;0,"ok","à faire")</f>
        <v>ok</v>
      </c>
      <c r="F721" s="17" t="str">
        <f>IF(COUNTIF(Tags!$A:$A,$A721)&gt;0,"ok","à faire")</f>
        <v>ok</v>
      </c>
      <c r="G721" s="17" t="str">
        <f>IF(COUNTIF(Phrases!$A:$A,$A721)&gt;0,"ok","à faire")</f>
        <v>ok</v>
      </c>
      <c r="H721" s="17" t="str">
        <f>IF(COUNTIFS(Phrases!$A:$A,$A721,Phrases!$I:$I,"&lt;&gt;")&gt;0,"ok","à faire")</f>
        <v>ok</v>
      </c>
      <c r="I721" s="17" t="str">
        <f>IF(COUNTIF(Synonymes!$A:$A,$A721)&gt;0,"ok","")</f>
        <v/>
      </c>
      <c r="J721" s="17">
        <f t="shared" si="11"/>
        <v>0</v>
      </c>
    </row>
    <row r="722" spans="1:10" x14ac:dyDescent="0.3">
      <c r="A722" s="17" t="s">
        <v>3851</v>
      </c>
      <c r="B722" s="17" t="str">
        <f>IFERROR(INDEX(Mots!$B:$B,MATCH($A722,Mots!$A:$A,0)),"introuvable")</f>
        <v>doucement</v>
      </c>
      <c r="C722" s="17" t="str">
        <f>IFERROR(INDEX(Mots!$N:$N,MATCH($A722,Mots!$A:$A,0)),"")</f>
        <v>mot utile</v>
      </c>
      <c r="D722" s="17">
        <f>IFERROR(COUNTA(INDEX(Mots!$E:$E,MATCH($A722,Mots!$A:$A,0)):INDEX(Mots!$K:$K,MATCH($A722,Mots!$A:$A,0))),0)</f>
        <v>4</v>
      </c>
      <c r="E722" s="17" t="str">
        <f>IF(COUNTIF(Classement!$A:$A,$A722)&gt;0,"ok","à faire")</f>
        <v>ok</v>
      </c>
      <c r="F722" s="17" t="str">
        <f>IF(COUNTIF(Tags!$A:$A,$A722)&gt;0,"ok","à faire")</f>
        <v>ok</v>
      </c>
      <c r="G722" s="17" t="str">
        <f>IF(COUNTIF(Phrases!$A:$A,$A722)&gt;0,"ok","à faire")</f>
        <v>à faire</v>
      </c>
      <c r="H722" s="17" t="str">
        <f>IF(COUNTIFS(Phrases!$A:$A,$A722,Phrases!$I:$I,"&lt;&gt;")&gt;0,"ok","à faire")</f>
        <v>à faire</v>
      </c>
      <c r="I722" s="17" t="str">
        <f>IF(COUNTIF(Synonymes!$A:$A,$A722)&gt;0,"ok","")</f>
        <v/>
      </c>
      <c r="J722" s="17">
        <f t="shared" si="11"/>
        <v>2</v>
      </c>
    </row>
    <row r="723" spans="1:10" x14ac:dyDescent="0.3">
      <c r="A723" s="17" t="s">
        <v>3857</v>
      </c>
      <c r="B723" s="17" t="str">
        <f>IFERROR(INDEX(Mots!$B:$B,MATCH($A723,Mots!$A:$A,0)),"introuvable")</f>
        <v>douter</v>
      </c>
      <c r="C723" s="17" t="str">
        <f>IFERROR(INDEX(Mots!$N:$N,MATCH($A723,Mots!$A:$A,0)),"")</f>
        <v>action</v>
      </c>
      <c r="D723" s="17">
        <f>IFERROR(COUNTA(INDEX(Mots!$E:$E,MATCH($A723,Mots!$A:$A,0)):INDEX(Mots!$K:$K,MATCH($A723,Mots!$A:$A,0))),0)</f>
        <v>2</v>
      </c>
      <c r="E723" s="17" t="str">
        <f>IF(COUNTIF(Classement!$A:$A,$A723)&gt;0,"ok","à faire")</f>
        <v>ok</v>
      </c>
      <c r="F723" s="17" t="str">
        <f>IF(COUNTIF(Tags!$A:$A,$A723)&gt;0,"ok","à faire")</f>
        <v>ok</v>
      </c>
      <c r="G723" s="17" t="str">
        <f>IF(COUNTIF(Phrases!$A:$A,$A723)&gt;0,"ok","à faire")</f>
        <v>ok</v>
      </c>
      <c r="H723" s="17" t="str">
        <f>IF(COUNTIFS(Phrases!$A:$A,$A723,Phrases!$I:$I,"&lt;&gt;")&gt;0,"ok","à faire")</f>
        <v>à faire</v>
      </c>
      <c r="I723" s="17" t="str">
        <f>IF(COUNTIF(Synonymes!$A:$A,$A723)&gt;0,"ok","")</f>
        <v/>
      </c>
      <c r="J723" s="17">
        <f t="shared" si="11"/>
        <v>1</v>
      </c>
    </row>
    <row r="724" spans="1:10" x14ac:dyDescent="0.3">
      <c r="A724" s="17" t="s">
        <v>3862</v>
      </c>
      <c r="B724" s="17" t="str">
        <f>IFERROR(INDEX(Mots!$B:$B,MATCH($A724,Mots!$A:$A,0)),"introuvable")</f>
        <v>écouter</v>
      </c>
      <c r="C724" s="17" t="str">
        <f>IFERROR(INDEX(Mots!$N:$N,MATCH($A724,Mots!$A:$A,0)),"")</f>
        <v>action</v>
      </c>
      <c r="D724" s="17">
        <f>IFERROR(COUNTA(INDEX(Mots!$E:$E,MATCH($A724,Mots!$A:$A,0)):INDEX(Mots!$K:$K,MATCH($A724,Mots!$A:$A,0))),0)</f>
        <v>5</v>
      </c>
      <c r="E724" s="17" t="str">
        <f>IF(COUNTIF(Classement!$A:$A,$A724)&gt;0,"ok","à faire")</f>
        <v>ok</v>
      </c>
      <c r="F724" s="17" t="str">
        <f>IF(COUNTIF(Tags!$A:$A,$A724)&gt;0,"ok","à faire")</f>
        <v>ok</v>
      </c>
      <c r="G724" s="17" t="str">
        <f>IF(COUNTIF(Phrases!$A:$A,$A724)&gt;0,"ok","à faire")</f>
        <v>ok</v>
      </c>
      <c r="H724" s="17" t="str">
        <f>IF(COUNTIFS(Phrases!$A:$A,$A724,Phrases!$I:$I,"&lt;&gt;")&gt;0,"ok","à faire")</f>
        <v>ok</v>
      </c>
      <c r="I724" s="17" t="str">
        <f>IF(COUNTIF(Synonymes!$A:$A,$A724)&gt;0,"ok","")</f>
        <v/>
      </c>
      <c r="J724" s="17">
        <f t="shared" si="11"/>
        <v>0</v>
      </c>
    </row>
    <row r="725" spans="1:10" x14ac:dyDescent="0.3">
      <c r="A725" s="17" t="s">
        <v>3870</v>
      </c>
      <c r="B725" s="17" t="str">
        <f>IFERROR(INDEX(Mots!$B:$B,MATCH($A725,Mots!$A:$A,0)),"introuvable")</f>
        <v>écrire</v>
      </c>
      <c r="C725" s="17" t="str">
        <f>IFERROR(INDEX(Mots!$N:$N,MATCH($A725,Mots!$A:$A,0)),"")</f>
        <v>action</v>
      </c>
      <c r="D725" s="17">
        <f>IFERROR(COUNTA(INDEX(Mots!$E:$E,MATCH($A725,Mots!$A:$A,0)):INDEX(Mots!$K:$K,MATCH($A725,Mots!$A:$A,0))),0)</f>
        <v>5</v>
      </c>
      <c r="E725" s="17" t="str">
        <f>IF(COUNTIF(Classement!$A:$A,$A725)&gt;0,"ok","à faire")</f>
        <v>ok</v>
      </c>
      <c r="F725" s="17" t="str">
        <f>IF(COUNTIF(Tags!$A:$A,$A725)&gt;0,"ok","à faire")</f>
        <v>ok</v>
      </c>
      <c r="G725" s="17" t="str">
        <f>IF(COUNTIF(Phrases!$A:$A,$A725)&gt;0,"ok","à faire")</f>
        <v>ok</v>
      </c>
      <c r="H725" s="17" t="str">
        <f>IF(COUNTIFS(Phrases!$A:$A,$A725,Phrases!$I:$I,"&lt;&gt;")&gt;0,"ok","à faire")</f>
        <v>ok</v>
      </c>
      <c r="I725" s="17" t="str">
        <f>IF(COUNTIF(Synonymes!$A:$A,$A725)&gt;0,"ok","")</f>
        <v/>
      </c>
      <c r="J725" s="17">
        <f t="shared" si="11"/>
        <v>0</v>
      </c>
    </row>
    <row r="726" spans="1:10" x14ac:dyDescent="0.3">
      <c r="A726" s="17" t="s">
        <v>3878</v>
      </c>
      <c r="B726" s="17" t="str">
        <f>IFERROR(INDEX(Mots!$B:$B,MATCH($A726,Mots!$A:$A,0)),"introuvable")</f>
        <v>électrique</v>
      </c>
      <c r="C726" s="17" t="str">
        <f>IFERROR(INDEX(Mots!$N:$N,MATCH($A726,Mots!$A:$A,0)),"")</f>
        <v>qualité</v>
      </c>
      <c r="D726" s="17">
        <f>IFERROR(COUNTA(INDEX(Mots!$E:$E,MATCH($A726,Mots!$A:$A,0)):INDEX(Mots!$K:$K,MATCH($A726,Mots!$A:$A,0))),0)</f>
        <v>5</v>
      </c>
      <c r="E726" s="17" t="str">
        <f>IF(COUNTIF(Classement!$A:$A,$A726)&gt;0,"ok","à faire")</f>
        <v>ok</v>
      </c>
      <c r="F726" s="17" t="str">
        <f>IF(COUNTIF(Tags!$A:$A,$A726)&gt;0,"ok","à faire")</f>
        <v>ok</v>
      </c>
      <c r="G726" s="17" t="str">
        <f>IF(COUNTIF(Phrases!$A:$A,$A726)&gt;0,"ok","à faire")</f>
        <v>ok</v>
      </c>
      <c r="H726" s="17" t="str">
        <f>IF(COUNTIFS(Phrases!$A:$A,$A726,Phrases!$I:$I,"&lt;&gt;")&gt;0,"ok","à faire")</f>
        <v>à faire</v>
      </c>
      <c r="I726" s="17" t="str">
        <f>IF(COUNTIF(Synonymes!$A:$A,$A726)&gt;0,"ok","")</f>
        <v/>
      </c>
      <c r="J726" s="17">
        <f t="shared" si="11"/>
        <v>1</v>
      </c>
    </row>
    <row r="727" spans="1:10" x14ac:dyDescent="0.3">
      <c r="A727" s="17" t="s">
        <v>3886</v>
      </c>
      <c r="B727" s="17" t="str">
        <f>IFERROR(INDEX(Mots!$B:$B,MATCH($A727,Mots!$A:$A,0)),"introuvable")</f>
        <v>élevé</v>
      </c>
      <c r="C727" s="17" t="str">
        <f>IFERROR(INDEX(Mots!$N:$N,MATCH($A727,Mots!$A:$A,0)),"")</f>
        <v>qualité</v>
      </c>
      <c r="D727" s="17">
        <f>IFERROR(COUNTA(INDEX(Mots!$E:$E,MATCH($A727,Mots!$A:$A,0)):INDEX(Mots!$K:$K,MATCH($A727,Mots!$A:$A,0))),0)</f>
        <v>2</v>
      </c>
      <c r="E727" s="17" t="str">
        <f>IF(COUNTIF(Classement!$A:$A,$A727)&gt;0,"ok","à faire")</f>
        <v>ok</v>
      </c>
      <c r="F727" s="17" t="str">
        <f>IF(COUNTIF(Tags!$A:$A,$A727)&gt;0,"ok","à faire")</f>
        <v>ok</v>
      </c>
      <c r="G727" s="17" t="str">
        <f>IF(COUNTIF(Phrases!$A:$A,$A727)&gt;0,"ok","à faire")</f>
        <v>ok</v>
      </c>
      <c r="H727" s="17" t="str">
        <f>IF(COUNTIFS(Phrases!$A:$A,$A727,Phrases!$I:$I,"&lt;&gt;")&gt;0,"ok","à faire")</f>
        <v>à faire</v>
      </c>
      <c r="I727" s="17" t="str">
        <f>IF(COUNTIF(Synonymes!$A:$A,$A727)&gt;0,"ok","")</f>
        <v>ok</v>
      </c>
      <c r="J727" s="17">
        <f t="shared" si="11"/>
        <v>1</v>
      </c>
    </row>
    <row r="728" spans="1:10" x14ac:dyDescent="0.3">
      <c r="A728" s="17" t="s">
        <v>3891</v>
      </c>
      <c r="B728" s="17" t="str">
        <f>IFERROR(INDEX(Mots!$B:$B,MATCH($A728,Mots!$A:$A,0)),"introuvable")</f>
        <v>encore</v>
      </c>
      <c r="C728" s="17" t="str">
        <f>IFERROR(INDEX(Mots!$N:$N,MATCH($A728,Mots!$A:$A,0)),"")</f>
        <v>action</v>
      </c>
      <c r="D728" s="17">
        <f>IFERROR(COUNTA(INDEX(Mots!$E:$E,MATCH($A728,Mots!$A:$A,0)):INDEX(Mots!$K:$K,MATCH($A728,Mots!$A:$A,0))),0)</f>
        <v>1</v>
      </c>
      <c r="E728" s="17" t="str">
        <f>IF(COUNTIF(Classement!$A:$A,$A728)&gt;0,"ok","à faire")</f>
        <v>ok</v>
      </c>
      <c r="F728" s="17" t="str">
        <f>IF(COUNTIF(Tags!$A:$A,$A728)&gt;0,"ok","à faire")</f>
        <v>à faire</v>
      </c>
      <c r="G728" s="17" t="str">
        <f>IF(COUNTIF(Phrases!$A:$A,$A728)&gt;0,"ok","à faire")</f>
        <v>à faire</v>
      </c>
      <c r="H728" s="17" t="str">
        <f>IF(COUNTIFS(Phrases!$A:$A,$A728,Phrases!$I:$I,"&lt;&gt;")&gt;0,"ok","à faire")</f>
        <v>à faire</v>
      </c>
      <c r="I728" s="17" t="str">
        <f>IF(COUNTIF(Synonymes!$A:$A,$A728)&gt;0,"ok","")</f>
        <v/>
      </c>
      <c r="J728" s="17">
        <f t="shared" si="11"/>
        <v>3</v>
      </c>
    </row>
    <row r="729" spans="1:10" x14ac:dyDescent="0.3">
      <c r="A729" s="17" t="s">
        <v>3894</v>
      </c>
      <c r="B729" s="17" t="str">
        <f>IFERROR(INDEX(Mots!$B:$B,MATCH($A729,Mots!$A:$A,0)),"introuvable")</f>
        <v>enfin</v>
      </c>
      <c r="C729" s="17" t="str">
        <f>IFERROR(INDEX(Mots!$N:$N,MATCH($A729,Mots!$A:$A,0)),"")</f>
        <v>mot utile</v>
      </c>
      <c r="D729" s="17">
        <f>IFERROR(COUNTA(INDEX(Mots!$E:$E,MATCH($A729,Mots!$A:$A,0)):INDEX(Mots!$K:$K,MATCH($A729,Mots!$A:$A,0))),0)</f>
        <v>1</v>
      </c>
      <c r="E729" s="17" t="str">
        <f>IF(COUNTIF(Classement!$A:$A,$A729)&gt;0,"ok","à faire")</f>
        <v>ok</v>
      </c>
      <c r="F729" s="17" t="str">
        <f>IF(COUNTIF(Tags!$A:$A,$A729)&gt;0,"ok","à faire")</f>
        <v>ok</v>
      </c>
      <c r="G729" s="17" t="str">
        <f>IF(COUNTIF(Phrases!$A:$A,$A729)&gt;0,"ok","à faire")</f>
        <v>à faire</v>
      </c>
      <c r="H729" s="17" t="str">
        <f>IF(COUNTIFS(Phrases!$A:$A,$A729,Phrases!$I:$I,"&lt;&gt;")&gt;0,"ok","à faire")</f>
        <v>à faire</v>
      </c>
      <c r="I729" s="17" t="str">
        <f>IF(COUNTIF(Synonymes!$A:$A,$A729)&gt;0,"ok","")</f>
        <v>ok</v>
      </c>
      <c r="J729" s="17">
        <f t="shared" si="11"/>
        <v>2</v>
      </c>
    </row>
    <row r="730" spans="1:10" x14ac:dyDescent="0.3">
      <c r="A730" s="17" t="s">
        <v>3896</v>
      </c>
      <c r="B730" s="17" t="str">
        <f>IFERROR(INDEX(Mots!$B:$B,MATCH($A730,Mots!$A:$A,0)),"introuvable")</f>
        <v>enflammé</v>
      </c>
      <c r="C730" s="17" t="str">
        <f>IFERROR(INDEX(Mots!$N:$N,MATCH($A730,Mots!$A:$A,0)),"")</f>
        <v>qualité</v>
      </c>
      <c r="D730" s="17">
        <f>IFERROR(COUNTA(INDEX(Mots!$E:$E,MATCH($A730,Mots!$A:$A,0)):INDEX(Mots!$K:$K,MATCH($A730,Mots!$A:$A,0))),0)</f>
        <v>3</v>
      </c>
      <c r="E730" s="17" t="str">
        <f>IF(COUNTIF(Classement!$A:$A,$A730)&gt;0,"ok","à faire")</f>
        <v>ok</v>
      </c>
      <c r="F730" s="17" t="str">
        <f>IF(COUNTIF(Tags!$A:$A,$A730)&gt;0,"ok","à faire")</f>
        <v>ok</v>
      </c>
      <c r="G730" s="17" t="str">
        <f>IF(COUNTIF(Phrases!$A:$A,$A730)&gt;0,"ok","à faire")</f>
        <v>ok</v>
      </c>
      <c r="H730" s="17" t="str">
        <f>IF(COUNTIFS(Phrases!$A:$A,$A730,Phrases!$I:$I,"&lt;&gt;")&gt;0,"ok","à faire")</f>
        <v>ok</v>
      </c>
      <c r="I730" s="17" t="str">
        <f>IF(COUNTIF(Synonymes!$A:$A,$A730)&gt;0,"ok","")</f>
        <v>ok</v>
      </c>
      <c r="J730" s="17">
        <f t="shared" si="11"/>
        <v>0</v>
      </c>
    </row>
    <row r="731" spans="1:10" x14ac:dyDescent="0.3">
      <c r="A731" s="17" t="s">
        <v>3902</v>
      </c>
      <c r="B731" s="17" t="str">
        <f>IFERROR(INDEX(Mots!$B:$B,MATCH($A731,Mots!$A:$A,0)),"introuvable")</f>
        <v>ensemble</v>
      </c>
      <c r="C731" s="17" t="str">
        <f>IFERROR(INDEX(Mots!$N:$N,MATCH($A731,Mots!$A:$A,0)),"")</f>
        <v>mot utile</v>
      </c>
      <c r="D731" s="17">
        <f>IFERROR(COUNTA(INDEX(Mots!$E:$E,MATCH($A731,Mots!$A:$A,0)):INDEX(Mots!$K:$K,MATCH($A731,Mots!$A:$A,0))),0)</f>
        <v>2</v>
      </c>
      <c r="E731" s="17" t="str">
        <f>IF(COUNTIF(Classement!$A:$A,$A731)&gt;0,"ok","à faire")</f>
        <v>ok</v>
      </c>
      <c r="F731" s="17" t="str">
        <f>IF(COUNTIF(Tags!$A:$A,$A731)&gt;0,"ok","à faire")</f>
        <v>ok</v>
      </c>
      <c r="G731" s="17" t="str">
        <f>IF(COUNTIF(Phrases!$A:$A,$A731)&gt;0,"ok","à faire")</f>
        <v>à faire</v>
      </c>
      <c r="H731" s="17" t="str">
        <f>IF(COUNTIFS(Phrases!$A:$A,$A731,Phrases!$I:$I,"&lt;&gt;")&gt;0,"ok","à faire")</f>
        <v>à faire</v>
      </c>
      <c r="I731" s="17" t="str">
        <f>IF(COUNTIF(Synonymes!$A:$A,$A731)&gt;0,"ok","")</f>
        <v/>
      </c>
      <c r="J731" s="17">
        <f t="shared" si="11"/>
        <v>2</v>
      </c>
    </row>
    <row r="732" spans="1:10" x14ac:dyDescent="0.3">
      <c r="A732" s="17" t="s">
        <v>3906</v>
      </c>
      <c r="B732" s="17" t="str">
        <f>IFERROR(INDEX(Mots!$B:$B,MATCH($A732,Mots!$A:$A,0)),"introuvable")</f>
        <v>ensuite</v>
      </c>
      <c r="C732" s="17" t="str">
        <f>IFERROR(INDEX(Mots!$N:$N,MATCH($A732,Mots!$A:$A,0)),"")</f>
        <v>mot utile</v>
      </c>
      <c r="D732" s="17">
        <f>IFERROR(COUNTA(INDEX(Mots!$E:$E,MATCH($A732,Mots!$A:$A,0)):INDEX(Mots!$K:$K,MATCH($A732,Mots!$A:$A,0))),0)</f>
        <v>2</v>
      </c>
      <c r="E732" s="17" t="str">
        <f>IF(COUNTIF(Classement!$A:$A,$A732)&gt;0,"ok","à faire")</f>
        <v>ok</v>
      </c>
      <c r="F732" s="17" t="str">
        <f>IF(COUNTIF(Tags!$A:$A,$A732)&gt;0,"ok","à faire")</f>
        <v>ok</v>
      </c>
      <c r="G732" s="17" t="str">
        <f>IF(COUNTIF(Phrases!$A:$A,$A732)&gt;0,"ok","à faire")</f>
        <v>à faire</v>
      </c>
      <c r="H732" s="17" t="str">
        <f>IF(COUNTIFS(Phrases!$A:$A,$A732,Phrases!$I:$I,"&lt;&gt;")&gt;0,"ok","à faire")</f>
        <v>à faire</v>
      </c>
      <c r="I732" s="17" t="str">
        <f>IF(COUNTIF(Synonymes!$A:$A,$A732)&gt;0,"ok","")</f>
        <v>ok</v>
      </c>
      <c r="J732" s="17">
        <f t="shared" si="11"/>
        <v>2</v>
      </c>
    </row>
    <row r="733" spans="1:10" x14ac:dyDescent="0.3">
      <c r="A733" s="17" t="s">
        <v>3908</v>
      </c>
      <c r="B733" s="17" t="str">
        <f>IFERROR(INDEX(Mots!$B:$B,MATCH($A733,Mots!$A:$A,0)),"introuvable")</f>
        <v>entendre</v>
      </c>
      <c r="C733" s="17" t="str">
        <f>IFERROR(INDEX(Mots!$N:$N,MATCH($A733,Mots!$A:$A,0)),"")</f>
        <v>action</v>
      </c>
      <c r="D733" s="17">
        <f>IFERROR(COUNTA(INDEX(Mots!$E:$E,MATCH($A733,Mots!$A:$A,0)):INDEX(Mots!$K:$K,MATCH($A733,Mots!$A:$A,0))),0)</f>
        <v>2</v>
      </c>
      <c r="E733" s="17" t="str">
        <f>IF(COUNTIF(Classement!$A:$A,$A733)&gt;0,"ok","à faire")</f>
        <v>ok</v>
      </c>
      <c r="F733" s="17" t="str">
        <f>IF(COUNTIF(Tags!$A:$A,$A733)&gt;0,"ok","à faire")</f>
        <v>à faire</v>
      </c>
      <c r="G733" s="17" t="str">
        <f>IF(COUNTIF(Phrases!$A:$A,$A733)&gt;0,"ok","à faire")</f>
        <v>ok</v>
      </c>
      <c r="H733" s="17" t="str">
        <f>IF(COUNTIFS(Phrases!$A:$A,$A733,Phrases!$I:$I,"&lt;&gt;")&gt;0,"ok","à faire")</f>
        <v>ok</v>
      </c>
      <c r="I733" s="17" t="str">
        <f>IF(COUNTIF(Synonymes!$A:$A,$A733)&gt;0,"ok","")</f>
        <v/>
      </c>
      <c r="J733" s="17">
        <f t="shared" si="11"/>
        <v>1</v>
      </c>
    </row>
    <row r="734" spans="1:10" x14ac:dyDescent="0.3">
      <c r="A734" s="17" t="s">
        <v>3913</v>
      </c>
      <c r="B734" s="17" t="str">
        <f>IFERROR(INDEX(Mots!$B:$B,MATCH($A734,Mots!$A:$A,0)),"introuvable")</f>
        <v>entier</v>
      </c>
      <c r="C734" s="17" t="str">
        <f>IFERROR(INDEX(Mots!$N:$N,MATCH($A734,Mots!$A:$A,0)),"")</f>
        <v>qualité</v>
      </c>
      <c r="D734" s="17">
        <f>IFERROR(COUNTA(INDEX(Mots!$E:$E,MATCH($A734,Mots!$A:$A,0)):INDEX(Mots!$K:$K,MATCH($A734,Mots!$A:$A,0))),0)</f>
        <v>1</v>
      </c>
      <c r="E734" s="17" t="str">
        <f>IF(COUNTIF(Classement!$A:$A,$A734)&gt;0,"ok","à faire")</f>
        <v>ok</v>
      </c>
      <c r="F734" s="17" t="str">
        <f>IF(COUNTIF(Tags!$A:$A,$A734)&gt;0,"ok","à faire")</f>
        <v>à faire</v>
      </c>
      <c r="G734" s="17" t="str">
        <f>IF(COUNTIF(Phrases!$A:$A,$A734)&gt;0,"ok","à faire")</f>
        <v>ok</v>
      </c>
      <c r="H734" s="17" t="str">
        <f>IF(COUNTIFS(Phrases!$A:$A,$A734,Phrases!$I:$I,"&lt;&gt;")&gt;0,"ok","à faire")</f>
        <v>à faire</v>
      </c>
      <c r="I734" s="17" t="str">
        <f>IF(COUNTIF(Synonymes!$A:$A,$A734)&gt;0,"ok","")</f>
        <v/>
      </c>
      <c r="J734" s="17">
        <f t="shared" si="11"/>
        <v>2</v>
      </c>
    </row>
    <row r="735" spans="1:10" x14ac:dyDescent="0.3">
      <c r="A735" s="17" t="s">
        <v>3916</v>
      </c>
      <c r="B735" s="17" t="str">
        <f>IFERROR(INDEX(Mots!$B:$B,MATCH($A735,Mots!$A:$A,0)),"introuvable")</f>
        <v>entrer</v>
      </c>
      <c r="C735" s="17" t="str">
        <f>IFERROR(INDEX(Mots!$N:$N,MATCH($A735,Mots!$A:$A,0)),"")</f>
        <v>action</v>
      </c>
      <c r="D735" s="17">
        <f>IFERROR(COUNTA(INDEX(Mots!$E:$E,MATCH($A735,Mots!$A:$A,0)):INDEX(Mots!$K:$K,MATCH($A735,Mots!$A:$A,0))),0)</f>
        <v>4</v>
      </c>
      <c r="E735" s="17" t="str">
        <f>IF(COUNTIF(Classement!$A:$A,$A735)&gt;0,"ok","à faire")</f>
        <v>ok</v>
      </c>
      <c r="F735" s="17" t="str">
        <f>IF(COUNTIF(Tags!$A:$A,$A735)&gt;0,"ok","à faire")</f>
        <v>ok</v>
      </c>
      <c r="G735" s="17" t="str">
        <f>IF(COUNTIF(Phrases!$A:$A,$A735)&gt;0,"ok","à faire")</f>
        <v>ok</v>
      </c>
      <c r="H735" s="17" t="str">
        <f>IF(COUNTIFS(Phrases!$A:$A,$A735,Phrases!$I:$I,"&lt;&gt;")&gt;0,"ok","à faire")</f>
        <v>ok</v>
      </c>
      <c r="I735" s="17" t="str">
        <f>IF(COUNTIF(Synonymes!$A:$A,$A735)&gt;0,"ok","")</f>
        <v/>
      </c>
      <c r="J735" s="17">
        <f t="shared" si="11"/>
        <v>0</v>
      </c>
    </row>
    <row r="736" spans="1:10" x14ac:dyDescent="0.3">
      <c r="A736" s="8" t="s">
        <v>9596</v>
      </c>
      <c r="B736" s="17" t="str">
        <f>IFERROR(INDEX(Mots!$B:$B,MATCH($A736,Mots!$A:$A,0)),"introuvable")</f>
        <v>environ</v>
      </c>
      <c r="C736" s="17" t="str">
        <f>IFERROR(INDEX(Mots!$N:$N,MATCH($A736,Mots!$A:$A,0)),"")</f>
        <v>mot utile</v>
      </c>
      <c r="D736" s="17">
        <f>IFERROR(COUNTA(INDEX(Mots!$E:$E,MATCH($A736,Mots!$A:$A,0)):INDEX(Mots!$K:$K,MATCH($A736,Mots!$A:$A,0))),0)</f>
        <v>2</v>
      </c>
      <c r="E736" s="17" t="str">
        <f>IF(COUNTIF(Classement!$A:$A,$A736)&gt;0,"ok","à faire")</f>
        <v>ok</v>
      </c>
      <c r="F736" s="17" t="str">
        <f>IF(COUNTIF(Tags!$A:$A,$A736)&gt;0,"ok","à faire")</f>
        <v>ok</v>
      </c>
      <c r="G736" s="17" t="str">
        <f>IF(COUNTIF(Phrases!$A:$A,$A736)&gt;0,"ok","à faire")</f>
        <v>à faire</v>
      </c>
      <c r="H736" s="17" t="str">
        <f>IF(COUNTIFS(Phrases!$A:$A,$A736,Phrases!$I:$I,"&lt;&gt;")&gt;0,"ok","à faire")</f>
        <v>à faire</v>
      </c>
      <c r="I736" s="17" t="str">
        <f>IF(COUNTIF(Synonymes!$A:$A,$A736)&gt;0,"ok","")</f>
        <v>ok</v>
      </c>
      <c r="J736" s="17">
        <f t="shared" si="11"/>
        <v>2</v>
      </c>
    </row>
    <row r="737" spans="1:10" x14ac:dyDescent="0.3">
      <c r="A737" s="17" t="s">
        <v>3925</v>
      </c>
      <c r="B737" s="17" t="str">
        <f>IFERROR(INDEX(Mots!$B:$B,MATCH($A737,Mots!$A:$A,0)),"introuvable")</f>
        <v>équitable</v>
      </c>
      <c r="C737" s="17" t="str">
        <f>IFERROR(INDEX(Mots!$N:$N,MATCH($A737,Mots!$A:$A,0)),"")</f>
        <v>qualité</v>
      </c>
      <c r="D737" s="17">
        <f>IFERROR(COUNTA(INDEX(Mots!$E:$E,MATCH($A737,Mots!$A:$A,0)):INDEX(Mots!$K:$K,MATCH($A737,Mots!$A:$A,0))),0)</f>
        <v>3</v>
      </c>
      <c r="E737" s="17" t="str">
        <f>IF(COUNTIF(Classement!$A:$A,$A737)&gt;0,"ok","à faire")</f>
        <v>ok</v>
      </c>
      <c r="F737" s="17" t="str">
        <f>IF(COUNTIF(Tags!$A:$A,$A737)&gt;0,"ok","à faire")</f>
        <v>à faire</v>
      </c>
      <c r="G737" s="17" t="str">
        <f>IF(COUNTIF(Phrases!$A:$A,$A737)&gt;0,"ok","à faire")</f>
        <v>ok</v>
      </c>
      <c r="H737" s="17" t="str">
        <f>IF(COUNTIFS(Phrases!$A:$A,$A737,Phrases!$I:$I,"&lt;&gt;")&gt;0,"ok","à faire")</f>
        <v>à faire</v>
      </c>
      <c r="I737" s="17" t="str">
        <f>IF(COUNTIF(Synonymes!$A:$A,$A737)&gt;0,"ok","")</f>
        <v>ok</v>
      </c>
      <c r="J737" s="17">
        <f t="shared" si="11"/>
        <v>2</v>
      </c>
    </row>
    <row r="738" spans="1:10" x14ac:dyDescent="0.3">
      <c r="A738" s="17" t="s">
        <v>3929</v>
      </c>
      <c r="B738" s="17" t="str">
        <f>IFERROR(INDEX(Mots!$B:$B,MATCH($A738,Mots!$A:$A,0)),"introuvable")</f>
        <v>essayer</v>
      </c>
      <c r="C738" s="17" t="str">
        <f>IFERROR(INDEX(Mots!$N:$N,MATCH($A738,Mots!$A:$A,0)),"")</f>
        <v>action</v>
      </c>
      <c r="D738" s="17">
        <f>IFERROR(COUNTA(INDEX(Mots!$E:$E,MATCH($A738,Mots!$A:$A,0)):INDEX(Mots!$K:$K,MATCH($A738,Mots!$A:$A,0))),0)</f>
        <v>3</v>
      </c>
      <c r="E738" s="17" t="str">
        <f>IF(COUNTIF(Classement!$A:$A,$A738)&gt;0,"ok","à faire")</f>
        <v>ok</v>
      </c>
      <c r="F738" s="17" t="str">
        <f>IF(COUNTIF(Tags!$A:$A,$A738)&gt;0,"ok","à faire")</f>
        <v>ok</v>
      </c>
      <c r="G738" s="17" t="str">
        <f>IF(COUNTIF(Phrases!$A:$A,$A738)&gt;0,"ok","à faire")</f>
        <v>ok</v>
      </c>
      <c r="H738" s="17" t="str">
        <f>IF(COUNTIFS(Phrases!$A:$A,$A738,Phrases!$I:$I,"&lt;&gt;")&gt;0,"ok","à faire")</f>
        <v>ok</v>
      </c>
      <c r="I738" s="17" t="str">
        <f>IF(COUNTIF(Synonymes!$A:$A,$A738)&gt;0,"ok","")</f>
        <v>ok</v>
      </c>
      <c r="J738" s="17">
        <f t="shared" si="11"/>
        <v>0</v>
      </c>
    </row>
    <row r="739" spans="1:10" x14ac:dyDescent="0.3">
      <c r="A739" s="17" t="s">
        <v>3935</v>
      </c>
      <c r="B739" s="17" t="str">
        <f>IFERROR(INDEX(Mots!$B:$B,MATCH($A739,Mots!$A:$A,0)),"introuvable")</f>
        <v>exact</v>
      </c>
      <c r="C739" s="17" t="str">
        <f>IFERROR(INDEX(Mots!$N:$N,MATCH($A739,Mots!$A:$A,0)),"")</f>
        <v>qualité</v>
      </c>
      <c r="D739" s="17">
        <f>IFERROR(COUNTA(INDEX(Mots!$E:$E,MATCH($A739,Mots!$A:$A,0)):INDEX(Mots!$K:$K,MATCH($A739,Mots!$A:$A,0))),0)</f>
        <v>3</v>
      </c>
      <c r="E739" s="17" t="str">
        <f>IF(COUNTIF(Classement!$A:$A,$A739)&gt;0,"ok","à faire")</f>
        <v>ok</v>
      </c>
      <c r="F739" s="17" t="str">
        <f>IF(COUNTIF(Tags!$A:$A,$A739)&gt;0,"ok","à faire")</f>
        <v>à faire</v>
      </c>
      <c r="G739" s="17" t="str">
        <f>IF(COUNTIF(Phrases!$A:$A,$A739)&gt;0,"ok","à faire")</f>
        <v>ok</v>
      </c>
      <c r="H739" s="17" t="str">
        <f>IF(COUNTIFS(Phrases!$A:$A,$A739,Phrases!$I:$I,"&lt;&gt;")&gt;0,"ok","à faire")</f>
        <v>ok</v>
      </c>
      <c r="I739" s="17" t="str">
        <f>IF(COUNTIF(Synonymes!$A:$A,$A739)&gt;0,"ok","")</f>
        <v>ok</v>
      </c>
      <c r="J739" s="17">
        <f t="shared" si="11"/>
        <v>1</v>
      </c>
    </row>
    <row r="740" spans="1:10" x14ac:dyDescent="0.3">
      <c r="A740" s="17" t="s">
        <v>3937</v>
      </c>
      <c r="B740" s="17" t="str">
        <f>IFERROR(INDEX(Mots!$B:$B,MATCH($A740,Mots!$A:$A,0)),"introuvable")</f>
        <v>expliquer</v>
      </c>
      <c r="C740" s="17" t="str">
        <f>IFERROR(INDEX(Mots!$N:$N,MATCH($A740,Mots!$A:$A,0)),"")</f>
        <v>action</v>
      </c>
      <c r="D740" s="17">
        <f>IFERROR(COUNTA(INDEX(Mots!$E:$E,MATCH($A740,Mots!$A:$A,0)):INDEX(Mots!$K:$K,MATCH($A740,Mots!$A:$A,0))),0)</f>
        <v>1</v>
      </c>
      <c r="E740" s="17" t="str">
        <f>IF(COUNTIF(Classement!$A:$A,$A740)&gt;0,"ok","à faire")</f>
        <v>ok</v>
      </c>
      <c r="F740" s="17" t="str">
        <f>IF(COUNTIF(Tags!$A:$A,$A740)&gt;0,"ok","à faire")</f>
        <v>ok</v>
      </c>
      <c r="G740" s="17" t="str">
        <f>IF(COUNTIF(Phrases!$A:$A,$A740)&gt;0,"ok","à faire")</f>
        <v>ok</v>
      </c>
      <c r="H740" s="17" t="str">
        <f>IF(COUNTIFS(Phrases!$A:$A,$A740,Phrases!$I:$I,"&lt;&gt;")&gt;0,"ok","à faire")</f>
        <v>ok</v>
      </c>
      <c r="I740" s="17" t="str">
        <f>IF(COUNTIF(Synonymes!$A:$A,$A740)&gt;0,"ok","")</f>
        <v>ok</v>
      </c>
      <c r="J740" s="17">
        <f t="shared" si="11"/>
        <v>0</v>
      </c>
    </row>
    <row r="741" spans="1:10" x14ac:dyDescent="0.3">
      <c r="A741" s="17" t="s">
        <v>3941</v>
      </c>
      <c r="B741" s="17" t="str">
        <f>IFERROR(INDEX(Mots!$B:$B,MATCH($A741,Mots!$A:$A,0)),"introuvable")</f>
        <v>exprès</v>
      </c>
      <c r="C741" s="17" t="str">
        <f>IFERROR(INDEX(Mots!$N:$N,MATCH($A741,Mots!$A:$A,0)),"")</f>
        <v>mot utile</v>
      </c>
      <c r="D741" s="17">
        <f>IFERROR(COUNTA(INDEX(Mots!$E:$E,MATCH($A741,Mots!$A:$A,0)):INDEX(Mots!$K:$K,MATCH($A741,Mots!$A:$A,0))),0)</f>
        <v>0</v>
      </c>
      <c r="E741" s="17" t="str">
        <f>IF(COUNTIF(Classement!$A:$A,$A741)&gt;0,"ok","à faire")</f>
        <v>ok</v>
      </c>
      <c r="F741" s="17" t="str">
        <f>IF(COUNTIF(Tags!$A:$A,$A741)&gt;0,"ok","à faire")</f>
        <v>ok</v>
      </c>
      <c r="G741" s="17" t="str">
        <f>IF(COUNTIF(Phrases!$A:$A,$A741)&gt;0,"ok","à faire")</f>
        <v>à faire</v>
      </c>
      <c r="H741" s="17" t="str">
        <f>IF(COUNTIFS(Phrases!$A:$A,$A741,Phrases!$I:$I,"&lt;&gt;")&gt;0,"ok","à faire")</f>
        <v>à faire</v>
      </c>
      <c r="I741" s="17" t="str">
        <f>IF(COUNTIF(Synonymes!$A:$A,$A741)&gt;0,"ok","")</f>
        <v>ok</v>
      </c>
      <c r="J741" s="17">
        <f t="shared" si="11"/>
        <v>2</v>
      </c>
    </row>
    <row r="742" spans="1:10" x14ac:dyDescent="0.3">
      <c r="A742" s="17" t="s">
        <v>3944</v>
      </c>
      <c r="B742" s="17" t="str">
        <f>IFERROR(INDEX(Mots!$B:$B,MATCH($A742,Mots!$A:$A,0)),"introuvable")</f>
        <v>extérieur</v>
      </c>
      <c r="C742" s="17" t="str">
        <f>IFERROR(INDEX(Mots!$N:$N,MATCH($A742,Mots!$A:$A,0)),"")</f>
        <v>qualité</v>
      </c>
      <c r="D742" s="17">
        <f>IFERROR(COUNTA(INDEX(Mots!$E:$E,MATCH($A742,Mots!$A:$A,0)):INDEX(Mots!$K:$K,MATCH($A742,Mots!$A:$A,0))),0)</f>
        <v>1</v>
      </c>
      <c r="E742" s="17" t="str">
        <f>IF(COUNTIF(Classement!$A:$A,$A742)&gt;0,"ok","à faire")</f>
        <v>ok</v>
      </c>
      <c r="F742" s="17" t="str">
        <f>IF(COUNTIF(Tags!$A:$A,$A742)&gt;0,"ok","à faire")</f>
        <v>ok</v>
      </c>
      <c r="G742" s="17" t="str">
        <f>IF(COUNTIF(Phrases!$A:$A,$A742)&gt;0,"ok","à faire")</f>
        <v>ok</v>
      </c>
      <c r="H742" s="17" t="str">
        <f>IF(COUNTIFS(Phrases!$A:$A,$A742,Phrases!$I:$I,"&lt;&gt;")&gt;0,"ok","à faire")</f>
        <v>à faire</v>
      </c>
      <c r="I742" s="17" t="str">
        <f>IF(COUNTIF(Synonymes!$A:$A,$A742)&gt;0,"ok","")</f>
        <v/>
      </c>
      <c r="J742" s="17">
        <f t="shared" si="11"/>
        <v>1</v>
      </c>
    </row>
    <row r="743" spans="1:10" x14ac:dyDescent="0.3">
      <c r="A743" s="17" t="s">
        <v>3947</v>
      </c>
      <c r="B743" s="17" t="str">
        <f>IFERROR(INDEX(Mots!$B:$B,MATCH($A743,Mots!$A:$A,0)),"introuvable")</f>
        <v>faire</v>
      </c>
      <c r="C743" s="17" t="str">
        <f>IFERROR(INDEX(Mots!$N:$N,MATCH($A743,Mots!$A:$A,0)),"")</f>
        <v>action</v>
      </c>
      <c r="D743" s="17">
        <f>IFERROR(COUNTA(INDEX(Mots!$E:$E,MATCH($A743,Mots!$A:$A,0)):INDEX(Mots!$K:$K,MATCH($A743,Mots!$A:$A,0))),0)</f>
        <v>1</v>
      </c>
      <c r="E743" s="17" t="str">
        <f>IF(COUNTIF(Classement!$A:$A,$A743)&gt;0,"ok","à faire")</f>
        <v>ok</v>
      </c>
      <c r="F743" s="17" t="str">
        <f>IF(COUNTIF(Tags!$A:$A,$A743)&gt;0,"ok","à faire")</f>
        <v>ok</v>
      </c>
      <c r="G743" s="17" t="str">
        <f>IF(COUNTIF(Phrases!$A:$A,$A743)&gt;0,"ok","à faire")</f>
        <v>ok</v>
      </c>
      <c r="H743" s="17" t="str">
        <f>IF(COUNTIFS(Phrases!$A:$A,$A743,Phrases!$I:$I,"&lt;&gt;")&gt;0,"ok","à faire")</f>
        <v>ok</v>
      </c>
      <c r="I743" s="17" t="str">
        <f>IF(COUNTIF(Synonymes!$A:$A,$A743)&gt;0,"ok","")</f>
        <v/>
      </c>
      <c r="J743" s="17">
        <f t="shared" si="11"/>
        <v>0</v>
      </c>
    </row>
    <row r="744" spans="1:10" x14ac:dyDescent="0.3">
      <c r="A744" s="17" t="s">
        <v>3951</v>
      </c>
      <c r="B744" s="17" t="str">
        <f>IFERROR(INDEX(Mots!$B:$B,MATCH($A744,Mots!$A:$A,0)),"introuvable")</f>
        <v>fatigué</v>
      </c>
      <c r="C744" s="17" t="str">
        <f>IFERROR(INDEX(Mots!$N:$N,MATCH($A744,Mots!$A:$A,0)),"")</f>
        <v>qualité</v>
      </c>
      <c r="D744" s="17">
        <f>IFERROR(COUNTA(INDEX(Mots!$E:$E,MATCH($A744,Mots!$A:$A,0)):INDEX(Mots!$K:$K,MATCH($A744,Mots!$A:$A,0))),0)</f>
        <v>5</v>
      </c>
      <c r="E744" s="17" t="str">
        <f>IF(COUNTIF(Classement!$A:$A,$A744)&gt;0,"ok","à faire")</f>
        <v>ok</v>
      </c>
      <c r="F744" s="17" t="str">
        <f>IF(COUNTIF(Tags!$A:$A,$A744)&gt;0,"ok","à faire")</f>
        <v>à faire</v>
      </c>
      <c r="G744" s="17" t="str">
        <f>IF(COUNTIF(Phrases!$A:$A,$A744)&gt;0,"ok","à faire")</f>
        <v>ok</v>
      </c>
      <c r="H744" s="17" t="str">
        <f>IF(COUNTIFS(Phrases!$A:$A,$A744,Phrases!$I:$I,"&lt;&gt;")&gt;0,"ok","à faire")</f>
        <v>ok</v>
      </c>
      <c r="I744" s="17" t="str">
        <f>IF(COUNTIF(Synonymes!$A:$A,$A744)&gt;0,"ok","")</f>
        <v>ok</v>
      </c>
      <c r="J744" s="17">
        <f t="shared" si="11"/>
        <v>1</v>
      </c>
    </row>
    <row r="745" spans="1:10" x14ac:dyDescent="0.3">
      <c r="A745" s="17" t="s">
        <v>3959</v>
      </c>
      <c r="B745" s="17" t="str">
        <f>IFERROR(INDEX(Mots!$B:$B,MATCH($A745,Mots!$A:$A,0)),"introuvable")</f>
        <v>féliciter</v>
      </c>
      <c r="C745" s="17" t="str">
        <f>IFERROR(INDEX(Mots!$N:$N,MATCH($A745,Mots!$A:$A,0)),"")</f>
        <v>action</v>
      </c>
      <c r="D745" s="17">
        <f>IFERROR(COUNTA(INDEX(Mots!$E:$E,MATCH($A745,Mots!$A:$A,0)):INDEX(Mots!$K:$K,MATCH($A745,Mots!$A:$A,0))),0)</f>
        <v>5</v>
      </c>
      <c r="E745" s="17" t="str">
        <f>IF(COUNTIF(Classement!$A:$A,$A745)&gt;0,"ok","à faire")</f>
        <v>ok</v>
      </c>
      <c r="F745" s="17" t="str">
        <f>IF(COUNTIF(Tags!$A:$A,$A745)&gt;0,"ok","à faire")</f>
        <v>ok</v>
      </c>
      <c r="G745" s="17" t="str">
        <f>IF(COUNTIF(Phrases!$A:$A,$A745)&gt;0,"ok","à faire")</f>
        <v>ok</v>
      </c>
      <c r="H745" s="17" t="str">
        <f>IF(COUNTIFS(Phrases!$A:$A,$A745,Phrases!$I:$I,"&lt;&gt;")&gt;0,"ok","à faire")</f>
        <v>ok</v>
      </c>
      <c r="I745" s="17" t="str">
        <f>IF(COUNTIF(Synonymes!$A:$A,$A745)&gt;0,"ok","")</f>
        <v/>
      </c>
      <c r="J745" s="17">
        <f t="shared" si="11"/>
        <v>0</v>
      </c>
    </row>
    <row r="746" spans="1:10" x14ac:dyDescent="0.3">
      <c r="A746" s="17" t="s">
        <v>3967</v>
      </c>
      <c r="B746" s="17" t="str">
        <f>IFERROR(INDEX(Mots!$B:$B,MATCH($A746,Mots!$A:$A,0)),"introuvable")</f>
        <v>féminin</v>
      </c>
      <c r="C746" s="17" t="str">
        <f>IFERROR(INDEX(Mots!$N:$N,MATCH($A746,Mots!$A:$A,0)),"")</f>
        <v>qualité</v>
      </c>
      <c r="D746" s="17">
        <f>IFERROR(COUNTA(INDEX(Mots!$E:$E,MATCH($A746,Mots!$A:$A,0)):INDEX(Mots!$K:$K,MATCH($A746,Mots!$A:$A,0))),0)</f>
        <v>1</v>
      </c>
      <c r="E746" s="17" t="str">
        <f>IF(COUNTIF(Classement!$A:$A,$A746)&gt;0,"ok","à faire")</f>
        <v>ok</v>
      </c>
      <c r="F746" s="17" t="str">
        <f>IF(COUNTIF(Tags!$A:$A,$A746)&gt;0,"ok","à faire")</f>
        <v>à faire</v>
      </c>
      <c r="G746" s="17" t="str">
        <f>IF(COUNTIF(Phrases!$A:$A,$A746)&gt;0,"ok","à faire")</f>
        <v>ok</v>
      </c>
      <c r="H746" s="17" t="str">
        <f>IF(COUNTIFS(Phrases!$A:$A,$A746,Phrases!$I:$I,"&lt;&gt;")&gt;0,"ok","à faire")</f>
        <v>à faire</v>
      </c>
      <c r="I746" s="17" t="str">
        <f>IF(COUNTIF(Synonymes!$A:$A,$A746)&gt;0,"ok","")</f>
        <v/>
      </c>
      <c r="J746" s="17">
        <f t="shared" si="11"/>
        <v>2</v>
      </c>
    </row>
    <row r="747" spans="1:10" x14ac:dyDescent="0.3">
      <c r="A747" s="17" t="s">
        <v>3971</v>
      </c>
      <c r="B747" s="17" t="str">
        <f>IFERROR(INDEX(Mots!$B:$B,MATCH($A747,Mots!$A:$A,0)),"introuvable")</f>
        <v>fermer</v>
      </c>
      <c r="C747" s="17" t="str">
        <f>IFERROR(INDEX(Mots!$N:$N,MATCH($A747,Mots!$A:$A,0)),"")</f>
        <v>action</v>
      </c>
      <c r="D747" s="17">
        <f>IFERROR(COUNTA(INDEX(Mots!$E:$E,MATCH($A747,Mots!$A:$A,0)):INDEX(Mots!$K:$K,MATCH($A747,Mots!$A:$A,0))),0)</f>
        <v>4</v>
      </c>
      <c r="E747" s="17" t="str">
        <f>IF(COUNTIF(Classement!$A:$A,$A747)&gt;0,"ok","à faire")</f>
        <v>ok</v>
      </c>
      <c r="F747" s="17" t="str">
        <f>IF(COUNTIF(Tags!$A:$A,$A747)&gt;0,"ok","à faire")</f>
        <v>ok</v>
      </c>
      <c r="G747" s="17" t="str">
        <f>IF(COUNTIF(Phrases!$A:$A,$A747)&gt;0,"ok","à faire")</f>
        <v>ok</v>
      </c>
      <c r="H747" s="17" t="str">
        <f>IF(COUNTIFS(Phrases!$A:$A,$A747,Phrases!$I:$I,"&lt;&gt;")&gt;0,"ok","à faire")</f>
        <v>à faire</v>
      </c>
      <c r="I747" s="17" t="str">
        <f>IF(COUNTIF(Synonymes!$A:$A,$A747)&gt;0,"ok","")</f>
        <v/>
      </c>
      <c r="J747" s="17">
        <f t="shared" si="11"/>
        <v>1</v>
      </c>
    </row>
    <row r="748" spans="1:10" x14ac:dyDescent="0.3">
      <c r="A748" s="17" t="s">
        <v>3978</v>
      </c>
      <c r="B748" s="17" t="str">
        <f>IFERROR(INDEX(Mots!$B:$B,MATCH($A748,Mots!$A:$A,0)),"introuvable")</f>
        <v>finir</v>
      </c>
      <c r="C748" s="17" t="str">
        <f>IFERROR(INDEX(Mots!$N:$N,MATCH($A748,Mots!$A:$A,0)),"")</f>
        <v>action</v>
      </c>
      <c r="D748" s="17">
        <f>IFERROR(COUNTA(INDEX(Mots!$E:$E,MATCH($A748,Mots!$A:$A,0)):INDEX(Mots!$K:$K,MATCH($A748,Mots!$A:$A,0))),0)</f>
        <v>1</v>
      </c>
      <c r="E748" s="17" t="str">
        <f>IF(COUNTIF(Classement!$A:$A,$A748)&gt;0,"ok","à faire")</f>
        <v>ok</v>
      </c>
      <c r="F748" s="17" t="str">
        <f>IF(COUNTIF(Tags!$A:$A,$A748)&gt;0,"ok","à faire")</f>
        <v>à faire</v>
      </c>
      <c r="G748" s="17" t="str">
        <f>IF(COUNTIF(Phrases!$A:$A,$A748)&gt;0,"ok","à faire")</f>
        <v>ok</v>
      </c>
      <c r="H748" s="17" t="str">
        <f>IF(COUNTIFS(Phrases!$A:$A,$A748,Phrases!$I:$I,"&lt;&gt;")&gt;0,"ok","à faire")</f>
        <v>ok</v>
      </c>
      <c r="I748" s="17" t="str">
        <f>IF(COUNTIF(Synonymes!$A:$A,$A748)&gt;0,"ok","")</f>
        <v>ok</v>
      </c>
      <c r="J748" s="17">
        <f t="shared" si="11"/>
        <v>1</v>
      </c>
    </row>
    <row r="749" spans="1:10" x14ac:dyDescent="0.3">
      <c r="A749" s="17" t="s">
        <v>3982</v>
      </c>
      <c r="B749" s="17" t="str">
        <f>IFERROR(INDEX(Mots!$B:$B,MATCH($A749,Mots!$A:$A,0)),"introuvable")</f>
        <v>frais - fraîche</v>
      </c>
      <c r="C749" s="17" t="str">
        <f>IFERROR(INDEX(Mots!$N:$N,MATCH($A749,Mots!$A:$A,0)),"")</f>
        <v>qualité</v>
      </c>
      <c r="D749" s="17">
        <f>IFERROR(COUNTA(INDEX(Mots!$E:$E,MATCH($A749,Mots!$A:$A,0)):INDEX(Mots!$K:$K,MATCH($A749,Mots!$A:$A,0))),0)</f>
        <v>2</v>
      </c>
      <c r="E749" s="17" t="str">
        <f>IF(COUNTIF(Classement!$A:$A,$A749)&gt;0,"ok","à faire")</f>
        <v>ok</v>
      </c>
      <c r="F749" s="17" t="str">
        <f>IF(COUNTIF(Tags!$A:$A,$A749)&gt;0,"ok","à faire")</f>
        <v>ok</v>
      </c>
      <c r="G749" s="17" t="str">
        <f>IF(COUNTIF(Phrases!$A:$A,$A749)&gt;0,"ok","à faire")</f>
        <v>ok</v>
      </c>
      <c r="H749" s="17" t="str">
        <f>IF(COUNTIFS(Phrases!$A:$A,$A749,Phrases!$I:$I,"&lt;&gt;")&gt;0,"ok","à faire")</f>
        <v>ok</v>
      </c>
      <c r="I749" s="17" t="str">
        <f>IF(COUNTIF(Synonymes!$A:$A,$A749)&gt;0,"ok","")</f>
        <v/>
      </c>
      <c r="J749" s="17">
        <f t="shared" si="11"/>
        <v>0</v>
      </c>
    </row>
    <row r="750" spans="1:10" x14ac:dyDescent="0.3">
      <c r="A750" s="17" t="s">
        <v>3987</v>
      </c>
      <c r="B750" s="17" t="str">
        <f>IFERROR(INDEX(Mots!$B:$B,MATCH($A750,Mots!$A:$A,0)),"introuvable")</f>
        <v>frapper</v>
      </c>
      <c r="C750" s="17" t="str">
        <f>IFERROR(INDEX(Mots!$N:$N,MATCH($A750,Mots!$A:$A,0)),"")</f>
        <v>action</v>
      </c>
      <c r="D750" s="17">
        <f>IFERROR(COUNTA(INDEX(Mots!$E:$E,MATCH($A750,Mots!$A:$A,0)):INDEX(Mots!$K:$K,MATCH($A750,Mots!$A:$A,0))),0)</f>
        <v>5</v>
      </c>
      <c r="E750" s="17" t="str">
        <f>IF(COUNTIF(Classement!$A:$A,$A750)&gt;0,"ok","à faire")</f>
        <v>ok</v>
      </c>
      <c r="F750" s="17" t="str">
        <f>IF(COUNTIF(Tags!$A:$A,$A750)&gt;0,"ok","à faire")</f>
        <v>ok</v>
      </c>
      <c r="G750" s="17" t="str">
        <f>IF(COUNTIF(Phrases!$A:$A,$A750)&gt;0,"ok","à faire")</f>
        <v>ok</v>
      </c>
      <c r="H750" s="17" t="str">
        <f>IF(COUNTIFS(Phrases!$A:$A,$A750,Phrases!$I:$I,"&lt;&gt;")&gt;0,"ok","à faire")</f>
        <v>ok</v>
      </c>
      <c r="I750" s="17" t="str">
        <f>IF(COUNTIF(Synonymes!$A:$A,$A750)&gt;0,"ok","")</f>
        <v>ok</v>
      </c>
      <c r="J750" s="17">
        <f t="shared" si="11"/>
        <v>0</v>
      </c>
    </row>
    <row r="751" spans="1:10" x14ac:dyDescent="0.3">
      <c r="A751" s="17" t="s">
        <v>3995</v>
      </c>
      <c r="B751" s="17" t="str">
        <f>IFERROR(INDEX(Mots!$B:$B,MATCH($A751,Mots!$A:$A,0)),"introuvable")</f>
        <v>gagner</v>
      </c>
      <c r="C751" s="17" t="str">
        <f>IFERROR(INDEX(Mots!$N:$N,MATCH($A751,Mots!$A:$A,0)),"")</f>
        <v>action</v>
      </c>
      <c r="D751" s="17">
        <f>IFERROR(COUNTA(INDEX(Mots!$E:$E,MATCH($A751,Mots!$A:$A,0)):INDEX(Mots!$K:$K,MATCH($A751,Mots!$A:$A,0))),0)</f>
        <v>5</v>
      </c>
      <c r="E751" s="17" t="str">
        <f>IF(COUNTIF(Classement!$A:$A,$A751)&gt;0,"ok","à faire")</f>
        <v>ok</v>
      </c>
      <c r="F751" s="17" t="str">
        <f>IF(COUNTIF(Tags!$A:$A,$A751)&gt;0,"ok","à faire")</f>
        <v>ok</v>
      </c>
      <c r="G751" s="17" t="str">
        <f>IF(COUNTIF(Phrases!$A:$A,$A751)&gt;0,"ok","à faire")</f>
        <v>ok</v>
      </c>
      <c r="H751" s="17" t="str">
        <f>IF(COUNTIFS(Phrases!$A:$A,$A751,Phrases!$I:$I,"&lt;&gt;")&gt;0,"ok","à faire")</f>
        <v>ok</v>
      </c>
      <c r="I751" s="17" t="str">
        <f>IF(COUNTIF(Synonymes!$A:$A,$A751)&gt;0,"ok","")</f>
        <v/>
      </c>
      <c r="J751" s="17">
        <f t="shared" si="11"/>
        <v>0</v>
      </c>
    </row>
    <row r="752" spans="1:10" x14ac:dyDescent="0.3">
      <c r="A752" s="17" t="s">
        <v>4003</v>
      </c>
      <c r="B752" s="17" t="str">
        <f>IFERROR(INDEX(Mots!$B:$B,MATCH($A752,Mots!$A:$A,0)),"introuvable")</f>
        <v>Gauthier Moulin</v>
      </c>
      <c r="C752" s="17" t="str">
        <f>IFERROR(INDEX(Mots!$N:$N,MATCH($A752,Mots!$A:$A,0)),"")</f>
        <v>chose</v>
      </c>
      <c r="D752" s="17">
        <f>IFERROR(COUNTA(INDEX(Mots!$E:$E,MATCH($A752,Mots!$A:$A,0)):INDEX(Mots!$K:$K,MATCH($A752,Mots!$A:$A,0))),0)</f>
        <v>1</v>
      </c>
      <c r="E752" s="17" t="str">
        <f>IF(COUNTIF(Classement!$A:$A,$A752)&gt;0,"ok","à faire")</f>
        <v>ok</v>
      </c>
      <c r="F752" s="17" t="str">
        <f>IF(COUNTIF(Tags!$A:$A,$A752)&gt;0,"ok","à faire")</f>
        <v>ok</v>
      </c>
      <c r="G752" s="17" t="str">
        <f>IF(COUNTIF(Phrases!$A:$A,$A752)&gt;0,"ok","à faire")</f>
        <v>à faire</v>
      </c>
      <c r="H752" s="17" t="str">
        <f>IF(COUNTIFS(Phrases!$A:$A,$A752,Phrases!$I:$I,"&lt;&gt;")&gt;0,"ok","à faire")</f>
        <v>à faire</v>
      </c>
      <c r="I752" s="17" t="str">
        <f>IF(COUNTIF(Synonymes!$A:$A,$A752)&gt;0,"ok","")</f>
        <v/>
      </c>
      <c r="J752" s="17">
        <f t="shared" si="11"/>
        <v>2</v>
      </c>
    </row>
    <row r="753" spans="1:10" x14ac:dyDescent="0.3">
      <c r="A753" s="17" t="s">
        <v>4007</v>
      </c>
      <c r="B753" s="17" t="str">
        <f>IFERROR(INDEX(Mots!$B:$B,MATCH($A753,Mots!$A:$A,0)),"introuvable")</f>
        <v>gentiment</v>
      </c>
      <c r="C753" s="17" t="str">
        <f>IFERROR(INDEX(Mots!$N:$N,MATCH($A753,Mots!$A:$A,0)),"")</f>
        <v>mot utile</v>
      </c>
      <c r="D753" s="17">
        <f>IFERROR(COUNTA(INDEX(Mots!$E:$E,MATCH($A753,Mots!$A:$A,0)):INDEX(Mots!$K:$K,MATCH($A753,Mots!$A:$A,0))),0)</f>
        <v>0</v>
      </c>
      <c r="E753" s="17" t="str">
        <f>IF(COUNTIF(Classement!$A:$A,$A753)&gt;0,"ok","à faire")</f>
        <v>ok</v>
      </c>
      <c r="F753" s="17" t="str">
        <f>IF(COUNTIF(Tags!$A:$A,$A753)&gt;0,"ok","à faire")</f>
        <v>ok</v>
      </c>
      <c r="G753" s="17" t="str">
        <f>IF(COUNTIF(Phrases!$A:$A,$A753)&gt;0,"ok","à faire")</f>
        <v>à faire</v>
      </c>
      <c r="H753" s="17" t="str">
        <f>IF(COUNTIFS(Phrases!$A:$A,$A753,Phrases!$I:$I,"&lt;&gt;")&gt;0,"ok","à faire")</f>
        <v>à faire</v>
      </c>
      <c r="I753" s="17" t="str">
        <f>IF(COUNTIF(Synonymes!$A:$A,$A753)&gt;0,"ok","")</f>
        <v/>
      </c>
      <c r="J753" s="17">
        <f t="shared" si="11"/>
        <v>2</v>
      </c>
    </row>
    <row r="754" spans="1:10" x14ac:dyDescent="0.3">
      <c r="A754" s="17" t="s">
        <v>4009</v>
      </c>
      <c r="B754" s="17" t="str">
        <f>IFERROR(INDEX(Mots!$B:$B,MATCH($A754,Mots!$A:$A,0)),"introuvable")</f>
        <v>goûter</v>
      </c>
      <c r="C754" s="17" t="str">
        <f>IFERROR(INDEX(Mots!$N:$N,MATCH($A754,Mots!$A:$A,0)),"")</f>
        <v>action</v>
      </c>
      <c r="D754" s="17">
        <f>IFERROR(COUNTA(INDEX(Mots!$E:$E,MATCH($A754,Mots!$A:$A,0)):INDEX(Mots!$K:$K,MATCH($A754,Mots!$A:$A,0))),0)</f>
        <v>5</v>
      </c>
      <c r="E754" s="17" t="str">
        <f>IF(COUNTIF(Classement!$A:$A,$A754)&gt;0,"ok","à faire")</f>
        <v>ok</v>
      </c>
      <c r="F754" s="17" t="str">
        <f>IF(COUNTIF(Tags!$A:$A,$A754)&gt;0,"ok","à faire")</f>
        <v>ok</v>
      </c>
      <c r="G754" s="17" t="str">
        <f>IF(COUNTIF(Phrases!$A:$A,$A754)&gt;0,"ok","à faire")</f>
        <v>ok</v>
      </c>
      <c r="H754" s="17" t="str">
        <f>IF(COUNTIFS(Phrases!$A:$A,$A754,Phrases!$I:$I,"&lt;&gt;")&gt;0,"ok","à faire")</f>
        <v>ok</v>
      </c>
      <c r="I754" s="17" t="str">
        <f>IF(COUNTIF(Synonymes!$A:$A,$A754)&gt;0,"ok","")</f>
        <v/>
      </c>
      <c r="J754" s="17">
        <f t="shared" si="11"/>
        <v>0</v>
      </c>
    </row>
    <row r="755" spans="1:10" x14ac:dyDescent="0.3">
      <c r="A755" s="17" t="s">
        <v>4017</v>
      </c>
      <c r="B755" s="17" t="str">
        <f>IFERROR(INDEX(Mots!$B:$B,MATCH($A755,Mots!$A:$A,0)),"introuvable")</f>
        <v>grand-maman Léontine</v>
      </c>
      <c r="C755" s="17" t="str">
        <f>IFERROR(INDEX(Mots!$N:$N,MATCH($A755,Mots!$A:$A,0)),"")</f>
        <v>personne</v>
      </c>
      <c r="D755" s="17">
        <f>IFERROR(COUNTA(INDEX(Mots!$E:$E,MATCH($A755,Mots!$A:$A,0)):INDEX(Mots!$K:$K,MATCH($A755,Mots!$A:$A,0))),0)</f>
        <v>1</v>
      </c>
      <c r="E755" s="17" t="str">
        <f>IF(COUNTIF(Classement!$A:$A,$A755)&gt;0,"ok","à faire")</f>
        <v>ok</v>
      </c>
      <c r="F755" s="17" t="str">
        <f>IF(COUNTIF(Tags!$A:$A,$A755)&gt;0,"ok","à faire")</f>
        <v>ok</v>
      </c>
      <c r="G755" s="17" t="str">
        <f>IF(COUNTIF(Phrases!$A:$A,$A755)&gt;0,"ok","à faire")</f>
        <v>à faire</v>
      </c>
      <c r="H755" s="17" t="str">
        <f>IF(COUNTIFS(Phrases!$A:$A,$A755,Phrases!$I:$I,"&lt;&gt;")&gt;0,"ok","à faire")</f>
        <v>à faire</v>
      </c>
      <c r="I755" s="17" t="str">
        <f>IF(COUNTIF(Synonymes!$A:$A,$A755)&gt;0,"ok","")</f>
        <v/>
      </c>
      <c r="J755" s="17">
        <f t="shared" si="11"/>
        <v>2</v>
      </c>
    </row>
    <row r="756" spans="1:10" x14ac:dyDescent="0.3">
      <c r="A756" s="17" t="s">
        <v>4021</v>
      </c>
      <c r="B756" s="17" t="str">
        <f>IFERROR(INDEX(Mots!$B:$B,MATCH($A756,Mots!$A:$A,0)),"introuvable")</f>
        <v>gras - grasse</v>
      </c>
      <c r="C756" s="17" t="str">
        <f>IFERROR(INDEX(Mots!$N:$N,MATCH($A756,Mots!$A:$A,0)),"")</f>
        <v>qualité</v>
      </c>
      <c r="D756" s="17">
        <f>IFERROR(COUNTA(INDEX(Mots!$E:$E,MATCH($A756,Mots!$A:$A,0)):INDEX(Mots!$K:$K,MATCH($A756,Mots!$A:$A,0))),0)</f>
        <v>2</v>
      </c>
      <c r="E756" s="17" t="str">
        <f>IF(COUNTIF(Classement!$A:$A,$A756)&gt;0,"ok","à faire")</f>
        <v>ok</v>
      </c>
      <c r="F756" s="17" t="str">
        <f>IF(COUNTIF(Tags!$A:$A,$A756)&gt;0,"ok","à faire")</f>
        <v>à faire</v>
      </c>
      <c r="G756" s="17" t="str">
        <f>IF(COUNTIF(Phrases!$A:$A,$A756)&gt;0,"ok","à faire")</f>
        <v>ok</v>
      </c>
      <c r="H756" s="17" t="str">
        <f>IF(COUNTIFS(Phrases!$A:$A,$A756,Phrases!$I:$I,"&lt;&gt;")&gt;0,"ok","à faire")</f>
        <v>à faire</v>
      </c>
      <c r="I756" s="17" t="str">
        <f>IF(COUNTIF(Synonymes!$A:$A,$A756)&gt;0,"ok","")</f>
        <v/>
      </c>
      <c r="J756" s="17">
        <f t="shared" si="11"/>
        <v>2</v>
      </c>
    </row>
    <row r="757" spans="1:10" x14ac:dyDescent="0.3">
      <c r="A757" s="17" t="s">
        <v>4026</v>
      </c>
      <c r="B757" s="17" t="str">
        <f>IFERROR(INDEX(Mots!$B:$B,MATCH($A757,Mots!$A:$A,0)),"introuvable")</f>
        <v>gratuit</v>
      </c>
      <c r="C757" s="17" t="str">
        <f>IFERROR(INDEX(Mots!$N:$N,MATCH($A757,Mots!$A:$A,0)),"")</f>
        <v>qualité</v>
      </c>
      <c r="D757" s="17">
        <f>IFERROR(COUNTA(INDEX(Mots!$E:$E,MATCH($A757,Mots!$A:$A,0)):INDEX(Mots!$K:$K,MATCH($A757,Mots!$A:$A,0))),0)</f>
        <v>1</v>
      </c>
      <c r="E757" s="17" t="str">
        <f>IF(COUNTIF(Classement!$A:$A,$A757)&gt;0,"ok","à faire")</f>
        <v>ok</v>
      </c>
      <c r="F757" s="17" t="str">
        <f>IF(COUNTIF(Tags!$A:$A,$A757)&gt;0,"ok","à faire")</f>
        <v>ok</v>
      </c>
      <c r="G757" s="17" t="str">
        <f>IF(COUNTIF(Phrases!$A:$A,$A757)&gt;0,"ok","à faire")</f>
        <v>ok</v>
      </c>
      <c r="H757" s="17" t="str">
        <f>IF(COUNTIFS(Phrases!$A:$A,$A757,Phrases!$I:$I,"&lt;&gt;")&gt;0,"ok","à faire")</f>
        <v>ok</v>
      </c>
      <c r="I757" s="17" t="str">
        <f>IF(COUNTIF(Synonymes!$A:$A,$A757)&gt;0,"ok","")</f>
        <v/>
      </c>
      <c r="J757" s="17">
        <f t="shared" si="11"/>
        <v>0</v>
      </c>
    </row>
    <row r="758" spans="1:10" x14ac:dyDescent="0.3">
      <c r="A758" s="17" t="s">
        <v>4029</v>
      </c>
      <c r="B758" s="17" t="str">
        <f>IFERROR(INDEX(Mots!$B:$B,MATCH($A758,Mots!$A:$A,0)),"introuvable")</f>
        <v>habituel</v>
      </c>
      <c r="C758" s="17" t="str">
        <f>IFERROR(INDEX(Mots!$N:$N,MATCH($A758,Mots!$A:$A,0)),"")</f>
        <v>qualité</v>
      </c>
      <c r="D758" s="17">
        <f>IFERROR(COUNTA(INDEX(Mots!$E:$E,MATCH($A758,Mots!$A:$A,0)):INDEX(Mots!$K:$K,MATCH($A758,Mots!$A:$A,0))),0)</f>
        <v>0</v>
      </c>
      <c r="E758" s="17" t="str">
        <f>IF(COUNTIF(Classement!$A:$A,$A758)&gt;0,"ok","à faire")</f>
        <v>ok</v>
      </c>
      <c r="F758" s="17" t="str">
        <f>IF(COUNTIF(Tags!$A:$A,$A758)&gt;0,"ok","à faire")</f>
        <v>à faire</v>
      </c>
      <c r="G758" s="17" t="str">
        <f>IF(COUNTIF(Phrases!$A:$A,$A758)&gt;0,"ok","à faire")</f>
        <v>ok</v>
      </c>
      <c r="H758" s="17" t="str">
        <f>IF(COUNTIFS(Phrases!$A:$A,$A758,Phrases!$I:$I,"&lt;&gt;")&gt;0,"ok","à faire")</f>
        <v>ok</v>
      </c>
      <c r="I758" s="17" t="str">
        <f>IF(COUNTIF(Synonymes!$A:$A,$A758)&gt;0,"ok","")</f>
        <v>ok</v>
      </c>
      <c r="J758" s="17">
        <f t="shared" si="11"/>
        <v>1</v>
      </c>
    </row>
    <row r="759" spans="1:10" x14ac:dyDescent="0.3">
      <c r="A759" s="17" t="s">
        <v>9625</v>
      </c>
      <c r="B759" s="17" t="str">
        <f>IFERROR(INDEX(Mots!$B:$B,MATCH($A759,Mots!$A:$A,0)),"introuvable")</f>
        <v>heureux</v>
      </c>
      <c r="C759" s="17" t="str">
        <f>IFERROR(INDEX(Mots!$N:$N,MATCH($A759,Mots!$A:$A,0)),"")</f>
        <v>qualité</v>
      </c>
      <c r="D759" s="17">
        <f>IFERROR(COUNTA(INDEX(Mots!$E:$E,MATCH($A759,Mots!$A:$A,0)):INDEX(Mots!$K:$K,MATCH($A759,Mots!$A:$A,0))),0)</f>
        <v>4</v>
      </c>
      <c r="E759" s="17" t="str">
        <f>IF(COUNTIF(Classement!$A:$A,$A759)&gt;0,"ok","à faire")</f>
        <v>ok</v>
      </c>
      <c r="F759" s="17" t="str">
        <f>IF(COUNTIF(Tags!$A:$A,$A759)&gt;0,"ok","à faire")</f>
        <v>ok</v>
      </c>
      <c r="G759" s="17" t="str">
        <f>IF(COUNTIF(Phrases!$A:$A,$A759)&gt;0,"ok","à faire")</f>
        <v>ok</v>
      </c>
      <c r="H759" s="17" t="str">
        <f>IF(COUNTIFS(Phrases!$A:$A,$A759,Phrases!$I:$I,"&lt;&gt;")&gt;0,"ok","à faire")</f>
        <v>ok</v>
      </c>
      <c r="I759" s="17" t="str">
        <f>IF(COUNTIF(Synonymes!$A:$A,$A759)&gt;0,"ok","")</f>
        <v>ok</v>
      </c>
      <c r="J759" s="17">
        <f t="shared" si="11"/>
        <v>0</v>
      </c>
    </row>
    <row r="760" spans="1:10" x14ac:dyDescent="0.3">
      <c r="A760" s="17" t="s">
        <v>4034</v>
      </c>
      <c r="B760" s="17" t="str">
        <f>IFERROR(INDEX(Mots!$B:$B,MATCH($A760,Mots!$A:$A,0)),"introuvable")</f>
        <v>humain</v>
      </c>
      <c r="C760" s="17" t="str">
        <f>IFERROR(INDEX(Mots!$N:$N,MATCH($A760,Mots!$A:$A,0)),"")</f>
        <v>qualité</v>
      </c>
      <c r="D760" s="17">
        <f>IFERROR(COUNTA(INDEX(Mots!$E:$E,MATCH($A760,Mots!$A:$A,0)):INDEX(Mots!$K:$K,MATCH($A760,Mots!$A:$A,0))),0)</f>
        <v>1</v>
      </c>
      <c r="E760" s="17" t="str">
        <f>IF(COUNTIF(Classement!$A:$A,$A760)&gt;0,"ok","à faire")</f>
        <v>ok</v>
      </c>
      <c r="F760" s="17" t="str">
        <f>IF(COUNTIF(Tags!$A:$A,$A760)&gt;0,"ok","à faire")</f>
        <v>à faire</v>
      </c>
      <c r="G760" s="17" t="str">
        <f>IF(COUNTIF(Phrases!$A:$A,$A760)&gt;0,"ok","à faire")</f>
        <v>ok</v>
      </c>
      <c r="H760" s="17" t="str">
        <f>IF(COUNTIFS(Phrases!$A:$A,$A760,Phrases!$I:$I,"&lt;&gt;")&gt;0,"ok","à faire")</f>
        <v>ok</v>
      </c>
      <c r="I760" s="17" t="str">
        <f>IF(COUNTIF(Synonymes!$A:$A,$A760)&gt;0,"ok","")</f>
        <v/>
      </c>
      <c r="J760" s="17">
        <f t="shared" si="11"/>
        <v>1</v>
      </c>
    </row>
    <row r="761" spans="1:10" x14ac:dyDescent="0.3">
      <c r="A761" s="17" t="s">
        <v>4038</v>
      </c>
      <c r="B761" s="17" t="str">
        <f>IFERROR(INDEX(Mots!$B:$B,MATCH($A761,Mots!$A:$A,0)),"introuvable")</f>
        <v>ici</v>
      </c>
      <c r="C761" s="17" t="str">
        <f>IFERROR(INDEX(Mots!$N:$N,MATCH($A761,Mots!$A:$A,0)),"")</f>
        <v>mot utile</v>
      </c>
      <c r="D761" s="17">
        <f>IFERROR(COUNTA(INDEX(Mots!$E:$E,MATCH($A761,Mots!$A:$A,0)):INDEX(Mots!$K:$K,MATCH($A761,Mots!$A:$A,0))),0)</f>
        <v>4</v>
      </c>
      <c r="E761" s="17" t="str">
        <f>IF(COUNTIF(Classement!$A:$A,$A761)&gt;0,"ok","à faire")</f>
        <v>ok</v>
      </c>
      <c r="F761" s="17" t="str">
        <f>IF(COUNTIF(Tags!$A:$A,$A761)&gt;0,"ok","à faire")</f>
        <v>ok</v>
      </c>
      <c r="G761" s="17" t="str">
        <f>IF(COUNTIF(Phrases!$A:$A,$A761)&gt;0,"ok","à faire")</f>
        <v>à faire</v>
      </c>
      <c r="H761" s="17" t="str">
        <f>IF(COUNTIFS(Phrases!$A:$A,$A761,Phrases!$I:$I,"&lt;&gt;")&gt;0,"ok","à faire")</f>
        <v>à faire</v>
      </c>
      <c r="I761" s="17" t="str">
        <f>IF(COUNTIF(Synonymes!$A:$A,$A761)&gt;0,"ok","")</f>
        <v/>
      </c>
      <c r="J761" s="17">
        <f t="shared" si="11"/>
        <v>2</v>
      </c>
    </row>
    <row r="762" spans="1:10" x14ac:dyDescent="0.3">
      <c r="A762" s="17" t="s">
        <v>4044</v>
      </c>
      <c r="B762" s="17" t="str">
        <f>IFERROR(INDEX(Mots!$B:$B,MATCH($A762,Mots!$A:$A,0)),"introuvable")</f>
        <v>imaginer</v>
      </c>
      <c r="C762" s="17" t="str">
        <f>IFERROR(INDEX(Mots!$N:$N,MATCH($A762,Mots!$A:$A,0)),"")</f>
        <v>action</v>
      </c>
      <c r="D762" s="17">
        <f>IFERROR(COUNTA(INDEX(Mots!$E:$E,MATCH($A762,Mots!$A:$A,0)):INDEX(Mots!$K:$K,MATCH($A762,Mots!$A:$A,0))),0)</f>
        <v>2</v>
      </c>
      <c r="E762" s="17" t="str">
        <f>IF(COUNTIF(Classement!$A:$A,$A762)&gt;0,"ok","à faire")</f>
        <v>ok</v>
      </c>
      <c r="F762" s="17" t="str">
        <f>IF(COUNTIF(Tags!$A:$A,$A762)&gt;0,"ok","à faire")</f>
        <v>ok</v>
      </c>
      <c r="G762" s="17" t="str">
        <f>IF(COUNTIF(Phrases!$A:$A,$A762)&gt;0,"ok","à faire")</f>
        <v>ok</v>
      </c>
      <c r="H762" s="17" t="str">
        <f>IF(COUNTIFS(Phrases!$A:$A,$A762,Phrases!$I:$I,"&lt;&gt;")&gt;0,"ok","à faire")</f>
        <v>à faire</v>
      </c>
      <c r="I762" s="17" t="str">
        <f>IF(COUNTIF(Synonymes!$A:$A,$A762)&gt;0,"ok","")</f>
        <v>ok</v>
      </c>
      <c r="J762" s="17">
        <f t="shared" si="11"/>
        <v>1</v>
      </c>
    </row>
    <row r="763" spans="1:10" x14ac:dyDescent="0.3">
      <c r="A763" s="17" t="s">
        <v>4049</v>
      </c>
      <c r="B763" s="17" t="str">
        <f>IFERROR(INDEX(Mots!$B:$B,MATCH($A763,Mots!$A:$A,0)),"introuvable")</f>
        <v>important</v>
      </c>
      <c r="C763" s="17" t="str">
        <f>IFERROR(INDEX(Mots!$N:$N,MATCH($A763,Mots!$A:$A,0)),"")</f>
        <v>qualité</v>
      </c>
      <c r="D763" s="17">
        <f>IFERROR(COUNTA(INDEX(Mots!$E:$E,MATCH($A763,Mots!$A:$A,0)):INDEX(Mots!$K:$K,MATCH($A763,Mots!$A:$A,0))),0)</f>
        <v>2</v>
      </c>
      <c r="E763" s="17" t="str">
        <f>IF(COUNTIF(Classement!$A:$A,$A763)&gt;0,"ok","à faire")</f>
        <v>ok</v>
      </c>
      <c r="F763" s="17" t="str">
        <f>IF(COUNTIF(Tags!$A:$A,$A763)&gt;0,"ok","à faire")</f>
        <v>ok</v>
      </c>
      <c r="G763" s="17" t="str">
        <f>IF(COUNTIF(Phrases!$A:$A,$A763)&gt;0,"ok","à faire")</f>
        <v>ok</v>
      </c>
      <c r="H763" s="17" t="str">
        <f>IF(COUNTIFS(Phrases!$A:$A,$A763,Phrases!$I:$I,"&lt;&gt;")&gt;0,"ok","à faire")</f>
        <v>ok</v>
      </c>
      <c r="I763" s="17" t="str">
        <f>IF(COUNTIF(Synonymes!$A:$A,$A763)&gt;0,"ok","")</f>
        <v>ok</v>
      </c>
      <c r="J763" s="17">
        <f t="shared" si="11"/>
        <v>0</v>
      </c>
    </row>
    <row r="764" spans="1:10" x14ac:dyDescent="0.3">
      <c r="A764" s="17" t="s">
        <v>4054</v>
      </c>
      <c r="B764" s="17" t="str">
        <f>IFERROR(INDEX(Mots!$B:$B,MATCH($A764,Mots!$A:$A,0)),"introuvable")</f>
        <v>intérieur</v>
      </c>
      <c r="C764" s="17" t="str">
        <f>IFERROR(INDEX(Mots!$N:$N,MATCH($A764,Mots!$A:$A,0)),"")</f>
        <v>qualité</v>
      </c>
      <c r="D764" s="17">
        <f>IFERROR(COUNTA(INDEX(Mots!$E:$E,MATCH($A764,Mots!$A:$A,0)):INDEX(Mots!$K:$K,MATCH($A764,Mots!$A:$A,0))),0)</f>
        <v>1</v>
      </c>
      <c r="E764" s="17" t="str">
        <f>IF(COUNTIF(Classement!$A:$A,$A764)&gt;0,"ok","à faire")</f>
        <v>ok</v>
      </c>
      <c r="F764" s="17" t="str">
        <f>IF(COUNTIF(Tags!$A:$A,$A764)&gt;0,"ok","à faire")</f>
        <v>ok</v>
      </c>
      <c r="G764" s="17" t="str">
        <f>IF(COUNTIF(Phrases!$A:$A,$A764)&gt;0,"ok","à faire")</f>
        <v>ok</v>
      </c>
      <c r="H764" s="17" t="str">
        <f>IF(COUNTIFS(Phrases!$A:$A,$A764,Phrases!$I:$I,"&lt;&gt;")&gt;0,"ok","à faire")</f>
        <v>à faire</v>
      </c>
      <c r="I764" s="17" t="str">
        <f>IF(COUNTIF(Synonymes!$A:$A,$A764)&gt;0,"ok","")</f>
        <v/>
      </c>
      <c r="J764" s="17">
        <f t="shared" si="11"/>
        <v>1</v>
      </c>
    </row>
    <row r="765" spans="1:10" x14ac:dyDescent="0.3">
      <c r="A765" s="17" t="s">
        <v>4057</v>
      </c>
      <c r="B765" s="17" t="str">
        <f>IFERROR(INDEX(Mots!$B:$B,MATCH($A765,Mots!$A:$A,0)),"introuvable")</f>
        <v>invisible</v>
      </c>
      <c r="C765" s="17" t="str">
        <f>IFERROR(INDEX(Mots!$N:$N,MATCH($A765,Mots!$A:$A,0)),"")</f>
        <v>qualité</v>
      </c>
      <c r="D765" s="17">
        <f>IFERROR(COUNTA(INDEX(Mots!$E:$E,MATCH($A765,Mots!$A:$A,0)):INDEX(Mots!$K:$K,MATCH($A765,Mots!$A:$A,0))),0)</f>
        <v>1</v>
      </c>
      <c r="E765" s="17" t="str">
        <f>IF(COUNTIF(Classement!$A:$A,$A765)&gt;0,"ok","à faire")</f>
        <v>ok</v>
      </c>
      <c r="F765" s="17" t="str">
        <f>IF(COUNTIF(Tags!$A:$A,$A765)&gt;0,"ok","à faire")</f>
        <v>à faire</v>
      </c>
      <c r="G765" s="17" t="str">
        <f>IF(COUNTIF(Phrases!$A:$A,$A765)&gt;0,"ok","à faire")</f>
        <v>ok</v>
      </c>
      <c r="H765" s="17" t="str">
        <f>IF(COUNTIFS(Phrases!$A:$A,$A765,Phrases!$I:$I,"&lt;&gt;")&gt;0,"ok","à faire")</f>
        <v>à faire</v>
      </c>
      <c r="I765" s="17" t="str">
        <f>IF(COUNTIF(Synonymes!$A:$A,$A765)&gt;0,"ok","")</f>
        <v/>
      </c>
      <c r="J765" s="17">
        <f t="shared" si="11"/>
        <v>2</v>
      </c>
    </row>
    <row r="766" spans="1:10" x14ac:dyDescent="0.3">
      <c r="A766" s="17" t="s">
        <v>4060</v>
      </c>
      <c r="B766" s="17" t="str">
        <f>IFERROR(INDEX(Mots!$B:$B,MATCH($A766,Mots!$A:$A,0)),"introuvable")</f>
        <v>irrité</v>
      </c>
      <c r="C766" s="17" t="str">
        <f>IFERROR(INDEX(Mots!$N:$N,MATCH($A766,Mots!$A:$A,0)),"")</f>
        <v>qualité</v>
      </c>
      <c r="D766" s="17">
        <f>IFERROR(COUNTA(INDEX(Mots!$E:$E,MATCH($A766,Mots!$A:$A,0)):INDEX(Mots!$K:$K,MATCH($A766,Mots!$A:$A,0))),0)</f>
        <v>1</v>
      </c>
      <c r="E766" s="17" t="str">
        <f>IF(COUNTIF(Classement!$A:$A,$A766)&gt;0,"ok","à faire")</f>
        <v>ok</v>
      </c>
      <c r="F766" s="17" t="str">
        <f>IF(COUNTIF(Tags!$A:$A,$A766)&gt;0,"ok","à faire")</f>
        <v>à faire</v>
      </c>
      <c r="G766" s="17" t="str">
        <f>IF(COUNTIF(Phrases!$A:$A,$A766)&gt;0,"ok","à faire")</f>
        <v>ok</v>
      </c>
      <c r="H766" s="17" t="str">
        <f>IF(COUNTIFS(Phrases!$A:$A,$A766,Phrases!$I:$I,"&lt;&gt;")&gt;0,"ok","à faire")</f>
        <v>à faire</v>
      </c>
      <c r="I766" s="17" t="str">
        <f>IF(COUNTIF(Synonymes!$A:$A,$A766)&gt;0,"ok","")</f>
        <v>ok</v>
      </c>
      <c r="J766" s="17">
        <f t="shared" si="11"/>
        <v>2</v>
      </c>
    </row>
    <row r="767" spans="1:10" x14ac:dyDescent="0.3">
      <c r="A767" s="17" t="s">
        <v>4064</v>
      </c>
      <c r="B767" s="17" t="str">
        <f>IFERROR(INDEX(Mots!$B:$B,MATCH($A767,Mots!$A:$A,0)),"introuvable")</f>
        <v>jeter</v>
      </c>
      <c r="C767" s="17" t="str">
        <f>IFERROR(INDEX(Mots!$N:$N,MATCH($A767,Mots!$A:$A,0)),"")</f>
        <v>action</v>
      </c>
      <c r="D767" s="17">
        <f>IFERROR(COUNTA(INDEX(Mots!$E:$E,MATCH($A767,Mots!$A:$A,0)):INDEX(Mots!$K:$K,MATCH($A767,Mots!$A:$A,0))),0)</f>
        <v>3</v>
      </c>
      <c r="E767" s="17" t="str">
        <f>IF(COUNTIF(Classement!$A:$A,$A767)&gt;0,"ok","à faire")</f>
        <v>ok</v>
      </c>
      <c r="F767" s="17" t="str">
        <f>IF(COUNTIF(Tags!$A:$A,$A767)&gt;0,"ok","à faire")</f>
        <v>à faire</v>
      </c>
      <c r="G767" s="17" t="str">
        <f>IF(COUNTIF(Phrases!$A:$A,$A767)&gt;0,"ok","à faire")</f>
        <v>ok</v>
      </c>
      <c r="H767" s="17" t="str">
        <f>IF(COUNTIFS(Phrases!$A:$A,$A767,Phrases!$I:$I,"&lt;&gt;")&gt;0,"ok","à faire")</f>
        <v>ok</v>
      </c>
      <c r="I767" s="17" t="str">
        <f>IF(COUNTIF(Synonymes!$A:$A,$A767)&gt;0,"ok","")</f>
        <v>ok</v>
      </c>
      <c r="J767" s="17">
        <f t="shared" si="11"/>
        <v>1</v>
      </c>
    </row>
    <row r="768" spans="1:10" x14ac:dyDescent="0.3">
      <c r="A768" s="17" t="s">
        <v>4070</v>
      </c>
      <c r="B768" s="17" t="str">
        <f>IFERROR(INDEX(Mots!$B:$B,MATCH($A768,Mots!$A:$A,0)),"introuvable")</f>
        <v>jouer</v>
      </c>
      <c r="C768" s="17" t="str">
        <f>IFERROR(INDEX(Mots!$N:$N,MATCH($A768,Mots!$A:$A,0)),"")</f>
        <v>action</v>
      </c>
      <c r="D768" s="17">
        <f>IFERROR(COUNTA(INDEX(Mots!$E:$E,MATCH($A768,Mots!$A:$A,0)):INDEX(Mots!$K:$K,MATCH($A768,Mots!$A:$A,0))),0)</f>
        <v>5</v>
      </c>
      <c r="E768" s="17" t="str">
        <f>IF(COUNTIF(Classement!$A:$A,$A768)&gt;0,"ok","à faire")</f>
        <v>ok</v>
      </c>
      <c r="F768" s="17" t="str">
        <f>IF(COUNTIF(Tags!$A:$A,$A768)&gt;0,"ok","à faire")</f>
        <v>à faire</v>
      </c>
      <c r="G768" s="17" t="str">
        <f>IF(COUNTIF(Phrases!$A:$A,$A768)&gt;0,"ok","à faire")</f>
        <v>ok</v>
      </c>
      <c r="H768" s="17" t="str">
        <f>IF(COUNTIFS(Phrases!$A:$A,$A768,Phrases!$I:$I,"&lt;&gt;")&gt;0,"ok","à faire")</f>
        <v>ok</v>
      </c>
      <c r="I768" s="17" t="str">
        <f>IF(COUNTIF(Synonymes!$A:$A,$A768)&gt;0,"ok","")</f>
        <v/>
      </c>
      <c r="J768" s="17">
        <f t="shared" si="11"/>
        <v>1</v>
      </c>
    </row>
    <row r="769" spans="1:10" x14ac:dyDescent="0.3">
      <c r="A769" s="17" t="s">
        <v>9546</v>
      </c>
      <c r="B769" s="17" t="str">
        <f>IFERROR(INDEX(Mots!$B:$B,MATCH($A769,Mots!$A:$A,0)),"introuvable")</f>
        <v>joyeux</v>
      </c>
      <c r="C769" s="17" t="str">
        <f>IFERROR(INDEX(Mots!$N:$N,MATCH($A769,Mots!$A:$A,0)),"")</f>
        <v>qualité</v>
      </c>
      <c r="D769" s="17">
        <f>IFERROR(COUNTA(INDEX(Mots!$E:$E,MATCH($A769,Mots!$A:$A,0)):INDEX(Mots!$K:$K,MATCH($A769,Mots!$A:$A,0))),0)</f>
        <v>4</v>
      </c>
      <c r="E769" s="17" t="str">
        <f>IF(COUNTIF(Classement!$A:$A,$A769)&gt;0,"ok","à faire")</f>
        <v>ok</v>
      </c>
      <c r="F769" s="17" t="str">
        <f>IF(COUNTIF(Tags!$A:$A,$A769)&gt;0,"ok","à faire")</f>
        <v>ok</v>
      </c>
      <c r="G769" s="17" t="str">
        <f>IF(COUNTIF(Phrases!$A:$A,$A769)&gt;0,"ok","à faire")</f>
        <v>ok</v>
      </c>
      <c r="H769" s="17" t="str">
        <f>IF(COUNTIFS(Phrases!$A:$A,$A769,Phrases!$I:$I,"&lt;&gt;")&gt;0,"ok","à faire")</f>
        <v>ok</v>
      </c>
      <c r="I769" s="17" t="str">
        <f>IF(COUNTIF(Synonymes!$A:$A,$A769)&gt;0,"ok","")</f>
        <v>ok</v>
      </c>
      <c r="J769" s="17">
        <f t="shared" ref="J769:J832" si="12">COUNTIF(E769:H769,"à faire")</f>
        <v>0</v>
      </c>
    </row>
    <row r="770" spans="1:10" x14ac:dyDescent="0.3">
      <c r="A770" s="17" t="s">
        <v>4080</v>
      </c>
      <c r="B770" s="17" t="str">
        <f>IFERROR(INDEX(Mots!$B:$B,MATCH($A770,Mots!$A:$A,0)),"introuvable")</f>
        <v>juste</v>
      </c>
      <c r="C770" s="17" t="str">
        <f>IFERROR(INDEX(Mots!$N:$N,MATCH($A770,Mots!$A:$A,0)),"")</f>
        <v>qualité</v>
      </c>
      <c r="D770" s="17">
        <f>IFERROR(COUNTA(INDEX(Mots!$E:$E,MATCH($A770,Mots!$A:$A,0)):INDEX(Mots!$K:$K,MATCH($A770,Mots!$A:$A,0))),0)</f>
        <v>3</v>
      </c>
      <c r="E770" s="17" t="str">
        <f>IF(COUNTIF(Classement!$A:$A,$A770)&gt;0,"ok","à faire")</f>
        <v>ok</v>
      </c>
      <c r="F770" s="17" t="str">
        <f>IF(COUNTIF(Tags!$A:$A,$A770)&gt;0,"ok","à faire")</f>
        <v>à faire</v>
      </c>
      <c r="G770" s="17" t="str">
        <f>IF(COUNTIF(Phrases!$A:$A,$A770)&gt;0,"ok","à faire")</f>
        <v>ok</v>
      </c>
      <c r="H770" s="17" t="str">
        <f>IF(COUNTIFS(Phrases!$A:$A,$A770,Phrases!$I:$I,"&lt;&gt;")&gt;0,"ok","à faire")</f>
        <v>ok</v>
      </c>
      <c r="I770" s="17" t="str">
        <f>IF(COUNTIF(Synonymes!$A:$A,$A770)&gt;0,"ok","")</f>
        <v>ok</v>
      </c>
      <c r="J770" s="17">
        <f t="shared" si="12"/>
        <v>1</v>
      </c>
    </row>
    <row r="771" spans="1:10" x14ac:dyDescent="0.3">
      <c r="A771" s="17" t="s">
        <v>4083</v>
      </c>
      <c r="B771" s="17" t="str">
        <f>IFERROR(INDEX(Mots!$B:$B,MATCH($A771,Mots!$A:$A,0)),"introuvable")</f>
        <v>là</v>
      </c>
      <c r="C771" s="17" t="str">
        <f>IFERROR(INDEX(Mots!$N:$N,MATCH($A771,Mots!$A:$A,0)),"")</f>
        <v>mot utile</v>
      </c>
      <c r="D771" s="17">
        <f>IFERROR(COUNTA(INDEX(Mots!$E:$E,MATCH($A771,Mots!$A:$A,0)):INDEX(Mots!$K:$K,MATCH($A771,Mots!$A:$A,0))),0)</f>
        <v>1</v>
      </c>
      <c r="E771" s="17" t="str">
        <f>IF(COUNTIF(Classement!$A:$A,$A771)&gt;0,"ok","à faire")</f>
        <v>ok</v>
      </c>
      <c r="F771" s="17" t="str">
        <f>IF(COUNTIF(Tags!$A:$A,$A771)&gt;0,"ok","à faire")</f>
        <v>ok</v>
      </c>
      <c r="G771" s="17" t="str">
        <f>IF(COUNTIF(Phrases!$A:$A,$A771)&gt;0,"ok","à faire")</f>
        <v>à faire</v>
      </c>
      <c r="H771" s="17" t="str">
        <f>IF(COUNTIFS(Phrases!$A:$A,$A771,Phrases!$I:$I,"&lt;&gt;")&gt;0,"ok","à faire")</f>
        <v>à faire</v>
      </c>
      <c r="I771" s="17" t="str">
        <f>IF(COUNTIF(Synonymes!$A:$A,$A771)&gt;0,"ok","")</f>
        <v/>
      </c>
      <c r="J771" s="17">
        <f t="shared" si="12"/>
        <v>2</v>
      </c>
    </row>
    <row r="772" spans="1:10" x14ac:dyDescent="0.3">
      <c r="A772" s="17" t="s">
        <v>4087</v>
      </c>
      <c r="B772" s="17" t="str">
        <f>IFERROR(INDEX(Mots!$B:$B,MATCH($A772,Mots!$A:$A,0)),"introuvable")</f>
        <v>la bagarre</v>
      </c>
      <c r="C772" s="17" t="str">
        <f>IFERROR(INDEX(Mots!$N:$N,MATCH($A772,Mots!$A:$A,0)),"")</f>
        <v>chose</v>
      </c>
      <c r="D772" s="17">
        <f>IFERROR(COUNTA(INDEX(Mots!$E:$E,MATCH($A772,Mots!$A:$A,0)):INDEX(Mots!$K:$K,MATCH($A772,Mots!$A:$A,0))),0)</f>
        <v>5</v>
      </c>
      <c r="E772" s="17" t="str">
        <f>IF(COUNTIF(Classement!$A:$A,$A772)&gt;0,"ok","à faire")</f>
        <v>ok</v>
      </c>
      <c r="F772" s="17" t="str">
        <f>IF(COUNTIF(Tags!$A:$A,$A772)&gt;0,"ok","à faire")</f>
        <v>à faire</v>
      </c>
      <c r="G772" s="17" t="str">
        <f>IF(COUNTIF(Phrases!$A:$A,$A772)&gt;0,"ok","à faire")</f>
        <v>ok</v>
      </c>
      <c r="H772" s="17" t="str">
        <f>IF(COUNTIFS(Phrases!$A:$A,$A772,Phrases!$I:$I,"&lt;&gt;")&gt;0,"ok","à faire")</f>
        <v>à faire</v>
      </c>
      <c r="I772" s="17" t="str">
        <f>IF(COUNTIF(Synonymes!$A:$A,$A772)&gt;0,"ok","")</f>
        <v>ok</v>
      </c>
      <c r="J772" s="17">
        <f t="shared" si="12"/>
        <v>2</v>
      </c>
    </row>
    <row r="773" spans="1:10" x14ac:dyDescent="0.3">
      <c r="A773" s="17" t="s">
        <v>4095</v>
      </c>
      <c r="B773" s="17" t="str">
        <f>IFERROR(INDEX(Mots!$B:$B,MATCH($A773,Mots!$A:$A,0)),"introuvable")</f>
        <v>la balance</v>
      </c>
      <c r="C773" s="17" t="str">
        <f>IFERROR(INDEX(Mots!$N:$N,MATCH($A773,Mots!$A:$A,0)),"")</f>
        <v>chose</v>
      </c>
      <c r="D773" s="17">
        <f>IFERROR(COUNTA(INDEX(Mots!$E:$E,MATCH($A773,Mots!$A:$A,0)):INDEX(Mots!$K:$K,MATCH($A773,Mots!$A:$A,0))),0)</f>
        <v>5</v>
      </c>
      <c r="E773" s="17" t="str">
        <f>IF(COUNTIF(Classement!$A:$A,$A773)&gt;0,"ok","à faire")</f>
        <v>ok</v>
      </c>
      <c r="F773" s="17" t="str">
        <f>IF(COUNTIF(Tags!$A:$A,$A773)&gt;0,"ok","à faire")</f>
        <v>ok</v>
      </c>
      <c r="G773" s="17" t="str">
        <f>IF(COUNTIF(Phrases!$A:$A,$A773)&gt;0,"ok","à faire")</f>
        <v>ok</v>
      </c>
      <c r="H773" s="17" t="str">
        <f>IF(COUNTIFS(Phrases!$A:$A,$A773,Phrases!$I:$I,"&lt;&gt;")&gt;0,"ok","à faire")</f>
        <v>à faire</v>
      </c>
      <c r="I773" s="17" t="str">
        <f>IF(COUNTIF(Synonymes!$A:$A,$A773)&gt;0,"ok","")</f>
        <v>ok</v>
      </c>
      <c r="J773" s="17">
        <f t="shared" si="12"/>
        <v>1</v>
      </c>
    </row>
    <row r="774" spans="1:10" x14ac:dyDescent="0.3">
      <c r="A774" s="17" t="s">
        <v>4103</v>
      </c>
      <c r="B774" s="17" t="str">
        <f>IFERROR(INDEX(Mots!$B:$B,MATCH($A774,Mots!$A:$A,0)),"introuvable")</f>
        <v>la balle</v>
      </c>
      <c r="C774" s="17" t="str">
        <f>IFERROR(INDEX(Mots!$N:$N,MATCH($A774,Mots!$A:$A,0)),"")</f>
        <v>chose</v>
      </c>
      <c r="D774" s="17">
        <f>IFERROR(COUNTA(INDEX(Mots!$E:$E,MATCH($A774,Mots!$A:$A,0)):INDEX(Mots!$K:$K,MATCH($A774,Mots!$A:$A,0))),0)</f>
        <v>5</v>
      </c>
      <c r="E774" s="17" t="str">
        <f>IF(COUNTIF(Classement!$A:$A,$A774)&gt;0,"ok","à faire")</f>
        <v>ok</v>
      </c>
      <c r="F774" s="17" t="str">
        <f>IF(COUNTIF(Tags!$A:$A,$A774)&gt;0,"ok","à faire")</f>
        <v>à faire</v>
      </c>
      <c r="G774" s="17" t="str">
        <f>IF(COUNTIF(Phrases!$A:$A,$A774)&gt;0,"ok","à faire")</f>
        <v>ok</v>
      </c>
      <c r="H774" s="17" t="str">
        <f>IF(COUNTIFS(Phrases!$A:$A,$A774,Phrases!$I:$I,"&lt;&gt;")&gt;0,"ok","à faire")</f>
        <v>ok</v>
      </c>
      <c r="I774" s="17" t="str">
        <f>IF(COUNTIF(Synonymes!$A:$A,$A774)&gt;0,"ok","")</f>
        <v>ok</v>
      </c>
      <c r="J774" s="17">
        <f t="shared" si="12"/>
        <v>1</v>
      </c>
    </row>
    <row r="775" spans="1:10" x14ac:dyDescent="0.3">
      <c r="A775" s="17" t="s">
        <v>4111</v>
      </c>
      <c r="B775" s="17" t="str">
        <f>IFERROR(INDEX(Mots!$B:$B,MATCH($A775,Mots!$A:$A,0)),"introuvable")</f>
        <v>la bande</v>
      </c>
      <c r="C775" s="17" t="str">
        <f>IFERROR(INDEX(Mots!$N:$N,MATCH($A775,Mots!$A:$A,0)),"")</f>
        <v>chose</v>
      </c>
      <c r="D775" s="17">
        <f>IFERROR(COUNTA(INDEX(Mots!$E:$E,MATCH($A775,Mots!$A:$A,0)):INDEX(Mots!$K:$K,MATCH($A775,Mots!$A:$A,0))),0)</f>
        <v>5</v>
      </c>
      <c r="E775" s="17" t="str">
        <f>IF(COUNTIF(Classement!$A:$A,$A775)&gt;0,"ok","à faire")</f>
        <v>ok</v>
      </c>
      <c r="F775" s="17" t="str">
        <f>IF(COUNTIF(Tags!$A:$A,$A775)&gt;0,"ok","à faire")</f>
        <v>à faire</v>
      </c>
      <c r="G775" s="17" t="str">
        <f>IF(COUNTIF(Phrases!$A:$A,$A775)&gt;0,"ok","à faire")</f>
        <v>ok</v>
      </c>
      <c r="H775" s="17" t="str">
        <f>IF(COUNTIFS(Phrases!$A:$A,$A775,Phrases!$I:$I,"&lt;&gt;")&gt;0,"ok","à faire")</f>
        <v>ok</v>
      </c>
      <c r="I775" s="17" t="str">
        <f>IF(COUNTIF(Synonymes!$A:$A,$A775)&gt;0,"ok","")</f>
        <v/>
      </c>
      <c r="J775" s="17">
        <f t="shared" si="12"/>
        <v>1</v>
      </c>
    </row>
    <row r="776" spans="1:10" x14ac:dyDescent="0.3">
      <c r="A776" s="17" t="s">
        <v>4119</v>
      </c>
      <c r="B776" s="17" t="str">
        <f>IFERROR(INDEX(Mots!$B:$B,MATCH($A776,Mots!$A:$A,0)),"introuvable")</f>
        <v>la bataille</v>
      </c>
      <c r="C776" s="17" t="str">
        <f>IFERROR(INDEX(Mots!$N:$N,MATCH($A776,Mots!$A:$A,0)),"")</f>
        <v>chose</v>
      </c>
      <c r="D776" s="17">
        <f>IFERROR(COUNTA(INDEX(Mots!$E:$E,MATCH($A776,Mots!$A:$A,0)):INDEX(Mots!$K:$K,MATCH($A776,Mots!$A:$A,0))),0)</f>
        <v>4</v>
      </c>
      <c r="E776" s="17" t="str">
        <f>IF(COUNTIF(Classement!$A:$A,$A776)&gt;0,"ok","à faire")</f>
        <v>ok</v>
      </c>
      <c r="F776" s="17" t="str">
        <f>IF(COUNTIF(Tags!$A:$A,$A776)&gt;0,"ok","à faire")</f>
        <v>à faire</v>
      </c>
      <c r="G776" s="17" t="str">
        <f>IF(COUNTIF(Phrases!$A:$A,$A776)&gt;0,"ok","à faire")</f>
        <v>ok</v>
      </c>
      <c r="H776" s="17" t="str">
        <f>IF(COUNTIFS(Phrases!$A:$A,$A776,Phrases!$I:$I,"&lt;&gt;")&gt;0,"ok","à faire")</f>
        <v>à faire</v>
      </c>
      <c r="I776" s="17" t="str">
        <f>IF(COUNTIF(Synonymes!$A:$A,$A776)&gt;0,"ok","")</f>
        <v/>
      </c>
      <c r="J776" s="17">
        <f t="shared" si="12"/>
        <v>2</v>
      </c>
    </row>
    <row r="777" spans="1:10" x14ac:dyDescent="0.3">
      <c r="A777" s="17" t="s">
        <v>4126</v>
      </c>
      <c r="B777" s="17" t="str">
        <f>IFERROR(INDEX(Mots!$B:$B,MATCH($A777,Mots!$A:$A,0)),"introuvable")</f>
        <v>la bibliothèque</v>
      </c>
      <c r="C777" s="17" t="str">
        <f>IFERROR(INDEX(Mots!$N:$N,MATCH($A777,Mots!$A:$A,0)),"")</f>
        <v>lieu</v>
      </c>
      <c r="D777" s="17">
        <f>IFERROR(COUNTA(INDEX(Mots!$E:$E,MATCH($A777,Mots!$A:$A,0)):INDEX(Mots!$K:$K,MATCH($A777,Mots!$A:$A,0))),0)</f>
        <v>5</v>
      </c>
      <c r="E777" s="17" t="str">
        <f>IF(COUNTIF(Classement!$A:$A,$A777)&gt;0,"ok","à faire")</f>
        <v>ok</v>
      </c>
      <c r="F777" s="17" t="str">
        <f>IF(COUNTIF(Tags!$A:$A,$A777)&gt;0,"ok","à faire")</f>
        <v>ok</v>
      </c>
      <c r="G777" s="17" t="str">
        <f>IF(COUNTIF(Phrases!$A:$A,$A777)&gt;0,"ok","à faire")</f>
        <v>à faire</v>
      </c>
      <c r="H777" s="17" t="str">
        <f>IF(COUNTIFS(Phrases!$A:$A,$A777,Phrases!$I:$I,"&lt;&gt;")&gt;0,"ok","à faire")</f>
        <v>à faire</v>
      </c>
      <c r="I777" s="17" t="str">
        <f>IF(COUNTIF(Synonymes!$A:$A,$A777)&gt;0,"ok","")</f>
        <v/>
      </c>
      <c r="J777" s="17">
        <f t="shared" si="12"/>
        <v>2</v>
      </c>
    </row>
    <row r="778" spans="1:10" x14ac:dyDescent="0.3">
      <c r="A778" s="17" t="s">
        <v>4134</v>
      </c>
      <c r="B778" s="17" t="str">
        <f>IFERROR(INDEX(Mots!$B:$B,MATCH($A778,Mots!$A:$A,0)),"introuvable")</f>
        <v>la blessure</v>
      </c>
      <c r="C778" s="17" t="str">
        <f>IFERROR(INDEX(Mots!$N:$N,MATCH($A778,Mots!$A:$A,0)),"")</f>
        <v>lieu</v>
      </c>
      <c r="D778" s="17">
        <f>IFERROR(COUNTA(INDEX(Mots!$E:$E,MATCH($A778,Mots!$A:$A,0)):INDEX(Mots!$K:$K,MATCH($A778,Mots!$A:$A,0))),0)</f>
        <v>5</v>
      </c>
      <c r="E778" s="17" t="str">
        <f>IF(COUNTIF(Classement!$A:$A,$A778)&gt;0,"ok","à faire")</f>
        <v>ok</v>
      </c>
      <c r="F778" s="17" t="str">
        <f>IF(COUNTIF(Tags!$A:$A,$A778)&gt;0,"ok","à faire")</f>
        <v>ok</v>
      </c>
      <c r="G778" s="17" t="str">
        <f>IF(COUNTIF(Phrases!$A:$A,$A778)&gt;0,"ok","à faire")</f>
        <v>à faire</v>
      </c>
      <c r="H778" s="17" t="str">
        <f>IF(COUNTIFS(Phrases!$A:$A,$A778,Phrases!$I:$I,"&lt;&gt;")&gt;0,"ok","à faire")</f>
        <v>à faire</v>
      </c>
      <c r="I778" s="17" t="str">
        <f>IF(COUNTIF(Synonymes!$A:$A,$A778)&gt;0,"ok","")</f>
        <v/>
      </c>
      <c r="J778" s="17">
        <f t="shared" si="12"/>
        <v>2</v>
      </c>
    </row>
    <row r="779" spans="1:10" x14ac:dyDescent="0.3">
      <c r="A779" s="17" t="s">
        <v>4142</v>
      </c>
      <c r="B779" s="17" t="str">
        <f>IFERROR(INDEX(Mots!$B:$B,MATCH($A779,Mots!$A:$A,0)),"introuvable")</f>
        <v>la boîte</v>
      </c>
      <c r="C779" s="17" t="str">
        <f>IFERROR(INDEX(Mots!$N:$N,MATCH($A779,Mots!$A:$A,0)),"")</f>
        <v>chose</v>
      </c>
      <c r="D779" s="17">
        <f>IFERROR(COUNTA(INDEX(Mots!$E:$E,MATCH($A779,Mots!$A:$A,0)):INDEX(Mots!$K:$K,MATCH($A779,Mots!$A:$A,0))),0)</f>
        <v>5</v>
      </c>
      <c r="E779" s="17" t="str">
        <f>IF(COUNTIF(Classement!$A:$A,$A779)&gt;0,"ok","à faire")</f>
        <v>ok</v>
      </c>
      <c r="F779" s="17" t="str">
        <f>IF(COUNTIF(Tags!$A:$A,$A779)&gt;0,"ok","à faire")</f>
        <v>ok</v>
      </c>
      <c r="G779" s="17" t="str">
        <f>IF(COUNTIF(Phrases!$A:$A,$A779)&gt;0,"ok","à faire")</f>
        <v>ok</v>
      </c>
      <c r="H779" s="17" t="str">
        <f>IF(COUNTIFS(Phrases!$A:$A,$A779,Phrases!$I:$I,"&lt;&gt;")&gt;0,"ok","à faire")</f>
        <v>ok</v>
      </c>
      <c r="I779" s="17" t="str">
        <f>IF(COUNTIF(Synonymes!$A:$A,$A779)&gt;0,"ok","")</f>
        <v/>
      </c>
      <c r="J779" s="17">
        <f t="shared" si="12"/>
        <v>0</v>
      </c>
    </row>
    <row r="780" spans="1:10" x14ac:dyDescent="0.3">
      <c r="A780" s="17" t="s">
        <v>4150</v>
      </c>
      <c r="B780" s="17" t="str">
        <f>IFERROR(INDEX(Mots!$B:$B,MATCH($A780,Mots!$A:$A,0)),"introuvable")</f>
        <v>la bougie</v>
      </c>
      <c r="C780" s="17" t="str">
        <f>IFERROR(INDEX(Mots!$N:$N,MATCH($A780,Mots!$A:$A,0)),"")</f>
        <v>chose</v>
      </c>
      <c r="D780" s="17">
        <f>IFERROR(COUNTA(INDEX(Mots!$E:$E,MATCH($A780,Mots!$A:$A,0)):INDEX(Mots!$K:$K,MATCH($A780,Mots!$A:$A,0))),0)</f>
        <v>5</v>
      </c>
      <c r="E780" s="17" t="str">
        <f>IF(COUNTIF(Classement!$A:$A,$A780)&gt;0,"ok","à faire")</f>
        <v>ok</v>
      </c>
      <c r="F780" s="17" t="str">
        <f>IF(COUNTIF(Tags!$A:$A,$A780)&gt;0,"ok","à faire")</f>
        <v>à faire</v>
      </c>
      <c r="G780" s="17" t="str">
        <f>IF(COUNTIF(Phrases!$A:$A,$A780)&gt;0,"ok","à faire")</f>
        <v>ok</v>
      </c>
      <c r="H780" s="17" t="str">
        <f>IF(COUNTIFS(Phrases!$A:$A,$A780,Phrases!$I:$I,"&lt;&gt;")&gt;0,"ok","à faire")</f>
        <v>ok</v>
      </c>
      <c r="I780" s="17" t="str">
        <f>IF(COUNTIF(Synonymes!$A:$A,$A780)&gt;0,"ok","")</f>
        <v/>
      </c>
      <c r="J780" s="17">
        <f t="shared" si="12"/>
        <v>1</v>
      </c>
    </row>
    <row r="781" spans="1:10" x14ac:dyDescent="0.3">
      <c r="A781" s="17" t="s">
        <v>4158</v>
      </c>
      <c r="B781" s="17" t="str">
        <f>IFERROR(INDEX(Mots!$B:$B,MATCH($A781,Mots!$A:$A,0)),"introuvable")</f>
        <v>la boule</v>
      </c>
      <c r="C781" s="17" t="str">
        <f>IFERROR(INDEX(Mots!$N:$N,MATCH($A781,Mots!$A:$A,0)),"")</f>
        <v>chose</v>
      </c>
      <c r="D781" s="17">
        <f>IFERROR(COUNTA(INDEX(Mots!$E:$E,MATCH($A781,Mots!$A:$A,0)):INDEX(Mots!$K:$K,MATCH($A781,Mots!$A:$A,0))),0)</f>
        <v>5</v>
      </c>
      <c r="E781" s="17" t="str">
        <f>IF(COUNTIF(Classement!$A:$A,$A781)&gt;0,"ok","à faire")</f>
        <v>ok</v>
      </c>
      <c r="F781" s="17" t="str">
        <f>IF(COUNTIF(Tags!$A:$A,$A781)&gt;0,"ok","à faire")</f>
        <v>à faire</v>
      </c>
      <c r="G781" s="17" t="str">
        <f>IF(COUNTIF(Phrases!$A:$A,$A781)&gt;0,"ok","à faire")</f>
        <v>ok</v>
      </c>
      <c r="H781" s="17" t="str">
        <f>IF(COUNTIFS(Phrases!$A:$A,$A781,Phrases!$I:$I,"&lt;&gt;")&gt;0,"ok","à faire")</f>
        <v>ok</v>
      </c>
      <c r="I781" s="17" t="str">
        <f>IF(COUNTIF(Synonymes!$A:$A,$A781)&gt;0,"ok","")</f>
        <v>ok</v>
      </c>
      <c r="J781" s="17">
        <f t="shared" si="12"/>
        <v>1</v>
      </c>
    </row>
    <row r="782" spans="1:10" x14ac:dyDescent="0.3">
      <c r="A782" s="17" t="s">
        <v>4166</v>
      </c>
      <c r="B782" s="17" t="str">
        <f>IFERROR(INDEX(Mots!$B:$B,MATCH($A782,Mots!$A:$A,0)),"introuvable")</f>
        <v>la boutique</v>
      </c>
      <c r="C782" s="17" t="str">
        <f>IFERROR(INDEX(Mots!$N:$N,MATCH($A782,Mots!$A:$A,0)),"")</f>
        <v>lieu</v>
      </c>
      <c r="D782" s="17">
        <f>IFERROR(COUNTA(INDEX(Mots!$E:$E,MATCH($A782,Mots!$A:$A,0)):INDEX(Mots!$K:$K,MATCH($A782,Mots!$A:$A,0))),0)</f>
        <v>4</v>
      </c>
      <c r="E782" s="17" t="str">
        <f>IF(COUNTIF(Classement!$A:$A,$A782)&gt;0,"ok","à faire")</f>
        <v>ok</v>
      </c>
      <c r="F782" s="17" t="str">
        <f>IF(COUNTIF(Tags!$A:$A,$A782)&gt;0,"ok","à faire")</f>
        <v>ok</v>
      </c>
      <c r="G782" s="17" t="str">
        <f>IF(COUNTIF(Phrases!$A:$A,$A782)&gt;0,"ok","à faire")</f>
        <v>à faire</v>
      </c>
      <c r="H782" s="17" t="str">
        <f>IF(COUNTIFS(Phrases!$A:$A,$A782,Phrases!$I:$I,"&lt;&gt;")&gt;0,"ok","à faire")</f>
        <v>à faire</v>
      </c>
      <c r="I782" s="17" t="str">
        <f>IF(COUNTIF(Synonymes!$A:$A,$A782)&gt;0,"ok","")</f>
        <v>ok</v>
      </c>
      <c r="J782" s="17">
        <f t="shared" si="12"/>
        <v>2</v>
      </c>
    </row>
    <row r="783" spans="1:10" x14ac:dyDescent="0.3">
      <c r="A783" s="17" t="s">
        <v>4173</v>
      </c>
      <c r="B783" s="17" t="str">
        <f>IFERROR(INDEX(Mots!$B:$B,MATCH($A783,Mots!$A:$A,0)),"introuvable")</f>
        <v>la brise</v>
      </c>
      <c r="C783" s="17" t="str">
        <f>IFERROR(INDEX(Mots!$N:$N,MATCH($A783,Mots!$A:$A,0)),"")</f>
        <v>chose</v>
      </c>
      <c r="D783" s="17">
        <f>IFERROR(COUNTA(INDEX(Mots!$E:$E,MATCH($A783,Mots!$A:$A,0)):INDEX(Mots!$K:$K,MATCH($A783,Mots!$A:$A,0))),0)</f>
        <v>1</v>
      </c>
      <c r="E783" s="17" t="str">
        <f>IF(COUNTIF(Classement!$A:$A,$A783)&gt;0,"ok","à faire")</f>
        <v>ok</v>
      </c>
      <c r="F783" s="17" t="str">
        <f>IF(COUNTIF(Tags!$A:$A,$A783)&gt;0,"ok","à faire")</f>
        <v>ok</v>
      </c>
      <c r="G783" s="17" t="str">
        <f>IF(COUNTIF(Phrases!$A:$A,$A783)&gt;0,"ok","à faire")</f>
        <v>ok</v>
      </c>
      <c r="H783" s="17" t="str">
        <f>IF(COUNTIFS(Phrases!$A:$A,$A783,Phrases!$I:$I,"&lt;&gt;")&gt;0,"ok","à faire")</f>
        <v>à faire</v>
      </c>
      <c r="I783" s="17" t="str">
        <f>IF(COUNTIF(Synonymes!$A:$A,$A783)&gt;0,"ok","")</f>
        <v/>
      </c>
      <c r="J783" s="17">
        <f t="shared" si="12"/>
        <v>1</v>
      </c>
    </row>
    <row r="784" spans="1:10" x14ac:dyDescent="0.3">
      <c r="A784" s="17" t="s">
        <v>4177</v>
      </c>
      <c r="B784" s="17" t="str">
        <f>IFERROR(INDEX(Mots!$B:$B,MATCH($A784,Mots!$A:$A,0)),"introuvable")</f>
        <v>la caisse</v>
      </c>
      <c r="C784" s="17" t="str">
        <f>IFERROR(INDEX(Mots!$N:$N,MATCH($A784,Mots!$A:$A,0)),"")</f>
        <v>lieu</v>
      </c>
      <c r="D784" s="17">
        <f>IFERROR(COUNTA(INDEX(Mots!$E:$E,MATCH($A784,Mots!$A:$A,0)):INDEX(Mots!$K:$K,MATCH($A784,Mots!$A:$A,0))),0)</f>
        <v>5</v>
      </c>
      <c r="E784" s="17" t="str">
        <f>IF(COUNTIF(Classement!$A:$A,$A784)&gt;0,"ok","à faire")</f>
        <v>ok</v>
      </c>
      <c r="F784" s="17" t="str">
        <f>IF(COUNTIF(Tags!$A:$A,$A784)&gt;0,"ok","à faire")</f>
        <v>ok</v>
      </c>
      <c r="G784" s="17" t="str">
        <f>IF(COUNTIF(Phrases!$A:$A,$A784)&gt;0,"ok","à faire")</f>
        <v>à faire</v>
      </c>
      <c r="H784" s="17" t="str">
        <f>IF(COUNTIFS(Phrases!$A:$A,$A784,Phrases!$I:$I,"&lt;&gt;")&gt;0,"ok","à faire")</f>
        <v>à faire</v>
      </c>
      <c r="I784" s="17" t="str">
        <f>IF(COUNTIF(Synonymes!$A:$A,$A784)&gt;0,"ok","")</f>
        <v/>
      </c>
      <c r="J784" s="17">
        <f t="shared" si="12"/>
        <v>2</v>
      </c>
    </row>
    <row r="785" spans="1:10" x14ac:dyDescent="0.3">
      <c r="A785" s="17" t="s">
        <v>4185</v>
      </c>
      <c r="B785" s="17" t="str">
        <f>IFERROR(INDEX(Mots!$B:$B,MATCH($A785,Mots!$A:$A,0)),"introuvable")</f>
        <v>la campagne</v>
      </c>
      <c r="C785" s="17" t="str">
        <f>IFERROR(INDEX(Mots!$N:$N,MATCH($A785,Mots!$A:$A,0)),"")</f>
        <v>chose</v>
      </c>
      <c r="D785" s="17">
        <f>IFERROR(COUNTA(INDEX(Mots!$E:$E,MATCH($A785,Mots!$A:$A,0)):INDEX(Mots!$K:$K,MATCH($A785,Mots!$A:$A,0))),0)</f>
        <v>1</v>
      </c>
      <c r="E785" s="17" t="str">
        <f>IF(COUNTIF(Classement!$A:$A,$A785)&gt;0,"ok","à faire")</f>
        <v>ok</v>
      </c>
      <c r="F785" s="17" t="str">
        <f>IF(COUNTIF(Tags!$A:$A,$A785)&gt;0,"ok","à faire")</f>
        <v>ok</v>
      </c>
      <c r="G785" s="17" t="str">
        <f>IF(COUNTIF(Phrases!$A:$A,$A785)&gt;0,"ok","à faire")</f>
        <v>ok</v>
      </c>
      <c r="H785" s="17" t="str">
        <f>IF(COUNTIFS(Phrases!$A:$A,$A785,Phrases!$I:$I,"&lt;&gt;")&gt;0,"ok","à faire")</f>
        <v>ok</v>
      </c>
      <c r="I785" s="17" t="str">
        <f>IF(COUNTIF(Synonymes!$A:$A,$A785)&gt;0,"ok","")</f>
        <v/>
      </c>
      <c r="J785" s="17">
        <f t="shared" si="12"/>
        <v>0</v>
      </c>
    </row>
    <row r="786" spans="1:10" x14ac:dyDescent="0.3">
      <c r="A786" s="17" t="s">
        <v>4189</v>
      </c>
      <c r="B786" s="17" t="str">
        <f>IFERROR(INDEX(Mots!$B:$B,MATCH($A786,Mots!$A:$A,0)),"introuvable")</f>
        <v>la cascade</v>
      </c>
      <c r="C786" s="17" t="str">
        <f>IFERROR(INDEX(Mots!$N:$N,MATCH($A786,Mots!$A:$A,0)),"")</f>
        <v>chose</v>
      </c>
      <c r="D786" s="17">
        <f>IFERROR(COUNTA(INDEX(Mots!$E:$E,MATCH($A786,Mots!$A:$A,0)):INDEX(Mots!$K:$K,MATCH($A786,Mots!$A:$A,0))),0)</f>
        <v>5</v>
      </c>
      <c r="E786" s="17" t="str">
        <f>IF(COUNTIF(Classement!$A:$A,$A786)&gt;0,"ok","à faire")</f>
        <v>ok</v>
      </c>
      <c r="F786" s="17" t="str">
        <f>IF(COUNTIF(Tags!$A:$A,$A786)&gt;0,"ok","à faire")</f>
        <v>ok</v>
      </c>
      <c r="G786" s="17" t="str">
        <f>IF(COUNTIF(Phrases!$A:$A,$A786)&gt;0,"ok","à faire")</f>
        <v>ok</v>
      </c>
      <c r="H786" s="17" t="str">
        <f>IF(COUNTIFS(Phrases!$A:$A,$A786,Phrases!$I:$I,"&lt;&gt;")&gt;0,"ok","à faire")</f>
        <v>à faire</v>
      </c>
      <c r="I786" s="17" t="str">
        <f>IF(COUNTIF(Synonymes!$A:$A,$A786)&gt;0,"ok","")</f>
        <v>ok</v>
      </c>
      <c r="J786" s="17">
        <f t="shared" si="12"/>
        <v>1</v>
      </c>
    </row>
    <row r="787" spans="1:10" x14ac:dyDescent="0.3">
      <c r="A787" s="17" t="s">
        <v>89</v>
      </c>
      <c r="B787" s="17" t="str">
        <f>IFERROR(INDEX(Mots!$B:$B,MATCH($A787,Mots!$A:$A,0)),"introuvable")</f>
        <v>la catégorie</v>
      </c>
      <c r="C787" s="17" t="str">
        <f>IFERROR(INDEX(Mots!$N:$N,MATCH($A787,Mots!$A:$A,0)),"")</f>
        <v>chose</v>
      </c>
      <c r="D787" s="17">
        <f>IFERROR(COUNTA(INDEX(Mots!$E:$E,MATCH($A787,Mots!$A:$A,0)):INDEX(Mots!$K:$K,MATCH($A787,Mots!$A:$A,0))),0)</f>
        <v>4</v>
      </c>
      <c r="E787" s="17" t="str">
        <f>IF(COUNTIF(Classement!$A:$A,$A787)&gt;0,"ok","à faire")</f>
        <v>ok</v>
      </c>
      <c r="F787" s="17" t="str">
        <f>IF(COUNTIF(Tags!$A:$A,$A787)&gt;0,"ok","à faire")</f>
        <v>à faire</v>
      </c>
      <c r="G787" s="17" t="str">
        <f>IF(COUNTIF(Phrases!$A:$A,$A787)&gt;0,"ok","à faire")</f>
        <v>ok</v>
      </c>
      <c r="H787" s="17" t="str">
        <f>IF(COUNTIFS(Phrases!$A:$A,$A787,Phrases!$I:$I,"&lt;&gt;")&gt;0,"ok","à faire")</f>
        <v>à faire</v>
      </c>
      <c r="I787" s="17" t="str">
        <f>IF(COUNTIF(Synonymes!$A:$A,$A787)&gt;0,"ok","")</f>
        <v>ok</v>
      </c>
      <c r="J787" s="17">
        <f t="shared" si="12"/>
        <v>2</v>
      </c>
    </row>
    <row r="788" spans="1:10" x14ac:dyDescent="0.3">
      <c r="A788" s="17" t="s">
        <v>4206</v>
      </c>
      <c r="B788" s="17" t="str">
        <f>IFERROR(INDEX(Mots!$B:$B,MATCH($A788,Mots!$A:$A,0)),"introuvable")</f>
        <v>la cave</v>
      </c>
      <c r="C788" s="17" t="str">
        <f>IFERROR(INDEX(Mots!$N:$N,MATCH($A788,Mots!$A:$A,0)),"")</f>
        <v>chose</v>
      </c>
      <c r="D788" s="17">
        <f>IFERROR(COUNTA(INDEX(Mots!$E:$E,MATCH($A788,Mots!$A:$A,0)):INDEX(Mots!$K:$K,MATCH($A788,Mots!$A:$A,0))),0)</f>
        <v>1</v>
      </c>
      <c r="E788" s="17" t="str">
        <f>IF(COUNTIF(Classement!$A:$A,$A788)&gt;0,"ok","à faire")</f>
        <v>ok</v>
      </c>
      <c r="F788" s="17" t="str">
        <f>IF(COUNTIF(Tags!$A:$A,$A788)&gt;0,"ok","à faire")</f>
        <v>ok</v>
      </c>
      <c r="G788" s="17" t="str">
        <f>IF(COUNTIF(Phrases!$A:$A,$A788)&gt;0,"ok","à faire")</f>
        <v>ok</v>
      </c>
      <c r="H788" s="17" t="str">
        <f>IF(COUNTIFS(Phrases!$A:$A,$A788,Phrases!$I:$I,"&lt;&gt;")&gt;0,"ok","à faire")</f>
        <v>ok</v>
      </c>
      <c r="I788" s="17" t="str">
        <f>IF(COUNTIF(Synonymes!$A:$A,$A788)&gt;0,"ok","")</f>
        <v/>
      </c>
      <c r="J788" s="17">
        <f t="shared" si="12"/>
        <v>0</v>
      </c>
    </row>
    <row r="789" spans="1:10" x14ac:dyDescent="0.3">
      <c r="A789" s="17" t="s">
        <v>4210</v>
      </c>
      <c r="B789" s="17" t="str">
        <f>IFERROR(INDEX(Mots!$B:$B,MATCH($A789,Mots!$A:$A,0)),"introuvable")</f>
        <v>la chair</v>
      </c>
      <c r="C789" s="17" t="str">
        <f>IFERROR(INDEX(Mots!$N:$N,MATCH($A789,Mots!$A:$A,0)),"")</f>
        <v>chose</v>
      </c>
      <c r="D789" s="17">
        <f>IFERROR(COUNTA(INDEX(Mots!$E:$E,MATCH($A789,Mots!$A:$A,0)):INDEX(Mots!$K:$K,MATCH($A789,Mots!$A:$A,0))),0)</f>
        <v>3</v>
      </c>
      <c r="E789" s="17" t="str">
        <f>IF(COUNTIF(Classement!$A:$A,$A789)&gt;0,"ok","à faire")</f>
        <v>ok</v>
      </c>
      <c r="F789" s="17" t="str">
        <f>IF(COUNTIF(Tags!$A:$A,$A789)&gt;0,"ok","à faire")</f>
        <v>à faire</v>
      </c>
      <c r="G789" s="17" t="str">
        <f>IF(COUNTIF(Phrases!$A:$A,$A789)&gt;0,"ok","à faire")</f>
        <v>ok</v>
      </c>
      <c r="H789" s="17" t="str">
        <f>IF(COUNTIFS(Phrases!$A:$A,$A789,Phrases!$I:$I,"&lt;&gt;")&gt;0,"ok","à faire")</f>
        <v>à faire</v>
      </c>
      <c r="I789" s="17" t="str">
        <f>IF(COUNTIF(Synonymes!$A:$A,$A789)&gt;0,"ok","")</f>
        <v/>
      </c>
      <c r="J789" s="17">
        <f t="shared" si="12"/>
        <v>2</v>
      </c>
    </row>
    <row r="790" spans="1:10" x14ac:dyDescent="0.3">
      <c r="A790" s="17" t="s">
        <v>4216</v>
      </c>
      <c r="B790" s="17" t="str">
        <f>IFERROR(INDEX(Mots!$B:$B,MATCH($A790,Mots!$A:$A,0)),"introuvable")</f>
        <v>la chaleur</v>
      </c>
      <c r="C790" s="17" t="str">
        <f>IFERROR(INDEX(Mots!$N:$N,MATCH($A790,Mots!$A:$A,0)),"")</f>
        <v>chose</v>
      </c>
      <c r="D790" s="17">
        <f>IFERROR(COUNTA(INDEX(Mots!$E:$E,MATCH($A790,Mots!$A:$A,0)):INDEX(Mots!$K:$K,MATCH($A790,Mots!$A:$A,0))),0)</f>
        <v>2</v>
      </c>
      <c r="E790" s="17" t="str">
        <f>IF(COUNTIF(Classement!$A:$A,$A790)&gt;0,"ok","à faire")</f>
        <v>ok</v>
      </c>
      <c r="F790" s="17" t="str">
        <f>IF(COUNTIF(Tags!$A:$A,$A790)&gt;0,"ok","à faire")</f>
        <v>à faire</v>
      </c>
      <c r="G790" s="17" t="str">
        <f>IF(COUNTIF(Phrases!$A:$A,$A790)&gt;0,"ok","à faire")</f>
        <v>ok</v>
      </c>
      <c r="H790" s="17" t="str">
        <f>IF(COUNTIFS(Phrases!$A:$A,$A790,Phrases!$I:$I,"&lt;&gt;")&gt;0,"ok","à faire")</f>
        <v>ok</v>
      </c>
      <c r="I790" s="17" t="str">
        <f>IF(COUNTIF(Synonymes!$A:$A,$A790)&gt;0,"ok","")</f>
        <v/>
      </c>
      <c r="J790" s="17">
        <f t="shared" si="12"/>
        <v>1</v>
      </c>
    </row>
    <row r="791" spans="1:10" x14ac:dyDescent="0.3">
      <c r="A791" s="17" t="s">
        <v>415</v>
      </c>
      <c r="B791" s="17" t="str">
        <f>IFERROR(INDEX(Mots!$B:$B,MATCH($A791,Mots!$A:$A,0)),"introuvable")</f>
        <v>la chose</v>
      </c>
      <c r="C791" s="17" t="str">
        <f>IFERROR(INDEX(Mots!$N:$N,MATCH($A791,Mots!$A:$A,0)),"")</f>
        <v>chose</v>
      </c>
      <c r="D791" s="17">
        <f>IFERROR(COUNTA(INDEX(Mots!$E:$E,MATCH($A791,Mots!$A:$A,0)):INDEX(Mots!$K:$K,MATCH($A791,Mots!$A:$A,0))),0)</f>
        <v>3</v>
      </c>
      <c r="E791" s="17" t="str">
        <f>IF(COUNTIF(Classement!$A:$A,$A791)&gt;0,"ok","à faire")</f>
        <v>ok</v>
      </c>
      <c r="F791" s="17" t="str">
        <f>IF(COUNTIF(Tags!$A:$A,$A791)&gt;0,"ok","à faire")</f>
        <v>ok</v>
      </c>
      <c r="G791" s="17" t="str">
        <f>IF(COUNTIF(Phrases!$A:$A,$A791)&gt;0,"ok","à faire")</f>
        <v>ok</v>
      </c>
      <c r="H791" s="17" t="str">
        <f>IF(COUNTIFS(Phrases!$A:$A,$A791,Phrases!$I:$I,"&lt;&gt;")&gt;0,"ok","à faire")</f>
        <v>à faire</v>
      </c>
      <c r="I791" s="17" t="str">
        <f>IF(COUNTIF(Synonymes!$A:$A,$A791)&gt;0,"ok","")</f>
        <v>ok</v>
      </c>
      <c r="J791" s="17">
        <f t="shared" si="12"/>
        <v>1</v>
      </c>
    </row>
    <row r="792" spans="1:10" x14ac:dyDescent="0.3">
      <c r="A792" s="17" t="s">
        <v>4226</v>
      </c>
      <c r="B792" s="17" t="str">
        <f>IFERROR(INDEX(Mots!$B:$B,MATCH($A792,Mots!$A:$A,0)),"introuvable")</f>
        <v>la circulation</v>
      </c>
      <c r="C792" s="17" t="str">
        <f>IFERROR(INDEX(Mots!$N:$N,MATCH($A792,Mots!$A:$A,0)),"")</f>
        <v>chose</v>
      </c>
      <c r="D792" s="17">
        <f>IFERROR(COUNTA(INDEX(Mots!$E:$E,MATCH($A792,Mots!$A:$A,0)):INDEX(Mots!$K:$K,MATCH($A792,Mots!$A:$A,0))),0)</f>
        <v>5</v>
      </c>
      <c r="E792" s="17" t="str">
        <f>IF(COUNTIF(Classement!$A:$A,$A792)&gt;0,"ok","à faire")</f>
        <v>ok</v>
      </c>
      <c r="F792" s="17" t="str">
        <f>IF(COUNTIF(Tags!$A:$A,$A792)&gt;0,"ok","à faire")</f>
        <v>ok</v>
      </c>
      <c r="G792" s="17" t="str">
        <f>IF(COUNTIF(Phrases!$A:$A,$A792)&gt;0,"ok","à faire")</f>
        <v>ok</v>
      </c>
      <c r="H792" s="17" t="str">
        <f>IF(COUNTIFS(Phrases!$A:$A,$A792,Phrases!$I:$I,"&lt;&gt;")&gt;0,"ok","à faire")</f>
        <v>à faire</v>
      </c>
      <c r="I792" s="17" t="str">
        <f>IF(COUNTIF(Synonymes!$A:$A,$A792)&gt;0,"ok","")</f>
        <v>ok</v>
      </c>
      <c r="J792" s="17">
        <f t="shared" si="12"/>
        <v>1</v>
      </c>
    </row>
    <row r="793" spans="1:10" x14ac:dyDescent="0.3">
      <c r="A793" s="17" t="s">
        <v>4234</v>
      </c>
      <c r="B793" s="17" t="str">
        <f>IFERROR(INDEX(Mots!$B:$B,MATCH($A793,Mots!$A:$A,0)),"introuvable")</f>
        <v>la clairière</v>
      </c>
      <c r="C793" s="17" t="str">
        <f>IFERROR(INDEX(Mots!$N:$N,MATCH($A793,Mots!$A:$A,0)),"")</f>
        <v>lieu</v>
      </c>
      <c r="D793" s="17">
        <f>IFERROR(COUNTA(INDEX(Mots!$E:$E,MATCH($A793,Mots!$A:$A,0)):INDEX(Mots!$K:$K,MATCH($A793,Mots!$A:$A,0))),0)</f>
        <v>5</v>
      </c>
      <c r="E793" s="17" t="str">
        <f>IF(COUNTIF(Classement!$A:$A,$A793)&gt;0,"ok","à faire")</f>
        <v>ok</v>
      </c>
      <c r="F793" s="17" t="str">
        <f>IF(COUNTIF(Tags!$A:$A,$A793)&gt;0,"ok","à faire")</f>
        <v>ok</v>
      </c>
      <c r="G793" s="17" t="str">
        <f>IF(COUNTIF(Phrases!$A:$A,$A793)&gt;0,"ok","à faire")</f>
        <v>à faire</v>
      </c>
      <c r="H793" s="17" t="str">
        <f>IF(COUNTIFS(Phrases!$A:$A,$A793,Phrases!$I:$I,"&lt;&gt;")&gt;0,"ok","à faire")</f>
        <v>à faire</v>
      </c>
      <c r="I793" s="17" t="str">
        <f>IF(COUNTIF(Synonymes!$A:$A,$A793)&gt;0,"ok","")</f>
        <v>ok</v>
      </c>
      <c r="J793" s="17">
        <f t="shared" si="12"/>
        <v>2</v>
      </c>
    </row>
    <row r="794" spans="1:10" x14ac:dyDescent="0.3">
      <c r="A794" s="17" t="s">
        <v>4242</v>
      </c>
      <c r="B794" s="17" t="str">
        <f>IFERROR(INDEX(Mots!$B:$B,MATCH($A794,Mots!$A:$A,0)),"introuvable")</f>
        <v>la classe</v>
      </c>
      <c r="C794" s="17" t="str">
        <f>IFERROR(INDEX(Mots!$N:$N,MATCH($A794,Mots!$A:$A,0)),"")</f>
        <v>lieu</v>
      </c>
      <c r="D794" s="17">
        <f>IFERROR(COUNTA(INDEX(Mots!$E:$E,MATCH($A794,Mots!$A:$A,0)):INDEX(Mots!$K:$K,MATCH($A794,Mots!$A:$A,0))),0)</f>
        <v>5</v>
      </c>
      <c r="E794" s="17" t="str">
        <f>IF(COUNTIF(Classement!$A:$A,$A794)&gt;0,"ok","à faire")</f>
        <v>ok</v>
      </c>
      <c r="F794" s="17" t="str">
        <f>IF(COUNTIF(Tags!$A:$A,$A794)&gt;0,"ok","à faire")</f>
        <v>à faire</v>
      </c>
      <c r="G794" s="17" t="str">
        <f>IF(COUNTIF(Phrases!$A:$A,$A794)&gt;0,"ok","à faire")</f>
        <v>à faire</v>
      </c>
      <c r="H794" s="17" t="str">
        <f>IF(COUNTIFS(Phrases!$A:$A,$A794,Phrases!$I:$I,"&lt;&gt;")&gt;0,"ok","à faire")</f>
        <v>à faire</v>
      </c>
      <c r="I794" s="17" t="str">
        <f>IF(COUNTIF(Synonymes!$A:$A,$A794)&gt;0,"ok","")</f>
        <v/>
      </c>
      <c r="J794" s="17">
        <f t="shared" si="12"/>
        <v>3</v>
      </c>
    </row>
    <row r="795" spans="1:10" x14ac:dyDescent="0.3">
      <c r="A795" s="17" t="s">
        <v>4250</v>
      </c>
      <c r="B795" s="17" t="str">
        <f>IFERROR(INDEX(Mots!$B:$B,MATCH($A795,Mots!$A:$A,0)),"introuvable")</f>
        <v>la clôture</v>
      </c>
      <c r="C795" s="17" t="str">
        <f>IFERROR(INDEX(Mots!$N:$N,MATCH($A795,Mots!$A:$A,0)),"")</f>
        <v>chose</v>
      </c>
      <c r="D795" s="17">
        <f>IFERROR(COUNTA(INDEX(Mots!$E:$E,MATCH($A795,Mots!$A:$A,0)):INDEX(Mots!$K:$K,MATCH($A795,Mots!$A:$A,0))),0)</f>
        <v>5</v>
      </c>
      <c r="E795" s="17" t="str">
        <f>IF(COUNTIF(Classement!$A:$A,$A795)&gt;0,"ok","à faire")</f>
        <v>ok</v>
      </c>
      <c r="F795" s="17" t="str">
        <f>IF(COUNTIF(Tags!$A:$A,$A795)&gt;0,"ok","à faire")</f>
        <v>à faire</v>
      </c>
      <c r="G795" s="17" t="str">
        <f>IF(COUNTIF(Phrases!$A:$A,$A795)&gt;0,"ok","à faire")</f>
        <v>ok</v>
      </c>
      <c r="H795" s="17" t="str">
        <f>IF(COUNTIFS(Phrases!$A:$A,$A795,Phrases!$I:$I,"&lt;&gt;")&gt;0,"ok","à faire")</f>
        <v>à faire</v>
      </c>
      <c r="I795" s="17" t="str">
        <f>IF(COUNTIF(Synonymes!$A:$A,$A795)&gt;0,"ok","")</f>
        <v/>
      </c>
      <c r="J795" s="17">
        <f t="shared" si="12"/>
        <v>2</v>
      </c>
    </row>
    <row r="796" spans="1:10" x14ac:dyDescent="0.3">
      <c r="A796" s="17" t="s">
        <v>4258</v>
      </c>
      <c r="B796" s="17" t="str">
        <f>IFERROR(INDEX(Mots!$B:$B,MATCH($A796,Mots!$A:$A,0)),"introuvable")</f>
        <v>la colle</v>
      </c>
      <c r="C796" s="17" t="str">
        <f>IFERROR(INDEX(Mots!$N:$N,MATCH($A796,Mots!$A:$A,0)),"")</f>
        <v>chose</v>
      </c>
      <c r="D796" s="17">
        <f>IFERROR(COUNTA(INDEX(Mots!$E:$E,MATCH($A796,Mots!$A:$A,0)):INDEX(Mots!$K:$K,MATCH($A796,Mots!$A:$A,0))),0)</f>
        <v>2</v>
      </c>
      <c r="E796" s="17" t="str">
        <f>IF(COUNTIF(Classement!$A:$A,$A796)&gt;0,"ok","à faire")</f>
        <v>ok</v>
      </c>
      <c r="F796" s="17" t="str">
        <f>IF(COUNTIF(Tags!$A:$A,$A796)&gt;0,"ok","à faire")</f>
        <v>à faire</v>
      </c>
      <c r="G796" s="17" t="str">
        <f>IF(COUNTIF(Phrases!$A:$A,$A796)&gt;0,"ok","à faire")</f>
        <v>ok</v>
      </c>
      <c r="H796" s="17" t="str">
        <f>IF(COUNTIFS(Phrases!$A:$A,$A796,Phrases!$I:$I,"&lt;&gt;")&gt;0,"ok","à faire")</f>
        <v>ok</v>
      </c>
      <c r="I796" s="17" t="str">
        <f>IF(COUNTIF(Synonymes!$A:$A,$A796)&gt;0,"ok","")</f>
        <v/>
      </c>
      <c r="J796" s="17">
        <f t="shared" si="12"/>
        <v>1</v>
      </c>
    </row>
    <row r="797" spans="1:10" x14ac:dyDescent="0.3">
      <c r="A797" s="17" t="s">
        <v>4263</v>
      </c>
      <c r="B797" s="17" t="str">
        <f>IFERROR(INDEX(Mots!$B:$B,MATCH($A797,Mots!$A:$A,0)),"introuvable")</f>
        <v>la collection</v>
      </c>
      <c r="C797" s="17" t="str">
        <f>IFERROR(INDEX(Mots!$N:$N,MATCH($A797,Mots!$A:$A,0)),"")</f>
        <v>chose</v>
      </c>
      <c r="D797" s="17">
        <f>IFERROR(COUNTA(INDEX(Mots!$E:$E,MATCH($A797,Mots!$A:$A,0)):INDEX(Mots!$K:$K,MATCH($A797,Mots!$A:$A,0))),0)</f>
        <v>5</v>
      </c>
      <c r="E797" s="17" t="str">
        <f>IF(COUNTIF(Classement!$A:$A,$A797)&gt;0,"ok","à faire")</f>
        <v>ok</v>
      </c>
      <c r="F797" s="17" t="str">
        <f>IF(COUNTIF(Tags!$A:$A,$A797)&gt;0,"ok","à faire")</f>
        <v>ok</v>
      </c>
      <c r="G797" s="17" t="str">
        <f>IF(COUNTIF(Phrases!$A:$A,$A797)&gt;0,"ok","à faire")</f>
        <v>ok</v>
      </c>
      <c r="H797" s="17" t="str">
        <f>IF(COUNTIFS(Phrases!$A:$A,$A797,Phrases!$I:$I,"&lt;&gt;")&gt;0,"ok","à faire")</f>
        <v>à faire</v>
      </c>
      <c r="I797" s="17" t="str">
        <f>IF(COUNTIF(Synonymes!$A:$A,$A797)&gt;0,"ok","")</f>
        <v/>
      </c>
      <c r="J797" s="17">
        <f t="shared" si="12"/>
        <v>1</v>
      </c>
    </row>
    <row r="798" spans="1:10" x14ac:dyDescent="0.3">
      <c r="A798" s="17" t="s">
        <v>4271</v>
      </c>
      <c r="B798" s="17" t="str">
        <f>IFERROR(INDEX(Mots!$B:$B,MATCH($A798,Mots!$A:$A,0)),"introuvable")</f>
        <v>la colline</v>
      </c>
      <c r="C798" s="17" t="str">
        <f>IFERROR(INDEX(Mots!$N:$N,MATCH($A798,Mots!$A:$A,0)),"")</f>
        <v>chose</v>
      </c>
      <c r="D798" s="17">
        <f>IFERROR(COUNTA(INDEX(Mots!$E:$E,MATCH($A798,Mots!$A:$A,0)):INDEX(Mots!$K:$K,MATCH($A798,Mots!$A:$A,0))),0)</f>
        <v>5</v>
      </c>
      <c r="E798" s="17" t="str">
        <f>IF(COUNTIF(Classement!$A:$A,$A798)&gt;0,"ok","à faire")</f>
        <v>ok</v>
      </c>
      <c r="F798" s="17" t="str">
        <f>IF(COUNTIF(Tags!$A:$A,$A798)&gt;0,"ok","à faire")</f>
        <v>ok</v>
      </c>
      <c r="G798" s="17" t="str">
        <f>IF(COUNTIF(Phrases!$A:$A,$A798)&gt;0,"ok","à faire")</f>
        <v>ok</v>
      </c>
      <c r="H798" s="17" t="str">
        <f>IF(COUNTIFS(Phrases!$A:$A,$A798,Phrases!$I:$I,"&lt;&gt;")&gt;0,"ok","à faire")</f>
        <v>à faire</v>
      </c>
      <c r="I798" s="17" t="str">
        <f>IF(COUNTIF(Synonymes!$A:$A,$A798)&gt;0,"ok","")</f>
        <v/>
      </c>
      <c r="J798" s="17">
        <f t="shared" si="12"/>
        <v>1</v>
      </c>
    </row>
    <row r="799" spans="1:10" x14ac:dyDescent="0.3">
      <c r="A799" s="17" t="s">
        <v>4279</v>
      </c>
      <c r="B799" s="17" t="str">
        <f>IFERROR(INDEX(Mots!$B:$B,MATCH($A799,Mots!$A:$A,0)),"introuvable")</f>
        <v>la compagnie</v>
      </c>
      <c r="C799" s="17" t="str">
        <f>IFERROR(INDEX(Mots!$N:$N,MATCH($A799,Mots!$A:$A,0)),"")</f>
        <v>chose</v>
      </c>
      <c r="D799" s="17">
        <f>IFERROR(COUNTA(INDEX(Mots!$E:$E,MATCH($A799,Mots!$A:$A,0)):INDEX(Mots!$K:$K,MATCH($A799,Mots!$A:$A,0))),0)</f>
        <v>1</v>
      </c>
      <c r="E799" s="17" t="str">
        <f>IF(COUNTIF(Classement!$A:$A,$A799)&gt;0,"ok","à faire")</f>
        <v>ok</v>
      </c>
      <c r="F799" s="17" t="str">
        <f>IF(COUNTIF(Tags!$A:$A,$A799)&gt;0,"ok","à faire")</f>
        <v>à faire</v>
      </c>
      <c r="G799" s="17" t="str">
        <f>IF(COUNTIF(Phrases!$A:$A,$A799)&gt;0,"ok","à faire")</f>
        <v>ok</v>
      </c>
      <c r="H799" s="17" t="str">
        <f>IF(COUNTIFS(Phrases!$A:$A,$A799,Phrases!$I:$I,"&lt;&gt;")&gt;0,"ok","à faire")</f>
        <v>ok</v>
      </c>
      <c r="I799" s="17" t="str">
        <f>IF(COUNTIF(Synonymes!$A:$A,$A799)&gt;0,"ok","")</f>
        <v/>
      </c>
      <c r="J799" s="17">
        <f t="shared" si="12"/>
        <v>1</v>
      </c>
    </row>
    <row r="800" spans="1:10" x14ac:dyDescent="0.3">
      <c r="A800" s="17" t="s">
        <v>4283</v>
      </c>
      <c r="B800" s="17" t="str">
        <f>IFERROR(INDEX(Mots!$B:$B,MATCH($A800,Mots!$A:$A,0)),"introuvable")</f>
        <v>la confiture</v>
      </c>
      <c r="C800" s="17" t="str">
        <f>IFERROR(INDEX(Mots!$N:$N,MATCH($A800,Mots!$A:$A,0)),"")</f>
        <v>chose</v>
      </c>
      <c r="D800" s="17">
        <f>IFERROR(COUNTA(INDEX(Mots!$E:$E,MATCH($A800,Mots!$A:$A,0)):INDEX(Mots!$K:$K,MATCH($A800,Mots!$A:$A,0))),0)</f>
        <v>5</v>
      </c>
      <c r="E800" s="17" t="str">
        <f>IF(COUNTIF(Classement!$A:$A,$A800)&gt;0,"ok","à faire")</f>
        <v>ok</v>
      </c>
      <c r="F800" s="17" t="str">
        <f>IF(COUNTIF(Tags!$A:$A,$A800)&gt;0,"ok","à faire")</f>
        <v>ok</v>
      </c>
      <c r="G800" s="17" t="str">
        <f>IF(COUNTIF(Phrases!$A:$A,$A800)&gt;0,"ok","à faire")</f>
        <v>ok</v>
      </c>
      <c r="H800" s="17" t="str">
        <f>IF(COUNTIFS(Phrases!$A:$A,$A800,Phrases!$I:$I,"&lt;&gt;")&gt;0,"ok","à faire")</f>
        <v>ok</v>
      </c>
      <c r="I800" s="17" t="str">
        <f>IF(COUNTIF(Synonymes!$A:$A,$A800)&gt;0,"ok","")</f>
        <v/>
      </c>
      <c r="J800" s="17">
        <f t="shared" si="12"/>
        <v>0</v>
      </c>
    </row>
    <row r="801" spans="1:10" x14ac:dyDescent="0.3">
      <c r="A801" s="17" t="s">
        <v>4291</v>
      </c>
      <c r="B801" s="17" t="str">
        <f>IFERROR(INDEX(Mots!$B:$B,MATCH($A801,Mots!$A:$A,0)),"introuvable")</f>
        <v>la consigne</v>
      </c>
      <c r="C801" s="17" t="str">
        <f>IFERROR(INDEX(Mots!$N:$N,MATCH($A801,Mots!$A:$A,0)),"")</f>
        <v>chose</v>
      </c>
      <c r="D801" s="17">
        <f>IFERROR(COUNTA(INDEX(Mots!$E:$E,MATCH($A801,Mots!$A:$A,0)):INDEX(Mots!$K:$K,MATCH($A801,Mots!$A:$A,0))),0)</f>
        <v>1</v>
      </c>
      <c r="E801" s="17" t="str">
        <f>IF(COUNTIF(Classement!$A:$A,$A801)&gt;0,"ok","à faire")</f>
        <v>ok</v>
      </c>
      <c r="F801" s="17" t="str">
        <f>IF(COUNTIF(Tags!$A:$A,$A801)&gt;0,"ok","à faire")</f>
        <v>à faire</v>
      </c>
      <c r="G801" s="17" t="str">
        <f>IF(COUNTIF(Phrases!$A:$A,$A801)&gt;0,"ok","à faire")</f>
        <v>ok</v>
      </c>
      <c r="H801" s="17" t="str">
        <f>IF(COUNTIFS(Phrases!$A:$A,$A801,Phrases!$I:$I,"&lt;&gt;")&gt;0,"ok","à faire")</f>
        <v>ok</v>
      </c>
      <c r="I801" s="17" t="str">
        <f>IF(COUNTIF(Synonymes!$A:$A,$A801)&gt;0,"ok","")</f>
        <v>ok</v>
      </c>
      <c r="J801" s="17">
        <f t="shared" si="12"/>
        <v>1</v>
      </c>
    </row>
    <row r="802" spans="1:10" x14ac:dyDescent="0.3">
      <c r="A802" s="17" t="s">
        <v>4295</v>
      </c>
      <c r="B802" s="17" t="str">
        <f>IFERROR(INDEX(Mots!$B:$B,MATCH($A802,Mots!$A:$A,0)),"introuvable")</f>
        <v>la construction</v>
      </c>
      <c r="C802" s="17" t="str">
        <f>IFERROR(INDEX(Mots!$N:$N,MATCH($A802,Mots!$A:$A,0)),"")</f>
        <v>chose</v>
      </c>
      <c r="D802" s="17">
        <f>IFERROR(COUNTA(INDEX(Mots!$E:$E,MATCH($A802,Mots!$A:$A,0)):INDEX(Mots!$K:$K,MATCH($A802,Mots!$A:$A,0))),0)</f>
        <v>5</v>
      </c>
      <c r="E802" s="17" t="str">
        <f>IF(COUNTIF(Classement!$A:$A,$A802)&gt;0,"ok","à faire")</f>
        <v>ok</v>
      </c>
      <c r="F802" s="17" t="str">
        <f>IF(COUNTIF(Tags!$A:$A,$A802)&gt;0,"ok","à faire")</f>
        <v>ok</v>
      </c>
      <c r="G802" s="17" t="str">
        <f>IF(COUNTIF(Phrases!$A:$A,$A802)&gt;0,"ok","à faire")</f>
        <v>ok</v>
      </c>
      <c r="H802" s="17" t="str">
        <f>IF(COUNTIFS(Phrases!$A:$A,$A802,Phrases!$I:$I,"&lt;&gt;")&gt;0,"ok","à faire")</f>
        <v>à faire</v>
      </c>
      <c r="I802" s="17" t="str">
        <f>IF(COUNTIF(Synonymes!$A:$A,$A802)&gt;0,"ok","")</f>
        <v>ok</v>
      </c>
      <c r="J802" s="17">
        <f t="shared" si="12"/>
        <v>1</v>
      </c>
    </row>
    <row r="803" spans="1:10" x14ac:dyDescent="0.3">
      <c r="A803" s="17" t="s">
        <v>4303</v>
      </c>
      <c r="B803" s="17" t="str">
        <f>IFERROR(INDEX(Mots!$B:$B,MATCH($A803,Mots!$A:$A,0)),"introuvable")</f>
        <v>la conversation</v>
      </c>
      <c r="C803" s="17" t="str">
        <f>IFERROR(INDEX(Mots!$N:$N,MATCH($A803,Mots!$A:$A,0)),"")</f>
        <v>mot utile</v>
      </c>
      <c r="D803" s="17">
        <f>IFERROR(COUNTA(INDEX(Mots!$E:$E,MATCH($A803,Mots!$A:$A,0)):INDEX(Mots!$K:$K,MATCH($A803,Mots!$A:$A,0))),0)</f>
        <v>1</v>
      </c>
      <c r="E803" s="17" t="str">
        <f>IF(COUNTIF(Classement!$A:$A,$A803)&gt;0,"ok","à faire")</f>
        <v>ok</v>
      </c>
      <c r="F803" s="17" t="str">
        <f>IF(COUNTIF(Tags!$A:$A,$A803)&gt;0,"ok","à faire")</f>
        <v>ok</v>
      </c>
      <c r="G803" s="17" t="str">
        <f>IF(COUNTIF(Phrases!$A:$A,$A803)&gt;0,"ok","à faire")</f>
        <v>à faire</v>
      </c>
      <c r="H803" s="17" t="str">
        <f>IF(COUNTIFS(Phrases!$A:$A,$A803,Phrases!$I:$I,"&lt;&gt;")&gt;0,"ok","à faire")</f>
        <v>à faire</v>
      </c>
      <c r="I803" s="17" t="str">
        <f>IF(COUNTIF(Synonymes!$A:$A,$A803)&gt;0,"ok","")</f>
        <v>ok</v>
      </c>
      <c r="J803" s="17">
        <f t="shared" si="12"/>
        <v>2</v>
      </c>
    </row>
    <row r="804" spans="1:10" x14ac:dyDescent="0.3">
      <c r="A804" s="17" t="s">
        <v>4307</v>
      </c>
      <c r="B804" s="17" t="str">
        <f>IFERROR(INDEX(Mots!$B:$B,MATCH($A804,Mots!$A:$A,0)),"introuvable")</f>
        <v>la corde</v>
      </c>
      <c r="C804" s="17" t="str">
        <f>IFERROR(INDEX(Mots!$N:$N,MATCH($A804,Mots!$A:$A,0)),"")</f>
        <v>chose</v>
      </c>
      <c r="D804" s="17">
        <f>IFERROR(COUNTA(INDEX(Mots!$E:$E,MATCH($A804,Mots!$A:$A,0)):INDEX(Mots!$K:$K,MATCH($A804,Mots!$A:$A,0))),0)</f>
        <v>5</v>
      </c>
      <c r="E804" s="17" t="str">
        <f>IF(COUNTIF(Classement!$A:$A,$A804)&gt;0,"ok","à faire")</f>
        <v>ok</v>
      </c>
      <c r="F804" s="17" t="str">
        <f>IF(COUNTIF(Tags!$A:$A,$A804)&gt;0,"ok","à faire")</f>
        <v>ok</v>
      </c>
      <c r="G804" s="17" t="str">
        <f>IF(COUNTIF(Phrases!$A:$A,$A804)&gt;0,"ok","à faire")</f>
        <v>ok</v>
      </c>
      <c r="H804" s="17" t="str">
        <f>IF(COUNTIFS(Phrases!$A:$A,$A804,Phrases!$I:$I,"&lt;&gt;")&gt;0,"ok","à faire")</f>
        <v>à faire</v>
      </c>
      <c r="I804" s="17" t="str">
        <f>IF(COUNTIF(Synonymes!$A:$A,$A804)&gt;0,"ok","")</f>
        <v/>
      </c>
      <c r="J804" s="17">
        <f t="shared" si="12"/>
        <v>1</v>
      </c>
    </row>
    <row r="805" spans="1:10" x14ac:dyDescent="0.3">
      <c r="A805" s="17" t="s">
        <v>4315</v>
      </c>
      <c r="B805" s="17" t="str">
        <f>IFERROR(INDEX(Mots!$B:$B,MATCH($A805,Mots!$A:$A,0)),"introuvable")</f>
        <v>la course</v>
      </c>
      <c r="C805" s="17" t="str">
        <f>IFERROR(INDEX(Mots!$N:$N,MATCH($A805,Mots!$A:$A,0)),"")</f>
        <v>chose</v>
      </c>
      <c r="D805" s="17">
        <f>IFERROR(COUNTA(INDEX(Mots!$E:$E,MATCH($A805,Mots!$A:$A,0)):INDEX(Mots!$K:$K,MATCH($A805,Mots!$A:$A,0))),0)</f>
        <v>5</v>
      </c>
      <c r="E805" s="17" t="str">
        <f>IF(COUNTIF(Classement!$A:$A,$A805)&gt;0,"ok","à faire")</f>
        <v>ok</v>
      </c>
      <c r="F805" s="17" t="str">
        <f>IF(COUNTIF(Tags!$A:$A,$A805)&gt;0,"ok","à faire")</f>
        <v>à faire</v>
      </c>
      <c r="G805" s="17" t="str">
        <f>IF(COUNTIF(Phrases!$A:$A,$A805)&gt;0,"ok","à faire")</f>
        <v>ok</v>
      </c>
      <c r="H805" s="17" t="str">
        <f>IF(COUNTIFS(Phrases!$A:$A,$A805,Phrases!$I:$I,"&lt;&gt;")&gt;0,"ok","à faire")</f>
        <v>ok</v>
      </c>
      <c r="I805" s="17" t="str">
        <f>IF(COUNTIF(Synonymes!$A:$A,$A805)&gt;0,"ok","")</f>
        <v/>
      </c>
      <c r="J805" s="17">
        <f t="shared" si="12"/>
        <v>1</v>
      </c>
    </row>
    <row r="806" spans="1:10" x14ac:dyDescent="0.3">
      <c r="A806" s="17" t="s">
        <v>4323</v>
      </c>
      <c r="B806" s="17" t="str">
        <f>IFERROR(INDEX(Mots!$B:$B,MATCH($A806,Mots!$A:$A,0)),"introuvable")</f>
        <v>la couverture</v>
      </c>
      <c r="C806" s="17" t="str">
        <f>IFERROR(INDEX(Mots!$N:$N,MATCH($A806,Mots!$A:$A,0)),"")</f>
        <v>chose</v>
      </c>
      <c r="D806" s="17">
        <f>IFERROR(COUNTA(INDEX(Mots!$E:$E,MATCH($A806,Mots!$A:$A,0)):INDEX(Mots!$K:$K,MATCH($A806,Mots!$A:$A,0))),0)</f>
        <v>5</v>
      </c>
      <c r="E806" s="17" t="str">
        <f>IF(COUNTIF(Classement!$A:$A,$A806)&gt;0,"ok","à faire")</f>
        <v>ok</v>
      </c>
      <c r="F806" s="17" t="str">
        <f>IF(COUNTIF(Tags!$A:$A,$A806)&gt;0,"ok","à faire")</f>
        <v>ok</v>
      </c>
      <c r="G806" s="17" t="str">
        <f>IF(COUNTIF(Phrases!$A:$A,$A806)&gt;0,"ok","à faire")</f>
        <v>ok</v>
      </c>
      <c r="H806" s="17" t="str">
        <f>IF(COUNTIFS(Phrases!$A:$A,$A806,Phrases!$I:$I,"&lt;&gt;")&gt;0,"ok","à faire")</f>
        <v>ok</v>
      </c>
      <c r="I806" s="17" t="str">
        <f>IF(COUNTIF(Synonymes!$A:$A,$A806)&gt;0,"ok","")</f>
        <v/>
      </c>
      <c r="J806" s="17">
        <f t="shared" si="12"/>
        <v>0</v>
      </c>
    </row>
    <row r="807" spans="1:10" x14ac:dyDescent="0.3">
      <c r="A807" s="17" t="s">
        <v>4331</v>
      </c>
      <c r="B807" s="17" t="str">
        <f>IFERROR(INDEX(Mots!$B:$B,MATCH($A807,Mots!$A:$A,0)),"introuvable")</f>
        <v>la crème</v>
      </c>
      <c r="C807" s="17" t="str">
        <f>IFERROR(INDEX(Mots!$N:$N,MATCH($A807,Mots!$A:$A,0)),"")</f>
        <v>chose</v>
      </c>
      <c r="D807" s="17">
        <f>IFERROR(COUNTA(INDEX(Mots!$E:$E,MATCH($A807,Mots!$A:$A,0)):INDEX(Mots!$K:$K,MATCH($A807,Mots!$A:$A,0))),0)</f>
        <v>5</v>
      </c>
      <c r="E807" s="17" t="str">
        <f>IF(COUNTIF(Classement!$A:$A,$A807)&gt;0,"ok","à faire")</f>
        <v>ok</v>
      </c>
      <c r="F807" s="17" t="str">
        <f>IF(COUNTIF(Tags!$A:$A,$A807)&gt;0,"ok","à faire")</f>
        <v>à faire</v>
      </c>
      <c r="G807" s="17" t="str">
        <f>IF(COUNTIF(Phrases!$A:$A,$A807)&gt;0,"ok","à faire")</f>
        <v>ok</v>
      </c>
      <c r="H807" s="17" t="str">
        <f>IF(COUNTIFS(Phrases!$A:$A,$A807,Phrases!$I:$I,"&lt;&gt;")&gt;0,"ok","à faire")</f>
        <v>à faire</v>
      </c>
      <c r="I807" s="17" t="str">
        <f>IF(COUNTIF(Synonymes!$A:$A,$A807)&gt;0,"ok","")</f>
        <v/>
      </c>
      <c r="J807" s="17">
        <f t="shared" si="12"/>
        <v>2</v>
      </c>
    </row>
    <row r="808" spans="1:10" x14ac:dyDescent="0.3">
      <c r="A808" s="17" t="s">
        <v>4339</v>
      </c>
      <c r="B808" s="17" t="str">
        <f>IFERROR(INDEX(Mots!$B:$B,MATCH($A808,Mots!$A:$A,0)),"introuvable")</f>
        <v>la curiosité</v>
      </c>
      <c r="C808" s="17" t="str">
        <f>IFERROR(INDEX(Mots!$N:$N,MATCH($A808,Mots!$A:$A,0)),"")</f>
        <v>chose</v>
      </c>
      <c r="D808" s="17">
        <f>IFERROR(COUNTA(INDEX(Mots!$E:$E,MATCH($A808,Mots!$A:$A,0)):INDEX(Mots!$K:$K,MATCH($A808,Mots!$A:$A,0))),0)</f>
        <v>1</v>
      </c>
      <c r="E808" s="17" t="str">
        <f>IF(COUNTIF(Classement!$A:$A,$A808)&gt;0,"ok","à faire")</f>
        <v>ok</v>
      </c>
      <c r="F808" s="17" t="str">
        <f>IF(COUNTIF(Tags!$A:$A,$A808)&gt;0,"ok","à faire")</f>
        <v>ok</v>
      </c>
      <c r="G808" s="17" t="str">
        <f>IF(COUNTIF(Phrases!$A:$A,$A808)&gt;0,"ok","à faire")</f>
        <v>ok</v>
      </c>
      <c r="H808" s="17" t="str">
        <f>IF(COUNTIFS(Phrases!$A:$A,$A808,Phrases!$I:$I,"&lt;&gt;")&gt;0,"ok","à faire")</f>
        <v>à faire</v>
      </c>
      <c r="I808" s="17" t="str">
        <f>IF(COUNTIF(Synonymes!$A:$A,$A808)&gt;0,"ok","")</f>
        <v/>
      </c>
      <c r="J808" s="17">
        <f t="shared" si="12"/>
        <v>1</v>
      </c>
    </row>
    <row r="809" spans="1:10" x14ac:dyDescent="0.3">
      <c r="A809" s="17" t="s">
        <v>4343</v>
      </c>
      <c r="B809" s="17" t="str">
        <f>IFERROR(INDEX(Mots!$B:$B,MATCH($A809,Mots!$A:$A,0)),"introuvable")</f>
        <v>la cuve pour le vin</v>
      </c>
      <c r="C809" s="17" t="str">
        <f>IFERROR(INDEX(Mots!$N:$N,MATCH($A809,Mots!$A:$A,0)),"")</f>
        <v>chose</v>
      </c>
      <c r="D809" s="17">
        <f>IFERROR(COUNTA(INDEX(Mots!$E:$E,MATCH($A809,Mots!$A:$A,0)):INDEX(Mots!$K:$K,MATCH($A809,Mots!$A:$A,0))),0)</f>
        <v>1</v>
      </c>
      <c r="E809" s="17" t="str">
        <f>IF(COUNTIF(Classement!$A:$A,$A809)&gt;0,"ok","à faire")</f>
        <v>ok</v>
      </c>
      <c r="F809" s="17" t="str">
        <f>IF(COUNTIF(Tags!$A:$A,$A809)&gt;0,"ok","à faire")</f>
        <v>à faire</v>
      </c>
      <c r="G809" s="17" t="str">
        <f>IF(COUNTIF(Phrases!$A:$A,$A809)&gt;0,"ok","à faire")</f>
        <v>ok</v>
      </c>
      <c r="H809" s="17" t="str">
        <f>IF(COUNTIFS(Phrases!$A:$A,$A809,Phrases!$I:$I,"&lt;&gt;")&gt;0,"ok","à faire")</f>
        <v>à faire</v>
      </c>
      <c r="I809" s="17" t="str">
        <f>IF(COUNTIF(Synonymes!$A:$A,$A809)&gt;0,"ok","")</f>
        <v/>
      </c>
      <c r="J809" s="17">
        <f t="shared" si="12"/>
        <v>2</v>
      </c>
    </row>
    <row r="810" spans="1:10" x14ac:dyDescent="0.3">
      <c r="A810" s="17" t="s">
        <v>4347</v>
      </c>
      <c r="B810" s="17" t="str">
        <f>IFERROR(INDEX(Mots!$B:$B,MATCH($A810,Mots!$A:$A,0)),"introuvable")</f>
        <v>dépenser</v>
      </c>
      <c r="C810" s="17" t="str">
        <f>IFERROR(INDEX(Mots!$N:$N,MATCH($A810,Mots!$A:$A,0)),"")</f>
        <v>action</v>
      </c>
      <c r="D810" s="17">
        <f>IFERROR(COUNTA(INDEX(Mots!$E:$E,MATCH($A810,Mots!$A:$A,0)):INDEX(Mots!$K:$K,MATCH($A810,Mots!$A:$A,0))),0)</f>
        <v>4</v>
      </c>
      <c r="E810" s="17" t="str">
        <f>IF(COUNTIF(Classement!$A:$A,$A810)&gt;0,"ok","à faire")</f>
        <v>à faire</v>
      </c>
      <c r="F810" s="17" t="str">
        <f>IF(COUNTIF(Tags!$A:$A,$A810)&gt;0,"ok","à faire")</f>
        <v>ok</v>
      </c>
      <c r="G810" s="17" t="str">
        <f>IF(COUNTIF(Phrases!$A:$A,$A810)&gt;0,"ok","à faire")</f>
        <v>ok</v>
      </c>
      <c r="H810" s="17" t="str">
        <f>IF(COUNTIFS(Phrases!$A:$A,$A810,Phrases!$I:$I,"&lt;&gt;")&gt;0,"ok","à faire")</f>
        <v>ok</v>
      </c>
      <c r="I810" s="17" t="str">
        <f>IF(COUNTIF(Synonymes!$A:$A,$A810)&gt;0,"ok","")</f>
        <v/>
      </c>
      <c r="J810" s="17">
        <f t="shared" si="12"/>
        <v>1</v>
      </c>
    </row>
    <row r="811" spans="1:10" x14ac:dyDescent="0.3">
      <c r="A811" s="17" t="s">
        <v>4352</v>
      </c>
      <c r="B811" s="17" t="str">
        <f>IFERROR(INDEX(Mots!$B:$B,MATCH($A811,Mots!$A:$A,0)),"introuvable")</f>
        <v>se détendre</v>
      </c>
      <c r="C811" s="17" t="str">
        <f>IFERROR(INDEX(Mots!$N:$N,MATCH($A811,Mots!$A:$A,0)),"")</f>
        <v>action</v>
      </c>
      <c r="D811" s="17">
        <f>IFERROR(COUNTA(INDEX(Mots!$E:$E,MATCH($A811,Mots!$A:$A,0)):INDEX(Mots!$K:$K,MATCH($A811,Mots!$A:$A,0))),0)</f>
        <v>2</v>
      </c>
      <c r="E811" s="17" t="str">
        <f>IF(COUNTIF(Classement!$A:$A,$A811)&gt;0,"ok","à faire")</f>
        <v>à faire</v>
      </c>
      <c r="F811" s="17" t="str">
        <f>IF(COUNTIF(Tags!$A:$A,$A811)&gt;0,"ok","à faire")</f>
        <v>ok</v>
      </c>
      <c r="G811" s="17" t="str">
        <f>IF(COUNTIF(Phrases!$A:$A,$A811)&gt;0,"ok","à faire")</f>
        <v>ok</v>
      </c>
      <c r="H811" s="17" t="str">
        <f>IF(COUNTIFS(Phrases!$A:$A,$A811,Phrases!$I:$I,"&lt;&gt;")&gt;0,"ok","à faire")</f>
        <v>ok</v>
      </c>
      <c r="I811" s="17" t="str">
        <f>IF(COUNTIF(Synonymes!$A:$A,$A811)&gt;0,"ok","")</f>
        <v>ok</v>
      </c>
      <c r="J811" s="17">
        <f t="shared" si="12"/>
        <v>1</v>
      </c>
    </row>
    <row r="812" spans="1:10" x14ac:dyDescent="0.3">
      <c r="A812" s="17" t="s">
        <v>4357</v>
      </c>
      <c r="B812" s="17" t="str">
        <f>IFERROR(INDEX(Mots!$B:$B,MATCH($A812,Mots!$A:$A,0)),"introuvable")</f>
        <v>la différence</v>
      </c>
      <c r="C812" s="17" t="str">
        <f>IFERROR(INDEX(Mots!$N:$N,MATCH($A812,Mots!$A:$A,0)),"")</f>
        <v>chose</v>
      </c>
      <c r="D812" s="17">
        <f>IFERROR(COUNTA(INDEX(Mots!$E:$E,MATCH($A812,Mots!$A:$A,0)):INDEX(Mots!$K:$K,MATCH($A812,Mots!$A:$A,0))),0)</f>
        <v>2</v>
      </c>
      <c r="E812" s="17" t="str">
        <f>IF(COUNTIF(Classement!$A:$A,$A812)&gt;0,"ok","à faire")</f>
        <v>ok</v>
      </c>
      <c r="F812" s="17" t="str">
        <f>IF(COUNTIF(Tags!$A:$A,$A812)&gt;0,"ok","à faire")</f>
        <v>à faire</v>
      </c>
      <c r="G812" s="17" t="str">
        <f>IF(COUNTIF(Phrases!$A:$A,$A812)&gt;0,"ok","à faire")</f>
        <v>ok</v>
      </c>
      <c r="H812" s="17" t="str">
        <f>IF(COUNTIFS(Phrases!$A:$A,$A812,Phrases!$I:$I,"&lt;&gt;")&gt;0,"ok","à faire")</f>
        <v>ok</v>
      </c>
      <c r="I812" s="17" t="str">
        <f>IF(COUNTIF(Synonymes!$A:$A,$A812)&gt;0,"ok","")</f>
        <v/>
      </c>
      <c r="J812" s="17">
        <f t="shared" si="12"/>
        <v>1</v>
      </c>
    </row>
    <row r="813" spans="1:10" x14ac:dyDescent="0.3">
      <c r="A813" s="17" t="s">
        <v>4362</v>
      </c>
      <c r="B813" s="17" t="str">
        <f>IFERROR(INDEX(Mots!$B:$B,MATCH($A813,Mots!$A:$A,0)),"introuvable")</f>
        <v>la dispute</v>
      </c>
      <c r="C813" s="17" t="str">
        <f>IFERROR(INDEX(Mots!$N:$N,MATCH($A813,Mots!$A:$A,0)),"")</f>
        <v>mot utile</v>
      </c>
      <c r="D813" s="17">
        <f>IFERROR(COUNTA(INDEX(Mots!$E:$E,MATCH($A813,Mots!$A:$A,0)):INDEX(Mots!$K:$K,MATCH($A813,Mots!$A:$A,0))),0)</f>
        <v>5</v>
      </c>
      <c r="E813" s="17" t="str">
        <f>IF(COUNTIF(Classement!$A:$A,$A813)&gt;0,"ok","à faire")</f>
        <v>ok</v>
      </c>
      <c r="F813" s="17" t="str">
        <f>IF(COUNTIF(Tags!$A:$A,$A813)&gt;0,"ok","à faire")</f>
        <v>ok</v>
      </c>
      <c r="G813" s="17" t="str">
        <f>IF(COUNTIF(Phrases!$A:$A,$A813)&gt;0,"ok","à faire")</f>
        <v>à faire</v>
      </c>
      <c r="H813" s="17" t="str">
        <f>IF(COUNTIFS(Phrases!$A:$A,$A813,Phrases!$I:$I,"&lt;&gt;")&gt;0,"ok","à faire")</f>
        <v>à faire</v>
      </c>
      <c r="I813" s="17" t="str">
        <f>IF(COUNTIF(Synonymes!$A:$A,$A813)&gt;0,"ok","")</f>
        <v>ok</v>
      </c>
      <c r="J813" s="17">
        <f t="shared" si="12"/>
        <v>2</v>
      </c>
    </row>
    <row r="814" spans="1:10" x14ac:dyDescent="0.3">
      <c r="A814" s="17" t="s">
        <v>4370</v>
      </c>
      <c r="B814" s="17" t="str">
        <f>IFERROR(INDEX(Mots!$B:$B,MATCH($A814,Mots!$A:$A,0)),"introuvable")</f>
        <v>la distance</v>
      </c>
      <c r="C814" s="17" t="str">
        <f>IFERROR(INDEX(Mots!$N:$N,MATCH($A814,Mots!$A:$A,0)),"")</f>
        <v>lieu</v>
      </c>
      <c r="D814" s="17">
        <f>IFERROR(COUNTA(INDEX(Mots!$E:$E,MATCH($A814,Mots!$A:$A,0)):INDEX(Mots!$K:$K,MATCH($A814,Mots!$A:$A,0))),0)</f>
        <v>1</v>
      </c>
      <c r="E814" s="17" t="str">
        <f>IF(COUNTIF(Classement!$A:$A,$A814)&gt;0,"ok","à faire")</f>
        <v>ok</v>
      </c>
      <c r="F814" s="17" t="str">
        <f>IF(COUNTIF(Tags!$A:$A,$A814)&gt;0,"ok","à faire")</f>
        <v>à faire</v>
      </c>
      <c r="G814" s="17" t="str">
        <f>IF(COUNTIF(Phrases!$A:$A,$A814)&gt;0,"ok","à faire")</f>
        <v>à faire</v>
      </c>
      <c r="H814" s="17" t="str">
        <f>IF(COUNTIFS(Phrases!$A:$A,$A814,Phrases!$I:$I,"&lt;&gt;")&gt;0,"ok","à faire")</f>
        <v>à faire</v>
      </c>
      <c r="I814" s="17" t="str">
        <f>IF(COUNTIF(Synonymes!$A:$A,$A814)&gt;0,"ok","")</f>
        <v/>
      </c>
      <c r="J814" s="17">
        <f t="shared" si="12"/>
        <v>3</v>
      </c>
    </row>
    <row r="815" spans="1:10" x14ac:dyDescent="0.3">
      <c r="A815" s="17" t="s">
        <v>4374</v>
      </c>
      <c r="B815" s="17" t="str">
        <f>IFERROR(INDEX(Mots!$B:$B,MATCH($A815,Mots!$A:$A,0)),"introuvable")</f>
        <v>la douleur</v>
      </c>
      <c r="C815" s="17" t="str">
        <f>IFERROR(INDEX(Mots!$N:$N,MATCH($A815,Mots!$A:$A,0)),"")</f>
        <v>chose</v>
      </c>
      <c r="D815" s="17">
        <f>IFERROR(COUNTA(INDEX(Mots!$E:$E,MATCH($A815,Mots!$A:$A,0)):INDEX(Mots!$K:$K,MATCH($A815,Mots!$A:$A,0))),0)</f>
        <v>1</v>
      </c>
      <c r="E815" s="17" t="str">
        <f>IF(COUNTIF(Classement!$A:$A,$A815)&gt;0,"ok","à faire")</f>
        <v>ok</v>
      </c>
      <c r="F815" s="17" t="str">
        <f>IF(COUNTIF(Tags!$A:$A,$A815)&gt;0,"ok","à faire")</f>
        <v>ok</v>
      </c>
      <c r="G815" s="17" t="str">
        <f>IF(COUNTIF(Phrases!$A:$A,$A815)&gt;0,"ok","à faire")</f>
        <v>ok</v>
      </c>
      <c r="H815" s="17" t="str">
        <f>IF(COUNTIFS(Phrases!$A:$A,$A815,Phrases!$I:$I,"&lt;&gt;")&gt;0,"ok","à faire")</f>
        <v>ok</v>
      </c>
      <c r="I815" s="17" t="str">
        <f>IF(COUNTIF(Synonymes!$A:$A,$A815)&gt;0,"ok","")</f>
        <v/>
      </c>
      <c r="J815" s="17">
        <f t="shared" si="12"/>
        <v>0</v>
      </c>
    </row>
    <row r="816" spans="1:10" x14ac:dyDescent="0.3">
      <c r="A816" s="17" t="s">
        <v>4378</v>
      </c>
      <c r="B816" s="17" t="str">
        <f>IFERROR(INDEX(Mots!$B:$B,MATCH($A816,Mots!$A:$A,0)),"introuvable")</f>
        <v>la face</v>
      </c>
      <c r="C816" s="17" t="str">
        <f>IFERROR(INDEX(Mots!$N:$N,MATCH($A816,Mots!$A:$A,0)),"")</f>
        <v>chose</v>
      </c>
      <c r="D816" s="17">
        <f>IFERROR(COUNTA(INDEX(Mots!$E:$E,MATCH($A816,Mots!$A:$A,0)):INDEX(Mots!$K:$K,MATCH($A816,Mots!$A:$A,0))),0)</f>
        <v>3</v>
      </c>
      <c r="E816" s="17" t="str">
        <f>IF(COUNTIF(Classement!$A:$A,$A816)&gt;0,"ok","à faire")</f>
        <v>ok</v>
      </c>
      <c r="F816" s="17" t="str">
        <f>IF(COUNTIF(Tags!$A:$A,$A816)&gt;0,"ok","à faire")</f>
        <v>ok</v>
      </c>
      <c r="G816" s="17" t="str">
        <f>IF(COUNTIF(Phrases!$A:$A,$A816)&gt;0,"ok","à faire")</f>
        <v>ok</v>
      </c>
      <c r="H816" s="17" t="str">
        <f>IF(COUNTIFS(Phrases!$A:$A,$A816,Phrases!$I:$I,"&lt;&gt;")&gt;0,"ok","à faire")</f>
        <v>à faire</v>
      </c>
      <c r="I816" s="17" t="str">
        <f>IF(COUNTIF(Synonymes!$A:$A,$A816)&gt;0,"ok","")</f>
        <v/>
      </c>
      <c r="J816" s="17">
        <f t="shared" si="12"/>
        <v>1</v>
      </c>
    </row>
    <row r="817" spans="1:10" x14ac:dyDescent="0.3">
      <c r="A817" s="17" t="s">
        <v>4384</v>
      </c>
      <c r="B817" s="17" t="str">
        <f>IFERROR(INDEX(Mots!$B:$B,MATCH($A817,Mots!$A:$A,0)),"introuvable")</f>
        <v>la facture</v>
      </c>
      <c r="C817" s="17" t="str">
        <f>IFERROR(INDEX(Mots!$N:$N,MATCH($A817,Mots!$A:$A,0)),"")</f>
        <v>chose</v>
      </c>
      <c r="D817" s="17">
        <f>IFERROR(COUNTA(INDEX(Mots!$E:$E,MATCH($A817,Mots!$A:$A,0)):INDEX(Mots!$K:$K,MATCH($A817,Mots!$A:$A,0))),0)</f>
        <v>1</v>
      </c>
      <c r="E817" s="17" t="str">
        <f>IF(COUNTIF(Classement!$A:$A,$A817)&gt;0,"ok","à faire")</f>
        <v>ok</v>
      </c>
      <c r="F817" s="17" t="str">
        <f>IF(COUNTIF(Tags!$A:$A,$A817)&gt;0,"ok","à faire")</f>
        <v>ok</v>
      </c>
      <c r="G817" s="17" t="str">
        <f>IF(COUNTIF(Phrases!$A:$A,$A817)&gt;0,"ok","à faire")</f>
        <v>ok</v>
      </c>
      <c r="H817" s="17" t="str">
        <f>IF(COUNTIFS(Phrases!$A:$A,$A817,Phrases!$I:$I,"&lt;&gt;")&gt;0,"ok","à faire")</f>
        <v>ok</v>
      </c>
      <c r="I817" s="17" t="str">
        <f>IF(COUNTIF(Synonymes!$A:$A,$A817)&gt;0,"ok","")</f>
        <v/>
      </c>
      <c r="J817" s="17">
        <f t="shared" si="12"/>
        <v>0</v>
      </c>
    </row>
    <row r="818" spans="1:10" x14ac:dyDescent="0.3">
      <c r="A818" s="17" t="s">
        <v>4388</v>
      </c>
      <c r="B818" s="17" t="str">
        <f>IFERROR(INDEX(Mots!$B:$B,MATCH($A818,Mots!$A:$A,0)),"introuvable")</f>
        <v>la falaise</v>
      </c>
      <c r="C818" s="17" t="str">
        <f>IFERROR(INDEX(Mots!$N:$N,MATCH($A818,Mots!$A:$A,0)),"")</f>
        <v>chose</v>
      </c>
      <c r="D818" s="17">
        <f>IFERROR(COUNTA(INDEX(Mots!$E:$E,MATCH($A818,Mots!$A:$A,0)):INDEX(Mots!$K:$K,MATCH($A818,Mots!$A:$A,0))),0)</f>
        <v>1</v>
      </c>
      <c r="E818" s="17" t="str">
        <f>IF(COUNTIF(Classement!$A:$A,$A818)&gt;0,"ok","à faire")</f>
        <v>ok</v>
      </c>
      <c r="F818" s="17" t="str">
        <f>IF(COUNTIF(Tags!$A:$A,$A818)&gt;0,"ok","à faire")</f>
        <v>ok</v>
      </c>
      <c r="G818" s="17" t="str">
        <f>IF(COUNTIF(Phrases!$A:$A,$A818)&gt;0,"ok","à faire")</f>
        <v>ok</v>
      </c>
      <c r="H818" s="17" t="str">
        <f>IF(COUNTIFS(Phrases!$A:$A,$A818,Phrases!$I:$I,"&lt;&gt;")&gt;0,"ok","à faire")</f>
        <v>à faire</v>
      </c>
      <c r="I818" s="17" t="str">
        <f>IF(COUNTIF(Synonymes!$A:$A,$A818)&gt;0,"ok","")</f>
        <v/>
      </c>
      <c r="J818" s="17">
        <f t="shared" si="12"/>
        <v>1</v>
      </c>
    </row>
    <row r="819" spans="1:10" x14ac:dyDescent="0.3">
      <c r="A819" s="17" t="s">
        <v>4392</v>
      </c>
      <c r="B819" s="17" t="str">
        <f>IFERROR(INDEX(Mots!$B:$B,MATCH($A819,Mots!$A:$A,0)),"introuvable")</f>
        <v>la farine</v>
      </c>
      <c r="C819" s="17" t="str">
        <f>IFERROR(INDEX(Mots!$N:$N,MATCH($A819,Mots!$A:$A,0)),"")</f>
        <v>chose</v>
      </c>
      <c r="D819" s="17">
        <f>IFERROR(COUNTA(INDEX(Mots!$E:$E,MATCH($A819,Mots!$A:$A,0)):INDEX(Mots!$K:$K,MATCH($A819,Mots!$A:$A,0))),0)</f>
        <v>5</v>
      </c>
      <c r="E819" s="17" t="str">
        <f>IF(COUNTIF(Classement!$A:$A,$A819)&gt;0,"ok","à faire")</f>
        <v>ok</v>
      </c>
      <c r="F819" s="17" t="str">
        <f>IF(COUNTIF(Tags!$A:$A,$A819)&gt;0,"ok","à faire")</f>
        <v>ok</v>
      </c>
      <c r="G819" s="17" t="str">
        <f>IF(COUNTIF(Phrases!$A:$A,$A819)&gt;0,"ok","à faire")</f>
        <v>ok</v>
      </c>
      <c r="H819" s="17" t="str">
        <f>IF(COUNTIFS(Phrases!$A:$A,$A819,Phrases!$I:$I,"&lt;&gt;")&gt;0,"ok","à faire")</f>
        <v>à faire</v>
      </c>
      <c r="I819" s="17" t="str">
        <f>IF(COUNTIF(Synonymes!$A:$A,$A819)&gt;0,"ok","")</f>
        <v/>
      </c>
      <c r="J819" s="17">
        <f t="shared" si="12"/>
        <v>1</v>
      </c>
    </row>
    <row r="820" spans="1:10" x14ac:dyDescent="0.3">
      <c r="A820" s="17" t="s">
        <v>4400</v>
      </c>
      <c r="B820" s="17" t="str">
        <f>IFERROR(INDEX(Mots!$B:$B,MATCH($A820,Mots!$A:$A,0)),"introuvable")</f>
        <v>la faute</v>
      </c>
      <c r="C820" s="17" t="str">
        <f>IFERROR(INDEX(Mots!$N:$N,MATCH($A820,Mots!$A:$A,0)),"")</f>
        <v>chose</v>
      </c>
      <c r="D820" s="17">
        <f>IFERROR(COUNTA(INDEX(Mots!$E:$E,MATCH($A820,Mots!$A:$A,0)):INDEX(Mots!$K:$K,MATCH($A820,Mots!$A:$A,0))),0)</f>
        <v>2</v>
      </c>
      <c r="E820" s="17" t="str">
        <f>IF(COUNTIF(Classement!$A:$A,$A820)&gt;0,"ok","à faire")</f>
        <v>ok</v>
      </c>
      <c r="F820" s="17" t="str">
        <f>IF(COUNTIF(Tags!$A:$A,$A820)&gt;0,"ok","à faire")</f>
        <v>à faire</v>
      </c>
      <c r="G820" s="17" t="str">
        <f>IF(COUNTIF(Phrases!$A:$A,$A820)&gt;0,"ok","à faire")</f>
        <v>ok</v>
      </c>
      <c r="H820" s="17" t="str">
        <f>IF(COUNTIFS(Phrases!$A:$A,$A820,Phrases!$I:$I,"&lt;&gt;")&gt;0,"ok","à faire")</f>
        <v>ok</v>
      </c>
      <c r="I820" s="17" t="str">
        <f>IF(COUNTIF(Synonymes!$A:$A,$A820)&gt;0,"ok","")</f>
        <v/>
      </c>
      <c r="J820" s="17">
        <f t="shared" si="12"/>
        <v>1</v>
      </c>
    </row>
    <row r="821" spans="1:10" x14ac:dyDescent="0.3">
      <c r="A821" s="17" t="s">
        <v>278</v>
      </c>
      <c r="B821" s="17" t="str">
        <f>IFERROR(INDEX(Mots!$B:$B,MATCH($A821,Mots!$A:$A,0)),"introuvable")</f>
        <v>la ferme</v>
      </c>
      <c r="C821" s="17" t="str">
        <f>IFERROR(INDEX(Mots!$N:$N,MATCH($A821,Mots!$A:$A,0)),"")</f>
        <v>lieu</v>
      </c>
      <c r="D821" s="17">
        <f>IFERROR(COUNTA(INDEX(Mots!$E:$E,MATCH($A821,Mots!$A:$A,0)):INDEX(Mots!$K:$K,MATCH($A821,Mots!$A:$A,0))),0)</f>
        <v>5</v>
      </c>
      <c r="E821" s="17" t="str">
        <f>IF(COUNTIF(Classement!$A:$A,$A821)&gt;0,"ok","à faire")</f>
        <v>ok</v>
      </c>
      <c r="F821" s="17" t="str">
        <f>IF(COUNTIF(Tags!$A:$A,$A821)&gt;0,"ok","à faire")</f>
        <v>ok</v>
      </c>
      <c r="G821" s="17" t="str">
        <f>IF(COUNTIF(Phrases!$A:$A,$A821)&gt;0,"ok","à faire")</f>
        <v>à faire</v>
      </c>
      <c r="H821" s="17" t="str">
        <f>IF(COUNTIFS(Phrases!$A:$A,$A821,Phrases!$I:$I,"&lt;&gt;")&gt;0,"ok","à faire")</f>
        <v>à faire</v>
      </c>
      <c r="I821" s="17" t="str">
        <f>IF(COUNTIF(Synonymes!$A:$A,$A821)&gt;0,"ok","")</f>
        <v/>
      </c>
      <c r="J821" s="17">
        <f t="shared" si="12"/>
        <v>2</v>
      </c>
    </row>
    <row r="822" spans="1:10" x14ac:dyDescent="0.3">
      <c r="A822" s="17" t="s">
        <v>4412</v>
      </c>
      <c r="B822" s="17" t="str">
        <f>IFERROR(INDEX(Mots!$B:$B,MATCH($A822,Mots!$A:$A,0)),"introuvable")</f>
        <v>la fête</v>
      </c>
      <c r="C822" s="17" t="str">
        <f>IFERROR(INDEX(Mots!$N:$N,MATCH($A822,Mots!$A:$A,0)),"")</f>
        <v>mot utile</v>
      </c>
      <c r="D822" s="17">
        <f>IFERROR(COUNTA(INDEX(Mots!$E:$E,MATCH($A822,Mots!$A:$A,0)):INDEX(Mots!$K:$K,MATCH($A822,Mots!$A:$A,0))),0)</f>
        <v>5</v>
      </c>
      <c r="E822" s="17" t="str">
        <f>IF(COUNTIF(Classement!$A:$A,$A822)&gt;0,"ok","à faire")</f>
        <v>ok</v>
      </c>
      <c r="F822" s="17" t="str">
        <f>IF(COUNTIF(Tags!$A:$A,$A822)&gt;0,"ok","à faire")</f>
        <v>ok</v>
      </c>
      <c r="G822" s="17" t="str">
        <f>IF(COUNTIF(Phrases!$A:$A,$A822)&gt;0,"ok","à faire")</f>
        <v>à faire</v>
      </c>
      <c r="H822" s="17" t="str">
        <f>IF(COUNTIFS(Phrases!$A:$A,$A822,Phrases!$I:$I,"&lt;&gt;")&gt;0,"ok","à faire")</f>
        <v>à faire</v>
      </c>
      <c r="I822" s="17" t="str">
        <f>IF(COUNTIF(Synonymes!$A:$A,$A822)&gt;0,"ok","")</f>
        <v/>
      </c>
      <c r="J822" s="17">
        <f t="shared" si="12"/>
        <v>2</v>
      </c>
    </row>
    <row r="823" spans="1:10" x14ac:dyDescent="0.3">
      <c r="A823" s="17" t="s">
        <v>9411</v>
      </c>
      <c r="B823" s="17" t="str">
        <f>IFERROR(INDEX(Mots!$B:$B,MATCH($A823,Mots!$A:$A,0)),"introuvable")</f>
        <v>la feuille d'une plante</v>
      </c>
      <c r="C823" s="17" t="str">
        <f>IFERROR(INDEX(Mots!$N:$N,MATCH($A823,Mots!$A:$A,0)),"")</f>
        <v>chose</v>
      </c>
      <c r="D823" s="17">
        <f>IFERROR(COUNTA(INDEX(Mots!$E:$E,MATCH($A823,Mots!$A:$A,0)):INDEX(Mots!$K:$K,MATCH($A823,Mots!$A:$A,0))),0)</f>
        <v>5</v>
      </c>
      <c r="E823" s="17" t="str">
        <f>IF(COUNTIF(Classement!$A:$A,$A823)&gt;0,"ok","à faire")</f>
        <v>ok</v>
      </c>
      <c r="F823" s="17" t="str">
        <f>IF(COUNTIF(Tags!$A:$A,$A823)&gt;0,"ok","à faire")</f>
        <v>ok</v>
      </c>
      <c r="G823" s="17" t="str">
        <f>IF(COUNTIF(Phrases!$A:$A,$A823)&gt;0,"ok","à faire")</f>
        <v>ok</v>
      </c>
      <c r="H823" s="17" t="str">
        <f>IF(COUNTIFS(Phrases!$A:$A,$A823,Phrases!$I:$I,"&lt;&gt;")&gt;0,"ok","à faire")</f>
        <v>à faire</v>
      </c>
      <c r="I823" s="17" t="str">
        <f>IF(COUNTIF(Synonymes!$A:$A,$A823)&gt;0,"ok","")</f>
        <v/>
      </c>
      <c r="J823" s="17">
        <f t="shared" si="12"/>
        <v>1</v>
      </c>
    </row>
    <row r="824" spans="1:10" x14ac:dyDescent="0.3">
      <c r="A824" s="17" t="s">
        <v>4421</v>
      </c>
      <c r="B824" s="17" t="str">
        <f>IFERROR(INDEX(Mots!$B:$B,MATCH($A824,Mots!$A:$A,0)),"introuvable")</f>
        <v>la fièvre</v>
      </c>
      <c r="C824" s="17" t="str">
        <f>IFERROR(INDEX(Mots!$N:$N,MATCH($A824,Mots!$A:$A,0)),"")</f>
        <v>chose</v>
      </c>
      <c r="D824" s="17">
        <f>IFERROR(COUNTA(INDEX(Mots!$E:$E,MATCH($A824,Mots!$A:$A,0)):INDEX(Mots!$K:$K,MATCH($A824,Mots!$A:$A,0))),0)</f>
        <v>1</v>
      </c>
      <c r="E824" s="17" t="str">
        <f>IF(COUNTIF(Classement!$A:$A,$A824)&gt;0,"ok","à faire")</f>
        <v>ok</v>
      </c>
      <c r="F824" s="17" t="str">
        <f>IF(COUNTIF(Tags!$A:$A,$A824)&gt;0,"ok","à faire")</f>
        <v>ok</v>
      </c>
      <c r="G824" s="17" t="str">
        <f>IF(COUNTIF(Phrases!$A:$A,$A824)&gt;0,"ok","à faire")</f>
        <v>ok</v>
      </c>
      <c r="H824" s="17" t="str">
        <f>IF(COUNTIFS(Phrases!$A:$A,$A824,Phrases!$I:$I,"&lt;&gt;")&gt;0,"ok","à faire")</f>
        <v>ok</v>
      </c>
      <c r="I824" s="17" t="str">
        <f>IF(COUNTIF(Synonymes!$A:$A,$A824)&gt;0,"ok","")</f>
        <v/>
      </c>
      <c r="J824" s="17">
        <f t="shared" si="12"/>
        <v>0</v>
      </c>
    </row>
    <row r="825" spans="1:10" x14ac:dyDescent="0.3">
      <c r="A825" s="17" t="s">
        <v>4425</v>
      </c>
      <c r="B825" s="17" t="str">
        <f>IFERROR(INDEX(Mots!$B:$B,MATCH($A825,Mots!$A:$A,0)),"introuvable")</f>
        <v>la fin</v>
      </c>
      <c r="C825" s="17" t="str">
        <f>IFERROR(INDEX(Mots!$N:$N,MATCH($A825,Mots!$A:$A,0)),"")</f>
        <v>lieu</v>
      </c>
      <c r="D825" s="17">
        <f>IFERROR(COUNTA(INDEX(Mots!$E:$E,MATCH($A825,Mots!$A:$A,0)):INDEX(Mots!$K:$K,MATCH($A825,Mots!$A:$A,0))),0)</f>
        <v>1</v>
      </c>
      <c r="E825" s="17" t="str">
        <f>IF(COUNTIF(Classement!$A:$A,$A825)&gt;0,"ok","à faire")</f>
        <v>ok</v>
      </c>
      <c r="F825" s="17" t="str">
        <f>IF(COUNTIF(Tags!$A:$A,$A825)&gt;0,"ok","à faire")</f>
        <v>à faire</v>
      </c>
      <c r="G825" s="17" t="str">
        <f>IF(COUNTIF(Phrases!$A:$A,$A825)&gt;0,"ok","à faire")</f>
        <v>ok</v>
      </c>
      <c r="H825" s="17" t="str">
        <f>IF(COUNTIFS(Phrases!$A:$A,$A825,Phrases!$I:$I,"&lt;&gt;")&gt;0,"ok","à faire")</f>
        <v>à faire</v>
      </c>
      <c r="I825" s="17" t="str">
        <f>IF(COUNTIF(Synonymes!$A:$A,$A825)&gt;0,"ok","")</f>
        <v/>
      </c>
      <c r="J825" s="17">
        <f t="shared" si="12"/>
        <v>2</v>
      </c>
    </row>
    <row r="826" spans="1:10" x14ac:dyDescent="0.3">
      <c r="A826" s="17" t="s">
        <v>4429</v>
      </c>
      <c r="B826" s="17" t="str">
        <f>IFERROR(INDEX(Mots!$B:$B,MATCH($A826,Mots!$A:$A,0)),"introuvable")</f>
        <v>la flamme</v>
      </c>
      <c r="C826" s="17" t="str">
        <f>IFERROR(INDEX(Mots!$N:$N,MATCH($A826,Mots!$A:$A,0)),"")</f>
        <v>chose</v>
      </c>
      <c r="D826" s="17">
        <f>IFERROR(COUNTA(INDEX(Mots!$E:$E,MATCH($A826,Mots!$A:$A,0)):INDEX(Mots!$K:$K,MATCH($A826,Mots!$A:$A,0))),0)</f>
        <v>1</v>
      </c>
      <c r="E826" s="17" t="str">
        <f>IF(COUNTIF(Classement!$A:$A,$A826)&gt;0,"ok","à faire")</f>
        <v>ok</v>
      </c>
      <c r="F826" s="17" t="str">
        <f>IF(COUNTIF(Tags!$A:$A,$A826)&gt;0,"ok","à faire")</f>
        <v>à faire</v>
      </c>
      <c r="G826" s="17" t="str">
        <f>IF(COUNTIF(Phrases!$A:$A,$A826)&gt;0,"ok","à faire")</f>
        <v>ok</v>
      </c>
      <c r="H826" s="17" t="str">
        <f>IF(COUNTIFS(Phrases!$A:$A,$A826,Phrases!$I:$I,"&lt;&gt;")&gt;0,"ok","à faire")</f>
        <v>à faire</v>
      </c>
      <c r="I826" s="17" t="str">
        <f>IF(COUNTIF(Synonymes!$A:$A,$A826)&gt;0,"ok","")</f>
        <v/>
      </c>
      <c r="J826" s="17">
        <f t="shared" si="12"/>
        <v>2</v>
      </c>
    </row>
    <row r="827" spans="1:10" x14ac:dyDescent="0.3">
      <c r="A827" s="17" t="s">
        <v>4433</v>
      </c>
      <c r="B827" s="17" t="str">
        <f>IFERROR(INDEX(Mots!$B:$B,MATCH($A827,Mots!$A:$A,0)),"introuvable")</f>
        <v>la fois</v>
      </c>
      <c r="C827" s="17" t="str">
        <f>IFERROR(INDEX(Mots!$N:$N,MATCH($A827,Mots!$A:$A,0)),"")</f>
        <v>chose</v>
      </c>
      <c r="D827" s="17">
        <f>IFERROR(COUNTA(INDEX(Mots!$E:$E,MATCH($A827,Mots!$A:$A,0)):INDEX(Mots!$K:$K,MATCH($A827,Mots!$A:$A,0))),0)</f>
        <v>2</v>
      </c>
      <c r="E827" s="17" t="str">
        <f>IF(COUNTIF(Classement!$A:$A,$A827)&gt;0,"ok","à faire")</f>
        <v>ok</v>
      </c>
      <c r="F827" s="17" t="str">
        <f>IF(COUNTIF(Tags!$A:$A,$A827)&gt;0,"ok","à faire")</f>
        <v>ok</v>
      </c>
      <c r="G827" s="17" t="str">
        <f>IF(COUNTIF(Phrases!$A:$A,$A827)&gt;0,"ok","à faire")</f>
        <v>ok</v>
      </c>
      <c r="H827" s="17" t="str">
        <f>IF(COUNTIFS(Phrases!$A:$A,$A827,Phrases!$I:$I,"&lt;&gt;")&gt;0,"ok","à faire")</f>
        <v>ok</v>
      </c>
      <c r="I827" s="17" t="str">
        <f>IF(COUNTIF(Synonymes!$A:$A,$A827)&gt;0,"ok","")</f>
        <v/>
      </c>
      <c r="J827" s="17">
        <f t="shared" si="12"/>
        <v>0</v>
      </c>
    </row>
    <row r="828" spans="1:10" x14ac:dyDescent="0.3">
      <c r="A828" s="17" t="s">
        <v>4438</v>
      </c>
      <c r="B828" s="17" t="str">
        <f>IFERROR(INDEX(Mots!$B:$B,MATCH($A828,Mots!$A:$A,0)),"introuvable")</f>
        <v>la fontaine</v>
      </c>
      <c r="C828" s="17" t="str">
        <f>IFERROR(INDEX(Mots!$N:$N,MATCH($A828,Mots!$A:$A,0)),"")</f>
        <v>chose</v>
      </c>
      <c r="D828" s="17">
        <f>IFERROR(COUNTA(INDEX(Mots!$E:$E,MATCH($A828,Mots!$A:$A,0)):INDEX(Mots!$K:$K,MATCH($A828,Mots!$A:$A,0))),0)</f>
        <v>5</v>
      </c>
      <c r="E828" s="17" t="str">
        <f>IF(COUNTIF(Classement!$A:$A,$A828)&gt;0,"ok","à faire")</f>
        <v>ok</v>
      </c>
      <c r="F828" s="17" t="str">
        <f>IF(COUNTIF(Tags!$A:$A,$A828)&gt;0,"ok","à faire")</f>
        <v>à faire</v>
      </c>
      <c r="G828" s="17" t="str">
        <f>IF(COUNTIF(Phrases!$A:$A,$A828)&gt;0,"ok","à faire")</f>
        <v>ok</v>
      </c>
      <c r="H828" s="17" t="str">
        <f>IF(COUNTIFS(Phrases!$A:$A,$A828,Phrases!$I:$I,"&lt;&gt;")&gt;0,"ok","à faire")</f>
        <v>à faire</v>
      </c>
      <c r="I828" s="17" t="str">
        <f>IF(COUNTIF(Synonymes!$A:$A,$A828)&gt;0,"ok","")</f>
        <v/>
      </c>
      <c r="J828" s="17">
        <f t="shared" si="12"/>
        <v>2</v>
      </c>
    </row>
    <row r="829" spans="1:10" x14ac:dyDescent="0.3">
      <c r="A829" s="17" t="s">
        <v>4446</v>
      </c>
      <c r="B829" s="17" t="str">
        <f>IFERROR(INDEX(Mots!$B:$B,MATCH($A829,Mots!$A:$A,0)),"introuvable")</f>
        <v>la force</v>
      </c>
      <c r="C829" s="17" t="str">
        <f>IFERROR(INDEX(Mots!$N:$N,MATCH($A829,Mots!$A:$A,0)),"")</f>
        <v>chose</v>
      </c>
      <c r="D829" s="17">
        <f>IFERROR(COUNTA(INDEX(Mots!$E:$E,MATCH($A829,Mots!$A:$A,0)):INDEX(Mots!$K:$K,MATCH($A829,Mots!$A:$A,0))),0)</f>
        <v>1</v>
      </c>
      <c r="E829" s="17" t="str">
        <f>IF(COUNTIF(Classement!$A:$A,$A829)&gt;0,"ok","à faire")</f>
        <v>ok</v>
      </c>
      <c r="F829" s="17" t="str">
        <f>IF(COUNTIF(Tags!$A:$A,$A829)&gt;0,"ok","à faire")</f>
        <v>à faire</v>
      </c>
      <c r="G829" s="17" t="str">
        <f>IF(COUNTIF(Phrases!$A:$A,$A829)&gt;0,"ok","à faire")</f>
        <v>ok</v>
      </c>
      <c r="H829" s="17" t="str">
        <f>IF(COUNTIFS(Phrases!$A:$A,$A829,Phrases!$I:$I,"&lt;&gt;")&gt;0,"ok","à faire")</f>
        <v>ok</v>
      </c>
      <c r="I829" s="17" t="str">
        <f>IF(COUNTIF(Synonymes!$A:$A,$A829)&gt;0,"ok","")</f>
        <v/>
      </c>
      <c r="J829" s="17">
        <f t="shared" si="12"/>
        <v>1</v>
      </c>
    </row>
    <row r="830" spans="1:10" x14ac:dyDescent="0.3">
      <c r="A830" s="17" t="s">
        <v>4450</v>
      </c>
      <c r="B830" s="17" t="str">
        <f>IFERROR(INDEX(Mots!$B:$B,MATCH($A830,Mots!$A:$A,0)),"introuvable")</f>
        <v>la forme</v>
      </c>
      <c r="C830" s="17" t="str">
        <f>IFERROR(INDEX(Mots!$N:$N,MATCH($A830,Mots!$A:$A,0)),"")</f>
        <v>chose</v>
      </c>
      <c r="D830" s="17">
        <f>IFERROR(COUNTA(INDEX(Mots!$E:$E,MATCH($A830,Mots!$A:$A,0)):INDEX(Mots!$K:$K,MATCH($A830,Mots!$A:$A,0))),0)</f>
        <v>5</v>
      </c>
      <c r="E830" s="17" t="str">
        <f>IF(COUNTIF(Classement!$A:$A,$A830)&gt;0,"ok","à faire")</f>
        <v>ok</v>
      </c>
      <c r="F830" s="17" t="str">
        <f>IF(COUNTIF(Tags!$A:$A,$A830)&gt;0,"ok","à faire")</f>
        <v>à faire</v>
      </c>
      <c r="G830" s="17" t="str">
        <f>IF(COUNTIF(Phrases!$A:$A,$A830)&gt;0,"ok","à faire")</f>
        <v>ok</v>
      </c>
      <c r="H830" s="17" t="str">
        <f>IF(COUNTIFS(Phrases!$A:$A,$A830,Phrases!$I:$I,"&lt;&gt;")&gt;0,"ok","à faire")</f>
        <v>ok</v>
      </c>
      <c r="I830" s="17" t="str">
        <f>IF(COUNTIF(Synonymes!$A:$A,$A830)&gt;0,"ok","")</f>
        <v/>
      </c>
      <c r="J830" s="17">
        <f t="shared" si="12"/>
        <v>1</v>
      </c>
    </row>
    <row r="831" spans="1:10" x14ac:dyDescent="0.3">
      <c r="A831" s="17" t="s">
        <v>4455</v>
      </c>
      <c r="B831" s="17" t="str">
        <f>IFERROR(INDEX(Mots!$B:$B,MATCH($A831,Mots!$A:$A,0)),"introuvable")</f>
        <v>la foule</v>
      </c>
      <c r="C831" s="17" t="str">
        <f>IFERROR(INDEX(Mots!$N:$N,MATCH($A831,Mots!$A:$A,0)),"")</f>
        <v>mot utile</v>
      </c>
      <c r="D831" s="17">
        <f>IFERROR(COUNTA(INDEX(Mots!$E:$E,MATCH($A831,Mots!$A:$A,0)):INDEX(Mots!$K:$K,MATCH($A831,Mots!$A:$A,0))),0)</f>
        <v>1</v>
      </c>
      <c r="E831" s="17" t="str">
        <f>IF(COUNTIF(Classement!$A:$A,$A831)&gt;0,"ok","à faire")</f>
        <v>ok</v>
      </c>
      <c r="F831" s="17" t="str">
        <f>IF(COUNTIF(Tags!$A:$A,$A831)&gt;0,"ok","à faire")</f>
        <v>ok</v>
      </c>
      <c r="G831" s="17" t="str">
        <f>IF(COUNTIF(Phrases!$A:$A,$A831)&gt;0,"ok","à faire")</f>
        <v>à faire</v>
      </c>
      <c r="H831" s="17" t="str">
        <f>IF(COUNTIFS(Phrases!$A:$A,$A831,Phrases!$I:$I,"&lt;&gt;")&gt;0,"ok","à faire")</f>
        <v>à faire</v>
      </c>
      <c r="I831" s="17" t="str">
        <f>IF(COUNTIF(Synonymes!$A:$A,$A831)&gt;0,"ok","")</f>
        <v>ok</v>
      </c>
      <c r="J831" s="17">
        <f t="shared" si="12"/>
        <v>2</v>
      </c>
    </row>
    <row r="832" spans="1:10" x14ac:dyDescent="0.3">
      <c r="A832" s="17" t="s">
        <v>4459</v>
      </c>
      <c r="B832" s="17" t="str">
        <f>IFERROR(INDEX(Mots!$B:$B,MATCH($A832,Mots!$A:$A,0)),"introuvable")</f>
        <v>la friandise</v>
      </c>
      <c r="C832" s="17" t="str">
        <f>IFERROR(INDEX(Mots!$N:$N,MATCH($A832,Mots!$A:$A,0)),"")</f>
        <v>chose</v>
      </c>
      <c r="D832" s="17">
        <f>IFERROR(COUNTA(INDEX(Mots!$E:$E,MATCH($A832,Mots!$A:$A,0)):INDEX(Mots!$K:$K,MATCH($A832,Mots!$A:$A,0))),0)</f>
        <v>5</v>
      </c>
      <c r="E832" s="17" t="str">
        <f>IF(COUNTIF(Classement!$A:$A,$A832)&gt;0,"ok","à faire")</f>
        <v>ok</v>
      </c>
      <c r="F832" s="17" t="str">
        <f>IF(COUNTIF(Tags!$A:$A,$A832)&gt;0,"ok","à faire")</f>
        <v>ok</v>
      </c>
      <c r="G832" s="17" t="str">
        <f>IF(COUNTIF(Phrases!$A:$A,$A832)&gt;0,"ok","à faire")</f>
        <v>ok</v>
      </c>
      <c r="H832" s="17" t="str">
        <f>IF(COUNTIFS(Phrases!$A:$A,$A832,Phrases!$I:$I,"&lt;&gt;")&gt;0,"ok","à faire")</f>
        <v>à faire</v>
      </c>
      <c r="I832" s="17" t="str">
        <f>IF(COUNTIF(Synonymes!$A:$A,$A832)&gt;0,"ok","")</f>
        <v>ok</v>
      </c>
      <c r="J832" s="17">
        <f t="shared" si="12"/>
        <v>1</v>
      </c>
    </row>
    <row r="833" spans="1:10" x14ac:dyDescent="0.3">
      <c r="A833" s="17" t="s">
        <v>4467</v>
      </c>
      <c r="B833" s="17" t="str">
        <f>IFERROR(INDEX(Mots!$B:$B,MATCH($A833,Mots!$A:$A,0)),"introuvable")</f>
        <v>la gaieté</v>
      </c>
      <c r="C833" s="17" t="str">
        <f>IFERROR(INDEX(Mots!$N:$N,MATCH($A833,Mots!$A:$A,0)),"")</f>
        <v>chose</v>
      </c>
      <c r="D833" s="17">
        <f>IFERROR(COUNTA(INDEX(Mots!$E:$E,MATCH($A833,Mots!$A:$A,0)):INDEX(Mots!$K:$K,MATCH($A833,Mots!$A:$A,0))),0)</f>
        <v>4</v>
      </c>
      <c r="E833" s="17" t="str">
        <f>IF(COUNTIF(Classement!$A:$A,$A833)&gt;0,"ok","à faire")</f>
        <v>ok</v>
      </c>
      <c r="F833" s="17" t="str">
        <f>IF(COUNTIF(Tags!$A:$A,$A833)&gt;0,"ok","à faire")</f>
        <v>à faire</v>
      </c>
      <c r="G833" s="17" t="str">
        <f>IF(COUNTIF(Phrases!$A:$A,$A833)&gt;0,"ok","à faire")</f>
        <v>ok</v>
      </c>
      <c r="H833" s="17" t="str">
        <f>IF(COUNTIFS(Phrases!$A:$A,$A833,Phrases!$I:$I,"&lt;&gt;")&gt;0,"ok","à faire")</f>
        <v>à faire</v>
      </c>
      <c r="I833" s="17" t="str">
        <f>IF(COUNTIF(Synonymes!$A:$A,$A833)&gt;0,"ok","")</f>
        <v>ok</v>
      </c>
      <c r="J833" s="17">
        <f t="shared" ref="J833:J896" si="13">COUNTIF(E833:H833,"à faire")</f>
        <v>2</v>
      </c>
    </row>
    <row r="834" spans="1:10" x14ac:dyDescent="0.3">
      <c r="A834" s="17" t="s">
        <v>4470</v>
      </c>
      <c r="B834" s="17" t="str">
        <f>IFERROR(INDEX(Mots!$B:$B,MATCH($A834,Mots!$A:$A,0)),"introuvable")</f>
        <v>la garantie</v>
      </c>
      <c r="C834" s="17" t="str">
        <f>IFERROR(INDEX(Mots!$N:$N,MATCH($A834,Mots!$A:$A,0)),"")</f>
        <v>chose</v>
      </c>
      <c r="D834" s="17">
        <f>IFERROR(COUNTA(INDEX(Mots!$E:$E,MATCH($A834,Mots!$A:$A,0)):INDEX(Mots!$K:$K,MATCH($A834,Mots!$A:$A,0))),0)</f>
        <v>4</v>
      </c>
      <c r="E834" s="17" t="str">
        <f>IF(COUNTIF(Classement!$A:$A,$A834)&gt;0,"ok","à faire")</f>
        <v>ok</v>
      </c>
      <c r="F834" s="17" t="str">
        <f>IF(COUNTIF(Tags!$A:$A,$A834)&gt;0,"ok","à faire")</f>
        <v>ok</v>
      </c>
      <c r="G834" s="17" t="str">
        <f>IF(COUNTIF(Phrases!$A:$A,$A834)&gt;0,"ok","à faire")</f>
        <v>ok</v>
      </c>
      <c r="H834" s="17" t="str">
        <f>IF(COUNTIFS(Phrases!$A:$A,$A834,Phrases!$I:$I,"&lt;&gt;")&gt;0,"ok","à faire")</f>
        <v>ok</v>
      </c>
      <c r="I834" s="17" t="str">
        <f>IF(COUNTIF(Synonymes!$A:$A,$A834)&gt;0,"ok","")</f>
        <v/>
      </c>
      <c r="J834" s="17">
        <f t="shared" si="13"/>
        <v>0</v>
      </c>
    </row>
    <row r="835" spans="1:10" x14ac:dyDescent="0.3">
      <c r="A835" s="17" t="s">
        <v>4477</v>
      </c>
      <c r="B835" s="17" t="str">
        <f>IFERROR(INDEX(Mots!$B:$B,MATCH($A835,Mots!$A:$A,0)),"introuvable")</f>
        <v>la gentillesse</v>
      </c>
      <c r="C835" s="17" t="str">
        <f>IFERROR(INDEX(Mots!$N:$N,MATCH($A835,Mots!$A:$A,0)),"")</f>
        <v>chose</v>
      </c>
      <c r="D835" s="17">
        <f>IFERROR(COUNTA(INDEX(Mots!$E:$E,MATCH($A835,Mots!$A:$A,0)):INDEX(Mots!$K:$K,MATCH($A835,Mots!$A:$A,0))),0)</f>
        <v>1</v>
      </c>
      <c r="E835" s="17" t="str">
        <f>IF(COUNTIF(Classement!$A:$A,$A835)&gt;0,"ok","à faire")</f>
        <v>ok</v>
      </c>
      <c r="F835" s="17" t="str">
        <f>IF(COUNTIF(Tags!$A:$A,$A835)&gt;0,"ok","à faire")</f>
        <v>à faire</v>
      </c>
      <c r="G835" s="17" t="str">
        <f>IF(COUNTIF(Phrases!$A:$A,$A835)&gt;0,"ok","à faire")</f>
        <v>ok</v>
      </c>
      <c r="H835" s="17" t="str">
        <f>IF(COUNTIFS(Phrases!$A:$A,$A835,Phrases!$I:$I,"&lt;&gt;")&gt;0,"ok","à faire")</f>
        <v>à faire</v>
      </c>
      <c r="I835" s="17" t="str">
        <f>IF(COUNTIF(Synonymes!$A:$A,$A835)&gt;0,"ok","")</f>
        <v/>
      </c>
      <c r="J835" s="17">
        <f t="shared" si="13"/>
        <v>2</v>
      </c>
    </row>
    <row r="836" spans="1:10" x14ac:dyDescent="0.3">
      <c r="A836" s="17" t="s">
        <v>4481</v>
      </c>
      <c r="B836" s="17" t="str">
        <f>IFERROR(INDEX(Mots!$B:$B,MATCH($A836,Mots!$A:$A,0)),"introuvable")</f>
        <v>la glace</v>
      </c>
      <c r="C836" s="17" t="str">
        <f>IFERROR(INDEX(Mots!$N:$N,MATCH($A836,Mots!$A:$A,0)),"")</f>
        <v>chose</v>
      </c>
      <c r="D836" s="17">
        <f>IFERROR(COUNTA(INDEX(Mots!$E:$E,MATCH($A836,Mots!$A:$A,0)):INDEX(Mots!$K:$K,MATCH($A836,Mots!$A:$A,0))),0)</f>
        <v>5</v>
      </c>
      <c r="E836" s="17" t="str">
        <f>IF(COUNTIF(Classement!$A:$A,$A836)&gt;0,"ok","à faire")</f>
        <v>ok</v>
      </c>
      <c r="F836" s="17" t="str">
        <f>IF(COUNTIF(Tags!$A:$A,$A836)&gt;0,"ok","à faire")</f>
        <v>ok</v>
      </c>
      <c r="G836" s="17" t="str">
        <f>IF(COUNTIF(Phrases!$A:$A,$A836)&gt;0,"ok","à faire")</f>
        <v>ok</v>
      </c>
      <c r="H836" s="17" t="str">
        <f>IF(COUNTIFS(Phrases!$A:$A,$A836,Phrases!$I:$I,"&lt;&gt;")&gt;0,"ok","à faire")</f>
        <v>à faire</v>
      </c>
      <c r="I836" s="17" t="str">
        <f>IF(COUNTIF(Synonymes!$A:$A,$A836)&gt;0,"ok","")</f>
        <v/>
      </c>
      <c r="J836" s="17">
        <f t="shared" si="13"/>
        <v>1</v>
      </c>
    </row>
    <row r="837" spans="1:10" x14ac:dyDescent="0.3">
      <c r="A837" s="17" t="s">
        <v>4489</v>
      </c>
      <c r="B837" s="17" t="str">
        <f>IFERROR(INDEX(Mots!$B:$B,MATCH($A837,Mots!$A:$A,0)),"introuvable")</f>
        <v>la gorge</v>
      </c>
      <c r="C837" s="17" t="str">
        <f>IFERROR(INDEX(Mots!$N:$N,MATCH($A837,Mots!$A:$A,0)),"")</f>
        <v>chose</v>
      </c>
      <c r="D837" s="17">
        <f>IFERROR(COUNTA(INDEX(Mots!$E:$E,MATCH($A837,Mots!$A:$A,0)):INDEX(Mots!$K:$K,MATCH($A837,Mots!$A:$A,0))),0)</f>
        <v>6</v>
      </c>
      <c r="E837" s="17" t="str">
        <f>IF(COUNTIF(Classement!$A:$A,$A837)&gt;0,"ok","à faire")</f>
        <v>ok</v>
      </c>
      <c r="F837" s="17" t="str">
        <f>IF(COUNTIF(Tags!$A:$A,$A837)&gt;0,"ok","à faire")</f>
        <v>ok</v>
      </c>
      <c r="G837" s="17" t="str">
        <f>IF(COUNTIF(Phrases!$A:$A,$A837)&gt;0,"ok","à faire")</f>
        <v>ok</v>
      </c>
      <c r="H837" s="17" t="str">
        <f>IF(COUNTIFS(Phrases!$A:$A,$A837,Phrases!$I:$I,"&lt;&gt;")&gt;0,"ok","à faire")</f>
        <v>ok</v>
      </c>
      <c r="I837" s="17" t="str">
        <f>IF(COUNTIF(Synonymes!$A:$A,$A837)&gt;0,"ok","")</f>
        <v/>
      </c>
      <c r="J837" s="17">
        <f t="shared" si="13"/>
        <v>0</v>
      </c>
    </row>
    <row r="838" spans="1:10" x14ac:dyDescent="0.3">
      <c r="A838" s="17" t="s">
        <v>4498</v>
      </c>
      <c r="B838" s="17" t="str">
        <f>IFERROR(INDEX(Mots!$B:$B,MATCH($A838,Mots!$A:$A,0)),"introuvable")</f>
        <v>la goutte</v>
      </c>
      <c r="C838" s="17" t="str">
        <f>IFERROR(INDEX(Mots!$N:$N,MATCH($A838,Mots!$A:$A,0)),"")</f>
        <v>chose</v>
      </c>
      <c r="D838" s="17">
        <f>IFERROR(COUNTA(INDEX(Mots!$E:$E,MATCH($A838,Mots!$A:$A,0)):INDEX(Mots!$K:$K,MATCH($A838,Mots!$A:$A,0))),0)</f>
        <v>1</v>
      </c>
      <c r="E838" s="17" t="str">
        <f>IF(COUNTIF(Classement!$A:$A,$A838)&gt;0,"ok","à faire")</f>
        <v>ok</v>
      </c>
      <c r="F838" s="17" t="str">
        <f>IF(COUNTIF(Tags!$A:$A,$A838)&gt;0,"ok","à faire")</f>
        <v>ok</v>
      </c>
      <c r="G838" s="17" t="str">
        <f>IF(COUNTIF(Phrases!$A:$A,$A838)&gt;0,"ok","à faire")</f>
        <v>ok</v>
      </c>
      <c r="H838" s="17" t="str">
        <f>IF(COUNTIFS(Phrases!$A:$A,$A838,Phrases!$I:$I,"&lt;&gt;")&gt;0,"ok","à faire")</f>
        <v>ok</v>
      </c>
      <c r="I838" s="17" t="str">
        <f>IF(COUNTIF(Synonymes!$A:$A,$A838)&gt;0,"ok","")</f>
        <v/>
      </c>
      <c r="J838" s="17">
        <f t="shared" si="13"/>
        <v>0</v>
      </c>
    </row>
    <row r="839" spans="1:10" x14ac:dyDescent="0.3">
      <c r="A839" s="17" t="s">
        <v>4502</v>
      </c>
      <c r="B839" s="17" t="str">
        <f>IFERROR(INDEX(Mots!$B:$B,MATCH($A839,Mots!$A:$A,0)),"introuvable")</f>
        <v>la graine</v>
      </c>
      <c r="C839" s="17" t="str">
        <f>IFERROR(INDEX(Mots!$N:$N,MATCH($A839,Mots!$A:$A,0)),"")</f>
        <v>chose</v>
      </c>
      <c r="D839" s="17">
        <f>IFERROR(COUNTA(INDEX(Mots!$E:$E,MATCH($A839,Mots!$A:$A,0)):INDEX(Mots!$K:$K,MATCH($A839,Mots!$A:$A,0))),0)</f>
        <v>5</v>
      </c>
      <c r="E839" s="17" t="str">
        <f>IF(COUNTIF(Classement!$A:$A,$A839)&gt;0,"ok","à faire")</f>
        <v>ok</v>
      </c>
      <c r="F839" s="17" t="str">
        <f>IF(COUNTIF(Tags!$A:$A,$A839)&gt;0,"ok","à faire")</f>
        <v>ok</v>
      </c>
      <c r="G839" s="17" t="str">
        <f>IF(COUNTIF(Phrases!$A:$A,$A839)&gt;0,"ok","à faire")</f>
        <v>ok</v>
      </c>
      <c r="H839" s="17" t="str">
        <f>IF(COUNTIFS(Phrases!$A:$A,$A839,Phrases!$I:$I,"&lt;&gt;")&gt;0,"ok","à faire")</f>
        <v>ok</v>
      </c>
      <c r="I839" s="17" t="str">
        <f>IF(COUNTIF(Synonymes!$A:$A,$A839)&gt;0,"ok","")</f>
        <v/>
      </c>
      <c r="J839" s="17">
        <f t="shared" si="13"/>
        <v>0</v>
      </c>
    </row>
    <row r="840" spans="1:10" x14ac:dyDescent="0.3">
      <c r="A840" s="17" t="s">
        <v>4510</v>
      </c>
      <c r="B840" s="17" t="str">
        <f>IFERROR(INDEX(Mots!$B:$B,MATCH($A840,Mots!$A:$A,0)),"introuvable")</f>
        <v>la graisse</v>
      </c>
      <c r="C840" s="17" t="str">
        <f>IFERROR(INDEX(Mots!$N:$N,MATCH($A840,Mots!$A:$A,0)),"")</f>
        <v>chose</v>
      </c>
      <c r="D840" s="17">
        <f>IFERROR(COUNTA(INDEX(Mots!$E:$E,MATCH($A840,Mots!$A:$A,0)):INDEX(Mots!$K:$K,MATCH($A840,Mots!$A:$A,0))),0)</f>
        <v>2</v>
      </c>
      <c r="E840" s="17" t="str">
        <f>IF(COUNTIF(Classement!$A:$A,$A840)&gt;0,"ok","à faire")</f>
        <v>ok</v>
      </c>
      <c r="F840" s="17" t="str">
        <f>IF(COUNTIF(Tags!$A:$A,$A840)&gt;0,"ok","à faire")</f>
        <v>ok</v>
      </c>
      <c r="G840" s="17" t="str">
        <f>IF(COUNTIF(Phrases!$A:$A,$A840)&gt;0,"ok","à faire")</f>
        <v>ok</v>
      </c>
      <c r="H840" s="17" t="str">
        <f>IF(COUNTIFS(Phrases!$A:$A,$A840,Phrases!$I:$I,"&lt;&gt;")&gt;0,"ok","à faire")</f>
        <v>à faire</v>
      </c>
      <c r="I840" s="17" t="str">
        <f>IF(COUNTIF(Synonymes!$A:$A,$A840)&gt;0,"ok","")</f>
        <v/>
      </c>
      <c r="J840" s="17">
        <f t="shared" si="13"/>
        <v>1</v>
      </c>
    </row>
    <row r="841" spans="1:10" x14ac:dyDescent="0.3">
      <c r="A841" s="17" t="s">
        <v>4512</v>
      </c>
      <c r="B841" s="17" t="str">
        <f>IFERROR(INDEX(Mots!$B:$B,MATCH($A841,Mots!$A:$A,0)),"introuvable")</f>
        <v>la grille</v>
      </c>
      <c r="C841" s="17" t="str">
        <f>IFERROR(INDEX(Mots!$N:$N,MATCH($A841,Mots!$A:$A,0)),"")</f>
        <v>chose</v>
      </c>
      <c r="D841" s="17">
        <f>IFERROR(COUNTA(INDEX(Mots!$E:$E,MATCH($A841,Mots!$A:$A,0)):INDEX(Mots!$K:$K,MATCH($A841,Mots!$A:$A,0))),0)</f>
        <v>5</v>
      </c>
      <c r="E841" s="17" t="str">
        <f>IF(COUNTIF(Classement!$A:$A,$A841)&gt;0,"ok","à faire")</f>
        <v>ok</v>
      </c>
      <c r="F841" s="17" t="str">
        <f>IF(COUNTIF(Tags!$A:$A,$A841)&gt;0,"ok","à faire")</f>
        <v>ok</v>
      </c>
      <c r="G841" s="17" t="str">
        <f>IF(COUNTIF(Phrases!$A:$A,$A841)&gt;0,"ok","à faire")</f>
        <v>ok</v>
      </c>
      <c r="H841" s="17" t="str">
        <f>IF(COUNTIFS(Phrases!$A:$A,$A841,Phrases!$I:$I,"&lt;&gt;")&gt;0,"ok","à faire")</f>
        <v>à faire</v>
      </c>
      <c r="I841" s="17" t="str">
        <f>IF(COUNTIF(Synonymes!$A:$A,$A841)&gt;0,"ok","")</f>
        <v/>
      </c>
      <c r="J841" s="17">
        <f t="shared" si="13"/>
        <v>1</v>
      </c>
    </row>
    <row r="842" spans="1:10" x14ac:dyDescent="0.3">
      <c r="A842" s="17" t="s">
        <v>4520</v>
      </c>
      <c r="B842" s="17" t="str">
        <f>IFERROR(INDEX(Mots!$B:$B,MATCH($A842,Mots!$A:$A,0)),"introuvable")</f>
        <v>la grotte</v>
      </c>
      <c r="C842" s="17" t="str">
        <f>IFERROR(INDEX(Mots!$N:$N,MATCH($A842,Mots!$A:$A,0)),"")</f>
        <v>chose</v>
      </c>
      <c r="D842" s="17">
        <f>IFERROR(COUNTA(INDEX(Mots!$E:$E,MATCH($A842,Mots!$A:$A,0)):INDEX(Mots!$K:$K,MATCH($A842,Mots!$A:$A,0))),0)</f>
        <v>5</v>
      </c>
      <c r="E842" s="17" t="str">
        <f>IF(COUNTIF(Classement!$A:$A,$A842)&gt;0,"ok","à faire")</f>
        <v>ok</v>
      </c>
      <c r="F842" s="17" t="str">
        <f>IF(COUNTIF(Tags!$A:$A,$A842)&gt;0,"ok","à faire")</f>
        <v>à faire</v>
      </c>
      <c r="G842" s="17" t="str">
        <f>IF(COUNTIF(Phrases!$A:$A,$A842)&gt;0,"ok","à faire")</f>
        <v>ok</v>
      </c>
      <c r="H842" s="17" t="str">
        <f>IF(COUNTIFS(Phrases!$A:$A,$A842,Phrases!$I:$I,"&lt;&gt;")&gt;0,"ok","à faire")</f>
        <v>à faire</v>
      </c>
      <c r="I842" s="17" t="str">
        <f>IF(COUNTIF(Synonymes!$A:$A,$A842)&gt;0,"ok","")</f>
        <v/>
      </c>
      <c r="J842" s="17">
        <f t="shared" si="13"/>
        <v>2</v>
      </c>
    </row>
    <row r="843" spans="1:10" x14ac:dyDescent="0.3">
      <c r="A843" s="17" t="s">
        <v>4528</v>
      </c>
      <c r="B843" s="17" t="str">
        <f>IFERROR(INDEX(Mots!$B:$B,MATCH($A843,Mots!$A:$A,0)),"introuvable")</f>
        <v>la guèpe</v>
      </c>
      <c r="C843" s="17" t="str">
        <f>IFERROR(INDEX(Mots!$N:$N,MATCH($A843,Mots!$A:$A,0)),"")</f>
        <v>animal</v>
      </c>
      <c r="D843" s="17">
        <f>IFERROR(COUNTA(INDEX(Mots!$E:$E,MATCH($A843,Mots!$A:$A,0)):INDEX(Mots!$K:$K,MATCH($A843,Mots!$A:$A,0))),0)</f>
        <v>1</v>
      </c>
      <c r="E843" s="17" t="str">
        <f>IF(COUNTIF(Classement!$A:$A,$A843)&gt;0,"ok","à faire")</f>
        <v>ok</v>
      </c>
      <c r="F843" s="17" t="str">
        <f>IF(COUNTIF(Tags!$A:$A,$A843)&gt;0,"ok","à faire")</f>
        <v>ok</v>
      </c>
      <c r="G843" s="17" t="str">
        <f>IF(COUNTIF(Phrases!$A:$A,$A843)&gt;0,"ok","à faire")</f>
        <v>à faire</v>
      </c>
      <c r="H843" s="17" t="str">
        <f>IF(COUNTIFS(Phrases!$A:$A,$A843,Phrases!$I:$I,"&lt;&gt;")&gt;0,"ok","à faire")</f>
        <v>à faire</v>
      </c>
      <c r="I843" s="17" t="str">
        <f>IF(COUNTIF(Synonymes!$A:$A,$A843)&gt;0,"ok","")</f>
        <v/>
      </c>
      <c r="J843" s="17">
        <f t="shared" si="13"/>
        <v>2</v>
      </c>
    </row>
    <row r="844" spans="1:10" x14ac:dyDescent="0.3">
      <c r="A844" s="17" t="s">
        <v>4532</v>
      </c>
      <c r="B844" s="17" t="str">
        <f>IFERROR(INDEX(Mots!$B:$B,MATCH($A844,Mots!$A:$A,0)),"introuvable")</f>
        <v>la guérison</v>
      </c>
      <c r="C844" s="17" t="str">
        <f>IFERROR(INDEX(Mots!$N:$N,MATCH($A844,Mots!$A:$A,0)),"")</f>
        <v>mot utile</v>
      </c>
      <c r="D844" s="17">
        <f>IFERROR(COUNTA(INDEX(Mots!$E:$E,MATCH($A844,Mots!$A:$A,0)):INDEX(Mots!$K:$K,MATCH($A844,Mots!$A:$A,0))),0)</f>
        <v>1</v>
      </c>
      <c r="E844" s="17" t="str">
        <f>IF(COUNTIF(Classement!$A:$A,$A844)&gt;0,"ok","à faire")</f>
        <v>ok</v>
      </c>
      <c r="F844" s="17" t="str">
        <f>IF(COUNTIF(Tags!$A:$A,$A844)&gt;0,"ok","à faire")</f>
        <v>ok</v>
      </c>
      <c r="G844" s="17" t="str">
        <f>IF(COUNTIF(Phrases!$A:$A,$A844)&gt;0,"ok","à faire")</f>
        <v>à faire</v>
      </c>
      <c r="H844" s="17" t="str">
        <f>IF(COUNTIFS(Phrases!$A:$A,$A844,Phrases!$I:$I,"&lt;&gt;")&gt;0,"ok","à faire")</f>
        <v>à faire</v>
      </c>
      <c r="I844" s="17" t="str">
        <f>IF(COUNTIF(Synonymes!$A:$A,$A844)&gt;0,"ok","")</f>
        <v/>
      </c>
      <c r="J844" s="17">
        <f t="shared" si="13"/>
        <v>2</v>
      </c>
    </row>
    <row r="845" spans="1:10" x14ac:dyDescent="0.3">
      <c r="A845" s="17" t="s">
        <v>4536</v>
      </c>
      <c r="B845" s="17" t="str">
        <f>IFERROR(INDEX(Mots!$B:$B,MATCH($A845,Mots!$A:$A,0)),"introuvable")</f>
        <v>la guerre</v>
      </c>
      <c r="C845" s="17" t="str">
        <f>IFERROR(INDEX(Mots!$N:$N,MATCH($A845,Mots!$A:$A,0)),"")</f>
        <v>chose</v>
      </c>
      <c r="D845" s="17">
        <f>IFERROR(COUNTA(INDEX(Mots!$E:$E,MATCH($A845,Mots!$A:$A,0)):INDEX(Mots!$K:$K,MATCH($A845,Mots!$A:$A,0))),0)</f>
        <v>1</v>
      </c>
      <c r="E845" s="17" t="str">
        <f>IF(COUNTIF(Classement!$A:$A,$A845)&gt;0,"ok","à faire")</f>
        <v>ok</v>
      </c>
      <c r="F845" s="17" t="str">
        <f>IF(COUNTIF(Tags!$A:$A,$A845)&gt;0,"ok","à faire")</f>
        <v>à faire</v>
      </c>
      <c r="G845" s="17" t="str">
        <f>IF(COUNTIF(Phrases!$A:$A,$A845)&gt;0,"ok","à faire")</f>
        <v>ok</v>
      </c>
      <c r="H845" s="17" t="str">
        <f>IF(COUNTIFS(Phrases!$A:$A,$A845,Phrases!$I:$I,"&lt;&gt;")&gt;0,"ok","à faire")</f>
        <v>à faire</v>
      </c>
      <c r="I845" s="17" t="str">
        <f>IF(COUNTIF(Synonymes!$A:$A,$A845)&gt;0,"ok","")</f>
        <v/>
      </c>
      <c r="J845" s="17">
        <f t="shared" si="13"/>
        <v>2</v>
      </c>
    </row>
    <row r="846" spans="1:10" x14ac:dyDescent="0.3">
      <c r="A846" s="17" t="s">
        <v>4540</v>
      </c>
      <c r="B846" s="17" t="str">
        <f>IFERROR(INDEX(Mots!$B:$B,MATCH($A846,Mots!$A:$A,0)),"introuvable")</f>
        <v>la honte</v>
      </c>
      <c r="C846" s="17" t="str">
        <f>IFERROR(INDEX(Mots!$N:$N,MATCH($A846,Mots!$A:$A,0)),"")</f>
        <v>sentiment</v>
      </c>
      <c r="D846" s="17">
        <f>IFERROR(COUNTA(INDEX(Mots!$E:$E,MATCH($A846,Mots!$A:$A,0)):INDEX(Mots!$K:$K,MATCH($A846,Mots!$A:$A,0))),0)</f>
        <v>5</v>
      </c>
      <c r="E846" s="17" t="str">
        <f>IF(COUNTIF(Classement!$A:$A,$A846)&gt;0,"ok","à faire")</f>
        <v>ok</v>
      </c>
      <c r="F846" s="17" t="str">
        <f>IF(COUNTIF(Tags!$A:$A,$A846)&gt;0,"ok","à faire")</f>
        <v>ok</v>
      </c>
      <c r="G846" s="17" t="str">
        <f>IF(COUNTIF(Phrases!$A:$A,$A846)&gt;0,"ok","à faire")</f>
        <v>à faire</v>
      </c>
      <c r="H846" s="17" t="str">
        <f>IF(COUNTIFS(Phrases!$A:$A,$A846,Phrases!$I:$I,"&lt;&gt;")&gt;0,"ok","à faire")</f>
        <v>à faire</v>
      </c>
      <c r="I846" s="17" t="str">
        <f>IF(COUNTIF(Synonymes!$A:$A,$A846)&gt;0,"ok","")</f>
        <v/>
      </c>
      <c r="J846" s="17">
        <f t="shared" si="13"/>
        <v>2</v>
      </c>
    </row>
    <row r="847" spans="1:10" x14ac:dyDescent="0.3">
      <c r="A847" s="17" t="s">
        <v>4548</v>
      </c>
      <c r="B847" s="17" t="str">
        <f>IFERROR(INDEX(Mots!$B:$B,MATCH($A847,Mots!$A:$A,0)),"introuvable")</f>
        <v>la jalousie</v>
      </c>
      <c r="C847" s="17" t="str">
        <f>IFERROR(INDEX(Mots!$N:$N,MATCH($A847,Mots!$A:$A,0)),"")</f>
        <v>sentiment</v>
      </c>
      <c r="D847" s="17">
        <f>IFERROR(COUNTA(INDEX(Mots!$E:$E,MATCH($A847,Mots!$A:$A,0)):INDEX(Mots!$K:$K,MATCH($A847,Mots!$A:$A,0))),0)</f>
        <v>1</v>
      </c>
      <c r="E847" s="17" t="str">
        <f>IF(COUNTIF(Classement!$A:$A,$A847)&gt;0,"ok","à faire")</f>
        <v>ok</v>
      </c>
      <c r="F847" s="17" t="str">
        <f>IF(COUNTIF(Tags!$A:$A,$A847)&gt;0,"ok","à faire")</f>
        <v>ok</v>
      </c>
      <c r="G847" s="17" t="str">
        <f>IF(COUNTIF(Phrases!$A:$A,$A847)&gt;0,"ok","à faire")</f>
        <v>à faire</v>
      </c>
      <c r="H847" s="17" t="str">
        <f>IF(COUNTIFS(Phrases!$A:$A,$A847,Phrases!$I:$I,"&lt;&gt;")&gt;0,"ok","à faire")</f>
        <v>à faire</v>
      </c>
      <c r="I847" s="17" t="str">
        <f>IF(COUNTIF(Synonymes!$A:$A,$A847)&gt;0,"ok","")</f>
        <v/>
      </c>
      <c r="J847" s="17">
        <f t="shared" si="13"/>
        <v>2</v>
      </c>
    </row>
    <row r="848" spans="1:10" x14ac:dyDescent="0.3">
      <c r="A848" s="17" t="s">
        <v>4552</v>
      </c>
      <c r="B848" s="17" t="str">
        <f>IFERROR(INDEX(Mots!$B:$B,MATCH($A848,Mots!$A:$A,0)),"introuvable")</f>
        <v>la journée</v>
      </c>
      <c r="C848" s="17" t="str">
        <f>IFERROR(INDEX(Mots!$N:$N,MATCH($A848,Mots!$A:$A,0)),"")</f>
        <v>chose</v>
      </c>
      <c r="D848" s="17">
        <f>IFERROR(COUNTA(INDEX(Mots!$E:$E,MATCH($A848,Mots!$A:$A,0)):INDEX(Mots!$K:$K,MATCH($A848,Mots!$A:$A,0))),0)</f>
        <v>1</v>
      </c>
      <c r="E848" s="17" t="str">
        <f>IF(COUNTIF(Classement!$A:$A,$A848)&gt;0,"ok","à faire")</f>
        <v>ok</v>
      </c>
      <c r="F848" s="17" t="str">
        <f>IF(COUNTIF(Tags!$A:$A,$A848)&gt;0,"ok","à faire")</f>
        <v>à faire</v>
      </c>
      <c r="G848" s="17" t="str">
        <f>IF(COUNTIF(Phrases!$A:$A,$A848)&gt;0,"ok","à faire")</f>
        <v>ok</v>
      </c>
      <c r="H848" s="17" t="str">
        <f>IF(COUNTIFS(Phrases!$A:$A,$A848,Phrases!$I:$I,"&lt;&gt;")&gt;0,"ok","à faire")</f>
        <v>ok</v>
      </c>
      <c r="I848" s="17" t="str">
        <f>IF(COUNTIF(Synonymes!$A:$A,$A848)&gt;0,"ok","")</f>
        <v>ok</v>
      </c>
      <c r="J848" s="17">
        <f t="shared" si="13"/>
        <v>1</v>
      </c>
    </row>
    <row r="849" spans="1:10" x14ac:dyDescent="0.3">
      <c r="A849" s="17" t="s">
        <v>4556</v>
      </c>
      <c r="B849" s="17" t="str">
        <f>IFERROR(INDEX(Mots!$B:$B,MATCH($A849,Mots!$A:$A,0)),"introuvable")</f>
        <v>la lame</v>
      </c>
      <c r="C849" s="17" t="str">
        <f>IFERROR(INDEX(Mots!$N:$N,MATCH($A849,Mots!$A:$A,0)),"")</f>
        <v>chose</v>
      </c>
      <c r="D849" s="17">
        <f>IFERROR(COUNTA(INDEX(Mots!$E:$E,MATCH($A849,Mots!$A:$A,0)):INDEX(Mots!$K:$K,MATCH($A849,Mots!$A:$A,0))),0)</f>
        <v>5</v>
      </c>
      <c r="E849" s="17" t="str">
        <f>IF(COUNTIF(Classement!$A:$A,$A849)&gt;0,"ok","à faire")</f>
        <v>ok</v>
      </c>
      <c r="F849" s="17" t="str">
        <f>IF(COUNTIF(Tags!$A:$A,$A849)&gt;0,"ok","à faire")</f>
        <v>ok</v>
      </c>
      <c r="G849" s="17" t="str">
        <f>IF(COUNTIF(Phrases!$A:$A,$A849)&gt;0,"ok","à faire")</f>
        <v>ok</v>
      </c>
      <c r="H849" s="17" t="str">
        <f>IF(COUNTIFS(Phrases!$A:$A,$A849,Phrases!$I:$I,"&lt;&gt;")&gt;0,"ok","à faire")</f>
        <v>à faire</v>
      </c>
      <c r="I849" s="17" t="str">
        <f>IF(COUNTIF(Synonymes!$A:$A,$A849)&gt;0,"ok","")</f>
        <v/>
      </c>
      <c r="J849" s="17">
        <f t="shared" si="13"/>
        <v>1</v>
      </c>
    </row>
    <row r="850" spans="1:10" x14ac:dyDescent="0.3">
      <c r="A850" s="17" t="s">
        <v>4564</v>
      </c>
      <c r="B850" s="17" t="str">
        <f>IFERROR(INDEX(Mots!$B:$B,MATCH($A850,Mots!$A:$A,0)),"introuvable")</f>
        <v>la larme</v>
      </c>
      <c r="C850" s="17" t="str">
        <f>IFERROR(INDEX(Mots!$N:$N,MATCH($A850,Mots!$A:$A,0)),"")</f>
        <v>chose</v>
      </c>
      <c r="D850" s="17">
        <f>IFERROR(COUNTA(INDEX(Mots!$E:$E,MATCH($A850,Mots!$A:$A,0)):INDEX(Mots!$K:$K,MATCH($A850,Mots!$A:$A,0))),0)</f>
        <v>5</v>
      </c>
      <c r="E850" s="17" t="str">
        <f>IF(COUNTIF(Classement!$A:$A,$A850)&gt;0,"ok","à faire")</f>
        <v>ok</v>
      </c>
      <c r="F850" s="17" t="str">
        <f>IF(COUNTIF(Tags!$A:$A,$A850)&gt;0,"ok","à faire")</f>
        <v>ok</v>
      </c>
      <c r="G850" s="17" t="str">
        <f>IF(COUNTIF(Phrases!$A:$A,$A850)&gt;0,"ok","à faire")</f>
        <v>ok</v>
      </c>
      <c r="H850" s="17" t="str">
        <f>IF(COUNTIFS(Phrases!$A:$A,$A850,Phrases!$I:$I,"&lt;&gt;")&gt;0,"ok","à faire")</f>
        <v>ok</v>
      </c>
      <c r="I850" s="17" t="str">
        <f>IF(COUNTIF(Synonymes!$A:$A,$A850)&gt;0,"ok","")</f>
        <v/>
      </c>
      <c r="J850" s="17">
        <f t="shared" si="13"/>
        <v>0</v>
      </c>
    </row>
    <row r="851" spans="1:10" x14ac:dyDescent="0.3">
      <c r="A851" s="17" t="s">
        <v>4572</v>
      </c>
      <c r="B851" s="17" t="str">
        <f>IFERROR(INDEX(Mots!$B:$B,MATCH($A851,Mots!$A:$A,0)),"introuvable")</f>
        <v>la lecture</v>
      </c>
      <c r="C851" s="17" t="str">
        <f>IFERROR(INDEX(Mots!$N:$N,MATCH($A851,Mots!$A:$A,0)),"")</f>
        <v>chose</v>
      </c>
      <c r="D851" s="17">
        <f>IFERROR(COUNTA(INDEX(Mots!$E:$E,MATCH($A851,Mots!$A:$A,0)):INDEX(Mots!$K:$K,MATCH($A851,Mots!$A:$A,0))),0)</f>
        <v>5</v>
      </c>
      <c r="E851" s="17" t="str">
        <f>IF(COUNTIF(Classement!$A:$A,$A851)&gt;0,"ok","à faire")</f>
        <v>ok</v>
      </c>
      <c r="F851" s="17" t="str">
        <f>IF(COUNTIF(Tags!$A:$A,$A851)&gt;0,"ok","à faire")</f>
        <v>à faire</v>
      </c>
      <c r="G851" s="17" t="str">
        <f>IF(COUNTIF(Phrases!$A:$A,$A851)&gt;0,"ok","à faire")</f>
        <v>ok</v>
      </c>
      <c r="H851" s="17" t="str">
        <f>IF(COUNTIFS(Phrases!$A:$A,$A851,Phrases!$I:$I,"&lt;&gt;")&gt;0,"ok","à faire")</f>
        <v>à faire</v>
      </c>
      <c r="I851" s="17" t="str">
        <f>IF(COUNTIF(Synonymes!$A:$A,$A851)&gt;0,"ok","")</f>
        <v/>
      </c>
      <c r="J851" s="17">
        <f t="shared" si="13"/>
        <v>2</v>
      </c>
    </row>
    <row r="852" spans="1:10" x14ac:dyDescent="0.3">
      <c r="A852" s="17" t="s">
        <v>4580</v>
      </c>
      <c r="B852" s="17" t="str">
        <f>IFERROR(INDEX(Mots!$B:$B,MATCH($A852,Mots!$A:$A,0)),"introuvable")</f>
        <v>la ligne</v>
      </c>
      <c r="C852" s="17" t="str">
        <f>IFERROR(INDEX(Mots!$N:$N,MATCH($A852,Mots!$A:$A,0)),"")</f>
        <v>chose</v>
      </c>
      <c r="D852" s="17">
        <f>IFERROR(COUNTA(INDEX(Mots!$E:$E,MATCH($A852,Mots!$A:$A,0)):INDEX(Mots!$K:$K,MATCH($A852,Mots!$A:$A,0))),0)</f>
        <v>5</v>
      </c>
      <c r="E852" s="17" t="str">
        <f>IF(COUNTIF(Classement!$A:$A,$A852)&gt;0,"ok","à faire")</f>
        <v>ok</v>
      </c>
      <c r="F852" s="17" t="str">
        <f>IF(COUNTIF(Tags!$A:$A,$A852)&gt;0,"ok","à faire")</f>
        <v>à faire</v>
      </c>
      <c r="G852" s="17" t="str">
        <f>IF(COUNTIF(Phrases!$A:$A,$A852)&gt;0,"ok","à faire")</f>
        <v>ok</v>
      </c>
      <c r="H852" s="17" t="str">
        <f>IF(COUNTIFS(Phrases!$A:$A,$A852,Phrases!$I:$I,"&lt;&gt;")&gt;0,"ok","à faire")</f>
        <v>ok</v>
      </c>
      <c r="I852" s="17" t="str">
        <f>IF(COUNTIF(Synonymes!$A:$A,$A852)&gt;0,"ok","")</f>
        <v>ok</v>
      </c>
      <c r="J852" s="17">
        <f t="shared" si="13"/>
        <v>1</v>
      </c>
    </row>
    <row r="853" spans="1:10" x14ac:dyDescent="0.3">
      <c r="A853" s="17" t="s">
        <v>4588</v>
      </c>
      <c r="B853" s="17" t="str">
        <f>IFERROR(INDEX(Mots!$B:$B,MATCH($A853,Mots!$A:$A,0)),"introuvable")</f>
        <v>la limite</v>
      </c>
      <c r="C853" s="17" t="str">
        <f>IFERROR(INDEX(Mots!$N:$N,MATCH($A853,Mots!$A:$A,0)),"")</f>
        <v>lieu</v>
      </c>
      <c r="D853" s="17">
        <f>IFERROR(COUNTA(INDEX(Mots!$E:$E,MATCH($A853,Mots!$A:$A,0)):INDEX(Mots!$K:$K,MATCH($A853,Mots!$A:$A,0))),0)</f>
        <v>1</v>
      </c>
      <c r="E853" s="17" t="str">
        <f>IF(COUNTIF(Classement!$A:$A,$A853)&gt;0,"ok","à faire")</f>
        <v>ok</v>
      </c>
      <c r="F853" s="17" t="str">
        <f>IF(COUNTIF(Tags!$A:$A,$A853)&gt;0,"ok","à faire")</f>
        <v>à faire</v>
      </c>
      <c r="G853" s="17" t="str">
        <f>IF(COUNTIF(Phrases!$A:$A,$A853)&gt;0,"ok","à faire")</f>
        <v>à faire</v>
      </c>
      <c r="H853" s="17" t="str">
        <f>IF(COUNTIFS(Phrases!$A:$A,$A853,Phrases!$I:$I,"&lt;&gt;")&gt;0,"ok","à faire")</f>
        <v>à faire</v>
      </c>
      <c r="I853" s="17" t="str">
        <f>IF(COUNTIF(Synonymes!$A:$A,$A853)&gt;0,"ok","")</f>
        <v/>
      </c>
      <c r="J853" s="17">
        <f t="shared" si="13"/>
        <v>3</v>
      </c>
    </row>
    <row r="854" spans="1:10" x14ac:dyDescent="0.3">
      <c r="A854" s="17" t="s">
        <v>4592</v>
      </c>
      <c r="B854" s="17" t="str">
        <f>IFERROR(INDEX(Mots!$B:$B,MATCH($A854,Mots!$A:$A,0)),"introuvable")</f>
        <v>la liste</v>
      </c>
      <c r="C854" s="17" t="str">
        <f>IFERROR(INDEX(Mots!$N:$N,MATCH($A854,Mots!$A:$A,0)),"")</f>
        <v>chose</v>
      </c>
      <c r="D854" s="17">
        <f>IFERROR(COUNTA(INDEX(Mots!$E:$E,MATCH($A854,Mots!$A:$A,0)):INDEX(Mots!$K:$K,MATCH($A854,Mots!$A:$A,0))),0)</f>
        <v>2</v>
      </c>
      <c r="E854" s="17" t="str">
        <f>IF(COUNTIF(Classement!$A:$A,$A854)&gt;0,"ok","à faire")</f>
        <v>ok</v>
      </c>
      <c r="F854" s="17" t="str">
        <f>IF(COUNTIF(Tags!$A:$A,$A854)&gt;0,"ok","à faire")</f>
        <v>à faire</v>
      </c>
      <c r="G854" s="17" t="str">
        <f>IF(COUNTIF(Phrases!$A:$A,$A854)&gt;0,"ok","à faire")</f>
        <v>ok</v>
      </c>
      <c r="H854" s="17" t="str">
        <f>IF(COUNTIFS(Phrases!$A:$A,$A854,Phrases!$I:$I,"&lt;&gt;")&gt;0,"ok","à faire")</f>
        <v>ok</v>
      </c>
      <c r="I854" s="17" t="str">
        <f>IF(COUNTIF(Synonymes!$A:$A,$A854)&gt;0,"ok","")</f>
        <v/>
      </c>
      <c r="J854" s="17">
        <f t="shared" si="13"/>
        <v>1</v>
      </c>
    </row>
    <row r="855" spans="1:10" x14ac:dyDescent="0.3">
      <c r="A855" s="17" t="s">
        <v>4597</v>
      </c>
      <c r="B855" s="17" t="str">
        <f>IFERROR(INDEX(Mots!$B:$B,MATCH($A855,Mots!$A:$A,0)),"introuvable")</f>
        <v>la loi</v>
      </c>
      <c r="C855" s="17" t="str">
        <f>IFERROR(INDEX(Mots!$N:$N,MATCH($A855,Mots!$A:$A,0)),"")</f>
        <v>chose</v>
      </c>
      <c r="D855" s="17">
        <f>IFERROR(COUNTA(INDEX(Mots!$E:$E,MATCH($A855,Mots!$A:$A,0)):INDEX(Mots!$K:$K,MATCH($A855,Mots!$A:$A,0))),0)</f>
        <v>1</v>
      </c>
      <c r="E855" s="17" t="str">
        <f>IF(COUNTIF(Classement!$A:$A,$A855)&gt;0,"ok","à faire")</f>
        <v>ok</v>
      </c>
      <c r="F855" s="17" t="str">
        <f>IF(COUNTIF(Tags!$A:$A,$A855)&gt;0,"ok","à faire")</f>
        <v>à faire</v>
      </c>
      <c r="G855" s="17" t="str">
        <f>IF(COUNTIF(Phrases!$A:$A,$A855)&gt;0,"ok","à faire")</f>
        <v>ok</v>
      </c>
      <c r="H855" s="17" t="str">
        <f>IF(COUNTIFS(Phrases!$A:$A,$A855,Phrases!$I:$I,"&lt;&gt;")&gt;0,"ok","à faire")</f>
        <v>à faire</v>
      </c>
      <c r="I855" s="17" t="str">
        <f>IF(COUNTIF(Synonymes!$A:$A,$A855)&gt;0,"ok","")</f>
        <v/>
      </c>
      <c r="J855" s="17">
        <f t="shared" si="13"/>
        <v>2</v>
      </c>
    </row>
    <row r="856" spans="1:10" x14ac:dyDescent="0.3">
      <c r="A856" s="17" t="s">
        <v>4601</v>
      </c>
      <c r="B856" s="17" t="str">
        <f>IFERROR(INDEX(Mots!$B:$B,MATCH($A856,Mots!$A:$A,0)),"introuvable")</f>
        <v>la loupe</v>
      </c>
      <c r="C856" s="17" t="str">
        <f>IFERROR(INDEX(Mots!$N:$N,MATCH($A856,Mots!$A:$A,0)),"")</f>
        <v>chose</v>
      </c>
      <c r="D856" s="17">
        <f>IFERROR(COUNTA(INDEX(Mots!$E:$E,MATCH($A856,Mots!$A:$A,0)):INDEX(Mots!$K:$K,MATCH($A856,Mots!$A:$A,0))),0)</f>
        <v>1</v>
      </c>
      <c r="E856" s="17" t="str">
        <f>IF(COUNTIF(Classement!$A:$A,$A856)&gt;0,"ok","à faire")</f>
        <v>ok</v>
      </c>
      <c r="F856" s="17" t="str">
        <f>IF(COUNTIF(Tags!$A:$A,$A856)&gt;0,"ok","à faire")</f>
        <v>ok</v>
      </c>
      <c r="G856" s="17" t="str">
        <f>IF(COUNTIF(Phrases!$A:$A,$A856)&gt;0,"ok","à faire")</f>
        <v>ok</v>
      </c>
      <c r="H856" s="17" t="str">
        <f>IF(COUNTIFS(Phrases!$A:$A,$A856,Phrases!$I:$I,"&lt;&gt;")&gt;0,"ok","à faire")</f>
        <v>à faire</v>
      </c>
      <c r="I856" s="17" t="str">
        <f>IF(COUNTIF(Synonymes!$A:$A,$A856)&gt;0,"ok","")</f>
        <v/>
      </c>
      <c r="J856" s="17">
        <f t="shared" si="13"/>
        <v>1</v>
      </c>
    </row>
    <row r="857" spans="1:10" x14ac:dyDescent="0.3">
      <c r="A857" s="17" t="s">
        <v>4605</v>
      </c>
      <c r="B857" s="17" t="str">
        <f>IFERROR(INDEX(Mots!$B:$B,MATCH($A857,Mots!$A:$A,0)),"introuvable")</f>
        <v>la lumière</v>
      </c>
      <c r="C857" s="17" t="str">
        <f>IFERROR(INDEX(Mots!$N:$N,MATCH($A857,Mots!$A:$A,0)),"")</f>
        <v>chose</v>
      </c>
      <c r="D857" s="17">
        <f>IFERROR(COUNTA(INDEX(Mots!$E:$E,MATCH($A857,Mots!$A:$A,0)):INDEX(Mots!$K:$K,MATCH($A857,Mots!$A:$A,0))),0)</f>
        <v>5</v>
      </c>
      <c r="E857" s="17" t="str">
        <f>IF(COUNTIF(Classement!$A:$A,$A857)&gt;0,"ok","à faire")</f>
        <v>ok</v>
      </c>
      <c r="F857" s="17" t="str">
        <f>IF(COUNTIF(Tags!$A:$A,$A857)&gt;0,"ok","à faire")</f>
        <v>à faire</v>
      </c>
      <c r="G857" s="17" t="str">
        <f>IF(COUNTIF(Phrases!$A:$A,$A857)&gt;0,"ok","à faire")</f>
        <v>ok</v>
      </c>
      <c r="H857" s="17" t="str">
        <f>IF(COUNTIFS(Phrases!$A:$A,$A857,Phrases!$I:$I,"&lt;&gt;")&gt;0,"ok","à faire")</f>
        <v>à faire</v>
      </c>
      <c r="I857" s="17" t="str">
        <f>IF(COUNTIF(Synonymes!$A:$A,$A857)&gt;0,"ok","")</f>
        <v/>
      </c>
      <c r="J857" s="17">
        <f t="shared" si="13"/>
        <v>2</v>
      </c>
    </row>
    <row r="858" spans="1:10" x14ac:dyDescent="0.3">
      <c r="A858" s="17" t="s">
        <v>4613</v>
      </c>
      <c r="B858" s="17" t="str">
        <f>IFERROR(INDEX(Mots!$B:$B,MATCH($A858,Mots!$A:$A,0)),"introuvable")</f>
        <v>la lutte</v>
      </c>
      <c r="C858" s="17" t="str">
        <f>IFERROR(INDEX(Mots!$N:$N,MATCH($A858,Mots!$A:$A,0)),"")</f>
        <v>chose</v>
      </c>
      <c r="D858" s="17">
        <f>IFERROR(COUNTA(INDEX(Mots!$E:$E,MATCH($A858,Mots!$A:$A,0)):INDEX(Mots!$K:$K,MATCH($A858,Mots!$A:$A,0))),0)</f>
        <v>5</v>
      </c>
      <c r="E858" s="17" t="str">
        <f>IF(COUNTIF(Classement!$A:$A,$A858)&gt;0,"ok","à faire")</f>
        <v>ok</v>
      </c>
      <c r="F858" s="17" t="str">
        <f>IF(COUNTIF(Tags!$A:$A,$A858)&gt;0,"ok","à faire")</f>
        <v>à faire</v>
      </c>
      <c r="G858" s="17" t="str">
        <f>IF(COUNTIF(Phrases!$A:$A,$A858)&gt;0,"ok","à faire")</f>
        <v>ok</v>
      </c>
      <c r="H858" s="17" t="str">
        <f>IF(COUNTIFS(Phrases!$A:$A,$A858,Phrases!$I:$I,"&lt;&gt;")&gt;0,"ok","à faire")</f>
        <v>à faire</v>
      </c>
      <c r="I858" s="17" t="str">
        <f>IF(COUNTIF(Synonymes!$A:$A,$A858)&gt;0,"ok","")</f>
        <v>ok</v>
      </c>
      <c r="J858" s="17">
        <f t="shared" si="13"/>
        <v>2</v>
      </c>
    </row>
    <row r="859" spans="1:10" x14ac:dyDescent="0.3">
      <c r="A859" s="17" t="s">
        <v>4621</v>
      </c>
      <c r="B859" s="17" t="str">
        <f>IFERROR(INDEX(Mots!$B:$B,MATCH($A859,Mots!$A:$A,0)),"introuvable")</f>
        <v>la machine</v>
      </c>
      <c r="C859" s="17" t="str">
        <f>IFERROR(INDEX(Mots!$N:$N,MATCH($A859,Mots!$A:$A,0)),"")</f>
        <v>chose</v>
      </c>
      <c r="D859" s="17">
        <f>IFERROR(COUNTA(INDEX(Mots!$E:$E,MATCH($A859,Mots!$A:$A,0)):INDEX(Mots!$K:$K,MATCH($A859,Mots!$A:$A,0))),0)</f>
        <v>5</v>
      </c>
      <c r="E859" s="17" t="str">
        <f>IF(COUNTIF(Classement!$A:$A,$A859)&gt;0,"ok","à faire")</f>
        <v>ok</v>
      </c>
      <c r="F859" s="17" t="str">
        <f>IF(COUNTIF(Tags!$A:$A,$A859)&gt;0,"ok","à faire")</f>
        <v>ok</v>
      </c>
      <c r="G859" s="17" t="str">
        <f>IF(COUNTIF(Phrases!$A:$A,$A859)&gt;0,"ok","à faire")</f>
        <v>ok</v>
      </c>
      <c r="H859" s="17" t="str">
        <f>IF(COUNTIFS(Phrases!$A:$A,$A859,Phrases!$I:$I,"&lt;&gt;")&gt;0,"ok","à faire")</f>
        <v>à faire</v>
      </c>
      <c r="I859" s="17" t="str">
        <f>IF(COUNTIF(Synonymes!$A:$A,$A859)&gt;0,"ok","")</f>
        <v/>
      </c>
      <c r="J859" s="17">
        <f t="shared" si="13"/>
        <v>1</v>
      </c>
    </row>
    <row r="860" spans="1:10" x14ac:dyDescent="0.3">
      <c r="A860" s="17" t="s">
        <v>4627</v>
      </c>
      <c r="B860" s="17" t="str">
        <f>IFERROR(INDEX(Mots!$B:$B,MATCH($A860,Mots!$A:$A,0)),"introuvable")</f>
        <v>la maladie</v>
      </c>
      <c r="C860" s="17" t="str">
        <f>IFERROR(INDEX(Mots!$N:$N,MATCH($A860,Mots!$A:$A,0)),"")</f>
        <v>chose</v>
      </c>
      <c r="D860" s="17">
        <f>IFERROR(COUNTA(INDEX(Mots!$E:$E,MATCH($A860,Mots!$A:$A,0)):INDEX(Mots!$K:$K,MATCH($A860,Mots!$A:$A,0))),0)</f>
        <v>1</v>
      </c>
      <c r="E860" s="17" t="str">
        <f>IF(COUNTIF(Classement!$A:$A,$A860)&gt;0,"ok","à faire")</f>
        <v>ok</v>
      </c>
      <c r="F860" s="17" t="str">
        <f>IF(COUNTIF(Tags!$A:$A,$A860)&gt;0,"ok","à faire")</f>
        <v>ok</v>
      </c>
      <c r="G860" s="17" t="str">
        <f>IF(COUNTIF(Phrases!$A:$A,$A860)&gt;0,"ok","à faire")</f>
        <v>ok</v>
      </c>
      <c r="H860" s="17" t="str">
        <f>IF(COUNTIFS(Phrases!$A:$A,$A860,Phrases!$I:$I,"&lt;&gt;")&gt;0,"ok","à faire")</f>
        <v>à faire</v>
      </c>
      <c r="I860" s="17" t="str">
        <f>IF(COUNTIF(Synonymes!$A:$A,$A860)&gt;0,"ok","")</f>
        <v/>
      </c>
      <c r="J860" s="17">
        <f t="shared" si="13"/>
        <v>1</v>
      </c>
    </row>
    <row r="861" spans="1:10" x14ac:dyDescent="0.3">
      <c r="A861" s="17" t="s">
        <v>4631</v>
      </c>
      <c r="B861" s="17" t="str">
        <f>IFERROR(INDEX(Mots!$B:$B,MATCH($A861,Mots!$A:$A,0)),"introuvable")</f>
        <v>la manche</v>
      </c>
      <c r="C861" s="17" t="str">
        <f>IFERROR(INDEX(Mots!$N:$N,MATCH($A861,Mots!$A:$A,0)),"")</f>
        <v>chose</v>
      </c>
      <c r="D861" s="17">
        <f>IFERROR(COUNTA(INDEX(Mots!$E:$E,MATCH($A861,Mots!$A:$A,0)):INDEX(Mots!$K:$K,MATCH($A861,Mots!$A:$A,0))),0)</f>
        <v>1</v>
      </c>
      <c r="E861" s="17" t="str">
        <f>IF(COUNTIF(Classement!$A:$A,$A861)&gt;0,"ok","à faire")</f>
        <v>ok</v>
      </c>
      <c r="F861" s="17" t="str">
        <f>IF(COUNTIF(Tags!$A:$A,$A861)&gt;0,"ok","à faire")</f>
        <v>ok</v>
      </c>
      <c r="G861" s="17" t="str">
        <f>IF(COUNTIF(Phrases!$A:$A,$A861)&gt;0,"ok","à faire")</f>
        <v>ok</v>
      </c>
      <c r="H861" s="17" t="str">
        <f>IF(COUNTIFS(Phrases!$A:$A,$A861,Phrases!$I:$I,"&lt;&gt;")&gt;0,"ok","à faire")</f>
        <v>ok</v>
      </c>
      <c r="I861" s="17" t="str">
        <f>IF(COUNTIF(Synonymes!$A:$A,$A861)&gt;0,"ok","")</f>
        <v/>
      </c>
      <c r="J861" s="17">
        <f t="shared" si="13"/>
        <v>0</v>
      </c>
    </row>
    <row r="862" spans="1:10" x14ac:dyDescent="0.3">
      <c r="A862" s="17" t="s">
        <v>4635</v>
      </c>
      <c r="B862" s="17" t="str">
        <f>IFERROR(INDEX(Mots!$B:$B,MATCH($A862,Mots!$A:$A,0)),"introuvable")</f>
        <v>la manière</v>
      </c>
      <c r="C862" s="17" t="str">
        <f>IFERROR(INDEX(Mots!$N:$N,MATCH($A862,Mots!$A:$A,0)),"")</f>
        <v>chose</v>
      </c>
      <c r="D862" s="17">
        <f>IFERROR(COUNTA(INDEX(Mots!$E:$E,MATCH($A862,Mots!$A:$A,0)):INDEX(Mots!$K:$K,MATCH($A862,Mots!$A:$A,0))),0)</f>
        <v>2</v>
      </c>
      <c r="E862" s="17" t="str">
        <f>IF(COUNTIF(Classement!$A:$A,$A862)&gt;0,"ok","à faire")</f>
        <v>ok</v>
      </c>
      <c r="F862" s="17" t="str">
        <f>IF(COUNTIF(Tags!$A:$A,$A862)&gt;0,"ok","à faire")</f>
        <v>à faire</v>
      </c>
      <c r="G862" s="17" t="str">
        <f>IF(COUNTIF(Phrases!$A:$A,$A862)&gt;0,"ok","à faire")</f>
        <v>ok</v>
      </c>
      <c r="H862" s="17" t="str">
        <f>IF(COUNTIFS(Phrases!$A:$A,$A862,Phrases!$I:$I,"&lt;&gt;")&gt;0,"ok","à faire")</f>
        <v>ok</v>
      </c>
      <c r="I862" s="17" t="str">
        <f>IF(COUNTIF(Synonymes!$A:$A,$A862)&gt;0,"ok","")</f>
        <v>ok</v>
      </c>
      <c r="J862" s="17">
        <f t="shared" si="13"/>
        <v>1</v>
      </c>
    </row>
    <row r="863" spans="1:10" x14ac:dyDescent="0.3">
      <c r="A863" s="17" t="s">
        <v>4642</v>
      </c>
      <c r="B863" s="17" t="str">
        <f>IFERROR(INDEX(Mots!$B:$B,MATCH($A863,Mots!$A:$A,0)),"introuvable")</f>
        <v>la marée</v>
      </c>
      <c r="C863" s="17" t="str">
        <f>IFERROR(INDEX(Mots!$N:$N,MATCH($A863,Mots!$A:$A,0)),"")</f>
        <v>chose</v>
      </c>
      <c r="D863" s="17">
        <f>IFERROR(COUNTA(INDEX(Mots!$E:$E,MATCH($A863,Mots!$A:$A,0)):INDEX(Mots!$K:$K,MATCH($A863,Mots!$A:$A,0))),0)</f>
        <v>1</v>
      </c>
      <c r="E863" s="17" t="str">
        <f>IF(COUNTIF(Classement!$A:$A,$A863)&gt;0,"ok","à faire")</f>
        <v>ok</v>
      </c>
      <c r="F863" s="17" t="str">
        <f>IF(COUNTIF(Tags!$A:$A,$A863)&gt;0,"ok","à faire")</f>
        <v>à faire</v>
      </c>
      <c r="G863" s="17" t="str">
        <f>IF(COUNTIF(Phrases!$A:$A,$A863)&gt;0,"ok","à faire")</f>
        <v>ok</v>
      </c>
      <c r="H863" s="17" t="str">
        <f>IF(COUNTIFS(Phrases!$A:$A,$A863,Phrases!$I:$I,"&lt;&gt;")&gt;0,"ok","à faire")</f>
        <v>à faire</v>
      </c>
      <c r="I863" s="17" t="str">
        <f>IF(COUNTIF(Synonymes!$A:$A,$A863)&gt;0,"ok","")</f>
        <v/>
      </c>
      <c r="J863" s="17">
        <f t="shared" si="13"/>
        <v>2</v>
      </c>
    </row>
    <row r="864" spans="1:10" x14ac:dyDescent="0.3">
      <c r="A864" s="17" t="s">
        <v>4646</v>
      </c>
      <c r="B864" s="17" t="str">
        <f>IFERROR(INDEX(Mots!$B:$B,MATCH($A864,Mots!$A:$A,0)),"introuvable")</f>
        <v>la masse</v>
      </c>
      <c r="C864" s="17" t="str">
        <f>IFERROR(INDEX(Mots!$N:$N,MATCH($A864,Mots!$A:$A,0)),"")</f>
        <v>chose</v>
      </c>
      <c r="D864" s="17">
        <f>IFERROR(COUNTA(INDEX(Mots!$E:$E,MATCH($A864,Mots!$A:$A,0)):INDEX(Mots!$K:$K,MATCH($A864,Mots!$A:$A,0))),0)</f>
        <v>1</v>
      </c>
      <c r="E864" s="17" t="str">
        <f>IF(COUNTIF(Classement!$A:$A,$A864)&gt;0,"ok","à faire")</f>
        <v>ok</v>
      </c>
      <c r="F864" s="17" t="str">
        <f>IF(COUNTIF(Tags!$A:$A,$A864)&gt;0,"ok","à faire")</f>
        <v>ok</v>
      </c>
      <c r="G864" s="17" t="str">
        <f>IF(COUNTIF(Phrases!$A:$A,$A864)&gt;0,"ok","à faire")</f>
        <v>ok</v>
      </c>
      <c r="H864" s="17" t="str">
        <f>IF(COUNTIFS(Phrases!$A:$A,$A864,Phrases!$I:$I,"&lt;&gt;")&gt;0,"ok","à faire")</f>
        <v>à faire</v>
      </c>
      <c r="I864" s="17" t="str">
        <f>IF(COUNTIF(Synonymes!$A:$A,$A864)&gt;0,"ok","")</f>
        <v>ok</v>
      </c>
      <c r="J864" s="17">
        <f t="shared" si="13"/>
        <v>1</v>
      </c>
    </row>
    <row r="865" spans="1:10" x14ac:dyDescent="0.3">
      <c r="A865" s="17" t="s">
        <v>4650</v>
      </c>
      <c r="B865" s="17" t="str">
        <f>IFERROR(INDEX(Mots!$B:$B,MATCH($A865,Mots!$A:$A,0)),"introuvable")</f>
        <v>la matière</v>
      </c>
      <c r="C865" s="17" t="str">
        <f>IFERROR(INDEX(Mots!$N:$N,MATCH($A865,Mots!$A:$A,0)),"")</f>
        <v>chose</v>
      </c>
      <c r="D865" s="17">
        <f>IFERROR(COUNTA(INDEX(Mots!$E:$E,MATCH($A865,Mots!$A:$A,0)):INDEX(Mots!$K:$K,MATCH($A865,Mots!$A:$A,0))),0)</f>
        <v>1</v>
      </c>
      <c r="E865" s="17" t="str">
        <f>IF(COUNTIF(Classement!$A:$A,$A865)&gt;0,"ok","à faire")</f>
        <v>ok</v>
      </c>
      <c r="F865" s="17" t="str">
        <f>IF(COUNTIF(Tags!$A:$A,$A865)&gt;0,"ok","à faire")</f>
        <v>ok</v>
      </c>
      <c r="G865" s="17" t="str">
        <f>IF(COUNTIF(Phrases!$A:$A,$A865)&gt;0,"ok","à faire")</f>
        <v>ok</v>
      </c>
      <c r="H865" s="17" t="str">
        <f>IF(COUNTIFS(Phrases!$A:$A,$A865,Phrases!$I:$I,"&lt;&gt;")&gt;0,"ok","à faire")</f>
        <v>à faire</v>
      </c>
      <c r="I865" s="17" t="str">
        <f>IF(COUNTIF(Synonymes!$A:$A,$A865)&gt;0,"ok","")</f>
        <v/>
      </c>
      <c r="J865" s="17">
        <f t="shared" si="13"/>
        <v>1</v>
      </c>
    </row>
    <row r="866" spans="1:10" x14ac:dyDescent="0.3">
      <c r="A866" s="17" t="s">
        <v>4654</v>
      </c>
      <c r="B866" s="17" t="str">
        <f>IFERROR(INDEX(Mots!$B:$B,MATCH($A866,Mots!$A:$A,0)),"introuvable")</f>
        <v>la méfiance</v>
      </c>
      <c r="C866" s="17" t="str">
        <f>IFERROR(INDEX(Mots!$N:$N,MATCH($A866,Mots!$A:$A,0)),"")</f>
        <v>chose</v>
      </c>
      <c r="D866" s="17">
        <f>IFERROR(COUNTA(INDEX(Mots!$E:$E,MATCH($A866,Mots!$A:$A,0)):INDEX(Mots!$K:$K,MATCH($A866,Mots!$A:$A,0))),0)</f>
        <v>1</v>
      </c>
      <c r="E866" s="17" t="str">
        <f>IF(COUNTIF(Classement!$A:$A,$A866)&gt;0,"ok","à faire")</f>
        <v>ok</v>
      </c>
      <c r="F866" s="17" t="str">
        <f>IF(COUNTIF(Tags!$A:$A,$A866)&gt;0,"ok","à faire")</f>
        <v>à faire</v>
      </c>
      <c r="G866" s="17" t="str">
        <f>IF(COUNTIF(Phrases!$A:$A,$A866)&gt;0,"ok","à faire")</f>
        <v>ok</v>
      </c>
      <c r="H866" s="17" t="str">
        <f>IF(COUNTIFS(Phrases!$A:$A,$A866,Phrases!$I:$I,"&lt;&gt;")&gt;0,"ok","à faire")</f>
        <v>à faire</v>
      </c>
      <c r="I866" s="17" t="str">
        <f>IF(COUNTIF(Synonymes!$A:$A,$A866)&gt;0,"ok","")</f>
        <v>ok</v>
      </c>
      <c r="J866" s="17">
        <f t="shared" si="13"/>
        <v>2</v>
      </c>
    </row>
    <row r="867" spans="1:10" x14ac:dyDescent="0.3">
      <c r="A867" s="17" t="s">
        <v>4658</v>
      </c>
      <c r="B867" s="17" t="str">
        <f>IFERROR(INDEX(Mots!$B:$B,MATCH($A867,Mots!$A:$A,0)),"introuvable")</f>
        <v>la mémoire</v>
      </c>
      <c r="C867" s="17" t="str">
        <f>IFERROR(INDEX(Mots!$N:$N,MATCH($A867,Mots!$A:$A,0)),"")</f>
        <v>chose</v>
      </c>
      <c r="D867" s="17">
        <f>IFERROR(COUNTA(INDEX(Mots!$E:$E,MATCH($A867,Mots!$A:$A,0)):INDEX(Mots!$K:$K,MATCH($A867,Mots!$A:$A,0))),0)</f>
        <v>1</v>
      </c>
      <c r="E867" s="17" t="str">
        <f>IF(COUNTIF(Classement!$A:$A,$A867)&gt;0,"ok","à faire")</f>
        <v>ok</v>
      </c>
      <c r="F867" s="17" t="str">
        <f>IF(COUNTIF(Tags!$A:$A,$A867)&gt;0,"ok","à faire")</f>
        <v>ok</v>
      </c>
      <c r="G867" s="17" t="str">
        <f>IF(COUNTIF(Phrases!$A:$A,$A867)&gt;0,"ok","à faire")</f>
        <v>ok</v>
      </c>
      <c r="H867" s="17" t="str">
        <f>IF(COUNTIFS(Phrases!$A:$A,$A867,Phrases!$I:$I,"&lt;&gt;")&gt;0,"ok","à faire")</f>
        <v>ok</v>
      </c>
      <c r="I867" s="17" t="str">
        <f>IF(COUNTIF(Synonymes!$A:$A,$A867)&gt;0,"ok","")</f>
        <v/>
      </c>
      <c r="J867" s="17">
        <f t="shared" si="13"/>
        <v>0</v>
      </c>
    </row>
    <row r="868" spans="1:10" x14ac:dyDescent="0.3">
      <c r="A868" s="17" t="s">
        <v>4662</v>
      </c>
      <c r="B868" s="17" t="str">
        <f>IFERROR(INDEX(Mots!$B:$B,MATCH($A868,Mots!$A:$A,0)),"introuvable")</f>
        <v>la météo</v>
      </c>
      <c r="C868" s="17" t="str">
        <f>IFERROR(INDEX(Mots!$N:$N,MATCH($A868,Mots!$A:$A,0)),"")</f>
        <v>chose</v>
      </c>
      <c r="D868" s="17">
        <f>IFERROR(COUNTA(INDEX(Mots!$E:$E,MATCH($A868,Mots!$A:$A,0)):INDEX(Mots!$K:$K,MATCH($A868,Mots!$A:$A,0))),0)</f>
        <v>4</v>
      </c>
      <c r="E868" s="17" t="str">
        <f>IF(COUNTIF(Classement!$A:$A,$A868)&gt;0,"ok","à faire")</f>
        <v>ok</v>
      </c>
      <c r="F868" s="17" t="str">
        <f>IF(COUNTIF(Tags!$A:$A,$A868)&gt;0,"ok","à faire")</f>
        <v>ok</v>
      </c>
      <c r="G868" s="17" t="str">
        <f>IF(COUNTIF(Phrases!$A:$A,$A868)&gt;0,"ok","à faire")</f>
        <v>ok</v>
      </c>
      <c r="H868" s="17" t="str">
        <f>IF(COUNTIFS(Phrases!$A:$A,$A868,Phrases!$I:$I,"&lt;&gt;")&gt;0,"ok","à faire")</f>
        <v>ok</v>
      </c>
      <c r="I868" s="17" t="str">
        <f>IF(COUNTIF(Synonymes!$A:$A,$A868)&gt;0,"ok","")</f>
        <v/>
      </c>
      <c r="J868" s="17">
        <f t="shared" si="13"/>
        <v>0</v>
      </c>
    </row>
    <row r="869" spans="1:10" x14ac:dyDescent="0.3">
      <c r="A869" s="17" t="s">
        <v>4669</v>
      </c>
      <c r="B869" s="17" t="str">
        <f>IFERROR(INDEX(Mots!$B:$B,MATCH($A869,Mots!$A:$A,0)),"introuvable")</f>
        <v>la moitié</v>
      </c>
      <c r="C869" s="17" t="str">
        <f>IFERROR(INDEX(Mots!$N:$N,MATCH($A869,Mots!$A:$A,0)),"")</f>
        <v>chose</v>
      </c>
      <c r="D869" s="17">
        <f>IFERROR(COUNTA(INDEX(Mots!$E:$E,MATCH($A869,Mots!$A:$A,0)):INDEX(Mots!$K:$K,MATCH($A869,Mots!$A:$A,0))),0)</f>
        <v>3</v>
      </c>
      <c r="E869" s="17" t="str">
        <f>IF(COUNTIF(Classement!$A:$A,$A869)&gt;0,"ok","à faire")</f>
        <v>ok</v>
      </c>
      <c r="F869" s="17" t="str">
        <f>IF(COUNTIF(Tags!$A:$A,$A869)&gt;0,"ok","à faire")</f>
        <v>à faire</v>
      </c>
      <c r="G869" s="17" t="str">
        <f>IF(COUNTIF(Phrases!$A:$A,$A869)&gt;0,"ok","à faire")</f>
        <v>ok</v>
      </c>
      <c r="H869" s="17" t="str">
        <f>IF(COUNTIFS(Phrases!$A:$A,$A869,Phrases!$I:$I,"&lt;&gt;")&gt;0,"ok","à faire")</f>
        <v>ok</v>
      </c>
      <c r="I869" s="17" t="str">
        <f>IF(COUNTIF(Synonymes!$A:$A,$A869)&gt;0,"ok","")</f>
        <v/>
      </c>
      <c r="J869" s="17">
        <f t="shared" si="13"/>
        <v>1</v>
      </c>
    </row>
    <row r="870" spans="1:10" x14ac:dyDescent="0.3">
      <c r="A870" s="17" t="s">
        <v>4675</v>
      </c>
      <c r="B870" s="17" t="str">
        <f>IFERROR(INDEX(Mots!$B:$B,MATCH($A870,Mots!$A:$A,0)),"introuvable")</f>
        <v>la montre</v>
      </c>
      <c r="C870" s="17" t="str">
        <f>IFERROR(INDEX(Mots!$N:$N,MATCH($A870,Mots!$A:$A,0)),"")</f>
        <v>chose</v>
      </c>
      <c r="D870" s="17">
        <f>IFERROR(COUNTA(INDEX(Mots!$E:$E,MATCH($A870,Mots!$A:$A,0)):INDEX(Mots!$K:$K,MATCH($A870,Mots!$A:$A,0))),0)</f>
        <v>5</v>
      </c>
      <c r="E870" s="17" t="str">
        <f>IF(COUNTIF(Classement!$A:$A,$A870)&gt;0,"ok","à faire")</f>
        <v>ok</v>
      </c>
      <c r="F870" s="17" t="str">
        <f>IF(COUNTIF(Tags!$A:$A,$A870)&gt;0,"ok","à faire")</f>
        <v>ok</v>
      </c>
      <c r="G870" s="17" t="str">
        <f>IF(COUNTIF(Phrases!$A:$A,$A870)&gt;0,"ok","à faire")</f>
        <v>à faire</v>
      </c>
      <c r="H870" s="17" t="str">
        <f>IF(COUNTIFS(Phrases!$A:$A,$A870,Phrases!$I:$I,"&lt;&gt;")&gt;0,"ok","à faire")</f>
        <v>à faire</v>
      </c>
      <c r="I870" s="17" t="str">
        <f>IF(COUNTIF(Synonymes!$A:$A,$A870)&gt;0,"ok","")</f>
        <v/>
      </c>
      <c r="J870" s="17">
        <f t="shared" si="13"/>
        <v>2</v>
      </c>
    </row>
    <row r="871" spans="1:10" x14ac:dyDescent="0.3">
      <c r="A871" s="17" t="s">
        <v>4683</v>
      </c>
      <c r="B871" s="17" t="str">
        <f>IFERROR(INDEX(Mots!$B:$B,MATCH($A871,Mots!$A:$A,0)),"introuvable")</f>
        <v>la mousse</v>
      </c>
      <c r="C871" s="17" t="str">
        <f>IFERROR(INDEX(Mots!$N:$N,MATCH($A871,Mots!$A:$A,0)),"")</f>
        <v>chose</v>
      </c>
      <c r="D871" s="17">
        <f>IFERROR(COUNTA(INDEX(Mots!$E:$E,MATCH($A871,Mots!$A:$A,0)):INDEX(Mots!$K:$K,MATCH($A871,Mots!$A:$A,0))),0)</f>
        <v>5</v>
      </c>
      <c r="E871" s="17" t="str">
        <f>IF(COUNTIF(Classement!$A:$A,$A871)&gt;0,"ok","à faire")</f>
        <v>ok</v>
      </c>
      <c r="F871" s="17" t="str">
        <f>IF(COUNTIF(Tags!$A:$A,$A871)&gt;0,"ok","à faire")</f>
        <v>ok</v>
      </c>
      <c r="G871" s="17" t="str">
        <f>IF(COUNTIF(Phrases!$A:$A,$A871)&gt;0,"ok","à faire")</f>
        <v>à faire</v>
      </c>
      <c r="H871" s="17" t="str">
        <f>IF(COUNTIFS(Phrases!$A:$A,$A871,Phrases!$I:$I,"&lt;&gt;")&gt;0,"ok","à faire")</f>
        <v>à faire</v>
      </c>
      <c r="I871" s="17" t="str">
        <f>IF(COUNTIF(Synonymes!$A:$A,$A871)&gt;0,"ok","")</f>
        <v/>
      </c>
      <c r="J871" s="17">
        <f t="shared" si="13"/>
        <v>2</v>
      </c>
    </row>
    <row r="872" spans="1:10" x14ac:dyDescent="0.3">
      <c r="A872" s="17" t="s">
        <v>4691</v>
      </c>
      <c r="B872" s="17" t="str">
        <f>IFERROR(INDEX(Mots!$B:$B,MATCH($A872,Mots!$A:$A,0)),"introuvable")</f>
        <v>la naissance</v>
      </c>
      <c r="C872" s="17" t="str">
        <f>IFERROR(INDEX(Mots!$N:$N,MATCH($A872,Mots!$A:$A,0)),"")</f>
        <v>mot utile</v>
      </c>
      <c r="D872" s="17">
        <f>IFERROR(COUNTA(INDEX(Mots!$E:$E,MATCH($A872,Mots!$A:$A,0)):INDEX(Mots!$K:$K,MATCH($A872,Mots!$A:$A,0))),0)</f>
        <v>1</v>
      </c>
      <c r="E872" s="17" t="str">
        <f>IF(COUNTIF(Classement!$A:$A,$A872)&gt;0,"ok","à faire")</f>
        <v>ok</v>
      </c>
      <c r="F872" s="17" t="str">
        <f>IF(COUNTIF(Tags!$A:$A,$A872)&gt;0,"ok","à faire")</f>
        <v>ok</v>
      </c>
      <c r="G872" s="17" t="str">
        <f>IF(COUNTIF(Phrases!$A:$A,$A872)&gt;0,"ok","à faire")</f>
        <v>à faire</v>
      </c>
      <c r="H872" s="17" t="str">
        <f>IF(COUNTIFS(Phrases!$A:$A,$A872,Phrases!$I:$I,"&lt;&gt;")&gt;0,"ok","à faire")</f>
        <v>à faire</v>
      </c>
      <c r="I872" s="17" t="str">
        <f>IF(COUNTIF(Synonymes!$A:$A,$A872)&gt;0,"ok","")</f>
        <v/>
      </c>
      <c r="J872" s="17">
        <f t="shared" si="13"/>
        <v>2</v>
      </c>
    </row>
    <row r="873" spans="1:10" x14ac:dyDescent="0.3">
      <c r="A873" s="17" t="s">
        <v>69</v>
      </c>
      <c r="B873" s="17" t="str">
        <f>IFERROR(INDEX(Mots!$B:$B,MATCH($A873,Mots!$A:$A,0)),"introuvable")</f>
        <v>la nature</v>
      </c>
      <c r="C873" s="17" t="str">
        <f>IFERROR(INDEX(Mots!$N:$N,MATCH($A873,Mots!$A:$A,0)),"")</f>
        <v>chose</v>
      </c>
      <c r="D873" s="17">
        <f>IFERROR(COUNTA(INDEX(Mots!$E:$E,MATCH($A873,Mots!$A:$A,0)):INDEX(Mots!$K:$K,MATCH($A873,Mots!$A:$A,0))),0)</f>
        <v>1</v>
      </c>
      <c r="E873" s="17" t="str">
        <f>IF(COUNTIF(Classement!$A:$A,$A873)&gt;0,"ok","à faire")</f>
        <v>ok</v>
      </c>
      <c r="F873" s="17" t="str">
        <f>IF(COUNTIF(Tags!$A:$A,$A873)&gt;0,"ok","à faire")</f>
        <v>ok</v>
      </c>
      <c r="G873" s="17" t="str">
        <f>IF(COUNTIF(Phrases!$A:$A,$A873)&gt;0,"ok","à faire")</f>
        <v>à faire</v>
      </c>
      <c r="H873" s="17" t="str">
        <f>IF(COUNTIFS(Phrases!$A:$A,$A873,Phrases!$I:$I,"&lt;&gt;")&gt;0,"ok","à faire")</f>
        <v>à faire</v>
      </c>
      <c r="I873" s="17" t="str">
        <f>IF(COUNTIF(Synonymes!$A:$A,$A873)&gt;0,"ok","")</f>
        <v/>
      </c>
      <c r="J873" s="17">
        <f t="shared" si="13"/>
        <v>2</v>
      </c>
    </row>
    <row r="874" spans="1:10" x14ac:dyDescent="0.3">
      <c r="A874" s="17" t="s">
        <v>4698</v>
      </c>
      <c r="B874" s="17" t="str">
        <f>IFERROR(INDEX(Mots!$B:$B,MATCH($A874,Mots!$A:$A,0)),"introuvable")</f>
        <v>la neige</v>
      </c>
      <c r="C874" s="17" t="str">
        <f>IFERROR(INDEX(Mots!$N:$N,MATCH($A874,Mots!$A:$A,0)),"")</f>
        <v>chose</v>
      </c>
      <c r="D874" s="17">
        <f>IFERROR(COUNTA(INDEX(Mots!$E:$E,MATCH($A874,Mots!$A:$A,0)):INDEX(Mots!$K:$K,MATCH($A874,Mots!$A:$A,0))),0)</f>
        <v>1</v>
      </c>
      <c r="E874" s="17" t="str">
        <f>IF(COUNTIF(Classement!$A:$A,$A874)&gt;0,"ok","à faire")</f>
        <v>ok</v>
      </c>
      <c r="F874" s="17" t="str">
        <f>IF(COUNTIF(Tags!$A:$A,$A874)&gt;0,"ok","à faire")</f>
        <v>ok</v>
      </c>
      <c r="G874" s="17" t="str">
        <f>IF(COUNTIF(Phrases!$A:$A,$A874)&gt;0,"ok","à faire")</f>
        <v>à faire</v>
      </c>
      <c r="H874" s="17" t="str">
        <f>IF(COUNTIFS(Phrases!$A:$A,$A874,Phrases!$I:$I,"&lt;&gt;")&gt;0,"ok","à faire")</f>
        <v>à faire</v>
      </c>
      <c r="I874" s="17" t="str">
        <f>IF(COUNTIF(Synonymes!$A:$A,$A874)&gt;0,"ok","")</f>
        <v/>
      </c>
      <c r="J874" s="17">
        <f t="shared" si="13"/>
        <v>2</v>
      </c>
    </row>
    <row r="875" spans="1:10" x14ac:dyDescent="0.3">
      <c r="A875" s="17" t="s">
        <v>4702</v>
      </c>
      <c r="B875" s="17" t="str">
        <f>IFERROR(INDEX(Mots!$B:$B,MATCH($A875,Mots!$A:$A,0)),"introuvable")</f>
        <v>la nouvelle</v>
      </c>
      <c r="C875" s="17" t="str">
        <f>IFERROR(INDEX(Mots!$N:$N,MATCH($A875,Mots!$A:$A,0)),"")</f>
        <v>chose</v>
      </c>
      <c r="D875" s="17">
        <f>IFERROR(COUNTA(INDEX(Mots!$E:$E,MATCH($A875,Mots!$A:$A,0)):INDEX(Mots!$K:$K,MATCH($A875,Mots!$A:$A,0))),0)</f>
        <v>5</v>
      </c>
      <c r="E875" s="17" t="str">
        <f>IF(COUNTIF(Classement!$A:$A,$A875)&gt;0,"ok","à faire")</f>
        <v>ok</v>
      </c>
      <c r="F875" s="17" t="str">
        <f>IF(COUNTIF(Tags!$A:$A,$A875)&gt;0,"ok","à faire")</f>
        <v>à faire</v>
      </c>
      <c r="G875" s="17" t="str">
        <f>IF(COUNTIF(Phrases!$A:$A,$A875)&gt;0,"ok","à faire")</f>
        <v>à faire</v>
      </c>
      <c r="H875" s="17" t="str">
        <f>IF(COUNTIFS(Phrases!$A:$A,$A875,Phrases!$I:$I,"&lt;&gt;")&gt;0,"ok","à faire")</f>
        <v>à faire</v>
      </c>
      <c r="I875" s="17" t="str">
        <f>IF(COUNTIF(Synonymes!$A:$A,$A875)&gt;0,"ok","")</f>
        <v>ok</v>
      </c>
      <c r="J875" s="17">
        <f t="shared" si="13"/>
        <v>3</v>
      </c>
    </row>
    <row r="876" spans="1:10" x14ac:dyDescent="0.3">
      <c r="A876" s="17" t="s">
        <v>4710</v>
      </c>
      <c r="B876" s="17" t="str">
        <f>IFERROR(INDEX(Mots!$B:$B,MATCH($A876,Mots!$A:$A,0)),"introuvable")</f>
        <v>la nuance</v>
      </c>
      <c r="C876" s="17" t="str">
        <f>IFERROR(INDEX(Mots!$N:$N,MATCH($A876,Mots!$A:$A,0)),"")</f>
        <v>chose</v>
      </c>
      <c r="D876" s="17">
        <f>IFERROR(COUNTA(INDEX(Mots!$E:$E,MATCH($A876,Mots!$A:$A,0)):INDEX(Mots!$K:$K,MATCH($A876,Mots!$A:$A,0))),0)</f>
        <v>3</v>
      </c>
      <c r="E876" s="17" t="str">
        <f>IF(COUNTIF(Classement!$A:$A,$A876)&gt;0,"ok","à faire")</f>
        <v>ok</v>
      </c>
      <c r="F876" s="17" t="str">
        <f>IF(COUNTIF(Tags!$A:$A,$A876)&gt;0,"ok","à faire")</f>
        <v>à faire</v>
      </c>
      <c r="G876" s="17" t="str">
        <f>IF(COUNTIF(Phrases!$A:$A,$A876)&gt;0,"ok","à faire")</f>
        <v>à faire</v>
      </c>
      <c r="H876" s="17" t="str">
        <f>IF(COUNTIFS(Phrases!$A:$A,$A876,Phrases!$I:$I,"&lt;&gt;")&gt;0,"ok","à faire")</f>
        <v>à faire</v>
      </c>
      <c r="I876" s="17" t="str">
        <f>IF(COUNTIF(Synonymes!$A:$A,$A876)&gt;0,"ok","")</f>
        <v>ok</v>
      </c>
      <c r="J876" s="17">
        <f t="shared" si="13"/>
        <v>3</v>
      </c>
    </row>
    <row r="877" spans="1:10" x14ac:dyDescent="0.3">
      <c r="A877" s="17" t="s">
        <v>4716</v>
      </c>
      <c r="B877" s="17" t="str">
        <f>IFERROR(INDEX(Mots!$B:$B,MATCH($A877,Mots!$A:$A,0)),"introuvable")</f>
        <v>la page</v>
      </c>
      <c r="C877" s="17" t="str">
        <f>IFERROR(INDEX(Mots!$N:$N,MATCH($A877,Mots!$A:$A,0)),"")</f>
        <v>chose</v>
      </c>
      <c r="D877" s="17">
        <f>IFERROR(COUNTA(INDEX(Mots!$E:$E,MATCH($A877,Mots!$A:$A,0)):INDEX(Mots!$K:$K,MATCH($A877,Mots!$A:$A,0))),0)</f>
        <v>1</v>
      </c>
      <c r="E877" s="17" t="str">
        <f>IF(COUNTIF(Classement!$A:$A,$A877)&gt;0,"ok","à faire")</f>
        <v>ok</v>
      </c>
      <c r="F877" s="17" t="str">
        <f>IF(COUNTIF(Tags!$A:$A,$A877)&gt;0,"ok","à faire")</f>
        <v>à faire</v>
      </c>
      <c r="G877" s="17" t="str">
        <f>IF(COUNTIF(Phrases!$A:$A,$A877)&gt;0,"ok","à faire")</f>
        <v>à faire</v>
      </c>
      <c r="H877" s="17" t="str">
        <f>IF(COUNTIFS(Phrases!$A:$A,$A877,Phrases!$I:$I,"&lt;&gt;")&gt;0,"ok","à faire")</f>
        <v>à faire</v>
      </c>
      <c r="I877" s="17" t="str">
        <f>IF(COUNTIF(Synonymes!$A:$A,$A877)&gt;0,"ok","")</f>
        <v/>
      </c>
      <c r="J877" s="17">
        <f t="shared" si="13"/>
        <v>3</v>
      </c>
    </row>
    <row r="878" spans="1:10" x14ac:dyDescent="0.3">
      <c r="A878" s="17" t="s">
        <v>4720</v>
      </c>
      <c r="B878" s="17" t="str">
        <f>IFERROR(INDEX(Mots!$B:$B,MATCH($A878,Mots!$A:$A,0)),"introuvable")</f>
        <v>la paix</v>
      </c>
      <c r="C878" s="17" t="str">
        <f>IFERROR(INDEX(Mots!$N:$N,MATCH($A878,Mots!$A:$A,0)),"")</f>
        <v>chose</v>
      </c>
      <c r="D878" s="17">
        <f>IFERROR(COUNTA(INDEX(Mots!$E:$E,MATCH($A878,Mots!$A:$A,0)):INDEX(Mots!$K:$K,MATCH($A878,Mots!$A:$A,0))),0)</f>
        <v>1</v>
      </c>
      <c r="E878" s="17" t="str">
        <f>IF(COUNTIF(Classement!$A:$A,$A878)&gt;0,"ok","à faire")</f>
        <v>ok</v>
      </c>
      <c r="F878" s="17" t="str">
        <f>IF(COUNTIF(Tags!$A:$A,$A878)&gt;0,"ok","à faire")</f>
        <v>à faire</v>
      </c>
      <c r="G878" s="17" t="str">
        <f>IF(COUNTIF(Phrases!$A:$A,$A878)&gt;0,"ok","à faire")</f>
        <v>à faire</v>
      </c>
      <c r="H878" s="17" t="str">
        <f>IF(COUNTIFS(Phrases!$A:$A,$A878,Phrases!$I:$I,"&lt;&gt;")&gt;0,"ok","à faire")</f>
        <v>à faire</v>
      </c>
      <c r="I878" s="17" t="str">
        <f>IF(COUNTIF(Synonymes!$A:$A,$A878)&gt;0,"ok","")</f>
        <v/>
      </c>
      <c r="J878" s="17">
        <f t="shared" si="13"/>
        <v>3</v>
      </c>
    </row>
    <row r="879" spans="1:10" x14ac:dyDescent="0.3">
      <c r="A879" s="17" t="s">
        <v>4724</v>
      </c>
      <c r="B879" s="17" t="str">
        <f>IFERROR(INDEX(Mots!$B:$B,MATCH($A879,Mots!$A:$A,0)),"introuvable")</f>
        <v>la panne</v>
      </c>
      <c r="C879" s="17" t="str">
        <f>IFERROR(INDEX(Mots!$N:$N,MATCH($A879,Mots!$A:$A,0)),"")</f>
        <v>mot utile</v>
      </c>
      <c r="D879" s="17">
        <f>IFERROR(COUNTA(INDEX(Mots!$E:$E,MATCH($A879,Mots!$A:$A,0)):INDEX(Mots!$K:$K,MATCH($A879,Mots!$A:$A,0))),0)</f>
        <v>5</v>
      </c>
      <c r="E879" s="17" t="str">
        <f>IF(COUNTIF(Classement!$A:$A,$A879)&gt;0,"ok","à faire")</f>
        <v>ok</v>
      </c>
      <c r="F879" s="17" t="str">
        <f>IF(COUNTIF(Tags!$A:$A,$A879)&gt;0,"ok","à faire")</f>
        <v>ok</v>
      </c>
      <c r="G879" s="17" t="str">
        <f>IF(COUNTIF(Phrases!$A:$A,$A879)&gt;0,"ok","à faire")</f>
        <v>à faire</v>
      </c>
      <c r="H879" s="17" t="str">
        <f>IF(COUNTIFS(Phrases!$A:$A,$A879,Phrases!$I:$I,"&lt;&gt;")&gt;0,"ok","à faire")</f>
        <v>à faire</v>
      </c>
      <c r="I879" s="17" t="str">
        <f>IF(COUNTIF(Synonymes!$A:$A,$A879)&gt;0,"ok","")</f>
        <v/>
      </c>
      <c r="J879" s="17">
        <f t="shared" si="13"/>
        <v>2</v>
      </c>
    </row>
    <row r="880" spans="1:10" x14ac:dyDescent="0.3">
      <c r="A880" s="17" t="s">
        <v>4732</v>
      </c>
      <c r="B880" s="17" t="str">
        <f>IFERROR(INDEX(Mots!$B:$B,MATCH($A880,Mots!$A:$A,0)),"introuvable")</f>
        <v>la paroi</v>
      </c>
      <c r="C880" s="17" t="str">
        <f>IFERROR(INDEX(Mots!$N:$N,MATCH($A880,Mots!$A:$A,0)),"")</f>
        <v>chose</v>
      </c>
      <c r="D880" s="17">
        <f>IFERROR(COUNTA(INDEX(Mots!$E:$E,MATCH($A880,Mots!$A:$A,0)):INDEX(Mots!$K:$K,MATCH($A880,Mots!$A:$A,0))),0)</f>
        <v>3</v>
      </c>
      <c r="E880" s="17" t="str">
        <f>IF(COUNTIF(Classement!$A:$A,$A880)&gt;0,"ok","à faire")</f>
        <v>ok</v>
      </c>
      <c r="F880" s="17" t="str">
        <f>IF(COUNTIF(Tags!$A:$A,$A880)&gt;0,"ok","à faire")</f>
        <v>ok</v>
      </c>
      <c r="G880" s="17" t="str">
        <f>IF(COUNTIF(Phrases!$A:$A,$A880)&gt;0,"ok","à faire")</f>
        <v>ok</v>
      </c>
      <c r="H880" s="17" t="str">
        <f>IF(COUNTIFS(Phrases!$A:$A,$A880,Phrases!$I:$I,"&lt;&gt;")&gt;0,"ok","à faire")</f>
        <v>à faire</v>
      </c>
      <c r="I880" s="17" t="str">
        <f>IF(COUNTIF(Synonymes!$A:$A,$A880)&gt;0,"ok","")</f>
        <v>ok</v>
      </c>
      <c r="J880" s="17">
        <f t="shared" si="13"/>
        <v>1</v>
      </c>
    </row>
    <row r="881" spans="1:10" x14ac:dyDescent="0.3">
      <c r="A881" s="17" t="s">
        <v>4738</v>
      </c>
      <c r="B881" s="17" t="str">
        <f>IFERROR(INDEX(Mots!$B:$B,MATCH($A881,Mots!$A:$A,0)),"introuvable")</f>
        <v>la part</v>
      </c>
      <c r="C881" s="17" t="str">
        <f>IFERROR(INDEX(Mots!$N:$N,MATCH($A881,Mots!$A:$A,0)),"")</f>
        <v>chose</v>
      </c>
      <c r="D881" s="17">
        <f>IFERROR(COUNTA(INDEX(Mots!$E:$E,MATCH($A881,Mots!$A:$A,0)):INDEX(Mots!$K:$K,MATCH($A881,Mots!$A:$A,0))),0)</f>
        <v>2</v>
      </c>
      <c r="E881" s="17" t="str">
        <f>IF(COUNTIF(Classement!$A:$A,$A881)&gt;0,"ok","à faire")</f>
        <v>ok</v>
      </c>
      <c r="F881" s="17" t="str">
        <f>IF(COUNTIF(Tags!$A:$A,$A881)&gt;0,"ok","à faire")</f>
        <v>à faire</v>
      </c>
      <c r="G881" s="17" t="str">
        <f>IF(COUNTIF(Phrases!$A:$A,$A881)&gt;0,"ok","à faire")</f>
        <v>à faire</v>
      </c>
      <c r="H881" s="17" t="str">
        <f>IF(COUNTIFS(Phrases!$A:$A,$A881,Phrases!$I:$I,"&lt;&gt;")&gt;0,"ok","à faire")</f>
        <v>à faire</v>
      </c>
      <c r="I881" s="17" t="str">
        <f>IF(COUNTIF(Synonymes!$A:$A,$A881)&gt;0,"ok","")</f>
        <v/>
      </c>
      <c r="J881" s="17">
        <f t="shared" si="13"/>
        <v>3</v>
      </c>
    </row>
    <row r="882" spans="1:10" x14ac:dyDescent="0.3">
      <c r="A882" s="17" t="s">
        <v>4743</v>
      </c>
      <c r="B882" s="17" t="str">
        <f>IFERROR(INDEX(Mots!$B:$B,MATCH($A882,Mots!$A:$A,0)),"introuvable")</f>
        <v>la partie</v>
      </c>
      <c r="C882" s="17" t="str">
        <f>IFERROR(INDEX(Mots!$N:$N,MATCH($A882,Mots!$A:$A,0)),"")</f>
        <v>chose</v>
      </c>
      <c r="D882" s="17">
        <f>IFERROR(COUNTA(INDEX(Mots!$E:$E,MATCH($A882,Mots!$A:$A,0)):INDEX(Mots!$K:$K,MATCH($A882,Mots!$A:$A,0))),0)</f>
        <v>1</v>
      </c>
      <c r="E882" s="17" t="str">
        <f>IF(COUNTIF(Classement!$A:$A,$A882)&gt;0,"ok","à faire")</f>
        <v>ok</v>
      </c>
      <c r="F882" s="17" t="str">
        <f>IF(COUNTIF(Tags!$A:$A,$A882)&gt;0,"ok","à faire")</f>
        <v>à faire</v>
      </c>
      <c r="G882" s="17" t="str">
        <f>IF(COUNTIF(Phrases!$A:$A,$A882)&gt;0,"ok","à faire")</f>
        <v>à faire</v>
      </c>
      <c r="H882" s="17" t="str">
        <f>IF(COUNTIFS(Phrases!$A:$A,$A882,Phrases!$I:$I,"&lt;&gt;")&gt;0,"ok","à faire")</f>
        <v>à faire</v>
      </c>
      <c r="I882" s="17" t="str">
        <f>IF(COUNTIF(Synonymes!$A:$A,$A882)&gt;0,"ok","")</f>
        <v>ok</v>
      </c>
      <c r="J882" s="17">
        <f t="shared" si="13"/>
        <v>3</v>
      </c>
    </row>
    <row r="883" spans="1:10" x14ac:dyDescent="0.3">
      <c r="A883" s="17" t="s">
        <v>4746</v>
      </c>
      <c r="B883" s="17" t="str">
        <f>IFERROR(INDEX(Mots!$B:$B,MATCH($A883,Mots!$A:$A,0)),"introuvable")</f>
        <v>la patience</v>
      </c>
      <c r="C883" s="17" t="str">
        <f>IFERROR(INDEX(Mots!$N:$N,MATCH($A883,Mots!$A:$A,0)),"")</f>
        <v>personne</v>
      </c>
      <c r="D883" s="17">
        <f>IFERROR(COUNTA(INDEX(Mots!$E:$E,MATCH($A883,Mots!$A:$A,0)):INDEX(Mots!$K:$K,MATCH($A883,Mots!$A:$A,0))),0)</f>
        <v>1</v>
      </c>
      <c r="E883" s="17" t="str">
        <f>IF(COUNTIF(Classement!$A:$A,$A883)&gt;0,"ok","à faire")</f>
        <v>ok</v>
      </c>
      <c r="F883" s="17" t="str">
        <f>IF(COUNTIF(Tags!$A:$A,$A883)&gt;0,"ok","à faire")</f>
        <v>à faire</v>
      </c>
      <c r="G883" s="17" t="str">
        <f>IF(COUNTIF(Phrases!$A:$A,$A883)&gt;0,"ok","à faire")</f>
        <v>à faire</v>
      </c>
      <c r="H883" s="17" t="str">
        <f>IF(COUNTIFS(Phrases!$A:$A,$A883,Phrases!$I:$I,"&lt;&gt;")&gt;0,"ok","à faire")</f>
        <v>à faire</v>
      </c>
      <c r="I883" s="17" t="str">
        <f>IF(COUNTIF(Synonymes!$A:$A,$A883)&gt;0,"ok","")</f>
        <v/>
      </c>
      <c r="J883" s="17">
        <f t="shared" si="13"/>
        <v>3</v>
      </c>
    </row>
    <row r="884" spans="1:10" x14ac:dyDescent="0.3">
      <c r="A884" s="17" t="s">
        <v>4750</v>
      </c>
      <c r="B884" s="17" t="str">
        <f>IFERROR(INDEX(Mots!$B:$B,MATCH($A884,Mots!$A:$A,0)),"introuvable")</f>
        <v>la patte</v>
      </c>
      <c r="C884" s="17" t="str">
        <f>IFERROR(INDEX(Mots!$N:$N,MATCH($A884,Mots!$A:$A,0)),"")</f>
        <v>animal</v>
      </c>
      <c r="D884" s="17">
        <f>IFERROR(COUNTA(INDEX(Mots!$E:$E,MATCH($A884,Mots!$A:$A,0)):INDEX(Mots!$K:$K,MATCH($A884,Mots!$A:$A,0))),0)</f>
        <v>3</v>
      </c>
      <c r="E884" s="17" t="str">
        <f>IF(COUNTIF(Classement!$A:$A,$A884)&gt;0,"ok","à faire")</f>
        <v>ok</v>
      </c>
      <c r="F884" s="17" t="str">
        <f>IF(COUNTIF(Tags!$A:$A,$A884)&gt;0,"ok","à faire")</f>
        <v>ok</v>
      </c>
      <c r="G884" s="17" t="str">
        <f>IF(COUNTIF(Phrases!$A:$A,$A884)&gt;0,"ok","à faire")</f>
        <v>à faire</v>
      </c>
      <c r="H884" s="17" t="str">
        <f>IF(COUNTIFS(Phrases!$A:$A,$A884,Phrases!$I:$I,"&lt;&gt;")&gt;0,"ok","à faire")</f>
        <v>à faire</v>
      </c>
      <c r="I884" s="17" t="str">
        <f>IF(COUNTIF(Synonymes!$A:$A,$A884)&gt;0,"ok","")</f>
        <v/>
      </c>
      <c r="J884" s="17">
        <f t="shared" si="13"/>
        <v>2</v>
      </c>
    </row>
    <row r="885" spans="1:10" x14ac:dyDescent="0.3">
      <c r="A885" s="17" t="s">
        <v>4756</v>
      </c>
      <c r="B885" s="17" t="str">
        <f>IFERROR(INDEX(Mots!$B:$B,MATCH($A885,Mots!$A:$A,0)),"introuvable")</f>
        <v>la peine</v>
      </c>
      <c r="C885" s="17" t="str">
        <f>IFERROR(INDEX(Mots!$N:$N,MATCH($A885,Mots!$A:$A,0)),"")</f>
        <v>sentiment</v>
      </c>
      <c r="D885" s="17">
        <f>IFERROR(COUNTA(INDEX(Mots!$E:$E,MATCH($A885,Mots!$A:$A,0)):INDEX(Mots!$K:$K,MATCH($A885,Mots!$A:$A,0))),0)</f>
        <v>3</v>
      </c>
      <c r="E885" s="17" t="str">
        <f>IF(COUNTIF(Classement!$A:$A,$A885)&gt;0,"ok","à faire")</f>
        <v>ok</v>
      </c>
      <c r="F885" s="17" t="str">
        <f>IF(COUNTIF(Tags!$A:$A,$A885)&gt;0,"ok","à faire")</f>
        <v>ok</v>
      </c>
      <c r="G885" s="17" t="str">
        <f>IF(COUNTIF(Phrases!$A:$A,$A885)&gt;0,"ok","à faire")</f>
        <v>à faire</v>
      </c>
      <c r="H885" s="17" t="str">
        <f>IF(COUNTIFS(Phrases!$A:$A,$A885,Phrases!$I:$I,"&lt;&gt;")&gt;0,"ok","à faire")</f>
        <v>à faire</v>
      </c>
      <c r="I885" s="17" t="str">
        <f>IF(COUNTIF(Synonymes!$A:$A,$A885)&gt;0,"ok","")</f>
        <v/>
      </c>
      <c r="J885" s="17">
        <f t="shared" si="13"/>
        <v>2</v>
      </c>
    </row>
    <row r="886" spans="1:10" x14ac:dyDescent="0.3">
      <c r="A886" s="17" t="s">
        <v>4762</v>
      </c>
      <c r="B886" s="17" t="str">
        <f>IFERROR(INDEX(Mots!$B:$B,MATCH($A886,Mots!$A:$A,0)),"introuvable")</f>
        <v>la peinture</v>
      </c>
      <c r="C886" s="17" t="str">
        <f>IFERROR(INDEX(Mots!$N:$N,MATCH($A886,Mots!$A:$A,0)),"")</f>
        <v>chose</v>
      </c>
      <c r="D886" s="17">
        <f>IFERROR(COUNTA(INDEX(Mots!$E:$E,MATCH($A886,Mots!$A:$A,0)):INDEX(Mots!$K:$K,MATCH($A886,Mots!$A:$A,0))),0)</f>
        <v>5</v>
      </c>
      <c r="E886" s="17" t="str">
        <f>IF(COUNTIF(Classement!$A:$A,$A886)&gt;0,"ok","à faire")</f>
        <v>ok</v>
      </c>
      <c r="F886" s="17" t="str">
        <f>IF(COUNTIF(Tags!$A:$A,$A886)&gt;0,"ok","à faire")</f>
        <v>ok</v>
      </c>
      <c r="G886" s="17" t="str">
        <f>IF(COUNTIF(Phrases!$A:$A,$A886)&gt;0,"ok","à faire")</f>
        <v>à faire</v>
      </c>
      <c r="H886" s="17" t="str">
        <f>IF(COUNTIFS(Phrases!$A:$A,$A886,Phrases!$I:$I,"&lt;&gt;")&gt;0,"ok","à faire")</f>
        <v>à faire</v>
      </c>
      <c r="I886" s="17" t="str">
        <f>IF(COUNTIF(Synonymes!$A:$A,$A886)&gt;0,"ok","")</f>
        <v/>
      </c>
      <c r="J886" s="17">
        <f t="shared" si="13"/>
        <v>2</v>
      </c>
    </row>
    <row r="887" spans="1:10" x14ac:dyDescent="0.3">
      <c r="A887" s="17" t="s">
        <v>4770</v>
      </c>
      <c r="B887" s="17" t="str">
        <f>IFERROR(INDEX(Mots!$B:$B,MATCH($A887,Mots!$A:$A,0)),"introuvable")</f>
        <v>la pensée</v>
      </c>
      <c r="C887" s="17" t="str">
        <f>IFERROR(INDEX(Mots!$N:$N,MATCH($A887,Mots!$A:$A,0)),"")</f>
        <v>chose</v>
      </c>
      <c r="D887" s="17">
        <f>IFERROR(COUNTA(INDEX(Mots!$E:$E,MATCH($A887,Mots!$A:$A,0)):INDEX(Mots!$K:$K,MATCH($A887,Mots!$A:$A,0))),0)</f>
        <v>2</v>
      </c>
      <c r="E887" s="17" t="str">
        <f>IF(COUNTIF(Classement!$A:$A,$A887)&gt;0,"ok","à faire")</f>
        <v>ok</v>
      </c>
      <c r="F887" s="17" t="str">
        <f>IF(COUNTIF(Tags!$A:$A,$A887)&gt;0,"ok","à faire")</f>
        <v>à faire</v>
      </c>
      <c r="G887" s="17" t="str">
        <f>IF(COUNTIF(Phrases!$A:$A,$A887)&gt;0,"ok","à faire")</f>
        <v>à faire</v>
      </c>
      <c r="H887" s="17" t="str">
        <f>IF(COUNTIFS(Phrases!$A:$A,$A887,Phrases!$I:$I,"&lt;&gt;")&gt;0,"ok","à faire")</f>
        <v>à faire</v>
      </c>
      <c r="I887" s="17" t="str">
        <f>IF(COUNTIF(Synonymes!$A:$A,$A887)&gt;0,"ok","")</f>
        <v>ok</v>
      </c>
      <c r="J887" s="17">
        <f t="shared" si="13"/>
        <v>3</v>
      </c>
    </row>
    <row r="888" spans="1:10" x14ac:dyDescent="0.3">
      <c r="A888" s="17" t="s">
        <v>4775</v>
      </c>
      <c r="B888" s="17" t="str">
        <f>IFERROR(INDEX(Mots!$B:$B,MATCH($A888,Mots!$A:$A,0)),"introuvable")</f>
        <v>la période</v>
      </c>
      <c r="C888" s="17" t="str">
        <f>IFERROR(INDEX(Mots!$N:$N,MATCH($A888,Mots!$A:$A,0)),"")</f>
        <v>chose</v>
      </c>
      <c r="D888" s="17">
        <f>IFERROR(COUNTA(INDEX(Mots!$E:$E,MATCH($A888,Mots!$A:$A,0)):INDEX(Mots!$K:$K,MATCH($A888,Mots!$A:$A,0))),0)</f>
        <v>1</v>
      </c>
      <c r="E888" s="17" t="str">
        <f>IF(COUNTIF(Classement!$A:$A,$A888)&gt;0,"ok","à faire")</f>
        <v>ok</v>
      </c>
      <c r="F888" s="17" t="str">
        <f>IF(COUNTIF(Tags!$A:$A,$A888)&gt;0,"ok","à faire")</f>
        <v>à faire</v>
      </c>
      <c r="G888" s="17" t="str">
        <f>IF(COUNTIF(Phrases!$A:$A,$A888)&gt;0,"ok","à faire")</f>
        <v>à faire</v>
      </c>
      <c r="H888" s="17" t="str">
        <f>IF(COUNTIFS(Phrases!$A:$A,$A888,Phrases!$I:$I,"&lt;&gt;")&gt;0,"ok","à faire")</f>
        <v>à faire</v>
      </c>
      <c r="I888" s="17" t="str">
        <f>IF(COUNTIF(Synonymes!$A:$A,$A888)&gt;0,"ok","")</f>
        <v/>
      </c>
      <c r="J888" s="17">
        <f t="shared" si="13"/>
        <v>3</v>
      </c>
    </row>
    <row r="889" spans="1:10" x14ac:dyDescent="0.3">
      <c r="A889" s="17" t="s">
        <v>458</v>
      </c>
      <c r="B889" s="17" t="str">
        <f>IFERROR(INDEX(Mots!$B:$B,MATCH($A889,Mots!$A:$A,0)),"introuvable")</f>
        <v>la personne</v>
      </c>
      <c r="C889" s="17" t="str">
        <f>IFERROR(INDEX(Mots!$N:$N,MATCH($A889,Mots!$A:$A,0)),"")</f>
        <v>chose</v>
      </c>
      <c r="D889" s="17">
        <f>IFERROR(COUNTA(INDEX(Mots!$E:$E,MATCH($A889,Mots!$A:$A,0)):INDEX(Mots!$K:$K,MATCH($A889,Mots!$A:$A,0))),0)</f>
        <v>1</v>
      </c>
      <c r="E889" s="17" t="str">
        <f>IF(COUNTIF(Classement!$A:$A,$A889)&gt;0,"ok","à faire")</f>
        <v>ok</v>
      </c>
      <c r="F889" s="17" t="str">
        <f>IF(COUNTIF(Tags!$A:$A,$A889)&gt;0,"ok","à faire")</f>
        <v>ok</v>
      </c>
      <c r="G889" s="17" t="str">
        <f>IF(COUNTIF(Phrases!$A:$A,$A889)&gt;0,"ok","à faire")</f>
        <v>à faire</v>
      </c>
      <c r="H889" s="17" t="str">
        <f>IF(COUNTIFS(Phrases!$A:$A,$A889,Phrases!$I:$I,"&lt;&gt;")&gt;0,"ok","à faire")</f>
        <v>à faire</v>
      </c>
      <c r="I889" s="17" t="str">
        <f>IF(COUNTIF(Synonymes!$A:$A,$A889)&gt;0,"ok","")</f>
        <v/>
      </c>
      <c r="J889" s="17">
        <f t="shared" si="13"/>
        <v>2</v>
      </c>
    </row>
    <row r="890" spans="1:10" x14ac:dyDescent="0.3">
      <c r="A890" s="17" t="s">
        <v>4782</v>
      </c>
      <c r="B890" s="17" t="str">
        <f>IFERROR(INDEX(Mots!$B:$B,MATCH($A890,Mots!$A:$A,0)),"introuvable")</f>
        <v>la perte</v>
      </c>
      <c r="C890" s="17" t="str">
        <f>IFERROR(INDEX(Mots!$N:$N,MATCH($A890,Mots!$A:$A,0)),"")</f>
        <v>chose</v>
      </c>
      <c r="D890" s="17">
        <f>IFERROR(COUNTA(INDEX(Mots!$E:$E,MATCH($A890,Mots!$A:$A,0)):INDEX(Mots!$K:$K,MATCH($A890,Mots!$A:$A,0))),0)</f>
        <v>4</v>
      </c>
      <c r="E890" s="17" t="str">
        <f>IF(COUNTIF(Classement!$A:$A,$A890)&gt;0,"ok","à faire")</f>
        <v>ok</v>
      </c>
      <c r="F890" s="17" t="str">
        <f>IF(COUNTIF(Tags!$A:$A,$A890)&gt;0,"ok","à faire")</f>
        <v>à faire</v>
      </c>
      <c r="G890" s="17" t="str">
        <f>IF(COUNTIF(Phrases!$A:$A,$A890)&gt;0,"ok","à faire")</f>
        <v>à faire</v>
      </c>
      <c r="H890" s="17" t="str">
        <f>IF(COUNTIFS(Phrases!$A:$A,$A890,Phrases!$I:$I,"&lt;&gt;")&gt;0,"ok","à faire")</f>
        <v>à faire</v>
      </c>
      <c r="I890" s="17" t="str">
        <f>IF(COUNTIF(Synonymes!$A:$A,$A890)&gt;0,"ok","")</f>
        <v/>
      </c>
      <c r="J890" s="17">
        <f t="shared" si="13"/>
        <v>3</v>
      </c>
    </row>
    <row r="891" spans="1:10" x14ac:dyDescent="0.3">
      <c r="A891" s="17" t="s">
        <v>4789</v>
      </c>
      <c r="B891" s="17" t="str">
        <f>IFERROR(INDEX(Mots!$B:$B,MATCH($A891,Mots!$A:$A,0)),"introuvable")</f>
        <v>la pharmacie</v>
      </c>
      <c r="C891" s="17" t="str">
        <f>IFERROR(INDEX(Mots!$N:$N,MATCH($A891,Mots!$A:$A,0)),"")</f>
        <v>lieu</v>
      </c>
      <c r="D891" s="17">
        <f>IFERROR(COUNTA(INDEX(Mots!$E:$E,MATCH($A891,Mots!$A:$A,0)):INDEX(Mots!$K:$K,MATCH($A891,Mots!$A:$A,0))),0)</f>
        <v>5</v>
      </c>
      <c r="E891" s="17" t="str">
        <f>IF(COUNTIF(Classement!$A:$A,$A891)&gt;0,"ok","à faire")</f>
        <v>ok</v>
      </c>
      <c r="F891" s="17" t="str">
        <f>IF(COUNTIF(Tags!$A:$A,$A891)&gt;0,"ok","à faire")</f>
        <v>ok</v>
      </c>
      <c r="G891" s="17" t="str">
        <f>IF(COUNTIF(Phrases!$A:$A,$A891)&gt;0,"ok","à faire")</f>
        <v>à faire</v>
      </c>
      <c r="H891" s="17" t="str">
        <f>IF(COUNTIFS(Phrases!$A:$A,$A891,Phrases!$I:$I,"&lt;&gt;")&gt;0,"ok","à faire")</f>
        <v>à faire</v>
      </c>
      <c r="I891" s="17" t="str">
        <f>IF(COUNTIF(Synonymes!$A:$A,$A891)&gt;0,"ok","")</f>
        <v/>
      </c>
      <c r="J891" s="17">
        <f t="shared" si="13"/>
        <v>2</v>
      </c>
    </row>
    <row r="892" spans="1:10" x14ac:dyDescent="0.3">
      <c r="A892" s="17" t="s">
        <v>4797</v>
      </c>
      <c r="B892" s="17" t="str">
        <f>IFERROR(INDEX(Mots!$B:$B,MATCH($A892,Mots!$A:$A,0)),"introuvable")</f>
        <v>la photo</v>
      </c>
      <c r="C892" s="17" t="str">
        <f>IFERROR(INDEX(Mots!$N:$N,MATCH($A892,Mots!$A:$A,0)),"")</f>
        <v>chose</v>
      </c>
      <c r="D892" s="17">
        <f>IFERROR(COUNTA(INDEX(Mots!$E:$E,MATCH($A892,Mots!$A:$A,0)):INDEX(Mots!$K:$K,MATCH($A892,Mots!$A:$A,0))),0)</f>
        <v>5</v>
      </c>
      <c r="E892" s="17" t="str">
        <f>IF(COUNTIF(Classement!$A:$A,$A892)&gt;0,"ok","à faire")</f>
        <v>ok</v>
      </c>
      <c r="F892" s="17" t="str">
        <f>IF(COUNTIF(Tags!$A:$A,$A892)&gt;0,"ok","à faire")</f>
        <v>ok</v>
      </c>
      <c r="G892" s="17" t="str">
        <f>IF(COUNTIF(Phrases!$A:$A,$A892)&gt;0,"ok","à faire")</f>
        <v>à faire</v>
      </c>
      <c r="H892" s="17" t="str">
        <f>IF(COUNTIFS(Phrases!$A:$A,$A892,Phrases!$I:$I,"&lt;&gt;")&gt;0,"ok","à faire")</f>
        <v>à faire</v>
      </c>
      <c r="I892" s="17" t="str">
        <f>IF(COUNTIF(Synonymes!$A:$A,$A892)&gt;0,"ok","")</f>
        <v/>
      </c>
      <c r="J892" s="17">
        <f t="shared" si="13"/>
        <v>2</v>
      </c>
    </row>
    <row r="893" spans="1:10" x14ac:dyDescent="0.3">
      <c r="A893" s="17" t="s">
        <v>4805</v>
      </c>
      <c r="B893" s="17" t="str">
        <f>IFERROR(INDEX(Mots!$B:$B,MATCH($A893,Mots!$A:$A,0)),"introuvable")</f>
        <v>la pierre</v>
      </c>
      <c r="C893" s="17" t="str">
        <f>IFERROR(INDEX(Mots!$N:$N,MATCH($A893,Mots!$A:$A,0)),"")</f>
        <v>chose</v>
      </c>
      <c r="D893" s="17">
        <f>IFERROR(COUNTA(INDEX(Mots!$E:$E,MATCH($A893,Mots!$A:$A,0)):INDEX(Mots!$K:$K,MATCH($A893,Mots!$A:$A,0))),0)</f>
        <v>5</v>
      </c>
      <c r="E893" s="17" t="str">
        <f>IF(COUNTIF(Classement!$A:$A,$A893)&gt;0,"ok","à faire")</f>
        <v>ok</v>
      </c>
      <c r="F893" s="17" t="str">
        <f>IF(COUNTIF(Tags!$A:$A,$A893)&gt;0,"ok","à faire")</f>
        <v>à faire</v>
      </c>
      <c r="G893" s="17" t="str">
        <f>IF(COUNTIF(Phrases!$A:$A,$A893)&gt;0,"ok","à faire")</f>
        <v>à faire</v>
      </c>
      <c r="H893" s="17" t="str">
        <f>IF(COUNTIFS(Phrases!$A:$A,$A893,Phrases!$I:$I,"&lt;&gt;")&gt;0,"ok","à faire")</f>
        <v>à faire</v>
      </c>
      <c r="I893" s="17" t="str">
        <f>IF(COUNTIF(Synonymes!$A:$A,$A893)&gt;0,"ok","")</f>
        <v>ok</v>
      </c>
      <c r="J893" s="17">
        <f t="shared" si="13"/>
        <v>3</v>
      </c>
    </row>
    <row r="894" spans="1:10" x14ac:dyDescent="0.3">
      <c r="A894" s="17" t="s">
        <v>4813</v>
      </c>
      <c r="B894" s="17" t="str">
        <f>IFERROR(INDEX(Mots!$B:$B,MATCH($A894,Mots!$A:$A,0)),"introuvable")</f>
        <v>la pince</v>
      </c>
      <c r="C894" s="17" t="str">
        <f>IFERROR(INDEX(Mots!$N:$N,MATCH($A894,Mots!$A:$A,0)),"")</f>
        <v>chose</v>
      </c>
      <c r="D894" s="17">
        <f>IFERROR(COUNTA(INDEX(Mots!$E:$E,MATCH($A894,Mots!$A:$A,0)):INDEX(Mots!$K:$K,MATCH($A894,Mots!$A:$A,0))),0)</f>
        <v>5</v>
      </c>
      <c r="E894" s="17" t="str">
        <f>IF(COUNTIF(Classement!$A:$A,$A894)&gt;0,"ok","à faire")</f>
        <v>ok</v>
      </c>
      <c r="F894" s="17" t="str">
        <f>IF(COUNTIF(Tags!$A:$A,$A894)&gt;0,"ok","à faire")</f>
        <v>ok</v>
      </c>
      <c r="G894" s="17" t="str">
        <f>IF(COUNTIF(Phrases!$A:$A,$A894)&gt;0,"ok","à faire")</f>
        <v>à faire</v>
      </c>
      <c r="H894" s="17" t="str">
        <f>IF(COUNTIFS(Phrases!$A:$A,$A894,Phrases!$I:$I,"&lt;&gt;")&gt;0,"ok","à faire")</f>
        <v>à faire</v>
      </c>
      <c r="I894" s="17" t="str">
        <f>IF(COUNTIF(Synonymes!$A:$A,$A894)&gt;0,"ok","")</f>
        <v/>
      </c>
      <c r="J894" s="17">
        <f t="shared" si="13"/>
        <v>2</v>
      </c>
    </row>
    <row r="895" spans="1:10" x14ac:dyDescent="0.3">
      <c r="A895" s="17" t="s">
        <v>4821</v>
      </c>
      <c r="B895" s="17" t="str">
        <f>IFERROR(INDEX(Mots!$B:$B,MATCH($A895,Mots!$A:$A,0)),"introuvable")</f>
        <v>la piqûre</v>
      </c>
      <c r="C895" s="17" t="str">
        <f>IFERROR(INDEX(Mots!$N:$N,MATCH($A895,Mots!$A:$A,0)),"")</f>
        <v>animal</v>
      </c>
      <c r="D895" s="17">
        <f>IFERROR(COUNTA(INDEX(Mots!$E:$E,MATCH($A895,Mots!$A:$A,0)):INDEX(Mots!$K:$K,MATCH($A895,Mots!$A:$A,0))),0)</f>
        <v>5</v>
      </c>
      <c r="E895" s="17" t="str">
        <f>IF(COUNTIF(Classement!$A:$A,$A895)&gt;0,"ok","à faire")</f>
        <v>ok</v>
      </c>
      <c r="F895" s="17" t="str">
        <f>IF(COUNTIF(Tags!$A:$A,$A895)&gt;0,"ok","à faire")</f>
        <v>ok</v>
      </c>
      <c r="G895" s="17" t="str">
        <f>IF(COUNTIF(Phrases!$A:$A,$A895)&gt;0,"ok","à faire")</f>
        <v>à faire</v>
      </c>
      <c r="H895" s="17" t="str">
        <f>IF(COUNTIFS(Phrases!$A:$A,$A895,Phrases!$I:$I,"&lt;&gt;")&gt;0,"ok","à faire")</f>
        <v>à faire</v>
      </c>
      <c r="I895" s="17" t="str">
        <f>IF(COUNTIF(Synonymes!$A:$A,$A895)&gt;0,"ok","")</f>
        <v/>
      </c>
      <c r="J895" s="17">
        <f t="shared" si="13"/>
        <v>2</v>
      </c>
    </row>
    <row r="896" spans="1:10" x14ac:dyDescent="0.3">
      <c r="A896" s="17" t="s">
        <v>4829</v>
      </c>
      <c r="B896" s="17" t="str">
        <f>IFERROR(INDEX(Mots!$B:$B,MATCH($A896,Mots!$A:$A,0)),"introuvable")</f>
        <v>la piscine</v>
      </c>
      <c r="C896" s="17" t="str">
        <f>IFERROR(INDEX(Mots!$N:$N,MATCH($A896,Mots!$A:$A,0)),"")</f>
        <v>chose</v>
      </c>
      <c r="D896" s="17">
        <f>IFERROR(COUNTA(INDEX(Mots!$E:$E,MATCH($A896,Mots!$A:$A,0)):INDEX(Mots!$K:$K,MATCH($A896,Mots!$A:$A,0))),0)</f>
        <v>5</v>
      </c>
      <c r="E896" s="17" t="str">
        <f>IF(COUNTIF(Classement!$A:$A,$A896)&gt;0,"ok","à faire")</f>
        <v>ok</v>
      </c>
      <c r="F896" s="17" t="str">
        <f>IF(COUNTIF(Tags!$A:$A,$A896)&gt;0,"ok","à faire")</f>
        <v>à faire</v>
      </c>
      <c r="G896" s="17" t="str">
        <f>IF(COUNTIF(Phrases!$A:$A,$A896)&gt;0,"ok","à faire")</f>
        <v>à faire</v>
      </c>
      <c r="H896" s="17" t="str">
        <f>IF(COUNTIFS(Phrases!$A:$A,$A896,Phrases!$I:$I,"&lt;&gt;")&gt;0,"ok","à faire")</f>
        <v>à faire</v>
      </c>
      <c r="I896" s="17" t="str">
        <f>IF(COUNTIF(Synonymes!$A:$A,$A896)&gt;0,"ok","")</f>
        <v/>
      </c>
      <c r="J896" s="17">
        <f t="shared" si="13"/>
        <v>3</v>
      </c>
    </row>
    <row r="897" spans="1:10" x14ac:dyDescent="0.3">
      <c r="A897" s="17" t="s">
        <v>4837</v>
      </c>
      <c r="B897" s="17" t="str">
        <f>IFERROR(INDEX(Mots!$B:$B,MATCH($A897,Mots!$A:$A,0)),"introuvable")</f>
        <v>la pitié</v>
      </c>
      <c r="C897" s="17" t="str">
        <f>IFERROR(INDEX(Mots!$N:$N,MATCH($A897,Mots!$A:$A,0)),"")</f>
        <v>chose</v>
      </c>
      <c r="D897" s="17">
        <f>IFERROR(COUNTA(INDEX(Mots!$E:$E,MATCH($A897,Mots!$A:$A,0)):INDEX(Mots!$K:$K,MATCH($A897,Mots!$A:$A,0))),0)</f>
        <v>2</v>
      </c>
      <c r="E897" s="17" t="str">
        <f>IF(COUNTIF(Classement!$A:$A,$A897)&gt;0,"ok","à faire")</f>
        <v>ok</v>
      </c>
      <c r="F897" s="17" t="str">
        <f>IF(COUNTIF(Tags!$A:$A,$A897)&gt;0,"ok","à faire")</f>
        <v>à faire</v>
      </c>
      <c r="G897" s="17" t="str">
        <f>IF(COUNTIF(Phrases!$A:$A,$A897)&gt;0,"ok","à faire")</f>
        <v>à faire</v>
      </c>
      <c r="H897" s="17" t="str">
        <f>IF(COUNTIFS(Phrases!$A:$A,$A897,Phrases!$I:$I,"&lt;&gt;")&gt;0,"ok","à faire")</f>
        <v>à faire</v>
      </c>
      <c r="I897" s="17" t="str">
        <f>IF(COUNTIF(Synonymes!$A:$A,$A897)&gt;0,"ok","")</f>
        <v/>
      </c>
      <c r="J897" s="17">
        <f t="shared" ref="J897:J960" si="14">COUNTIF(E897:H897,"à faire")</f>
        <v>3</v>
      </c>
    </row>
    <row r="898" spans="1:10" x14ac:dyDescent="0.3">
      <c r="A898" s="17" t="s">
        <v>4842</v>
      </c>
      <c r="B898" s="17" t="str">
        <f>IFERROR(INDEX(Mots!$B:$B,MATCH($A898,Mots!$A:$A,0)),"introuvable")</f>
        <v>la place</v>
      </c>
      <c r="C898" s="17" t="str">
        <f>IFERROR(INDEX(Mots!$N:$N,MATCH($A898,Mots!$A:$A,0)),"")</f>
        <v>lieu</v>
      </c>
      <c r="D898" s="17">
        <f>IFERROR(COUNTA(INDEX(Mots!$E:$E,MATCH($A898,Mots!$A:$A,0)):INDEX(Mots!$K:$K,MATCH($A898,Mots!$A:$A,0))),0)</f>
        <v>1</v>
      </c>
      <c r="E898" s="17" t="str">
        <f>IF(COUNTIF(Classement!$A:$A,$A898)&gt;0,"ok","à faire")</f>
        <v>ok</v>
      </c>
      <c r="F898" s="17" t="str">
        <f>IF(COUNTIF(Tags!$A:$A,$A898)&gt;0,"ok","à faire")</f>
        <v>ok</v>
      </c>
      <c r="G898" s="17" t="str">
        <f>IF(COUNTIF(Phrases!$A:$A,$A898)&gt;0,"ok","à faire")</f>
        <v>à faire</v>
      </c>
      <c r="H898" s="17" t="str">
        <f>IF(COUNTIFS(Phrases!$A:$A,$A898,Phrases!$I:$I,"&lt;&gt;")&gt;0,"ok","à faire")</f>
        <v>à faire</v>
      </c>
      <c r="I898" s="17" t="str">
        <f>IF(COUNTIF(Synonymes!$A:$A,$A898)&gt;0,"ok","")</f>
        <v/>
      </c>
      <c r="J898" s="17">
        <f t="shared" si="14"/>
        <v>2</v>
      </c>
    </row>
    <row r="899" spans="1:10" x14ac:dyDescent="0.3">
      <c r="A899" s="17" t="s">
        <v>4846</v>
      </c>
      <c r="B899" s="17" t="str">
        <f>IFERROR(INDEX(Mots!$B:$B,MATCH($A899,Mots!$A:$A,0)),"introuvable")</f>
        <v>la plage</v>
      </c>
      <c r="C899" s="17" t="str">
        <f>IFERROR(INDEX(Mots!$N:$N,MATCH($A899,Mots!$A:$A,0)),"")</f>
        <v>chose</v>
      </c>
      <c r="D899" s="17">
        <f>IFERROR(COUNTA(INDEX(Mots!$E:$E,MATCH($A899,Mots!$A:$A,0)):INDEX(Mots!$K:$K,MATCH($A899,Mots!$A:$A,0))),0)</f>
        <v>5</v>
      </c>
      <c r="E899" s="17" t="str">
        <f>IF(COUNTIF(Classement!$A:$A,$A899)&gt;0,"ok","à faire")</f>
        <v>ok</v>
      </c>
      <c r="F899" s="17" t="str">
        <f>IF(COUNTIF(Tags!$A:$A,$A899)&gt;0,"ok","à faire")</f>
        <v>à faire</v>
      </c>
      <c r="G899" s="17" t="str">
        <f>IF(COUNTIF(Phrases!$A:$A,$A899)&gt;0,"ok","à faire")</f>
        <v>à faire</v>
      </c>
      <c r="H899" s="17" t="str">
        <f>IF(COUNTIFS(Phrases!$A:$A,$A899,Phrases!$I:$I,"&lt;&gt;")&gt;0,"ok","à faire")</f>
        <v>à faire</v>
      </c>
      <c r="I899" s="17" t="str">
        <f>IF(COUNTIF(Synonymes!$A:$A,$A899)&gt;0,"ok","")</f>
        <v/>
      </c>
      <c r="J899" s="17">
        <f t="shared" si="14"/>
        <v>3</v>
      </c>
    </row>
    <row r="900" spans="1:10" x14ac:dyDescent="0.3">
      <c r="A900" s="17" t="s">
        <v>4854</v>
      </c>
      <c r="B900" s="17" t="str">
        <f>IFERROR(INDEX(Mots!$B:$B,MATCH($A900,Mots!$A:$A,0)),"introuvable")</f>
        <v>la planète</v>
      </c>
      <c r="C900" s="17" t="str">
        <f>IFERROR(INDEX(Mots!$N:$N,MATCH($A900,Mots!$A:$A,0)),"")</f>
        <v>chose</v>
      </c>
      <c r="D900" s="17">
        <f>IFERROR(COUNTA(INDEX(Mots!$E:$E,MATCH($A900,Mots!$A:$A,0)):INDEX(Mots!$K:$K,MATCH($A900,Mots!$A:$A,0))),0)</f>
        <v>5</v>
      </c>
      <c r="E900" s="17" t="str">
        <f>IF(COUNTIF(Classement!$A:$A,$A900)&gt;0,"ok","à faire")</f>
        <v>ok</v>
      </c>
      <c r="F900" s="17" t="str">
        <f>IF(COUNTIF(Tags!$A:$A,$A900)&gt;0,"ok","à faire")</f>
        <v>ok</v>
      </c>
      <c r="G900" s="17" t="str">
        <f>IF(COUNTIF(Phrases!$A:$A,$A900)&gt;0,"ok","à faire")</f>
        <v>à faire</v>
      </c>
      <c r="H900" s="17" t="str">
        <f>IF(COUNTIFS(Phrases!$A:$A,$A900,Phrases!$I:$I,"&lt;&gt;")&gt;0,"ok","à faire")</f>
        <v>à faire</v>
      </c>
      <c r="I900" s="17" t="str">
        <f>IF(COUNTIF(Synonymes!$A:$A,$A900)&gt;0,"ok","")</f>
        <v/>
      </c>
      <c r="J900" s="17">
        <f t="shared" si="14"/>
        <v>2</v>
      </c>
    </row>
    <row r="901" spans="1:10" x14ac:dyDescent="0.3">
      <c r="A901" s="17" t="s">
        <v>4862</v>
      </c>
      <c r="B901" s="17" t="str">
        <f>IFERROR(INDEX(Mots!$B:$B,MATCH($A901,Mots!$A:$A,0)),"introuvable")</f>
        <v>la pluie</v>
      </c>
      <c r="C901" s="17" t="str">
        <f>IFERROR(INDEX(Mots!$N:$N,MATCH($A901,Mots!$A:$A,0)),"")</f>
        <v>chose</v>
      </c>
      <c r="D901" s="17">
        <f>IFERROR(COUNTA(INDEX(Mots!$E:$E,MATCH($A901,Mots!$A:$A,0)):INDEX(Mots!$K:$K,MATCH($A901,Mots!$A:$A,0))),0)</f>
        <v>5</v>
      </c>
      <c r="E901" s="17" t="str">
        <f>IF(COUNTIF(Classement!$A:$A,$A901)&gt;0,"ok","à faire")</f>
        <v>ok</v>
      </c>
      <c r="F901" s="17" t="str">
        <f>IF(COUNTIF(Tags!$A:$A,$A901)&gt;0,"ok","à faire")</f>
        <v>ok</v>
      </c>
      <c r="G901" s="17" t="str">
        <f>IF(COUNTIF(Phrases!$A:$A,$A901)&gt;0,"ok","à faire")</f>
        <v>à faire</v>
      </c>
      <c r="H901" s="17" t="str">
        <f>IF(COUNTIFS(Phrases!$A:$A,$A901,Phrases!$I:$I,"&lt;&gt;")&gt;0,"ok","à faire")</f>
        <v>à faire</v>
      </c>
      <c r="I901" s="17" t="str">
        <f>IF(COUNTIF(Synonymes!$A:$A,$A901)&gt;0,"ok","")</f>
        <v/>
      </c>
      <c r="J901" s="17">
        <f t="shared" si="14"/>
        <v>2</v>
      </c>
    </row>
    <row r="902" spans="1:10" x14ac:dyDescent="0.3">
      <c r="A902" s="17" t="s">
        <v>4870</v>
      </c>
      <c r="B902" s="17" t="str">
        <f>IFERROR(INDEX(Mots!$B:$B,MATCH($A902,Mots!$A:$A,0)),"introuvable")</f>
        <v>la plume</v>
      </c>
      <c r="C902" s="17" t="str">
        <f>IFERROR(INDEX(Mots!$N:$N,MATCH($A902,Mots!$A:$A,0)),"")</f>
        <v>animal</v>
      </c>
      <c r="D902" s="17">
        <f>IFERROR(COUNTA(INDEX(Mots!$E:$E,MATCH($A902,Mots!$A:$A,0)):INDEX(Mots!$K:$K,MATCH($A902,Mots!$A:$A,0))),0)</f>
        <v>5</v>
      </c>
      <c r="E902" s="17" t="str">
        <f>IF(COUNTIF(Classement!$A:$A,$A902)&gt;0,"ok","à faire")</f>
        <v>ok</v>
      </c>
      <c r="F902" s="17" t="str">
        <f>IF(COUNTIF(Tags!$A:$A,$A902)&gt;0,"ok","à faire")</f>
        <v>ok</v>
      </c>
      <c r="G902" s="17" t="str">
        <f>IF(COUNTIF(Phrases!$A:$A,$A902)&gt;0,"ok","à faire")</f>
        <v>à faire</v>
      </c>
      <c r="H902" s="17" t="str">
        <f>IF(COUNTIFS(Phrases!$A:$A,$A902,Phrases!$I:$I,"&lt;&gt;")&gt;0,"ok","à faire")</f>
        <v>à faire</v>
      </c>
      <c r="I902" s="17" t="str">
        <f>IF(COUNTIF(Synonymes!$A:$A,$A902)&gt;0,"ok","")</f>
        <v/>
      </c>
      <c r="J902" s="17">
        <f t="shared" si="14"/>
        <v>2</v>
      </c>
    </row>
    <row r="903" spans="1:10" x14ac:dyDescent="0.3">
      <c r="A903" s="17" t="s">
        <v>4878</v>
      </c>
      <c r="B903" s="17" t="str">
        <f>IFERROR(INDEX(Mots!$B:$B,MATCH($A903,Mots!$A:$A,0)),"introuvable")</f>
        <v>la poche</v>
      </c>
      <c r="C903" s="17" t="str">
        <f>IFERROR(INDEX(Mots!$N:$N,MATCH($A903,Mots!$A:$A,0)),"")</f>
        <v>chose</v>
      </c>
      <c r="D903" s="17">
        <f>IFERROR(COUNTA(INDEX(Mots!$E:$E,MATCH($A903,Mots!$A:$A,0)):INDEX(Mots!$K:$K,MATCH($A903,Mots!$A:$A,0))),0)</f>
        <v>1</v>
      </c>
      <c r="E903" s="17" t="str">
        <f>IF(COUNTIF(Classement!$A:$A,$A903)&gt;0,"ok","à faire")</f>
        <v>ok</v>
      </c>
      <c r="F903" s="17" t="str">
        <f>IF(COUNTIF(Tags!$A:$A,$A903)&gt;0,"ok","à faire")</f>
        <v>ok</v>
      </c>
      <c r="G903" s="17" t="str">
        <f>IF(COUNTIF(Phrases!$A:$A,$A903)&gt;0,"ok","à faire")</f>
        <v>à faire</v>
      </c>
      <c r="H903" s="17" t="str">
        <f>IF(COUNTIFS(Phrases!$A:$A,$A903,Phrases!$I:$I,"&lt;&gt;")&gt;0,"ok","à faire")</f>
        <v>à faire</v>
      </c>
      <c r="I903" s="17" t="str">
        <f>IF(COUNTIF(Synonymes!$A:$A,$A903)&gt;0,"ok","")</f>
        <v/>
      </c>
      <c r="J903" s="17">
        <f t="shared" si="14"/>
        <v>2</v>
      </c>
    </row>
    <row r="904" spans="1:10" x14ac:dyDescent="0.3">
      <c r="A904" s="17" t="s">
        <v>4882</v>
      </c>
      <c r="B904" s="17" t="str">
        <f>IFERROR(INDEX(Mots!$B:$B,MATCH($A904,Mots!$A:$A,0)),"introuvable")</f>
        <v>la politesse</v>
      </c>
      <c r="C904" s="17" t="str">
        <f>IFERROR(INDEX(Mots!$N:$N,MATCH($A904,Mots!$A:$A,0)),"")</f>
        <v>chose</v>
      </c>
      <c r="D904" s="17">
        <f>IFERROR(COUNTA(INDEX(Mots!$E:$E,MATCH($A904,Mots!$A:$A,0)):INDEX(Mots!$K:$K,MATCH($A904,Mots!$A:$A,0))),0)</f>
        <v>0</v>
      </c>
      <c r="E904" s="17" t="str">
        <f>IF(COUNTIF(Classement!$A:$A,$A904)&gt;0,"ok","à faire")</f>
        <v>ok</v>
      </c>
      <c r="F904" s="17" t="str">
        <f>IF(COUNTIF(Tags!$A:$A,$A904)&gt;0,"ok","à faire")</f>
        <v>à faire</v>
      </c>
      <c r="G904" s="17" t="str">
        <f>IF(COUNTIF(Phrases!$A:$A,$A904)&gt;0,"ok","à faire")</f>
        <v>à faire</v>
      </c>
      <c r="H904" s="17" t="str">
        <f>IF(COUNTIFS(Phrases!$A:$A,$A904,Phrases!$I:$I,"&lt;&gt;")&gt;0,"ok","à faire")</f>
        <v>à faire</v>
      </c>
      <c r="I904" s="17" t="str">
        <f>IF(COUNTIF(Synonymes!$A:$A,$A904)&gt;0,"ok","")</f>
        <v/>
      </c>
      <c r="J904" s="17">
        <f t="shared" si="14"/>
        <v>3</v>
      </c>
    </row>
    <row r="905" spans="1:10" x14ac:dyDescent="0.3">
      <c r="A905" s="17" t="s">
        <v>4885</v>
      </c>
      <c r="B905" s="17" t="str">
        <f>IFERROR(INDEX(Mots!$B:$B,MATCH($A905,Mots!$A:$A,0)),"introuvable")</f>
        <v>la pommade</v>
      </c>
      <c r="C905" s="17" t="str">
        <f>IFERROR(INDEX(Mots!$N:$N,MATCH($A905,Mots!$A:$A,0)),"")</f>
        <v>chose</v>
      </c>
      <c r="D905" s="17">
        <f>IFERROR(COUNTA(INDEX(Mots!$E:$E,MATCH($A905,Mots!$A:$A,0)):INDEX(Mots!$K:$K,MATCH($A905,Mots!$A:$A,0))),0)</f>
        <v>5</v>
      </c>
      <c r="E905" s="17" t="str">
        <f>IF(COUNTIF(Classement!$A:$A,$A905)&gt;0,"ok","à faire")</f>
        <v>ok</v>
      </c>
      <c r="F905" s="17" t="str">
        <f>IF(COUNTIF(Tags!$A:$A,$A905)&gt;0,"ok","à faire")</f>
        <v>ok</v>
      </c>
      <c r="G905" s="17" t="str">
        <f>IF(COUNTIF(Phrases!$A:$A,$A905)&gt;0,"ok","à faire")</f>
        <v>à faire</v>
      </c>
      <c r="H905" s="17" t="str">
        <f>IF(COUNTIFS(Phrases!$A:$A,$A905,Phrases!$I:$I,"&lt;&gt;")&gt;0,"ok","à faire")</f>
        <v>à faire</v>
      </c>
      <c r="I905" s="17" t="str">
        <f>IF(COUNTIF(Synonymes!$A:$A,$A905)&gt;0,"ok","")</f>
        <v/>
      </c>
      <c r="J905" s="17">
        <f t="shared" si="14"/>
        <v>2</v>
      </c>
    </row>
    <row r="906" spans="1:10" x14ac:dyDescent="0.3">
      <c r="A906" s="17" t="s">
        <v>4893</v>
      </c>
      <c r="B906" s="17" t="str">
        <f>IFERROR(INDEX(Mots!$B:$B,MATCH($A906,Mots!$A:$A,0)),"introuvable")</f>
        <v>la possibilité</v>
      </c>
      <c r="C906" s="17" t="str">
        <f>IFERROR(INDEX(Mots!$N:$N,MATCH($A906,Mots!$A:$A,0)),"")</f>
        <v>chose</v>
      </c>
      <c r="D906" s="17">
        <f>IFERROR(COUNTA(INDEX(Mots!$E:$E,MATCH($A906,Mots!$A:$A,0)):INDEX(Mots!$K:$K,MATCH($A906,Mots!$A:$A,0))),0)</f>
        <v>3</v>
      </c>
      <c r="E906" s="17" t="str">
        <f>IF(COUNTIF(Classement!$A:$A,$A906)&gt;0,"ok","à faire")</f>
        <v>ok</v>
      </c>
      <c r="F906" s="17" t="str">
        <f>IF(COUNTIF(Tags!$A:$A,$A906)&gt;0,"ok","à faire")</f>
        <v>à faire</v>
      </c>
      <c r="G906" s="17" t="str">
        <f>IF(COUNTIF(Phrases!$A:$A,$A906)&gt;0,"ok","à faire")</f>
        <v>à faire</v>
      </c>
      <c r="H906" s="17" t="str">
        <f>IF(COUNTIFS(Phrases!$A:$A,$A906,Phrases!$I:$I,"&lt;&gt;")&gt;0,"ok","à faire")</f>
        <v>à faire</v>
      </c>
      <c r="I906" s="17" t="str">
        <f>IF(COUNTIF(Synonymes!$A:$A,$A906)&gt;0,"ok","")</f>
        <v>ok</v>
      </c>
      <c r="J906" s="17">
        <f t="shared" si="14"/>
        <v>3</v>
      </c>
    </row>
    <row r="907" spans="1:10" x14ac:dyDescent="0.3">
      <c r="A907" s="17" t="s">
        <v>4899</v>
      </c>
      <c r="B907" s="17" t="str">
        <f>IFERROR(INDEX(Mots!$B:$B,MATCH($A907,Mots!$A:$A,0)),"introuvable")</f>
        <v>la poste</v>
      </c>
      <c r="C907" s="17" t="str">
        <f>IFERROR(INDEX(Mots!$N:$N,MATCH($A907,Mots!$A:$A,0)),"")</f>
        <v>lieu</v>
      </c>
      <c r="D907" s="17">
        <f>IFERROR(COUNTA(INDEX(Mots!$E:$E,MATCH($A907,Mots!$A:$A,0)):INDEX(Mots!$K:$K,MATCH($A907,Mots!$A:$A,0))),0)</f>
        <v>5</v>
      </c>
      <c r="E907" s="17" t="str">
        <f>IF(COUNTIF(Classement!$A:$A,$A907)&gt;0,"ok","à faire")</f>
        <v>ok</v>
      </c>
      <c r="F907" s="17" t="str">
        <f>IF(COUNTIF(Tags!$A:$A,$A907)&gt;0,"ok","à faire")</f>
        <v>ok</v>
      </c>
      <c r="G907" s="17" t="str">
        <f>IF(COUNTIF(Phrases!$A:$A,$A907)&gt;0,"ok","à faire")</f>
        <v>à faire</v>
      </c>
      <c r="H907" s="17" t="str">
        <f>IF(COUNTIFS(Phrases!$A:$A,$A907,Phrases!$I:$I,"&lt;&gt;")&gt;0,"ok","à faire")</f>
        <v>à faire</v>
      </c>
      <c r="I907" s="17" t="str">
        <f>IF(COUNTIF(Synonymes!$A:$A,$A907)&gt;0,"ok","")</f>
        <v/>
      </c>
      <c r="J907" s="17">
        <f t="shared" si="14"/>
        <v>2</v>
      </c>
    </row>
    <row r="908" spans="1:10" x14ac:dyDescent="0.3">
      <c r="A908" s="17" t="s">
        <v>4906</v>
      </c>
      <c r="B908" s="17" t="str">
        <f>IFERROR(INDEX(Mots!$B:$B,MATCH($A908,Mots!$A:$A,0)),"introuvable")</f>
        <v>la poubelle</v>
      </c>
      <c r="C908" s="17" t="str">
        <f>IFERROR(INDEX(Mots!$N:$N,MATCH($A908,Mots!$A:$A,0)),"")</f>
        <v>chose</v>
      </c>
      <c r="D908" s="17">
        <f>IFERROR(COUNTA(INDEX(Mots!$E:$E,MATCH($A908,Mots!$A:$A,0)):INDEX(Mots!$K:$K,MATCH($A908,Mots!$A:$A,0))),0)</f>
        <v>5</v>
      </c>
      <c r="E908" s="17" t="str">
        <f>IF(COUNTIF(Classement!$A:$A,$A908)&gt;0,"ok","à faire")</f>
        <v>ok</v>
      </c>
      <c r="F908" s="17" t="str">
        <f>IF(COUNTIF(Tags!$A:$A,$A908)&gt;0,"ok","à faire")</f>
        <v>ok</v>
      </c>
      <c r="G908" s="17" t="str">
        <f>IF(COUNTIF(Phrases!$A:$A,$A908)&gt;0,"ok","à faire")</f>
        <v>à faire</v>
      </c>
      <c r="H908" s="17" t="str">
        <f>IF(COUNTIFS(Phrases!$A:$A,$A908,Phrases!$I:$I,"&lt;&gt;")&gt;0,"ok","à faire")</f>
        <v>à faire</v>
      </c>
      <c r="I908" s="17" t="str">
        <f>IF(COUNTIF(Synonymes!$A:$A,$A908)&gt;0,"ok","")</f>
        <v>ok</v>
      </c>
      <c r="J908" s="17">
        <f t="shared" si="14"/>
        <v>2</v>
      </c>
    </row>
    <row r="909" spans="1:10" x14ac:dyDescent="0.3">
      <c r="A909" s="17" t="s">
        <v>4914</v>
      </c>
      <c r="B909" s="17" t="str">
        <f>IFERROR(INDEX(Mots!$B:$B,MATCH($A909,Mots!$A:$A,0)),"introuvable")</f>
        <v>la poudre</v>
      </c>
      <c r="C909" s="17" t="str">
        <f>IFERROR(INDEX(Mots!$N:$N,MATCH($A909,Mots!$A:$A,0)),"")</f>
        <v>chose</v>
      </c>
      <c r="D909" s="17">
        <f>IFERROR(COUNTA(INDEX(Mots!$E:$E,MATCH($A909,Mots!$A:$A,0)):INDEX(Mots!$K:$K,MATCH($A909,Mots!$A:$A,0))),0)</f>
        <v>1</v>
      </c>
      <c r="E909" s="17" t="str">
        <f>IF(COUNTIF(Classement!$A:$A,$A909)&gt;0,"ok","à faire")</f>
        <v>ok</v>
      </c>
      <c r="F909" s="17" t="str">
        <f>IF(COUNTIF(Tags!$A:$A,$A909)&gt;0,"ok","à faire")</f>
        <v>ok</v>
      </c>
      <c r="G909" s="17" t="str">
        <f>IF(COUNTIF(Phrases!$A:$A,$A909)&gt;0,"ok","à faire")</f>
        <v>à faire</v>
      </c>
      <c r="H909" s="17" t="str">
        <f>IF(COUNTIFS(Phrases!$A:$A,$A909,Phrases!$I:$I,"&lt;&gt;")&gt;0,"ok","à faire")</f>
        <v>à faire</v>
      </c>
      <c r="I909" s="17" t="str">
        <f>IF(COUNTIF(Synonymes!$A:$A,$A909)&gt;0,"ok","")</f>
        <v/>
      </c>
      <c r="J909" s="17">
        <f t="shared" si="14"/>
        <v>2</v>
      </c>
    </row>
    <row r="910" spans="1:10" x14ac:dyDescent="0.3">
      <c r="A910" s="17" t="s">
        <v>4918</v>
      </c>
      <c r="B910" s="17" t="str">
        <f>IFERROR(INDEX(Mots!$B:$B,MATCH($A910,Mots!$A:$A,0)),"introuvable")</f>
        <v>la poussière</v>
      </c>
      <c r="C910" s="17" t="str">
        <f>IFERROR(INDEX(Mots!$N:$N,MATCH($A910,Mots!$A:$A,0)),"")</f>
        <v>chose</v>
      </c>
      <c r="D910" s="17">
        <f>IFERROR(COUNTA(INDEX(Mots!$E:$E,MATCH($A910,Mots!$A:$A,0)):INDEX(Mots!$K:$K,MATCH($A910,Mots!$A:$A,0))),0)</f>
        <v>5</v>
      </c>
      <c r="E910" s="17" t="str">
        <f>IF(COUNTIF(Classement!$A:$A,$A910)&gt;0,"ok","à faire")</f>
        <v>ok</v>
      </c>
      <c r="F910" s="17" t="str">
        <f>IF(COUNTIF(Tags!$A:$A,$A910)&gt;0,"ok","à faire")</f>
        <v>ok</v>
      </c>
      <c r="G910" s="17" t="str">
        <f>IF(COUNTIF(Phrases!$A:$A,$A910)&gt;0,"ok","à faire")</f>
        <v>à faire</v>
      </c>
      <c r="H910" s="17" t="str">
        <f>IF(COUNTIFS(Phrases!$A:$A,$A910,Phrases!$I:$I,"&lt;&gt;")&gt;0,"ok","à faire")</f>
        <v>à faire</v>
      </c>
      <c r="I910" s="17" t="str">
        <f>IF(COUNTIF(Synonymes!$A:$A,$A910)&gt;0,"ok","")</f>
        <v>ok</v>
      </c>
      <c r="J910" s="17">
        <f t="shared" si="14"/>
        <v>2</v>
      </c>
    </row>
    <row r="911" spans="1:10" x14ac:dyDescent="0.3">
      <c r="A911" s="17" t="s">
        <v>4926</v>
      </c>
      <c r="B911" s="17" t="str">
        <f>IFERROR(INDEX(Mots!$B:$B,MATCH($A911,Mots!$A:$A,0)),"introuvable")</f>
        <v>la prairie</v>
      </c>
      <c r="C911" s="17" t="str">
        <f>IFERROR(INDEX(Mots!$N:$N,MATCH($A911,Mots!$A:$A,0)),"")</f>
        <v>chose</v>
      </c>
      <c r="D911" s="17">
        <f>IFERROR(COUNTA(INDEX(Mots!$E:$E,MATCH($A911,Mots!$A:$A,0)):INDEX(Mots!$K:$K,MATCH($A911,Mots!$A:$A,0))),0)</f>
        <v>5</v>
      </c>
      <c r="E911" s="17" t="str">
        <f>IF(COUNTIF(Classement!$A:$A,$A911)&gt;0,"ok","à faire")</f>
        <v>ok</v>
      </c>
      <c r="F911" s="17" t="str">
        <f>IF(COUNTIF(Tags!$A:$A,$A911)&gt;0,"ok","à faire")</f>
        <v>ok</v>
      </c>
      <c r="G911" s="17" t="str">
        <f>IF(COUNTIF(Phrases!$A:$A,$A911)&gt;0,"ok","à faire")</f>
        <v>à faire</v>
      </c>
      <c r="H911" s="17" t="str">
        <f>IF(COUNTIFS(Phrases!$A:$A,$A911,Phrases!$I:$I,"&lt;&gt;")&gt;0,"ok","à faire")</f>
        <v>à faire</v>
      </c>
      <c r="I911" s="17" t="str">
        <f>IF(COUNTIF(Synonymes!$A:$A,$A911)&gt;0,"ok","")</f>
        <v>ok</v>
      </c>
      <c r="J911" s="17">
        <f t="shared" si="14"/>
        <v>2</v>
      </c>
    </row>
    <row r="912" spans="1:10" x14ac:dyDescent="0.3">
      <c r="A912" s="17" t="s">
        <v>4934</v>
      </c>
      <c r="B912" s="17" t="str">
        <f>IFERROR(INDEX(Mots!$B:$B,MATCH($A912,Mots!$A:$A,0)),"introuvable")</f>
        <v>la preuve</v>
      </c>
      <c r="C912" s="17" t="str">
        <f>IFERROR(INDEX(Mots!$N:$N,MATCH($A912,Mots!$A:$A,0)),"")</f>
        <v>chose</v>
      </c>
      <c r="D912" s="17">
        <f>IFERROR(COUNTA(INDEX(Mots!$E:$E,MATCH($A912,Mots!$A:$A,0)):INDEX(Mots!$K:$K,MATCH($A912,Mots!$A:$A,0))),0)</f>
        <v>4</v>
      </c>
      <c r="E912" s="17" t="str">
        <f>IF(COUNTIF(Classement!$A:$A,$A912)&gt;0,"ok","à faire")</f>
        <v>ok</v>
      </c>
      <c r="F912" s="17" t="str">
        <f>IF(COUNTIF(Tags!$A:$A,$A912)&gt;0,"ok","à faire")</f>
        <v>à faire</v>
      </c>
      <c r="G912" s="17" t="str">
        <f>IF(COUNTIF(Phrases!$A:$A,$A912)&gt;0,"ok","à faire")</f>
        <v>à faire</v>
      </c>
      <c r="H912" s="17" t="str">
        <f>IF(COUNTIFS(Phrases!$A:$A,$A912,Phrases!$I:$I,"&lt;&gt;")&gt;0,"ok","à faire")</f>
        <v>à faire</v>
      </c>
      <c r="I912" s="17" t="str">
        <f>IF(COUNTIF(Synonymes!$A:$A,$A912)&gt;0,"ok","")</f>
        <v/>
      </c>
      <c r="J912" s="17">
        <f t="shared" si="14"/>
        <v>3</v>
      </c>
    </row>
    <row r="913" spans="1:10" x14ac:dyDescent="0.3">
      <c r="A913" s="17" t="s">
        <v>4941</v>
      </c>
      <c r="B913" s="17" t="str">
        <f>IFERROR(INDEX(Mots!$B:$B,MATCH($A913,Mots!$A:$A,0)),"introuvable")</f>
        <v>la promenade</v>
      </c>
      <c r="C913" s="17" t="str">
        <f>IFERROR(INDEX(Mots!$N:$N,MATCH($A913,Mots!$A:$A,0)),"")</f>
        <v>chose</v>
      </c>
      <c r="D913" s="17">
        <f>IFERROR(COUNTA(INDEX(Mots!$E:$E,MATCH($A913,Mots!$A:$A,0)):INDEX(Mots!$K:$K,MATCH($A913,Mots!$A:$A,0))),0)</f>
        <v>5</v>
      </c>
      <c r="E913" s="17" t="str">
        <f>IF(COUNTIF(Classement!$A:$A,$A913)&gt;0,"ok","à faire")</f>
        <v>ok</v>
      </c>
      <c r="F913" s="17" t="str">
        <f>IF(COUNTIF(Tags!$A:$A,$A913)&gt;0,"ok","à faire")</f>
        <v>ok</v>
      </c>
      <c r="G913" s="17" t="str">
        <f>IF(COUNTIF(Phrases!$A:$A,$A913)&gt;0,"ok","à faire")</f>
        <v>à faire</v>
      </c>
      <c r="H913" s="17" t="str">
        <f>IF(COUNTIFS(Phrases!$A:$A,$A913,Phrases!$I:$I,"&lt;&gt;")&gt;0,"ok","à faire")</f>
        <v>à faire</v>
      </c>
      <c r="I913" s="17" t="str">
        <f>IF(COUNTIF(Synonymes!$A:$A,$A913)&gt;0,"ok","")</f>
        <v>ok</v>
      </c>
      <c r="J913" s="17">
        <f t="shared" si="14"/>
        <v>2</v>
      </c>
    </row>
    <row r="914" spans="1:10" x14ac:dyDescent="0.3">
      <c r="A914" s="17" t="s">
        <v>4949</v>
      </c>
      <c r="B914" s="17" t="str">
        <f>IFERROR(INDEX(Mots!$B:$B,MATCH($A914,Mots!$A:$A,0)),"introuvable")</f>
        <v>la promesse</v>
      </c>
      <c r="C914" s="17" t="str">
        <f>IFERROR(INDEX(Mots!$N:$N,MATCH($A914,Mots!$A:$A,0)),"")</f>
        <v>chose</v>
      </c>
      <c r="D914" s="17">
        <f>IFERROR(COUNTA(INDEX(Mots!$E:$E,MATCH($A914,Mots!$A:$A,0)):INDEX(Mots!$K:$K,MATCH($A914,Mots!$A:$A,0))),0)</f>
        <v>1</v>
      </c>
      <c r="E914" s="17" t="str">
        <f>IF(COUNTIF(Classement!$A:$A,$A914)&gt;0,"ok","à faire")</f>
        <v>ok</v>
      </c>
      <c r="F914" s="17" t="str">
        <f>IF(COUNTIF(Tags!$A:$A,$A914)&gt;0,"ok","à faire")</f>
        <v>à faire</v>
      </c>
      <c r="G914" s="17" t="str">
        <f>IF(COUNTIF(Phrases!$A:$A,$A914)&gt;0,"ok","à faire")</f>
        <v>à faire</v>
      </c>
      <c r="H914" s="17" t="str">
        <f>IF(COUNTIFS(Phrases!$A:$A,$A914,Phrases!$I:$I,"&lt;&gt;")&gt;0,"ok","à faire")</f>
        <v>à faire</v>
      </c>
      <c r="I914" s="17" t="str">
        <f>IF(COUNTIF(Synonymes!$A:$A,$A914)&gt;0,"ok","")</f>
        <v/>
      </c>
      <c r="J914" s="17">
        <f t="shared" si="14"/>
        <v>3</v>
      </c>
    </row>
    <row r="915" spans="1:10" x14ac:dyDescent="0.3">
      <c r="A915" s="17" t="s">
        <v>4953</v>
      </c>
      <c r="B915" s="17" t="str">
        <f>IFERROR(INDEX(Mots!$B:$B,MATCH($A915,Mots!$A:$A,0)),"introuvable")</f>
        <v>la protection</v>
      </c>
      <c r="C915" s="17" t="str">
        <f>IFERROR(INDEX(Mots!$N:$N,MATCH($A915,Mots!$A:$A,0)),"")</f>
        <v>chose</v>
      </c>
      <c r="D915" s="17">
        <f>IFERROR(COUNTA(INDEX(Mots!$E:$E,MATCH($A915,Mots!$A:$A,0)):INDEX(Mots!$K:$K,MATCH($A915,Mots!$A:$A,0))),0)</f>
        <v>1</v>
      </c>
      <c r="E915" s="17" t="str">
        <f>IF(COUNTIF(Classement!$A:$A,$A915)&gt;0,"ok","à faire")</f>
        <v>ok</v>
      </c>
      <c r="F915" s="17" t="str">
        <f>IF(COUNTIF(Tags!$A:$A,$A915)&gt;0,"ok","à faire")</f>
        <v>à faire</v>
      </c>
      <c r="G915" s="17" t="str">
        <f>IF(COUNTIF(Phrases!$A:$A,$A915)&gt;0,"ok","à faire")</f>
        <v>à faire</v>
      </c>
      <c r="H915" s="17" t="str">
        <f>IF(COUNTIFS(Phrases!$A:$A,$A915,Phrases!$I:$I,"&lt;&gt;")&gt;0,"ok","à faire")</f>
        <v>à faire</v>
      </c>
      <c r="I915" s="17" t="str">
        <f>IF(COUNTIF(Synonymes!$A:$A,$A915)&gt;0,"ok","")</f>
        <v/>
      </c>
      <c r="J915" s="17">
        <f t="shared" si="14"/>
        <v>3</v>
      </c>
    </row>
    <row r="916" spans="1:10" x14ac:dyDescent="0.3">
      <c r="A916" s="17" t="s">
        <v>4957</v>
      </c>
      <c r="B916" s="17" t="str">
        <f>IFERROR(INDEX(Mots!$B:$B,MATCH($A916,Mots!$A:$A,0)),"introuvable")</f>
        <v>la qualité</v>
      </c>
      <c r="C916" s="17" t="str">
        <f>IFERROR(INDEX(Mots!$N:$N,MATCH($A916,Mots!$A:$A,0)),"")</f>
        <v>chose</v>
      </c>
      <c r="D916" s="17">
        <f>IFERROR(COUNTA(INDEX(Mots!$E:$E,MATCH($A916,Mots!$A:$A,0)):INDEX(Mots!$K:$K,MATCH($A916,Mots!$A:$A,0))),0)</f>
        <v>1</v>
      </c>
      <c r="E916" s="17" t="str">
        <f>IF(COUNTIF(Classement!$A:$A,$A916)&gt;0,"ok","à faire")</f>
        <v>ok</v>
      </c>
      <c r="F916" s="17" t="str">
        <f>IF(COUNTIF(Tags!$A:$A,$A916)&gt;0,"ok","à faire")</f>
        <v>à faire</v>
      </c>
      <c r="G916" s="17" t="str">
        <f>IF(COUNTIF(Phrases!$A:$A,$A916)&gt;0,"ok","à faire")</f>
        <v>à faire</v>
      </c>
      <c r="H916" s="17" t="str">
        <f>IF(COUNTIFS(Phrases!$A:$A,$A916,Phrases!$I:$I,"&lt;&gt;")&gt;0,"ok","à faire")</f>
        <v>à faire</v>
      </c>
      <c r="I916" s="17" t="str">
        <f>IF(COUNTIF(Synonymes!$A:$A,$A916)&gt;0,"ok","")</f>
        <v/>
      </c>
      <c r="J916" s="17">
        <f t="shared" si="14"/>
        <v>3</v>
      </c>
    </row>
    <row r="917" spans="1:10" x14ac:dyDescent="0.3">
      <c r="A917" s="17" t="s">
        <v>4961</v>
      </c>
      <c r="B917" s="17" t="str">
        <f>IFERROR(INDEX(Mots!$B:$B,MATCH($A917,Mots!$A:$A,0)),"introuvable")</f>
        <v>la quantité</v>
      </c>
      <c r="C917" s="17" t="str">
        <f>IFERROR(INDEX(Mots!$N:$N,MATCH($A917,Mots!$A:$A,0)),"")</f>
        <v>mot utile</v>
      </c>
      <c r="D917" s="17">
        <f>IFERROR(COUNTA(INDEX(Mots!$E:$E,MATCH($A917,Mots!$A:$A,0)):INDEX(Mots!$K:$K,MATCH($A917,Mots!$A:$A,0))),0)</f>
        <v>1</v>
      </c>
      <c r="E917" s="17" t="str">
        <f>IF(COUNTIF(Classement!$A:$A,$A917)&gt;0,"ok","à faire")</f>
        <v>ok</v>
      </c>
      <c r="F917" s="17" t="str">
        <f>IF(COUNTIF(Tags!$A:$A,$A917)&gt;0,"ok","à faire")</f>
        <v>ok</v>
      </c>
      <c r="G917" s="17" t="str">
        <f>IF(COUNTIF(Phrases!$A:$A,$A917)&gt;0,"ok","à faire")</f>
        <v>à faire</v>
      </c>
      <c r="H917" s="17" t="str">
        <f>IF(COUNTIFS(Phrases!$A:$A,$A917,Phrases!$I:$I,"&lt;&gt;")&gt;0,"ok","à faire")</f>
        <v>à faire</v>
      </c>
      <c r="I917" s="17" t="str">
        <f>IF(COUNTIF(Synonymes!$A:$A,$A917)&gt;0,"ok","")</f>
        <v/>
      </c>
      <c r="J917" s="17">
        <f t="shared" si="14"/>
        <v>2</v>
      </c>
    </row>
    <row r="918" spans="1:10" x14ac:dyDescent="0.3">
      <c r="A918" s="17" t="s">
        <v>4965</v>
      </c>
      <c r="B918" s="17" t="str">
        <f>IFERROR(INDEX(Mots!$B:$B,MATCH($A918,Mots!$A:$A,0)),"introuvable")</f>
        <v>la question</v>
      </c>
      <c r="C918" s="17" t="str">
        <f>IFERROR(INDEX(Mots!$N:$N,MATCH($A918,Mots!$A:$A,0)),"")</f>
        <v>chose</v>
      </c>
      <c r="D918" s="17">
        <f>IFERROR(COUNTA(INDEX(Mots!$E:$E,MATCH($A918,Mots!$A:$A,0)):INDEX(Mots!$K:$K,MATCH($A918,Mots!$A:$A,0))),0)</f>
        <v>1</v>
      </c>
      <c r="E918" s="17" t="str">
        <f>IF(COUNTIF(Classement!$A:$A,$A918)&gt;0,"ok","à faire")</f>
        <v>ok</v>
      </c>
      <c r="F918" s="17" t="str">
        <f>IF(COUNTIF(Tags!$A:$A,$A918)&gt;0,"ok","à faire")</f>
        <v>ok</v>
      </c>
      <c r="G918" s="17" t="str">
        <f>IF(COUNTIF(Phrases!$A:$A,$A918)&gt;0,"ok","à faire")</f>
        <v>à faire</v>
      </c>
      <c r="H918" s="17" t="str">
        <f>IF(COUNTIFS(Phrases!$A:$A,$A918,Phrases!$I:$I,"&lt;&gt;")&gt;0,"ok","à faire")</f>
        <v>à faire</v>
      </c>
      <c r="I918" s="17" t="str">
        <f>IF(COUNTIF(Synonymes!$A:$A,$A918)&gt;0,"ok","")</f>
        <v/>
      </c>
      <c r="J918" s="17">
        <f t="shared" si="14"/>
        <v>2</v>
      </c>
    </row>
    <row r="919" spans="1:10" x14ac:dyDescent="0.3">
      <c r="A919" s="17" t="s">
        <v>4969</v>
      </c>
      <c r="B919" s="17" t="str">
        <f>IFERROR(INDEX(Mots!$B:$B,MATCH($A919,Mots!$A:$A,0)),"introuvable")</f>
        <v>la queue</v>
      </c>
      <c r="C919" s="17" t="str">
        <f>IFERROR(INDEX(Mots!$N:$N,MATCH($A919,Mots!$A:$A,0)),"")</f>
        <v>chose</v>
      </c>
      <c r="D919" s="17">
        <f>IFERROR(COUNTA(INDEX(Mots!$E:$E,MATCH($A919,Mots!$A:$A,0)):INDEX(Mots!$K:$K,MATCH($A919,Mots!$A:$A,0))),0)</f>
        <v>5</v>
      </c>
      <c r="E919" s="17" t="str">
        <f>IF(COUNTIF(Classement!$A:$A,$A919)&gt;0,"ok","à faire")</f>
        <v>ok</v>
      </c>
      <c r="F919" s="17" t="str">
        <f>IF(COUNTIF(Tags!$A:$A,$A919)&gt;0,"ok","à faire")</f>
        <v>à faire</v>
      </c>
      <c r="G919" s="17" t="str">
        <f>IF(COUNTIF(Phrases!$A:$A,$A919)&gt;0,"ok","à faire")</f>
        <v>à faire</v>
      </c>
      <c r="H919" s="17" t="str">
        <f>IF(COUNTIFS(Phrases!$A:$A,$A919,Phrases!$I:$I,"&lt;&gt;")&gt;0,"ok","à faire")</f>
        <v>à faire</v>
      </c>
      <c r="I919" s="17" t="str">
        <f>IF(COUNTIF(Synonymes!$A:$A,$A919)&gt;0,"ok","")</f>
        <v/>
      </c>
      <c r="J919" s="17">
        <f t="shared" si="14"/>
        <v>3</v>
      </c>
    </row>
    <row r="920" spans="1:10" x14ac:dyDescent="0.3">
      <c r="A920" s="17" t="s">
        <v>4977</v>
      </c>
      <c r="B920" s="17" t="str">
        <f>IFERROR(INDEX(Mots!$B:$B,MATCH($A920,Mots!$A:$A,0)),"introuvable")</f>
        <v>la racine</v>
      </c>
      <c r="C920" s="17" t="str">
        <f>IFERROR(INDEX(Mots!$N:$N,MATCH($A920,Mots!$A:$A,0)),"")</f>
        <v>chose</v>
      </c>
      <c r="D920" s="17">
        <f>IFERROR(COUNTA(INDEX(Mots!$E:$E,MATCH($A920,Mots!$A:$A,0)):INDEX(Mots!$K:$K,MATCH($A920,Mots!$A:$A,0))),0)</f>
        <v>5</v>
      </c>
      <c r="E920" s="17" t="str">
        <f>IF(COUNTIF(Classement!$A:$A,$A920)&gt;0,"ok","à faire")</f>
        <v>ok</v>
      </c>
      <c r="F920" s="17" t="str">
        <f>IF(COUNTIF(Tags!$A:$A,$A920)&gt;0,"ok","à faire")</f>
        <v>ok</v>
      </c>
      <c r="G920" s="17" t="str">
        <f>IF(COUNTIF(Phrases!$A:$A,$A920)&gt;0,"ok","à faire")</f>
        <v>à faire</v>
      </c>
      <c r="H920" s="17" t="str">
        <f>IF(COUNTIFS(Phrases!$A:$A,$A920,Phrases!$I:$I,"&lt;&gt;")&gt;0,"ok","à faire")</f>
        <v>à faire</v>
      </c>
      <c r="I920" s="17" t="str">
        <f>IF(COUNTIF(Synonymes!$A:$A,$A920)&gt;0,"ok","")</f>
        <v/>
      </c>
      <c r="J920" s="17">
        <f t="shared" si="14"/>
        <v>2</v>
      </c>
    </row>
    <row r="921" spans="1:10" x14ac:dyDescent="0.3">
      <c r="A921" s="17" t="s">
        <v>4985</v>
      </c>
      <c r="B921" s="17" t="str">
        <f>IFERROR(INDEX(Mots!$B:$B,MATCH($A921,Mots!$A:$A,0)),"introuvable")</f>
        <v>la randonnée</v>
      </c>
      <c r="C921" s="17" t="str">
        <f>IFERROR(INDEX(Mots!$N:$N,MATCH($A921,Mots!$A:$A,0)),"")</f>
        <v>chose</v>
      </c>
      <c r="D921" s="17">
        <f>IFERROR(COUNTA(INDEX(Mots!$E:$E,MATCH($A921,Mots!$A:$A,0)):INDEX(Mots!$K:$K,MATCH($A921,Mots!$A:$A,0))),0)</f>
        <v>5</v>
      </c>
      <c r="E921" s="17" t="str">
        <f>IF(COUNTIF(Classement!$A:$A,$A921)&gt;0,"ok","à faire")</f>
        <v>ok</v>
      </c>
      <c r="F921" s="17" t="str">
        <f>IF(COUNTIF(Tags!$A:$A,$A921)&gt;0,"ok","à faire")</f>
        <v>ok</v>
      </c>
      <c r="G921" s="17" t="str">
        <f>IF(COUNTIF(Phrases!$A:$A,$A921)&gt;0,"ok","à faire")</f>
        <v>à faire</v>
      </c>
      <c r="H921" s="17" t="str">
        <f>IF(COUNTIFS(Phrases!$A:$A,$A921,Phrases!$I:$I,"&lt;&gt;")&gt;0,"ok","à faire")</f>
        <v>à faire</v>
      </c>
      <c r="I921" s="17" t="str">
        <f>IF(COUNTIF(Synonymes!$A:$A,$A921)&gt;0,"ok","")</f>
        <v>ok</v>
      </c>
      <c r="J921" s="17">
        <f t="shared" si="14"/>
        <v>2</v>
      </c>
    </row>
    <row r="922" spans="1:10" x14ac:dyDescent="0.3">
      <c r="A922" s="17" t="s">
        <v>4993</v>
      </c>
      <c r="B922" s="17" t="str">
        <f>IFERROR(INDEX(Mots!$B:$B,MATCH($A922,Mots!$A:$A,0)),"introuvable")</f>
        <v>la rapidité</v>
      </c>
      <c r="C922" s="17" t="str">
        <f>IFERROR(INDEX(Mots!$N:$N,MATCH($A922,Mots!$A:$A,0)),"")</f>
        <v>chose</v>
      </c>
      <c r="D922" s="17">
        <f>IFERROR(COUNTA(INDEX(Mots!$E:$E,MATCH($A922,Mots!$A:$A,0)):INDEX(Mots!$K:$K,MATCH($A922,Mots!$A:$A,0))),0)</f>
        <v>4</v>
      </c>
      <c r="E922" s="17" t="str">
        <f>IF(COUNTIF(Classement!$A:$A,$A922)&gt;0,"ok","à faire")</f>
        <v>ok</v>
      </c>
      <c r="F922" s="17" t="str">
        <f>IF(COUNTIF(Tags!$A:$A,$A922)&gt;0,"ok","à faire")</f>
        <v>à faire</v>
      </c>
      <c r="G922" s="17" t="str">
        <f>IF(COUNTIF(Phrases!$A:$A,$A922)&gt;0,"ok","à faire")</f>
        <v>à faire</v>
      </c>
      <c r="H922" s="17" t="str">
        <f>IF(COUNTIFS(Phrases!$A:$A,$A922,Phrases!$I:$I,"&lt;&gt;")&gt;0,"ok","à faire")</f>
        <v>à faire</v>
      </c>
      <c r="I922" s="17" t="str">
        <f>IF(COUNTIF(Synonymes!$A:$A,$A922)&gt;0,"ok","")</f>
        <v>ok</v>
      </c>
      <c r="J922" s="17">
        <f t="shared" si="14"/>
        <v>3</v>
      </c>
    </row>
    <row r="923" spans="1:10" x14ac:dyDescent="0.3">
      <c r="A923" s="17" t="s">
        <v>5000</v>
      </c>
      <c r="B923" s="17" t="str">
        <f>IFERROR(INDEX(Mots!$B:$B,MATCH($A923,Mots!$A:$A,0)),"introuvable")</f>
        <v>la réaction</v>
      </c>
      <c r="C923" s="17" t="str">
        <f>IFERROR(INDEX(Mots!$N:$N,MATCH($A923,Mots!$A:$A,0)),"")</f>
        <v>chose</v>
      </c>
      <c r="D923" s="17">
        <f>IFERROR(COUNTA(INDEX(Mots!$E:$E,MATCH($A923,Mots!$A:$A,0)):INDEX(Mots!$K:$K,MATCH($A923,Mots!$A:$A,0))),0)</f>
        <v>2</v>
      </c>
      <c r="E923" s="17" t="str">
        <f>IF(COUNTIF(Classement!$A:$A,$A923)&gt;0,"ok","à faire")</f>
        <v>ok</v>
      </c>
      <c r="F923" s="17" t="str">
        <f>IF(COUNTIF(Tags!$A:$A,$A923)&gt;0,"ok","à faire")</f>
        <v>à faire</v>
      </c>
      <c r="G923" s="17" t="str">
        <f>IF(COUNTIF(Phrases!$A:$A,$A923)&gt;0,"ok","à faire")</f>
        <v>à faire</v>
      </c>
      <c r="H923" s="17" t="str">
        <f>IF(COUNTIFS(Phrases!$A:$A,$A923,Phrases!$I:$I,"&lt;&gt;")&gt;0,"ok","à faire")</f>
        <v>à faire</v>
      </c>
      <c r="I923" s="17" t="str">
        <f>IF(COUNTIF(Synonymes!$A:$A,$A923)&gt;0,"ok","")</f>
        <v/>
      </c>
      <c r="J923" s="17">
        <f t="shared" si="14"/>
        <v>3</v>
      </c>
    </row>
    <row r="924" spans="1:10" x14ac:dyDescent="0.3">
      <c r="A924" s="17" t="s">
        <v>5005</v>
      </c>
      <c r="B924" s="17" t="str">
        <f>IFERROR(INDEX(Mots!$B:$B,MATCH($A924,Mots!$A:$A,0)),"introuvable")</f>
        <v>la récolte</v>
      </c>
      <c r="C924" s="17" t="str">
        <f>IFERROR(INDEX(Mots!$N:$N,MATCH($A924,Mots!$A:$A,0)),"")</f>
        <v>chose</v>
      </c>
      <c r="D924" s="17">
        <f>IFERROR(COUNTA(INDEX(Mots!$E:$E,MATCH($A924,Mots!$A:$A,0)):INDEX(Mots!$K:$K,MATCH($A924,Mots!$A:$A,0))),0)</f>
        <v>5</v>
      </c>
      <c r="E924" s="17" t="str">
        <f>IF(COUNTIF(Classement!$A:$A,$A924)&gt;0,"ok","à faire")</f>
        <v>ok</v>
      </c>
      <c r="F924" s="17" t="str">
        <f>IF(COUNTIF(Tags!$A:$A,$A924)&gt;0,"ok","à faire")</f>
        <v>ok</v>
      </c>
      <c r="G924" s="17" t="str">
        <f>IF(COUNTIF(Phrases!$A:$A,$A924)&gt;0,"ok","à faire")</f>
        <v>ok</v>
      </c>
      <c r="H924" s="17" t="str">
        <f>IF(COUNTIFS(Phrases!$A:$A,$A924,Phrases!$I:$I,"&lt;&gt;")&gt;0,"ok","à faire")</f>
        <v>ok</v>
      </c>
      <c r="I924" s="17" t="str">
        <f>IF(COUNTIF(Synonymes!$A:$A,$A924)&gt;0,"ok","")</f>
        <v>ok</v>
      </c>
      <c r="J924" s="17">
        <f t="shared" si="14"/>
        <v>0</v>
      </c>
    </row>
    <row r="925" spans="1:10" x14ac:dyDescent="0.3">
      <c r="A925" s="17" t="s">
        <v>5013</v>
      </c>
      <c r="B925" s="17" t="str">
        <f>IFERROR(INDEX(Mots!$B:$B,MATCH($A925,Mots!$A:$A,0)),"introuvable")</f>
        <v>la réconciliation</v>
      </c>
      <c r="C925" s="17" t="str">
        <f>IFERROR(INDEX(Mots!$N:$N,MATCH($A925,Mots!$A:$A,0)),"")</f>
        <v>chose</v>
      </c>
      <c r="D925" s="17">
        <f>IFERROR(COUNTA(INDEX(Mots!$E:$E,MATCH($A925,Mots!$A:$A,0)):INDEX(Mots!$K:$K,MATCH($A925,Mots!$A:$A,0))),0)</f>
        <v>1</v>
      </c>
      <c r="E925" s="17" t="str">
        <f>IF(COUNTIF(Classement!$A:$A,$A925)&gt;0,"ok","à faire")</f>
        <v>ok</v>
      </c>
      <c r="F925" s="17" t="str">
        <f>IF(COUNTIF(Tags!$A:$A,$A925)&gt;0,"ok","à faire")</f>
        <v>à faire</v>
      </c>
      <c r="G925" s="17" t="str">
        <f>IF(COUNTIF(Phrases!$A:$A,$A925)&gt;0,"ok","à faire")</f>
        <v>ok</v>
      </c>
      <c r="H925" s="17" t="str">
        <f>IF(COUNTIFS(Phrases!$A:$A,$A925,Phrases!$I:$I,"&lt;&gt;")&gt;0,"ok","à faire")</f>
        <v>à faire</v>
      </c>
      <c r="I925" s="17" t="str">
        <f>IF(COUNTIF(Synonymes!$A:$A,$A925)&gt;0,"ok","")</f>
        <v>ok</v>
      </c>
      <c r="J925" s="17">
        <f t="shared" si="14"/>
        <v>2</v>
      </c>
    </row>
    <row r="926" spans="1:10" x14ac:dyDescent="0.3">
      <c r="A926" s="17" t="s">
        <v>5017</v>
      </c>
      <c r="B926" s="17" t="str">
        <f>IFERROR(INDEX(Mots!$B:$B,MATCH($A926,Mots!$A:$A,0)),"introuvable")</f>
        <v>la rencontre</v>
      </c>
      <c r="C926" s="17" t="str">
        <f>IFERROR(INDEX(Mots!$N:$N,MATCH($A926,Mots!$A:$A,0)),"")</f>
        <v>mot utile</v>
      </c>
      <c r="D926" s="17">
        <f>IFERROR(COUNTA(INDEX(Mots!$E:$E,MATCH($A926,Mots!$A:$A,0)):INDEX(Mots!$K:$K,MATCH($A926,Mots!$A:$A,0))),0)</f>
        <v>1</v>
      </c>
      <c r="E926" s="17" t="str">
        <f>IF(COUNTIF(Classement!$A:$A,$A926)&gt;0,"ok","à faire")</f>
        <v>ok</v>
      </c>
      <c r="F926" s="17" t="str">
        <f>IF(COUNTIF(Tags!$A:$A,$A926)&gt;0,"ok","à faire")</f>
        <v>ok</v>
      </c>
      <c r="G926" s="17" t="str">
        <f>IF(COUNTIF(Phrases!$A:$A,$A926)&gt;0,"ok","à faire")</f>
        <v>à faire</v>
      </c>
      <c r="H926" s="17" t="str">
        <f>IF(COUNTIFS(Phrases!$A:$A,$A926,Phrases!$I:$I,"&lt;&gt;")&gt;0,"ok","à faire")</f>
        <v>à faire</v>
      </c>
      <c r="I926" s="17" t="str">
        <f>IF(COUNTIF(Synonymes!$A:$A,$A926)&gt;0,"ok","")</f>
        <v/>
      </c>
      <c r="J926" s="17">
        <f t="shared" si="14"/>
        <v>2</v>
      </c>
    </row>
    <row r="927" spans="1:10" x14ac:dyDescent="0.3">
      <c r="A927" s="17" t="s">
        <v>5021</v>
      </c>
      <c r="B927" s="17" t="str">
        <f>IFERROR(INDEX(Mots!$B:$B,MATCH($A927,Mots!$A:$A,0)),"introuvable")</f>
        <v>la réparation</v>
      </c>
      <c r="C927" s="17" t="str">
        <f>IFERROR(INDEX(Mots!$N:$N,MATCH($A927,Mots!$A:$A,0)),"")</f>
        <v>chose</v>
      </c>
      <c r="D927" s="17">
        <f>IFERROR(COUNTA(INDEX(Mots!$E:$E,MATCH($A927,Mots!$A:$A,0)):INDEX(Mots!$K:$K,MATCH($A927,Mots!$A:$A,0))),0)</f>
        <v>1</v>
      </c>
      <c r="E927" s="17" t="str">
        <f>IF(COUNTIF(Classement!$A:$A,$A927)&gt;0,"ok","à faire")</f>
        <v>ok</v>
      </c>
      <c r="F927" s="17" t="str">
        <f>IF(COUNTIF(Tags!$A:$A,$A927)&gt;0,"ok","à faire")</f>
        <v>à faire</v>
      </c>
      <c r="G927" s="17" t="str">
        <f>IF(COUNTIF(Phrases!$A:$A,$A927)&gt;0,"ok","à faire")</f>
        <v>ok</v>
      </c>
      <c r="H927" s="17" t="str">
        <f>IF(COUNTIFS(Phrases!$A:$A,$A927,Phrases!$I:$I,"&lt;&gt;")&gt;0,"ok","à faire")</f>
        <v>à faire</v>
      </c>
      <c r="I927" s="17" t="str">
        <f>IF(COUNTIF(Synonymes!$A:$A,$A927)&gt;0,"ok","")</f>
        <v/>
      </c>
      <c r="J927" s="17">
        <f t="shared" si="14"/>
        <v>2</v>
      </c>
    </row>
    <row r="928" spans="1:10" x14ac:dyDescent="0.3">
      <c r="A928" s="17" t="s">
        <v>5025</v>
      </c>
      <c r="B928" s="17" t="str">
        <f>IFERROR(INDEX(Mots!$B:$B,MATCH($A928,Mots!$A:$A,0)),"introuvable")</f>
        <v>la réponse</v>
      </c>
      <c r="C928" s="17" t="str">
        <f>IFERROR(INDEX(Mots!$N:$N,MATCH($A928,Mots!$A:$A,0)),"")</f>
        <v>chose</v>
      </c>
      <c r="D928" s="17">
        <f>IFERROR(COUNTA(INDEX(Mots!$E:$E,MATCH($A928,Mots!$A:$A,0)):INDEX(Mots!$K:$K,MATCH($A928,Mots!$A:$A,0))),0)</f>
        <v>1</v>
      </c>
      <c r="E928" s="17" t="str">
        <f>IF(COUNTIF(Classement!$A:$A,$A928)&gt;0,"ok","à faire")</f>
        <v>ok</v>
      </c>
      <c r="F928" s="17" t="str">
        <f>IF(COUNTIF(Tags!$A:$A,$A928)&gt;0,"ok","à faire")</f>
        <v>à faire</v>
      </c>
      <c r="G928" s="17" t="str">
        <f>IF(COUNTIF(Phrases!$A:$A,$A928)&gt;0,"ok","à faire")</f>
        <v>ok</v>
      </c>
      <c r="H928" s="17" t="str">
        <f>IF(COUNTIFS(Phrases!$A:$A,$A928,Phrases!$I:$I,"&lt;&gt;")&gt;0,"ok","à faire")</f>
        <v>ok</v>
      </c>
      <c r="I928" s="17" t="str">
        <f>IF(COUNTIF(Synonymes!$A:$A,$A928)&gt;0,"ok","")</f>
        <v/>
      </c>
      <c r="J928" s="17">
        <f t="shared" si="14"/>
        <v>1</v>
      </c>
    </row>
    <row r="929" spans="1:10" x14ac:dyDescent="0.3">
      <c r="A929" s="17" t="s">
        <v>5029</v>
      </c>
      <c r="B929" s="17" t="str">
        <f>IFERROR(INDEX(Mots!$B:$B,MATCH($A929,Mots!$A:$A,0)),"introuvable")</f>
        <v>la robe</v>
      </c>
      <c r="C929" s="17" t="str">
        <f>IFERROR(INDEX(Mots!$N:$N,MATCH($A929,Mots!$A:$A,0)),"")</f>
        <v>chose</v>
      </c>
      <c r="D929" s="17">
        <f>IFERROR(COUNTA(INDEX(Mots!$E:$E,MATCH($A929,Mots!$A:$A,0)):INDEX(Mots!$K:$K,MATCH($A929,Mots!$A:$A,0))),0)</f>
        <v>1</v>
      </c>
      <c r="E929" s="17" t="str">
        <f>IF(COUNTIF(Classement!$A:$A,$A929)&gt;0,"ok","à faire")</f>
        <v>ok</v>
      </c>
      <c r="F929" s="17" t="str">
        <f>IF(COUNTIF(Tags!$A:$A,$A929)&gt;0,"ok","à faire")</f>
        <v>ok</v>
      </c>
      <c r="G929" s="17" t="str">
        <f>IF(COUNTIF(Phrases!$A:$A,$A929)&gt;0,"ok","à faire")</f>
        <v>ok</v>
      </c>
      <c r="H929" s="17" t="str">
        <f>IF(COUNTIFS(Phrases!$A:$A,$A929,Phrases!$I:$I,"&lt;&gt;")&gt;0,"ok","à faire")</f>
        <v>ok</v>
      </c>
      <c r="I929" s="17" t="str">
        <f>IF(COUNTIF(Synonymes!$A:$A,$A929)&gt;0,"ok","")</f>
        <v/>
      </c>
      <c r="J929" s="17">
        <f t="shared" si="14"/>
        <v>0</v>
      </c>
    </row>
    <row r="930" spans="1:10" x14ac:dyDescent="0.3">
      <c r="A930" s="17" t="s">
        <v>5033</v>
      </c>
      <c r="B930" s="17" t="str">
        <f>IFERROR(INDEX(Mots!$B:$B,MATCH($A930,Mots!$A:$A,0)),"introuvable")</f>
        <v>la roche</v>
      </c>
      <c r="C930" s="17" t="str">
        <f>IFERROR(INDEX(Mots!$N:$N,MATCH($A930,Mots!$A:$A,0)),"")</f>
        <v>chose</v>
      </c>
      <c r="D930" s="17">
        <f>IFERROR(COUNTA(INDEX(Mots!$E:$E,MATCH($A930,Mots!$A:$A,0)):INDEX(Mots!$K:$K,MATCH($A930,Mots!$A:$A,0))),0)</f>
        <v>5</v>
      </c>
      <c r="E930" s="17" t="str">
        <f>IF(COUNTIF(Classement!$A:$A,$A930)&gt;0,"ok","à faire")</f>
        <v>ok</v>
      </c>
      <c r="F930" s="17" t="str">
        <f>IF(COUNTIF(Tags!$A:$A,$A930)&gt;0,"ok","à faire")</f>
        <v>ok</v>
      </c>
      <c r="G930" s="17" t="str">
        <f>IF(COUNTIF(Phrases!$A:$A,$A930)&gt;0,"ok","à faire")</f>
        <v>ok</v>
      </c>
      <c r="H930" s="17" t="str">
        <f>IF(COUNTIFS(Phrases!$A:$A,$A930,Phrases!$I:$I,"&lt;&gt;")&gt;0,"ok","à faire")</f>
        <v>à faire</v>
      </c>
      <c r="I930" s="17" t="str">
        <f>IF(COUNTIF(Synonymes!$A:$A,$A930)&gt;0,"ok","")</f>
        <v/>
      </c>
      <c r="J930" s="17">
        <f t="shared" si="14"/>
        <v>1</v>
      </c>
    </row>
    <row r="931" spans="1:10" x14ac:dyDescent="0.3">
      <c r="A931" s="17" t="s">
        <v>5041</v>
      </c>
      <c r="B931" s="17" t="str">
        <f>IFERROR(INDEX(Mots!$B:$B,MATCH($A931,Mots!$A:$A,0)),"introuvable")</f>
        <v>la rosée</v>
      </c>
      <c r="C931" s="17" t="str">
        <f>IFERROR(INDEX(Mots!$N:$N,MATCH($A931,Mots!$A:$A,0)),"")</f>
        <v>chose</v>
      </c>
      <c r="D931" s="17">
        <f>IFERROR(COUNTA(INDEX(Mots!$E:$E,MATCH($A931,Mots!$A:$A,0)):INDEX(Mots!$K:$K,MATCH($A931,Mots!$A:$A,0))),0)</f>
        <v>5</v>
      </c>
      <c r="E931" s="17" t="str">
        <f>IF(COUNTIF(Classement!$A:$A,$A931)&gt;0,"ok","à faire")</f>
        <v>ok</v>
      </c>
      <c r="F931" s="17" t="str">
        <f>IF(COUNTIF(Tags!$A:$A,$A931)&gt;0,"ok","à faire")</f>
        <v>ok</v>
      </c>
      <c r="G931" s="17" t="str">
        <f>IF(COUNTIF(Phrases!$A:$A,$A931)&gt;0,"ok","à faire")</f>
        <v>ok</v>
      </c>
      <c r="H931" s="17" t="str">
        <f>IF(COUNTIFS(Phrases!$A:$A,$A931,Phrases!$I:$I,"&lt;&gt;")&gt;0,"ok","à faire")</f>
        <v>à faire</v>
      </c>
      <c r="I931" s="17" t="str">
        <f>IF(COUNTIF(Synonymes!$A:$A,$A931)&gt;0,"ok","")</f>
        <v/>
      </c>
      <c r="J931" s="17">
        <f t="shared" si="14"/>
        <v>1</v>
      </c>
    </row>
    <row r="932" spans="1:10" x14ac:dyDescent="0.3">
      <c r="A932" s="17" t="s">
        <v>5046</v>
      </c>
      <c r="B932" s="17" t="str">
        <f>IFERROR(INDEX(Mots!$B:$B,MATCH($A932,Mots!$A:$A,0)),"introuvable")</f>
        <v>la roue</v>
      </c>
      <c r="C932" s="17" t="str">
        <f>IFERROR(INDEX(Mots!$N:$N,MATCH($A932,Mots!$A:$A,0)),"")</f>
        <v>chose</v>
      </c>
      <c r="D932" s="17">
        <f>IFERROR(COUNTA(INDEX(Mots!$E:$E,MATCH($A932,Mots!$A:$A,0)):INDEX(Mots!$K:$K,MATCH($A932,Mots!$A:$A,0))),0)</f>
        <v>5</v>
      </c>
      <c r="E932" s="17" t="str">
        <f>IF(COUNTIF(Classement!$A:$A,$A932)&gt;0,"ok","à faire")</f>
        <v>ok</v>
      </c>
      <c r="F932" s="17" t="str">
        <f>IF(COUNTIF(Tags!$A:$A,$A932)&gt;0,"ok","à faire")</f>
        <v>ok</v>
      </c>
      <c r="G932" s="17" t="str">
        <f>IF(COUNTIF(Phrases!$A:$A,$A932)&gt;0,"ok","à faire")</f>
        <v>ok</v>
      </c>
      <c r="H932" s="17" t="str">
        <f>IF(COUNTIFS(Phrases!$A:$A,$A932,Phrases!$I:$I,"&lt;&gt;")&gt;0,"ok","à faire")</f>
        <v>ok</v>
      </c>
      <c r="I932" s="17" t="str">
        <f>IF(COUNTIF(Synonymes!$A:$A,$A932)&gt;0,"ok","")</f>
        <v/>
      </c>
      <c r="J932" s="17">
        <f t="shared" si="14"/>
        <v>0</v>
      </c>
    </row>
    <row r="933" spans="1:10" x14ac:dyDescent="0.3">
      <c r="A933" s="17" t="s">
        <v>5054</v>
      </c>
      <c r="B933" s="17" t="str">
        <f>IFERROR(INDEX(Mots!$B:$B,MATCH($A933,Mots!$A:$A,0)),"introuvable")</f>
        <v>la saleté</v>
      </c>
      <c r="C933" s="17" t="str">
        <f>IFERROR(INDEX(Mots!$N:$N,MATCH($A933,Mots!$A:$A,0)),"")</f>
        <v>chose</v>
      </c>
      <c r="D933" s="17">
        <f>IFERROR(COUNTA(INDEX(Mots!$E:$E,MATCH($A933,Mots!$A:$A,0)):INDEX(Mots!$K:$K,MATCH($A933,Mots!$A:$A,0))),0)</f>
        <v>5</v>
      </c>
      <c r="E933" s="17" t="str">
        <f>IF(COUNTIF(Classement!$A:$A,$A933)&gt;0,"ok","à faire")</f>
        <v>ok</v>
      </c>
      <c r="F933" s="17" t="str">
        <f>IF(COUNTIF(Tags!$A:$A,$A933)&gt;0,"ok","à faire")</f>
        <v>ok</v>
      </c>
      <c r="G933" s="17" t="str">
        <f>IF(COUNTIF(Phrases!$A:$A,$A933)&gt;0,"ok","à faire")</f>
        <v>ok</v>
      </c>
      <c r="H933" s="17" t="str">
        <f>IF(COUNTIFS(Phrases!$A:$A,$A933,Phrases!$I:$I,"&lt;&gt;")&gt;0,"ok","à faire")</f>
        <v>à faire</v>
      </c>
      <c r="I933" s="17" t="str">
        <f>IF(COUNTIF(Synonymes!$A:$A,$A933)&gt;0,"ok","")</f>
        <v>ok</v>
      </c>
      <c r="J933" s="17">
        <f t="shared" si="14"/>
        <v>1</v>
      </c>
    </row>
    <row r="934" spans="1:10" x14ac:dyDescent="0.3">
      <c r="A934" s="17" t="s">
        <v>5062</v>
      </c>
      <c r="B934" s="17" t="str">
        <f>IFERROR(INDEX(Mots!$B:$B,MATCH($A934,Mots!$A:$A,0)),"introuvable")</f>
        <v>la santé</v>
      </c>
      <c r="C934" s="17" t="str">
        <f>IFERROR(INDEX(Mots!$N:$N,MATCH($A934,Mots!$A:$A,0)),"")</f>
        <v>chose</v>
      </c>
      <c r="D934" s="17">
        <f>IFERROR(COUNTA(INDEX(Mots!$E:$E,MATCH($A934,Mots!$A:$A,0)):INDEX(Mots!$K:$K,MATCH($A934,Mots!$A:$A,0))),0)</f>
        <v>1</v>
      </c>
      <c r="E934" s="17" t="str">
        <f>IF(COUNTIF(Classement!$A:$A,$A934)&gt;0,"ok","à faire")</f>
        <v>ok</v>
      </c>
      <c r="F934" s="17" t="str">
        <f>IF(COUNTIF(Tags!$A:$A,$A934)&gt;0,"ok","à faire")</f>
        <v>ok</v>
      </c>
      <c r="G934" s="17" t="str">
        <f>IF(COUNTIF(Phrases!$A:$A,$A934)&gt;0,"ok","à faire")</f>
        <v>ok</v>
      </c>
      <c r="H934" s="17" t="str">
        <f>IF(COUNTIFS(Phrases!$A:$A,$A934,Phrases!$I:$I,"&lt;&gt;")&gt;0,"ok","à faire")</f>
        <v>ok</v>
      </c>
      <c r="I934" s="17" t="str">
        <f>IF(COUNTIF(Synonymes!$A:$A,$A934)&gt;0,"ok","")</f>
        <v/>
      </c>
      <c r="J934" s="17">
        <f t="shared" si="14"/>
        <v>0</v>
      </c>
    </row>
    <row r="935" spans="1:10" x14ac:dyDescent="0.3">
      <c r="A935" s="17" t="s">
        <v>5066</v>
      </c>
      <c r="B935" s="17" t="str">
        <f>IFERROR(INDEX(Mots!$B:$B,MATCH($A935,Mots!$A:$A,0)),"introuvable")</f>
        <v>la sauce</v>
      </c>
      <c r="C935" s="17" t="str">
        <f>IFERROR(INDEX(Mots!$N:$N,MATCH($A935,Mots!$A:$A,0)),"")</f>
        <v>chose</v>
      </c>
      <c r="D935" s="17">
        <f>IFERROR(COUNTA(INDEX(Mots!$E:$E,MATCH($A935,Mots!$A:$A,0)):INDEX(Mots!$K:$K,MATCH($A935,Mots!$A:$A,0))),0)</f>
        <v>1</v>
      </c>
      <c r="E935" s="17" t="str">
        <f>IF(COUNTIF(Classement!$A:$A,$A935)&gt;0,"ok","à faire")</f>
        <v>ok</v>
      </c>
      <c r="F935" s="17" t="str">
        <f>IF(COUNTIF(Tags!$A:$A,$A935)&gt;0,"ok","à faire")</f>
        <v>ok</v>
      </c>
      <c r="G935" s="17" t="str">
        <f>IF(COUNTIF(Phrases!$A:$A,$A935)&gt;0,"ok","à faire")</f>
        <v>ok</v>
      </c>
      <c r="H935" s="17" t="str">
        <f>IF(COUNTIFS(Phrases!$A:$A,$A935,Phrases!$I:$I,"&lt;&gt;")&gt;0,"ok","à faire")</f>
        <v>ok</v>
      </c>
      <c r="I935" s="17" t="str">
        <f>IF(COUNTIF(Synonymes!$A:$A,$A935)&gt;0,"ok","")</f>
        <v/>
      </c>
      <c r="J935" s="17">
        <f t="shared" si="14"/>
        <v>0</v>
      </c>
    </row>
    <row r="936" spans="1:10" x14ac:dyDescent="0.3">
      <c r="A936" s="17" t="s">
        <v>5070</v>
      </c>
      <c r="B936" s="17" t="str">
        <f>IFERROR(INDEX(Mots!$B:$B,MATCH($A936,Mots!$A:$A,0)),"introuvable")</f>
        <v>la sensation</v>
      </c>
      <c r="C936" s="17" t="str">
        <f>IFERROR(INDEX(Mots!$N:$N,MATCH($A936,Mots!$A:$A,0)),"")</f>
        <v>sentiment</v>
      </c>
      <c r="D936" s="17">
        <f>IFERROR(COUNTA(INDEX(Mots!$E:$E,MATCH($A936,Mots!$A:$A,0)):INDEX(Mots!$K:$K,MATCH($A936,Mots!$A:$A,0))),0)</f>
        <v>3</v>
      </c>
      <c r="E936" s="17" t="str">
        <f>IF(COUNTIF(Classement!$A:$A,$A936)&gt;0,"ok","à faire")</f>
        <v>ok</v>
      </c>
      <c r="F936" s="17" t="str">
        <f>IF(COUNTIF(Tags!$A:$A,$A936)&gt;0,"ok","à faire")</f>
        <v>à faire</v>
      </c>
      <c r="G936" s="17" t="str">
        <f>IF(COUNTIF(Phrases!$A:$A,$A936)&gt;0,"ok","à faire")</f>
        <v>à faire</v>
      </c>
      <c r="H936" s="17" t="str">
        <f>IF(COUNTIFS(Phrases!$A:$A,$A936,Phrases!$I:$I,"&lt;&gt;")&gt;0,"ok","à faire")</f>
        <v>à faire</v>
      </c>
      <c r="I936" s="17" t="str">
        <f>IF(COUNTIF(Synonymes!$A:$A,$A936)&gt;0,"ok","")</f>
        <v/>
      </c>
      <c r="J936" s="17">
        <f t="shared" si="14"/>
        <v>3</v>
      </c>
    </row>
    <row r="937" spans="1:10" x14ac:dyDescent="0.3">
      <c r="A937" s="17" t="s">
        <v>5076</v>
      </c>
      <c r="B937" s="17" t="str">
        <f>IFERROR(INDEX(Mots!$B:$B,MATCH($A937,Mots!$A:$A,0)),"introuvable")</f>
        <v>la serviette</v>
      </c>
      <c r="C937" s="17" t="str">
        <f>IFERROR(INDEX(Mots!$N:$N,MATCH($A937,Mots!$A:$A,0)),"")</f>
        <v>chose</v>
      </c>
      <c r="D937" s="17">
        <f>IFERROR(COUNTA(INDEX(Mots!$E:$E,MATCH($A937,Mots!$A:$A,0)):INDEX(Mots!$K:$K,MATCH($A937,Mots!$A:$A,0))),0)</f>
        <v>1</v>
      </c>
      <c r="E937" s="17" t="str">
        <f>IF(COUNTIF(Classement!$A:$A,$A937)&gt;0,"ok","à faire")</f>
        <v>ok</v>
      </c>
      <c r="F937" s="17" t="str">
        <f>IF(COUNTIF(Tags!$A:$A,$A937)&gt;0,"ok","à faire")</f>
        <v>ok</v>
      </c>
      <c r="G937" s="17" t="str">
        <f>IF(COUNTIF(Phrases!$A:$A,$A937)&gt;0,"ok","à faire")</f>
        <v>ok</v>
      </c>
      <c r="H937" s="17" t="str">
        <f>IF(COUNTIFS(Phrases!$A:$A,$A937,Phrases!$I:$I,"&lt;&gt;")&gt;0,"ok","à faire")</f>
        <v>à faire</v>
      </c>
      <c r="I937" s="17" t="str">
        <f>IF(COUNTIF(Synonymes!$A:$A,$A937)&gt;0,"ok","")</f>
        <v>ok</v>
      </c>
      <c r="J937" s="17">
        <f t="shared" si="14"/>
        <v>1</v>
      </c>
    </row>
    <row r="938" spans="1:10" x14ac:dyDescent="0.3">
      <c r="A938" s="17" t="s">
        <v>5080</v>
      </c>
      <c r="B938" s="17" t="str">
        <f>IFERROR(INDEX(Mots!$B:$B,MATCH($A938,Mots!$A:$A,0)),"introuvable")</f>
        <v>la signature</v>
      </c>
      <c r="C938" s="17" t="str">
        <f>IFERROR(INDEX(Mots!$N:$N,MATCH($A938,Mots!$A:$A,0)),"")</f>
        <v>chose</v>
      </c>
      <c r="D938" s="17">
        <f>IFERROR(COUNTA(INDEX(Mots!$E:$E,MATCH($A938,Mots!$A:$A,0)):INDEX(Mots!$K:$K,MATCH($A938,Mots!$A:$A,0))),0)</f>
        <v>1</v>
      </c>
      <c r="E938" s="17" t="str">
        <f>IF(COUNTIF(Classement!$A:$A,$A938)&gt;0,"ok","à faire")</f>
        <v>ok</v>
      </c>
      <c r="F938" s="17" t="str">
        <f>IF(COUNTIF(Tags!$A:$A,$A938)&gt;0,"ok","à faire")</f>
        <v>ok</v>
      </c>
      <c r="G938" s="17" t="str">
        <f>IF(COUNTIF(Phrases!$A:$A,$A938)&gt;0,"ok","à faire")</f>
        <v>ok</v>
      </c>
      <c r="H938" s="17" t="str">
        <f>IF(COUNTIFS(Phrases!$A:$A,$A938,Phrases!$I:$I,"&lt;&gt;")&gt;0,"ok","à faire")</f>
        <v>ok</v>
      </c>
      <c r="I938" s="17" t="str">
        <f>IF(COUNTIF(Synonymes!$A:$A,$A938)&gt;0,"ok","")</f>
        <v/>
      </c>
      <c r="J938" s="17">
        <f t="shared" si="14"/>
        <v>0</v>
      </c>
    </row>
    <row r="939" spans="1:10" x14ac:dyDescent="0.3">
      <c r="A939" s="17" t="s">
        <v>5084</v>
      </c>
      <c r="B939" s="17" t="str">
        <f>IFERROR(INDEX(Mots!$B:$B,MATCH($A939,Mots!$A:$A,0)),"introuvable")</f>
        <v>la situation</v>
      </c>
      <c r="C939" s="17" t="str">
        <f>IFERROR(INDEX(Mots!$N:$N,MATCH($A939,Mots!$A:$A,0)),"")</f>
        <v>chose</v>
      </c>
      <c r="D939" s="17">
        <f>IFERROR(COUNTA(INDEX(Mots!$E:$E,MATCH($A939,Mots!$A:$A,0)):INDEX(Mots!$K:$K,MATCH($A939,Mots!$A:$A,0))),0)</f>
        <v>1</v>
      </c>
      <c r="E939" s="17" t="str">
        <f>IF(COUNTIF(Classement!$A:$A,$A939)&gt;0,"ok","à faire")</f>
        <v>ok</v>
      </c>
      <c r="F939" s="17" t="str">
        <f>IF(COUNTIF(Tags!$A:$A,$A939)&gt;0,"ok","à faire")</f>
        <v>à faire</v>
      </c>
      <c r="G939" s="17" t="str">
        <f>IF(COUNTIF(Phrases!$A:$A,$A939)&gt;0,"ok","à faire")</f>
        <v>ok</v>
      </c>
      <c r="H939" s="17" t="str">
        <f>IF(COUNTIFS(Phrases!$A:$A,$A939,Phrases!$I:$I,"&lt;&gt;")&gt;0,"ok","à faire")</f>
        <v>à faire</v>
      </c>
      <c r="I939" s="17" t="str">
        <f>IF(COUNTIF(Synonymes!$A:$A,$A939)&gt;0,"ok","")</f>
        <v/>
      </c>
      <c r="J939" s="17">
        <f t="shared" si="14"/>
        <v>2</v>
      </c>
    </row>
    <row r="940" spans="1:10" x14ac:dyDescent="0.3">
      <c r="A940" s="17" t="s">
        <v>5088</v>
      </c>
      <c r="B940" s="17" t="str">
        <f>IFERROR(INDEX(Mots!$B:$B,MATCH($A940,Mots!$A:$A,0)),"introuvable")</f>
        <v>la société</v>
      </c>
      <c r="C940" s="17" t="str">
        <f>IFERROR(INDEX(Mots!$N:$N,MATCH($A940,Mots!$A:$A,0)),"")</f>
        <v>chose</v>
      </c>
      <c r="D940" s="17">
        <f>IFERROR(COUNTA(INDEX(Mots!$E:$E,MATCH($A940,Mots!$A:$A,0)):INDEX(Mots!$K:$K,MATCH($A940,Mots!$A:$A,0))),0)</f>
        <v>1</v>
      </c>
      <c r="E940" s="17" t="str">
        <f>IF(COUNTIF(Classement!$A:$A,$A940)&gt;0,"ok","à faire")</f>
        <v>ok</v>
      </c>
      <c r="F940" s="17" t="str">
        <f>IF(COUNTIF(Tags!$A:$A,$A940)&gt;0,"ok","à faire")</f>
        <v>ok</v>
      </c>
      <c r="G940" s="17" t="str">
        <f>IF(COUNTIF(Phrases!$A:$A,$A940)&gt;0,"ok","à faire")</f>
        <v>ok</v>
      </c>
      <c r="H940" s="17" t="str">
        <f>IF(COUNTIFS(Phrases!$A:$A,$A940,Phrases!$I:$I,"&lt;&gt;")&gt;0,"ok","à faire")</f>
        <v>à faire</v>
      </c>
      <c r="I940" s="17" t="str">
        <f>IF(COUNTIF(Synonymes!$A:$A,$A940)&gt;0,"ok","")</f>
        <v>ok</v>
      </c>
      <c r="J940" s="17">
        <f t="shared" si="14"/>
        <v>1</v>
      </c>
    </row>
    <row r="941" spans="1:10" x14ac:dyDescent="0.3">
      <c r="A941" s="17" t="s">
        <v>5092</v>
      </c>
      <c r="B941" s="17" t="str">
        <f>IFERROR(INDEX(Mots!$B:$B,MATCH($A941,Mots!$A:$A,0)),"introuvable")</f>
        <v>la somme</v>
      </c>
      <c r="C941" s="17" t="str">
        <f>IFERROR(INDEX(Mots!$N:$N,MATCH($A941,Mots!$A:$A,0)),"")</f>
        <v>chose</v>
      </c>
      <c r="D941" s="17">
        <f>IFERROR(COUNTA(INDEX(Mots!$E:$E,MATCH($A941,Mots!$A:$A,0)):INDEX(Mots!$K:$K,MATCH($A941,Mots!$A:$A,0))),0)</f>
        <v>1</v>
      </c>
      <c r="E941" s="17" t="str">
        <f>IF(COUNTIF(Classement!$A:$A,$A941)&gt;0,"ok","à faire")</f>
        <v>ok</v>
      </c>
      <c r="F941" s="17" t="str">
        <f>IF(COUNTIF(Tags!$A:$A,$A941)&gt;0,"ok","à faire")</f>
        <v>à faire</v>
      </c>
      <c r="G941" s="17" t="str">
        <f>IF(COUNTIF(Phrases!$A:$A,$A941)&gt;0,"ok","à faire")</f>
        <v>ok</v>
      </c>
      <c r="H941" s="17" t="str">
        <f>IF(COUNTIFS(Phrases!$A:$A,$A941,Phrases!$I:$I,"&lt;&gt;")&gt;0,"ok","à faire")</f>
        <v>ok</v>
      </c>
      <c r="I941" s="17" t="str">
        <f>IF(COUNTIF(Synonymes!$A:$A,$A941)&gt;0,"ok","")</f>
        <v>ok</v>
      </c>
      <c r="J941" s="17">
        <f t="shared" si="14"/>
        <v>1</v>
      </c>
    </row>
    <row r="942" spans="1:10" x14ac:dyDescent="0.3">
      <c r="A942" s="17" t="s">
        <v>5096</v>
      </c>
      <c r="B942" s="17" t="str">
        <f>IFERROR(INDEX(Mots!$B:$B,MATCH($A942,Mots!$A:$A,0)),"introuvable")</f>
        <v>la sorte</v>
      </c>
      <c r="C942" s="17" t="str">
        <f>IFERROR(INDEX(Mots!$N:$N,MATCH($A942,Mots!$A:$A,0)),"")</f>
        <v>chose</v>
      </c>
      <c r="D942" s="17">
        <f>IFERROR(COUNTA(INDEX(Mots!$E:$E,MATCH($A942,Mots!$A:$A,0)):INDEX(Mots!$K:$K,MATCH($A942,Mots!$A:$A,0))),0)</f>
        <v>2</v>
      </c>
      <c r="E942" s="17" t="str">
        <f>IF(COUNTIF(Classement!$A:$A,$A942)&gt;0,"ok","à faire")</f>
        <v>ok</v>
      </c>
      <c r="F942" s="17" t="str">
        <f>IF(COUNTIF(Tags!$A:$A,$A942)&gt;0,"ok","à faire")</f>
        <v>à faire</v>
      </c>
      <c r="G942" s="17" t="str">
        <f>IF(COUNTIF(Phrases!$A:$A,$A942)&gt;0,"ok","à faire")</f>
        <v>ok</v>
      </c>
      <c r="H942" s="17" t="str">
        <f>IF(COUNTIFS(Phrases!$A:$A,$A942,Phrases!$I:$I,"&lt;&gt;")&gt;0,"ok","à faire")</f>
        <v>ok</v>
      </c>
      <c r="I942" s="17" t="str">
        <f>IF(COUNTIF(Synonymes!$A:$A,$A942)&gt;0,"ok","")</f>
        <v>ok</v>
      </c>
      <c r="J942" s="17">
        <f t="shared" si="14"/>
        <v>1</v>
      </c>
    </row>
    <row r="943" spans="1:10" x14ac:dyDescent="0.3">
      <c r="A943" s="17" t="s">
        <v>5099</v>
      </c>
      <c r="B943" s="17" t="str">
        <f>IFERROR(INDEX(Mots!$B:$B,MATCH($A943,Mots!$A:$A,0)),"introuvable")</f>
        <v>la sortie</v>
      </c>
      <c r="C943" s="17" t="str">
        <f>IFERROR(INDEX(Mots!$N:$N,MATCH($A943,Mots!$A:$A,0)),"")</f>
        <v>lieu</v>
      </c>
      <c r="D943" s="17">
        <f>IFERROR(COUNTA(INDEX(Mots!$E:$E,MATCH($A943,Mots!$A:$A,0)):INDEX(Mots!$K:$K,MATCH($A943,Mots!$A:$A,0))),0)</f>
        <v>4</v>
      </c>
      <c r="E943" s="17" t="str">
        <f>IF(COUNTIF(Classement!$A:$A,$A943)&gt;0,"ok","à faire")</f>
        <v>ok</v>
      </c>
      <c r="F943" s="17" t="str">
        <f>IF(COUNTIF(Tags!$A:$A,$A943)&gt;0,"ok","à faire")</f>
        <v>ok</v>
      </c>
      <c r="G943" s="17" t="str">
        <f>IF(COUNTIF(Phrases!$A:$A,$A943)&gt;0,"ok","à faire")</f>
        <v>à faire</v>
      </c>
      <c r="H943" s="17" t="str">
        <f>IF(COUNTIFS(Phrases!$A:$A,$A943,Phrases!$I:$I,"&lt;&gt;")&gt;0,"ok","à faire")</f>
        <v>à faire</v>
      </c>
      <c r="I943" s="17" t="str">
        <f>IF(COUNTIF(Synonymes!$A:$A,$A943)&gt;0,"ok","")</f>
        <v/>
      </c>
      <c r="J943" s="17">
        <f t="shared" si="14"/>
        <v>2</v>
      </c>
    </row>
    <row r="944" spans="1:10" x14ac:dyDescent="0.3">
      <c r="A944" s="17" t="s">
        <v>5106</v>
      </c>
      <c r="B944" s="17" t="str">
        <f>IFERROR(INDEX(Mots!$B:$B,MATCH($A944,Mots!$A:$A,0)),"introuvable")</f>
        <v>la source</v>
      </c>
      <c r="C944" s="17" t="str">
        <f>IFERROR(INDEX(Mots!$N:$N,MATCH($A944,Mots!$A:$A,0)),"")</f>
        <v>lieu</v>
      </c>
      <c r="D944" s="17">
        <f>IFERROR(COUNTA(INDEX(Mots!$E:$E,MATCH($A944,Mots!$A:$A,0)):INDEX(Mots!$K:$K,MATCH($A944,Mots!$A:$A,0))),0)</f>
        <v>3</v>
      </c>
      <c r="E944" s="17" t="str">
        <f>IF(COUNTIF(Classement!$A:$A,$A944)&gt;0,"ok","à faire")</f>
        <v>ok</v>
      </c>
      <c r="F944" s="17" t="str">
        <f>IF(COUNTIF(Tags!$A:$A,$A944)&gt;0,"ok","à faire")</f>
        <v>ok</v>
      </c>
      <c r="G944" s="17" t="str">
        <f>IF(COUNTIF(Phrases!$A:$A,$A944)&gt;0,"ok","à faire")</f>
        <v>à faire</v>
      </c>
      <c r="H944" s="17" t="str">
        <f>IF(COUNTIFS(Phrases!$A:$A,$A944,Phrases!$I:$I,"&lt;&gt;")&gt;0,"ok","à faire")</f>
        <v>à faire</v>
      </c>
      <c r="I944" s="17" t="str">
        <f>IF(COUNTIF(Synonymes!$A:$A,$A944)&gt;0,"ok","")</f>
        <v/>
      </c>
      <c r="J944" s="17">
        <f t="shared" si="14"/>
        <v>2</v>
      </c>
    </row>
    <row r="945" spans="1:10" x14ac:dyDescent="0.3">
      <c r="A945" s="17" t="s">
        <v>5110</v>
      </c>
      <c r="B945" s="17" t="str">
        <f>IFERROR(INDEX(Mots!$B:$B,MATCH($A945,Mots!$A:$A,0)),"introuvable")</f>
        <v>la sucrerie</v>
      </c>
      <c r="C945" s="17" t="str">
        <f>IFERROR(INDEX(Mots!$N:$N,MATCH($A945,Mots!$A:$A,0)),"")</f>
        <v>chose</v>
      </c>
      <c r="D945" s="17">
        <f>IFERROR(COUNTA(INDEX(Mots!$E:$E,MATCH($A945,Mots!$A:$A,0)):INDEX(Mots!$K:$K,MATCH($A945,Mots!$A:$A,0))),0)</f>
        <v>5</v>
      </c>
      <c r="E945" s="17" t="str">
        <f>IF(COUNTIF(Classement!$A:$A,$A945)&gt;0,"ok","à faire")</f>
        <v>ok</v>
      </c>
      <c r="F945" s="17" t="str">
        <f>IF(COUNTIF(Tags!$A:$A,$A945)&gt;0,"ok","à faire")</f>
        <v>ok</v>
      </c>
      <c r="G945" s="17" t="str">
        <f>IF(COUNTIF(Phrases!$A:$A,$A945)&gt;0,"ok","à faire")</f>
        <v>ok</v>
      </c>
      <c r="H945" s="17" t="str">
        <f>IF(COUNTIFS(Phrases!$A:$A,$A945,Phrases!$I:$I,"&lt;&gt;")&gt;0,"ok","à faire")</f>
        <v>à faire</v>
      </c>
      <c r="I945" s="17" t="str">
        <f>IF(COUNTIF(Synonymes!$A:$A,$A945)&gt;0,"ok","")</f>
        <v>ok</v>
      </c>
      <c r="J945" s="17">
        <f t="shared" si="14"/>
        <v>1</v>
      </c>
    </row>
    <row r="946" spans="1:10" x14ac:dyDescent="0.3">
      <c r="A946" s="17" t="s">
        <v>5113</v>
      </c>
      <c r="B946" s="17" t="str">
        <f>IFERROR(INDEX(Mots!$B:$B,MATCH($A946,Mots!$A:$A,0)),"introuvable")</f>
        <v>la surface</v>
      </c>
      <c r="C946" s="17" t="str">
        <f>IFERROR(INDEX(Mots!$N:$N,MATCH($A946,Mots!$A:$A,0)),"")</f>
        <v>chose</v>
      </c>
      <c r="D946" s="17">
        <f>IFERROR(COUNTA(INDEX(Mots!$E:$E,MATCH($A946,Mots!$A:$A,0)):INDEX(Mots!$K:$K,MATCH($A946,Mots!$A:$A,0))),0)</f>
        <v>1</v>
      </c>
      <c r="E946" s="17" t="str">
        <f>IF(COUNTIF(Classement!$A:$A,$A946)&gt;0,"ok","à faire")</f>
        <v>ok</v>
      </c>
      <c r="F946" s="17" t="str">
        <f>IF(COUNTIF(Tags!$A:$A,$A946)&gt;0,"ok","à faire")</f>
        <v>ok</v>
      </c>
      <c r="G946" s="17" t="str">
        <f>IF(COUNTIF(Phrases!$A:$A,$A946)&gt;0,"ok","à faire")</f>
        <v>ok</v>
      </c>
      <c r="H946" s="17" t="str">
        <f>IF(COUNTIFS(Phrases!$A:$A,$A946,Phrases!$I:$I,"&lt;&gt;")&gt;0,"ok","à faire")</f>
        <v>à faire</v>
      </c>
      <c r="I946" s="17" t="str">
        <f>IF(COUNTIF(Synonymes!$A:$A,$A946)&gt;0,"ok","")</f>
        <v/>
      </c>
      <c r="J946" s="17">
        <f t="shared" si="14"/>
        <v>1</v>
      </c>
    </row>
    <row r="947" spans="1:10" x14ac:dyDescent="0.3">
      <c r="A947" s="17" t="s">
        <v>5117</v>
      </c>
      <c r="B947" s="17" t="str">
        <f>IFERROR(INDEX(Mots!$B:$B,MATCH($A947,Mots!$A:$A,0)),"introuvable")</f>
        <v>la tâche</v>
      </c>
      <c r="C947" s="17" t="str">
        <f>IFERROR(INDEX(Mots!$N:$N,MATCH($A947,Mots!$A:$A,0)),"")</f>
        <v>chose</v>
      </c>
      <c r="D947" s="17">
        <f>IFERROR(COUNTA(INDEX(Mots!$E:$E,MATCH($A947,Mots!$A:$A,0)):INDEX(Mots!$K:$K,MATCH($A947,Mots!$A:$A,0))),0)</f>
        <v>1</v>
      </c>
      <c r="E947" s="17" t="str">
        <f>IF(COUNTIF(Classement!$A:$A,$A947)&gt;0,"ok","à faire")</f>
        <v>ok</v>
      </c>
      <c r="F947" s="17" t="str">
        <f>IF(COUNTIF(Tags!$A:$A,$A947)&gt;0,"ok","à faire")</f>
        <v>ok</v>
      </c>
      <c r="G947" s="17" t="str">
        <f>IF(COUNTIF(Phrases!$A:$A,$A947)&gt;0,"ok","à faire")</f>
        <v>ok</v>
      </c>
      <c r="H947" s="17" t="str">
        <f>IF(COUNTIFS(Phrases!$A:$A,$A947,Phrases!$I:$I,"&lt;&gt;")&gt;0,"ok","à faire")</f>
        <v>à faire</v>
      </c>
      <c r="I947" s="17" t="str">
        <f>IF(COUNTIF(Synonymes!$A:$A,$A947)&gt;0,"ok","")</f>
        <v/>
      </c>
      <c r="J947" s="17">
        <f t="shared" si="14"/>
        <v>1</v>
      </c>
    </row>
    <row r="948" spans="1:10" x14ac:dyDescent="0.3">
      <c r="A948" s="17" t="s">
        <v>5121</v>
      </c>
      <c r="B948" s="17" t="str">
        <f>IFERROR(INDEX(Mots!$B:$B,MATCH($A948,Mots!$A:$A,0)),"introuvable")</f>
        <v>la tempête</v>
      </c>
      <c r="C948" s="17" t="str">
        <f>IFERROR(INDEX(Mots!$N:$N,MATCH($A948,Mots!$A:$A,0)),"")</f>
        <v>chose</v>
      </c>
      <c r="D948" s="17">
        <f>IFERROR(COUNTA(INDEX(Mots!$E:$E,MATCH($A948,Mots!$A:$A,0)):INDEX(Mots!$K:$K,MATCH($A948,Mots!$A:$A,0))),0)</f>
        <v>5</v>
      </c>
      <c r="E948" s="17" t="str">
        <f>IF(COUNTIF(Classement!$A:$A,$A948)&gt;0,"ok","à faire")</f>
        <v>ok</v>
      </c>
      <c r="F948" s="17" t="str">
        <f>IF(COUNTIF(Tags!$A:$A,$A948)&gt;0,"ok","à faire")</f>
        <v>ok</v>
      </c>
      <c r="G948" s="17" t="str">
        <f>IF(COUNTIF(Phrases!$A:$A,$A948)&gt;0,"ok","à faire")</f>
        <v>ok</v>
      </c>
      <c r="H948" s="17" t="str">
        <f>IF(COUNTIFS(Phrases!$A:$A,$A948,Phrases!$I:$I,"&lt;&gt;")&gt;0,"ok","à faire")</f>
        <v>à faire</v>
      </c>
      <c r="I948" s="17" t="str">
        <f>IF(COUNTIF(Synonymes!$A:$A,$A948)&gt;0,"ok","")</f>
        <v>ok</v>
      </c>
      <c r="J948" s="17">
        <f t="shared" si="14"/>
        <v>1</v>
      </c>
    </row>
    <row r="949" spans="1:10" x14ac:dyDescent="0.3">
      <c r="A949" s="17" t="s">
        <v>5129</v>
      </c>
      <c r="B949" s="17" t="str">
        <f>IFERROR(INDEX(Mots!$B:$B,MATCH($A949,Mots!$A:$A,0)),"introuvable")</f>
        <v>la tendresse</v>
      </c>
      <c r="C949" s="17" t="str">
        <f>IFERROR(INDEX(Mots!$N:$N,MATCH($A949,Mots!$A:$A,0)),"")</f>
        <v>chose</v>
      </c>
      <c r="D949" s="17">
        <f>IFERROR(COUNTA(INDEX(Mots!$E:$E,MATCH($A949,Mots!$A:$A,0)):INDEX(Mots!$K:$K,MATCH($A949,Mots!$A:$A,0))),0)</f>
        <v>5</v>
      </c>
      <c r="E949" s="17" t="str">
        <f>IF(COUNTIF(Classement!$A:$A,$A949)&gt;0,"ok","à faire")</f>
        <v>ok</v>
      </c>
      <c r="F949" s="17" t="str">
        <f>IF(COUNTIF(Tags!$A:$A,$A949)&gt;0,"ok","à faire")</f>
        <v>à faire</v>
      </c>
      <c r="G949" s="17" t="str">
        <f>IF(COUNTIF(Phrases!$A:$A,$A949)&gt;0,"ok","à faire")</f>
        <v>ok</v>
      </c>
      <c r="H949" s="17" t="str">
        <f>IF(COUNTIFS(Phrases!$A:$A,$A949,Phrases!$I:$I,"&lt;&gt;")&gt;0,"ok","à faire")</f>
        <v>ok</v>
      </c>
      <c r="I949" s="17" t="str">
        <f>IF(COUNTIF(Synonymes!$A:$A,$A949)&gt;0,"ok","")</f>
        <v/>
      </c>
      <c r="J949" s="17">
        <f t="shared" si="14"/>
        <v>1</v>
      </c>
    </row>
    <row r="950" spans="1:10" x14ac:dyDescent="0.3">
      <c r="A950" s="17" t="s">
        <v>5137</v>
      </c>
      <c r="B950" s="17" t="str">
        <f>IFERROR(INDEX(Mots!$B:$B,MATCH($A950,Mots!$A:$A,0)),"introuvable")</f>
        <v>la tente</v>
      </c>
      <c r="C950" s="17" t="str">
        <f>IFERROR(INDEX(Mots!$N:$N,MATCH($A950,Mots!$A:$A,0)),"")</f>
        <v>chose</v>
      </c>
      <c r="D950" s="17">
        <f>IFERROR(COUNTA(INDEX(Mots!$E:$E,MATCH($A950,Mots!$A:$A,0)):INDEX(Mots!$K:$K,MATCH($A950,Mots!$A:$A,0))),0)</f>
        <v>5</v>
      </c>
      <c r="E950" s="17" t="str">
        <f>IF(COUNTIF(Classement!$A:$A,$A950)&gt;0,"ok","à faire")</f>
        <v>ok</v>
      </c>
      <c r="F950" s="17" t="str">
        <f>IF(COUNTIF(Tags!$A:$A,$A950)&gt;0,"ok","à faire")</f>
        <v>ok</v>
      </c>
      <c r="G950" s="17" t="str">
        <f>IF(COUNTIF(Phrases!$A:$A,$A950)&gt;0,"ok","à faire")</f>
        <v>ok</v>
      </c>
      <c r="H950" s="17" t="str">
        <f>IF(COUNTIFS(Phrases!$A:$A,$A950,Phrases!$I:$I,"&lt;&gt;")&gt;0,"ok","à faire")</f>
        <v>ok</v>
      </c>
      <c r="I950" s="17" t="str">
        <f>IF(COUNTIF(Synonymes!$A:$A,$A950)&gt;0,"ok","")</f>
        <v/>
      </c>
      <c r="J950" s="17">
        <f t="shared" si="14"/>
        <v>0</v>
      </c>
    </row>
    <row r="951" spans="1:10" x14ac:dyDescent="0.3">
      <c r="A951" s="17" t="s">
        <v>5145</v>
      </c>
      <c r="B951" s="17" t="str">
        <f>IFERROR(INDEX(Mots!$B:$B,MATCH($A951,Mots!$A:$A,0)),"introuvable")</f>
        <v>la timidité</v>
      </c>
      <c r="C951" s="17" t="str">
        <f>IFERROR(INDEX(Mots!$N:$N,MATCH($A951,Mots!$A:$A,0)),"")</f>
        <v>sentiment</v>
      </c>
      <c r="D951" s="17">
        <f>IFERROR(COUNTA(INDEX(Mots!$E:$E,MATCH($A951,Mots!$A:$A,0)):INDEX(Mots!$K:$K,MATCH($A951,Mots!$A:$A,0))),0)</f>
        <v>4</v>
      </c>
      <c r="E951" s="17" t="str">
        <f>IF(COUNTIF(Classement!$A:$A,$A951)&gt;0,"ok","à faire")</f>
        <v>ok</v>
      </c>
      <c r="F951" s="17" t="str">
        <f>IF(COUNTIF(Tags!$A:$A,$A951)&gt;0,"ok","à faire")</f>
        <v>ok</v>
      </c>
      <c r="G951" s="17" t="str">
        <f>IF(COUNTIF(Phrases!$A:$A,$A951)&gt;0,"ok","à faire")</f>
        <v>à faire</v>
      </c>
      <c r="H951" s="17" t="str">
        <f>IF(COUNTIFS(Phrases!$A:$A,$A951,Phrases!$I:$I,"&lt;&gt;")&gt;0,"ok","à faire")</f>
        <v>à faire</v>
      </c>
      <c r="I951" s="17" t="str">
        <f>IF(COUNTIF(Synonymes!$A:$A,$A951)&gt;0,"ok","")</f>
        <v/>
      </c>
      <c r="J951" s="17">
        <f t="shared" si="14"/>
        <v>2</v>
      </c>
    </row>
    <row r="952" spans="1:10" x14ac:dyDescent="0.3">
      <c r="A952" s="17" t="s">
        <v>5152</v>
      </c>
      <c r="B952" s="17" t="str">
        <f>IFERROR(INDEX(Mots!$B:$B,MATCH($A952,Mots!$A:$A,0)),"introuvable")</f>
        <v>la toux</v>
      </c>
      <c r="C952" s="17" t="str">
        <f>IFERROR(INDEX(Mots!$N:$N,MATCH($A952,Mots!$A:$A,0)),"")</f>
        <v>chose</v>
      </c>
      <c r="D952" s="17">
        <f>IFERROR(COUNTA(INDEX(Mots!$E:$E,MATCH($A952,Mots!$A:$A,0)):INDEX(Mots!$K:$K,MATCH($A952,Mots!$A:$A,0))),0)</f>
        <v>3</v>
      </c>
      <c r="E952" s="17" t="str">
        <f>IF(COUNTIF(Classement!$A:$A,$A952)&gt;0,"ok","à faire")</f>
        <v>ok</v>
      </c>
      <c r="F952" s="17" t="str">
        <f>IF(COUNTIF(Tags!$A:$A,$A952)&gt;0,"ok","à faire")</f>
        <v>à faire</v>
      </c>
      <c r="G952" s="17" t="str">
        <f>IF(COUNTIF(Phrases!$A:$A,$A952)&gt;0,"ok","à faire")</f>
        <v>ok</v>
      </c>
      <c r="H952" s="17" t="str">
        <f>IF(COUNTIFS(Phrases!$A:$A,$A952,Phrases!$I:$I,"&lt;&gt;")&gt;0,"ok","à faire")</f>
        <v>à faire</v>
      </c>
      <c r="I952" s="17" t="str">
        <f>IF(COUNTIF(Synonymes!$A:$A,$A952)&gt;0,"ok","")</f>
        <v>ok</v>
      </c>
      <c r="J952" s="17">
        <f t="shared" si="14"/>
        <v>2</v>
      </c>
    </row>
    <row r="953" spans="1:10" x14ac:dyDescent="0.3">
      <c r="A953" s="17" t="s">
        <v>5158</v>
      </c>
      <c r="B953" s="17" t="str">
        <f>IFERROR(INDEX(Mots!$B:$B,MATCH($A953,Mots!$A:$A,0)),"introuvable")</f>
        <v>la vague</v>
      </c>
      <c r="C953" s="17" t="str">
        <f>IFERROR(INDEX(Mots!$N:$N,MATCH($A953,Mots!$A:$A,0)),"")</f>
        <v>chose</v>
      </c>
      <c r="D953" s="17">
        <f>IFERROR(COUNTA(INDEX(Mots!$E:$E,MATCH($A953,Mots!$A:$A,0)):INDEX(Mots!$K:$K,MATCH($A953,Mots!$A:$A,0))),0)</f>
        <v>5</v>
      </c>
      <c r="E953" s="17" t="str">
        <f>IF(COUNTIF(Classement!$A:$A,$A953)&gt;0,"ok","à faire")</f>
        <v>ok</v>
      </c>
      <c r="F953" s="17" t="str">
        <f>IF(COUNTIF(Tags!$A:$A,$A953)&gt;0,"ok","à faire")</f>
        <v>à faire</v>
      </c>
      <c r="G953" s="17" t="str">
        <f>IF(COUNTIF(Phrases!$A:$A,$A953)&gt;0,"ok","à faire")</f>
        <v>ok</v>
      </c>
      <c r="H953" s="17" t="str">
        <f>IF(COUNTIFS(Phrases!$A:$A,$A953,Phrases!$I:$I,"&lt;&gt;")&gt;0,"ok","à faire")</f>
        <v>à faire</v>
      </c>
      <c r="I953" s="17" t="str">
        <f>IF(COUNTIF(Synonymes!$A:$A,$A953)&gt;0,"ok","")</f>
        <v/>
      </c>
      <c r="J953" s="17">
        <f t="shared" si="14"/>
        <v>2</v>
      </c>
    </row>
    <row r="954" spans="1:10" x14ac:dyDescent="0.3">
      <c r="A954" s="17" t="s">
        <v>5166</v>
      </c>
      <c r="B954" s="17" t="str">
        <f>IFERROR(INDEX(Mots!$B:$B,MATCH($A954,Mots!$A:$A,0)),"introuvable")</f>
        <v>la valise</v>
      </c>
      <c r="C954" s="17" t="str">
        <f>IFERROR(INDEX(Mots!$N:$N,MATCH($A954,Mots!$A:$A,0)),"")</f>
        <v>chose</v>
      </c>
      <c r="D954" s="17">
        <f>IFERROR(COUNTA(INDEX(Mots!$E:$E,MATCH($A954,Mots!$A:$A,0)):INDEX(Mots!$K:$K,MATCH($A954,Mots!$A:$A,0))),0)</f>
        <v>5</v>
      </c>
      <c r="E954" s="17" t="str">
        <f>IF(COUNTIF(Classement!$A:$A,$A954)&gt;0,"ok","à faire")</f>
        <v>ok</v>
      </c>
      <c r="F954" s="17" t="str">
        <f>IF(COUNTIF(Tags!$A:$A,$A954)&gt;0,"ok","à faire")</f>
        <v>ok</v>
      </c>
      <c r="G954" s="17" t="str">
        <f>IF(COUNTIF(Phrases!$A:$A,$A954)&gt;0,"ok","à faire")</f>
        <v>ok</v>
      </c>
      <c r="H954" s="17" t="str">
        <f>IF(COUNTIFS(Phrases!$A:$A,$A954,Phrases!$I:$I,"&lt;&gt;")&gt;0,"ok","à faire")</f>
        <v>ok</v>
      </c>
      <c r="I954" s="17" t="str">
        <f>IF(COUNTIF(Synonymes!$A:$A,$A954)&gt;0,"ok","")</f>
        <v/>
      </c>
      <c r="J954" s="17">
        <f t="shared" si="14"/>
        <v>0</v>
      </c>
    </row>
    <row r="955" spans="1:10" x14ac:dyDescent="0.3">
      <c r="A955" s="17" t="s">
        <v>5174</v>
      </c>
      <c r="B955" s="17" t="str">
        <f>IFERROR(INDEX(Mots!$B:$B,MATCH($A955,Mots!$A:$A,0)),"introuvable")</f>
        <v>la vallée</v>
      </c>
      <c r="C955" s="17" t="str">
        <f>IFERROR(INDEX(Mots!$N:$N,MATCH($A955,Mots!$A:$A,0)),"")</f>
        <v>chose</v>
      </c>
      <c r="D955" s="17">
        <f>IFERROR(COUNTA(INDEX(Mots!$E:$E,MATCH($A955,Mots!$A:$A,0)):INDEX(Mots!$K:$K,MATCH($A955,Mots!$A:$A,0))),0)</f>
        <v>4</v>
      </c>
      <c r="E955" s="17" t="str">
        <f>IF(COUNTIF(Classement!$A:$A,$A955)&gt;0,"ok","à faire")</f>
        <v>ok</v>
      </c>
      <c r="F955" s="17" t="str">
        <f>IF(COUNTIF(Tags!$A:$A,$A955)&gt;0,"ok","à faire")</f>
        <v>ok</v>
      </c>
      <c r="G955" s="17" t="str">
        <f>IF(COUNTIF(Phrases!$A:$A,$A955)&gt;0,"ok","à faire")</f>
        <v>ok</v>
      </c>
      <c r="H955" s="17" t="str">
        <f>IF(COUNTIFS(Phrases!$A:$A,$A955,Phrases!$I:$I,"&lt;&gt;")&gt;0,"ok","à faire")</f>
        <v>à faire</v>
      </c>
      <c r="I955" s="17" t="str">
        <f>IF(COUNTIF(Synonymes!$A:$A,$A955)&gt;0,"ok","")</f>
        <v/>
      </c>
      <c r="J955" s="17">
        <f t="shared" si="14"/>
        <v>1</v>
      </c>
    </row>
    <row r="956" spans="1:10" x14ac:dyDescent="0.3">
      <c r="A956" s="17" t="s">
        <v>5178</v>
      </c>
      <c r="B956" s="17" t="str">
        <f>IFERROR(INDEX(Mots!$B:$B,MATCH($A956,Mots!$A:$A,0)),"introuvable")</f>
        <v>la vente</v>
      </c>
      <c r="C956" s="17" t="str">
        <f>IFERROR(INDEX(Mots!$N:$N,MATCH($A956,Mots!$A:$A,0)),"")</f>
        <v>chose</v>
      </c>
      <c r="D956" s="17">
        <f>IFERROR(COUNTA(INDEX(Mots!$E:$E,MATCH($A956,Mots!$A:$A,0)):INDEX(Mots!$K:$K,MATCH($A956,Mots!$A:$A,0))),0)</f>
        <v>1</v>
      </c>
      <c r="E956" s="17" t="str">
        <f>IF(COUNTIF(Classement!$A:$A,$A956)&gt;0,"ok","à faire")</f>
        <v>ok</v>
      </c>
      <c r="F956" s="17" t="str">
        <f>IF(COUNTIF(Tags!$A:$A,$A956)&gt;0,"ok","à faire")</f>
        <v>ok</v>
      </c>
      <c r="G956" s="17" t="str">
        <f>IF(COUNTIF(Phrases!$A:$A,$A956)&gt;0,"ok","à faire")</f>
        <v>ok</v>
      </c>
      <c r="H956" s="17" t="str">
        <f>IF(COUNTIFS(Phrases!$A:$A,$A956,Phrases!$I:$I,"&lt;&gt;")&gt;0,"ok","à faire")</f>
        <v>à faire</v>
      </c>
      <c r="I956" s="17" t="str">
        <f>IF(COUNTIF(Synonymes!$A:$A,$A956)&gt;0,"ok","")</f>
        <v/>
      </c>
      <c r="J956" s="17">
        <f t="shared" si="14"/>
        <v>1</v>
      </c>
    </row>
    <row r="957" spans="1:10" x14ac:dyDescent="0.3">
      <c r="A957" s="17" t="s">
        <v>5182</v>
      </c>
      <c r="B957" s="17" t="str">
        <f>IFERROR(INDEX(Mots!$B:$B,MATCH($A957,Mots!$A:$A,0)),"introuvable")</f>
        <v>la vérité</v>
      </c>
      <c r="C957" s="17" t="str">
        <f>IFERROR(INDEX(Mots!$N:$N,MATCH($A957,Mots!$A:$A,0)),"")</f>
        <v>chose</v>
      </c>
      <c r="D957" s="17">
        <f>IFERROR(COUNTA(INDEX(Mots!$E:$E,MATCH($A957,Mots!$A:$A,0)):INDEX(Mots!$K:$K,MATCH($A957,Mots!$A:$A,0))),0)</f>
        <v>2</v>
      </c>
      <c r="E957" s="17" t="str">
        <f>IF(COUNTIF(Classement!$A:$A,$A957)&gt;0,"ok","à faire")</f>
        <v>ok</v>
      </c>
      <c r="F957" s="17" t="str">
        <f>IF(COUNTIF(Tags!$A:$A,$A957)&gt;0,"ok","à faire")</f>
        <v>à faire</v>
      </c>
      <c r="G957" s="17" t="str">
        <f>IF(COUNTIF(Phrases!$A:$A,$A957)&gt;0,"ok","à faire")</f>
        <v>ok</v>
      </c>
      <c r="H957" s="17" t="str">
        <f>IF(COUNTIFS(Phrases!$A:$A,$A957,Phrases!$I:$I,"&lt;&gt;")&gt;0,"ok","à faire")</f>
        <v>à faire</v>
      </c>
      <c r="I957" s="17" t="str">
        <f>IF(COUNTIF(Synonymes!$A:$A,$A957)&gt;0,"ok","")</f>
        <v/>
      </c>
      <c r="J957" s="17">
        <f t="shared" si="14"/>
        <v>2</v>
      </c>
    </row>
    <row r="958" spans="1:10" x14ac:dyDescent="0.3">
      <c r="A958" s="17" t="s">
        <v>5187</v>
      </c>
      <c r="B958" s="17" t="str">
        <f>IFERROR(INDEX(Mots!$B:$B,MATCH($A958,Mots!$A:$A,0)),"introuvable")</f>
        <v>la victime</v>
      </c>
      <c r="C958" s="17" t="str">
        <f>IFERROR(INDEX(Mots!$N:$N,MATCH($A958,Mots!$A:$A,0)),"")</f>
        <v>personne</v>
      </c>
      <c r="D958" s="17">
        <f>IFERROR(COUNTA(INDEX(Mots!$E:$E,MATCH($A958,Mots!$A:$A,0)):INDEX(Mots!$K:$K,MATCH($A958,Mots!$A:$A,0))),0)</f>
        <v>1</v>
      </c>
      <c r="E958" s="17" t="str">
        <f>IF(COUNTIF(Classement!$A:$A,$A958)&gt;0,"ok","à faire")</f>
        <v>ok</v>
      </c>
      <c r="F958" s="17" t="str">
        <f>IF(COUNTIF(Tags!$A:$A,$A958)&gt;0,"ok","à faire")</f>
        <v>à faire</v>
      </c>
      <c r="G958" s="17" t="str">
        <f>IF(COUNTIF(Phrases!$A:$A,$A958)&gt;0,"ok","à faire")</f>
        <v>à faire</v>
      </c>
      <c r="H958" s="17" t="str">
        <f>IF(COUNTIFS(Phrases!$A:$A,$A958,Phrases!$I:$I,"&lt;&gt;")&gt;0,"ok","à faire")</f>
        <v>à faire</v>
      </c>
      <c r="I958" s="17" t="str">
        <f>IF(COUNTIF(Synonymes!$A:$A,$A958)&gt;0,"ok","")</f>
        <v/>
      </c>
      <c r="J958" s="17">
        <f t="shared" si="14"/>
        <v>3</v>
      </c>
    </row>
    <row r="959" spans="1:10" x14ac:dyDescent="0.3">
      <c r="A959" s="17" t="s">
        <v>5191</v>
      </c>
      <c r="B959" s="17" t="str">
        <f>IFERROR(INDEX(Mots!$B:$B,MATCH($A959,Mots!$A:$A,0)),"introuvable")</f>
        <v>la vie</v>
      </c>
      <c r="C959" s="17" t="str">
        <f>IFERROR(INDEX(Mots!$N:$N,MATCH($A959,Mots!$A:$A,0)),"")</f>
        <v>chose</v>
      </c>
      <c r="D959" s="17">
        <f>IFERROR(COUNTA(INDEX(Mots!$E:$E,MATCH($A959,Mots!$A:$A,0)):INDEX(Mots!$K:$K,MATCH($A959,Mots!$A:$A,0))),0)</f>
        <v>1</v>
      </c>
      <c r="E959" s="17" t="str">
        <f>IF(COUNTIF(Classement!$A:$A,$A959)&gt;0,"ok","à faire")</f>
        <v>ok</v>
      </c>
      <c r="F959" s="17" t="str">
        <f>IF(COUNTIF(Tags!$A:$A,$A959)&gt;0,"ok","à faire")</f>
        <v>à faire</v>
      </c>
      <c r="G959" s="17" t="str">
        <f>IF(COUNTIF(Phrases!$A:$A,$A959)&gt;0,"ok","à faire")</f>
        <v>ok</v>
      </c>
      <c r="H959" s="17" t="str">
        <f>IF(COUNTIFS(Phrases!$A:$A,$A959,Phrases!$I:$I,"&lt;&gt;")&gt;0,"ok","à faire")</f>
        <v>ok</v>
      </c>
      <c r="I959" s="17" t="str">
        <f>IF(COUNTIF(Synonymes!$A:$A,$A959)&gt;0,"ok","")</f>
        <v/>
      </c>
      <c r="J959" s="17">
        <f t="shared" si="14"/>
        <v>1</v>
      </c>
    </row>
    <row r="960" spans="1:10" x14ac:dyDescent="0.3">
      <c r="A960" s="17" t="s">
        <v>5195</v>
      </c>
      <c r="B960" s="17" t="str">
        <f>IFERROR(INDEX(Mots!$B:$B,MATCH($A960,Mots!$A:$A,0)),"introuvable")</f>
        <v>la vigne</v>
      </c>
      <c r="C960" s="17" t="str">
        <f>IFERROR(INDEX(Mots!$N:$N,MATCH($A960,Mots!$A:$A,0)),"")</f>
        <v>chose</v>
      </c>
      <c r="D960" s="17">
        <f>IFERROR(COUNTA(INDEX(Mots!$E:$E,MATCH($A960,Mots!$A:$A,0)):INDEX(Mots!$K:$K,MATCH($A960,Mots!$A:$A,0))),0)</f>
        <v>6</v>
      </c>
      <c r="E960" s="17" t="str">
        <f>IF(COUNTIF(Classement!$A:$A,$A960)&gt;0,"ok","à faire")</f>
        <v>ok</v>
      </c>
      <c r="F960" s="17" t="str">
        <f>IF(COUNTIF(Tags!$A:$A,$A960)&gt;0,"ok","à faire")</f>
        <v>ok</v>
      </c>
      <c r="G960" s="17" t="str">
        <f>IF(COUNTIF(Phrases!$A:$A,$A960)&gt;0,"ok","à faire")</f>
        <v>ok</v>
      </c>
      <c r="H960" s="17" t="str">
        <f>IF(COUNTIFS(Phrases!$A:$A,$A960,Phrases!$I:$I,"&lt;&gt;")&gt;0,"ok","à faire")</f>
        <v>à faire</v>
      </c>
      <c r="I960" s="17" t="str">
        <f>IF(COUNTIF(Synonymes!$A:$A,$A960)&gt;0,"ok","")</f>
        <v/>
      </c>
      <c r="J960" s="17">
        <f t="shared" si="14"/>
        <v>1</v>
      </c>
    </row>
    <row r="961" spans="1:10" x14ac:dyDescent="0.3">
      <c r="A961" s="17" t="s">
        <v>5199</v>
      </c>
      <c r="B961" s="17" t="str">
        <f>IFERROR(INDEX(Mots!$B:$B,MATCH($A961,Mots!$A:$A,0)),"introuvable")</f>
        <v>la vis</v>
      </c>
      <c r="C961" s="17" t="str">
        <f>IFERROR(INDEX(Mots!$N:$N,MATCH($A961,Mots!$A:$A,0)),"")</f>
        <v>chose</v>
      </c>
      <c r="D961" s="17">
        <f>IFERROR(COUNTA(INDEX(Mots!$E:$E,MATCH($A961,Mots!$A:$A,0)):INDEX(Mots!$K:$K,MATCH($A961,Mots!$A:$A,0))),0)</f>
        <v>4</v>
      </c>
      <c r="E961" s="17" t="str">
        <f>IF(COUNTIF(Classement!$A:$A,$A961)&gt;0,"ok","à faire")</f>
        <v>ok</v>
      </c>
      <c r="F961" s="17" t="str">
        <f>IF(COUNTIF(Tags!$A:$A,$A961)&gt;0,"ok","à faire")</f>
        <v>ok</v>
      </c>
      <c r="G961" s="17" t="str">
        <f>IF(COUNTIF(Phrases!$A:$A,$A961)&gt;0,"ok","à faire")</f>
        <v>ok</v>
      </c>
      <c r="H961" s="17" t="str">
        <f>IF(COUNTIFS(Phrases!$A:$A,$A961,Phrases!$I:$I,"&lt;&gt;")&gt;0,"ok","à faire")</f>
        <v>ok</v>
      </c>
      <c r="I961" s="17" t="str">
        <f>IF(COUNTIF(Synonymes!$A:$A,$A961)&gt;0,"ok","")</f>
        <v/>
      </c>
      <c r="J961" s="17">
        <f t="shared" ref="J961:J1024" si="15">COUNTIF(E961:H961,"à faire")</f>
        <v>0</v>
      </c>
    </row>
    <row r="962" spans="1:10" x14ac:dyDescent="0.3">
      <c r="A962" s="17" t="s">
        <v>5206</v>
      </c>
      <c r="B962" s="17" t="str">
        <f>IFERROR(INDEX(Mots!$B:$B,MATCH($A962,Mots!$A:$A,0)),"introuvable")</f>
        <v>la visite</v>
      </c>
      <c r="C962" s="17" t="str">
        <f>IFERROR(INDEX(Mots!$N:$N,MATCH($A962,Mots!$A:$A,0)),"")</f>
        <v>chose</v>
      </c>
      <c r="D962" s="17">
        <f>IFERROR(COUNTA(INDEX(Mots!$E:$E,MATCH($A962,Mots!$A:$A,0)):INDEX(Mots!$K:$K,MATCH($A962,Mots!$A:$A,0))),0)</f>
        <v>1</v>
      </c>
      <c r="E962" s="17" t="str">
        <f>IF(COUNTIF(Classement!$A:$A,$A962)&gt;0,"ok","à faire")</f>
        <v>ok</v>
      </c>
      <c r="F962" s="17" t="str">
        <f>IF(COUNTIF(Tags!$A:$A,$A962)&gt;0,"ok","à faire")</f>
        <v>à faire</v>
      </c>
      <c r="G962" s="17" t="str">
        <f>IF(COUNTIF(Phrases!$A:$A,$A962)&gt;0,"ok","à faire")</f>
        <v>ok</v>
      </c>
      <c r="H962" s="17" t="str">
        <f>IF(COUNTIFS(Phrases!$A:$A,$A962,Phrases!$I:$I,"&lt;&gt;")&gt;0,"ok","à faire")</f>
        <v>ok</v>
      </c>
      <c r="I962" s="17" t="str">
        <f>IF(COUNTIF(Synonymes!$A:$A,$A962)&gt;0,"ok","")</f>
        <v/>
      </c>
      <c r="J962" s="17">
        <f t="shared" si="15"/>
        <v>1</v>
      </c>
    </row>
    <row r="963" spans="1:10" x14ac:dyDescent="0.3">
      <c r="A963" s="17" t="s">
        <v>5209</v>
      </c>
      <c r="B963" s="17" t="str">
        <f>IFERROR(INDEX(Mots!$B:$B,MATCH($A963,Mots!$A:$A,0)),"introuvable")</f>
        <v>la zone</v>
      </c>
      <c r="C963" s="17" t="str">
        <f>IFERROR(INDEX(Mots!$N:$N,MATCH($A963,Mots!$A:$A,0)),"")</f>
        <v>chose</v>
      </c>
      <c r="D963" s="17">
        <f>IFERROR(COUNTA(INDEX(Mots!$E:$E,MATCH($A963,Mots!$A:$A,0)):INDEX(Mots!$K:$K,MATCH($A963,Mots!$A:$A,0))),0)</f>
        <v>1</v>
      </c>
      <c r="E963" s="17" t="str">
        <f>IF(COUNTIF(Classement!$A:$A,$A963)&gt;0,"ok","à faire")</f>
        <v>ok</v>
      </c>
      <c r="F963" s="17" t="str">
        <f>IF(COUNTIF(Tags!$A:$A,$A963)&gt;0,"ok","à faire")</f>
        <v>à faire</v>
      </c>
      <c r="G963" s="17" t="str">
        <f>IF(COUNTIF(Phrases!$A:$A,$A963)&gt;0,"ok","à faire")</f>
        <v>ok</v>
      </c>
      <c r="H963" s="17" t="str">
        <f>IF(COUNTIFS(Phrases!$A:$A,$A963,Phrases!$I:$I,"&lt;&gt;")&gt;0,"ok","à faire")</f>
        <v>à faire</v>
      </c>
      <c r="I963" s="17" t="str">
        <f>IF(COUNTIF(Synonymes!$A:$A,$A963)&gt;0,"ok","")</f>
        <v/>
      </c>
      <c r="J963" s="17">
        <f t="shared" si="15"/>
        <v>2</v>
      </c>
    </row>
    <row r="964" spans="1:10" x14ac:dyDescent="0.3">
      <c r="A964" s="17" t="s">
        <v>5213</v>
      </c>
      <c r="B964" s="17" t="str">
        <f>IFERROR(INDEX(Mots!$B:$B,MATCH($A964,Mots!$A:$A,0)),"introuvable")</f>
        <v>l'accident</v>
      </c>
      <c r="C964" s="17" t="str">
        <f>IFERROR(INDEX(Mots!$N:$N,MATCH($A964,Mots!$A:$A,0)),"")</f>
        <v>chose</v>
      </c>
      <c r="D964" s="17">
        <f>IFERROR(COUNTA(INDEX(Mots!$E:$E,MATCH($A964,Mots!$A:$A,0)):INDEX(Mots!$K:$K,MATCH($A964,Mots!$A:$A,0))),0)</f>
        <v>5</v>
      </c>
      <c r="E964" s="17" t="str">
        <f>IF(COUNTIF(Classement!$A:$A,$A964)&gt;0,"ok","à faire")</f>
        <v>ok</v>
      </c>
      <c r="F964" s="17" t="str">
        <f>IF(COUNTIF(Tags!$A:$A,$A964)&gt;0,"ok","à faire")</f>
        <v>ok</v>
      </c>
      <c r="G964" s="17" t="str">
        <f>IF(COUNTIF(Phrases!$A:$A,$A964)&gt;0,"ok","à faire")</f>
        <v>ok</v>
      </c>
      <c r="H964" s="17" t="str">
        <f>IF(COUNTIFS(Phrases!$A:$A,$A964,Phrases!$I:$I,"&lt;&gt;")&gt;0,"ok","à faire")</f>
        <v>ok</v>
      </c>
      <c r="I964" s="17" t="str">
        <f>IF(COUNTIF(Synonymes!$A:$A,$A964)&gt;0,"ok","")</f>
        <v/>
      </c>
      <c r="J964" s="17">
        <f t="shared" si="15"/>
        <v>0</v>
      </c>
    </row>
    <row r="965" spans="1:10" x14ac:dyDescent="0.3">
      <c r="A965" s="17" t="s">
        <v>5221</v>
      </c>
      <c r="B965" s="17" t="str">
        <f>IFERROR(INDEX(Mots!$B:$B,MATCH($A965,Mots!$A:$A,0)),"introuvable")</f>
        <v>l'accord</v>
      </c>
      <c r="C965" s="17" t="str">
        <f>IFERROR(INDEX(Mots!$N:$N,MATCH($A965,Mots!$A:$A,0)),"")</f>
        <v>chose</v>
      </c>
      <c r="D965" s="17">
        <f>IFERROR(COUNTA(INDEX(Mots!$E:$E,MATCH($A965,Mots!$A:$A,0)):INDEX(Mots!$K:$K,MATCH($A965,Mots!$A:$A,0))),0)</f>
        <v>5</v>
      </c>
      <c r="E965" s="17" t="str">
        <f>IF(COUNTIF(Classement!$A:$A,$A965)&gt;0,"ok","à faire")</f>
        <v>ok</v>
      </c>
      <c r="F965" s="17" t="str">
        <f>IF(COUNTIF(Tags!$A:$A,$A965)&gt;0,"ok","à faire")</f>
        <v>à faire</v>
      </c>
      <c r="G965" s="17" t="str">
        <f>IF(COUNTIF(Phrases!$A:$A,$A965)&gt;0,"ok","à faire")</f>
        <v>ok</v>
      </c>
      <c r="H965" s="17" t="str">
        <f>IF(COUNTIFS(Phrases!$A:$A,$A965,Phrases!$I:$I,"&lt;&gt;")&gt;0,"ok","à faire")</f>
        <v>ok</v>
      </c>
      <c r="I965" s="17" t="str">
        <f>IF(COUNTIF(Synonymes!$A:$A,$A965)&gt;0,"ok","")</f>
        <v/>
      </c>
      <c r="J965" s="17">
        <f t="shared" si="15"/>
        <v>1</v>
      </c>
    </row>
    <row r="966" spans="1:10" x14ac:dyDescent="0.3">
      <c r="A966" s="17" t="s">
        <v>5229</v>
      </c>
      <c r="B966" s="17" t="str">
        <f>IFERROR(INDEX(Mots!$B:$B,MATCH($A966,Mots!$A:$A,0)),"introuvable")</f>
        <v>l'achat</v>
      </c>
      <c r="C966" s="17" t="str">
        <f>IFERROR(INDEX(Mots!$N:$N,MATCH($A966,Mots!$A:$A,0)),"")</f>
        <v>chose</v>
      </c>
      <c r="D966" s="17">
        <f>IFERROR(COUNTA(INDEX(Mots!$E:$E,MATCH($A966,Mots!$A:$A,0)):INDEX(Mots!$K:$K,MATCH($A966,Mots!$A:$A,0))),0)</f>
        <v>5</v>
      </c>
      <c r="E966" s="17" t="str">
        <f>IF(COUNTIF(Classement!$A:$A,$A966)&gt;0,"ok","à faire")</f>
        <v>ok</v>
      </c>
      <c r="F966" s="17" t="str">
        <f>IF(COUNTIF(Tags!$A:$A,$A966)&gt;0,"ok","à faire")</f>
        <v>ok</v>
      </c>
      <c r="G966" s="17" t="str">
        <f>IF(COUNTIF(Phrases!$A:$A,$A966)&gt;0,"ok","à faire")</f>
        <v>ok</v>
      </c>
      <c r="H966" s="17" t="str">
        <f>IF(COUNTIFS(Phrases!$A:$A,$A966,Phrases!$I:$I,"&lt;&gt;")&gt;0,"ok","à faire")</f>
        <v>ok</v>
      </c>
      <c r="I966" s="17" t="str">
        <f>IF(COUNTIF(Synonymes!$A:$A,$A966)&gt;0,"ok","")</f>
        <v/>
      </c>
      <c r="J966" s="17">
        <f t="shared" si="15"/>
        <v>0</v>
      </c>
    </row>
    <row r="967" spans="1:10" x14ac:dyDescent="0.3">
      <c r="A967" s="17" t="s">
        <v>5232</v>
      </c>
      <c r="B967" s="17" t="str">
        <f>IFERROR(INDEX(Mots!$B:$B,MATCH($A967,Mots!$A:$A,0)),"introuvable")</f>
        <v>les affaires</v>
      </c>
      <c r="C967" s="17" t="str">
        <f>IFERROR(INDEX(Mots!$N:$N,MATCH($A967,Mots!$A:$A,0)),"")</f>
        <v>chose</v>
      </c>
      <c r="D967" s="17">
        <f>IFERROR(COUNTA(INDEX(Mots!$E:$E,MATCH($A967,Mots!$A:$A,0)):INDEX(Mots!$K:$K,MATCH($A967,Mots!$A:$A,0))),0)</f>
        <v>3</v>
      </c>
      <c r="E967" s="17" t="str">
        <f>IF(COUNTIF(Classement!$A:$A,$A967)&gt;0,"ok","à faire")</f>
        <v>ok</v>
      </c>
      <c r="F967" s="17" t="str">
        <f>IF(COUNTIF(Tags!$A:$A,$A967)&gt;0,"ok","à faire")</f>
        <v>ok</v>
      </c>
      <c r="G967" s="17" t="str">
        <f>IF(COUNTIF(Phrases!$A:$A,$A967)&gt;0,"ok","à faire")</f>
        <v>ok</v>
      </c>
      <c r="H967" s="17" t="str">
        <f>IF(COUNTIFS(Phrases!$A:$A,$A967,Phrases!$I:$I,"&lt;&gt;")&gt;0,"ok","à faire")</f>
        <v>ok</v>
      </c>
      <c r="I967" s="17" t="str">
        <f>IF(COUNTIF(Synonymes!$A:$A,$A967)&gt;0,"ok","")</f>
        <v/>
      </c>
      <c r="J967" s="17">
        <f t="shared" si="15"/>
        <v>0</v>
      </c>
    </row>
    <row r="968" spans="1:10" x14ac:dyDescent="0.3">
      <c r="A968" s="17" t="s">
        <v>5237</v>
      </c>
      <c r="B968" s="17" t="str">
        <f>IFERROR(INDEX(Mots!$B:$B,MATCH($A968,Mots!$A:$A,0)),"introuvable")</f>
        <v>l'âge</v>
      </c>
      <c r="C968" s="17" t="str">
        <f>IFERROR(INDEX(Mots!$N:$N,MATCH($A968,Mots!$A:$A,0)),"")</f>
        <v>mot utile</v>
      </c>
      <c r="D968" s="17">
        <f>IFERROR(COUNTA(INDEX(Mots!$E:$E,MATCH($A968,Mots!$A:$A,0)):INDEX(Mots!$K:$K,MATCH($A968,Mots!$A:$A,0))),0)</f>
        <v>5</v>
      </c>
      <c r="E968" s="17" t="str">
        <f>IF(COUNTIF(Classement!$A:$A,$A968)&gt;0,"ok","à faire")</f>
        <v>ok</v>
      </c>
      <c r="F968" s="17" t="str">
        <f>IF(COUNTIF(Tags!$A:$A,$A968)&gt;0,"ok","à faire")</f>
        <v>ok</v>
      </c>
      <c r="G968" s="17" t="str">
        <f>IF(COUNTIF(Phrases!$A:$A,$A968)&gt;0,"ok","à faire")</f>
        <v>à faire</v>
      </c>
      <c r="H968" s="17" t="str">
        <f>IF(COUNTIFS(Phrases!$A:$A,$A968,Phrases!$I:$I,"&lt;&gt;")&gt;0,"ok","à faire")</f>
        <v>à faire</v>
      </c>
      <c r="I968" s="17" t="str">
        <f>IF(COUNTIF(Synonymes!$A:$A,$A968)&gt;0,"ok","")</f>
        <v/>
      </c>
      <c r="J968" s="17">
        <f t="shared" si="15"/>
        <v>2</v>
      </c>
    </row>
    <row r="969" spans="1:10" x14ac:dyDescent="0.3">
      <c r="A969" s="17" t="s">
        <v>5245</v>
      </c>
      <c r="B969" s="17" t="str">
        <f>IFERROR(INDEX(Mots!$B:$B,MATCH($A969,Mots!$A:$A,0)),"introuvable")</f>
        <v>l'agitation</v>
      </c>
      <c r="C969" s="17" t="str">
        <f>IFERROR(INDEX(Mots!$N:$N,MATCH($A969,Mots!$A:$A,0)),"")</f>
        <v>chose</v>
      </c>
      <c r="D969" s="17">
        <f>IFERROR(COUNTA(INDEX(Mots!$E:$E,MATCH($A969,Mots!$A:$A,0)):INDEX(Mots!$K:$K,MATCH($A969,Mots!$A:$A,0))),0)</f>
        <v>1</v>
      </c>
      <c r="E969" s="17" t="str">
        <f>IF(COUNTIF(Classement!$A:$A,$A969)&gt;0,"ok","à faire")</f>
        <v>ok</v>
      </c>
      <c r="F969" s="17" t="str">
        <f>IF(COUNTIF(Tags!$A:$A,$A969)&gt;0,"ok","à faire")</f>
        <v>à faire</v>
      </c>
      <c r="G969" s="17" t="str">
        <f>IF(COUNTIF(Phrases!$A:$A,$A969)&gt;0,"ok","à faire")</f>
        <v>ok</v>
      </c>
      <c r="H969" s="17" t="str">
        <f>IF(COUNTIFS(Phrases!$A:$A,$A969,Phrases!$I:$I,"&lt;&gt;")&gt;0,"ok","à faire")</f>
        <v>à faire</v>
      </c>
      <c r="I969" s="17" t="str">
        <f>IF(COUNTIF(Synonymes!$A:$A,$A969)&gt;0,"ok","")</f>
        <v/>
      </c>
      <c r="J969" s="17">
        <f t="shared" si="15"/>
        <v>2</v>
      </c>
    </row>
    <row r="970" spans="1:10" x14ac:dyDescent="0.3">
      <c r="A970" s="17" t="s">
        <v>5249</v>
      </c>
      <c r="B970" s="17" t="str">
        <f>IFERROR(INDEX(Mots!$B:$B,MATCH($A970,Mots!$A:$A,0)),"introuvable")</f>
        <v>l'aide</v>
      </c>
      <c r="C970" s="17" t="str">
        <f>IFERROR(INDEX(Mots!$N:$N,MATCH($A970,Mots!$A:$A,0)),"")</f>
        <v>chose</v>
      </c>
      <c r="D970" s="17">
        <f>IFERROR(COUNTA(INDEX(Mots!$E:$E,MATCH($A970,Mots!$A:$A,0)):INDEX(Mots!$K:$K,MATCH($A970,Mots!$A:$A,0))),0)</f>
        <v>5</v>
      </c>
      <c r="E970" s="17" t="str">
        <f>IF(COUNTIF(Classement!$A:$A,$A970)&gt;0,"ok","à faire")</f>
        <v>ok</v>
      </c>
      <c r="F970" s="17" t="str">
        <f>IF(COUNTIF(Tags!$A:$A,$A970)&gt;0,"ok","à faire")</f>
        <v>ok</v>
      </c>
      <c r="G970" s="17" t="str">
        <f>IF(COUNTIF(Phrases!$A:$A,$A970)&gt;0,"ok","à faire")</f>
        <v>ok</v>
      </c>
      <c r="H970" s="17" t="str">
        <f>IF(COUNTIFS(Phrases!$A:$A,$A970,Phrases!$I:$I,"&lt;&gt;")&gt;0,"ok","à faire")</f>
        <v>ok</v>
      </c>
      <c r="I970" s="17" t="str">
        <f>IF(COUNTIF(Synonymes!$A:$A,$A970)&gt;0,"ok","")</f>
        <v/>
      </c>
      <c r="J970" s="17">
        <f t="shared" si="15"/>
        <v>0</v>
      </c>
    </row>
    <row r="971" spans="1:10" x14ac:dyDescent="0.3">
      <c r="A971" s="17" t="s">
        <v>5256</v>
      </c>
      <c r="B971" s="17" t="str">
        <f>IFERROR(INDEX(Mots!$B:$B,MATCH($A971,Mots!$A:$A,0)),"introuvable")</f>
        <v>l'aiguille</v>
      </c>
      <c r="C971" s="17" t="str">
        <f>IFERROR(INDEX(Mots!$N:$N,MATCH($A971,Mots!$A:$A,0)),"")</f>
        <v>chose</v>
      </c>
      <c r="D971" s="17">
        <f>IFERROR(COUNTA(INDEX(Mots!$E:$E,MATCH($A971,Mots!$A:$A,0)):INDEX(Mots!$K:$K,MATCH($A971,Mots!$A:$A,0))),0)</f>
        <v>5</v>
      </c>
      <c r="E971" s="17" t="str">
        <f>IF(COUNTIF(Classement!$A:$A,$A971)&gt;0,"ok","à faire")</f>
        <v>ok</v>
      </c>
      <c r="F971" s="17" t="str">
        <f>IF(COUNTIF(Tags!$A:$A,$A971)&gt;0,"ok","à faire")</f>
        <v>à faire</v>
      </c>
      <c r="G971" s="17" t="str">
        <f>IF(COUNTIF(Phrases!$A:$A,$A971)&gt;0,"ok","à faire")</f>
        <v>ok</v>
      </c>
      <c r="H971" s="17" t="str">
        <f>IF(COUNTIFS(Phrases!$A:$A,$A971,Phrases!$I:$I,"&lt;&gt;")&gt;0,"ok","à faire")</f>
        <v>à faire</v>
      </c>
      <c r="I971" s="17" t="str">
        <f>IF(COUNTIF(Synonymes!$A:$A,$A971)&gt;0,"ok","")</f>
        <v/>
      </c>
      <c r="J971" s="17">
        <f t="shared" si="15"/>
        <v>2</v>
      </c>
    </row>
    <row r="972" spans="1:10" x14ac:dyDescent="0.3">
      <c r="A972" s="17" t="s">
        <v>5264</v>
      </c>
      <c r="B972" s="17" t="str">
        <f>IFERROR(INDEX(Mots!$B:$B,MATCH($A972,Mots!$A:$A,0)),"introuvable")</f>
        <v>l'air</v>
      </c>
      <c r="C972" s="17" t="str">
        <f>IFERROR(INDEX(Mots!$N:$N,MATCH($A972,Mots!$A:$A,0)),"")</f>
        <v>chose</v>
      </c>
      <c r="D972" s="17">
        <f>IFERROR(COUNTA(INDEX(Mots!$E:$E,MATCH($A972,Mots!$A:$A,0)):INDEX(Mots!$K:$K,MATCH($A972,Mots!$A:$A,0))),0)</f>
        <v>1</v>
      </c>
      <c r="E972" s="17" t="str">
        <f>IF(COUNTIF(Classement!$A:$A,$A972)&gt;0,"ok","à faire")</f>
        <v>ok</v>
      </c>
      <c r="F972" s="17" t="str">
        <f>IF(COUNTIF(Tags!$A:$A,$A972)&gt;0,"ok","à faire")</f>
        <v>à faire</v>
      </c>
      <c r="G972" s="17" t="str">
        <f>IF(COUNTIF(Phrases!$A:$A,$A972)&gt;0,"ok","à faire")</f>
        <v>ok</v>
      </c>
      <c r="H972" s="17" t="str">
        <f>IF(COUNTIFS(Phrases!$A:$A,$A972,Phrases!$I:$I,"&lt;&gt;")&gt;0,"ok","à faire")</f>
        <v>ok</v>
      </c>
      <c r="I972" s="17" t="str">
        <f>IF(COUNTIF(Synonymes!$A:$A,$A972)&gt;0,"ok","")</f>
        <v/>
      </c>
      <c r="J972" s="17">
        <f t="shared" si="15"/>
        <v>1</v>
      </c>
    </row>
    <row r="973" spans="1:10" x14ac:dyDescent="0.3">
      <c r="A973" s="17" t="s">
        <v>5268</v>
      </c>
      <c r="B973" s="17" t="str">
        <f>IFERROR(INDEX(Mots!$B:$B,MATCH($A973,Mots!$A:$A,0)),"introuvable")</f>
        <v>l'allergie</v>
      </c>
      <c r="C973" s="17" t="str">
        <f>IFERROR(INDEX(Mots!$N:$N,MATCH($A973,Mots!$A:$A,0)),"")</f>
        <v>chose</v>
      </c>
      <c r="D973" s="17">
        <f>IFERROR(COUNTA(INDEX(Mots!$E:$E,MATCH($A973,Mots!$A:$A,0)):INDEX(Mots!$K:$K,MATCH($A973,Mots!$A:$A,0))),0)</f>
        <v>1</v>
      </c>
      <c r="E973" s="17" t="str">
        <f>IF(COUNTIF(Classement!$A:$A,$A973)&gt;0,"ok","à faire")</f>
        <v>ok</v>
      </c>
      <c r="F973" s="17" t="str">
        <f>IF(COUNTIF(Tags!$A:$A,$A973)&gt;0,"ok","à faire")</f>
        <v>à faire</v>
      </c>
      <c r="G973" s="17" t="str">
        <f>IF(COUNTIF(Phrases!$A:$A,$A973)&gt;0,"ok","à faire")</f>
        <v>ok</v>
      </c>
      <c r="H973" s="17" t="str">
        <f>IF(COUNTIFS(Phrases!$A:$A,$A973,Phrases!$I:$I,"&lt;&gt;")&gt;0,"ok","à faire")</f>
        <v>ok</v>
      </c>
      <c r="I973" s="17" t="str">
        <f>IF(COUNTIF(Synonymes!$A:$A,$A973)&gt;0,"ok","")</f>
        <v/>
      </c>
      <c r="J973" s="17">
        <f t="shared" si="15"/>
        <v>1</v>
      </c>
    </row>
    <row r="974" spans="1:10" x14ac:dyDescent="0.3">
      <c r="A974" s="17" t="s">
        <v>5272</v>
      </c>
      <c r="B974" s="17" t="str">
        <f>IFERROR(INDEX(Mots!$B:$B,MATCH($A974,Mots!$A:$A,0)),"introuvable")</f>
        <v>l'allumette</v>
      </c>
      <c r="C974" s="17" t="str">
        <f>IFERROR(INDEX(Mots!$N:$N,MATCH($A974,Mots!$A:$A,0)),"")</f>
        <v>chose</v>
      </c>
      <c r="D974" s="17">
        <f>IFERROR(COUNTA(INDEX(Mots!$E:$E,MATCH($A974,Mots!$A:$A,0)):INDEX(Mots!$K:$K,MATCH($A974,Mots!$A:$A,0))),0)</f>
        <v>1</v>
      </c>
      <c r="E974" s="17" t="str">
        <f>IF(COUNTIF(Classement!$A:$A,$A974)&gt;0,"ok","à faire")</f>
        <v>ok</v>
      </c>
      <c r="F974" s="17" t="str">
        <f>IF(COUNTIF(Tags!$A:$A,$A974)&gt;0,"ok","à faire")</f>
        <v>ok</v>
      </c>
      <c r="G974" s="17" t="str">
        <f>IF(COUNTIF(Phrases!$A:$A,$A974)&gt;0,"ok","à faire")</f>
        <v>ok</v>
      </c>
      <c r="H974" s="17" t="str">
        <f>IF(COUNTIFS(Phrases!$A:$A,$A974,Phrases!$I:$I,"&lt;&gt;")&gt;0,"ok","à faire")</f>
        <v>ok</v>
      </c>
      <c r="I974" s="17" t="str">
        <f>IF(COUNTIF(Synonymes!$A:$A,$A974)&gt;0,"ok","")</f>
        <v/>
      </c>
      <c r="J974" s="17">
        <f t="shared" si="15"/>
        <v>0</v>
      </c>
    </row>
    <row r="975" spans="1:10" x14ac:dyDescent="0.3">
      <c r="A975" s="8" t="s">
        <v>9513</v>
      </c>
      <c r="B975" s="17" t="str">
        <f>IFERROR(INDEX(Mots!$B:$B,MATCH($A975,Mots!$A:$A,0)),"introuvable")</f>
        <v>l'amitié</v>
      </c>
      <c r="C975" s="17" t="str">
        <f>IFERROR(INDEX(Mots!$N:$N,MATCH($A975,Mots!$A:$A,0)),"")</f>
        <v>chose</v>
      </c>
      <c r="D975" s="17">
        <f>IFERROR(COUNTA(INDEX(Mots!$E:$E,MATCH($A975,Mots!$A:$A,0)):INDEX(Mots!$K:$K,MATCH($A975,Mots!$A:$A,0))),0)</f>
        <v>1</v>
      </c>
      <c r="E975" s="17" t="str">
        <f>IF(COUNTIF(Classement!$A:$A,$A975)&gt;0,"ok","à faire")</f>
        <v>ok</v>
      </c>
      <c r="F975" s="17" t="str">
        <f>IF(COUNTIF(Tags!$A:$A,$A975)&gt;0,"ok","à faire")</f>
        <v>à faire</v>
      </c>
      <c r="G975" s="17" t="str">
        <f>IF(COUNTIF(Phrases!$A:$A,$A975)&gt;0,"ok","à faire")</f>
        <v>ok</v>
      </c>
      <c r="H975" s="17" t="str">
        <f>IF(COUNTIFS(Phrases!$A:$A,$A975,Phrases!$I:$I,"&lt;&gt;")&gt;0,"ok","à faire")</f>
        <v>à faire</v>
      </c>
      <c r="I975" s="17" t="str">
        <f>IF(COUNTIF(Synonymes!$A:$A,$A975)&gt;0,"ok","")</f>
        <v/>
      </c>
      <c r="J975" s="17">
        <f t="shared" si="15"/>
        <v>2</v>
      </c>
    </row>
    <row r="976" spans="1:10" x14ac:dyDescent="0.3">
      <c r="A976" s="17" t="s">
        <v>5279</v>
      </c>
      <c r="B976" s="17" t="str">
        <f>IFERROR(INDEX(Mots!$B:$B,MATCH($A976,Mots!$A:$A,0)),"introuvable")</f>
        <v>lancer</v>
      </c>
      <c r="C976" s="17" t="str">
        <f>IFERROR(INDEX(Mots!$N:$N,MATCH($A976,Mots!$A:$A,0)),"")</f>
        <v>action</v>
      </c>
      <c r="D976" s="17">
        <f>IFERROR(COUNTA(INDEX(Mots!$E:$E,MATCH($A976,Mots!$A:$A,0)):INDEX(Mots!$K:$K,MATCH($A976,Mots!$A:$A,0))),0)</f>
        <v>5</v>
      </c>
      <c r="E976" s="17" t="str">
        <f>IF(COUNTIF(Classement!$A:$A,$A976)&gt;0,"ok","à faire")</f>
        <v>ok</v>
      </c>
      <c r="F976" s="17" t="str">
        <f>IF(COUNTIF(Tags!$A:$A,$A976)&gt;0,"ok","à faire")</f>
        <v>à faire</v>
      </c>
      <c r="G976" s="17" t="str">
        <f>IF(COUNTIF(Phrases!$A:$A,$A976)&gt;0,"ok","à faire")</f>
        <v>ok</v>
      </c>
      <c r="H976" s="17" t="str">
        <f>IF(COUNTIFS(Phrases!$A:$A,$A976,Phrases!$I:$I,"&lt;&gt;")&gt;0,"ok","à faire")</f>
        <v>ok</v>
      </c>
      <c r="I976" s="17" t="str">
        <f>IF(COUNTIF(Synonymes!$A:$A,$A976)&gt;0,"ok","")</f>
        <v>ok</v>
      </c>
      <c r="J976" s="17">
        <f t="shared" si="15"/>
        <v>1</v>
      </c>
    </row>
    <row r="977" spans="1:10" x14ac:dyDescent="0.3">
      <c r="A977" s="17" t="s">
        <v>5287</v>
      </c>
      <c r="B977" s="17" t="str">
        <f>IFERROR(INDEX(Mots!$B:$B,MATCH($A977,Mots!$A:$A,0)),"introuvable")</f>
        <v>l'anse</v>
      </c>
      <c r="C977" s="17" t="str">
        <f>IFERROR(INDEX(Mots!$N:$N,MATCH($A977,Mots!$A:$A,0)),"")</f>
        <v>chose</v>
      </c>
      <c r="D977" s="17">
        <f>IFERROR(COUNTA(INDEX(Mots!$E:$E,MATCH($A977,Mots!$A:$A,0)):INDEX(Mots!$K:$K,MATCH($A977,Mots!$A:$A,0))),0)</f>
        <v>3</v>
      </c>
      <c r="E977" s="17" t="str">
        <f>IF(COUNTIF(Classement!$A:$A,$A977)&gt;0,"ok","à faire")</f>
        <v>ok</v>
      </c>
      <c r="F977" s="17" t="str">
        <f>IF(COUNTIF(Tags!$A:$A,$A977)&gt;0,"ok","à faire")</f>
        <v>ok</v>
      </c>
      <c r="G977" s="17" t="str">
        <f>IF(COUNTIF(Phrases!$A:$A,$A977)&gt;0,"ok","à faire")</f>
        <v>ok</v>
      </c>
      <c r="H977" s="17" t="str">
        <f>IF(COUNTIFS(Phrases!$A:$A,$A977,Phrases!$I:$I,"&lt;&gt;")&gt;0,"ok","à faire")</f>
        <v>à faire</v>
      </c>
      <c r="I977" s="17" t="str">
        <f>IF(COUNTIF(Synonymes!$A:$A,$A977)&gt;0,"ok","")</f>
        <v>ok</v>
      </c>
      <c r="J977" s="17">
        <f t="shared" si="15"/>
        <v>1</v>
      </c>
    </row>
    <row r="978" spans="1:10" x14ac:dyDescent="0.3">
      <c r="A978" s="17" t="s">
        <v>5293</v>
      </c>
      <c r="B978" s="17" t="str">
        <f>IFERROR(INDEX(Mots!$B:$B,MATCH($A978,Mots!$A:$A,0)),"introuvable")</f>
        <v>l'appareil</v>
      </c>
      <c r="C978" s="17" t="str">
        <f>IFERROR(INDEX(Mots!$N:$N,MATCH($A978,Mots!$A:$A,0)),"")</f>
        <v>chose</v>
      </c>
      <c r="D978" s="17">
        <f>IFERROR(COUNTA(INDEX(Mots!$E:$E,MATCH($A978,Mots!$A:$A,0)):INDEX(Mots!$K:$K,MATCH($A978,Mots!$A:$A,0))),0)</f>
        <v>5</v>
      </c>
      <c r="E978" s="17" t="str">
        <f>IF(COUNTIF(Classement!$A:$A,$A978)&gt;0,"ok","à faire")</f>
        <v>ok</v>
      </c>
      <c r="F978" s="17" t="str">
        <f>IF(COUNTIF(Tags!$A:$A,$A978)&gt;0,"ok","à faire")</f>
        <v>ok</v>
      </c>
      <c r="G978" s="17" t="str">
        <f>IF(COUNTIF(Phrases!$A:$A,$A978)&gt;0,"ok","à faire")</f>
        <v>ok</v>
      </c>
      <c r="H978" s="17" t="str">
        <f>IF(COUNTIFS(Phrases!$A:$A,$A978,Phrases!$I:$I,"&lt;&gt;")&gt;0,"ok","à faire")</f>
        <v>à faire</v>
      </c>
      <c r="I978" s="17" t="str">
        <f>IF(COUNTIF(Synonymes!$A:$A,$A978)&gt;0,"ok","")</f>
        <v/>
      </c>
      <c r="J978" s="17">
        <f t="shared" si="15"/>
        <v>1</v>
      </c>
    </row>
    <row r="979" spans="1:10" x14ac:dyDescent="0.3">
      <c r="A979" s="17" t="s">
        <v>5297</v>
      </c>
      <c r="B979" s="17" t="str">
        <f>IFERROR(INDEX(Mots!$B:$B,MATCH($A979,Mots!$A:$A,0)),"introuvable")</f>
        <v>l'appartement</v>
      </c>
      <c r="C979" s="17" t="str">
        <f>IFERROR(INDEX(Mots!$N:$N,MATCH($A979,Mots!$A:$A,0)),"")</f>
        <v>chose</v>
      </c>
      <c r="D979" s="17">
        <f>IFERROR(COUNTA(INDEX(Mots!$E:$E,MATCH($A979,Mots!$A:$A,0)):INDEX(Mots!$K:$K,MATCH($A979,Mots!$A:$A,0))),0)</f>
        <v>5</v>
      </c>
      <c r="E979" s="17" t="str">
        <f>IF(COUNTIF(Classement!$A:$A,$A979)&gt;0,"ok","à faire")</f>
        <v>ok</v>
      </c>
      <c r="F979" s="17" t="str">
        <f>IF(COUNTIF(Tags!$A:$A,$A979)&gt;0,"ok","à faire")</f>
        <v>ok</v>
      </c>
      <c r="G979" s="17" t="str">
        <f>IF(COUNTIF(Phrases!$A:$A,$A979)&gt;0,"ok","à faire")</f>
        <v>ok</v>
      </c>
      <c r="H979" s="17" t="str">
        <f>IF(COUNTIFS(Phrases!$A:$A,$A979,Phrases!$I:$I,"&lt;&gt;")&gt;0,"ok","à faire")</f>
        <v>à faire</v>
      </c>
      <c r="I979" s="17" t="str">
        <f>IF(COUNTIF(Synonymes!$A:$A,$A979)&gt;0,"ok","")</f>
        <v/>
      </c>
      <c r="J979" s="17">
        <f t="shared" si="15"/>
        <v>1</v>
      </c>
    </row>
    <row r="980" spans="1:10" x14ac:dyDescent="0.3">
      <c r="A980" s="17" t="s">
        <v>5305</v>
      </c>
      <c r="B980" s="17" t="str">
        <f>IFERROR(INDEX(Mots!$B:$B,MATCH($A980,Mots!$A:$A,0)),"introuvable")</f>
        <v>l'arc-en-ciel</v>
      </c>
      <c r="C980" s="17" t="str">
        <f>IFERROR(INDEX(Mots!$N:$N,MATCH($A980,Mots!$A:$A,0)),"")</f>
        <v>chose</v>
      </c>
      <c r="D980" s="17">
        <f>IFERROR(COUNTA(INDEX(Mots!$E:$E,MATCH($A980,Mots!$A:$A,0)):INDEX(Mots!$K:$K,MATCH($A980,Mots!$A:$A,0))),0)</f>
        <v>1</v>
      </c>
      <c r="E980" s="17" t="str">
        <f>IF(COUNTIF(Classement!$A:$A,$A980)&gt;0,"ok","à faire")</f>
        <v>ok</v>
      </c>
      <c r="F980" s="17" t="str">
        <f>IF(COUNTIF(Tags!$A:$A,$A980)&gt;0,"ok","à faire")</f>
        <v>ok</v>
      </c>
      <c r="G980" s="17" t="str">
        <f>IF(COUNTIF(Phrases!$A:$A,$A980)&gt;0,"ok","à faire")</f>
        <v>ok</v>
      </c>
      <c r="H980" s="17" t="str">
        <f>IF(COUNTIFS(Phrases!$A:$A,$A980,Phrases!$I:$I,"&lt;&gt;")&gt;0,"ok","à faire")</f>
        <v>à faire</v>
      </c>
      <c r="I980" s="17" t="str">
        <f>IF(COUNTIF(Synonymes!$A:$A,$A980)&gt;0,"ok","")</f>
        <v/>
      </c>
      <c r="J980" s="17">
        <f t="shared" si="15"/>
        <v>1</v>
      </c>
    </row>
    <row r="981" spans="1:10" x14ac:dyDescent="0.3">
      <c r="A981" s="17" t="s">
        <v>5309</v>
      </c>
      <c r="B981" s="17" t="str">
        <f>IFERROR(INDEX(Mots!$B:$B,MATCH($A981,Mots!$A:$A,0)),"introuvable")</f>
        <v>l'attention</v>
      </c>
      <c r="C981" s="17" t="str">
        <f>IFERROR(INDEX(Mots!$N:$N,MATCH($A981,Mots!$A:$A,0)),"")</f>
        <v>chose</v>
      </c>
      <c r="D981" s="17">
        <f>IFERROR(COUNTA(INDEX(Mots!$E:$E,MATCH($A981,Mots!$A:$A,0)):INDEX(Mots!$K:$K,MATCH($A981,Mots!$A:$A,0))),0)</f>
        <v>1</v>
      </c>
      <c r="E981" s="17" t="str">
        <f>IF(COUNTIF(Classement!$A:$A,$A981)&gt;0,"ok","à faire")</f>
        <v>ok</v>
      </c>
      <c r="F981" s="17" t="str">
        <f>IF(COUNTIF(Tags!$A:$A,$A981)&gt;0,"ok","à faire")</f>
        <v>ok</v>
      </c>
      <c r="G981" s="17" t="str">
        <f>IF(COUNTIF(Phrases!$A:$A,$A981)&gt;0,"ok","à faire")</f>
        <v>ok</v>
      </c>
      <c r="H981" s="17" t="str">
        <f>IF(COUNTIFS(Phrases!$A:$A,$A981,Phrases!$I:$I,"&lt;&gt;")&gt;0,"ok","à faire")</f>
        <v>ok</v>
      </c>
      <c r="I981" s="17" t="str">
        <f>IF(COUNTIF(Synonymes!$A:$A,$A981)&gt;0,"ok","")</f>
        <v/>
      </c>
      <c r="J981" s="17">
        <f t="shared" si="15"/>
        <v>0</v>
      </c>
    </row>
    <row r="982" spans="1:10" x14ac:dyDescent="0.3">
      <c r="A982" s="17" t="s">
        <v>5313</v>
      </c>
      <c r="B982" s="17" t="str">
        <f>IFERROR(INDEX(Mots!$B:$B,MATCH($A982,Mots!$A:$A,0)),"introuvable")</f>
        <v>l'autoroute</v>
      </c>
      <c r="C982" s="17" t="str">
        <f>IFERROR(INDEX(Mots!$N:$N,MATCH($A982,Mots!$A:$A,0)),"")</f>
        <v>chose</v>
      </c>
      <c r="D982" s="17">
        <f>IFERROR(COUNTA(INDEX(Mots!$E:$E,MATCH($A982,Mots!$A:$A,0)):INDEX(Mots!$K:$K,MATCH($A982,Mots!$A:$A,0))),0)</f>
        <v>5</v>
      </c>
      <c r="E982" s="17" t="str">
        <f>IF(COUNTIF(Classement!$A:$A,$A982)&gt;0,"ok","à faire")</f>
        <v>ok</v>
      </c>
      <c r="F982" s="17" t="str">
        <f>IF(COUNTIF(Tags!$A:$A,$A982)&gt;0,"ok","à faire")</f>
        <v>ok</v>
      </c>
      <c r="G982" s="17" t="str">
        <f>IF(COUNTIF(Phrases!$A:$A,$A982)&gt;0,"ok","à faire")</f>
        <v>ok</v>
      </c>
      <c r="H982" s="17" t="str">
        <f>IF(COUNTIFS(Phrases!$A:$A,$A982,Phrases!$I:$I,"&lt;&gt;")&gt;0,"ok","à faire")</f>
        <v>ok</v>
      </c>
      <c r="I982" s="17" t="str">
        <f>IF(COUNTIF(Synonymes!$A:$A,$A982)&gt;0,"ok","")</f>
        <v/>
      </c>
      <c r="J982" s="17">
        <f t="shared" si="15"/>
        <v>0</v>
      </c>
    </row>
    <row r="983" spans="1:10" x14ac:dyDescent="0.3">
      <c r="A983" s="17" t="s">
        <v>5321</v>
      </c>
      <c r="B983" s="17" t="str">
        <f>IFERROR(INDEX(Mots!$B:$B,MATCH($A983,Mots!$A:$A,0)),"introuvable")</f>
        <v>l'aventure</v>
      </c>
      <c r="C983" s="17" t="str">
        <f>IFERROR(INDEX(Mots!$N:$N,MATCH($A983,Mots!$A:$A,0)),"")</f>
        <v>chose</v>
      </c>
      <c r="D983" s="17">
        <f>IFERROR(COUNTA(INDEX(Mots!$E:$E,MATCH($A983,Mots!$A:$A,0)):INDEX(Mots!$K:$K,MATCH($A983,Mots!$A:$A,0))),0)</f>
        <v>5</v>
      </c>
      <c r="E983" s="17" t="str">
        <f>IF(COUNTIF(Classement!$A:$A,$A983)&gt;0,"ok","à faire")</f>
        <v>ok</v>
      </c>
      <c r="F983" s="17" t="str">
        <f>IF(COUNTIF(Tags!$A:$A,$A983)&gt;0,"ok","à faire")</f>
        <v>ok</v>
      </c>
      <c r="G983" s="17" t="str">
        <f>IF(COUNTIF(Phrases!$A:$A,$A983)&gt;0,"ok","à faire")</f>
        <v>ok</v>
      </c>
      <c r="H983" s="17" t="str">
        <f>IF(COUNTIFS(Phrases!$A:$A,$A983,Phrases!$I:$I,"&lt;&gt;")&gt;0,"ok","à faire")</f>
        <v>à faire</v>
      </c>
      <c r="I983" s="17" t="str">
        <f>IF(COUNTIF(Synonymes!$A:$A,$A983)&gt;0,"ok","")</f>
        <v/>
      </c>
      <c r="J983" s="17">
        <f t="shared" si="15"/>
        <v>1</v>
      </c>
    </row>
    <row r="984" spans="1:10" x14ac:dyDescent="0.3">
      <c r="A984" s="17" t="s">
        <v>5331</v>
      </c>
      <c r="B984" s="17" t="str">
        <f>IFERROR(INDEX(Mots!$B:$B,MATCH($A984,Mots!$A:$A,0)),"introuvable")</f>
        <v>laver</v>
      </c>
      <c r="C984" s="17" t="str">
        <f>IFERROR(INDEX(Mots!$N:$N,MATCH($A984,Mots!$A:$A,0)),"")</f>
        <v>action</v>
      </c>
      <c r="D984" s="17">
        <f>IFERROR(COUNTA(INDEX(Mots!$E:$E,MATCH($A984,Mots!$A:$A,0)):INDEX(Mots!$K:$K,MATCH($A984,Mots!$A:$A,0))),0)</f>
        <v>5</v>
      </c>
      <c r="E984" s="17" t="str">
        <f>IF(COUNTIF(Classement!$A:$A,$A984)&gt;0,"ok","à faire")</f>
        <v>ok</v>
      </c>
      <c r="F984" s="17" t="str">
        <f>IF(COUNTIF(Tags!$A:$A,$A984)&gt;0,"ok","à faire")</f>
        <v>ok</v>
      </c>
      <c r="G984" s="17" t="str">
        <f>IF(COUNTIF(Phrases!$A:$A,$A984)&gt;0,"ok","à faire")</f>
        <v>ok</v>
      </c>
      <c r="H984" s="17" t="str">
        <f>IF(COUNTIFS(Phrases!$A:$A,$A984,Phrases!$I:$I,"&lt;&gt;")&gt;0,"ok","à faire")</f>
        <v>ok</v>
      </c>
      <c r="I984" s="17" t="str">
        <f>IF(COUNTIF(Synonymes!$A:$A,$A984)&gt;0,"ok","")</f>
        <v>ok</v>
      </c>
      <c r="J984" s="17">
        <f t="shared" si="15"/>
        <v>0</v>
      </c>
    </row>
    <row r="985" spans="1:10" x14ac:dyDescent="0.3">
      <c r="A985" s="17" t="s">
        <v>5343</v>
      </c>
      <c r="B985" s="17" t="str">
        <f>IFERROR(INDEX(Mots!$B:$B,MATCH($A985,Mots!$A:$A,0)),"introuvable")</f>
        <v>l'avis</v>
      </c>
      <c r="C985" s="17" t="str">
        <f>IFERROR(INDEX(Mots!$N:$N,MATCH($A985,Mots!$A:$A,0)),"")</f>
        <v>chose</v>
      </c>
      <c r="D985" s="17">
        <f>IFERROR(COUNTA(INDEX(Mots!$E:$E,MATCH($A985,Mots!$A:$A,0)):INDEX(Mots!$K:$K,MATCH($A985,Mots!$A:$A,0))),0)</f>
        <v>3</v>
      </c>
      <c r="E985" s="17" t="str">
        <f>IF(COUNTIF(Classement!$A:$A,$A985)&gt;0,"ok","à faire")</f>
        <v>ok</v>
      </c>
      <c r="F985" s="17" t="str">
        <f>IF(COUNTIF(Tags!$A:$A,$A985)&gt;0,"ok","à faire")</f>
        <v>ok</v>
      </c>
      <c r="G985" s="17" t="str">
        <f>IF(COUNTIF(Phrases!$A:$A,$A985)&gt;0,"ok","à faire")</f>
        <v>ok</v>
      </c>
      <c r="H985" s="17" t="str">
        <f>IF(COUNTIFS(Phrases!$A:$A,$A985,Phrases!$I:$I,"&lt;&gt;")&gt;0,"ok","à faire")</f>
        <v>à faire</v>
      </c>
      <c r="I985" s="17" t="str">
        <f>IF(COUNTIF(Synonymes!$A:$A,$A985)&gt;0,"ok","")</f>
        <v>ok</v>
      </c>
      <c r="J985" s="17">
        <f t="shared" si="15"/>
        <v>1</v>
      </c>
    </row>
    <row r="986" spans="1:10" x14ac:dyDescent="0.3">
      <c r="A986" s="17" t="s">
        <v>5349</v>
      </c>
      <c r="B986" s="17" t="str">
        <f>IFERROR(INDEX(Mots!$B:$B,MATCH($A986,Mots!$A:$A,0)),"introuvable")</f>
        <v>le bagage</v>
      </c>
      <c r="C986" s="17" t="str">
        <f>IFERROR(INDEX(Mots!$N:$N,MATCH($A986,Mots!$A:$A,0)),"")</f>
        <v>chose</v>
      </c>
      <c r="D986" s="17">
        <f>IFERROR(COUNTA(INDEX(Mots!$E:$E,MATCH($A986,Mots!$A:$A,0)):INDEX(Mots!$K:$K,MATCH($A986,Mots!$A:$A,0))),0)</f>
        <v>1</v>
      </c>
      <c r="E986" s="17" t="str">
        <f>IF(COUNTIF(Classement!$A:$A,$A986)&gt;0,"ok","à faire")</f>
        <v>ok</v>
      </c>
      <c r="F986" s="17" t="str">
        <f>IF(COUNTIF(Tags!$A:$A,$A986)&gt;0,"ok","à faire")</f>
        <v>ok</v>
      </c>
      <c r="G986" s="17" t="str">
        <f>IF(COUNTIF(Phrases!$A:$A,$A986)&gt;0,"ok","à faire")</f>
        <v>ok</v>
      </c>
      <c r="H986" s="17" t="str">
        <f>IF(COUNTIFS(Phrases!$A:$A,$A986,Phrases!$I:$I,"&lt;&gt;")&gt;0,"ok","à faire")</f>
        <v>à faire</v>
      </c>
      <c r="I986" s="17" t="str">
        <f>IF(COUNTIF(Synonymes!$A:$A,$A986)&gt;0,"ok","")</f>
        <v>ok</v>
      </c>
      <c r="J986" s="17">
        <f t="shared" si="15"/>
        <v>1</v>
      </c>
    </row>
    <row r="987" spans="1:10" x14ac:dyDescent="0.3">
      <c r="A987" s="17" t="s">
        <v>5353</v>
      </c>
      <c r="B987" s="17" t="str">
        <f>IFERROR(INDEX(Mots!$B:$B,MATCH($A987,Mots!$A:$A,0)),"introuvable")</f>
        <v>le bain</v>
      </c>
      <c r="C987" s="17" t="str">
        <f>IFERROR(INDEX(Mots!$N:$N,MATCH($A987,Mots!$A:$A,0)),"")</f>
        <v>chose</v>
      </c>
      <c r="D987" s="17">
        <f>IFERROR(COUNTA(INDEX(Mots!$E:$E,MATCH($A987,Mots!$A:$A,0)):INDEX(Mots!$K:$K,MATCH($A987,Mots!$A:$A,0))),0)</f>
        <v>5</v>
      </c>
      <c r="E987" s="17" t="str">
        <f>IF(COUNTIF(Classement!$A:$A,$A987)&gt;0,"ok","à faire")</f>
        <v>ok</v>
      </c>
      <c r="F987" s="17" t="str">
        <f>IF(COUNTIF(Tags!$A:$A,$A987)&gt;0,"ok","à faire")</f>
        <v>ok</v>
      </c>
      <c r="G987" s="17" t="str">
        <f>IF(COUNTIF(Phrases!$A:$A,$A987)&gt;0,"ok","à faire")</f>
        <v>ok</v>
      </c>
      <c r="H987" s="17" t="str">
        <f>IF(COUNTIFS(Phrases!$A:$A,$A987,Phrases!$I:$I,"&lt;&gt;")&gt;0,"ok","à faire")</f>
        <v>ok</v>
      </c>
      <c r="I987" s="17" t="str">
        <f>IF(COUNTIF(Synonymes!$A:$A,$A987)&gt;0,"ok","")</f>
        <v/>
      </c>
      <c r="J987" s="17">
        <f t="shared" si="15"/>
        <v>0</v>
      </c>
    </row>
    <row r="988" spans="1:10" x14ac:dyDescent="0.3">
      <c r="A988" s="17" t="s">
        <v>5361</v>
      </c>
      <c r="B988" s="17" t="str">
        <f>IFERROR(INDEX(Mots!$B:$B,MATCH($A988,Mots!$A:$A,0)),"introuvable")</f>
        <v>le balai</v>
      </c>
      <c r="C988" s="17" t="str">
        <f>IFERROR(INDEX(Mots!$N:$N,MATCH($A988,Mots!$A:$A,0)),"")</f>
        <v>chose</v>
      </c>
      <c r="D988" s="17">
        <f>IFERROR(COUNTA(INDEX(Mots!$E:$E,MATCH($A988,Mots!$A:$A,0)):INDEX(Mots!$K:$K,MATCH($A988,Mots!$A:$A,0))),0)</f>
        <v>5</v>
      </c>
      <c r="E988" s="17" t="str">
        <f>IF(COUNTIF(Classement!$A:$A,$A988)&gt;0,"ok","à faire")</f>
        <v>ok</v>
      </c>
      <c r="F988" s="17" t="str">
        <f>IF(COUNTIF(Tags!$A:$A,$A988)&gt;0,"ok","à faire")</f>
        <v>ok</v>
      </c>
      <c r="G988" s="17" t="str">
        <f>IF(COUNTIF(Phrases!$A:$A,$A988)&gt;0,"ok","à faire")</f>
        <v>ok</v>
      </c>
      <c r="H988" s="17" t="str">
        <f>IF(COUNTIFS(Phrases!$A:$A,$A988,Phrases!$I:$I,"&lt;&gt;")&gt;0,"ok","à faire")</f>
        <v>ok</v>
      </c>
      <c r="I988" s="17" t="str">
        <f>IF(COUNTIF(Synonymes!$A:$A,$A988)&gt;0,"ok","")</f>
        <v/>
      </c>
      <c r="J988" s="17">
        <f t="shared" si="15"/>
        <v>0</v>
      </c>
    </row>
    <row r="989" spans="1:10" x14ac:dyDescent="0.3">
      <c r="A989" s="17" t="s">
        <v>5369</v>
      </c>
      <c r="B989" s="17" t="str">
        <f>IFERROR(INDEX(Mots!$B:$B,MATCH($A989,Mots!$A:$A,0)),"introuvable")</f>
        <v>le balcon</v>
      </c>
      <c r="C989" s="17" t="str">
        <f>IFERROR(INDEX(Mots!$N:$N,MATCH($A989,Mots!$A:$A,0)),"")</f>
        <v>chose</v>
      </c>
      <c r="D989" s="17">
        <f>IFERROR(COUNTA(INDEX(Mots!$E:$E,MATCH($A989,Mots!$A:$A,0)):INDEX(Mots!$K:$K,MATCH($A989,Mots!$A:$A,0))),0)</f>
        <v>5</v>
      </c>
      <c r="E989" s="17" t="str">
        <f>IF(COUNTIF(Classement!$A:$A,$A989)&gt;0,"ok","à faire")</f>
        <v>ok</v>
      </c>
      <c r="F989" s="17" t="str">
        <f>IF(COUNTIF(Tags!$A:$A,$A989)&gt;0,"ok","à faire")</f>
        <v>ok</v>
      </c>
      <c r="G989" s="17" t="str">
        <f>IF(COUNTIF(Phrases!$A:$A,$A989)&gt;0,"ok","à faire")</f>
        <v>ok</v>
      </c>
      <c r="H989" s="17" t="str">
        <f>IF(COUNTIFS(Phrases!$A:$A,$A989,Phrases!$I:$I,"&lt;&gt;")&gt;0,"ok","à faire")</f>
        <v>à faire</v>
      </c>
      <c r="I989" s="17" t="str">
        <f>IF(COUNTIF(Synonymes!$A:$A,$A989)&gt;0,"ok","")</f>
        <v/>
      </c>
      <c r="J989" s="17">
        <f t="shared" si="15"/>
        <v>1</v>
      </c>
    </row>
    <row r="990" spans="1:10" x14ac:dyDescent="0.3">
      <c r="A990" s="17" t="s">
        <v>5377</v>
      </c>
      <c r="B990" s="17" t="str">
        <f>IFERROR(INDEX(Mots!$B:$B,MATCH($A990,Mots!$A:$A,0)),"introuvable")</f>
        <v>le ballon</v>
      </c>
      <c r="C990" s="17" t="str">
        <f>IFERROR(INDEX(Mots!$N:$N,MATCH($A990,Mots!$A:$A,0)),"")</f>
        <v>chose</v>
      </c>
      <c r="D990" s="17">
        <f>IFERROR(COUNTA(INDEX(Mots!$E:$E,MATCH($A990,Mots!$A:$A,0)):INDEX(Mots!$K:$K,MATCH($A990,Mots!$A:$A,0))),0)</f>
        <v>5</v>
      </c>
      <c r="E990" s="17" t="str">
        <f>IF(COUNTIF(Classement!$A:$A,$A990)&gt;0,"ok","à faire")</f>
        <v>ok</v>
      </c>
      <c r="F990" s="17" t="str">
        <f>IF(COUNTIF(Tags!$A:$A,$A990)&gt;0,"ok","à faire")</f>
        <v>ok</v>
      </c>
      <c r="G990" s="17" t="str">
        <f>IF(COUNTIF(Phrases!$A:$A,$A990)&gt;0,"ok","à faire")</f>
        <v>ok</v>
      </c>
      <c r="H990" s="17" t="str">
        <f>IF(COUNTIFS(Phrases!$A:$A,$A990,Phrases!$I:$I,"&lt;&gt;")&gt;0,"ok","à faire")</f>
        <v>ok</v>
      </c>
      <c r="I990" s="17" t="str">
        <f>IF(COUNTIF(Synonymes!$A:$A,$A990)&gt;0,"ok","")</f>
        <v/>
      </c>
      <c r="J990" s="17">
        <f t="shared" si="15"/>
        <v>0</v>
      </c>
    </row>
    <row r="991" spans="1:10" x14ac:dyDescent="0.3">
      <c r="A991" s="17" t="s">
        <v>5385</v>
      </c>
      <c r="B991" s="17" t="str">
        <f>IFERROR(INDEX(Mots!$B:$B,MATCH($A991,Mots!$A:$A,0)),"introuvable")</f>
        <v>le bandage</v>
      </c>
      <c r="C991" s="17" t="str">
        <f>IFERROR(INDEX(Mots!$N:$N,MATCH($A991,Mots!$A:$A,0)),"")</f>
        <v>chose</v>
      </c>
      <c r="D991" s="17">
        <f>IFERROR(COUNTA(INDEX(Mots!$E:$E,MATCH($A991,Mots!$A:$A,0)):INDEX(Mots!$K:$K,MATCH($A991,Mots!$A:$A,0))),0)</f>
        <v>5</v>
      </c>
      <c r="E991" s="17" t="str">
        <f>IF(COUNTIF(Classement!$A:$A,$A991)&gt;0,"ok","à faire")</f>
        <v>ok</v>
      </c>
      <c r="F991" s="17" t="str">
        <f>IF(COUNTIF(Tags!$A:$A,$A991)&gt;0,"ok","à faire")</f>
        <v>ok</v>
      </c>
      <c r="G991" s="17" t="str">
        <f>IF(COUNTIF(Phrases!$A:$A,$A991)&gt;0,"ok","à faire")</f>
        <v>ok</v>
      </c>
      <c r="H991" s="17" t="str">
        <f>IF(COUNTIFS(Phrases!$A:$A,$A991,Phrases!$I:$I,"&lt;&gt;")&gt;0,"ok","à faire")</f>
        <v>à faire</v>
      </c>
      <c r="I991" s="17" t="str">
        <f>IF(COUNTIF(Synonymes!$A:$A,$A991)&gt;0,"ok","")</f>
        <v/>
      </c>
      <c r="J991" s="17">
        <f t="shared" si="15"/>
        <v>1</v>
      </c>
    </row>
    <row r="992" spans="1:10" x14ac:dyDescent="0.3">
      <c r="A992" s="17" t="s">
        <v>5393</v>
      </c>
      <c r="B992" s="17" t="str">
        <f>IFERROR(INDEX(Mots!$B:$B,MATCH($A992,Mots!$A:$A,0)),"introuvable")</f>
        <v>le bâtiment</v>
      </c>
      <c r="C992" s="17" t="str">
        <f>IFERROR(INDEX(Mots!$N:$N,MATCH($A992,Mots!$A:$A,0)),"")</f>
        <v>chose</v>
      </c>
      <c r="D992" s="17">
        <f>IFERROR(COUNTA(INDEX(Mots!$E:$E,MATCH($A992,Mots!$A:$A,0)):INDEX(Mots!$K:$K,MATCH($A992,Mots!$A:$A,0))),0)</f>
        <v>5</v>
      </c>
      <c r="E992" s="17" t="str">
        <f>IF(COUNTIF(Classement!$A:$A,$A992)&gt;0,"ok","à faire")</f>
        <v>ok</v>
      </c>
      <c r="F992" s="17" t="str">
        <f>IF(COUNTIF(Tags!$A:$A,$A992)&gt;0,"ok","à faire")</f>
        <v>ok</v>
      </c>
      <c r="G992" s="17" t="str">
        <f>IF(COUNTIF(Phrases!$A:$A,$A992)&gt;0,"ok","à faire")</f>
        <v>ok</v>
      </c>
      <c r="H992" s="17" t="str">
        <f>IF(COUNTIFS(Phrases!$A:$A,$A992,Phrases!$I:$I,"&lt;&gt;")&gt;0,"ok","à faire")</f>
        <v>à faire</v>
      </c>
      <c r="I992" s="17" t="str">
        <f>IF(COUNTIF(Synonymes!$A:$A,$A992)&gt;0,"ok","")</f>
        <v/>
      </c>
      <c r="J992" s="17">
        <f t="shared" si="15"/>
        <v>1</v>
      </c>
    </row>
    <row r="993" spans="1:10" x14ac:dyDescent="0.3">
      <c r="A993" s="17" t="s">
        <v>5401</v>
      </c>
      <c r="B993" s="17" t="str">
        <f>IFERROR(INDEX(Mots!$B:$B,MATCH($A993,Mots!$A:$A,0)),"introuvable")</f>
        <v>le besoin</v>
      </c>
      <c r="C993" s="17" t="str">
        <f>IFERROR(INDEX(Mots!$N:$N,MATCH($A993,Mots!$A:$A,0)),"")</f>
        <v>chose</v>
      </c>
      <c r="D993" s="17">
        <f>IFERROR(COUNTA(INDEX(Mots!$E:$E,MATCH($A993,Mots!$A:$A,0)):INDEX(Mots!$K:$K,MATCH($A993,Mots!$A:$A,0))),0)</f>
        <v>2</v>
      </c>
      <c r="E993" s="17" t="str">
        <f>IF(COUNTIF(Classement!$A:$A,$A993)&gt;0,"ok","à faire")</f>
        <v>ok</v>
      </c>
      <c r="F993" s="17" t="str">
        <f>IF(COUNTIF(Tags!$A:$A,$A993)&gt;0,"ok","à faire")</f>
        <v>à faire</v>
      </c>
      <c r="G993" s="17" t="str">
        <f>IF(COUNTIF(Phrases!$A:$A,$A993)&gt;0,"ok","à faire")</f>
        <v>ok</v>
      </c>
      <c r="H993" s="17" t="str">
        <f>IF(COUNTIFS(Phrases!$A:$A,$A993,Phrases!$I:$I,"&lt;&gt;")&gt;0,"ok","à faire")</f>
        <v>ok</v>
      </c>
      <c r="I993" s="17" t="str">
        <f>IF(COUNTIF(Synonymes!$A:$A,$A993)&gt;0,"ok","")</f>
        <v/>
      </c>
      <c r="J993" s="17">
        <f t="shared" si="15"/>
        <v>1</v>
      </c>
    </row>
    <row r="994" spans="1:10" x14ac:dyDescent="0.3">
      <c r="A994" s="17" t="s">
        <v>5406</v>
      </c>
      <c r="B994" s="17" t="str">
        <f>IFERROR(INDEX(Mots!$B:$B,MATCH($A994,Mots!$A:$A,0)),"introuvable")</f>
        <v>le beurre</v>
      </c>
      <c r="C994" s="17" t="str">
        <f>IFERROR(INDEX(Mots!$N:$N,MATCH($A994,Mots!$A:$A,0)),"")</f>
        <v>chose</v>
      </c>
      <c r="D994" s="17">
        <f>IFERROR(COUNTA(INDEX(Mots!$E:$E,MATCH($A994,Mots!$A:$A,0)):INDEX(Mots!$K:$K,MATCH($A994,Mots!$A:$A,0))),0)</f>
        <v>3</v>
      </c>
      <c r="E994" s="17" t="str">
        <f>IF(COUNTIF(Classement!$A:$A,$A994)&gt;0,"ok","à faire")</f>
        <v>ok</v>
      </c>
      <c r="F994" s="17" t="str">
        <f>IF(COUNTIF(Tags!$A:$A,$A994)&gt;0,"ok","à faire")</f>
        <v>ok</v>
      </c>
      <c r="G994" s="17" t="str">
        <f>IF(COUNTIF(Phrases!$A:$A,$A994)&gt;0,"ok","à faire")</f>
        <v>ok</v>
      </c>
      <c r="H994" s="17" t="str">
        <f>IF(COUNTIFS(Phrases!$A:$A,$A994,Phrases!$I:$I,"&lt;&gt;")&gt;0,"ok","à faire")</f>
        <v>ok</v>
      </c>
      <c r="I994" s="17" t="str">
        <f>IF(COUNTIF(Synonymes!$A:$A,$A994)&gt;0,"ok","")</f>
        <v/>
      </c>
      <c r="J994" s="17">
        <f t="shared" si="15"/>
        <v>0</v>
      </c>
    </row>
    <row r="995" spans="1:10" x14ac:dyDescent="0.3">
      <c r="A995" s="17" t="s">
        <v>5412</v>
      </c>
      <c r="B995" s="17" t="str">
        <f>IFERROR(INDEX(Mots!$B:$B,MATCH($A995,Mots!$A:$A,0)),"introuvable")</f>
        <v>le billet</v>
      </c>
      <c r="C995" s="17" t="str">
        <f>IFERROR(INDEX(Mots!$N:$N,MATCH($A995,Mots!$A:$A,0)),"")</f>
        <v>chose</v>
      </c>
      <c r="D995" s="17">
        <f>IFERROR(COUNTA(INDEX(Mots!$E:$E,MATCH($A995,Mots!$A:$A,0)):INDEX(Mots!$K:$K,MATCH($A995,Mots!$A:$A,0))),0)</f>
        <v>3</v>
      </c>
      <c r="E995" s="17" t="str">
        <f>IF(COUNTIF(Classement!$A:$A,$A995)&gt;0,"ok","à faire")</f>
        <v>ok</v>
      </c>
      <c r="F995" s="17" t="str">
        <f>IF(COUNTIF(Tags!$A:$A,$A995)&gt;0,"ok","à faire")</f>
        <v>ok</v>
      </c>
      <c r="G995" s="17" t="str">
        <f>IF(COUNTIF(Phrases!$A:$A,$A995)&gt;0,"ok","à faire")</f>
        <v>ok</v>
      </c>
      <c r="H995" s="17" t="str">
        <f>IF(COUNTIFS(Phrases!$A:$A,$A995,Phrases!$I:$I,"&lt;&gt;")&gt;0,"ok","à faire")</f>
        <v>ok</v>
      </c>
      <c r="I995" s="17" t="str">
        <f>IF(COUNTIF(Synonymes!$A:$A,$A995)&gt;0,"ok","")</f>
        <v/>
      </c>
      <c r="J995" s="17">
        <f t="shared" si="15"/>
        <v>0</v>
      </c>
    </row>
    <row r="996" spans="1:10" x14ac:dyDescent="0.3">
      <c r="A996" s="17" t="s">
        <v>5418</v>
      </c>
      <c r="B996" s="17" t="str">
        <f>IFERROR(INDEX(Mots!$B:$B,MATCH($A996,Mots!$A:$A,0)),"introuvable")</f>
        <v>le blé</v>
      </c>
      <c r="C996" s="17" t="str">
        <f>IFERROR(INDEX(Mots!$N:$N,MATCH($A996,Mots!$A:$A,0)),"")</f>
        <v>chose</v>
      </c>
      <c r="D996" s="17">
        <f>IFERROR(COUNTA(INDEX(Mots!$E:$E,MATCH($A996,Mots!$A:$A,0)):INDEX(Mots!$K:$K,MATCH($A996,Mots!$A:$A,0))),0)</f>
        <v>5</v>
      </c>
      <c r="E996" s="17" t="str">
        <f>IF(COUNTIF(Classement!$A:$A,$A996)&gt;0,"ok","à faire")</f>
        <v>ok</v>
      </c>
      <c r="F996" s="17" t="str">
        <f>IF(COUNTIF(Tags!$A:$A,$A996)&gt;0,"ok","à faire")</f>
        <v>ok</v>
      </c>
      <c r="G996" s="17" t="str">
        <f>IF(COUNTIF(Phrases!$A:$A,$A996)&gt;0,"ok","à faire")</f>
        <v>ok</v>
      </c>
      <c r="H996" s="17" t="str">
        <f>IF(COUNTIFS(Phrases!$A:$A,$A996,Phrases!$I:$I,"&lt;&gt;")&gt;0,"ok","à faire")</f>
        <v>ok</v>
      </c>
      <c r="I996" s="17" t="str">
        <f>IF(COUNTIF(Synonymes!$A:$A,$A996)&gt;0,"ok","")</f>
        <v/>
      </c>
      <c r="J996" s="17">
        <f t="shared" si="15"/>
        <v>0</v>
      </c>
    </row>
    <row r="997" spans="1:10" x14ac:dyDescent="0.3">
      <c r="A997" s="17" t="s">
        <v>5426</v>
      </c>
      <c r="B997" s="17" t="str">
        <f>IFERROR(INDEX(Mots!$B:$B,MATCH($A997,Mots!$A:$A,0)),"introuvable")</f>
        <v>le bocal</v>
      </c>
      <c r="C997" s="17" t="str">
        <f>IFERROR(INDEX(Mots!$N:$N,MATCH($A997,Mots!$A:$A,0)),"")</f>
        <v>chose</v>
      </c>
      <c r="D997" s="17">
        <f>IFERROR(COUNTA(INDEX(Mots!$E:$E,MATCH($A997,Mots!$A:$A,0)):INDEX(Mots!$K:$K,MATCH($A997,Mots!$A:$A,0))),0)</f>
        <v>5</v>
      </c>
      <c r="E997" s="17" t="str">
        <f>IF(COUNTIF(Classement!$A:$A,$A997)&gt;0,"ok","à faire")</f>
        <v>ok</v>
      </c>
      <c r="F997" s="17" t="str">
        <f>IF(COUNTIF(Tags!$A:$A,$A997)&gt;0,"ok","à faire")</f>
        <v>ok</v>
      </c>
      <c r="G997" s="17" t="str">
        <f>IF(COUNTIF(Phrases!$A:$A,$A997)&gt;0,"ok","à faire")</f>
        <v>ok</v>
      </c>
      <c r="H997" s="17" t="str">
        <f>IF(COUNTIFS(Phrases!$A:$A,$A997,Phrases!$I:$I,"&lt;&gt;")&gt;0,"ok","à faire")</f>
        <v>à faire</v>
      </c>
      <c r="I997" s="17" t="str">
        <f>IF(COUNTIF(Synonymes!$A:$A,$A997)&gt;0,"ok","")</f>
        <v/>
      </c>
      <c r="J997" s="17">
        <f t="shared" si="15"/>
        <v>1</v>
      </c>
    </row>
    <row r="998" spans="1:10" x14ac:dyDescent="0.3">
      <c r="A998" s="17" t="s">
        <v>5434</v>
      </c>
      <c r="B998" s="17" t="str">
        <f>IFERROR(INDEX(Mots!$B:$B,MATCH($A998,Mots!$A:$A,0)),"introuvable")</f>
        <v>le bois</v>
      </c>
      <c r="C998" s="17" t="str">
        <f>IFERROR(INDEX(Mots!$N:$N,MATCH($A998,Mots!$A:$A,0)),"")</f>
        <v>chose</v>
      </c>
      <c r="D998" s="17">
        <f>IFERROR(COUNTA(INDEX(Mots!$E:$E,MATCH($A998,Mots!$A:$A,0)):INDEX(Mots!$K:$K,MATCH($A998,Mots!$A:$A,0))),0)</f>
        <v>5</v>
      </c>
      <c r="E998" s="17" t="str">
        <f>IF(COUNTIF(Classement!$A:$A,$A998)&gt;0,"ok","à faire")</f>
        <v>ok</v>
      </c>
      <c r="F998" s="17" t="str">
        <f>IF(COUNTIF(Tags!$A:$A,$A998)&gt;0,"ok","à faire")</f>
        <v>ok</v>
      </c>
      <c r="G998" s="17" t="str">
        <f>IF(COUNTIF(Phrases!$A:$A,$A998)&gt;0,"ok","à faire")</f>
        <v>ok</v>
      </c>
      <c r="H998" s="17" t="str">
        <f>IF(COUNTIFS(Phrases!$A:$A,$A998,Phrases!$I:$I,"&lt;&gt;")&gt;0,"ok","à faire")</f>
        <v>ok</v>
      </c>
      <c r="I998" s="17" t="str">
        <f>IF(COUNTIF(Synonymes!$A:$A,$A998)&gt;0,"ok","")</f>
        <v/>
      </c>
      <c r="J998" s="17">
        <f t="shared" si="15"/>
        <v>0</v>
      </c>
    </row>
    <row r="999" spans="1:10" x14ac:dyDescent="0.3">
      <c r="A999" s="17" t="s">
        <v>5442</v>
      </c>
      <c r="B999" s="17" t="str">
        <f>IFERROR(INDEX(Mots!$B:$B,MATCH($A999,Mots!$A:$A,0)),"introuvable")</f>
        <v>le bonbon</v>
      </c>
      <c r="C999" s="17" t="str">
        <f>IFERROR(INDEX(Mots!$N:$N,MATCH($A999,Mots!$A:$A,0)),"")</f>
        <v>chose</v>
      </c>
      <c r="D999" s="17">
        <f>IFERROR(COUNTA(INDEX(Mots!$E:$E,MATCH($A999,Mots!$A:$A,0)):INDEX(Mots!$K:$K,MATCH($A999,Mots!$A:$A,0))),0)</f>
        <v>5</v>
      </c>
      <c r="E999" s="17" t="str">
        <f>IF(COUNTIF(Classement!$A:$A,$A999)&gt;0,"ok","à faire")</f>
        <v>ok</v>
      </c>
      <c r="F999" s="17" t="str">
        <f>IF(COUNTIF(Tags!$A:$A,$A999)&gt;0,"ok","à faire")</f>
        <v>ok</v>
      </c>
      <c r="G999" s="17" t="str">
        <f>IF(COUNTIF(Phrases!$A:$A,$A999)&gt;0,"ok","à faire")</f>
        <v>ok</v>
      </c>
      <c r="H999" s="17" t="str">
        <f>IF(COUNTIFS(Phrases!$A:$A,$A999,Phrases!$I:$I,"&lt;&gt;")&gt;0,"ok","à faire")</f>
        <v>à faire</v>
      </c>
      <c r="I999" s="17" t="str">
        <f>IF(COUNTIF(Synonymes!$A:$A,$A999)&gt;0,"ok","")</f>
        <v/>
      </c>
      <c r="J999" s="17">
        <f t="shared" si="15"/>
        <v>1</v>
      </c>
    </row>
    <row r="1000" spans="1:10" x14ac:dyDescent="0.3">
      <c r="A1000" s="17" t="s">
        <v>5450</v>
      </c>
      <c r="B1000" s="17" t="str">
        <f>IFERROR(INDEX(Mots!$B:$B,MATCH($A1000,Mots!$A:$A,0)),"introuvable")</f>
        <v>le bord</v>
      </c>
      <c r="C1000" s="17" t="str">
        <f>IFERROR(INDEX(Mots!$N:$N,MATCH($A1000,Mots!$A:$A,0)),"")</f>
        <v>lieu</v>
      </c>
      <c r="D1000" s="17">
        <f>IFERROR(COUNTA(INDEX(Mots!$E:$E,MATCH($A1000,Mots!$A:$A,0)):INDEX(Mots!$K:$K,MATCH($A1000,Mots!$A:$A,0))),0)</f>
        <v>2</v>
      </c>
      <c r="E1000" s="17" t="str">
        <f>IF(COUNTIF(Classement!$A:$A,$A1000)&gt;0,"ok","à faire")</f>
        <v>ok</v>
      </c>
      <c r="F1000" s="17" t="str">
        <f>IF(COUNTIF(Tags!$A:$A,$A1000)&gt;0,"ok","à faire")</f>
        <v>à faire</v>
      </c>
      <c r="G1000" s="17" t="str">
        <f>IF(COUNTIF(Phrases!$A:$A,$A1000)&gt;0,"ok","à faire")</f>
        <v>à faire</v>
      </c>
      <c r="H1000" s="17" t="str">
        <f>IF(COUNTIFS(Phrases!$A:$A,$A1000,Phrases!$I:$I,"&lt;&gt;")&gt;0,"ok","à faire")</f>
        <v>à faire</v>
      </c>
      <c r="I1000" s="17" t="str">
        <f>IF(COUNTIF(Synonymes!$A:$A,$A1000)&gt;0,"ok","")</f>
        <v/>
      </c>
      <c r="J1000" s="17">
        <f t="shared" si="15"/>
        <v>3</v>
      </c>
    </row>
    <row r="1001" spans="1:10" x14ac:dyDescent="0.3">
      <c r="A1001" s="17" t="s">
        <v>5455</v>
      </c>
      <c r="B1001" s="17" t="str">
        <f>IFERROR(INDEX(Mots!$B:$B,MATCH($A1001,Mots!$A:$A,0)),"introuvable")</f>
        <v>le bourgeon</v>
      </c>
      <c r="C1001" s="17" t="str">
        <f>IFERROR(INDEX(Mots!$N:$N,MATCH($A1001,Mots!$A:$A,0)),"")</f>
        <v>chose</v>
      </c>
      <c r="D1001" s="17">
        <f>IFERROR(COUNTA(INDEX(Mots!$E:$E,MATCH($A1001,Mots!$A:$A,0)):INDEX(Mots!$K:$K,MATCH($A1001,Mots!$A:$A,0))),0)</f>
        <v>5</v>
      </c>
      <c r="E1001" s="17" t="str">
        <f>IF(COUNTIF(Classement!$A:$A,$A1001)&gt;0,"ok","à faire")</f>
        <v>ok</v>
      </c>
      <c r="F1001" s="17" t="str">
        <f>IF(COUNTIF(Tags!$A:$A,$A1001)&gt;0,"ok","à faire")</f>
        <v>ok</v>
      </c>
      <c r="G1001" s="17" t="str">
        <f>IF(COUNTIF(Phrases!$A:$A,$A1001)&gt;0,"ok","à faire")</f>
        <v>ok</v>
      </c>
      <c r="H1001" s="17" t="str">
        <f>IF(COUNTIFS(Phrases!$A:$A,$A1001,Phrases!$I:$I,"&lt;&gt;")&gt;0,"ok","à faire")</f>
        <v>à faire</v>
      </c>
      <c r="I1001" s="17" t="str">
        <f>IF(COUNTIF(Synonymes!$A:$A,$A1001)&gt;0,"ok","")</f>
        <v/>
      </c>
      <c r="J1001" s="17">
        <f t="shared" si="15"/>
        <v>1</v>
      </c>
    </row>
    <row r="1002" spans="1:10" x14ac:dyDescent="0.3">
      <c r="A1002" s="17" t="s">
        <v>5463</v>
      </c>
      <c r="B1002" s="17" t="str">
        <f>IFERROR(INDEX(Mots!$B:$B,MATCH($A1002,Mots!$A:$A,0)),"introuvable")</f>
        <v>le bout</v>
      </c>
      <c r="C1002" s="17" t="str">
        <f>IFERROR(INDEX(Mots!$N:$N,MATCH($A1002,Mots!$A:$A,0)),"")</f>
        <v>chose</v>
      </c>
      <c r="D1002" s="17">
        <f>IFERROR(COUNTA(INDEX(Mots!$E:$E,MATCH($A1002,Mots!$A:$A,0)):INDEX(Mots!$K:$K,MATCH($A1002,Mots!$A:$A,0))),0)</f>
        <v>1</v>
      </c>
      <c r="E1002" s="17" t="str">
        <f>IF(COUNTIF(Classement!$A:$A,$A1002)&gt;0,"ok","à faire")</f>
        <v>ok</v>
      </c>
      <c r="F1002" s="17" t="str">
        <f>IF(COUNTIF(Tags!$A:$A,$A1002)&gt;0,"ok","à faire")</f>
        <v>à faire</v>
      </c>
      <c r="G1002" s="17" t="str">
        <f>IF(COUNTIF(Phrases!$A:$A,$A1002)&gt;0,"ok","à faire")</f>
        <v>ok</v>
      </c>
      <c r="H1002" s="17" t="str">
        <f>IF(COUNTIFS(Phrases!$A:$A,$A1002,Phrases!$I:$I,"&lt;&gt;")&gt;0,"ok","à faire")</f>
        <v>ok</v>
      </c>
      <c r="I1002" s="17" t="str">
        <f>IF(COUNTIF(Synonymes!$A:$A,$A1002)&gt;0,"ok","")</f>
        <v>ok</v>
      </c>
      <c r="J1002" s="17">
        <f t="shared" si="15"/>
        <v>1</v>
      </c>
    </row>
    <row r="1003" spans="1:10" x14ac:dyDescent="0.3">
      <c r="A1003" s="17" t="s">
        <v>5467</v>
      </c>
      <c r="B1003" s="17" t="str">
        <f>IFERROR(INDEX(Mots!$B:$B,MATCH($A1003,Mots!$A:$A,0)),"introuvable")</f>
        <v>le bouton</v>
      </c>
      <c r="C1003" s="17" t="str">
        <f>IFERROR(INDEX(Mots!$N:$N,MATCH($A1003,Mots!$A:$A,0)),"")</f>
        <v>chose</v>
      </c>
      <c r="D1003" s="17">
        <f>IFERROR(COUNTA(INDEX(Mots!$E:$E,MATCH($A1003,Mots!$A:$A,0)):INDEX(Mots!$K:$K,MATCH($A1003,Mots!$A:$A,0))),0)</f>
        <v>1</v>
      </c>
      <c r="E1003" s="17" t="str">
        <f>IF(COUNTIF(Classement!$A:$A,$A1003)&gt;0,"ok","à faire")</f>
        <v>ok</v>
      </c>
      <c r="F1003" s="17" t="str">
        <f>IF(COUNTIF(Tags!$A:$A,$A1003)&gt;0,"ok","à faire")</f>
        <v>ok</v>
      </c>
      <c r="G1003" s="17" t="str">
        <f>IF(COUNTIF(Phrases!$A:$A,$A1003)&gt;0,"ok","à faire")</f>
        <v>ok</v>
      </c>
      <c r="H1003" s="17" t="str">
        <f>IF(COUNTIFS(Phrases!$A:$A,$A1003,Phrases!$I:$I,"&lt;&gt;")&gt;0,"ok","à faire")</f>
        <v>ok</v>
      </c>
      <c r="I1003" s="17" t="str">
        <f>IF(COUNTIF(Synonymes!$A:$A,$A1003)&gt;0,"ok","")</f>
        <v/>
      </c>
      <c r="J1003" s="17">
        <f t="shared" si="15"/>
        <v>0</v>
      </c>
    </row>
    <row r="1004" spans="1:10" x14ac:dyDescent="0.3">
      <c r="A1004" s="17" t="s">
        <v>5471</v>
      </c>
      <c r="B1004" s="17" t="str">
        <f>IFERROR(INDEX(Mots!$B:$B,MATCH($A1004,Mots!$A:$A,0)),"introuvable")</f>
        <v>le bricolage</v>
      </c>
      <c r="C1004" s="17" t="str">
        <f>IFERROR(INDEX(Mots!$N:$N,MATCH($A1004,Mots!$A:$A,0)),"")</f>
        <v>chose</v>
      </c>
      <c r="D1004" s="17">
        <f>IFERROR(COUNTA(INDEX(Mots!$E:$E,MATCH($A1004,Mots!$A:$A,0)):INDEX(Mots!$K:$K,MATCH($A1004,Mots!$A:$A,0))),0)</f>
        <v>5</v>
      </c>
      <c r="E1004" s="17" t="str">
        <f>IF(COUNTIF(Classement!$A:$A,$A1004)&gt;0,"ok","à faire")</f>
        <v>ok</v>
      </c>
      <c r="F1004" s="17" t="str">
        <f>IF(COUNTIF(Tags!$A:$A,$A1004)&gt;0,"ok","à faire")</f>
        <v>ok</v>
      </c>
      <c r="G1004" s="17" t="str">
        <f>IF(COUNTIF(Phrases!$A:$A,$A1004)&gt;0,"ok","à faire")</f>
        <v>ok</v>
      </c>
      <c r="H1004" s="17" t="str">
        <f>IF(COUNTIFS(Phrases!$A:$A,$A1004,Phrases!$I:$I,"&lt;&gt;")&gt;0,"ok","à faire")</f>
        <v>ok</v>
      </c>
      <c r="I1004" s="17" t="str">
        <f>IF(COUNTIF(Synonymes!$A:$A,$A1004)&gt;0,"ok","")</f>
        <v/>
      </c>
      <c r="J1004" s="17">
        <f t="shared" si="15"/>
        <v>0</v>
      </c>
    </row>
    <row r="1005" spans="1:10" x14ac:dyDescent="0.3">
      <c r="A1005" s="17" t="s">
        <v>5479</v>
      </c>
      <c r="B1005" s="17" t="str">
        <f>IFERROR(INDEX(Mots!$B:$B,MATCH($A1005,Mots!$A:$A,0)),"introuvable")</f>
        <v>le brin</v>
      </c>
      <c r="C1005" s="17" t="str">
        <f>IFERROR(INDEX(Mots!$N:$N,MATCH($A1005,Mots!$A:$A,0)),"")</f>
        <v>chose</v>
      </c>
      <c r="D1005" s="17">
        <f>IFERROR(COUNTA(INDEX(Mots!$E:$E,MATCH($A1005,Mots!$A:$A,0)):INDEX(Mots!$K:$K,MATCH($A1005,Mots!$A:$A,0))),0)</f>
        <v>5</v>
      </c>
      <c r="E1005" s="17" t="str">
        <f>IF(COUNTIF(Classement!$A:$A,$A1005)&gt;0,"ok","à faire")</f>
        <v>ok</v>
      </c>
      <c r="F1005" s="17" t="str">
        <f>IF(COUNTIF(Tags!$A:$A,$A1005)&gt;0,"ok","à faire")</f>
        <v>à faire</v>
      </c>
      <c r="G1005" s="17" t="str">
        <f>IF(COUNTIF(Phrases!$A:$A,$A1005)&gt;0,"ok","à faire")</f>
        <v>ok</v>
      </c>
      <c r="H1005" s="17" t="str">
        <f>IF(COUNTIFS(Phrases!$A:$A,$A1005,Phrases!$I:$I,"&lt;&gt;")&gt;0,"ok","à faire")</f>
        <v>ok</v>
      </c>
      <c r="I1005" s="17" t="str">
        <f>IF(COUNTIF(Synonymes!$A:$A,$A1005)&gt;0,"ok","")</f>
        <v/>
      </c>
      <c r="J1005" s="17">
        <f t="shared" si="15"/>
        <v>1</v>
      </c>
    </row>
    <row r="1006" spans="1:10" x14ac:dyDescent="0.3">
      <c r="A1006" s="17" t="s">
        <v>5487</v>
      </c>
      <c r="B1006" s="17" t="str">
        <f>IFERROR(INDEX(Mots!$B:$B,MATCH($A1006,Mots!$A:$A,0)),"introuvable")</f>
        <v>le brouillard</v>
      </c>
      <c r="C1006" s="17" t="str">
        <f>IFERROR(INDEX(Mots!$N:$N,MATCH($A1006,Mots!$A:$A,0)),"")</f>
        <v>chose</v>
      </c>
      <c r="D1006" s="17">
        <f>IFERROR(COUNTA(INDEX(Mots!$E:$E,MATCH($A1006,Mots!$A:$A,0)):INDEX(Mots!$K:$K,MATCH($A1006,Mots!$A:$A,0))),0)</f>
        <v>5</v>
      </c>
      <c r="E1006" s="17" t="str">
        <f>IF(COUNTIF(Classement!$A:$A,$A1006)&gt;0,"ok","à faire")</f>
        <v>ok</v>
      </c>
      <c r="F1006" s="17" t="str">
        <f>IF(COUNTIF(Tags!$A:$A,$A1006)&gt;0,"ok","à faire")</f>
        <v>ok</v>
      </c>
      <c r="G1006" s="17" t="str">
        <f>IF(COUNTIF(Phrases!$A:$A,$A1006)&gt;0,"ok","à faire")</f>
        <v>ok</v>
      </c>
      <c r="H1006" s="17" t="str">
        <f>IF(COUNTIFS(Phrases!$A:$A,$A1006,Phrases!$I:$I,"&lt;&gt;")&gt;0,"ok","à faire")</f>
        <v>à faire</v>
      </c>
      <c r="I1006" s="17" t="str">
        <f>IF(COUNTIF(Synonymes!$A:$A,$A1006)&gt;0,"ok","")</f>
        <v/>
      </c>
      <c r="J1006" s="17">
        <f t="shared" si="15"/>
        <v>1</v>
      </c>
    </row>
    <row r="1007" spans="1:10" x14ac:dyDescent="0.3">
      <c r="A1007" s="17" t="s">
        <v>5495</v>
      </c>
      <c r="B1007" s="17" t="str">
        <f>IFERROR(INDEX(Mots!$B:$B,MATCH($A1007,Mots!$A:$A,0)),"introuvable")</f>
        <v>le bruit</v>
      </c>
      <c r="C1007" s="17" t="str">
        <f>IFERROR(INDEX(Mots!$N:$N,MATCH($A1007,Mots!$A:$A,0)),"")</f>
        <v>chose</v>
      </c>
      <c r="D1007" s="17">
        <f>IFERROR(COUNTA(INDEX(Mots!$E:$E,MATCH($A1007,Mots!$A:$A,0)):INDEX(Mots!$K:$K,MATCH($A1007,Mots!$A:$A,0))),0)</f>
        <v>3</v>
      </c>
      <c r="E1007" s="17" t="str">
        <f>IF(COUNTIF(Classement!$A:$A,$A1007)&gt;0,"ok","à faire")</f>
        <v>ok</v>
      </c>
      <c r="F1007" s="17" t="str">
        <f>IF(COUNTIF(Tags!$A:$A,$A1007)&gt;0,"ok","à faire")</f>
        <v>ok</v>
      </c>
      <c r="G1007" s="17" t="str">
        <f>IF(COUNTIF(Phrases!$A:$A,$A1007)&gt;0,"ok","à faire")</f>
        <v>ok</v>
      </c>
      <c r="H1007" s="17" t="str">
        <f>IF(COUNTIFS(Phrases!$A:$A,$A1007,Phrases!$I:$I,"&lt;&gt;")&gt;0,"ok","à faire")</f>
        <v>ok</v>
      </c>
      <c r="I1007" s="17" t="str">
        <f>IF(COUNTIF(Synonymes!$A:$A,$A1007)&gt;0,"ok","")</f>
        <v/>
      </c>
      <c r="J1007" s="17">
        <f t="shared" si="15"/>
        <v>0</v>
      </c>
    </row>
    <row r="1008" spans="1:10" x14ac:dyDescent="0.3">
      <c r="A1008" s="17" t="s">
        <v>5501</v>
      </c>
      <c r="B1008" s="17" t="str">
        <f>IFERROR(INDEX(Mots!$B:$B,MATCH($A1008,Mots!$A:$A,0)),"introuvable")</f>
        <v>le buisson</v>
      </c>
      <c r="C1008" s="17" t="str">
        <f>IFERROR(INDEX(Mots!$N:$N,MATCH($A1008,Mots!$A:$A,0)),"")</f>
        <v>chose</v>
      </c>
      <c r="D1008" s="17">
        <f>IFERROR(COUNTA(INDEX(Mots!$E:$E,MATCH($A1008,Mots!$A:$A,0)):INDEX(Mots!$K:$K,MATCH($A1008,Mots!$A:$A,0))),0)</f>
        <v>5</v>
      </c>
      <c r="E1008" s="17" t="str">
        <f>IF(COUNTIF(Classement!$A:$A,$A1008)&gt;0,"ok","à faire")</f>
        <v>ok</v>
      </c>
      <c r="F1008" s="17" t="str">
        <f>IF(COUNTIF(Tags!$A:$A,$A1008)&gt;0,"ok","à faire")</f>
        <v>ok</v>
      </c>
      <c r="G1008" s="17" t="str">
        <f>IF(COUNTIF(Phrases!$A:$A,$A1008)&gt;0,"ok","à faire")</f>
        <v>ok</v>
      </c>
      <c r="H1008" s="17" t="str">
        <f>IF(COUNTIFS(Phrases!$A:$A,$A1008,Phrases!$I:$I,"&lt;&gt;")&gt;0,"ok","à faire")</f>
        <v>à faire</v>
      </c>
      <c r="I1008" s="17" t="str">
        <f>IF(COUNTIF(Synonymes!$A:$A,$A1008)&gt;0,"ok","")</f>
        <v/>
      </c>
      <c r="J1008" s="17">
        <f t="shared" si="15"/>
        <v>1</v>
      </c>
    </row>
    <row r="1009" spans="1:10" x14ac:dyDescent="0.3">
      <c r="A1009" s="17" t="s">
        <v>5509</v>
      </c>
      <c r="B1009" s="17" t="str">
        <f>IFERROR(INDEX(Mots!$B:$B,MATCH($A1009,Mots!$A:$A,0)),"introuvable")</f>
        <v>le but</v>
      </c>
      <c r="C1009" s="17" t="str">
        <f>IFERROR(INDEX(Mots!$N:$N,MATCH($A1009,Mots!$A:$A,0)),"")</f>
        <v>lieu</v>
      </c>
      <c r="D1009" s="17">
        <f>IFERROR(COUNTA(INDEX(Mots!$E:$E,MATCH($A1009,Mots!$A:$A,0)):INDEX(Mots!$K:$K,MATCH($A1009,Mots!$A:$A,0))),0)</f>
        <v>5</v>
      </c>
      <c r="E1009" s="17" t="str">
        <f>IF(COUNTIF(Classement!$A:$A,$A1009)&gt;0,"ok","à faire")</f>
        <v>ok</v>
      </c>
      <c r="F1009" s="17" t="str">
        <f>IF(COUNTIF(Tags!$A:$A,$A1009)&gt;0,"ok","à faire")</f>
        <v>à faire</v>
      </c>
      <c r="G1009" s="17" t="str">
        <f>IF(COUNTIF(Phrases!$A:$A,$A1009)&gt;0,"ok","à faire")</f>
        <v>à faire</v>
      </c>
      <c r="H1009" s="17" t="str">
        <f>IF(COUNTIFS(Phrases!$A:$A,$A1009,Phrases!$I:$I,"&lt;&gt;")&gt;0,"ok","à faire")</f>
        <v>à faire</v>
      </c>
      <c r="I1009" s="17" t="str">
        <f>IF(COUNTIF(Synonymes!$A:$A,$A1009)&gt;0,"ok","")</f>
        <v/>
      </c>
      <c r="J1009" s="17">
        <f t="shared" si="15"/>
        <v>3</v>
      </c>
    </row>
    <row r="1010" spans="1:10" x14ac:dyDescent="0.3">
      <c r="A1010" s="17" t="s">
        <v>5517</v>
      </c>
      <c r="B1010" s="17" t="str">
        <f>IFERROR(INDEX(Mots!$B:$B,MATCH($A1010,Mots!$A:$A,0)),"introuvable")</f>
        <v>le cadeau</v>
      </c>
      <c r="C1010" s="17" t="str">
        <f>IFERROR(INDEX(Mots!$N:$N,MATCH($A1010,Mots!$A:$A,0)),"")</f>
        <v>chose</v>
      </c>
      <c r="D1010" s="17">
        <f>IFERROR(COUNTA(INDEX(Mots!$E:$E,MATCH($A1010,Mots!$A:$A,0)):INDEX(Mots!$K:$K,MATCH($A1010,Mots!$A:$A,0))),0)</f>
        <v>5</v>
      </c>
      <c r="E1010" s="17" t="str">
        <f>IF(COUNTIF(Classement!$A:$A,$A1010)&gt;0,"ok","à faire")</f>
        <v>ok</v>
      </c>
      <c r="F1010" s="17" t="str">
        <f>IF(COUNTIF(Tags!$A:$A,$A1010)&gt;0,"ok","à faire")</f>
        <v>ok</v>
      </c>
      <c r="G1010" s="17" t="str">
        <f>IF(COUNTIF(Phrases!$A:$A,$A1010)&gt;0,"ok","à faire")</f>
        <v>ok</v>
      </c>
      <c r="H1010" s="17" t="str">
        <f>IF(COUNTIFS(Phrases!$A:$A,$A1010,Phrases!$I:$I,"&lt;&gt;")&gt;0,"ok","à faire")</f>
        <v>ok</v>
      </c>
      <c r="I1010" s="17" t="str">
        <f>IF(COUNTIF(Synonymes!$A:$A,$A1010)&gt;0,"ok","")</f>
        <v>ok</v>
      </c>
      <c r="J1010" s="17">
        <f t="shared" si="15"/>
        <v>0</v>
      </c>
    </row>
    <row r="1011" spans="1:10" x14ac:dyDescent="0.3">
      <c r="A1011" s="17" t="s">
        <v>5525</v>
      </c>
      <c r="B1011" s="17" t="str">
        <f>IFERROR(INDEX(Mots!$B:$B,MATCH($A1011,Mots!$A:$A,0)),"introuvable")</f>
        <v>le cahier</v>
      </c>
      <c r="C1011" s="17" t="str">
        <f>IFERROR(INDEX(Mots!$N:$N,MATCH($A1011,Mots!$A:$A,0)),"")</f>
        <v>chose</v>
      </c>
      <c r="D1011" s="17">
        <f>IFERROR(COUNTA(INDEX(Mots!$E:$E,MATCH($A1011,Mots!$A:$A,0)):INDEX(Mots!$K:$K,MATCH($A1011,Mots!$A:$A,0))),0)</f>
        <v>5</v>
      </c>
      <c r="E1011" s="17" t="str">
        <f>IF(COUNTIF(Classement!$A:$A,$A1011)&gt;0,"ok","à faire")</f>
        <v>ok</v>
      </c>
      <c r="F1011" s="17" t="str">
        <f>IF(COUNTIF(Tags!$A:$A,$A1011)&gt;0,"ok","à faire")</f>
        <v>à faire</v>
      </c>
      <c r="G1011" s="17" t="str">
        <f>IF(COUNTIF(Phrases!$A:$A,$A1011)&gt;0,"ok","à faire")</f>
        <v>ok</v>
      </c>
      <c r="H1011" s="17" t="str">
        <f>IF(COUNTIFS(Phrases!$A:$A,$A1011,Phrases!$I:$I,"&lt;&gt;")&gt;0,"ok","à faire")</f>
        <v>à faire</v>
      </c>
      <c r="I1011" s="17" t="str">
        <f>IF(COUNTIF(Synonymes!$A:$A,$A1011)&gt;0,"ok","")</f>
        <v/>
      </c>
      <c r="J1011" s="17">
        <f t="shared" si="15"/>
        <v>2</v>
      </c>
    </row>
    <row r="1012" spans="1:10" x14ac:dyDescent="0.3">
      <c r="A1012" s="17" t="s">
        <v>5533</v>
      </c>
      <c r="B1012" s="17" t="str">
        <f>IFERROR(INDEX(Mots!$B:$B,MATCH($A1012,Mots!$A:$A,0)),"introuvable")</f>
        <v>le calcul</v>
      </c>
      <c r="C1012" s="17" t="str">
        <f>IFERROR(INDEX(Mots!$N:$N,MATCH($A1012,Mots!$A:$A,0)),"")</f>
        <v>mot utile</v>
      </c>
      <c r="D1012" s="17">
        <f>IFERROR(COUNTA(INDEX(Mots!$E:$E,MATCH($A1012,Mots!$A:$A,0)):INDEX(Mots!$K:$K,MATCH($A1012,Mots!$A:$A,0))),0)</f>
        <v>1</v>
      </c>
      <c r="E1012" s="17" t="str">
        <f>IF(COUNTIF(Classement!$A:$A,$A1012)&gt;0,"ok","à faire")</f>
        <v>ok</v>
      </c>
      <c r="F1012" s="17" t="str">
        <f>IF(COUNTIF(Tags!$A:$A,$A1012)&gt;0,"ok","à faire")</f>
        <v>ok</v>
      </c>
      <c r="G1012" s="17" t="str">
        <f>IF(COUNTIF(Phrases!$A:$A,$A1012)&gt;0,"ok","à faire")</f>
        <v>à faire</v>
      </c>
      <c r="H1012" s="17" t="str">
        <f>IF(COUNTIFS(Phrases!$A:$A,$A1012,Phrases!$I:$I,"&lt;&gt;")&gt;0,"ok","à faire")</f>
        <v>à faire</v>
      </c>
      <c r="I1012" s="17" t="str">
        <f>IF(COUNTIF(Synonymes!$A:$A,$A1012)&gt;0,"ok","")</f>
        <v/>
      </c>
      <c r="J1012" s="17">
        <f t="shared" si="15"/>
        <v>2</v>
      </c>
    </row>
    <row r="1013" spans="1:10" x14ac:dyDescent="0.3">
      <c r="A1013" s="17" t="s">
        <v>5537</v>
      </c>
      <c r="B1013" s="17" t="str">
        <f>IFERROR(INDEX(Mots!$B:$B,MATCH($A1013,Mots!$A:$A,0)),"introuvable")</f>
        <v>le calme</v>
      </c>
      <c r="C1013" s="17" t="str">
        <f>IFERROR(INDEX(Mots!$N:$N,MATCH($A1013,Mots!$A:$A,0)),"")</f>
        <v>chose</v>
      </c>
      <c r="D1013" s="17">
        <f>IFERROR(COUNTA(INDEX(Mots!$E:$E,MATCH($A1013,Mots!$A:$A,0)):INDEX(Mots!$K:$K,MATCH($A1013,Mots!$A:$A,0))),0)</f>
        <v>1</v>
      </c>
      <c r="E1013" s="17" t="str">
        <f>IF(COUNTIF(Classement!$A:$A,$A1013)&gt;0,"ok","à faire")</f>
        <v>ok</v>
      </c>
      <c r="F1013" s="17" t="str">
        <f>IF(COUNTIF(Tags!$A:$A,$A1013)&gt;0,"ok","à faire")</f>
        <v>ok</v>
      </c>
      <c r="G1013" s="17" t="str">
        <f>IF(COUNTIF(Phrases!$A:$A,$A1013)&gt;0,"ok","à faire")</f>
        <v>ok</v>
      </c>
      <c r="H1013" s="17" t="str">
        <f>IF(COUNTIFS(Phrases!$A:$A,$A1013,Phrases!$I:$I,"&lt;&gt;")&gt;0,"ok","à faire")</f>
        <v>ok</v>
      </c>
      <c r="I1013" s="17" t="str">
        <f>IF(COUNTIF(Synonymes!$A:$A,$A1013)&gt;0,"ok","")</f>
        <v/>
      </c>
      <c r="J1013" s="17">
        <f t="shared" si="15"/>
        <v>0</v>
      </c>
    </row>
    <row r="1014" spans="1:10" x14ac:dyDescent="0.3">
      <c r="A1014" s="17" t="s">
        <v>5541</v>
      </c>
      <c r="B1014" s="17" t="str">
        <f>IFERROR(INDEX(Mots!$B:$B,MATCH($A1014,Mots!$A:$A,0)),"introuvable")</f>
        <v>le camping</v>
      </c>
      <c r="C1014" s="17" t="str">
        <f>IFERROR(INDEX(Mots!$N:$N,MATCH($A1014,Mots!$A:$A,0)),"")</f>
        <v>lieu</v>
      </c>
      <c r="D1014" s="17">
        <f>IFERROR(COUNTA(INDEX(Mots!$E:$E,MATCH($A1014,Mots!$A:$A,0)):INDEX(Mots!$K:$K,MATCH($A1014,Mots!$A:$A,0))),0)</f>
        <v>5</v>
      </c>
      <c r="E1014" s="17" t="str">
        <f>IF(COUNTIF(Classement!$A:$A,$A1014)&gt;0,"ok","à faire")</f>
        <v>ok</v>
      </c>
      <c r="F1014" s="17" t="str">
        <f>IF(COUNTIF(Tags!$A:$A,$A1014)&gt;0,"ok","à faire")</f>
        <v>à faire</v>
      </c>
      <c r="G1014" s="17" t="str">
        <f>IF(COUNTIF(Phrases!$A:$A,$A1014)&gt;0,"ok","à faire")</f>
        <v>à faire</v>
      </c>
      <c r="H1014" s="17" t="str">
        <f>IF(COUNTIFS(Phrases!$A:$A,$A1014,Phrases!$I:$I,"&lt;&gt;")&gt;0,"ok","à faire")</f>
        <v>à faire</v>
      </c>
      <c r="I1014" s="17" t="str">
        <f>IF(COUNTIF(Synonymes!$A:$A,$A1014)&gt;0,"ok","")</f>
        <v/>
      </c>
      <c r="J1014" s="17">
        <f t="shared" si="15"/>
        <v>3</v>
      </c>
    </row>
    <row r="1015" spans="1:10" x14ac:dyDescent="0.3">
      <c r="A1015" s="17" t="s">
        <v>5549</v>
      </c>
      <c r="B1015" s="17" t="str">
        <f>IFERROR(INDEX(Mots!$B:$B,MATCH($A1015,Mots!$A:$A,0)),"introuvable")</f>
        <v>le caoutchouc</v>
      </c>
      <c r="C1015" s="17" t="str">
        <f>IFERROR(INDEX(Mots!$N:$N,MATCH($A1015,Mots!$A:$A,0)),"")</f>
        <v>chose</v>
      </c>
      <c r="D1015" s="17">
        <f>IFERROR(COUNTA(INDEX(Mots!$E:$E,MATCH($A1015,Mots!$A:$A,0)):INDEX(Mots!$K:$K,MATCH($A1015,Mots!$A:$A,0))),0)</f>
        <v>2</v>
      </c>
      <c r="E1015" s="17" t="str">
        <f>IF(COUNTIF(Classement!$A:$A,$A1015)&gt;0,"ok","à faire")</f>
        <v>ok</v>
      </c>
      <c r="F1015" s="17" t="str">
        <f>IF(COUNTIF(Tags!$A:$A,$A1015)&gt;0,"ok","à faire")</f>
        <v>ok</v>
      </c>
      <c r="G1015" s="17" t="str">
        <f>IF(COUNTIF(Phrases!$A:$A,$A1015)&gt;0,"ok","à faire")</f>
        <v>ok</v>
      </c>
      <c r="H1015" s="17" t="str">
        <f>IF(COUNTIFS(Phrases!$A:$A,$A1015,Phrases!$I:$I,"&lt;&gt;")&gt;0,"ok","à faire")</f>
        <v>à faire</v>
      </c>
      <c r="I1015" s="17" t="str">
        <f>IF(COUNTIF(Synonymes!$A:$A,$A1015)&gt;0,"ok","")</f>
        <v/>
      </c>
      <c r="J1015" s="17">
        <f t="shared" si="15"/>
        <v>1</v>
      </c>
    </row>
    <row r="1016" spans="1:10" x14ac:dyDescent="0.3">
      <c r="A1016" s="17" t="s">
        <v>5554</v>
      </c>
      <c r="B1016" s="17" t="str">
        <f>IFERROR(INDEX(Mots!$B:$B,MATCH($A1016,Mots!$A:$A,0)),"introuvable")</f>
        <v>le carnet</v>
      </c>
      <c r="C1016" s="17" t="str">
        <f>IFERROR(INDEX(Mots!$N:$N,MATCH($A1016,Mots!$A:$A,0)),"")</f>
        <v>chose</v>
      </c>
      <c r="D1016" s="17">
        <f>IFERROR(COUNTA(INDEX(Mots!$E:$E,MATCH($A1016,Mots!$A:$A,0)):INDEX(Mots!$K:$K,MATCH($A1016,Mots!$A:$A,0))),0)</f>
        <v>5</v>
      </c>
      <c r="E1016" s="17" t="str">
        <f>IF(COUNTIF(Classement!$A:$A,$A1016)&gt;0,"ok","à faire")</f>
        <v>ok</v>
      </c>
      <c r="F1016" s="17" t="str">
        <f>IF(COUNTIF(Tags!$A:$A,$A1016)&gt;0,"ok","à faire")</f>
        <v>à faire</v>
      </c>
      <c r="G1016" s="17" t="str">
        <f>IF(COUNTIF(Phrases!$A:$A,$A1016)&gt;0,"ok","à faire")</f>
        <v>ok</v>
      </c>
      <c r="H1016" s="17" t="str">
        <f>IF(COUNTIFS(Phrases!$A:$A,$A1016,Phrases!$I:$I,"&lt;&gt;")&gt;0,"ok","à faire")</f>
        <v>à faire</v>
      </c>
      <c r="I1016" s="17" t="str">
        <f>IF(COUNTIF(Synonymes!$A:$A,$A1016)&gt;0,"ok","")</f>
        <v/>
      </c>
      <c r="J1016" s="17">
        <f t="shared" si="15"/>
        <v>2</v>
      </c>
    </row>
    <row r="1017" spans="1:10" x14ac:dyDescent="0.3">
      <c r="A1017" s="17" t="s">
        <v>5562</v>
      </c>
      <c r="B1017" s="17" t="str">
        <f>IFERROR(INDEX(Mots!$B:$B,MATCH($A1017,Mots!$A:$A,0)),"introuvable")</f>
        <v>le cas</v>
      </c>
      <c r="C1017" s="17" t="str">
        <f>IFERROR(INDEX(Mots!$N:$N,MATCH($A1017,Mots!$A:$A,0)),"")</f>
        <v>chose</v>
      </c>
      <c r="D1017" s="17">
        <f>IFERROR(COUNTA(INDEX(Mots!$E:$E,MATCH($A1017,Mots!$A:$A,0)):INDEX(Mots!$K:$K,MATCH($A1017,Mots!$A:$A,0))),0)</f>
        <v>2</v>
      </c>
      <c r="E1017" s="17" t="str">
        <f>IF(COUNTIF(Classement!$A:$A,$A1017)&gt;0,"ok","à faire")</f>
        <v>ok</v>
      </c>
      <c r="F1017" s="17" t="str">
        <f>IF(COUNTIF(Tags!$A:$A,$A1017)&gt;0,"ok","à faire")</f>
        <v>à faire</v>
      </c>
      <c r="G1017" s="17" t="str">
        <f>IF(COUNTIF(Phrases!$A:$A,$A1017)&gt;0,"ok","à faire")</f>
        <v>ok</v>
      </c>
      <c r="H1017" s="17" t="str">
        <f>IF(COUNTIFS(Phrases!$A:$A,$A1017,Phrases!$I:$I,"&lt;&gt;")&gt;0,"ok","à faire")</f>
        <v>ok</v>
      </c>
      <c r="I1017" s="17" t="str">
        <f>IF(COUNTIF(Synonymes!$A:$A,$A1017)&gt;0,"ok","")</f>
        <v>ok</v>
      </c>
      <c r="J1017" s="17">
        <f t="shared" si="15"/>
        <v>1</v>
      </c>
    </row>
    <row r="1018" spans="1:10" x14ac:dyDescent="0.3">
      <c r="A1018" s="17" t="s">
        <v>5567</v>
      </c>
      <c r="B1018" s="17" t="str">
        <f>IFERROR(INDEX(Mots!$B:$B,MATCH($A1018,Mots!$A:$A,0)),"introuvable")</f>
        <v>le centre</v>
      </c>
      <c r="C1018" s="17" t="str">
        <f>IFERROR(INDEX(Mots!$N:$N,MATCH($A1018,Mots!$A:$A,0)),"")</f>
        <v>lieu</v>
      </c>
      <c r="D1018" s="17">
        <f>IFERROR(COUNTA(INDEX(Mots!$E:$E,MATCH($A1018,Mots!$A:$A,0)):INDEX(Mots!$K:$K,MATCH($A1018,Mots!$A:$A,0))),0)</f>
        <v>1</v>
      </c>
      <c r="E1018" s="17" t="str">
        <f>IF(COUNTIF(Classement!$A:$A,$A1018)&gt;0,"ok","à faire")</f>
        <v>ok</v>
      </c>
      <c r="F1018" s="17" t="str">
        <f>IF(COUNTIF(Tags!$A:$A,$A1018)&gt;0,"ok","à faire")</f>
        <v>à faire</v>
      </c>
      <c r="G1018" s="17" t="str">
        <f>IF(COUNTIF(Phrases!$A:$A,$A1018)&gt;0,"ok","à faire")</f>
        <v>à faire</v>
      </c>
      <c r="H1018" s="17" t="str">
        <f>IF(COUNTIFS(Phrases!$A:$A,$A1018,Phrases!$I:$I,"&lt;&gt;")&gt;0,"ok","à faire")</f>
        <v>à faire</v>
      </c>
      <c r="I1018" s="17" t="str">
        <f>IF(COUNTIF(Synonymes!$A:$A,$A1018)&gt;0,"ok","")</f>
        <v>ok</v>
      </c>
      <c r="J1018" s="17">
        <f t="shared" si="15"/>
        <v>3</v>
      </c>
    </row>
    <row r="1019" spans="1:10" x14ac:dyDescent="0.3">
      <c r="A1019" s="17" t="s">
        <v>5571</v>
      </c>
      <c r="B1019" s="17" t="str">
        <f>IFERROR(INDEX(Mots!$B:$B,MATCH($A1019,Mots!$A:$A,0)),"introuvable")</f>
        <v>le chagrin</v>
      </c>
      <c r="C1019" s="17" t="str">
        <f>IFERROR(INDEX(Mots!$N:$N,MATCH($A1019,Mots!$A:$A,0)),"")</f>
        <v>sentiment</v>
      </c>
      <c r="D1019" s="17">
        <f>IFERROR(COUNTA(INDEX(Mots!$E:$E,MATCH($A1019,Mots!$A:$A,0)):INDEX(Mots!$K:$K,MATCH($A1019,Mots!$A:$A,0))),0)</f>
        <v>4</v>
      </c>
      <c r="E1019" s="17" t="str">
        <f>IF(COUNTIF(Classement!$A:$A,$A1019)&gt;0,"ok","à faire")</f>
        <v>ok</v>
      </c>
      <c r="F1019" s="17" t="str">
        <f>IF(COUNTIF(Tags!$A:$A,$A1019)&gt;0,"ok","à faire")</f>
        <v>ok</v>
      </c>
      <c r="G1019" s="17" t="str">
        <f>IF(COUNTIF(Phrases!$A:$A,$A1019)&gt;0,"ok","à faire")</f>
        <v>à faire</v>
      </c>
      <c r="H1019" s="17" t="str">
        <f>IF(COUNTIFS(Phrases!$A:$A,$A1019,Phrases!$I:$I,"&lt;&gt;")&gt;0,"ok","à faire")</f>
        <v>à faire</v>
      </c>
      <c r="I1019" s="17" t="str">
        <f>IF(COUNTIF(Synonymes!$A:$A,$A1019)&gt;0,"ok","")</f>
        <v>ok</v>
      </c>
      <c r="J1019" s="17">
        <f t="shared" si="15"/>
        <v>2</v>
      </c>
    </row>
    <row r="1020" spans="1:10" x14ac:dyDescent="0.3">
      <c r="A1020" s="17" t="s">
        <v>5580</v>
      </c>
      <c r="B1020" s="17" t="str">
        <f>IFERROR(INDEX(Mots!$B:$B,MATCH($A1020,Mots!$A:$A,0)),"introuvable")</f>
        <v>le champ</v>
      </c>
      <c r="C1020" s="17" t="str">
        <f>IFERROR(INDEX(Mots!$N:$N,MATCH($A1020,Mots!$A:$A,0)),"")</f>
        <v>chose</v>
      </c>
      <c r="D1020" s="17">
        <f>IFERROR(COUNTA(INDEX(Mots!$E:$E,MATCH($A1020,Mots!$A:$A,0)):INDEX(Mots!$K:$K,MATCH($A1020,Mots!$A:$A,0))),0)</f>
        <v>5</v>
      </c>
      <c r="E1020" s="17" t="str">
        <f>IF(COUNTIF(Classement!$A:$A,$A1020)&gt;0,"ok","à faire")</f>
        <v>ok</v>
      </c>
      <c r="F1020" s="17" t="str">
        <f>IF(COUNTIF(Tags!$A:$A,$A1020)&gt;0,"ok","à faire")</f>
        <v>ok</v>
      </c>
      <c r="G1020" s="17" t="str">
        <f>IF(COUNTIF(Phrases!$A:$A,$A1020)&gt;0,"ok","à faire")</f>
        <v>ok</v>
      </c>
      <c r="H1020" s="17" t="str">
        <f>IF(COUNTIFS(Phrases!$A:$A,$A1020,Phrases!$I:$I,"&lt;&gt;")&gt;0,"ok","à faire")</f>
        <v>à faire</v>
      </c>
      <c r="I1020" s="17" t="str">
        <f>IF(COUNTIF(Synonymes!$A:$A,$A1020)&gt;0,"ok","")</f>
        <v/>
      </c>
      <c r="J1020" s="17">
        <f t="shared" si="15"/>
        <v>1</v>
      </c>
    </row>
    <row r="1021" spans="1:10" x14ac:dyDescent="0.3">
      <c r="A1021" s="17" t="s">
        <v>5588</v>
      </c>
      <c r="B1021" s="17" t="str">
        <f>IFERROR(INDEX(Mots!$B:$B,MATCH($A1021,Mots!$A:$A,0)),"introuvable")</f>
        <v>le champignon</v>
      </c>
      <c r="C1021" s="17" t="str">
        <f>IFERROR(INDEX(Mots!$N:$N,MATCH($A1021,Mots!$A:$A,0)),"")</f>
        <v>chose</v>
      </c>
      <c r="D1021" s="17">
        <f>IFERROR(COUNTA(INDEX(Mots!$E:$E,MATCH($A1021,Mots!$A:$A,0)):INDEX(Mots!$K:$K,MATCH($A1021,Mots!$A:$A,0))),0)</f>
        <v>5</v>
      </c>
      <c r="E1021" s="17" t="str">
        <f>IF(COUNTIF(Classement!$A:$A,$A1021)&gt;0,"ok","à faire")</f>
        <v>ok</v>
      </c>
      <c r="F1021" s="17" t="str">
        <f>IF(COUNTIF(Tags!$A:$A,$A1021)&gt;0,"ok","à faire")</f>
        <v>ok</v>
      </c>
      <c r="G1021" s="17" t="str">
        <f>IF(COUNTIF(Phrases!$A:$A,$A1021)&gt;0,"ok","à faire")</f>
        <v>ok</v>
      </c>
      <c r="H1021" s="17" t="str">
        <f>IF(COUNTIFS(Phrases!$A:$A,$A1021,Phrases!$I:$I,"&lt;&gt;")&gt;0,"ok","à faire")</f>
        <v>ok</v>
      </c>
      <c r="I1021" s="17" t="str">
        <f>IF(COUNTIF(Synonymes!$A:$A,$A1021)&gt;0,"ok","")</f>
        <v/>
      </c>
      <c r="J1021" s="17">
        <f t="shared" si="15"/>
        <v>0</v>
      </c>
    </row>
    <row r="1022" spans="1:10" x14ac:dyDescent="0.3">
      <c r="A1022" s="17" t="s">
        <v>5596</v>
      </c>
      <c r="B1022" s="17" t="str">
        <f>IFERROR(INDEX(Mots!$B:$B,MATCH($A1022,Mots!$A:$A,0)),"introuvable")</f>
        <v>le champion</v>
      </c>
      <c r="C1022" s="17" t="str">
        <f>IFERROR(INDEX(Mots!$N:$N,MATCH($A1022,Mots!$A:$A,0)),"")</f>
        <v>chose</v>
      </c>
      <c r="D1022" s="17">
        <f>IFERROR(COUNTA(INDEX(Mots!$E:$E,MATCH($A1022,Mots!$A:$A,0)):INDEX(Mots!$K:$K,MATCH($A1022,Mots!$A:$A,0))),0)</f>
        <v>5</v>
      </c>
      <c r="E1022" s="17" t="str">
        <f>IF(COUNTIF(Classement!$A:$A,$A1022)&gt;0,"ok","à faire")</f>
        <v>ok</v>
      </c>
      <c r="F1022" s="17" t="str">
        <f>IF(COUNTIF(Tags!$A:$A,$A1022)&gt;0,"ok","à faire")</f>
        <v>ok</v>
      </c>
      <c r="G1022" s="17" t="str">
        <f>IF(COUNTIF(Phrases!$A:$A,$A1022)&gt;0,"ok","à faire")</f>
        <v>ok</v>
      </c>
      <c r="H1022" s="17" t="str">
        <f>IF(COUNTIFS(Phrases!$A:$A,$A1022,Phrases!$I:$I,"&lt;&gt;")&gt;0,"ok","à faire")</f>
        <v>à faire</v>
      </c>
      <c r="I1022" s="17" t="str">
        <f>IF(COUNTIF(Synonymes!$A:$A,$A1022)&gt;0,"ok","")</f>
        <v>ok</v>
      </c>
      <c r="J1022" s="17">
        <f t="shared" si="15"/>
        <v>1</v>
      </c>
    </row>
    <row r="1023" spans="1:10" x14ac:dyDescent="0.3">
      <c r="A1023" s="17" t="s">
        <v>5604</v>
      </c>
      <c r="B1023" s="17" t="str">
        <f>IFERROR(INDEX(Mots!$B:$B,MATCH($A1023,Mots!$A:$A,0)),"introuvable")</f>
        <v>le chapeau</v>
      </c>
      <c r="C1023" s="17" t="str">
        <f>IFERROR(INDEX(Mots!$N:$N,MATCH($A1023,Mots!$A:$A,0)),"")</f>
        <v>chose</v>
      </c>
      <c r="D1023" s="17">
        <f>IFERROR(COUNTA(INDEX(Mots!$E:$E,MATCH($A1023,Mots!$A:$A,0)):INDEX(Mots!$K:$K,MATCH($A1023,Mots!$A:$A,0))),0)</f>
        <v>1</v>
      </c>
      <c r="E1023" s="17" t="str">
        <f>IF(COUNTIF(Classement!$A:$A,$A1023)&gt;0,"ok","à faire")</f>
        <v>ok</v>
      </c>
      <c r="F1023" s="17" t="str">
        <f>IF(COUNTIF(Tags!$A:$A,$A1023)&gt;0,"ok","à faire")</f>
        <v>ok</v>
      </c>
      <c r="G1023" s="17" t="str">
        <f>IF(COUNTIF(Phrases!$A:$A,$A1023)&gt;0,"ok","à faire")</f>
        <v>ok</v>
      </c>
      <c r="H1023" s="17" t="str">
        <f>IF(COUNTIFS(Phrases!$A:$A,$A1023,Phrases!$I:$I,"&lt;&gt;")&gt;0,"ok","à faire")</f>
        <v>ok</v>
      </c>
      <c r="I1023" s="17" t="str">
        <f>IF(COUNTIF(Synonymes!$A:$A,$A1023)&gt;0,"ok","")</f>
        <v/>
      </c>
      <c r="J1023" s="17">
        <f t="shared" si="15"/>
        <v>0</v>
      </c>
    </row>
    <row r="1024" spans="1:10" x14ac:dyDescent="0.3">
      <c r="A1024" s="17" t="s">
        <v>5608</v>
      </c>
      <c r="B1024" s="17" t="str">
        <f>IFERROR(INDEX(Mots!$B:$B,MATCH($A1024,Mots!$A:$A,0)),"introuvable")</f>
        <v>le chemin</v>
      </c>
      <c r="C1024" s="17" t="str">
        <f>IFERROR(INDEX(Mots!$N:$N,MATCH($A1024,Mots!$A:$A,0)),"")</f>
        <v>chose</v>
      </c>
      <c r="D1024" s="17">
        <f>IFERROR(COUNTA(INDEX(Mots!$E:$E,MATCH($A1024,Mots!$A:$A,0)):INDEX(Mots!$K:$K,MATCH($A1024,Mots!$A:$A,0))),0)</f>
        <v>2</v>
      </c>
      <c r="E1024" s="17" t="str">
        <f>IF(COUNTIF(Classement!$A:$A,$A1024)&gt;0,"ok","à faire")</f>
        <v>ok</v>
      </c>
      <c r="F1024" s="17" t="str">
        <f>IF(COUNTIF(Tags!$A:$A,$A1024)&gt;0,"ok","à faire")</f>
        <v>ok</v>
      </c>
      <c r="G1024" s="17" t="str">
        <f>IF(COUNTIF(Phrases!$A:$A,$A1024)&gt;0,"ok","à faire")</f>
        <v>ok</v>
      </c>
      <c r="H1024" s="17" t="str">
        <f>IF(COUNTIFS(Phrases!$A:$A,$A1024,Phrases!$I:$I,"&lt;&gt;")&gt;0,"ok","à faire")</f>
        <v>ok</v>
      </c>
      <c r="I1024" s="17" t="str">
        <f>IF(COUNTIF(Synonymes!$A:$A,$A1024)&gt;0,"ok","")</f>
        <v>ok</v>
      </c>
      <c r="J1024" s="17">
        <f t="shared" si="15"/>
        <v>0</v>
      </c>
    </row>
    <row r="1025" spans="1:10" x14ac:dyDescent="0.3">
      <c r="A1025" s="17" t="s">
        <v>5613</v>
      </c>
      <c r="B1025" s="17" t="str">
        <f>IFERROR(INDEX(Mots!$B:$B,MATCH($A1025,Mots!$A:$A,0)),"introuvable")</f>
        <v>le choc</v>
      </c>
      <c r="C1025" s="17" t="str">
        <f>IFERROR(INDEX(Mots!$N:$N,MATCH($A1025,Mots!$A:$A,0)),"")</f>
        <v>chose</v>
      </c>
      <c r="D1025" s="17">
        <f>IFERROR(COUNTA(INDEX(Mots!$E:$E,MATCH($A1025,Mots!$A:$A,0)):INDEX(Mots!$K:$K,MATCH($A1025,Mots!$A:$A,0))),0)</f>
        <v>4</v>
      </c>
      <c r="E1025" s="17" t="str">
        <f>IF(COUNTIF(Classement!$A:$A,$A1025)&gt;0,"ok","à faire")</f>
        <v>ok</v>
      </c>
      <c r="F1025" s="17" t="str">
        <f>IF(COUNTIF(Tags!$A:$A,$A1025)&gt;0,"ok","à faire")</f>
        <v>ok</v>
      </c>
      <c r="G1025" s="17" t="str">
        <f>IF(COUNTIF(Phrases!$A:$A,$A1025)&gt;0,"ok","à faire")</f>
        <v>ok</v>
      </c>
      <c r="H1025" s="17" t="str">
        <f>IF(COUNTIFS(Phrases!$A:$A,$A1025,Phrases!$I:$I,"&lt;&gt;")&gt;0,"ok","à faire")</f>
        <v>à faire</v>
      </c>
      <c r="I1025" s="17" t="str">
        <f>IF(COUNTIF(Synonymes!$A:$A,$A1025)&gt;0,"ok","")</f>
        <v/>
      </c>
      <c r="J1025" s="17">
        <f t="shared" ref="J1025:J1088" si="16">COUNTIF(E1025:H1025,"à faire")</f>
        <v>1</v>
      </c>
    </row>
    <row r="1026" spans="1:10" x14ac:dyDescent="0.3">
      <c r="A1026" s="17" t="s">
        <v>5620</v>
      </c>
      <c r="B1026" s="17" t="str">
        <f>IFERROR(INDEX(Mots!$B:$B,MATCH($A1026,Mots!$A:$A,0)),"introuvable")</f>
        <v>le chocolat</v>
      </c>
      <c r="C1026" s="17" t="str">
        <f>IFERROR(INDEX(Mots!$N:$N,MATCH($A1026,Mots!$A:$A,0)),"")</f>
        <v>chose</v>
      </c>
      <c r="D1026" s="17">
        <f>IFERROR(COUNTA(INDEX(Mots!$E:$E,MATCH($A1026,Mots!$A:$A,0)):INDEX(Mots!$K:$K,MATCH($A1026,Mots!$A:$A,0))),0)</f>
        <v>5</v>
      </c>
      <c r="E1026" s="17" t="str">
        <f>IF(COUNTIF(Classement!$A:$A,$A1026)&gt;0,"ok","à faire")</f>
        <v>ok</v>
      </c>
      <c r="F1026" s="17" t="str">
        <f>IF(COUNTIF(Tags!$A:$A,$A1026)&gt;0,"ok","à faire")</f>
        <v>ok</v>
      </c>
      <c r="G1026" s="17" t="str">
        <f>IF(COUNTIF(Phrases!$A:$A,$A1026)&gt;0,"ok","à faire")</f>
        <v>ok</v>
      </c>
      <c r="H1026" s="17" t="str">
        <f>IF(COUNTIFS(Phrases!$A:$A,$A1026,Phrases!$I:$I,"&lt;&gt;")&gt;0,"ok","à faire")</f>
        <v>ok</v>
      </c>
      <c r="I1026" s="17" t="str">
        <f>IF(COUNTIF(Synonymes!$A:$A,$A1026)&gt;0,"ok","")</f>
        <v/>
      </c>
      <c r="J1026" s="17">
        <f t="shared" si="16"/>
        <v>0</v>
      </c>
    </row>
    <row r="1027" spans="1:10" x14ac:dyDescent="0.3">
      <c r="A1027" s="17" t="s">
        <v>5628</v>
      </c>
      <c r="B1027" s="17" t="str">
        <f>IFERROR(INDEX(Mots!$B:$B,MATCH($A1027,Mots!$A:$A,0)),"introuvable")</f>
        <v>le cintre</v>
      </c>
      <c r="C1027" s="17" t="str">
        <f>IFERROR(INDEX(Mots!$N:$N,MATCH($A1027,Mots!$A:$A,0)),"")</f>
        <v>chose</v>
      </c>
      <c r="D1027" s="17">
        <f>IFERROR(COUNTA(INDEX(Mots!$E:$E,MATCH($A1027,Mots!$A:$A,0)):INDEX(Mots!$K:$K,MATCH($A1027,Mots!$A:$A,0))),0)</f>
        <v>5</v>
      </c>
      <c r="E1027" s="17" t="str">
        <f>IF(COUNTIF(Classement!$A:$A,$A1027)&gt;0,"ok","à faire")</f>
        <v>ok</v>
      </c>
      <c r="F1027" s="17" t="str">
        <f>IF(COUNTIF(Tags!$A:$A,$A1027)&gt;0,"ok","à faire")</f>
        <v>ok</v>
      </c>
      <c r="G1027" s="17" t="str">
        <f>IF(COUNTIF(Phrases!$A:$A,$A1027)&gt;0,"ok","à faire")</f>
        <v>ok</v>
      </c>
      <c r="H1027" s="17" t="str">
        <f>IF(COUNTIFS(Phrases!$A:$A,$A1027,Phrases!$I:$I,"&lt;&gt;")&gt;0,"ok","à faire")</f>
        <v>à faire</v>
      </c>
      <c r="I1027" s="17" t="str">
        <f>IF(COUNTIF(Synonymes!$A:$A,$A1027)&gt;0,"ok","")</f>
        <v>ok</v>
      </c>
      <c r="J1027" s="17">
        <f t="shared" si="16"/>
        <v>1</v>
      </c>
    </row>
    <row r="1028" spans="1:10" x14ac:dyDescent="0.3">
      <c r="A1028" s="17" t="s">
        <v>5636</v>
      </c>
      <c r="B1028" s="17" t="str">
        <f>IFERROR(INDEX(Mots!$B:$B,MATCH($A1028,Mots!$A:$A,0)),"introuvable")</f>
        <v>le citron</v>
      </c>
      <c r="C1028" s="17" t="str">
        <f>IFERROR(INDEX(Mots!$N:$N,MATCH($A1028,Mots!$A:$A,0)),"")</f>
        <v>chose</v>
      </c>
      <c r="D1028" s="17">
        <f>IFERROR(COUNTA(INDEX(Mots!$E:$E,MATCH($A1028,Mots!$A:$A,0)):INDEX(Mots!$K:$K,MATCH($A1028,Mots!$A:$A,0))),0)</f>
        <v>5</v>
      </c>
      <c r="E1028" s="17" t="str">
        <f>IF(COUNTIF(Classement!$A:$A,$A1028)&gt;0,"ok","à faire")</f>
        <v>ok</v>
      </c>
      <c r="F1028" s="17" t="str">
        <f>IF(COUNTIF(Tags!$A:$A,$A1028)&gt;0,"ok","à faire")</f>
        <v>ok</v>
      </c>
      <c r="G1028" s="17" t="str">
        <f>IF(COUNTIF(Phrases!$A:$A,$A1028)&gt;0,"ok","à faire")</f>
        <v>ok</v>
      </c>
      <c r="H1028" s="17" t="str">
        <f>IF(COUNTIFS(Phrases!$A:$A,$A1028,Phrases!$I:$I,"&lt;&gt;")&gt;0,"ok","à faire")</f>
        <v>ok</v>
      </c>
      <c r="I1028" s="17" t="str">
        <f>IF(COUNTIF(Synonymes!$A:$A,$A1028)&gt;0,"ok","")</f>
        <v/>
      </c>
      <c r="J1028" s="17">
        <f t="shared" si="16"/>
        <v>0</v>
      </c>
    </row>
    <row r="1029" spans="1:10" x14ac:dyDescent="0.3">
      <c r="A1029" s="17" t="s">
        <v>5644</v>
      </c>
      <c r="B1029" s="17" t="str">
        <f>IFERROR(INDEX(Mots!$B:$B,MATCH($A1029,Mots!$A:$A,0)),"introuvable")</f>
        <v>le clou</v>
      </c>
      <c r="C1029" s="17" t="str">
        <f>IFERROR(INDEX(Mots!$N:$N,MATCH($A1029,Mots!$A:$A,0)),"")</f>
        <v>chose</v>
      </c>
      <c r="D1029" s="17">
        <f>IFERROR(COUNTA(INDEX(Mots!$E:$E,MATCH($A1029,Mots!$A:$A,0)):INDEX(Mots!$K:$K,MATCH($A1029,Mots!$A:$A,0))),0)</f>
        <v>1</v>
      </c>
      <c r="E1029" s="17" t="str">
        <f>IF(COUNTIF(Classement!$A:$A,$A1029)&gt;0,"ok","à faire")</f>
        <v>ok</v>
      </c>
      <c r="F1029" s="17" t="str">
        <f>IF(COUNTIF(Tags!$A:$A,$A1029)&gt;0,"ok","à faire")</f>
        <v>ok</v>
      </c>
      <c r="G1029" s="17" t="str">
        <f>IF(COUNTIF(Phrases!$A:$A,$A1029)&gt;0,"ok","à faire")</f>
        <v>ok</v>
      </c>
      <c r="H1029" s="17" t="str">
        <f>IF(COUNTIFS(Phrases!$A:$A,$A1029,Phrases!$I:$I,"&lt;&gt;")&gt;0,"ok","à faire")</f>
        <v>ok</v>
      </c>
      <c r="I1029" s="17" t="str">
        <f>IF(COUNTIF(Synonymes!$A:$A,$A1029)&gt;0,"ok","")</f>
        <v/>
      </c>
      <c r="J1029" s="17">
        <f t="shared" si="16"/>
        <v>0</v>
      </c>
    </row>
    <row r="1030" spans="1:10" x14ac:dyDescent="0.3">
      <c r="A1030" s="17" t="s">
        <v>5648</v>
      </c>
      <c r="B1030" s="17" t="str">
        <f>IFERROR(INDEX(Mots!$B:$B,MATCH($A1030,Mots!$A:$A,0)),"introuvable")</f>
        <v>le combat</v>
      </c>
      <c r="C1030" s="17" t="str">
        <f>IFERROR(INDEX(Mots!$N:$N,MATCH($A1030,Mots!$A:$A,0)),"")</f>
        <v>chose</v>
      </c>
      <c r="D1030" s="17">
        <f>IFERROR(COUNTA(INDEX(Mots!$E:$E,MATCH($A1030,Mots!$A:$A,0)):INDEX(Mots!$K:$K,MATCH($A1030,Mots!$A:$A,0))),0)</f>
        <v>5</v>
      </c>
      <c r="E1030" s="17" t="str">
        <f>IF(COUNTIF(Classement!$A:$A,$A1030)&gt;0,"ok","à faire")</f>
        <v>ok</v>
      </c>
      <c r="F1030" s="17" t="str">
        <f>IF(COUNTIF(Tags!$A:$A,$A1030)&gt;0,"ok","à faire")</f>
        <v>à faire</v>
      </c>
      <c r="G1030" s="17" t="str">
        <f>IF(COUNTIF(Phrases!$A:$A,$A1030)&gt;0,"ok","à faire")</f>
        <v>ok</v>
      </c>
      <c r="H1030" s="17" t="str">
        <f>IF(COUNTIFS(Phrases!$A:$A,$A1030,Phrases!$I:$I,"&lt;&gt;")&gt;0,"ok","à faire")</f>
        <v>à faire</v>
      </c>
      <c r="I1030" s="17" t="str">
        <f>IF(COUNTIF(Synonymes!$A:$A,$A1030)&gt;0,"ok","")</f>
        <v>ok</v>
      </c>
      <c r="J1030" s="17">
        <f t="shared" si="16"/>
        <v>2</v>
      </c>
    </row>
    <row r="1031" spans="1:10" x14ac:dyDescent="0.3">
      <c r="A1031" s="17" t="s">
        <v>5651</v>
      </c>
      <c r="B1031" s="17" t="str">
        <f>IFERROR(INDEX(Mots!$B:$B,MATCH($A1031,Mots!$A:$A,0)),"introuvable")</f>
        <v>le commerce</v>
      </c>
      <c r="C1031" s="17" t="str">
        <f>IFERROR(INDEX(Mots!$N:$N,MATCH($A1031,Mots!$A:$A,0)),"")</f>
        <v>chose</v>
      </c>
      <c r="D1031" s="17">
        <f>IFERROR(COUNTA(INDEX(Mots!$E:$E,MATCH($A1031,Mots!$A:$A,0)):INDEX(Mots!$K:$K,MATCH($A1031,Mots!$A:$A,0))),0)</f>
        <v>1</v>
      </c>
      <c r="E1031" s="17" t="str">
        <f>IF(COUNTIF(Classement!$A:$A,$A1031)&gt;0,"ok","à faire")</f>
        <v>ok</v>
      </c>
      <c r="F1031" s="17" t="str">
        <f>IF(COUNTIF(Tags!$A:$A,$A1031)&gt;0,"ok","à faire")</f>
        <v>ok</v>
      </c>
      <c r="G1031" s="17" t="str">
        <f>IF(COUNTIF(Phrases!$A:$A,$A1031)&gt;0,"ok","à faire")</f>
        <v>ok</v>
      </c>
      <c r="H1031" s="17" t="str">
        <f>IF(COUNTIFS(Phrases!$A:$A,$A1031,Phrases!$I:$I,"&lt;&gt;")&gt;0,"ok","à faire")</f>
        <v>à faire</v>
      </c>
      <c r="I1031" s="17" t="str">
        <f>IF(COUNTIF(Synonymes!$A:$A,$A1031)&gt;0,"ok","")</f>
        <v>ok</v>
      </c>
      <c r="J1031" s="17">
        <f t="shared" si="16"/>
        <v>1</v>
      </c>
    </row>
    <row r="1032" spans="1:10" x14ac:dyDescent="0.3">
      <c r="A1032" s="17" t="s">
        <v>5655</v>
      </c>
      <c r="B1032" s="17" t="str">
        <f>IFERROR(INDEX(Mots!$B:$B,MATCH($A1032,Mots!$A:$A,0)),"introuvable")</f>
        <v>le complice</v>
      </c>
      <c r="C1032" s="17" t="str">
        <f>IFERROR(INDEX(Mots!$N:$N,MATCH($A1032,Mots!$A:$A,0)),"")</f>
        <v>chose</v>
      </c>
      <c r="D1032" s="17">
        <f>IFERROR(COUNTA(INDEX(Mots!$E:$E,MATCH($A1032,Mots!$A:$A,0)):INDEX(Mots!$K:$K,MATCH($A1032,Mots!$A:$A,0))),0)</f>
        <v>4</v>
      </c>
      <c r="E1032" s="17" t="str">
        <f>IF(COUNTIF(Classement!$A:$A,$A1032)&gt;0,"ok","à faire")</f>
        <v>ok</v>
      </c>
      <c r="F1032" s="17" t="str">
        <f>IF(COUNTIF(Tags!$A:$A,$A1032)&gt;0,"ok","à faire")</f>
        <v>à faire</v>
      </c>
      <c r="G1032" s="17" t="str">
        <f>IF(COUNTIF(Phrases!$A:$A,$A1032)&gt;0,"ok","à faire")</f>
        <v>ok</v>
      </c>
      <c r="H1032" s="17" t="str">
        <f>IF(COUNTIFS(Phrases!$A:$A,$A1032,Phrases!$I:$I,"&lt;&gt;")&gt;0,"ok","à faire")</f>
        <v>à faire</v>
      </c>
      <c r="I1032" s="17" t="str">
        <f>IF(COUNTIF(Synonymes!$A:$A,$A1032)&gt;0,"ok","")</f>
        <v>ok</v>
      </c>
      <c r="J1032" s="17">
        <f t="shared" si="16"/>
        <v>2</v>
      </c>
    </row>
    <row r="1033" spans="1:10" x14ac:dyDescent="0.3">
      <c r="A1033" s="17" t="s">
        <v>5660</v>
      </c>
      <c r="B1033" s="17" t="str">
        <f>IFERROR(INDEX(Mots!$B:$B,MATCH($A1033,Mots!$A:$A,0)),"introuvable")</f>
        <v>le comprimé</v>
      </c>
      <c r="C1033" s="17" t="str">
        <f>IFERROR(INDEX(Mots!$N:$N,MATCH($A1033,Mots!$A:$A,0)),"")</f>
        <v>chose</v>
      </c>
      <c r="D1033" s="17">
        <f>IFERROR(COUNTA(INDEX(Mots!$E:$E,MATCH($A1033,Mots!$A:$A,0)):INDEX(Mots!$K:$K,MATCH($A1033,Mots!$A:$A,0))),0)</f>
        <v>5</v>
      </c>
      <c r="E1033" s="17" t="str">
        <f>IF(COUNTIF(Classement!$A:$A,$A1033)&gt;0,"ok","à faire")</f>
        <v>ok</v>
      </c>
      <c r="F1033" s="17" t="str">
        <f>IF(COUNTIF(Tags!$A:$A,$A1033)&gt;0,"ok","à faire")</f>
        <v>ok</v>
      </c>
      <c r="G1033" s="17" t="str">
        <f>IF(COUNTIF(Phrases!$A:$A,$A1033)&gt;0,"ok","à faire")</f>
        <v>ok</v>
      </c>
      <c r="H1033" s="17" t="str">
        <f>IF(COUNTIFS(Phrases!$A:$A,$A1033,Phrases!$I:$I,"&lt;&gt;")&gt;0,"ok","à faire")</f>
        <v>ok</v>
      </c>
      <c r="I1033" s="17" t="str">
        <f>IF(COUNTIF(Synonymes!$A:$A,$A1033)&gt;0,"ok","")</f>
        <v>ok</v>
      </c>
      <c r="J1033" s="17">
        <f t="shared" si="16"/>
        <v>0</v>
      </c>
    </row>
    <row r="1034" spans="1:10" x14ac:dyDescent="0.3">
      <c r="A1034" s="17" t="s">
        <v>5668</v>
      </c>
      <c r="B1034" s="17" t="str">
        <f>IFERROR(INDEX(Mots!$B:$B,MATCH($A1034,Mots!$A:$A,0)),"introuvable")</f>
        <v>le concours</v>
      </c>
      <c r="C1034" s="17" t="str">
        <f>IFERROR(INDEX(Mots!$N:$N,MATCH($A1034,Mots!$A:$A,0)),"")</f>
        <v>chose</v>
      </c>
      <c r="D1034" s="17">
        <f>IFERROR(COUNTA(INDEX(Mots!$E:$E,MATCH($A1034,Mots!$A:$A,0)):INDEX(Mots!$K:$K,MATCH($A1034,Mots!$A:$A,0))),0)</f>
        <v>1</v>
      </c>
      <c r="E1034" s="17" t="str">
        <f>IF(COUNTIF(Classement!$A:$A,$A1034)&gt;0,"ok","à faire")</f>
        <v>ok</v>
      </c>
      <c r="F1034" s="17" t="str">
        <f>IF(COUNTIF(Tags!$A:$A,$A1034)&gt;0,"ok","à faire")</f>
        <v>à faire</v>
      </c>
      <c r="G1034" s="17" t="str">
        <f>IF(COUNTIF(Phrases!$A:$A,$A1034)&gt;0,"ok","à faire")</f>
        <v>ok</v>
      </c>
      <c r="H1034" s="17" t="str">
        <f>IF(COUNTIFS(Phrases!$A:$A,$A1034,Phrases!$I:$I,"&lt;&gt;")&gt;0,"ok","à faire")</f>
        <v>ok</v>
      </c>
      <c r="I1034" s="17" t="str">
        <f>IF(COUNTIF(Synonymes!$A:$A,$A1034)&gt;0,"ok","")</f>
        <v/>
      </c>
      <c r="J1034" s="17">
        <f t="shared" si="16"/>
        <v>1</v>
      </c>
    </row>
    <row r="1035" spans="1:10" x14ac:dyDescent="0.3">
      <c r="A1035" s="17" t="s">
        <v>5672</v>
      </c>
      <c r="B1035" s="17" t="str">
        <f>IFERROR(INDEX(Mots!$B:$B,MATCH($A1035,Mots!$A:$A,0)),"introuvable")</f>
        <v>le cône</v>
      </c>
      <c r="C1035" s="17" t="str">
        <f>IFERROR(INDEX(Mots!$N:$N,MATCH($A1035,Mots!$A:$A,0)),"")</f>
        <v>chose</v>
      </c>
      <c r="D1035" s="17">
        <f>IFERROR(COUNTA(INDEX(Mots!$E:$E,MATCH($A1035,Mots!$A:$A,0)):INDEX(Mots!$K:$K,MATCH($A1035,Mots!$A:$A,0))),0)</f>
        <v>5</v>
      </c>
      <c r="E1035" s="17" t="str">
        <f>IF(COUNTIF(Classement!$A:$A,$A1035)&gt;0,"ok","à faire")</f>
        <v>ok</v>
      </c>
      <c r="F1035" s="17" t="str">
        <f>IF(COUNTIF(Tags!$A:$A,$A1035)&gt;0,"ok","à faire")</f>
        <v>ok</v>
      </c>
      <c r="G1035" s="17" t="str">
        <f>IF(COUNTIF(Phrases!$A:$A,$A1035)&gt;0,"ok","à faire")</f>
        <v>à faire</v>
      </c>
      <c r="H1035" s="17" t="str">
        <f>IF(COUNTIFS(Phrases!$A:$A,$A1035,Phrases!$I:$I,"&lt;&gt;")&gt;0,"ok","à faire")</f>
        <v>à faire</v>
      </c>
      <c r="I1035" s="17" t="str">
        <f>IF(COUNTIF(Synonymes!$A:$A,$A1035)&gt;0,"ok","")</f>
        <v/>
      </c>
      <c r="J1035" s="17">
        <f t="shared" si="16"/>
        <v>2</v>
      </c>
    </row>
    <row r="1036" spans="1:10" x14ac:dyDescent="0.3">
      <c r="A1036" s="17" t="s">
        <v>5680</v>
      </c>
      <c r="B1036" s="17" t="str">
        <f>IFERROR(INDEX(Mots!$B:$B,MATCH($A1036,Mots!$A:$A,0)),"introuvable")</f>
        <v>le copain</v>
      </c>
      <c r="C1036" s="17" t="str">
        <f>IFERROR(INDEX(Mots!$N:$N,MATCH($A1036,Mots!$A:$A,0)),"")</f>
        <v>chose</v>
      </c>
      <c r="D1036" s="17">
        <f>IFERROR(COUNTA(INDEX(Mots!$E:$E,MATCH($A1036,Mots!$A:$A,0)):INDEX(Mots!$K:$K,MATCH($A1036,Mots!$A:$A,0))),0)</f>
        <v>1</v>
      </c>
      <c r="E1036" s="17" t="str">
        <f>IF(COUNTIF(Classement!$A:$A,$A1036)&gt;0,"ok","à faire")</f>
        <v>ok</v>
      </c>
      <c r="F1036" s="17" t="str">
        <f>IF(COUNTIF(Tags!$A:$A,$A1036)&gt;0,"ok","à faire")</f>
        <v>ok</v>
      </c>
      <c r="G1036" s="17" t="str">
        <f>IF(COUNTIF(Phrases!$A:$A,$A1036)&gt;0,"ok","à faire")</f>
        <v>à faire</v>
      </c>
      <c r="H1036" s="17" t="str">
        <f>IF(COUNTIFS(Phrases!$A:$A,$A1036,Phrases!$I:$I,"&lt;&gt;")&gt;0,"ok","à faire")</f>
        <v>à faire</v>
      </c>
      <c r="I1036" s="17" t="str">
        <f>IF(COUNTIF(Synonymes!$A:$A,$A1036)&gt;0,"ok","")</f>
        <v>ok</v>
      </c>
      <c r="J1036" s="17">
        <f t="shared" si="16"/>
        <v>2</v>
      </c>
    </row>
    <row r="1037" spans="1:10" x14ac:dyDescent="0.3">
      <c r="A1037" s="17" t="s">
        <v>5684</v>
      </c>
      <c r="B1037" s="17" t="str">
        <f>IFERROR(INDEX(Mots!$B:$B,MATCH($A1037,Mots!$A:$A,0)),"introuvable")</f>
        <v>le côté</v>
      </c>
      <c r="C1037" s="17" t="str">
        <f>IFERROR(INDEX(Mots!$N:$N,MATCH($A1037,Mots!$A:$A,0)),"")</f>
        <v>chose</v>
      </c>
      <c r="D1037" s="17">
        <f>IFERROR(COUNTA(INDEX(Mots!$E:$E,MATCH($A1037,Mots!$A:$A,0)):INDEX(Mots!$K:$K,MATCH($A1037,Mots!$A:$A,0))),0)</f>
        <v>3</v>
      </c>
      <c r="E1037" s="17" t="str">
        <f>IF(COUNTIF(Classement!$A:$A,$A1037)&gt;0,"ok","à faire")</f>
        <v>ok</v>
      </c>
      <c r="F1037" s="17" t="str">
        <f>IF(COUNTIF(Tags!$A:$A,$A1037)&gt;0,"ok","à faire")</f>
        <v>à faire</v>
      </c>
      <c r="G1037" s="17" t="str">
        <f>IF(COUNTIF(Phrases!$A:$A,$A1037)&gt;0,"ok","à faire")</f>
        <v>à faire</v>
      </c>
      <c r="H1037" s="17" t="str">
        <f>IF(COUNTIFS(Phrases!$A:$A,$A1037,Phrases!$I:$I,"&lt;&gt;")&gt;0,"ok","à faire")</f>
        <v>à faire</v>
      </c>
      <c r="I1037" s="17" t="str">
        <f>IF(COUNTIF(Synonymes!$A:$A,$A1037)&gt;0,"ok","")</f>
        <v/>
      </c>
      <c r="J1037" s="17">
        <f t="shared" si="16"/>
        <v>3</v>
      </c>
    </row>
    <row r="1038" spans="1:10" x14ac:dyDescent="0.3">
      <c r="A1038" s="17" t="s">
        <v>5690</v>
      </c>
      <c r="B1038" s="17" t="str">
        <f>IFERROR(INDEX(Mots!$B:$B,MATCH($A1038,Mots!$A:$A,0)),"introuvable")</f>
        <v>le coup</v>
      </c>
      <c r="C1038" s="17" t="str">
        <f>IFERROR(INDEX(Mots!$N:$N,MATCH($A1038,Mots!$A:$A,0)),"")</f>
        <v>chose</v>
      </c>
      <c r="D1038" s="17">
        <f>IFERROR(COUNTA(INDEX(Mots!$E:$E,MATCH($A1038,Mots!$A:$A,0)):INDEX(Mots!$K:$K,MATCH($A1038,Mots!$A:$A,0))),0)</f>
        <v>5</v>
      </c>
      <c r="E1038" s="17" t="str">
        <f>IF(COUNTIF(Classement!$A:$A,$A1038)&gt;0,"ok","à faire")</f>
        <v>ok</v>
      </c>
      <c r="F1038" s="17" t="str">
        <f>IF(COUNTIF(Tags!$A:$A,$A1038)&gt;0,"ok","à faire")</f>
        <v>à faire</v>
      </c>
      <c r="G1038" s="17" t="str">
        <f>IF(COUNTIF(Phrases!$A:$A,$A1038)&gt;0,"ok","à faire")</f>
        <v>à faire</v>
      </c>
      <c r="H1038" s="17" t="str">
        <f>IF(COUNTIFS(Phrases!$A:$A,$A1038,Phrases!$I:$I,"&lt;&gt;")&gt;0,"ok","à faire")</f>
        <v>à faire</v>
      </c>
      <c r="I1038" s="17" t="str">
        <f>IF(COUNTIF(Synonymes!$A:$A,$A1038)&gt;0,"ok","")</f>
        <v/>
      </c>
      <c r="J1038" s="17">
        <f t="shared" si="16"/>
        <v>3</v>
      </c>
    </row>
    <row r="1039" spans="1:10" x14ac:dyDescent="0.3">
      <c r="A1039" s="17" t="s">
        <v>5698</v>
      </c>
      <c r="B1039" s="17" t="str">
        <f>IFERROR(INDEX(Mots!$B:$B,MATCH($A1039,Mots!$A:$A,0)),"introuvable")</f>
        <v>le courrier</v>
      </c>
      <c r="C1039" s="17" t="str">
        <f>IFERROR(INDEX(Mots!$N:$N,MATCH($A1039,Mots!$A:$A,0)),"")</f>
        <v>chose</v>
      </c>
      <c r="D1039" s="17">
        <f>IFERROR(COUNTA(INDEX(Mots!$E:$E,MATCH($A1039,Mots!$A:$A,0)):INDEX(Mots!$K:$K,MATCH($A1039,Mots!$A:$A,0))),0)</f>
        <v>2</v>
      </c>
      <c r="E1039" s="17" t="str">
        <f>IF(COUNTIF(Classement!$A:$A,$A1039)&gt;0,"ok","à faire")</f>
        <v>ok</v>
      </c>
      <c r="F1039" s="17" t="str">
        <f>IF(COUNTIF(Tags!$A:$A,$A1039)&gt;0,"ok","à faire")</f>
        <v>à faire</v>
      </c>
      <c r="G1039" s="17" t="str">
        <f>IF(COUNTIF(Phrases!$A:$A,$A1039)&gt;0,"ok","à faire")</f>
        <v>à faire</v>
      </c>
      <c r="H1039" s="17" t="str">
        <f>IF(COUNTIFS(Phrases!$A:$A,$A1039,Phrases!$I:$I,"&lt;&gt;")&gt;0,"ok","à faire")</f>
        <v>à faire</v>
      </c>
      <c r="I1039" s="17" t="str">
        <f>IF(COUNTIF(Synonymes!$A:$A,$A1039)&gt;0,"ok","")</f>
        <v/>
      </c>
      <c r="J1039" s="17">
        <f t="shared" si="16"/>
        <v>3</v>
      </c>
    </row>
    <row r="1040" spans="1:10" x14ac:dyDescent="0.3">
      <c r="A1040" s="17" t="s">
        <v>5703</v>
      </c>
      <c r="B1040" s="17" t="str">
        <f>IFERROR(INDEX(Mots!$B:$B,MATCH($A1040,Mots!$A:$A,0)),"introuvable")</f>
        <v>le cousin</v>
      </c>
      <c r="C1040" s="17" t="str">
        <f>IFERROR(INDEX(Mots!$N:$N,MATCH($A1040,Mots!$A:$A,0)),"")</f>
        <v>chose</v>
      </c>
      <c r="D1040" s="17">
        <f>IFERROR(COUNTA(INDEX(Mots!$E:$E,MATCH($A1040,Mots!$A:$A,0)):INDEX(Mots!$K:$K,MATCH($A1040,Mots!$A:$A,0))),0)</f>
        <v>0</v>
      </c>
      <c r="E1040" s="17" t="str">
        <f>IF(COUNTIF(Classement!$A:$A,$A1040)&gt;0,"ok","à faire")</f>
        <v>ok</v>
      </c>
      <c r="F1040" s="17" t="str">
        <f>IF(COUNTIF(Tags!$A:$A,$A1040)&gt;0,"ok","à faire")</f>
        <v>à faire</v>
      </c>
      <c r="G1040" s="17" t="str">
        <f>IF(COUNTIF(Phrases!$A:$A,$A1040)&gt;0,"ok","à faire")</f>
        <v>à faire</v>
      </c>
      <c r="H1040" s="17" t="str">
        <f>IF(COUNTIFS(Phrases!$A:$A,$A1040,Phrases!$I:$I,"&lt;&gt;")&gt;0,"ok","à faire")</f>
        <v>à faire</v>
      </c>
      <c r="I1040" s="17" t="str">
        <f>IF(COUNTIF(Synonymes!$A:$A,$A1040)&gt;0,"ok","")</f>
        <v/>
      </c>
      <c r="J1040" s="17">
        <f t="shared" si="16"/>
        <v>3</v>
      </c>
    </row>
    <row r="1041" spans="1:10" x14ac:dyDescent="0.3">
      <c r="A1041" s="17" t="s">
        <v>5706</v>
      </c>
      <c r="B1041" s="17" t="str">
        <f>IFERROR(INDEX(Mots!$B:$B,MATCH($A1041,Mots!$A:$A,0)),"introuvable")</f>
        <v>le coussin</v>
      </c>
      <c r="C1041" s="17" t="str">
        <f>IFERROR(INDEX(Mots!$N:$N,MATCH($A1041,Mots!$A:$A,0)),"")</f>
        <v>chose</v>
      </c>
      <c r="D1041" s="17">
        <f>IFERROR(COUNTA(INDEX(Mots!$E:$E,MATCH($A1041,Mots!$A:$A,0)):INDEX(Mots!$K:$K,MATCH($A1041,Mots!$A:$A,0))),0)</f>
        <v>2</v>
      </c>
      <c r="E1041" s="17" t="str">
        <f>IF(COUNTIF(Classement!$A:$A,$A1041)&gt;0,"ok","à faire")</f>
        <v>ok</v>
      </c>
      <c r="F1041" s="17" t="str">
        <f>IF(COUNTIF(Tags!$A:$A,$A1041)&gt;0,"ok","à faire")</f>
        <v>ok</v>
      </c>
      <c r="G1041" s="17" t="str">
        <f>IF(COUNTIF(Phrases!$A:$A,$A1041)&gt;0,"ok","à faire")</f>
        <v>à faire</v>
      </c>
      <c r="H1041" s="17" t="str">
        <f>IF(COUNTIFS(Phrases!$A:$A,$A1041,Phrases!$I:$I,"&lt;&gt;")&gt;0,"ok","à faire")</f>
        <v>à faire</v>
      </c>
      <c r="I1041" s="17" t="str">
        <f>IF(COUNTIF(Synonymes!$A:$A,$A1041)&gt;0,"ok","")</f>
        <v>ok</v>
      </c>
      <c r="J1041" s="17">
        <f t="shared" si="16"/>
        <v>2</v>
      </c>
    </row>
    <row r="1042" spans="1:10" x14ac:dyDescent="0.3">
      <c r="A1042" s="17" t="s">
        <v>5711</v>
      </c>
      <c r="B1042" s="17" t="str">
        <f>IFERROR(INDEX(Mots!$B:$B,MATCH($A1042,Mots!$A:$A,0)),"introuvable")</f>
        <v>le couvercle</v>
      </c>
      <c r="C1042" s="17" t="str">
        <f>IFERROR(INDEX(Mots!$N:$N,MATCH($A1042,Mots!$A:$A,0)),"")</f>
        <v>chose</v>
      </c>
      <c r="D1042" s="17">
        <f>IFERROR(COUNTA(INDEX(Mots!$E:$E,MATCH($A1042,Mots!$A:$A,0)):INDEX(Mots!$K:$K,MATCH($A1042,Mots!$A:$A,0))),0)</f>
        <v>5</v>
      </c>
      <c r="E1042" s="17" t="str">
        <f>IF(COUNTIF(Classement!$A:$A,$A1042)&gt;0,"ok","à faire")</f>
        <v>ok</v>
      </c>
      <c r="F1042" s="17" t="str">
        <f>IF(COUNTIF(Tags!$A:$A,$A1042)&gt;0,"ok","à faire")</f>
        <v>ok</v>
      </c>
      <c r="G1042" s="17" t="str">
        <f>IF(COUNTIF(Phrases!$A:$A,$A1042)&gt;0,"ok","à faire")</f>
        <v>ok</v>
      </c>
      <c r="H1042" s="17" t="str">
        <f>IF(COUNTIFS(Phrases!$A:$A,$A1042,Phrases!$I:$I,"&lt;&gt;")&gt;0,"ok","à faire")</f>
        <v>à faire</v>
      </c>
      <c r="I1042" s="17" t="str">
        <f>IF(COUNTIF(Synonymes!$A:$A,$A1042)&gt;0,"ok","")</f>
        <v/>
      </c>
      <c r="J1042" s="17">
        <f t="shared" si="16"/>
        <v>1</v>
      </c>
    </row>
    <row r="1043" spans="1:10" x14ac:dyDescent="0.3">
      <c r="A1043" s="17" t="s">
        <v>5719</v>
      </c>
      <c r="B1043" s="17" t="str">
        <f>IFERROR(INDEX(Mots!$B:$B,MATCH($A1043,Mots!$A:$A,0)),"introuvable")</f>
        <v>le crayon</v>
      </c>
      <c r="C1043" s="17" t="str">
        <f>IFERROR(INDEX(Mots!$N:$N,MATCH($A1043,Mots!$A:$A,0)),"")</f>
        <v>chose</v>
      </c>
      <c r="D1043" s="17">
        <f>IFERROR(COUNTA(INDEX(Mots!$E:$E,MATCH($A1043,Mots!$A:$A,0)):INDEX(Mots!$K:$K,MATCH($A1043,Mots!$A:$A,0))),0)</f>
        <v>3</v>
      </c>
      <c r="E1043" s="17" t="str">
        <f>IF(COUNTIF(Classement!$A:$A,$A1043)&gt;0,"ok","à faire")</f>
        <v>ok</v>
      </c>
      <c r="F1043" s="17" t="str">
        <f>IF(COUNTIF(Tags!$A:$A,$A1043)&gt;0,"ok","à faire")</f>
        <v>ok</v>
      </c>
      <c r="G1043" s="17" t="str">
        <f>IF(COUNTIF(Phrases!$A:$A,$A1043)&gt;0,"ok","à faire")</f>
        <v>à faire</v>
      </c>
      <c r="H1043" s="17" t="str">
        <f>IF(COUNTIFS(Phrases!$A:$A,$A1043,Phrases!$I:$I,"&lt;&gt;")&gt;0,"ok","à faire")</f>
        <v>à faire</v>
      </c>
      <c r="I1043" s="17" t="str">
        <f>IF(COUNTIF(Synonymes!$A:$A,$A1043)&gt;0,"ok","")</f>
        <v/>
      </c>
      <c r="J1043" s="17">
        <f t="shared" si="16"/>
        <v>2</v>
      </c>
    </row>
    <row r="1044" spans="1:10" x14ac:dyDescent="0.3">
      <c r="A1044" s="17" t="s">
        <v>5725</v>
      </c>
      <c r="B1044" s="17" t="str">
        <f>IFERROR(INDEX(Mots!$B:$B,MATCH($A1044,Mots!$A:$A,0)),"introuvable")</f>
        <v>le cube</v>
      </c>
      <c r="C1044" s="17" t="str">
        <f>IFERROR(INDEX(Mots!$N:$N,MATCH($A1044,Mots!$A:$A,0)),"")</f>
        <v>chose</v>
      </c>
      <c r="D1044" s="17">
        <f>IFERROR(COUNTA(INDEX(Mots!$E:$E,MATCH($A1044,Mots!$A:$A,0)):INDEX(Mots!$K:$K,MATCH($A1044,Mots!$A:$A,0))),0)</f>
        <v>4</v>
      </c>
      <c r="E1044" s="17" t="str">
        <f>IF(COUNTIF(Classement!$A:$A,$A1044)&gt;0,"ok","à faire")</f>
        <v>ok</v>
      </c>
      <c r="F1044" s="17" t="str">
        <f>IF(COUNTIF(Tags!$A:$A,$A1044)&gt;0,"ok","à faire")</f>
        <v>à faire</v>
      </c>
      <c r="G1044" s="17" t="str">
        <f>IF(COUNTIF(Phrases!$A:$A,$A1044)&gt;0,"ok","à faire")</f>
        <v>à faire</v>
      </c>
      <c r="H1044" s="17" t="str">
        <f>IF(COUNTIFS(Phrases!$A:$A,$A1044,Phrases!$I:$I,"&lt;&gt;")&gt;0,"ok","à faire")</f>
        <v>à faire</v>
      </c>
      <c r="I1044" s="17" t="str">
        <f>IF(COUNTIF(Synonymes!$A:$A,$A1044)&gt;0,"ok","")</f>
        <v/>
      </c>
      <c r="J1044" s="17">
        <f t="shared" si="16"/>
        <v>3</v>
      </c>
    </row>
    <row r="1045" spans="1:10" x14ac:dyDescent="0.3">
      <c r="A1045" s="17" t="s">
        <v>5732</v>
      </c>
      <c r="B1045" s="17" t="str">
        <f>IFERROR(INDEX(Mots!$B:$B,MATCH($A1045,Mots!$A:$A,0)),"introuvable")</f>
        <v>le danger</v>
      </c>
      <c r="C1045" s="17" t="str">
        <f>IFERROR(INDEX(Mots!$N:$N,MATCH($A1045,Mots!$A:$A,0)),"")</f>
        <v>chose</v>
      </c>
      <c r="D1045" s="17">
        <f>IFERROR(COUNTA(INDEX(Mots!$E:$E,MATCH($A1045,Mots!$A:$A,0)):INDEX(Mots!$K:$K,MATCH($A1045,Mots!$A:$A,0))),0)</f>
        <v>3</v>
      </c>
      <c r="E1045" s="17" t="str">
        <f>IF(COUNTIF(Classement!$A:$A,$A1045)&gt;0,"ok","à faire")</f>
        <v>ok</v>
      </c>
      <c r="F1045" s="17" t="str">
        <f>IF(COUNTIF(Tags!$A:$A,$A1045)&gt;0,"ok","à faire")</f>
        <v>ok</v>
      </c>
      <c r="G1045" s="17" t="str">
        <f>IF(COUNTIF(Phrases!$A:$A,$A1045)&gt;0,"ok","à faire")</f>
        <v>à faire</v>
      </c>
      <c r="H1045" s="17" t="str">
        <f>IF(COUNTIFS(Phrases!$A:$A,$A1045,Phrases!$I:$I,"&lt;&gt;")&gt;0,"ok","à faire")</f>
        <v>à faire</v>
      </c>
      <c r="I1045" s="17" t="str">
        <f>IF(COUNTIF(Synonymes!$A:$A,$A1045)&gt;0,"ok","")</f>
        <v/>
      </c>
      <c r="J1045" s="17">
        <f t="shared" si="16"/>
        <v>2</v>
      </c>
    </row>
    <row r="1046" spans="1:10" x14ac:dyDescent="0.3">
      <c r="A1046" s="17" t="s">
        <v>5735</v>
      </c>
      <c r="B1046" s="17" t="str">
        <f>IFERROR(INDEX(Mots!$B:$B,MATCH($A1046,Mots!$A:$A,0)),"introuvable")</f>
        <v>le dé</v>
      </c>
      <c r="C1046" s="17" t="str">
        <f>IFERROR(INDEX(Mots!$N:$N,MATCH($A1046,Mots!$A:$A,0)),"")</f>
        <v>chose</v>
      </c>
      <c r="D1046" s="17">
        <f>IFERROR(COUNTA(INDEX(Mots!$E:$E,MATCH($A1046,Mots!$A:$A,0)):INDEX(Mots!$K:$K,MATCH($A1046,Mots!$A:$A,0))),0)</f>
        <v>5</v>
      </c>
      <c r="E1046" s="17" t="str">
        <f>IF(COUNTIF(Classement!$A:$A,$A1046)&gt;0,"ok","à faire")</f>
        <v>ok</v>
      </c>
      <c r="F1046" s="17" t="str">
        <f>IF(COUNTIF(Tags!$A:$A,$A1046)&gt;0,"ok","à faire")</f>
        <v>à faire</v>
      </c>
      <c r="G1046" s="17" t="str">
        <f>IF(COUNTIF(Phrases!$A:$A,$A1046)&gt;0,"ok","à faire")</f>
        <v>à faire</v>
      </c>
      <c r="H1046" s="17" t="str">
        <f>IF(COUNTIFS(Phrases!$A:$A,$A1046,Phrases!$I:$I,"&lt;&gt;")&gt;0,"ok","à faire")</f>
        <v>à faire</v>
      </c>
      <c r="I1046" s="17" t="str">
        <f>IF(COUNTIF(Synonymes!$A:$A,$A1046)&gt;0,"ok","")</f>
        <v/>
      </c>
      <c r="J1046" s="17">
        <f t="shared" si="16"/>
        <v>3</v>
      </c>
    </row>
    <row r="1047" spans="1:10" x14ac:dyDescent="0.3">
      <c r="A1047" s="17" t="s">
        <v>5743</v>
      </c>
      <c r="B1047" s="17" t="str">
        <f>IFERROR(INDEX(Mots!$B:$B,MATCH($A1047,Mots!$A:$A,0)),"introuvable")</f>
        <v>le déchet</v>
      </c>
      <c r="C1047" s="17" t="str">
        <f>IFERROR(INDEX(Mots!$N:$N,MATCH($A1047,Mots!$A:$A,0)),"")</f>
        <v>chose</v>
      </c>
      <c r="D1047" s="17">
        <f>IFERROR(COUNTA(INDEX(Mots!$E:$E,MATCH($A1047,Mots!$A:$A,0)):INDEX(Mots!$K:$K,MATCH($A1047,Mots!$A:$A,0))),0)</f>
        <v>5</v>
      </c>
      <c r="E1047" s="17" t="str">
        <f>IF(COUNTIF(Classement!$A:$A,$A1047)&gt;0,"ok","à faire")</f>
        <v>ok</v>
      </c>
      <c r="F1047" s="17" t="str">
        <f>IF(COUNTIF(Tags!$A:$A,$A1047)&gt;0,"ok","à faire")</f>
        <v>à faire</v>
      </c>
      <c r="G1047" s="17" t="str">
        <f>IF(COUNTIF(Phrases!$A:$A,$A1047)&gt;0,"ok","à faire")</f>
        <v>à faire</v>
      </c>
      <c r="H1047" s="17" t="str">
        <f>IF(COUNTIFS(Phrases!$A:$A,$A1047,Phrases!$I:$I,"&lt;&gt;")&gt;0,"ok","à faire")</f>
        <v>à faire</v>
      </c>
      <c r="I1047" s="17" t="str">
        <f>IF(COUNTIF(Synonymes!$A:$A,$A1047)&gt;0,"ok","")</f>
        <v/>
      </c>
      <c r="J1047" s="17">
        <f t="shared" si="16"/>
        <v>3</v>
      </c>
    </row>
    <row r="1048" spans="1:10" x14ac:dyDescent="0.3">
      <c r="A1048" s="17" t="s">
        <v>5751</v>
      </c>
      <c r="B1048" s="17" t="str">
        <f>IFERROR(INDEX(Mots!$B:$B,MATCH($A1048,Mots!$A:$A,0)),"introuvable")</f>
        <v>le dégât</v>
      </c>
      <c r="C1048" s="17" t="str">
        <f>IFERROR(INDEX(Mots!$N:$N,MATCH($A1048,Mots!$A:$A,0)),"")</f>
        <v>chose</v>
      </c>
      <c r="D1048" s="17">
        <f>IFERROR(COUNTA(INDEX(Mots!$E:$E,MATCH($A1048,Mots!$A:$A,0)):INDEX(Mots!$K:$K,MATCH($A1048,Mots!$A:$A,0))),0)</f>
        <v>5</v>
      </c>
      <c r="E1048" s="17" t="str">
        <f>IF(COUNTIF(Classement!$A:$A,$A1048)&gt;0,"ok","à faire")</f>
        <v>ok</v>
      </c>
      <c r="F1048" s="17" t="str">
        <f>IF(COUNTIF(Tags!$A:$A,$A1048)&gt;0,"ok","à faire")</f>
        <v>à faire</v>
      </c>
      <c r="G1048" s="17" t="str">
        <f>IF(COUNTIF(Phrases!$A:$A,$A1048)&gt;0,"ok","à faire")</f>
        <v>à faire</v>
      </c>
      <c r="H1048" s="17" t="str">
        <f>IF(COUNTIFS(Phrases!$A:$A,$A1048,Phrases!$I:$I,"&lt;&gt;")&gt;0,"ok","à faire")</f>
        <v>à faire</v>
      </c>
      <c r="I1048" s="17" t="str">
        <f>IF(COUNTIF(Synonymes!$A:$A,$A1048)&gt;0,"ok","")</f>
        <v/>
      </c>
      <c r="J1048" s="17">
        <f t="shared" si="16"/>
        <v>3</v>
      </c>
    </row>
    <row r="1049" spans="1:10" x14ac:dyDescent="0.3">
      <c r="A1049" s="17" t="s">
        <v>5759</v>
      </c>
      <c r="B1049" s="17" t="str">
        <f>IFERROR(INDEX(Mots!$B:$B,MATCH($A1049,Mots!$A:$A,0)),"introuvable")</f>
        <v>le degré</v>
      </c>
      <c r="C1049" s="17" t="str">
        <f>IFERROR(INDEX(Mots!$N:$N,MATCH($A1049,Mots!$A:$A,0)),"")</f>
        <v>chose</v>
      </c>
      <c r="D1049" s="17">
        <f>IFERROR(COUNTA(INDEX(Mots!$E:$E,MATCH($A1049,Mots!$A:$A,0)):INDEX(Mots!$K:$K,MATCH($A1049,Mots!$A:$A,0))),0)</f>
        <v>5</v>
      </c>
      <c r="E1049" s="17" t="str">
        <f>IF(COUNTIF(Classement!$A:$A,$A1049)&gt;0,"ok","à faire")</f>
        <v>ok</v>
      </c>
      <c r="F1049" s="17" t="str">
        <f>IF(COUNTIF(Tags!$A:$A,$A1049)&gt;0,"ok","à faire")</f>
        <v>à faire</v>
      </c>
      <c r="G1049" s="17" t="str">
        <f>IF(COUNTIF(Phrases!$A:$A,$A1049)&gt;0,"ok","à faire")</f>
        <v>à faire</v>
      </c>
      <c r="H1049" s="17" t="str">
        <f>IF(COUNTIFS(Phrases!$A:$A,$A1049,Phrases!$I:$I,"&lt;&gt;")&gt;0,"ok","à faire")</f>
        <v>à faire</v>
      </c>
      <c r="I1049" s="17" t="str">
        <f>IF(COUNTIF(Synonymes!$A:$A,$A1049)&gt;0,"ok","")</f>
        <v/>
      </c>
      <c r="J1049" s="17">
        <f t="shared" si="16"/>
        <v>3</v>
      </c>
    </row>
    <row r="1050" spans="1:10" x14ac:dyDescent="0.3">
      <c r="A1050" s="17" t="s">
        <v>5767</v>
      </c>
      <c r="B1050" s="17" t="str">
        <f>IFERROR(INDEX(Mots!$B:$B,MATCH($A1050,Mots!$A:$A,0)),"introuvable")</f>
        <v>le déjeuner</v>
      </c>
      <c r="C1050" s="17" t="str">
        <f>IFERROR(INDEX(Mots!$N:$N,MATCH($A1050,Mots!$A:$A,0)),"")</f>
        <v>chose</v>
      </c>
      <c r="D1050" s="17">
        <f>IFERROR(COUNTA(INDEX(Mots!$E:$E,MATCH($A1050,Mots!$A:$A,0)):INDEX(Mots!$K:$K,MATCH($A1050,Mots!$A:$A,0))),0)</f>
        <v>4</v>
      </c>
      <c r="E1050" s="17" t="str">
        <f>IF(COUNTIF(Classement!$A:$A,$A1050)&gt;0,"ok","à faire")</f>
        <v>ok</v>
      </c>
      <c r="F1050" s="17" t="str">
        <f>IF(COUNTIF(Tags!$A:$A,$A1050)&gt;0,"ok","à faire")</f>
        <v>ok</v>
      </c>
      <c r="G1050" s="17" t="str">
        <f>IF(COUNTIF(Phrases!$A:$A,$A1050)&gt;0,"ok","à faire")</f>
        <v>à faire</v>
      </c>
      <c r="H1050" s="17" t="str">
        <f>IF(COUNTIFS(Phrases!$A:$A,$A1050,Phrases!$I:$I,"&lt;&gt;")&gt;0,"ok","à faire")</f>
        <v>à faire</v>
      </c>
      <c r="I1050" s="17" t="str">
        <f>IF(COUNTIF(Synonymes!$A:$A,$A1050)&gt;0,"ok","")</f>
        <v/>
      </c>
      <c r="J1050" s="17">
        <f t="shared" si="16"/>
        <v>2</v>
      </c>
    </row>
    <row r="1051" spans="1:10" x14ac:dyDescent="0.3">
      <c r="A1051" s="17" t="s">
        <v>5774</v>
      </c>
      <c r="B1051" s="17" t="str">
        <f>IFERROR(INDEX(Mots!$B:$B,MATCH($A1051,Mots!$A:$A,0)),"introuvable")</f>
        <v>le désir</v>
      </c>
      <c r="C1051" s="17" t="str">
        <f>IFERROR(INDEX(Mots!$N:$N,MATCH($A1051,Mots!$A:$A,0)),"")</f>
        <v>chose</v>
      </c>
      <c r="D1051" s="17">
        <f>IFERROR(COUNTA(INDEX(Mots!$E:$E,MATCH($A1051,Mots!$A:$A,0)):INDEX(Mots!$K:$K,MATCH($A1051,Mots!$A:$A,0))),0)</f>
        <v>1</v>
      </c>
      <c r="E1051" s="17" t="str">
        <f>IF(COUNTIF(Classement!$A:$A,$A1051)&gt;0,"ok","à faire")</f>
        <v>ok</v>
      </c>
      <c r="F1051" s="17" t="str">
        <f>IF(COUNTIF(Tags!$A:$A,$A1051)&gt;0,"ok","à faire")</f>
        <v>à faire</v>
      </c>
      <c r="G1051" s="17" t="str">
        <f>IF(COUNTIF(Phrases!$A:$A,$A1051)&gt;0,"ok","à faire")</f>
        <v>à faire</v>
      </c>
      <c r="H1051" s="17" t="str">
        <f>IF(COUNTIFS(Phrases!$A:$A,$A1051,Phrases!$I:$I,"&lt;&gt;")&gt;0,"ok","à faire")</f>
        <v>à faire</v>
      </c>
      <c r="I1051" s="17" t="str">
        <f>IF(COUNTIF(Synonymes!$A:$A,$A1051)&gt;0,"ok","")</f>
        <v>ok</v>
      </c>
      <c r="J1051" s="17">
        <f t="shared" si="16"/>
        <v>3</v>
      </c>
    </row>
    <row r="1052" spans="1:10" x14ac:dyDescent="0.3">
      <c r="A1052" s="17" t="s">
        <v>5778</v>
      </c>
      <c r="B1052" s="17" t="str">
        <f>IFERROR(INDEX(Mots!$B:$B,MATCH($A1052,Mots!$A:$A,0)),"introuvable")</f>
        <v>le dessert</v>
      </c>
      <c r="C1052" s="17" t="str">
        <f>IFERROR(INDEX(Mots!$N:$N,MATCH($A1052,Mots!$A:$A,0)),"")</f>
        <v>chose</v>
      </c>
      <c r="D1052" s="17">
        <f>IFERROR(COUNTA(INDEX(Mots!$E:$E,MATCH($A1052,Mots!$A:$A,0)):INDEX(Mots!$K:$K,MATCH($A1052,Mots!$A:$A,0))),0)</f>
        <v>5</v>
      </c>
      <c r="E1052" s="17" t="str">
        <f>IF(COUNTIF(Classement!$A:$A,$A1052)&gt;0,"ok","à faire")</f>
        <v>ok</v>
      </c>
      <c r="F1052" s="17" t="str">
        <f>IF(COUNTIF(Tags!$A:$A,$A1052)&gt;0,"ok","à faire")</f>
        <v>ok</v>
      </c>
      <c r="G1052" s="17" t="str">
        <f>IF(COUNTIF(Phrases!$A:$A,$A1052)&gt;0,"ok","à faire")</f>
        <v>ok</v>
      </c>
      <c r="H1052" s="17" t="str">
        <f>IF(COUNTIFS(Phrases!$A:$A,$A1052,Phrases!$I:$I,"&lt;&gt;")&gt;0,"ok","à faire")</f>
        <v>à faire</v>
      </c>
      <c r="I1052" s="17" t="str">
        <f>IF(COUNTIF(Synonymes!$A:$A,$A1052)&gt;0,"ok","")</f>
        <v/>
      </c>
      <c r="J1052" s="17">
        <f t="shared" si="16"/>
        <v>1</v>
      </c>
    </row>
    <row r="1053" spans="1:10" x14ac:dyDescent="0.3">
      <c r="A1053" s="17" t="s">
        <v>5785</v>
      </c>
      <c r="B1053" s="17" t="str">
        <f>IFERROR(INDEX(Mots!$B:$B,MATCH($A1053,Mots!$A:$A,0)),"introuvable")</f>
        <v>le devoir</v>
      </c>
      <c r="C1053" s="17" t="str">
        <f>IFERROR(INDEX(Mots!$N:$N,MATCH($A1053,Mots!$A:$A,0)),"")</f>
        <v>chose</v>
      </c>
      <c r="D1053" s="17">
        <f>IFERROR(COUNTA(INDEX(Mots!$E:$E,MATCH($A1053,Mots!$A:$A,0)):INDEX(Mots!$K:$K,MATCH($A1053,Mots!$A:$A,0))),0)</f>
        <v>1</v>
      </c>
      <c r="E1053" s="17" t="str">
        <f>IF(COUNTIF(Classement!$A:$A,$A1053)&gt;0,"ok","à faire")</f>
        <v>ok</v>
      </c>
      <c r="F1053" s="17" t="str">
        <f>IF(COUNTIF(Tags!$A:$A,$A1053)&gt;0,"ok","à faire")</f>
        <v>ok</v>
      </c>
      <c r="G1053" s="17" t="str">
        <f>IF(COUNTIF(Phrases!$A:$A,$A1053)&gt;0,"ok","à faire")</f>
        <v>à faire</v>
      </c>
      <c r="H1053" s="17" t="str">
        <f>IF(COUNTIFS(Phrases!$A:$A,$A1053,Phrases!$I:$I,"&lt;&gt;")&gt;0,"ok","à faire")</f>
        <v>à faire</v>
      </c>
      <c r="I1053" s="17" t="str">
        <f>IF(COUNTIF(Synonymes!$A:$A,$A1053)&gt;0,"ok","")</f>
        <v/>
      </c>
      <c r="J1053" s="17">
        <f t="shared" si="16"/>
        <v>2</v>
      </c>
    </row>
    <row r="1054" spans="1:10" x14ac:dyDescent="0.3">
      <c r="A1054" s="17" t="s">
        <v>5789</v>
      </c>
      <c r="B1054" s="17" t="str">
        <f>IFERROR(INDEX(Mots!$B:$B,MATCH($A1054,Mots!$A:$A,0)),"introuvable")</f>
        <v>le dîner</v>
      </c>
      <c r="C1054" s="17" t="str">
        <f>IFERROR(INDEX(Mots!$N:$N,MATCH($A1054,Mots!$A:$A,0)),"")</f>
        <v>chose</v>
      </c>
      <c r="D1054" s="17">
        <f>IFERROR(COUNTA(INDEX(Mots!$E:$E,MATCH($A1054,Mots!$A:$A,0)):INDEX(Mots!$K:$K,MATCH($A1054,Mots!$A:$A,0))),0)</f>
        <v>1</v>
      </c>
      <c r="E1054" s="17" t="str">
        <f>IF(COUNTIF(Classement!$A:$A,$A1054)&gt;0,"ok","à faire")</f>
        <v>ok</v>
      </c>
      <c r="F1054" s="17" t="str">
        <f>IF(COUNTIF(Tags!$A:$A,$A1054)&gt;0,"ok","à faire")</f>
        <v>ok</v>
      </c>
      <c r="G1054" s="17" t="str">
        <f>IF(COUNTIF(Phrases!$A:$A,$A1054)&gt;0,"ok","à faire")</f>
        <v>à faire</v>
      </c>
      <c r="H1054" s="17" t="str">
        <f>IF(COUNTIFS(Phrases!$A:$A,$A1054,Phrases!$I:$I,"&lt;&gt;")&gt;0,"ok","à faire")</f>
        <v>à faire</v>
      </c>
      <c r="I1054" s="17" t="str">
        <f>IF(COUNTIF(Synonymes!$A:$A,$A1054)&gt;0,"ok","")</f>
        <v/>
      </c>
      <c r="J1054" s="17">
        <f t="shared" si="16"/>
        <v>2</v>
      </c>
    </row>
    <row r="1055" spans="1:10" x14ac:dyDescent="0.3">
      <c r="A1055" s="17" t="s">
        <v>5793</v>
      </c>
      <c r="B1055" s="17" t="str">
        <f>IFERROR(INDEX(Mots!$B:$B,MATCH($A1055,Mots!$A:$A,0)),"introuvable")</f>
        <v>le disque</v>
      </c>
      <c r="C1055" s="17" t="str">
        <f>IFERROR(INDEX(Mots!$N:$N,MATCH($A1055,Mots!$A:$A,0)),"")</f>
        <v>chose</v>
      </c>
      <c r="D1055" s="17">
        <f>IFERROR(COUNTA(INDEX(Mots!$E:$E,MATCH($A1055,Mots!$A:$A,0)):INDEX(Mots!$K:$K,MATCH($A1055,Mots!$A:$A,0))),0)</f>
        <v>1</v>
      </c>
      <c r="E1055" s="17" t="str">
        <f>IF(COUNTIF(Classement!$A:$A,$A1055)&gt;0,"ok","à faire")</f>
        <v>ok</v>
      </c>
      <c r="F1055" s="17" t="str">
        <f>IF(COUNTIF(Tags!$A:$A,$A1055)&gt;0,"ok","à faire")</f>
        <v>ok</v>
      </c>
      <c r="G1055" s="17" t="str">
        <f>IF(COUNTIF(Phrases!$A:$A,$A1055)&gt;0,"ok","à faire")</f>
        <v>ok</v>
      </c>
      <c r="H1055" s="17" t="str">
        <f>IF(COUNTIFS(Phrases!$A:$A,$A1055,Phrases!$I:$I,"&lt;&gt;")&gt;0,"ok","à faire")</f>
        <v>à faire</v>
      </c>
      <c r="I1055" s="17" t="str">
        <f>IF(COUNTIF(Synonymes!$A:$A,$A1055)&gt;0,"ok","")</f>
        <v/>
      </c>
      <c r="J1055" s="17">
        <f t="shared" si="16"/>
        <v>1</v>
      </c>
    </row>
    <row r="1056" spans="1:10" x14ac:dyDescent="0.3">
      <c r="A1056" s="17" t="s">
        <v>5797</v>
      </c>
      <c r="B1056" s="17" t="str">
        <f>IFERROR(INDEX(Mots!$B:$B,MATCH($A1056,Mots!$A:$A,0)),"introuvable")</f>
        <v>le document</v>
      </c>
      <c r="C1056" s="17" t="str">
        <f>IFERROR(INDEX(Mots!$N:$N,MATCH($A1056,Mots!$A:$A,0)),"")</f>
        <v>chose</v>
      </c>
      <c r="D1056" s="17">
        <f>IFERROR(COUNTA(INDEX(Mots!$E:$E,MATCH($A1056,Mots!$A:$A,0)):INDEX(Mots!$K:$K,MATCH($A1056,Mots!$A:$A,0))),0)</f>
        <v>1</v>
      </c>
      <c r="E1056" s="17" t="str">
        <f>IF(COUNTIF(Classement!$A:$A,$A1056)&gt;0,"ok","à faire")</f>
        <v>ok</v>
      </c>
      <c r="F1056" s="17" t="str">
        <f>IF(COUNTIF(Tags!$A:$A,$A1056)&gt;0,"ok","à faire")</f>
        <v>ok</v>
      </c>
      <c r="G1056" s="17" t="str">
        <f>IF(COUNTIF(Phrases!$A:$A,$A1056)&gt;0,"ok","à faire")</f>
        <v>à faire</v>
      </c>
      <c r="H1056" s="17" t="str">
        <f>IF(COUNTIFS(Phrases!$A:$A,$A1056,Phrases!$I:$I,"&lt;&gt;")&gt;0,"ok","à faire")</f>
        <v>à faire</v>
      </c>
      <c r="I1056" s="17" t="str">
        <f>IF(COUNTIF(Synonymes!$A:$A,$A1056)&gt;0,"ok","")</f>
        <v/>
      </c>
      <c r="J1056" s="17">
        <f t="shared" si="16"/>
        <v>2</v>
      </c>
    </row>
    <row r="1057" spans="1:10" x14ac:dyDescent="0.3">
      <c r="A1057" s="17" t="s">
        <v>5801</v>
      </c>
      <c r="B1057" s="17" t="str">
        <f>IFERROR(INDEX(Mots!$B:$B,MATCH($A1057,Mots!$A:$A,0)),"introuvable")</f>
        <v>le dommage</v>
      </c>
      <c r="C1057" s="17" t="str">
        <f>IFERROR(INDEX(Mots!$N:$N,MATCH($A1057,Mots!$A:$A,0)),"")</f>
        <v>chose</v>
      </c>
      <c r="D1057" s="17">
        <f>IFERROR(COUNTA(INDEX(Mots!$E:$E,MATCH($A1057,Mots!$A:$A,0)):INDEX(Mots!$K:$K,MATCH($A1057,Mots!$A:$A,0))),0)</f>
        <v>1</v>
      </c>
      <c r="E1057" s="17" t="str">
        <f>IF(COUNTIF(Classement!$A:$A,$A1057)&gt;0,"ok","à faire")</f>
        <v>ok</v>
      </c>
      <c r="F1057" s="17" t="str">
        <f>IF(COUNTIF(Tags!$A:$A,$A1057)&gt;0,"ok","à faire")</f>
        <v>à faire</v>
      </c>
      <c r="G1057" s="17" t="str">
        <f>IF(COUNTIF(Phrases!$A:$A,$A1057)&gt;0,"ok","à faire")</f>
        <v>à faire</v>
      </c>
      <c r="H1057" s="17" t="str">
        <f>IF(COUNTIFS(Phrases!$A:$A,$A1057,Phrases!$I:$I,"&lt;&gt;")&gt;0,"ok","à faire")</f>
        <v>à faire</v>
      </c>
      <c r="I1057" s="17" t="str">
        <f>IF(COUNTIF(Synonymes!$A:$A,$A1057)&gt;0,"ok","")</f>
        <v>ok</v>
      </c>
      <c r="J1057" s="17">
        <f t="shared" si="16"/>
        <v>3</v>
      </c>
    </row>
    <row r="1058" spans="1:10" x14ac:dyDescent="0.3">
      <c r="A1058" s="17" t="s">
        <v>5805</v>
      </c>
      <c r="B1058" s="17" t="str">
        <f>IFERROR(INDEX(Mots!$B:$B,MATCH($A1058,Mots!$A:$A,0)),"introuvable")</f>
        <v>le fer</v>
      </c>
      <c r="C1058" s="17" t="str">
        <f>IFERROR(INDEX(Mots!$N:$N,MATCH($A1058,Mots!$A:$A,0)),"")</f>
        <v>chose</v>
      </c>
      <c r="D1058" s="17">
        <f>IFERROR(COUNTA(INDEX(Mots!$E:$E,MATCH($A1058,Mots!$A:$A,0)):INDEX(Mots!$K:$K,MATCH($A1058,Mots!$A:$A,0))),0)</f>
        <v>5</v>
      </c>
      <c r="E1058" s="17" t="str">
        <f>IF(COUNTIF(Classement!$A:$A,$A1058)&gt;0,"ok","à faire")</f>
        <v>ok</v>
      </c>
      <c r="F1058" s="17" t="str">
        <f>IF(COUNTIF(Tags!$A:$A,$A1058)&gt;0,"ok","à faire")</f>
        <v>ok</v>
      </c>
      <c r="G1058" s="17" t="str">
        <f>IF(COUNTIF(Phrases!$A:$A,$A1058)&gt;0,"ok","à faire")</f>
        <v>à faire</v>
      </c>
      <c r="H1058" s="17" t="str">
        <f>IF(COUNTIFS(Phrases!$A:$A,$A1058,Phrases!$I:$I,"&lt;&gt;")&gt;0,"ok","à faire")</f>
        <v>à faire</v>
      </c>
      <c r="I1058" s="17" t="str">
        <f>IF(COUNTIF(Synonymes!$A:$A,$A1058)&gt;0,"ok","")</f>
        <v/>
      </c>
      <c r="J1058" s="17">
        <f t="shared" si="16"/>
        <v>2</v>
      </c>
    </row>
    <row r="1059" spans="1:10" x14ac:dyDescent="0.3">
      <c r="A1059" s="17" t="s">
        <v>5813</v>
      </c>
      <c r="B1059" s="17" t="str">
        <f>IFERROR(INDEX(Mots!$B:$B,MATCH($A1059,Mots!$A:$A,0)),"introuvable")</f>
        <v>le fil</v>
      </c>
      <c r="C1059" s="17" t="str">
        <f>IFERROR(INDEX(Mots!$N:$N,MATCH($A1059,Mots!$A:$A,0)),"")</f>
        <v>chose</v>
      </c>
      <c r="D1059" s="17">
        <f>IFERROR(COUNTA(INDEX(Mots!$E:$E,MATCH($A1059,Mots!$A:$A,0)):INDEX(Mots!$K:$K,MATCH($A1059,Mots!$A:$A,0))),0)</f>
        <v>1</v>
      </c>
      <c r="E1059" s="17" t="str">
        <f>IF(COUNTIF(Classement!$A:$A,$A1059)&gt;0,"ok","à faire")</f>
        <v>ok</v>
      </c>
      <c r="F1059" s="17" t="str">
        <f>IF(COUNTIF(Tags!$A:$A,$A1059)&gt;0,"ok","à faire")</f>
        <v>à faire</v>
      </c>
      <c r="G1059" s="17" t="str">
        <f>IF(COUNTIF(Phrases!$A:$A,$A1059)&gt;0,"ok","à faire")</f>
        <v>à faire</v>
      </c>
      <c r="H1059" s="17" t="str">
        <f>IF(COUNTIFS(Phrases!$A:$A,$A1059,Phrases!$I:$I,"&lt;&gt;")&gt;0,"ok","à faire")</f>
        <v>à faire</v>
      </c>
      <c r="I1059" s="17" t="str">
        <f>IF(COUNTIF(Synonymes!$A:$A,$A1059)&gt;0,"ok","")</f>
        <v/>
      </c>
      <c r="J1059" s="17">
        <f t="shared" si="16"/>
        <v>3</v>
      </c>
    </row>
    <row r="1060" spans="1:10" x14ac:dyDescent="0.3">
      <c r="A1060" s="17" t="s">
        <v>5817</v>
      </c>
      <c r="B1060" s="17" t="str">
        <f>IFERROR(INDEX(Mots!$B:$B,MATCH($A1060,Mots!$A:$A,0)),"introuvable")</f>
        <v>le film</v>
      </c>
      <c r="C1060" s="17" t="str">
        <f>IFERROR(INDEX(Mots!$N:$N,MATCH($A1060,Mots!$A:$A,0)),"")</f>
        <v>chose</v>
      </c>
      <c r="D1060" s="17">
        <f>IFERROR(COUNTA(INDEX(Mots!$E:$E,MATCH($A1060,Mots!$A:$A,0)):INDEX(Mots!$K:$K,MATCH($A1060,Mots!$A:$A,0))),0)</f>
        <v>1</v>
      </c>
      <c r="E1060" s="17" t="str">
        <f>IF(COUNTIF(Classement!$A:$A,$A1060)&gt;0,"ok","à faire")</f>
        <v>ok</v>
      </c>
      <c r="F1060" s="17" t="str">
        <f>IF(COUNTIF(Tags!$A:$A,$A1060)&gt;0,"ok","à faire")</f>
        <v>à faire</v>
      </c>
      <c r="G1060" s="17" t="str">
        <f>IF(COUNTIF(Phrases!$A:$A,$A1060)&gt;0,"ok","à faire")</f>
        <v>à faire</v>
      </c>
      <c r="H1060" s="17" t="str">
        <f>IF(COUNTIFS(Phrases!$A:$A,$A1060,Phrases!$I:$I,"&lt;&gt;")&gt;0,"ok","à faire")</f>
        <v>à faire</v>
      </c>
      <c r="I1060" s="17" t="str">
        <f>IF(COUNTIF(Synonymes!$A:$A,$A1060)&gt;0,"ok","")</f>
        <v/>
      </c>
      <c r="J1060" s="17">
        <f t="shared" si="16"/>
        <v>3</v>
      </c>
    </row>
    <row r="1061" spans="1:10" x14ac:dyDescent="0.3">
      <c r="A1061" s="17" t="s">
        <v>5821</v>
      </c>
      <c r="B1061" s="17" t="str">
        <f>IFERROR(INDEX(Mots!$B:$B,MATCH($A1061,Mots!$A:$A,0)),"introuvable")</f>
        <v>le fond</v>
      </c>
      <c r="C1061" s="17" t="str">
        <f>IFERROR(INDEX(Mots!$N:$N,MATCH($A1061,Mots!$A:$A,0)),"")</f>
        <v>chose</v>
      </c>
      <c r="D1061" s="17">
        <f>IFERROR(COUNTA(INDEX(Mots!$E:$E,MATCH($A1061,Mots!$A:$A,0)):INDEX(Mots!$K:$K,MATCH($A1061,Mots!$A:$A,0))),0)</f>
        <v>1</v>
      </c>
      <c r="E1061" s="17" t="str">
        <f>IF(COUNTIF(Classement!$A:$A,$A1061)&gt;0,"ok","à faire")</f>
        <v>ok</v>
      </c>
      <c r="F1061" s="17" t="str">
        <f>IF(COUNTIF(Tags!$A:$A,$A1061)&gt;0,"ok","à faire")</f>
        <v>à faire</v>
      </c>
      <c r="G1061" s="17" t="str">
        <f>IF(COUNTIF(Phrases!$A:$A,$A1061)&gt;0,"ok","à faire")</f>
        <v>à faire</v>
      </c>
      <c r="H1061" s="17" t="str">
        <f>IF(COUNTIFS(Phrases!$A:$A,$A1061,Phrases!$I:$I,"&lt;&gt;")&gt;0,"ok","à faire")</f>
        <v>à faire</v>
      </c>
      <c r="I1061" s="17" t="str">
        <f>IF(COUNTIF(Synonymes!$A:$A,$A1061)&gt;0,"ok","")</f>
        <v/>
      </c>
      <c r="J1061" s="17">
        <f t="shared" si="16"/>
        <v>3</v>
      </c>
    </row>
    <row r="1062" spans="1:10" x14ac:dyDescent="0.3">
      <c r="A1062" s="17" t="s">
        <v>5825</v>
      </c>
      <c r="B1062" s="17" t="str">
        <f>IFERROR(INDEX(Mots!$B:$B,MATCH($A1062,Mots!$A:$A,0)),"introuvable")</f>
        <v>le frein</v>
      </c>
      <c r="C1062" s="17" t="str">
        <f>IFERROR(INDEX(Mots!$N:$N,MATCH($A1062,Mots!$A:$A,0)),"")</f>
        <v>chose</v>
      </c>
      <c r="D1062" s="17">
        <f>IFERROR(COUNTA(INDEX(Mots!$E:$E,MATCH($A1062,Mots!$A:$A,0)):INDEX(Mots!$K:$K,MATCH($A1062,Mots!$A:$A,0))),0)</f>
        <v>5</v>
      </c>
      <c r="E1062" s="17" t="str">
        <f>IF(COUNTIF(Classement!$A:$A,$A1062)&gt;0,"ok","à faire")</f>
        <v>ok</v>
      </c>
      <c r="F1062" s="17" t="str">
        <f>IF(COUNTIF(Tags!$A:$A,$A1062)&gt;0,"ok","à faire")</f>
        <v>ok</v>
      </c>
      <c r="G1062" s="17" t="str">
        <f>IF(COUNTIF(Phrases!$A:$A,$A1062)&gt;0,"ok","à faire")</f>
        <v>à faire</v>
      </c>
      <c r="H1062" s="17" t="str">
        <f>IF(COUNTIFS(Phrases!$A:$A,$A1062,Phrases!$I:$I,"&lt;&gt;")&gt;0,"ok","à faire")</f>
        <v>à faire</v>
      </c>
      <c r="I1062" s="17" t="str">
        <f>IF(COUNTIF(Synonymes!$A:$A,$A1062)&gt;0,"ok","")</f>
        <v/>
      </c>
      <c r="J1062" s="17">
        <f t="shared" si="16"/>
        <v>2</v>
      </c>
    </row>
    <row r="1063" spans="1:10" x14ac:dyDescent="0.3">
      <c r="A1063" s="17" t="s">
        <v>5835</v>
      </c>
      <c r="B1063" s="17" t="str">
        <f>IFERROR(INDEX(Mots!$B:$B,MATCH($A1063,Mots!$A:$A,0)),"introuvable")</f>
        <v>le garçon</v>
      </c>
      <c r="C1063" s="17" t="str">
        <f>IFERROR(INDEX(Mots!$N:$N,MATCH($A1063,Mots!$A:$A,0)),"")</f>
        <v>chose</v>
      </c>
      <c r="D1063" s="17">
        <f>IFERROR(COUNTA(INDEX(Mots!$E:$E,MATCH($A1063,Mots!$A:$A,0)):INDEX(Mots!$K:$K,MATCH($A1063,Mots!$A:$A,0))),0)</f>
        <v>1</v>
      </c>
      <c r="E1063" s="17" t="str">
        <f>IF(COUNTIF(Classement!$A:$A,$A1063)&gt;0,"ok","à faire")</f>
        <v>ok</v>
      </c>
      <c r="F1063" s="17" t="str">
        <f>IF(COUNTIF(Tags!$A:$A,$A1063)&gt;0,"ok","à faire")</f>
        <v>à faire</v>
      </c>
      <c r="G1063" s="17" t="str">
        <f>IF(COUNTIF(Phrases!$A:$A,$A1063)&gt;0,"ok","à faire")</f>
        <v>à faire</v>
      </c>
      <c r="H1063" s="17" t="str">
        <f>IF(COUNTIFS(Phrases!$A:$A,$A1063,Phrases!$I:$I,"&lt;&gt;")&gt;0,"ok","à faire")</f>
        <v>à faire</v>
      </c>
      <c r="I1063" s="17" t="str">
        <f>IF(COUNTIF(Synonymes!$A:$A,$A1063)&gt;0,"ok","")</f>
        <v/>
      </c>
      <c r="J1063" s="17">
        <f t="shared" si="16"/>
        <v>3</v>
      </c>
    </row>
    <row r="1064" spans="1:10" x14ac:dyDescent="0.3">
      <c r="A1064" s="17" t="s">
        <v>5839</v>
      </c>
      <c r="B1064" s="17" t="str">
        <f>IFERROR(INDEX(Mots!$B:$B,MATCH($A1064,Mots!$A:$A,0)),"introuvable")</f>
        <v>le gel</v>
      </c>
      <c r="C1064" s="17" t="str">
        <f>IFERROR(INDEX(Mots!$N:$N,MATCH($A1064,Mots!$A:$A,0)),"")</f>
        <v>chose</v>
      </c>
      <c r="D1064" s="17">
        <f>IFERROR(COUNTA(INDEX(Mots!$E:$E,MATCH($A1064,Mots!$A:$A,0)):INDEX(Mots!$K:$K,MATCH($A1064,Mots!$A:$A,0))),0)</f>
        <v>1</v>
      </c>
      <c r="E1064" s="17" t="str">
        <f>IF(COUNTIF(Classement!$A:$A,$A1064)&gt;0,"ok","à faire")</f>
        <v>ok</v>
      </c>
      <c r="F1064" s="17" t="str">
        <f>IF(COUNTIF(Tags!$A:$A,$A1064)&gt;0,"ok","à faire")</f>
        <v>ok</v>
      </c>
      <c r="G1064" s="17" t="str">
        <f>IF(COUNTIF(Phrases!$A:$A,$A1064)&gt;0,"ok","à faire")</f>
        <v>à faire</v>
      </c>
      <c r="H1064" s="17" t="str">
        <f>IF(COUNTIFS(Phrases!$A:$A,$A1064,Phrases!$I:$I,"&lt;&gt;")&gt;0,"ok","à faire")</f>
        <v>à faire</v>
      </c>
      <c r="I1064" s="17" t="str">
        <f>IF(COUNTIF(Synonymes!$A:$A,$A1064)&gt;0,"ok","")</f>
        <v/>
      </c>
      <c r="J1064" s="17">
        <f t="shared" si="16"/>
        <v>2</v>
      </c>
    </row>
    <row r="1065" spans="1:10" x14ac:dyDescent="0.3">
      <c r="A1065" s="17" t="s">
        <v>5843</v>
      </c>
      <c r="B1065" s="17" t="str">
        <f>IFERROR(INDEX(Mots!$B:$B,MATCH($A1065,Mots!$A:$A,0)),"introuvable")</f>
        <v>le geste</v>
      </c>
      <c r="C1065" s="17" t="str">
        <f>IFERROR(INDEX(Mots!$N:$N,MATCH($A1065,Mots!$A:$A,0)),"")</f>
        <v>chose</v>
      </c>
      <c r="D1065" s="17">
        <f>IFERROR(COUNTA(INDEX(Mots!$E:$E,MATCH($A1065,Mots!$A:$A,0)):INDEX(Mots!$K:$K,MATCH($A1065,Mots!$A:$A,0))),0)</f>
        <v>3</v>
      </c>
      <c r="E1065" s="17" t="str">
        <f>IF(COUNTIF(Classement!$A:$A,$A1065)&gt;0,"ok","à faire")</f>
        <v>ok</v>
      </c>
      <c r="F1065" s="17" t="str">
        <f>IF(COUNTIF(Tags!$A:$A,$A1065)&gt;0,"ok","à faire")</f>
        <v>ok</v>
      </c>
      <c r="G1065" s="17" t="str">
        <f>IF(COUNTIF(Phrases!$A:$A,$A1065)&gt;0,"ok","à faire")</f>
        <v>à faire</v>
      </c>
      <c r="H1065" s="17" t="str">
        <f>IF(COUNTIFS(Phrases!$A:$A,$A1065,Phrases!$I:$I,"&lt;&gt;")&gt;0,"ok","à faire")</f>
        <v>à faire</v>
      </c>
      <c r="I1065" s="17" t="str">
        <f>IF(COUNTIF(Synonymes!$A:$A,$A1065)&gt;0,"ok","")</f>
        <v/>
      </c>
      <c r="J1065" s="17">
        <f t="shared" si="16"/>
        <v>2</v>
      </c>
    </row>
    <row r="1066" spans="1:10" x14ac:dyDescent="0.3">
      <c r="A1066" s="17" t="s">
        <v>5849</v>
      </c>
      <c r="B1066" s="17" t="str">
        <f>IFERROR(INDEX(Mots!$B:$B,MATCH($A1066,Mots!$A:$A,0)),"introuvable")</f>
        <v>le goût</v>
      </c>
      <c r="C1066" s="17" t="str">
        <f>IFERROR(INDEX(Mots!$N:$N,MATCH($A1066,Mots!$A:$A,0)),"")</f>
        <v>chose</v>
      </c>
      <c r="D1066" s="17">
        <f>IFERROR(COUNTA(INDEX(Mots!$E:$E,MATCH($A1066,Mots!$A:$A,0)):INDEX(Mots!$K:$K,MATCH($A1066,Mots!$A:$A,0))),0)</f>
        <v>1</v>
      </c>
      <c r="E1066" s="17" t="str">
        <f>IF(COUNTIF(Classement!$A:$A,$A1066)&gt;0,"ok","à faire")</f>
        <v>ok</v>
      </c>
      <c r="F1066" s="17" t="str">
        <f>IF(COUNTIF(Tags!$A:$A,$A1066)&gt;0,"ok","à faire")</f>
        <v>ok</v>
      </c>
      <c r="G1066" s="17" t="str">
        <f>IF(COUNTIF(Phrases!$A:$A,$A1066)&gt;0,"ok","à faire")</f>
        <v>à faire</v>
      </c>
      <c r="H1066" s="17" t="str">
        <f>IF(COUNTIFS(Phrases!$A:$A,$A1066,Phrases!$I:$I,"&lt;&gt;")&gt;0,"ok","à faire")</f>
        <v>à faire</v>
      </c>
      <c r="I1066" s="17" t="str">
        <f>IF(COUNTIF(Synonymes!$A:$A,$A1066)&gt;0,"ok","")</f>
        <v>ok</v>
      </c>
      <c r="J1066" s="17">
        <f t="shared" si="16"/>
        <v>2</v>
      </c>
    </row>
    <row r="1067" spans="1:10" x14ac:dyDescent="0.3">
      <c r="A1067" s="17" t="s">
        <v>5853</v>
      </c>
      <c r="B1067" s="17" t="str">
        <f>IFERROR(INDEX(Mots!$B:$B,MATCH($A1067,Mots!$A:$A,0)),"introuvable")</f>
        <v>le grain</v>
      </c>
      <c r="C1067" s="17" t="str">
        <f>IFERROR(INDEX(Mots!$N:$N,MATCH($A1067,Mots!$A:$A,0)),"")</f>
        <v>chose</v>
      </c>
      <c r="D1067" s="17">
        <f>IFERROR(COUNTA(INDEX(Mots!$E:$E,MATCH($A1067,Mots!$A:$A,0)):INDEX(Mots!$K:$K,MATCH($A1067,Mots!$A:$A,0))),0)</f>
        <v>5</v>
      </c>
      <c r="E1067" s="17" t="str">
        <f>IF(COUNTIF(Classement!$A:$A,$A1067)&gt;0,"ok","à faire")</f>
        <v>ok</v>
      </c>
      <c r="F1067" s="17" t="str">
        <f>IF(COUNTIF(Tags!$A:$A,$A1067)&gt;0,"ok","à faire")</f>
        <v>à faire</v>
      </c>
      <c r="G1067" s="17" t="str">
        <f>IF(COUNTIF(Phrases!$A:$A,$A1067)&gt;0,"ok","à faire")</f>
        <v>à faire</v>
      </c>
      <c r="H1067" s="17" t="str">
        <f>IF(COUNTIFS(Phrases!$A:$A,$A1067,Phrases!$I:$I,"&lt;&gt;")&gt;0,"ok","à faire")</f>
        <v>à faire</v>
      </c>
      <c r="I1067" s="17" t="str">
        <f>IF(COUNTIF(Synonymes!$A:$A,$A1067)&gt;0,"ok","")</f>
        <v/>
      </c>
      <c r="J1067" s="17">
        <f t="shared" si="16"/>
        <v>3</v>
      </c>
    </row>
    <row r="1068" spans="1:10" x14ac:dyDescent="0.3">
      <c r="A1068" s="17" t="s">
        <v>5861</v>
      </c>
      <c r="B1068" s="17" t="str">
        <f>IFERROR(INDEX(Mots!$B:$B,MATCH($A1068,Mots!$A:$A,0)),"introuvable")</f>
        <v>le groupe</v>
      </c>
      <c r="C1068" s="17" t="str">
        <f>IFERROR(INDEX(Mots!$N:$N,MATCH($A1068,Mots!$A:$A,0)),"")</f>
        <v>chose</v>
      </c>
      <c r="D1068" s="17">
        <f>IFERROR(COUNTA(INDEX(Mots!$E:$E,MATCH($A1068,Mots!$A:$A,0)):INDEX(Mots!$K:$K,MATCH($A1068,Mots!$A:$A,0))),0)</f>
        <v>1</v>
      </c>
      <c r="E1068" s="17" t="str">
        <f>IF(COUNTIF(Classement!$A:$A,$A1068)&gt;0,"ok","à faire")</f>
        <v>ok</v>
      </c>
      <c r="F1068" s="17" t="str">
        <f>IF(COUNTIF(Tags!$A:$A,$A1068)&gt;0,"ok","à faire")</f>
        <v>à faire</v>
      </c>
      <c r="G1068" s="17" t="str">
        <f>IF(COUNTIF(Phrases!$A:$A,$A1068)&gt;0,"ok","à faire")</f>
        <v>à faire</v>
      </c>
      <c r="H1068" s="17" t="str">
        <f>IF(COUNTIFS(Phrases!$A:$A,$A1068,Phrases!$I:$I,"&lt;&gt;")&gt;0,"ok","à faire")</f>
        <v>à faire</v>
      </c>
      <c r="I1068" s="17" t="str">
        <f>IF(COUNTIF(Synonymes!$A:$A,$A1068)&gt;0,"ok","")</f>
        <v>ok</v>
      </c>
      <c r="J1068" s="17">
        <f t="shared" si="16"/>
        <v>3</v>
      </c>
    </row>
    <row r="1069" spans="1:10" x14ac:dyDescent="0.3">
      <c r="A1069" s="17" t="s">
        <v>5865</v>
      </c>
      <c r="B1069" s="17" t="str">
        <f>IFERROR(INDEX(Mots!$B:$B,MATCH($A1069,Mots!$A:$A,0)),"introuvable")</f>
        <v>le hasard</v>
      </c>
      <c r="C1069" s="17" t="str">
        <f>IFERROR(INDEX(Mots!$N:$N,MATCH($A1069,Mots!$A:$A,0)),"")</f>
        <v>chose</v>
      </c>
      <c r="D1069" s="17">
        <f>IFERROR(COUNTA(INDEX(Mots!$E:$E,MATCH($A1069,Mots!$A:$A,0)):INDEX(Mots!$K:$K,MATCH($A1069,Mots!$A:$A,0))),0)</f>
        <v>1</v>
      </c>
      <c r="E1069" s="17" t="str">
        <f>IF(COUNTIF(Classement!$A:$A,$A1069)&gt;0,"ok","à faire")</f>
        <v>ok</v>
      </c>
      <c r="F1069" s="17" t="str">
        <f>IF(COUNTIF(Tags!$A:$A,$A1069)&gt;0,"ok","à faire")</f>
        <v>à faire</v>
      </c>
      <c r="G1069" s="17" t="str">
        <f>IF(COUNTIF(Phrases!$A:$A,$A1069)&gt;0,"ok","à faire")</f>
        <v>à faire</v>
      </c>
      <c r="H1069" s="17" t="str">
        <f>IF(COUNTIFS(Phrases!$A:$A,$A1069,Phrases!$I:$I,"&lt;&gt;")&gt;0,"ok","à faire")</f>
        <v>à faire</v>
      </c>
      <c r="I1069" s="17" t="str">
        <f>IF(COUNTIF(Synonymes!$A:$A,$A1069)&gt;0,"ok","")</f>
        <v/>
      </c>
      <c r="J1069" s="17">
        <f t="shared" si="16"/>
        <v>3</v>
      </c>
    </row>
    <row r="1070" spans="1:10" x14ac:dyDescent="0.3">
      <c r="A1070" s="17" t="s">
        <v>5869</v>
      </c>
      <c r="B1070" s="17" t="str">
        <f>IFERROR(INDEX(Mots!$B:$B,MATCH($A1070,Mots!$A:$A,0)),"introuvable")</f>
        <v>le hobby</v>
      </c>
      <c r="C1070" s="17" t="str">
        <f>IFERROR(INDEX(Mots!$N:$N,MATCH($A1070,Mots!$A:$A,0)),"")</f>
        <v>chose</v>
      </c>
      <c r="D1070" s="17">
        <f>IFERROR(COUNTA(INDEX(Mots!$E:$E,MATCH($A1070,Mots!$A:$A,0)):INDEX(Mots!$K:$K,MATCH($A1070,Mots!$A:$A,0))),0)</f>
        <v>4</v>
      </c>
      <c r="E1070" s="17" t="str">
        <f>IF(COUNTIF(Classement!$A:$A,$A1070)&gt;0,"ok","à faire")</f>
        <v>ok</v>
      </c>
      <c r="F1070" s="17" t="str">
        <f>IF(COUNTIF(Tags!$A:$A,$A1070)&gt;0,"ok","à faire")</f>
        <v>à faire</v>
      </c>
      <c r="G1070" s="17" t="str">
        <f>IF(COUNTIF(Phrases!$A:$A,$A1070)&gt;0,"ok","à faire")</f>
        <v>à faire</v>
      </c>
      <c r="H1070" s="17" t="str">
        <f>IF(COUNTIFS(Phrases!$A:$A,$A1070,Phrases!$I:$I,"&lt;&gt;")&gt;0,"ok","à faire")</f>
        <v>à faire</v>
      </c>
      <c r="I1070" s="17" t="str">
        <f>IF(COUNTIF(Synonymes!$A:$A,$A1070)&gt;0,"ok","")</f>
        <v>ok</v>
      </c>
      <c r="J1070" s="17">
        <f t="shared" si="16"/>
        <v>3</v>
      </c>
    </row>
    <row r="1071" spans="1:10" x14ac:dyDescent="0.3">
      <c r="A1071" s="17" t="s">
        <v>5872</v>
      </c>
      <c r="B1071" s="17" t="str">
        <f>IFERROR(INDEX(Mots!$B:$B,MATCH($A1071,Mots!$A:$A,0)),"introuvable")</f>
        <v>le jardin</v>
      </c>
      <c r="C1071" s="17" t="str">
        <f>IFERROR(INDEX(Mots!$N:$N,MATCH($A1071,Mots!$A:$A,0)),"")</f>
        <v>chose</v>
      </c>
      <c r="D1071" s="17">
        <f>IFERROR(COUNTA(INDEX(Mots!$E:$E,MATCH($A1071,Mots!$A:$A,0)):INDEX(Mots!$K:$K,MATCH($A1071,Mots!$A:$A,0))),0)</f>
        <v>1</v>
      </c>
      <c r="E1071" s="17" t="str">
        <f>IF(COUNTIF(Classement!$A:$A,$A1071)&gt;0,"ok","à faire")</f>
        <v>ok</v>
      </c>
      <c r="F1071" s="17" t="str">
        <f>IF(COUNTIF(Tags!$A:$A,$A1071)&gt;0,"ok","à faire")</f>
        <v>ok</v>
      </c>
      <c r="G1071" s="17" t="str">
        <f>IF(COUNTIF(Phrases!$A:$A,$A1071)&gt;0,"ok","à faire")</f>
        <v>à faire</v>
      </c>
      <c r="H1071" s="17" t="str">
        <f>IF(COUNTIFS(Phrases!$A:$A,$A1071,Phrases!$I:$I,"&lt;&gt;")&gt;0,"ok","à faire")</f>
        <v>à faire</v>
      </c>
      <c r="I1071" s="17" t="str">
        <f>IF(COUNTIF(Synonymes!$A:$A,$A1071)&gt;0,"ok","")</f>
        <v/>
      </c>
      <c r="J1071" s="17">
        <f t="shared" si="16"/>
        <v>2</v>
      </c>
    </row>
    <row r="1072" spans="1:10" x14ac:dyDescent="0.3">
      <c r="A1072" s="17" t="s">
        <v>5876</v>
      </c>
      <c r="B1072" s="17" t="str">
        <f>IFERROR(INDEX(Mots!$B:$B,MATCH($A1072,Mots!$A:$A,0)),"introuvable")</f>
        <v>le jardinage</v>
      </c>
      <c r="C1072" s="17" t="str">
        <f>IFERROR(INDEX(Mots!$N:$N,MATCH($A1072,Mots!$A:$A,0)),"")</f>
        <v>chose</v>
      </c>
      <c r="D1072" s="17">
        <f>IFERROR(COUNTA(INDEX(Mots!$E:$E,MATCH($A1072,Mots!$A:$A,0)):INDEX(Mots!$K:$K,MATCH($A1072,Mots!$A:$A,0))),0)</f>
        <v>5</v>
      </c>
      <c r="E1072" s="17" t="str">
        <f>IF(COUNTIF(Classement!$A:$A,$A1072)&gt;0,"ok","à faire")</f>
        <v>ok</v>
      </c>
      <c r="F1072" s="17" t="str">
        <f>IF(COUNTIF(Tags!$A:$A,$A1072)&gt;0,"ok","à faire")</f>
        <v>ok</v>
      </c>
      <c r="G1072" s="17" t="str">
        <f>IF(COUNTIF(Phrases!$A:$A,$A1072)&gt;0,"ok","à faire")</f>
        <v>à faire</v>
      </c>
      <c r="H1072" s="17" t="str">
        <f>IF(COUNTIFS(Phrases!$A:$A,$A1072,Phrases!$I:$I,"&lt;&gt;")&gt;0,"ok","à faire")</f>
        <v>à faire</v>
      </c>
      <c r="I1072" s="17" t="str">
        <f>IF(COUNTIF(Synonymes!$A:$A,$A1072)&gt;0,"ok","")</f>
        <v/>
      </c>
      <c r="J1072" s="17">
        <f t="shared" si="16"/>
        <v>2</v>
      </c>
    </row>
    <row r="1073" spans="1:10" x14ac:dyDescent="0.3">
      <c r="A1073" s="17" t="s">
        <v>5882</v>
      </c>
      <c r="B1073" s="17" t="str">
        <f>IFERROR(INDEX(Mots!$B:$B,MATCH($A1073,Mots!$A:$A,0)),"introuvable")</f>
        <v>le jeu</v>
      </c>
      <c r="C1073" s="17" t="str">
        <f>IFERROR(INDEX(Mots!$N:$N,MATCH($A1073,Mots!$A:$A,0)),"")</f>
        <v>chose</v>
      </c>
      <c r="D1073" s="17">
        <f>IFERROR(COUNTA(INDEX(Mots!$E:$E,MATCH($A1073,Mots!$A:$A,0)):INDEX(Mots!$K:$K,MATCH($A1073,Mots!$A:$A,0))),0)</f>
        <v>4</v>
      </c>
      <c r="E1073" s="17" t="str">
        <f>IF(COUNTIF(Classement!$A:$A,$A1073)&gt;0,"ok","à faire")</f>
        <v>ok</v>
      </c>
      <c r="F1073" s="17" t="str">
        <f>IF(COUNTIF(Tags!$A:$A,$A1073)&gt;0,"ok","à faire")</f>
        <v>à faire</v>
      </c>
      <c r="G1073" s="17" t="str">
        <f>IF(COUNTIF(Phrases!$A:$A,$A1073)&gt;0,"ok","à faire")</f>
        <v>ok</v>
      </c>
      <c r="H1073" s="17" t="str">
        <f>IF(COUNTIFS(Phrases!$A:$A,$A1073,Phrases!$I:$I,"&lt;&gt;")&gt;0,"ok","à faire")</f>
        <v>à faire</v>
      </c>
      <c r="I1073" s="17" t="str">
        <f>IF(COUNTIF(Synonymes!$A:$A,$A1073)&gt;0,"ok","")</f>
        <v/>
      </c>
      <c r="J1073" s="17">
        <f t="shared" si="16"/>
        <v>2</v>
      </c>
    </row>
    <row r="1074" spans="1:10" x14ac:dyDescent="0.3">
      <c r="A1074" s="17" t="s">
        <v>5887</v>
      </c>
      <c r="B1074" s="17" t="str">
        <f>IFERROR(INDEX(Mots!$B:$B,MATCH($A1074,Mots!$A:$A,0)),"introuvable")</f>
        <v>le jouet</v>
      </c>
      <c r="C1074" s="17" t="str">
        <f>IFERROR(INDEX(Mots!$N:$N,MATCH($A1074,Mots!$A:$A,0)),"")</f>
        <v>chose</v>
      </c>
      <c r="D1074" s="17">
        <f>IFERROR(COUNTA(INDEX(Mots!$E:$E,MATCH($A1074,Mots!$A:$A,0)):INDEX(Mots!$K:$K,MATCH($A1074,Mots!$A:$A,0))),0)</f>
        <v>1</v>
      </c>
      <c r="E1074" s="17" t="str">
        <f>IF(COUNTIF(Classement!$A:$A,$A1074)&gt;0,"ok","à faire")</f>
        <v>ok</v>
      </c>
      <c r="F1074" s="17" t="str">
        <f>IF(COUNTIF(Tags!$A:$A,$A1074)&gt;0,"ok","à faire")</f>
        <v>ok</v>
      </c>
      <c r="G1074" s="17" t="str">
        <f>IF(COUNTIF(Phrases!$A:$A,$A1074)&gt;0,"ok","à faire")</f>
        <v>ok</v>
      </c>
      <c r="H1074" s="17" t="str">
        <f>IF(COUNTIFS(Phrases!$A:$A,$A1074,Phrases!$I:$I,"&lt;&gt;")&gt;0,"ok","à faire")</f>
        <v>à faire</v>
      </c>
      <c r="I1074" s="17" t="str">
        <f>IF(COUNTIF(Synonymes!$A:$A,$A1074)&gt;0,"ok","")</f>
        <v/>
      </c>
      <c r="J1074" s="17">
        <f t="shared" si="16"/>
        <v>1</v>
      </c>
    </row>
    <row r="1075" spans="1:10" x14ac:dyDescent="0.3">
      <c r="A1075" s="17" t="s">
        <v>5891</v>
      </c>
      <c r="B1075" s="17" t="str">
        <f>IFERROR(INDEX(Mots!$B:$B,MATCH($A1075,Mots!$A:$A,0)),"introuvable")</f>
        <v>le jus</v>
      </c>
      <c r="C1075" s="17" t="str">
        <f>IFERROR(INDEX(Mots!$N:$N,MATCH($A1075,Mots!$A:$A,0)),"")</f>
        <v>chose</v>
      </c>
      <c r="D1075" s="17">
        <f>IFERROR(COUNTA(INDEX(Mots!$E:$E,MATCH($A1075,Mots!$A:$A,0)):INDEX(Mots!$K:$K,MATCH($A1075,Mots!$A:$A,0))),0)</f>
        <v>5</v>
      </c>
      <c r="E1075" s="17" t="str">
        <f>IF(COUNTIF(Classement!$A:$A,$A1075)&gt;0,"ok","à faire")</f>
        <v>ok</v>
      </c>
      <c r="F1075" s="17" t="str">
        <f>IF(COUNTIF(Tags!$A:$A,$A1075)&gt;0,"ok","à faire")</f>
        <v>ok</v>
      </c>
      <c r="G1075" s="17" t="str">
        <f>IF(COUNTIF(Phrases!$A:$A,$A1075)&gt;0,"ok","à faire")</f>
        <v>ok</v>
      </c>
      <c r="H1075" s="17" t="str">
        <f>IF(COUNTIFS(Phrases!$A:$A,$A1075,Phrases!$I:$I,"&lt;&gt;")&gt;0,"ok","à faire")</f>
        <v>ok</v>
      </c>
      <c r="I1075" s="17" t="str">
        <f>IF(COUNTIF(Synonymes!$A:$A,$A1075)&gt;0,"ok","")</f>
        <v/>
      </c>
      <c r="J1075" s="17">
        <f t="shared" si="16"/>
        <v>0</v>
      </c>
    </row>
    <row r="1076" spans="1:10" x14ac:dyDescent="0.3">
      <c r="A1076" s="17" t="s">
        <v>5899</v>
      </c>
      <c r="B1076" s="17" t="str">
        <f>IFERROR(INDEX(Mots!$B:$B,MATCH($A1076,Mots!$A:$A,0)),"introuvable")</f>
        <v>le lac</v>
      </c>
      <c r="C1076" s="17" t="str">
        <f>IFERROR(INDEX(Mots!$N:$N,MATCH($A1076,Mots!$A:$A,0)),"")</f>
        <v>chose</v>
      </c>
      <c r="D1076" s="17">
        <f>IFERROR(COUNTA(INDEX(Mots!$E:$E,MATCH($A1076,Mots!$A:$A,0)):INDEX(Mots!$K:$K,MATCH($A1076,Mots!$A:$A,0))),0)</f>
        <v>1</v>
      </c>
      <c r="E1076" s="17" t="str">
        <f>IF(COUNTIF(Classement!$A:$A,$A1076)&gt;0,"ok","à faire")</f>
        <v>ok</v>
      </c>
      <c r="F1076" s="17" t="str">
        <f>IF(COUNTIF(Tags!$A:$A,$A1076)&gt;0,"ok","à faire")</f>
        <v>ok</v>
      </c>
      <c r="G1076" s="17" t="str">
        <f>IF(COUNTIF(Phrases!$A:$A,$A1076)&gt;0,"ok","à faire")</f>
        <v>ok</v>
      </c>
      <c r="H1076" s="17" t="str">
        <f>IF(COUNTIFS(Phrases!$A:$A,$A1076,Phrases!$I:$I,"&lt;&gt;")&gt;0,"ok","à faire")</f>
        <v>ok</v>
      </c>
      <c r="I1076" s="17" t="str">
        <f>IF(COUNTIF(Synonymes!$A:$A,$A1076)&gt;0,"ok","")</f>
        <v/>
      </c>
      <c r="J1076" s="17">
        <f t="shared" si="16"/>
        <v>0</v>
      </c>
    </row>
    <row r="1077" spans="1:10" x14ac:dyDescent="0.3">
      <c r="A1077" s="17" t="s">
        <v>5903</v>
      </c>
      <c r="B1077" s="17" t="str">
        <f>IFERROR(INDEX(Mots!$B:$B,MATCH($A1077,Mots!$A:$A,0)),"introuvable")</f>
        <v>les produits laitiers</v>
      </c>
      <c r="C1077" s="17" t="str">
        <f>IFERROR(INDEX(Mots!$N:$N,MATCH($A1077,Mots!$A:$A,0)),"")</f>
        <v>chose</v>
      </c>
      <c r="D1077" s="17">
        <f>IFERROR(COUNTA(INDEX(Mots!$E:$E,MATCH($A1077,Mots!$A:$A,0)):INDEX(Mots!$K:$K,MATCH($A1077,Mots!$A:$A,0))),0)</f>
        <v>2</v>
      </c>
      <c r="E1077" s="17" t="str">
        <f>IF(COUNTIF(Classement!$A:$A,$A1077)&gt;0,"ok","à faire")</f>
        <v>à faire</v>
      </c>
      <c r="F1077" s="17" t="str">
        <f>IF(COUNTIF(Tags!$A:$A,$A1077)&gt;0,"ok","à faire")</f>
        <v>ok</v>
      </c>
      <c r="G1077" s="17" t="str">
        <f>IF(COUNTIF(Phrases!$A:$A,$A1077)&gt;0,"ok","à faire")</f>
        <v>ok</v>
      </c>
      <c r="H1077" s="17" t="str">
        <f>IF(COUNTIFS(Phrases!$A:$A,$A1077,Phrases!$I:$I,"&lt;&gt;")&gt;0,"ok","à faire")</f>
        <v>à faire</v>
      </c>
      <c r="I1077" s="17" t="str">
        <f>IF(COUNTIF(Synonymes!$A:$A,$A1077)&gt;0,"ok","")</f>
        <v/>
      </c>
      <c r="J1077" s="17">
        <f t="shared" si="16"/>
        <v>2</v>
      </c>
    </row>
    <row r="1078" spans="1:10" x14ac:dyDescent="0.3">
      <c r="A1078" s="17" t="s">
        <v>5908</v>
      </c>
      <c r="B1078" s="17" t="str">
        <f>IFERROR(INDEX(Mots!$B:$B,MATCH($A1078,Mots!$A:$A,0)),"introuvable")</f>
        <v>le lien</v>
      </c>
      <c r="C1078" s="17" t="str">
        <f>IFERROR(INDEX(Mots!$N:$N,MATCH($A1078,Mots!$A:$A,0)),"")</f>
        <v>chose</v>
      </c>
      <c r="D1078" s="17">
        <f>IFERROR(COUNTA(INDEX(Mots!$E:$E,MATCH($A1078,Mots!$A:$A,0)):INDEX(Mots!$K:$K,MATCH($A1078,Mots!$A:$A,0))),0)</f>
        <v>1</v>
      </c>
      <c r="E1078" s="17" t="str">
        <f>IF(COUNTIF(Classement!$A:$A,$A1078)&gt;0,"ok","à faire")</f>
        <v>ok</v>
      </c>
      <c r="F1078" s="17" t="str">
        <f>IF(COUNTIF(Tags!$A:$A,$A1078)&gt;0,"ok","à faire")</f>
        <v>à faire</v>
      </c>
      <c r="G1078" s="17" t="str">
        <f>IF(COUNTIF(Phrases!$A:$A,$A1078)&gt;0,"ok","à faire")</f>
        <v>ok</v>
      </c>
      <c r="H1078" s="17" t="str">
        <f>IF(COUNTIFS(Phrases!$A:$A,$A1078,Phrases!$I:$I,"&lt;&gt;")&gt;0,"ok","à faire")</f>
        <v>ok</v>
      </c>
      <c r="I1078" s="17" t="str">
        <f>IF(COUNTIF(Synonymes!$A:$A,$A1078)&gt;0,"ok","")</f>
        <v>ok</v>
      </c>
      <c r="J1078" s="17">
        <f t="shared" si="16"/>
        <v>1</v>
      </c>
    </row>
    <row r="1079" spans="1:10" x14ac:dyDescent="0.3">
      <c r="A1079" s="17" t="s">
        <v>5911</v>
      </c>
      <c r="B1079" s="17" t="str">
        <f>IFERROR(INDEX(Mots!$B:$B,MATCH($A1079,Mots!$A:$A,0)),"introuvable")</f>
        <v>le liquide</v>
      </c>
      <c r="C1079" s="17" t="str">
        <f>IFERROR(INDEX(Mots!$N:$N,MATCH($A1079,Mots!$A:$A,0)),"")</f>
        <v>chose</v>
      </c>
      <c r="D1079" s="17">
        <f>IFERROR(COUNTA(INDEX(Mots!$E:$E,MATCH($A1079,Mots!$A:$A,0)):INDEX(Mots!$K:$K,MATCH($A1079,Mots!$A:$A,0))),0)</f>
        <v>4</v>
      </c>
      <c r="E1079" s="17" t="str">
        <f>IF(COUNTIF(Classement!$A:$A,$A1079)&gt;0,"ok","à faire")</f>
        <v>ok</v>
      </c>
      <c r="F1079" s="17" t="str">
        <f>IF(COUNTIF(Tags!$A:$A,$A1079)&gt;0,"ok","à faire")</f>
        <v>à faire</v>
      </c>
      <c r="G1079" s="17" t="str">
        <f>IF(COUNTIF(Phrases!$A:$A,$A1079)&gt;0,"ok","à faire")</f>
        <v>ok</v>
      </c>
      <c r="H1079" s="17" t="str">
        <f>IF(COUNTIFS(Phrases!$A:$A,$A1079,Phrases!$I:$I,"&lt;&gt;")&gt;0,"ok","à faire")</f>
        <v>à faire</v>
      </c>
      <c r="I1079" s="17" t="str">
        <f>IF(COUNTIF(Synonymes!$A:$A,$A1079)&gt;0,"ok","")</f>
        <v/>
      </c>
      <c r="J1079" s="17">
        <f t="shared" si="16"/>
        <v>2</v>
      </c>
    </row>
    <row r="1080" spans="1:10" x14ac:dyDescent="0.3">
      <c r="A1080" s="17" t="s">
        <v>5918</v>
      </c>
      <c r="B1080" s="17" t="str">
        <f>IFERROR(INDEX(Mots!$B:$B,MATCH($A1080,Mots!$A:$A,0)),"introuvable")</f>
        <v>le livre</v>
      </c>
      <c r="C1080" s="17" t="str">
        <f>IFERROR(INDEX(Mots!$N:$N,MATCH($A1080,Mots!$A:$A,0)),"")</f>
        <v>chose</v>
      </c>
      <c r="D1080" s="17">
        <f>IFERROR(COUNTA(INDEX(Mots!$E:$E,MATCH($A1080,Mots!$A:$A,0)):INDEX(Mots!$K:$K,MATCH($A1080,Mots!$A:$A,0))),0)</f>
        <v>5</v>
      </c>
      <c r="E1080" s="17" t="str">
        <f>IF(COUNTIF(Classement!$A:$A,$A1080)&gt;0,"ok","à faire")</f>
        <v>ok</v>
      </c>
      <c r="F1080" s="17" t="str">
        <f>IF(COUNTIF(Tags!$A:$A,$A1080)&gt;0,"ok","à faire")</f>
        <v>ok</v>
      </c>
      <c r="G1080" s="17" t="str">
        <f>IF(COUNTIF(Phrases!$A:$A,$A1080)&gt;0,"ok","à faire")</f>
        <v>ok</v>
      </c>
      <c r="H1080" s="17" t="str">
        <f>IF(COUNTIFS(Phrases!$A:$A,$A1080,Phrases!$I:$I,"&lt;&gt;")&gt;0,"ok","à faire")</f>
        <v>ok</v>
      </c>
      <c r="I1080" s="17" t="str">
        <f>IF(COUNTIF(Synonymes!$A:$A,$A1080)&gt;0,"ok","")</f>
        <v>ok</v>
      </c>
      <c r="J1080" s="17">
        <f t="shared" si="16"/>
        <v>0</v>
      </c>
    </row>
    <row r="1081" spans="1:10" x14ac:dyDescent="0.3">
      <c r="A1081" s="17" t="s">
        <v>5926</v>
      </c>
      <c r="B1081" s="17" t="str">
        <f>IFERROR(INDEX(Mots!$B:$B,MATCH($A1081,Mots!$A:$A,0)),"introuvable")</f>
        <v>le logement</v>
      </c>
      <c r="C1081" s="17" t="str">
        <f>IFERROR(INDEX(Mots!$N:$N,MATCH($A1081,Mots!$A:$A,0)),"")</f>
        <v>lieu</v>
      </c>
      <c r="D1081" s="17">
        <f>IFERROR(COUNTA(INDEX(Mots!$E:$E,MATCH($A1081,Mots!$A:$A,0)):INDEX(Mots!$K:$K,MATCH($A1081,Mots!$A:$A,0))),0)</f>
        <v>4</v>
      </c>
      <c r="E1081" s="17" t="str">
        <f>IF(COUNTIF(Classement!$A:$A,$A1081)&gt;0,"ok","à faire")</f>
        <v>ok</v>
      </c>
      <c r="F1081" s="17" t="str">
        <f>IF(COUNTIF(Tags!$A:$A,$A1081)&gt;0,"ok","à faire")</f>
        <v>ok</v>
      </c>
      <c r="G1081" s="17" t="str">
        <f>IF(COUNTIF(Phrases!$A:$A,$A1081)&gt;0,"ok","à faire")</f>
        <v>ok</v>
      </c>
      <c r="H1081" s="17" t="str">
        <f>IF(COUNTIFS(Phrases!$A:$A,$A1081,Phrases!$I:$I,"&lt;&gt;")&gt;0,"ok","à faire")</f>
        <v>à faire</v>
      </c>
      <c r="I1081" s="17" t="str">
        <f>IF(COUNTIF(Synonymes!$A:$A,$A1081)&gt;0,"ok","")</f>
        <v>ok</v>
      </c>
      <c r="J1081" s="17">
        <f t="shared" si="16"/>
        <v>1</v>
      </c>
    </row>
    <row r="1082" spans="1:10" x14ac:dyDescent="0.3">
      <c r="A1082" s="17" t="s">
        <v>5929</v>
      </c>
      <c r="B1082" s="17" t="str">
        <f>IFERROR(INDEX(Mots!$B:$B,MATCH($A1082,Mots!$A:$A,0)),"introuvable")</f>
        <v>le maître</v>
      </c>
      <c r="C1082" s="17" t="str">
        <f>IFERROR(INDEX(Mots!$N:$N,MATCH($A1082,Mots!$A:$A,0)),"")</f>
        <v>chose</v>
      </c>
      <c r="D1082" s="17">
        <f>IFERROR(COUNTA(INDEX(Mots!$E:$E,MATCH($A1082,Mots!$A:$A,0)):INDEX(Mots!$K:$K,MATCH($A1082,Mots!$A:$A,0))),0)</f>
        <v>5</v>
      </c>
      <c r="E1082" s="17" t="str">
        <f>IF(COUNTIF(Classement!$A:$A,$A1082)&gt;0,"ok","à faire")</f>
        <v>ok</v>
      </c>
      <c r="F1082" s="17" t="str">
        <f>IF(COUNTIF(Tags!$A:$A,$A1082)&gt;0,"ok","à faire")</f>
        <v>ok</v>
      </c>
      <c r="G1082" s="17" t="str">
        <f>IF(COUNTIF(Phrases!$A:$A,$A1082)&gt;0,"ok","à faire")</f>
        <v>ok</v>
      </c>
      <c r="H1082" s="17" t="str">
        <f>IF(COUNTIFS(Phrases!$A:$A,$A1082,Phrases!$I:$I,"&lt;&gt;")&gt;0,"ok","à faire")</f>
        <v>à faire</v>
      </c>
      <c r="I1082" s="17" t="str">
        <f>IF(COUNTIF(Synonymes!$A:$A,$A1082)&gt;0,"ok","")</f>
        <v>ok</v>
      </c>
      <c r="J1082" s="17">
        <f t="shared" si="16"/>
        <v>1</v>
      </c>
    </row>
    <row r="1083" spans="1:10" x14ac:dyDescent="0.3">
      <c r="A1083" s="17" t="s">
        <v>5937</v>
      </c>
      <c r="B1083" s="17" t="str">
        <f>IFERROR(INDEX(Mots!$B:$B,MATCH($A1083,Mots!$A:$A,0)),"introuvable")</f>
        <v>le manteau</v>
      </c>
      <c r="C1083" s="17" t="str">
        <f>IFERROR(INDEX(Mots!$N:$N,MATCH($A1083,Mots!$A:$A,0)),"")</f>
        <v>chose</v>
      </c>
      <c r="D1083" s="17">
        <f>IFERROR(COUNTA(INDEX(Mots!$E:$E,MATCH($A1083,Mots!$A:$A,0)):INDEX(Mots!$K:$K,MATCH($A1083,Mots!$A:$A,0))),0)</f>
        <v>1</v>
      </c>
      <c r="E1083" s="17" t="str">
        <f>IF(COUNTIF(Classement!$A:$A,$A1083)&gt;0,"ok","à faire")</f>
        <v>ok</v>
      </c>
      <c r="F1083" s="17" t="str">
        <f>IF(COUNTIF(Tags!$A:$A,$A1083)&gt;0,"ok","à faire")</f>
        <v>ok</v>
      </c>
      <c r="G1083" s="17" t="str">
        <f>IF(COUNTIF(Phrases!$A:$A,$A1083)&gt;0,"ok","à faire")</f>
        <v>ok</v>
      </c>
      <c r="H1083" s="17" t="str">
        <f>IF(COUNTIFS(Phrases!$A:$A,$A1083,Phrases!$I:$I,"&lt;&gt;")&gt;0,"ok","à faire")</f>
        <v>ok</v>
      </c>
      <c r="I1083" s="17" t="str">
        <f>IF(COUNTIF(Synonymes!$A:$A,$A1083)&gt;0,"ok","")</f>
        <v/>
      </c>
      <c r="J1083" s="17">
        <f t="shared" si="16"/>
        <v>0</v>
      </c>
    </row>
    <row r="1084" spans="1:10" x14ac:dyDescent="0.3">
      <c r="A1084" s="17" t="s">
        <v>5941</v>
      </c>
      <c r="B1084" s="17" t="str">
        <f>IFERROR(INDEX(Mots!$B:$B,MATCH($A1084,Mots!$A:$A,0)),"introuvable")</f>
        <v>le marteau</v>
      </c>
      <c r="C1084" s="17" t="str">
        <f>IFERROR(INDEX(Mots!$N:$N,MATCH($A1084,Mots!$A:$A,0)),"")</f>
        <v>chose</v>
      </c>
      <c r="D1084" s="17">
        <f>IFERROR(COUNTA(INDEX(Mots!$E:$E,MATCH($A1084,Mots!$A:$A,0)):INDEX(Mots!$K:$K,MATCH($A1084,Mots!$A:$A,0))),0)</f>
        <v>5</v>
      </c>
      <c r="E1084" s="17" t="str">
        <f>IF(COUNTIF(Classement!$A:$A,$A1084)&gt;0,"ok","à faire")</f>
        <v>ok</v>
      </c>
      <c r="F1084" s="17" t="str">
        <f>IF(COUNTIF(Tags!$A:$A,$A1084)&gt;0,"ok","à faire")</f>
        <v>ok</v>
      </c>
      <c r="G1084" s="17" t="str">
        <f>IF(COUNTIF(Phrases!$A:$A,$A1084)&gt;0,"ok","à faire")</f>
        <v>ok</v>
      </c>
      <c r="H1084" s="17" t="str">
        <f>IF(COUNTIFS(Phrases!$A:$A,$A1084,Phrases!$I:$I,"&lt;&gt;")&gt;0,"ok","à faire")</f>
        <v>ok</v>
      </c>
      <c r="I1084" s="17" t="str">
        <f>IF(COUNTIF(Synonymes!$A:$A,$A1084)&gt;0,"ok","")</f>
        <v/>
      </c>
      <c r="J1084" s="17">
        <f t="shared" si="16"/>
        <v>0</v>
      </c>
    </row>
    <row r="1085" spans="1:10" x14ac:dyDescent="0.3">
      <c r="A1085" s="17" t="s">
        <v>5949</v>
      </c>
      <c r="B1085" s="17" t="str">
        <f>IFERROR(INDEX(Mots!$B:$B,MATCH($A1085,Mots!$A:$A,0)),"introuvable")</f>
        <v>le match</v>
      </c>
      <c r="C1085" s="17" t="str">
        <f>IFERROR(INDEX(Mots!$N:$N,MATCH($A1085,Mots!$A:$A,0)),"")</f>
        <v>chose</v>
      </c>
      <c r="D1085" s="17">
        <f>IFERROR(COUNTA(INDEX(Mots!$E:$E,MATCH($A1085,Mots!$A:$A,0)):INDEX(Mots!$K:$K,MATCH($A1085,Mots!$A:$A,0))),0)</f>
        <v>5</v>
      </c>
      <c r="E1085" s="17" t="str">
        <f>IF(COUNTIF(Classement!$A:$A,$A1085)&gt;0,"ok","à faire")</f>
        <v>ok</v>
      </c>
      <c r="F1085" s="17" t="str">
        <f>IF(COUNTIF(Tags!$A:$A,$A1085)&gt;0,"ok","à faire")</f>
        <v>à faire</v>
      </c>
      <c r="G1085" s="17" t="str">
        <f>IF(COUNTIF(Phrases!$A:$A,$A1085)&gt;0,"ok","à faire")</f>
        <v>ok</v>
      </c>
      <c r="H1085" s="17" t="str">
        <f>IF(COUNTIFS(Phrases!$A:$A,$A1085,Phrases!$I:$I,"&lt;&gt;")&gt;0,"ok","à faire")</f>
        <v>ok</v>
      </c>
      <c r="I1085" s="17" t="str">
        <f>IF(COUNTIF(Synonymes!$A:$A,$A1085)&gt;0,"ok","")</f>
        <v/>
      </c>
      <c r="J1085" s="17">
        <f t="shared" si="16"/>
        <v>1</v>
      </c>
    </row>
    <row r="1086" spans="1:10" x14ac:dyDescent="0.3">
      <c r="A1086" s="17" t="s">
        <v>5957</v>
      </c>
      <c r="B1086" s="17" t="str">
        <f>IFERROR(INDEX(Mots!$B:$B,MATCH($A1086,Mots!$A:$A,0)),"introuvable")</f>
        <v>le médicament</v>
      </c>
      <c r="C1086" s="17" t="str">
        <f>IFERROR(INDEX(Mots!$N:$N,MATCH($A1086,Mots!$A:$A,0)),"")</f>
        <v>chose</v>
      </c>
      <c r="D1086" s="17">
        <f>IFERROR(COUNTA(INDEX(Mots!$E:$E,MATCH($A1086,Mots!$A:$A,0)):INDEX(Mots!$K:$K,MATCH($A1086,Mots!$A:$A,0))),0)</f>
        <v>5</v>
      </c>
      <c r="E1086" s="17" t="str">
        <f>IF(COUNTIF(Classement!$A:$A,$A1086)&gt;0,"ok","à faire")</f>
        <v>ok</v>
      </c>
      <c r="F1086" s="17" t="str">
        <f>IF(COUNTIF(Tags!$A:$A,$A1086)&gt;0,"ok","à faire")</f>
        <v>ok</v>
      </c>
      <c r="G1086" s="17" t="str">
        <f>IF(COUNTIF(Phrases!$A:$A,$A1086)&gt;0,"ok","à faire")</f>
        <v>ok</v>
      </c>
      <c r="H1086" s="17" t="str">
        <f>IF(COUNTIFS(Phrases!$A:$A,$A1086,Phrases!$I:$I,"&lt;&gt;")&gt;0,"ok","à faire")</f>
        <v>ok</v>
      </c>
      <c r="I1086" s="17" t="str">
        <f>IF(COUNTIF(Synonymes!$A:$A,$A1086)&gt;0,"ok","")</f>
        <v>ok</v>
      </c>
      <c r="J1086" s="17">
        <f t="shared" si="16"/>
        <v>0</v>
      </c>
    </row>
    <row r="1087" spans="1:10" x14ac:dyDescent="0.3">
      <c r="A1087" s="17" t="s">
        <v>5965</v>
      </c>
      <c r="B1087" s="17" t="str">
        <f>IFERROR(INDEX(Mots!$B:$B,MATCH($A1087,Mots!$A:$A,0)),"introuvable")</f>
        <v>le mélange</v>
      </c>
      <c r="C1087" s="17" t="str">
        <f>IFERROR(INDEX(Mots!$N:$N,MATCH($A1087,Mots!$A:$A,0)),"")</f>
        <v>chose</v>
      </c>
      <c r="D1087" s="17">
        <f>IFERROR(COUNTA(INDEX(Mots!$E:$E,MATCH($A1087,Mots!$A:$A,0)):INDEX(Mots!$K:$K,MATCH($A1087,Mots!$A:$A,0))),0)</f>
        <v>1</v>
      </c>
      <c r="E1087" s="17" t="str">
        <f>IF(COUNTIF(Classement!$A:$A,$A1087)&gt;0,"ok","à faire")</f>
        <v>ok</v>
      </c>
      <c r="F1087" s="17" t="str">
        <f>IF(COUNTIF(Tags!$A:$A,$A1087)&gt;0,"ok","à faire")</f>
        <v>à faire</v>
      </c>
      <c r="G1087" s="17" t="str">
        <f>IF(COUNTIF(Phrases!$A:$A,$A1087)&gt;0,"ok","à faire")</f>
        <v>ok</v>
      </c>
      <c r="H1087" s="17" t="str">
        <f>IF(COUNTIFS(Phrases!$A:$A,$A1087,Phrases!$I:$I,"&lt;&gt;")&gt;0,"ok","à faire")</f>
        <v>à faire</v>
      </c>
      <c r="I1087" s="17" t="str">
        <f>IF(COUNTIF(Synonymes!$A:$A,$A1087)&gt;0,"ok","")</f>
        <v/>
      </c>
      <c r="J1087" s="17">
        <f t="shared" si="16"/>
        <v>2</v>
      </c>
    </row>
    <row r="1088" spans="1:10" x14ac:dyDescent="0.3">
      <c r="A1088" s="17" t="s">
        <v>5969</v>
      </c>
      <c r="B1088" s="17" t="str">
        <f>IFERROR(INDEX(Mots!$B:$B,MATCH($A1088,Mots!$A:$A,0)),"introuvable")</f>
        <v>le mensonge</v>
      </c>
      <c r="C1088" s="17" t="str">
        <f>IFERROR(INDEX(Mots!$N:$N,MATCH($A1088,Mots!$A:$A,0)),"")</f>
        <v>chose</v>
      </c>
      <c r="D1088" s="17">
        <f>IFERROR(COUNTA(INDEX(Mots!$E:$E,MATCH($A1088,Mots!$A:$A,0)):INDEX(Mots!$K:$K,MATCH($A1088,Mots!$A:$A,0))),0)</f>
        <v>2</v>
      </c>
      <c r="E1088" s="17" t="str">
        <f>IF(COUNTIF(Classement!$A:$A,$A1088)&gt;0,"ok","à faire")</f>
        <v>ok</v>
      </c>
      <c r="F1088" s="17" t="str">
        <f>IF(COUNTIF(Tags!$A:$A,$A1088)&gt;0,"ok","à faire")</f>
        <v>à faire</v>
      </c>
      <c r="G1088" s="17" t="str">
        <f>IF(COUNTIF(Phrases!$A:$A,$A1088)&gt;0,"ok","à faire")</f>
        <v>ok</v>
      </c>
      <c r="H1088" s="17" t="str">
        <f>IF(COUNTIFS(Phrases!$A:$A,$A1088,Phrases!$I:$I,"&lt;&gt;")&gt;0,"ok","à faire")</f>
        <v>à faire</v>
      </c>
      <c r="I1088" s="17" t="str">
        <f>IF(COUNTIF(Synonymes!$A:$A,$A1088)&gt;0,"ok","")</f>
        <v/>
      </c>
      <c r="J1088" s="17">
        <f t="shared" si="16"/>
        <v>2</v>
      </c>
    </row>
    <row r="1089" spans="1:10" x14ac:dyDescent="0.3">
      <c r="A1089" s="17" t="s">
        <v>5976</v>
      </c>
      <c r="B1089" s="17" t="str">
        <f>IFERROR(INDEX(Mots!$B:$B,MATCH($A1089,Mots!$A:$A,0)),"introuvable")</f>
        <v>le métal</v>
      </c>
      <c r="C1089" s="17" t="str">
        <f>IFERROR(INDEX(Mots!$N:$N,MATCH($A1089,Mots!$A:$A,0)),"")</f>
        <v>chose</v>
      </c>
      <c r="D1089" s="17">
        <f>IFERROR(COUNTA(INDEX(Mots!$E:$E,MATCH($A1089,Mots!$A:$A,0)):INDEX(Mots!$K:$K,MATCH($A1089,Mots!$A:$A,0))),0)</f>
        <v>1</v>
      </c>
      <c r="E1089" s="17" t="str">
        <f>IF(COUNTIF(Classement!$A:$A,$A1089)&gt;0,"ok","à faire")</f>
        <v>ok</v>
      </c>
      <c r="F1089" s="17" t="str">
        <f>IF(COUNTIF(Tags!$A:$A,$A1089)&gt;0,"ok","à faire")</f>
        <v>ok</v>
      </c>
      <c r="G1089" s="17" t="str">
        <f>IF(COUNTIF(Phrases!$A:$A,$A1089)&gt;0,"ok","à faire")</f>
        <v>ok</v>
      </c>
      <c r="H1089" s="17" t="str">
        <f>IF(COUNTIFS(Phrases!$A:$A,$A1089,Phrases!$I:$I,"&lt;&gt;")&gt;0,"ok","à faire")</f>
        <v>ok</v>
      </c>
      <c r="I1089" s="17" t="str">
        <f>IF(COUNTIF(Synonymes!$A:$A,$A1089)&gt;0,"ok","")</f>
        <v/>
      </c>
      <c r="J1089" s="17">
        <f t="shared" ref="J1089:J1152" si="17">COUNTIF(E1089:H1089,"à faire")</f>
        <v>0</v>
      </c>
    </row>
    <row r="1090" spans="1:10" x14ac:dyDescent="0.3">
      <c r="A1090" s="17" t="s">
        <v>5980</v>
      </c>
      <c r="B1090" s="17" t="str">
        <f>IFERROR(INDEX(Mots!$B:$B,MATCH($A1090,Mots!$A:$A,0)),"introuvable")</f>
        <v>le miel</v>
      </c>
      <c r="C1090" s="17" t="str">
        <f>IFERROR(INDEX(Mots!$N:$N,MATCH($A1090,Mots!$A:$A,0)),"")</f>
        <v>chose</v>
      </c>
      <c r="D1090" s="17">
        <f>IFERROR(COUNTA(INDEX(Mots!$E:$E,MATCH($A1090,Mots!$A:$A,0)):INDEX(Mots!$K:$K,MATCH($A1090,Mots!$A:$A,0))),0)</f>
        <v>1</v>
      </c>
      <c r="E1090" s="17" t="str">
        <f>IF(COUNTIF(Classement!$A:$A,$A1090)&gt;0,"ok","à faire")</f>
        <v>ok</v>
      </c>
      <c r="F1090" s="17" t="str">
        <f>IF(COUNTIF(Tags!$A:$A,$A1090)&gt;0,"ok","à faire")</f>
        <v>ok</v>
      </c>
      <c r="G1090" s="17" t="str">
        <f>IF(COUNTIF(Phrases!$A:$A,$A1090)&gt;0,"ok","à faire")</f>
        <v>ok</v>
      </c>
      <c r="H1090" s="17" t="str">
        <f>IF(COUNTIFS(Phrases!$A:$A,$A1090,Phrases!$I:$I,"&lt;&gt;")&gt;0,"ok","à faire")</f>
        <v>ok</v>
      </c>
      <c r="I1090" s="17" t="str">
        <f>IF(COUNTIF(Synonymes!$A:$A,$A1090)&gt;0,"ok","")</f>
        <v/>
      </c>
      <c r="J1090" s="17">
        <f t="shared" si="17"/>
        <v>0</v>
      </c>
    </row>
    <row r="1091" spans="1:10" x14ac:dyDescent="0.3">
      <c r="A1091" s="17" t="s">
        <v>5984</v>
      </c>
      <c r="B1091" s="17" t="str">
        <f>IFERROR(INDEX(Mots!$B:$B,MATCH($A1091,Mots!$A:$A,0)),"introuvable")</f>
        <v>le milieu</v>
      </c>
      <c r="C1091" s="17" t="str">
        <f>IFERROR(INDEX(Mots!$N:$N,MATCH($A1091,Mots!$A:$A,0)),"")</f>
        <v>chose</v>
      </c>
      <c r="D1091" s="17">
        <f>IFERROR(COUNTA(INDEX(Mots!$E:$E,MATCH($A1091,Mots!$A:$A,0)):INDEX(Mots!$K:$K,MATCH($A1091,Mots!$A:$A,0))),0)</f>
        <v>2</v>
      </c>
      <c r="E1091" s="17" t="str">
        <f>IF(COUNTIF(Classement!$A:$A,$A1091)&gt;0,"ok","à faire")</f>
        <v>ok</v>
      </c>
      <c r="F1091" s="17" t="str">
        <f>IF(COUNTIF(Tags!$A:$A,$A1091)&gt;0,"ok","à faire")</f>
        <v>à faire</v>
      </c>
      <c r="G1091" s="17" t="str">
        <f>IF(COUNTIF(Phrases!$A:$A,$A1091)&gt;0,"ok","à faire")</f>
        <v>ok</v>
      </c>
      <c r="H1091" s="17" t="str">
        <f>IF(COUNTIFS(Phrases!$A:$A,$A1091,Phrases!$I:$I,"&lt;&gt;")&gt;0,"ok","à faire")</f>
        <v>ok</v>
      </c>
      <c r="I1091" s="17" t="str">
        <f>IF(COUNTIF(Synonymes!$A:$A,$A1091)&gt;0,"ok","")</f>
        <v/>
      </c>
      <c r="J1091" s="17">
        <f t="shared" si="17"/>
        <v>1</v>
      </c>
    </row>
    <row r="1092" spans="1:10" x14ac:dyDescent="0.3">
      <c r="A1092" s="17" t="s">
        <v>5989</v>
      </c>
      <c r="B1092" s="17" t="str">
        <f>IFERROR(INDEX(Mots!$B:$B,MATCH($A1092,Mots!$A:$A,0)),"introuvable")</f>
        <v>le moment</v>
      </c>
      <c r="C1092" s="17" t="str">
        <f>IFERROR(INDEX(Mots!$N:$N,MATCH($A1092,Mots!$A:$A,0)),"")</f>
        <v>mot utile</v>
      </c>
      <c r="D1092" s="17">
        <f>IFERROR(COUNTA(INDEX(Mots!$E:$E,MATCH($A1092,Mots!$A:$A,0)):INDEX(Mots!$K:$K,MATCH($A1092,Mots!$A:$A,0))),0)</f>
        <v>1</v>
      </c>
      <c r="E1092" s="17" t="str">
        <f>IF(COUNTIF(Classement!$A:$A,$A1092)&gt;0,"ok","à faire")</f>
        <v>ok</v>
      </c>
      <c r="F1092" s="17" t="str">
        <f>IF(COUNTIF(Tags!$A:$A,$A1092)&gt;0,"ok","à faire")</f>
        <v>ok</v>
      </c>
      <c r="G1092" s="17" t="str">
        <f>IF(COUNTIF(Phrases!$A:$A,$A1092)&gt;0,"ok","à faire")</f>
        <v>à faire</v>
      </c>
      <c r="H1092" s="17" t="str">
        <f>IF(COUNTIFS(Phrases!$A:$A,$A1092,Phrases!$I:$I,"&lt;&gt;")&gt;0,"ok","à faire")</f>
        <v>à faire</v>
      </c>
      <c r="I1092" s="17" t="str">
        <f>IF(COUNTIF(Synonymes!$A:$A,$A1092)&gt;0,"ok","")</f>
        <v>ok</v>
      </c>
      <c r="J1092" s="17">
        <f t="shared" si="17"/>
        <v>2</v>
      </c>
    </row>
    <row r="1093" spans="1:10" x14ac:dyDescent="0.3">
      <c r="A1093" s="17" t="s">
        <v>5993</v>
      </c>
      <c r="B1093" s="17" t="str">
        <f>IFERROR(INDEX(Mots!$B:$B,MATCH($A1093,Mots!$A:$A,0)),"introuvable")</f>
        <v>le monde</v>
      </c>
      <c r="C1093" s="17" t="str">
        <f>IFERROR(INDEX(Mots!$N:$N,MATCH($A1093,Mots!$A:$A,0)),"")</f>
        <v>chose</v>
      </c>
      <c r="D1093" s="17">
        <f>IFERROR(COUNTA(INDEX(Mots!$E:$E,MATCH($A1093,Mots!$A:$A,0)):INDEX(Mots!$K:$K,MATCH($A1093,Mots!$A:$A,0))),0)</f>
        <v>1</v>
      </c>
      <c r="E1093" s="17" t="str">
        <f>IF(COUNTIF(Classement!$A:$A,$A1093)&gt;0,"ok","à faire")</f>
        <v>ok</v>
      </c>
      <c r="F1093" s="17" t="str">
        <f>IF(COUNTIF(Tags!$A:$A,$A1093)&gt;0,"ok","à faire")</f>
        <v>à faire</v>
      </c>
      <c r="G1093" s="17" t="str">
        <f>IF(COUNTIF(Phrases!$A:$A,$A1093)&gt;0,"ok","à faire")</f>
        <v>ok</v>
      </c>
      <c r="H1093" s="17" t="str">
        <f>IF(COUNTIFS(Phrases!$A:$A,$A1093,Phrases!$I:$I,"&lt;&gt;")&gt;0,"ok","à faire")</f>
        <v>ok</v>
      </c>
      <c r="I1093" s="17" t="str">
        <f>IF(COUNTIF(Synonymes!$A:$A,$A1093)&gt;0,"ok","")</f>
        <v>ok</v>
      </c>
      <c r="J1093" s="17">
        <f t="shared" si="17"/>
        <v>1</v>
      </c>
    </row>
    <row r="1094" spans="1:10" x14ac:dyDescent="0.3">
      <c r="A1094" s="17" t="s">
        <v>5996</v>
      </c>
      <c r="B1094" s="17" t="str">
        <f>IFERROR(INDEX(Mots!$B:$B,MATCH($A1094,Mots!$A:$A,0)),"introuvable")</f>
        <v>le morceau</v>
      </c>
      <c r="C1094" s="17" t="str">
        <f>IFERROR(INDEX(Mots!$N:$N,MATCH($A1094,Mots!$A:$A,0)),"")</f>
        <v>chose</v>
      </c>
      <c r="D1094" s="17">
        <f>IFERROR(COUNTA(INDEX(Mots!$E:$E,MATCH($A1094,Mots!$A:$A,0)):INDEX(Mots!$K:$K,MATCH($A1094,Mots!$A:$A,0))),0)</f>
        <v>3</v>
      </c>
      <c r="E1094" s="17" t="str">
        <f>IF(COUNTIF(Classement!$A:$A,$A1094)&gt;0,"ok","à faire")</f>
        <v>ok</v>
      </c>
      <c r="F1094" s="17" t="str">
        <f>IF(COUNTIF(Tags!$A:$A,$A1094)&gt;0,"ok","à faire")</f>
        <v>à faire</v>
      </c>
      <c r="G1094" s="17" t="str">
        <f>IF(COUNTIF(Phrases!$A:$A,$A1094)&gt;0,"ok","à faire")</f>
        <v>ok</v>
      </c>
      <c r="H1094" s="17" t="str">
        <f>IF(COUNTIFS(Phrases!$A:$A,$A1094,Phrases!$I:$I,"&lt;&gt;")&gt;0,"ok","à faire")</f>
        <v>ok</v>
      </c>
      <c r="I1094" s="17" t="str">
        <f>IF(COUNTIF(Synonymes!$A:$A,$A1094)&gt;0,"ok","")</f>
        <v>ok</v>
      </c>
      <c r="J1094" s="17">
        <f t="shared" si="17"/>
        <v>1</v>
      </c>
    </row>
    <row r="1095" spans="1:10" x14ac:dyDescent="0.3">
      <c r="A1095" s="17" t="s">
        <v>6002</v>
      </c>
      <c r="B1095" s="17" t="str">
        <f>IFERROR(INDEX(Mots!$B:$B,MATCH($A1095,Mots!$A:$A,0)),"introuvable")</f>
        <v>le moteur</v>
      </c>
      <c r="C1095" s="17" t="str">
        <f>IFERROR(INDEX(Mots!$N:$N,MATCH($A1095,Mots!$A:$A,0)),"")</f>
        <v>chose</v>
      </c>
      <c r="D1095" s="17">
        <f>IFERROR(COUNTA(INDEX(Mots!$E:$E,MATCH($A1095,Mots!$A:$A,0)):INDEX(Mots!$K:$K,MATCH($A1095,Mots!$A:$A,0))),0)</f>
        <v>5</v>
      </c>
      <c r="E1095" s="17" t="str">
        <f>IF(COUNTIF(Classement!$A:$A,$A1095)&gt;0,"ok","à faire")</f>
        <v>ok</v>
      </c>
      <c r="F1095" s="17" t="str">
        <f>IF(COUNTIF(Tags!$A:$A,$A1095)&gt;0,"ok","à faire")</f>
        <v>ok</v>
      </c>
      <c r="G1095" s="17" t="str">
        <f>IF(COUNTIF(Phrases!$A:$A,$A1095)&gt;0,"ok","à faire")</f>
        <v>ok</v>
      </c>
      <c r="H1095" s="17" t="str">
        <f>IF(COUNTIFS(Phrases!$A:$A,$A1095,Phrases!$I:$I,"&lt;&gt;")&gt;0,"ok","à faire")</f>
        <v>à faire</v>
      </c>
      <c r="I1095" s="17" t="str">
        <f>IF(COUNTIF(Synonymes!$A:$A,$A1095)&gt;0,"ok","")</f>
        <v/>
      </c>
      <c r="J1095" s="17">
        <f t="shared" si="17"/>
        <v>1</v>
      </c>
    </row>
    <row r="1096" spans="1:10" x14ac:dyDescent="0.3">
      <c r="A1096" s="17" t="s">
        <v>6010</v>
      </c>
      <c r="B1096" s="17" t="str">
        <f>IFERROR(INDEX(Mots!$B:$B,MATCH($A1096,Mots!$A:$A,0)),"introuvable")</f>
        <v>le mouvement</v>
      </c>
      <c r="C1096" s="17" t="str">
        <f>IFERROR(INDEX(Mots!$N:$N,MATCH($A1096,Mots!$A:$A,0)),"")</f>
        <v>chose</v>
      </c>
      <c r="D1096" s="17">
        <f>IFERROR(COUNTA(INDEX(Mots!$E:$E,MATCH($A1096,Mots!$A:$A,0)):INDEX(Mots!$K:$K,MATCH($A1096,Mots!$A:$A,0))),0)</f>
        <v>1</v>
      </c>
      <c r="E1096" s="17" t="str">
        <f>IF(COUNTIF(Classement!$A:$A,$A1096)&gt;0,"ok","à faire")</f>
        <v>ok</v>
      </c>
      <c r="F1096" s="17" t="str">
        <f>IF(COUNTIF(Tags!$A:$A,$A1096)&gt;0,"ok","à faire")</f>
        <v>ok</v>
      </c>
      <c r="G1096" s="17" t="str">
        <f>IF(COUNTIF(Phrases!$A:$A,$A1096)&gt;0,"ok","à faire")</f>
        <v>ok</v>
      </c>
      <c r="H1096" s="17" t="str">
        <f>IF(COUNTIFS(Phrases!$A:$A,$A1096,Phrases!$I:$I,"&lt;&gt;")&gt;0,"ok","à faire")</f>
        <v>à faire</v>
      </c>
      <c r="I1096" s="17" t="str">
        <f>IF(COUNTIF(Synonymes!$A:$A,$A1096)&gt;0,"ok","")</f>
        <v/>
      </c>
      <c r="J1096" s="17">
        <f t="shared" si="17"/>
        <v>1</v>
      </c>
    </row>
    <row r="1097" spans="1:10" x14ac:dyDescent="0.3">
      <c r="A1097" s="17" t="s">
        <v>6014</v>
      </c>
      <c r="B1097" s="17" t="str">
        <f>IFERROR(INDEX(Mots!$B:$B,MATCH($A1097,Mots!$A:$A,0)),"introuvable")</f>
        <v>le musicien</v>
      </c>
      <c r="C1097" s="17" t="str">
        <f>IFERROR(INDEX(Mots!$N:$N,MATCH($A1097,Mots!$A:$A,0)),"")</f>
        <v>personne</v>
      </c>
      <c r="D1097" s="17">
        <f>IFERROR(COUNTA(INDEX(Mots!$E:$E,MATCH($A1097,Mots!$A:$A,0)):INDEX(Mots!$K:$K,MATCH($A1097,Mots!$A:$A,0))),0)</f>
        <v>5</v>
      </c>
      <c r="E1097" s="17" t="str">
        <f>IF(COUNTIF(Classement!$A:$A,$A1097)&gt;0,"ok","à faire")</f>
        <v>ok</v>
      </c>
      <c r="F1097" s="17" t="str">
        <f>IF(COUNTIF(Tags!$A:$A,$A1097)&gt;0,"ok","à faire")</f>
        <v>à faire</v>
      </c>
      <c r="G1097" s="17" t="str">
        <f>IF(COUNTIF(Phrases!$A:$A,$A1097)&gt;0,"ok","à faire")</f>
        <v>à faire</v>
      </c>
      <c r="H1097" s="17" t="str">
        <f>IF(COUNTIFS(Phrases!$A:$A,$A1097,Phrases!$I:$I,"&lt;&gt;")&gt;0,"ok","à faire")</f>
        <v>à faire</v>
      </c>
      <c r="I1097" s="17" t="str">
        <f>IF(COUNTIF(Synonymes!$A:$A,$A1097)&gt;0,"ok","")</f>
        <v/>
      </c>
      <c r="J1097" s="17">
        <f t="shared" si="17"/>
        <v>3</v>
      </c>
    </row>
    <row r="1098" spans="1:10" x14ac:dyDescent="0.3">
      <c r="A1098" s="17" t="s">
        <v>6022</v>
      </c>
      <c r="B1098" s="17" t="str">
        <f>IFERROR(INDEX(Mots!$B:$B,MATCH($A1098,Mots!$A:$A,0)),"introuvable")</f>
        <v>le niveau</v>
      </c>
      <c r="C1098" s="17" t="str">
        <f>IFERROR(INDEX(Mots!$N:$N,MATCH($A1098,Mots!$A:$A,0)),"")</f>
        <v>chose</v>
      </c>
      <c r="D1098" s="17">
        <f>IFERROR(COUNTA(INDEX(Mots!$E:$E,MATCH($A1098,Mots!$A:$A,0)):INDEX(Mots!$K:$K,MATCH($A1098,Mots!$A:$A,0))),0)</f>
        <v>4</v>
      </c>
      <c r="E1098" s="17" t="str">
        <f>IF(COUNTIF(Classement!$A:$A,$A1098)&gt;0,"ok","à faire")</f>
        <v>ok</v>
      </c>
      <c r="F1098" s="17" t="str">
        <f>IF(COUNTIF(Tags!$A:$A,$A1098)&gt;0,"ok","à faire")</f>
        <v>ok</v>
      </c>
      <c r="G1098" s="17" t="str">
        <f>IF(COUNTIF(Phrases!$A:$A,$A1098)&gt;0,"ok","à faire")</f>
        <v>ok</v>
      </c>
      <c r="H1098" s="17" t="str">
        <f>IF(COUNTIFS(Phrases!$A:$A,$A1098,Phrases!$I:$I,"&lt;&gt;")&gt;0,"ok","à faire")</f>
        <v>à faire</v>
      </c>
      <c r="I1098" s="17" t="str">
        <f>IF(COUNTIF(Synonymes!$A:$A,$A1098)&gt;0,"ok","")</f>
        <v>ok</v>
      </c>
      <c r="J1098" s="17">
        <f t="shared" si="17"/>
        <v>1</v>
      </c>
    </row>
    <row r="1099" spans="1:10" x14ac:dyDescent="0.3">
      <c r="A1099" s="17" t="s">
        <v>6029</v>
      </c>
      <c r="B1099" s="17" t="str">
        <f>IFERROR(INDEX(Mots!$B:$B,MATCH($A1099,Mots!$A:$A,0)),"introuvable")</f>
        <v>le nombre</v>
      </c>
      <c r="C1099" s="17" t="str">
        <f>IFERROR(INDEX(Mots!$N:$N,MATCH($A1099,Mots!$A:$A,0)),"")</f>
        <v>chose</v>
      </c>
      <c r="D1099" s="17">
        <f>IFERROR(COUNTA(INDEX(Mots!$E:$E,MATCH($A1099,Mots!$A:$A,0)):INDEX(Mots!$K:$K,MATCH($A1099,Mots!$A:$A,0))),0)</f>
        <v>1</v>
      </c>
      <c r="E1099" s="17" t="str">
        <f>IF(COUNTIF(Classement!$A:$A,$A1099)&gt;0,"ok","à faire")</f>
        <v>ok</v>
      </c>
      <c r="F1099" s="17" t="str">
        <f>IF(COUNTIF(Tags!$A:$A,$A1099)&gt;0,"ok","à faire")</f>
        <v>ok</v>
      </c>
      <c r="G1099" s="17" t="str">
        <f>IF(COUNTIF(Phrases!$A:$A,$A1099)&gt;0,"ok","à faire")</f>
        <v>ok</v>
      </c>
      <c r="H1099" s="17" t="str">
        <f>IF(COUNTIFS(Phrases!$A:$A,$A1099,Phrases!$I:$I,"&lt;&gt;")&gt;0,"ok","à faire")</f>
        <v>à faire</v>
      </c>
      <c r="I1099" s="17" t="str">
        <f>IF(COUNTIF(Synonymes!$A:$A,$A1099)&gt;0,"ok","")</f>
        <v/>
      </c>
      <c r="J1099" s="17">
        <f t="shared" si="17"/>
        <v>1</v>
      </c>
    </row>
    <row r="1100" spans="1:10" x14ac:dyDescent="0.3">
      <c r="A1100" s="17" t="s">
        <v>6033</v>
      </c>
      <c r="B1100" s="17" t="str">
        <f>IFERROR(INDEX(Mots!$B:$B,MATCH($A1100,Mots!$A:$A,0)),"introuvable")</f>
        <v>le noyau</v>
      </c>
      <c r="C1100" s="17" t="str">
        <f>IFERROR(INDEX(Mots!$N:$N,MATCH($A1100,Mots!$A:$A,0)),"")</f>
        <v>chose</v>
      </c>
      <c r="D1100" s="17">
        <f>IFERROR(COUNTA(INDEX(Mots!$E:$E,MATCH($A1100,Mots!$A:$A,0)):INDEX(Mots!$K:$K,MATCH($A1100,Mots!$A:$A,0))),0)</f>
        <v>5</v>
      </c>
      <c r="E1100" s="17" t="str">
        <f>IF(COUNTIF(Classement!$A:$A,$A1100)&gt;0,"ok","à faire")</f>
        <v>ok</v>
      </c>
      <c r="F1100" s="17" t="str">
        <f>IF(COUNTIF(Tags!$A:$A,$A1100)&gt;0,"ok","à faire")</f>
        <v>ok</v>
      </c>
      <c r="G1100" s="17" t="str">
        <f>IF(COUNTIF(Phrases!$A:$A,$A1100)&gt;0,"ok","à faire")</f>
        <v>ok</v>
      </c>
      <c r="H1100" s="17" t="str">
        <f>IF(COUNTIFS(Phrases!$A:$A,$A1100,Phrases!$I:$I,"&lt;&gt;")&gt;0,"ok","à faire")</f>
        <v>à faire</v>
      </c>
      <c r="I1100" s="17" t="str">
        <f>IF(COUNTIF(Synonymes!$A:$A,$A1100)&gt;0,"ok","")</f>
        <v/>
      </c>
      <c r="J1100" s="17">
        <f t="shared" si="17"/>
        <v>1</v>
      </c>
    </row>
    <row r="1101" spans="1:10" x14ac:dyDescent="0.3">
      <c r="A1101" s="17" t="s">
        <v>6041</v>
      </c>
      <c r="B1101" s="17" t="str">
        <f>IFERROR(INDEX(Mots!$B:$B,MATCH($A1101,Mots!$A:$A,0)),"introuvable")</f>
        <v>le nuage</v>
      </c>
      <c r="C1101" s="17" t="str">
        <f>IFERROR(INDEX(Mots!$N:$N,MATCH($A1101,Mots!$A:$A,0)),"")</f>
        <v>chose</v>
      </c>
      <c r="D1101" s="17">
        <f>IFERROR(COUNTA(INDEX(Mots!$E:$E,MATCH($A1101,Mots!$A:$A,0)):INDEX(Mots!$K:$K,MATCH($A1101,Mots!$A:$A,0))),0)</f>
        <v>5</v>
      </c>
      <c r="E1101" s="17" t="str">
        <f>IF(COUNTIF(Classement!$A:$A,$A1101)&gt;0,"ok","à faire")</f>
        <v>ok</v>
      </c>
      <c r="F1101" s="17" t="str">
        <f>IF(COUNTIF(Tags!$A:$A,$A1101)&gt;0,"ok","à faire")</f>
        <v>ok</v>
      </c>
      <c r="G1101" s="17" t="str">
        <f>IF(COUNTIF(Phrases!$A:$A,$A1101)&gt;0,"ok","à faire")</f>
        <v>ok</v>
      </c>
      <c r="H1101" s="17" t="str">
        <f>IF(COUNTIFS(Phrases!$A:$A,$A1101,Phrases!$I:$I,"&lt;&gt;")&gt;0,"ok","à faire")</f>
        <v>à faire</v>
      </c>
      <c r="I1101" s="17" t="str">
        <f>IF(COUNTIF(Synonymes!$A:$A,$A1101)&gt;0,"ok","")</f>
        <v/>
      </c>
      <c r="J1101" s="17">
        <f t="shared" si="17"/>
        <v>1</v>
      </c>
    </row>
    <row r="1102" spans="1:10" x14ac:dyDescent="0.3">
      <c r="A1102" s="17" t="s">
        <v>6049</v>
      </c>
      <c r="B1102" s="17" t="str">
        <f>IFERROR(INDEX(Mots!$B:$B,MATCH($A1102,Mots!$A:$A,0)),"introuvable")</f>
        <v>le numéro</v>
      </c>
      <c r="C1102" s="17" t="str">
        <f>IFERROR(INDEX(Mots!$N:$N,MATCH($A1102,Mots!$A:$A,0)),"")</f>
        <v>chose</v>
      </c>
      <c r="D1102" s="17">
        <f>IFERROR(COUNTA(INDEX(Mots!$E:$E,MATCH($A1102,Mots!$A:$A,0)):INDEX(Mots!$K:$K,MATCH($A1102,Mots!$A:$A,0))),0)</f>
        <v>1</v>
      </c>
      <c r="E1102" s="17" t="str">
        <f>IF(COUNTIF(Classement!$A:$A,$A1102)&gt;0,"ok","à faire")</f>
        <v>ok</v>
      </c>
      <c r="F1102" s="17" t="str">
        <f>IF(COUNTIF(Tags!$A:$A,$A1102)&gt;0,"ok","à faire")</f>
        <v>ok</v>
      </c>
      <c r="G1102" s="17" t="str">
        <f>IF(COUNTIF(Phrases!$A:$A,$A1102)&gt;0,"ok","à faire")</f>
        <v>ok</v>
      </c>
      <c r="H1102" s="17" t="str">
        <f>IF(COUNTIFS(Phrases!$A:$A,$A1102,Phrases!$I:$I,"&lt;&gt;")&gt;0,"ok","à faire")</f>
        <v>à faire</v>
      </c>
      <c r="I1102" s="17" t="str">
        <f>IF(COUNTIF(Synonymes!$A:$A,$A1102)&gt;0,"ok","")</f>
        <v/>
      </c>
      <c r="J1102" s="17">
        <f t="shared" si="17"/>
        <v>1</v>
      </c>
    </row>
    <row r="1103" spans="1:10" x14ac:dyDescent="0.3">
      <c r="A1103" s="17" t="s">
        <v>6053</v>
      </c>
      <c r="B1103" s="17" t="str">
        <f>IFERROR(INDEX(Mots!$B:$B,MATCH($A1103,Mots!$A:$A,0)),"introuvable")</f>
        <v>le panier</v>
      </c>
      <c r="C1103" s="17" t="str">
        <f>IFERROR(INDEX(Mots!$N:$N,MATCH($A1103,Mots!$A:$A,0)),"")</f>
        <v>chose</v>
      </c>
      <c r="D1103" s="17">
        <f>IFERROR(COUNTA(INDEX(Mots!$E:$E,MATCH($A1103,Mots!$A:$A,0)):INDEX(Mots!$K:$K,MATCH($A1103,Mots!$A:$A,0))),0)</f>
        <v>5</v>
      </c>
      <c r="E1103" s="17" t="str">
        <f>IF(COUNTIF(Classement!$A:$A,$A1103)&gt;0,"ok","à faire")</f>
        <v>ok</v>
      </c>
      <c r="F1103" s="17" t="str">
        <f>IF(COUNTIF(Tags!$A:$A,$A1103)&gt;0,"ok","à faire")</f>
        <v>ok</v>
      </c>
      <c r="G1103" s="17" t="str">
        <f>IF(COUNTIF(Phrases!$A:$A,$A1103)&gt;0,"ok","à faire")</f>
        <v>ok</v>
      </c>
      <c r="H1103" s="17" t="str">
        <f>IF(COUNTIFS(Phrases!$A:$A,$A1103,Phrases!$I:$I,"&lt;&gt;")&gt;0,"ok","à faire")</f>
        <v>ok</v>
      </c>
      <c r="I1103" s="17" t="str">
        <f>IF(COUNTIF(Synonymes!$A:$A,$A1103)&gt;0,"ok","")</f>
        <v/>
      </c>
      <c r="J1103" s="17">
        <f t="shared" si="17"/>
        <v>0</v>
      </c>
    </row>
    <row r="1104" spans="1:10" x14ac:dyDescent="0.3">
      <c r="A1104" s="17" t="s">
        <v>6061</v>
      </c>
      <c r="B1104" s="17" t="str">
        <f>IFERROR(INDEX(Mots!$B:$B,MATCH($A1104,Mots!$A:$A,0)),"introuvable")</f>
        <v>le panneau</v>
      </c>
      <c r="C1104" s="17" t="str">
        <f>IFERROR(INDEX(Mots!$N:$N,MATCH($A1104,Mots!$A:$A,0)),"")</f>
        <v>chose</v>
      </c>
      <c r="D1104" s="17">
        <f>IFERROR(COUNTA(INDEX(Mots!$E:$E,MATCH($A1104,Mots!$A:$A,0)):INDEX(Mots!$K:$K,MATCH($A1104,Mots!$A:$A,0))),0)</f>
        <v>1</v>
      </c>
      <c r="E1104" s="17" t="str">
        <f>IF(COUNTIF(Classement!$A:$A,$A1104)&gt;0,"ok","à faire")</f>
        <v>ok</v>
      </c>
      <c r="F1104" s="17" t="str">
        <f>IF(COUNTIF(Tags!$A:$A,$A1104)&gt;0,"ok","à faire")</f>
        <v>ok</v>
      </c>
      <c r="G1104" s="17" t="str">
        <f>IF(COUNTIF(Phrases!$A:$A,$A1104)&gt;0,"ok","à faire")</f>
        <v>ok</v>
      </c>
      <c r="H1104" s="17" t="str">
        <f>IF(COUNTIFS(Phrases!$A:$A,$A1104,Phrases!$I:$I,"&lt;&gt;")&gt;0,"ok","à faire")</f>
        <v>à faire</v>
      </c>
      <c r="I1104" s="17" t="str">
        <f>IF(COUNTIF(Synonymes!$A:$A,$A1104)&gt;0,"ok","")</f>
        <v/>
      </c>
      <c r="J1104" s="17">
        <f t="shared" si="17"/>
        <v>1</v>
      </c>
    </row>
    <row r="1105" spans="1:10" x14ac:dyDescent="0.3">
      <c r="A1105" s="17" t="s">
        <v>6065</v>
      </c>
      <c r="B1105" s="17" t="str">
        <f>IFERROR(INDEX(Mots!$B:$B,MATCH($A1105,Mots!$A:$A,0)),"introuvable")</f>
        <v>le pansement</v>
      </c>
      <c r="C1105" s="17" t="str">
        <f>IFERROR(INDEX(Mots!$N:$N,MATCH($A1105,Mots!$A:$A,0)),"")</f>
        <v>chose</v>
      </c>
      <c r="D1105" s="17">
        <f>IFERROR(COUNTA(INDEX(Mots!$E:$E,MATCH($A1105,Mots!$A:$A,0)):INDEX(Mots!$K:$K,MATCH($A1105,Mots!$A:$A,0))),0)</f>
        <v>5</v>
      </c>
      <c r="E1105" s="17" t="str">
        <f>IF(COUNTIF(Classement!$A:$A,$A1105)&gt;0,"ok","à faire")</f>
        <v>ok</v>
      </c>
      <c r="F1105" s="17" t="str">
        <f>IF(COUNTIF(Tags!$A:$A,$A1105)&gt;0,"ok","à faire")</f>
        <v>ok</v>
      </c>
      <c r="G1105" s="17" t="str">
        <f>IF(COUNTIF(Phrases!$A:$A,$A1105)&gt;0,"ok","à faire")</f>
        <v>ok</v>
      </c>
      <c r="H1105" s="17" t="str">
        <f>IF(COUNTIFS(Phrases!$A:$A,$A1105,Phrases!$I:$I,"&lt;&gt;")&gt;0,"ok","à faire")</f>
        <v>ok</v>
      </c>
      <c r="I1105" s="17" t="str">
        <f>IF(COUNTIF(Synonymes!$A:$A,$A1105)&gt;0,"ok","")</f>
        <v>ok</v>
      </c>
      <c r="J1105" s="17">
        <f t="shared" si="17"/>
        <v>0</v>
      </c>
    </row>
    <row r="1106" spans="1:10" x14ac:dyDescent="0.3">
      <c r="A1106" s="17" t="s">
        <v>6073</v>
      </c>
      <c r="B1106" s="17" t="str">
        <f>IFERROR(INDEX(Mots!$B:$B,MATCH($A1106,Mots!$A:$A,0)),"introuvable")</f>
        <v>le papier</v>
      </c>
      <c r="C1106" s="17" t="str">
        <f>IFERROR(INDEX(Mots!$N:$N,MATCH($A1106,Mots!$A:$A,0)),"")</f>
        <v>chose</v>
      </c>
      <c r="D1106" s="17">
        <f>IFERROR(COUNTA(INDEX(Mots!$E:$E,MATCH($A1106,Mots!$A:$A,0)):INDEX(Mots!$K:$K,MATCH($A1106,Mots!$A:$A,0))),0)</f>
        <v>5</v>
      </c>
      <c r="E1106" s="17" t="str">
        <f>IF(COUNTIF(Classement!$A:$A,$A1106)&gt;0,"ok","à faire")</f>
        <v>ok</v>
      </c>
      <c r="F1106" s="17" t="str">
        <f>IF(COUNTIF(Tags!$A:$A,$A1106)&gt;0,"ok","à faire")</f>
        <v>à faire</v>
      </c>
      <c r="G1106" s="17" t="str">
        <f>IF(COUNTIF(Phrases!$A:$A,$A1106)&gt;0,"ok","à faire")</f>
        <v>ok</v>
      </c>
      <c r="H1106" s="17" t="str">
        <f>IF(COUNTIFS(Phrases!$A:$A,$A1106,Phrases!$I:$I,"&lt;&gt;")&gt;0,"ok","à faire")</f>
        <v>ok</v>
      </c>
      <c r="I1106" s="17" t="str">
        <f>IF(COUNTIF(Synonymes!$A:$A,$A1106)&gt;0,"ok","")</f>
        <v/>
      </c>
      <c r="J1106" s="17">
        <f t="shared" si="17"/>
        <v>1</v>
      </c>
    </row>
    <row r="1107" spans="1:10" x14ac:dyDescent="0.3">
      <c r="A1107" s="17" t="s">
        <v>6081</v>
      </c>
      <c r="B1107" s="17" t="str">
        <f>IFERROR(INDEX(Mots!$B:$B,MATCH($A1107,Mots!$A:$A,0)),"introuvable")</f>
        <v>le parapluie</v>
      </c>
      <c r="C1107" s="17" t="str">
        <f>IFERROR(INDEX(Mots!$N:$N,MATCH($A1107,Mots!$A:$A,0)),"")</f>
        <v>chose</v>
      </c>
      <c r="D1107" s="17">
        <f>IFERROR(COUNTA(INDEX(Mots!$E:$E,MATCH($A1107,Mots!$A:$A,0)):INDEX(Mots!$K:$K,MATCH($A1107,Mots!$A:$A,0))),0)</f>
        <v>5</v>
      </c>
      <c r="E1107" s="17" t="str">
        <f>IF(COUNTIF(Classement!$A:$A,$A1107)&gt;0,"ok","à faire")</f>
        <v>ok</v>
      </c>
      <c r="F1107" s="17" t="str">
        <f>IF(COUNTIF(Tags!$A:$A,$A1107)&gt;0,"ok","à faire")</f>
        <v>ok</v>
      </c>
      <c r="G1107" s="17" t="str">
        <f>IF(COUNTIF(Phrases!$A:$A,$A1107)&gt;0,"ok","à faire")</f>
        <v>ok</v>
      </c>
      <c r="H1107" s="17" t="str">
        <f>IF(COUNTIFS(Phrases!$A:$A,$A1107,Phrases!$I:$I,"&lt;&gt;")&gt;0,"ok","à faire")</f>
        <v>ok</v>
      </c>
      <c r="I1107" s="17" t="str">
        <f>IF(COUNTIF(Synonymes!$A:$A,$A1107)&gt;0,"ok","")</f>
        <v/>
      </c>
      <c r="J1107" s="17">
        <f t="shared" si="17"/>
        <v>0</v>
      </c>
    </row>
    <row r="1108" spans="1:10" x14ac:dyDescent="0.3">
      <c r="A1108" s="17" t="s">
        <v>6089</v>
      </c>
      <c r="B1108" s="17" t="str">
        <f>IFERROR(INDEX(Mots!$B:$B,MATCH($A1108,Mots!$A:$A,0)),"introuvable")</f>
        <v>le parking</v>
      </c>
      <c r="C1108" s="17" t="str">
        <f>IFERROR(INDEX(Mots!$N:$N,MATCH($A1108,Mots!$A:$A,0)),"")</f>
        <v>lieu</v>
      </c>
      <c r="D1108" s="17">
        <f>IFERROR(COUNTA(INDEX(Mots!$E:$E,MATCH($A1108,Mots!$A:$A,0)):INDEX(Mots!$K:$K,MATCH($A1108,Mots!$A:$A,0))),0)</f>
        <v>5</v>
      </c>
      <c r="E1108" s="17" t="str">
        <f>IF(COUNTIF(Classement!$A:$A,$A1108)&gt;0,"ok","à faire")</f>
        <v>ok</v>
      </c>
      <c r="F1108" s="17" t="str">
        <f>IF(COUNTIF(Tags!$A:$A,$A1108)&gt;0,"ok","à faire")</f>
        <v>ok</v>
      </c>
      <c r="G1108" s="17" t="str">
        <f>IF(COUNTIF(Phrases!$A:$A,$A1108)&gt;0,"ok","à faire")</f>
        <v>à faire</v>
      </c>
      <c r="H1108" s="17" t="str">
        <f>IF(COUNTIFS(Phrases!$A:$A,$A1108,Phrases!$I:$I,"&lt;&gt;")&gt;0,"ok","à faire")</f>
        <v>à faire</v>
      </c>
      <c r="I1108" s="17" t="str">
        <f>IF(COUNTIF(Synonymes!$A:$A,$A1108)&gt;0,"ok","")</f>
        <v/>
      </c>
      <c r="J1108" s="17">
        <f t="shared" si="17"/>
        <v>2</v>
      </c>
    </row>
    <row r="1109" spans="1:10" x14ac:dyDescent="0.3">
      <c r="A1109" s="17" t="s">
        <v>6097</v>
      </c>
      <c r="B1109" s="17" t="str">
        <f>IFERROR(INDEX(Mots!$B:$B,MATCH($A1109,Mots!$A:$A,0)),"introuvable")</f>
        <v>partager</v>
      </c>
      <c r="C1109" s="17" t="str">
        <f>IFERROR(INDEX(Mots!$N:$N,MATCH($A1109,Mots!$A:$A,0)),"")</f>
        <v>action</v>
      </c>
      <c r="D1109" s="17">
        <f>IFERROR(COUNTA(INDEX(Mots!$E:$E,MATCH($A1109,Mots!$A:$A,0)):INDEX(Mots!$K:$K,MATCH($A1109,Mots!$A:$A,0))),0)</f>
        <v>3</v>
      </c>
      <c r="E1109" s="17" t="str">
        <f>IF(COUNTIF(Classement!$A:$A,$A1109)&gt;0,"ok","à faire")</f>
        <v>ok</v>
      </c>
      <c r="F1109" s="17" t="str">
        <f>IF(COUNTIF(Tags!$A:$A,$A1109)&gt;0,"ok","à faire")</f>
        <v>ok</v>
      </c>
      <c r="G1109" s="17" t="str">
        <f>IF(COUNTIF(Phrases!$A:$A,$A1109)&gt;0,"ok","à faire")</f>
        <v>ok</v>
      </c>
      <c r="H1109" s="17" t="str">
        <f>IF(COUNTIFS(Phrases!$A:$A,$A1109,Phrases!$I:$I,"&lt;&gt;")&gt;0,"ok","à faire")</f>
        <v>à faire</v>
      </c>
      <c r="I1109" s="17" t="str">
        <f>IF(COUNTIF(Synonymes!$A:$A,$A1109)&gt;0,"ok","")</f>
        <v/>
      </c>
      <c r="J1109" s="17">
        <f t="shared" si="17"/>
        <v>1</v>
      </c>
    </row>
    <row r="1110" spans="1:10" x14ac:dyDescent="0.3">
      <c r="A1110" s="17" t="s">
        <v>6102</v>
      </c>
      <c r="B1110" s="17" t="str">
        <f>IFERROR(INDEX(Mots!$B:$B,MATCH($A1110,Mots!$A:$A,0)),"introuvable")</f>
        <v>le passage</v>
      </c>
      <c r="C1110" s="17" t="str">
        <f>IFERROR(INDEX(Mots!$N:$N,MATCH($A1110,Mots!$A:$A,0)),"")</f>
        <v>lieu</v>
      </c>
      <c r="D1110" s="17">
        <f>IFERROR(COUNTA(INDEX(Mots!$E:$E,MATCH($A1110,Mots!$A:$A,0)):INDEX(Mots!$K:$K,MATCH($A1110,Mots!$A:$A,0))),0)</f>
        <v>5</v>
      </c>
      <c r="E1110" s="17" t="str">
        <f>IF(COUNTIF(Classement!$A:$A,$A1110)&gt;0,"ok","à faire")</f>
        <v>ok</v>
      </c>
      <c r="F1110" s="17" t="str">
        <f>IF(COUNTIF(Tags!$A:$A,$A1110)&gt;0,"ok","à faire")</f>
        <v>à faire</v>
      </c>
      <c r="G1110" s="17" t="str">
        <f>IF(COUNTIF(Phrases!$A:$A,$A1110)&gt;0,"ok","à faire")</f>
        <v>ok</v>
      </c>
      <c r="H1110" s="17" t="str">
        <f>IF(COUNTIFS(Phrases!$A:$A,$A1110,Phrases!$I:$I,"&lt;&gt;")&gt;0,"ok","à faire")</f>
        <v>à faire</v>
      </c>
      <c r="I1110" s="17" t="str">
        <f>IF(COUNTIF(Synonymes!$A:$A,$A1110)&gt;0,"ok","")</f>
        <v/>
      </c>
      <c r="J1110" s="17">
        <f t="shared" si="17"/>
        <v>2</v>
      </c>
    </row>
    <row r="1111" spans="1:10" x14ac:dyDescent="0.3">
      <c r="A1111" s="17" t="s">
        <v>6110</v>
      </c>
      <c r="B1111" s="17" t="str">
        <f>IFERROR(INDEX(Mots!$B:$B,MATCH($A1111,Mots!$A:$A,0)),"introuvable")</f>
        <v>le pays</v>
      </c>
      <c r="C1111" s="17" t="str">
        <f>IFERROR(INDEX(Mots!$N:$N,MATCH($A1111,Mots!$A:$A,0)),"")</f>
        <v>chose</v>
      </c>
      <c r="D1111" s="17">
        <f>IFERROR(COUNTA(INDEX(Mots!$E:$E,MATCH($A1111,Mots!$A:$A,0)):INDEX(Mots!$K:$K,MATCH($A1111,Mots!$A:$A,0))),0)</f>
        <v>5</v>
      </c>
      <c r="E1111" s="17" t="str">
        <f>IF(COUNTIF(Classement!$A:$A,$A1111)&gt;0,"ok","à faire")</f>
        <v>ok</v>
      </c>
      <c r="F1111" s="17" t="str">
        <f>IF(COUNTIF(Tags!$A:$A,$A1111)&gt;0,"ok","à faire")</f>
        <v>ok</v>
      </c>
      <c r="G1111" s="17" t="str">
        <f>IF(COUNTIF(Phrases!$A:$A,$A1111)&gt;0,"ok","à faire")</f>
        <v>ok</v>
      </c>
      <c r="H1111" s="17" t="str">
        <f>IF(COUNTIFS(Phrases!$A:$A,$A1111,Phrases!$I:$I,"&lt;&gt;")&gt;0,"ok","à faire")</f>
        <v>à faire</v>
      </c>
      <c r="I1111" s="17" t="str">
        <f>IF(COUNTIF(Synonymes!$A:$A,$A1111)&gt;0,"ok","")</f>
        <v/>
      </c>
      <c r="J1111" s="17">
        <f t="shared" si="17"/>
        <v>1</v>
      </c>
    </row>
    <row r="1112" spans="1:10" x14ac:dyDescent="0.3">
      <c r="A1112" s="17" t="s">
        <v>6118</v>
      </c>
      <c r="B1112" s="17" t="str">
        <f>IFERROR(INDEX(Mots!$B:$B,MATCH($A1112,Mots!$A:$A,0)),"introuvable")</f>
        <v>le paysage</v>
      </c>
      <c r="C1112" s="17" t="str">
        <f>IFERROR(INDEX(Mots!$N:$N,MATCH($A1112,Mots!$A:$A,0)),"")</f>
        <v>chose</v>
      </c>
      <c r="D1112" s="17">
        <f>IFERROR(COUNTA(INDEX(Mots!$E:$E,MATCH($A1112,Mots!$A:$A,0)):INDEX(Mots!$K:$K,MATCH($A1112,Mots!$A:$A,0))),0)</f>
        <v>1</v>
      </c>
      <c r="E1112" s="17" t="str">
        <f>IF(COUNTIF(Classement!$A:$A,$A1112)&gt;0,"ok","à faire")</f>
        <v>ok</v>
      </c>
      <c r="F1112" s="17" t="str">
        <f>IF(COUNTIF(Tags!$A:$A,$A1112)&gt;0,"ok","à faire")</f>
        <v>ok</v>
      </c>
      <c r="G1112" s="17" t="str">
        <f>IF(COUNTIF(Phrases!$A:$A,$A1112)&gt;0,"ok","à faire")</f>
        <v>ok</v>
      </c>
      <c r="H1112" s="17" t="str">
        <f>IF(COUNTIFS(Phrases!$A:$A,$A1112,Phrases!$I:$I,"&lt;&gt;")&gt;0,"ok","à faire")</f>
        <v>à faire</v>
      </c>
      <c r="I1112" s="17" t="str">
        <f>IF(COUNTIF(Synonymes!$A:$A,$A1112)&gt;0,"ok","")</f>
        <v/>
      </c>
      <c r="J1112" s="17">
        <f t="shared" si="17"/>
        <v>1</v>
      </c>
    </row>
    <row r="1113" spans="1:10" x14ac:dyDescent="0.3">
      <c r="A1113" s="17" t="s">
        <v>6122</v>
      </c>
      <c r="B1113" s="17" t="str">
        <f>IFERROR(INDEX(Mots!$B:$B,MATCH($A1113,Mots!$A:$A,0)),"introuvable")</f>
        <v>le permis</v>
      </c>
      <c r="C1113" s="17" t="str">
        <f>IFERROR(INDEX(Mots!$N:$N,MATCH($A1113,Mots!$A:$A,0)),"")</f>
        <v>chose</v>
      </c>
      <c r="D1113" s="17">
        <f>IFERROR(COUNTA(INDEX(Mots!$E:$E,MATCH($A1113,Mots!$A:$A,0)):INDEX(Mots!$K:$K,MATCH($A1113,Mots!$A:$A,0))),0)</f>
        <v>4</v>
      </c>
      <c r="E1113" s="17" t="str">
        <f>IF(COUNTIF(Classement!$A:$A,$A1113)&gt;0,"ok","à faire")</f>
        <v>ok</v>
      </c>
      <c r="F1113" s="17" t="str">
        <f>IF(COUNTIF(Tags!$A:$A,$A1113)&gt;0,"ok","à faire")</f>
        <v>ok</v>
      </c>
      <c r="G1113" s="17" t="str">
        <f>IF(COUNTIF(Phrases!$A:$A,$A1113)&gt;0,"ok","à faire")</f>
        <v>ok</v>
      </c>
      <c r="H1113" s="17" t="str">
        <f>IF(COUNTIFS(Phrases!$A:$A,$A1113,Phrases!$I:$I,"&lt;&gt;")&gt;0,"ok","à faire")</f>
        <v>ok</v>
      </c>
      <c r="I1113" s="17" t="str">
        <f>IF(COUNTIF(Synonymes!$A:$A,$A1113)&gt;0,"ok","")</f>
        <v/>
      </c>
      <c r="J1113" s="17">
        <f t="shared" si="17"/>
        <v>0</v>
      </c>
    </row>
    <row r="1114" spans="1:10" x14ac:dyDescent="0.3">
      <c r="A1114" s="17" t="s">
        <v>6129</v>
      </c>
      <c r="B1114" s="17" t="str">
        <f>IFERROR(INDEX(Mots!$B:$B,MATCH($A1114,Mots!$A:$A,0)),"introuvable")</f>
        <v>le pharmacien</v>
      </c>
      <c r="C1114" s="17" t="str">
        <f>IFERROR(INDEX(Mots!$N:$N,MATCH($A1114,Mots!$A:$A,0)),"")</f>
        <v>personne</v>
      </c>
      <c r="D1114" s="17">
        <f>IFERROR(COUNTA(INDEX(Mots!$E:$E,MATCH($A1114,Mots!$A:$A,0)):INDEX(Mots!$K:$K,MATCH($A1114,Mots!$A:$A,0))),0)</f>
        <v>1</v>
      </c>
      <c r="E1114" s="17" t="str">
        <f>IF(COUNTIF(Classement!$A:$A,$A1114)&gt;0,"ok","à faire")</f>
        <v>ok</v>
      </c>
      <c r="F1114" s="17" t="str">
        <f>IF(COUNTIF(Tags!$A:$A,$A1114)&gt;0,"ok","à faire")</f>
        <v>ok</v>
      </c>
      <c r="G1114" s="17" t="str">
        <f>IF(COUNTIF(Phrases!$A:$A,$A1114)&gt;0,"ok","à faire")</f>
        <v>à faire</v>
      </c>
      <c r="H1114" s="17" t="str">
        <f>IF(COUNTIFS(Phrases!$A:$A,$A1114,Phrases!$I:$I,"&lt;&gt;")&gt;0,"ok","à faire")</f>
        <v>à faire</v>
      </c>
      <c r="I1114" s="17" t="str">
        <f>IF(COUNTIF(Synonymes!$A:$A,$A1114)&gt;0,"ok","")</f>
        <v/>
      </c>
      <c r="J1114" s="17">
        <f t="shared" si="17"/>
        <v>2</v>
      </c>
    </row>
    <row r="1115" spans="1:10" x14ac:dyDescent="0.3">
      <c r="A1115" s="17" t="s">
        <v>6133</v>
      </c>
      <c r="B1115" s="17" t="str">
        <f>IFERROR(INDEX(Mots!$B:$B,MATCH($A1115,Mots!$A:$A,0)),"introuvable")</f>
        <v>le piment</v>
      </c>
      <c r="C1115" s="17" t="str">
        <f>IFERROR(INDEX(Mots!$N:$N,MATCH($A1115,Mots!$A:$A,0)),"")</f>
        <v>chose</v>
      </c>
      <c r="D1115" s="17">
        <f>IFERROR(COUNTA(INDEX(Mots!$E:$E,MATCH($A1115,Mots!$A:$A,0)):INDEX(Mots!$K:$K,MATCH($A1115,Mots!$A:$A,0))),0)</f>
        <v>4</v>
      </c>
      <c r="E1115" s="17" t="str">
        <f>IF(COUNTIF(Classement!$A:$A,$A1115)&gt;0,"ok","à faire")</f>
        <v>ok</v>
      </c>
      <c r="F1115" s="17" t="str">
        <f>IF(COUNTIF(Tags!$A:$A,$A1115)&gt;0,"ok","à faire")</f>
        <v>ok</v>
      </c>
      <c r="G1115" s="17" t="str">
        <f>IF(COUNTIF(Phrases!$A:$A,$A1115)&gt;0,"ok","à faire")</f>
        <v>ok</v>
      </c>
      <c r="H1115" s="17" t="str">
        <f>IF(COUNTIFS(Phrases!$A:$A,$A1115,Phrases!$I:$I,"&lt;&gt;")&gt;0,"ok","à faire")</f>
        <v>à faire</v>
      </c>
      <c r="I1115" s="17" t="str">
        <f>IF(COUNTIF(Synonymes!$A:$A,$A1115)&gt;0,"ok","")</f>
        <v/>
      </c>
      <c r="J1115" s="17">
        <f t="shared" si="17"/>
        <v>1</v>
      </c>
    </row>
    <row r="1116" spans="1:10" x14ac:dyDescent="0.3">
      <c r="A1116" s="17" t="s">
        <v>6140</v>
      </c>
      <c r="B1116" s="17" t="str">
        <f>IFERROR(INDEX(Mots!$B:$B,MATCH($A1116,Mots!$A:$A,0)),"introuvable")</f>
        <v>le pinceau</v>
      </c>
      <c r="C1116" s="17" t="str">
        <f>IFERROR(INDEX(Mots!$N:$N,MATCH($A1116,Mots!$A:$A,0)),"")</f>
        <v>chose</v>
      </c>
      <c r="D1116" s="17">
        <f>IFERROR(COUNTA(INDEX(Mots!$E:$E,MATCH($A1116,Mots!$A:$A,0)):INDEX(Mots!$K:$K,MATCH($A1116,Mots!$A:$A,0))),0)</f>
        <v>5</v>
      </c>
      <c r="E1116" s="17" t="str">
        <f>IF(COUNTIF(Classement!$A:$A,$A1116)&gt;0,"ok","à faire")</f>
        <v>ok</v>
      </c>
      <c r="F1116" s="17" t="str">
        <f>IF(COUNTIF(Tags!$A:$A,$A1116)&gt;0,"ok","à faire")</f>
        <v>ok</v>
      </c>
      <c r="G1116" s="17" t="str">
        <f>IF(COUNTIF(Phrases!$A:$A,$A1116)&gt;0,"ok","à faire")</f>
        <v>ok</v>
      </c>
      <c r="H1116" s="17" t="str">
        <f>IF(COUNTIFS(Phrases!$A:$A,$A1116,Phrases!$I:$I,"&lt;&gt;")&gt;0,"ok","à faire")</f>
        <v>ok</v>
      </c>
      <c r="I1116" s="17" t="str">
        <f>IF(COUNTIF(Synonymes!$A:$A,$A1116)&gt;0,"ok","")</f>
        <v/>
      </c>
      <c r="J1116" s="17">
        <f t="shared" si="17"/>
        <v>0</v>
      </c>
    </row>
    <row r="1117" spans="1:10" x14ac:dyDescent="0.3">
      <c r="A1117" s="17" t="s">
        <v>6148</v>
      </c>
      <c r="B1117" s="17" t="str">
        <f>IFERROR(INDEX(Mots!$B:$B,MATCH($A1117,Mots!$A:$A,0)),"introuvable")</f>
        <v>le pique-nique</v>
      </c>
      <c r="C1117" s="17" t="str">
        <f>IFERROR(INDEX(Mots!$N:$N,MATCH($A1117,Mots!$A:$A,0)),"")</f>
        <v>chose</v>
      </c>
      <c r="D1117" s="17">
        <f>IFERROR(COUNTA(INDEX(Mots!$E:$E,MATCH($A1117,Mots!$A:$A,0)):INDEX(Mots!$K:$K,MATCH($A1117,Mots!$A:$A,0))),0)</f>
        <v>5</v>
      </c>
      <c r="E1117" s="17" t="str">
        <f>IF(COUNTIF(Classement!$A:$A,$A1117)&gt;0,"ok","à faire")</f>
        <v>ok</v>
      </c>
      <c r="F1117" s="17" t="str">
        <f>IF(COUNTIF(Tags!$A:$A,$A1117)&gt;0,"ok","à faire")</f>
        <v>ok</v>
      </c>
      <c r="G1117" s="17" t="str">
        <f>IF(COUNTIF(Phrases!$A:$A,$A1117)&gt;0,"ok","à faire")</f>
        <v>ok</v>
      </c>
      <c r="H1117" s="17" t="str">
        <f>IF(COUNTIFS(Phrases!$A:$A,$A1117,Phrases!$I:$I,"&lt;&gt;")&gt;0,"ok","à faire")</f>
        <v>ok</v>
      </c>
      <c r="I1117" s="17" t="str">
        <f>IF(COUNTIF(Synonymes!$A:$A,$A1117)&gt;0,"ok","")</f>
        <v/>
      </c>
      <c r="J1117" s="17">
        <f t="shared" si="17"/>
        <v>0</v>
      </c>
    </row>
    <row r="1118" spans="1:10" x14ac:dyDescent="0.3">
      <c r="A1118" s="17" t="s">
        <v>6156</v>
      </c>
      <c r="B1118" s="17" t="str">
        <f>IFERROR(INDEX(Mots!$B:$B,MATCH($A1118,Mots!$A:$A,0)),"introuvable")</f>
        <v>le plafond</v>
      </c>
      <c r="C1118" s="17" t="str">
        <f>IFERROR(INDEX(Mots!$N:$N,MATCH($A1118,Mots!$A:$A,0)),"")</f>
        <v>chose</v>
      </c>
      <c r="D1118" s="17">
        <f>IFERROR(COUNTA(INDEX(Mots!$E:$E,MATCH($A1118,Mots!$A:$A,0)):INDEX(Mots!$K:$K,MATCH($A1118,Mots!$A:$A,0))),0)</f>
        <v>3</v>
      </c>
      <c r="E1118" s="17" t="str">
        <f>IF(COUNTIF(Classement!$A:$A,$A1118)&gt;0,"ok","à faire")</f>
        <v>ok</v>
      </c>
      <c r="F1118" s="17" t="str">
        <f>IF(COUNTIF(Tags!$A:$A,$A1118)&gt;0,"ok","à faire")</f>
        <v>ok</v>
      </c>
      <c r="G1118" s="17" t="str">
        <f>IF(COUNTIF(Phrases!$A:$A,$A1118)&gt;0,"ok","à faire")</f>
        <v>ok</v>
      </c>
      <c r="H1118" s="17" t="str">
        <f>IF(COUNTIFS(Phrases!$A:$A,$A1118,Phrases!$I:$I,"&lt;&gt;")&gt;0,"ok","à faire")</f>
        <v>à faire</v>
      </c>
      <c r="I1118" s="17" t="str">
        <f>IF(COUNTIF(Synonymes!$A:$A,$A1118)&gt;0,"ok","")</f>
        <v/>
      </c>
      <c r="J1118" s="17">
        <f t="shared" si="17"/>
        <v>1</v>
      </c>
    </row>
    <row r="1119" spans="1:10" x14ac:dyDescent="0.3">
      <c r="A1119" s="17" t="s">
        <v>6162</v>
      </c>
      <c r="B1119" s="17" t="str">
        <f>IFERROR(INDEX(Mots!$B:$B,MATCH($A1119,Mots!$A:$A,0)),"introuvable")</f>
        <v>le plaisir</v>
      </c>
      <c r="C1119" s="17" t="str">
        <f>IFERROR(INDEX(Mots!$N:$N,MATCH($A1119,Mots!$A:$A,0)),"")</f>
        <v>sentiment</v>
      </c>
      <c r="D1119" s="17">
        <f>IFERROR(COUNTA(INDEX(Mots!$E:$E,MATCH($A1119,Mots!$A:$A,0)):INDEX(Mots!$K:$K,MATCH($A1119,Mots!$A:$A,0))),0)</f>
        <v>1</v>
      </c>
      <c r="E1119" s="17" t="str">
        <f>IF(COUNTIF(Classement!$A:$A,$A1119)&gt;0,"ok","à faire")</f>
        <v>ok</v>
      </c>
      <c r="F1119" s="17" t="str">
        <f>IF(COUNTIF(Tags!$A:$A,$A1119)&gt;0,"ok","à faire")</f>
        <v>ok</v>
      </c>
      <c r="G1119" s="17" t="str">
        <f>IF(COUNTIF(Phrases!$A:$A,$A1119)&gt;0,"ok","à faire")</f>
        <v>à faire</v>
      </c>
      <c r="H1119" s="17" t="str">
        <f>IF(COUNTIFS(Phrases!$A:$A,$A1119,Phrases!$I:$I,"&lt;&gt;")&gt;0,"ok","à faire")</f>
        <v>à faire</v>
      </c>
      <c r="I1119" s="17" t="str">
        <f>IF(COUNTIF(Synonymes!$A:$A,$A1119)&gt;0,"ok","")</f>
        <v>ok</v>
      </c>
      <c r="J1119" s="17">
        <f t="shared" si="17"/>
        <v>2</v>
      </c>
    </row>
    <row r="1120" spans="1:10" x14ac:dyDescent="0.3">
      <c r="A1120" s="17" t="s">
        <v>6166</v>
      </c>
      <c r="B1120" s="17" t="str">
        <f>IFERROR(INDEX(Mots!$B:$B,MATCH($A1120,Mots!$A:$A,0)),"introuvable")</f>
        <v>le plancher</v>
      </c>
      <c r="C1120" s="17" t="str">
        <f>IFERROR(INDEX(Mots!$N:$N,MATCH($A1120,Mots!$A:$A,0)),"")</f>
        <v>chose</v>
      </c>
      <c r="D1120" s="17">
        <f>IFERROR(COUNTA(INDEX(Mots!$E:$E,MATCH($A1120,Mots!$A:$A,0)):INDEX(Mots!$K:$K,MATCH($A1120,Mots!$A:$A,0))),0)</f>
        <v>5</v>
      </c>
      <c r="E1120" s="17" t="str">
        <f>IF(COUNTIF(Classement!$A:$A,$A1120)&gt;0,"ok","à faire")</f>
        <v>ok</v>
      </c>
      <c r="F1120" s="17" t="str">
        <f>IF(COUNTIF(Tags!$A:$A,$A1120)&gt;0,"ok","à faire")</f>
        <v>ok</v>
      </c>
      <c r="G1120" s="17" t="str">
        <f>IF(COUNTIF(Phrases!$A:$A,$A1120)&gt;0,"ok","à faire")</f>
        <v>ok</v>
      </c>
      <c r="H1120" s="17" t="str">
        <f>IF(COUNTIFS(Phrases!$A:$A,$A1120,Phrases!$I:$I,"&lt;&gt;")&gt;0,"ok","à faire")</f>
        <v>à faire</v>
      </c>
      <c r="I1120" s="17" t="str">
        <f>IF(COUNTIF(Synonymes!$A:$A,$A1120)&gt;0,"ok","")</f>
        <v/>
      </c>
      <c r="J1120" s="17">
        <f t="shared" si="17"/>
        <v>1</v>
      </c>
    </row>
    <row r="1121" spans="1:10" x14ac:dyDescent="0.3">
      <c r="A1121" s="17" t="s">
        <v>6174</v>
      </c>
      <c r="B1121" s="17" t="str">
        <f>IFERROR(INDEX(Mots!$B:$B,MATCH($A1121,Mots!$A:$A,0)),"introuvable")</f>
        <v>le plastique</v>
      </c>
      <c r="C1121" s="17" t="str">
        <f>IFERROR(INDEX(Mots!$N:$N,MATCH($A1121,Mots!$A:$A,0)),"")</f>
        <v>chose</v>
      </c>
      <c r="D1121" s="17">
        <f>IFERROR(COUNTA(INDEX(Mots!$E:$E,MATCH($A1121,Mots!$A:$A,0)):INDEX(Mots!$K:$K,MATCH($A1121,Mots!$A:$A,0))),0)</f>
        <v>1</v>
      </c>
      <c r="E1121" s="17" t="str">
        <f>IF(COUNTIF(Classement!$A:$A,$A1121)&gt;0,"ok","à faire")</f>
        <v>ok</v>
      </c>
      <c r="F1121" s="17" t="str">
        <f>IF(COUNTIF(Tags!$A:$A,$A1121)&gt;0,"ok","à faire")</f>
        <v>ok</v>
      </c>
      <c r="G1121" s="17" t="str">
        <f>IF(COUNTIF(Phrases!$A:$A,$A1121)&gt;0,"ok","à faire")</f>
        <v>ok</v>
      </c>
      <c r="H1121" s="17" t="str">
        <f>IF(COUNTIFS(Phrases!$A:$A,$A1121,Phrases!$I:$I,"&lt;&gt;")&gt;0,"ok","à faire")</f>
        <v>ok</v>
      </c>
      <c r="I1121" s="17" t="str">
        <f>IF(COUNTIF(Synonymes!$A:$A,$A1121)&gt;0,"ok","")</f>
        <v/>
      </c>
      <c r="J1121" s="17">
        <f t="shared" si="17"/>
        <v>0</v>
      </c>
    </row>
    <row r="1122" spans="1:10" x14ac:dyDescent="0.3">
      <c r="A1122" s="17" t="s">
        <v>6178</v>
      </c>
      <c r="B1122" s="17" t="str">
        <f>IFERROR(INDEX(Mots!$B:$B,MATCH($A1122,Mots!$A:$A,0)),"introuvable")</f>
        <v>le plat</v>
      </c>
      <c r="C1122" s="17" t="str">
        <f>IFERROR(INDEX(Mots!$N:$N,MATCH($A1122,Mots!$A:$A,0)),"")</f>
        <v>chose</v>
      </c>
      <c r="D1122" s="17">
        <f>IFERROR(COUNTA(INDEX(Mots!$E:$E,MATCH($A1122,Mots!$A:$A,0)):INDEX(Mots!$K:$K,MATCH($A1122,Mots!$A:$A,0))),0)</f>
        <v>1</v>
      </c>
      <c r="E1122" s="17" t="str">
        <f>IF(COUNTIF(Classement!$A:$A,$A1122)&gt;0,"ok","à faire")</f>
        <v>ok</v>
      </c>
      <c r="F1122" s="17" t="str">
        <f>IF(COUNTIF(Tags!$A:$A,$A1122)&gt;0,"ok","à faire")</f>
        <v>ok</v>
      </c>
      <c r="G1122" s="17" t="str">
        <f>IF(COUNTIF(Phrases!$A:$A,$A1122)&gt;0,"ok","à faire")</f>
        <v>ok</v>
      </c>
      <c r="H1122" s="17" t="str">
        <f>IF(COUNTIFS(Phrases!$A:$A,$A1122,Phrases!$I:$I,"&lt;&gt;")&gt;0,"ok","à faire")</f>
        <v>ok</v>
      </c>
      <c r="I1122" s="17" t="str">
        <f>IF(COUNTIF(Synonymes!$A:$A,$A1122)&gt;0,"ok","")</f>
        <v/>
      </c>
      <c r="J1122" s="17">
        <f t="shared" si="17"/>
        <v>0</v>
      </c>
    </row>
    <row r="1123" spans="1:10" x14ac:dyDescent="0.3">
      <c r="A1123" s="17" t="s">
        <v>6181</v>
      </c>
      <c r="B1123" s="17" t="str">
        <f>IFERROR(INDEX(Mots!$B:$B,MATCH($A1123,Mots!$A:$A,0)),"introuvable")</f>
        <v>le poil</v>
      </c>
      <c r="C1123" s="17" t="str">
        <f>IFERROR(INDEX(Mots!$N:$N,MATCH($A1123,Mots!$A:$A,0)),"")</f>
        <v>chose</v>
      </c>
      <c r="D1123" s="17">
        <f>IFERROR(COUNTA(INDEX(Mots!$E:$E,MATCH($A1123,Mots!$A:$A,0)):INDEX(Mots!$K:$K,MATCH($A1123,Mots!$A:$A,0))),0)</f>
        <v>4</v>
      </c>
      <c r="E1123" s="17" t="str">
        <f>IF(COUNTIF(Classement!$A:$A,$A1123)&gt;0,"ok","à faire")</f>
        <v>ok</v>
      </c>
      <c r="F1123" s="17" t="str">
        <f>IF(COUNTIF(Tags!$A:$A,$A1123)&gt;0,"ok","à faire")</f>
        <v>à faire</v>
      </c>
      <c r="G1123" s="17" t="str">
        <f>IF(COUNTIF(Phrases!$A:$A,$A1123)&gt;0,"ok","à faire")</f>
        <v>ok</v>
      </c>
      <c r="H1123" s="17" t="str">
        <f>IF(COUNTIFS(Phrases!$A:$A,$A1123,Phrases!$I:$I,"&lt;&gt;")&gt;0,"ok","à faire")</f>
        <v>à faire</v>
      </c>
      <c r="I1123" s="17" t="str">
        <f>IF(COUNTIF(Synonymes!$A:$A,$A1123)&gt;0,"ok","")</f>
        <v/>
      </c>
      <c r="J1123" s="17">
        <f t="shared" si="17"/>
        <v>2</v>
      </c>
    </row>
    <row r="1124" spans="1:10" x14ac:dyDescent="0.3">
      <c r="A1124" s="17" t="s">
        <v>6188</v>
      </c>
      <c r="B1124" s="17" t="str">
        <f>IFERROR(INDEX(Mots!$B:$B,MATCH($A1124,Mots!$A:$A,0)),"introuvable")</f>
        <v>le point</v>
      </c>
      <c r="C1124" s="17" t="str">
        <f>IFERROR(INDEX(Mots!$N:$N,MATCH($A1124,Mots!$A:$A,0)),"")</f>
        <v>chose</v>
      </c>
      <c r="D1124" s="17">
        <f>IFERROR(COUNTA(INDEX(Mots!$E:$E,MATCH($A1124,Mots!$A:$A,0)):INDEX(Mots!$K:$K,MATCH($A1124,Mots!$A:$A,0))),0)</f>
        <v>1</v>
      </c>
      <c r="E1124" s="17" t="str">
        <f>IF(COUNTIF(Classement!$A:$A,$A1124)&gt;0,"ok","à faire")</f>
        <v>ok</v>
      </c>
      <c r="F1124" s="17" t="str">
        <f>IF(COUNTIF(Tags!$A:$A,$A1124)&gt;0,"ok","à faire")</f>
        <v>à faire</v>
      </c>
      <c r="G1124" s="17" t="str">
        <f>IF(COUNTIF(Phrases!$A:$A,$A1124)&gt;0,"ok","à faire")</f>
        <v>ok</v>
      </c>
      <c r="H1124" s="17" t="str">
        <f>IF(COUNTIFS(Phrases!$A:$A,$A1124,Phrases!$I:$I,"&lt;&gt;")&gt;0,"ok","à faire")</f>
        <v>ok</v>
      </c>
      <c r="I1124" s="17" t="str">
        <f>IF(COUNTIF(Synonymes!$A:$A,$A1124)&gt;0,"ok","")</f>
        <v/>
      </c>
      <c r="J1124" s="17">
        <f t="shared" si="17"/>
        <v>1</v>
      </c>
    </row>
    <row r="1125" spans="1:10" x14ac:dyDescent="0.3">
      <c r="A1125" s="17" t="s">
        <v>6192</v>
      </c>
      <c r="B1125" s="17" t="str">
        <f>IFERROR(INDEX(Mots!$B:$B,MATCH($A1125,Mots!$A:$A,0)),"introuvable")</f>
        <v>le portefeuille</v>
      </c>
      <c r="C1125" s="17" t="str">
        <f>IFERROR(INDEX(Mots!$N:$N,MATCH($A1125,Mots!$A:$A,0)),"")</f>
        <v>chose</v>
      </c>
      <c r="D1125" s="17">
        <f>IFERROR(COUNTA(INDEX(Mots!$E:$E,MATCH($A1125,Mots!$A:$A,0)):INDEX(Mots!$K:$K,MATCH($A1125,Mots!$A:$A,0))),0)</f>
        <v>1</v>
      </c>
      <c r="E1125" s="17" t="str">
        <f>IF(COUNTIF(Classement!$A:$A,$A1125)&gt;0,"ok","à faire")</f>
        <v>ok</v>
      </c>
      <c r="F1125" s="17" t="str">
        <f>IF(COUNTIF(Tags!$A:$A,$A1125)&gt;0,"ok","à faire")</f>
        <v>ok</v>
      </c>
      <c r="G1125" s="17" t="str">
        <f>IF(COUNTIF(Phrases!$A:$A,$A1125)&gt;0,"ok","à faire")</f>
        <v>ok</v>
      </c>
      <c r="H1125" s="17" t="str">
        <f>IF(COUNTIFS(Phrases!$A:$A,$A1125,Phrases!$I:$I,"&lt;&gt;")&gt;0,"ok","à faire")</f>
        <v>à faire</v>
      </c>
      <c r="I1125" s="17" t="str">
        <f>IF(COUNTIF(Synonymes!$A:$A,$A1125)&gt;0,"ok","")</f>
        <v>ok</v>
      </c>
      <c r="J1125" s="17">
        <f t="shared" si="17"/>
        <v>1</v>
      </c>
    </row>
    <row r="1126" spans="1:10" x14ac:dyDescent="0.3">
      <c r="A1126" s="17" t="s">
        <v>6196</v>
      </c>
      <c r="B1126" s="17" t="str">
        <f>IFERROR(INDEX(Mots!$B:$B,MATCH($A1126,Mots!$A:$A,0)),"introuvable")</f>
        <v>le porte-manteau</v>
      </c>
      <c r="C1126" s="17" t="str">
        <f>IFERROR(INDEX(Mots!$N:$N,MATCH($A1126,Mots!$A:$A,0)),"")</f>
        <v>chose</v>
      </c>
      <c r="D1126" s="17">
        <f>IFERROR(COUNTA(INDEX(Mots!$E:$E,MATCH($A1126,Mots!$A:$A,0)):INDEX(Mots!$K:$K,MATCH($A1126,Mots!$A:$A,0))),0)</f>
        <v>5</v>
      </c>
      <c r="E1126" s="17" t="str">
        <f>IF(COUNTIF(Classement!$A:$A,$A1126)&gt;0,"ok","à faire")</f>
        <v>ok</v>
      </c>
      <c r="F1126" s="17" t="str">
        <f>IF(COUNTIF(Tags!$A:$A,$A1126)&gt;0,"ok","à faire")</f>
        <v>ok</v>
      </c>
      <c r="G1126" s="17" t="str">
        <f>IF(COUNTIF(Phrases!$A:$A,$A1126)&gt;0,"ok","à faire")</f>
        <v>ok</v>
      </c>
      <c r="H1126" s="17" t="str">
        <f>IF(COUNTIFS(Phrases!$A:$A,$A1126,Phrases!$I:$I,"&lt;&gt;")&gt;0,"ok","à faire")</f>
        <v>à faire</v>
      </c>
      <c r="I1126" s="17" t="str">
        <f>IF(COUNTIF(Synonymes!$A:$A,$A1126)&gt;0,"ok","")</f>
        <v/>
      </c>
      <c r="J1126" s="17">
        <f t="shared" si="17"/>
        <v>1</v>
      </c>
    </row>
    <row r="1127" spans="1:10" x14ac:dyDescent="0.3">
      <c r="A1127" s="17" t="s">
        <v>6204</v>
      </c>
      <c r="B1127" s="17" t="str">
        <f>IFERROR(INDEX(Mots!$B:$B,MATCH($A1127,Mots!$A:$A,0)),"introuvable")</f>
        <v>le prix</v>
      </c>
      <c r="C1127" s="17" t="str">
        <f>IFERROR(INDEX(Mots!$N:$N,MATCH($A1127,Mots!$A:$A,0)),"")</f>
        <v>chose</v>
      </c>
      <c r="D1127" s="17">
        <f>IFERROR(COUNTA(INDEX(Mots!$E:$E,MATCH($A1127,Mots!$A:$A,0)):INDEX(Mots!$K:$K,MATCH($A1127,Mots!$A:$A,0))),0)</f>
        <v>1</v>
      </c>
      <c r="E1127" s="17" t="str">
        <f>IF(COUNTIF(Classement!$A:$A,$A1127)&gt;0,"ok","à faire")</f>
        <v>ok</v>
      </c>
      <c r="F1127" s="17" t="str">
        <f>IF(COUNTIF(Tags!$A:$A,$A1127)&gt;0,"ok","à faire")</f>
        <v>à faire</v>
      </c>
      <c r="G1127" s="17" t="str">
        <f>IF(COUNTIF(Phrases!$A:$A,$A1127)&gt;0,"ok","à faire")</f>
        <v>ok</v>
      </c>
      <c r="H1127" s="17" t="str">
        <f>IF(COUNTIFS(Phrases!$A:$A,$A1127,Phrases!$I:$I,"&lt;&gt;")&gt;0,"ok","à faire")</f>
        <v>ok</v>
      </c>
      <c r="I1127" s="17" t="str">
        <f>IF(COUNTIF(Synonymes!$A:$A,$A1127)&gt;0,"ok","")</f>
        <v>ok</v>
      </c>
      <c r="J1127" s="17">
        <f t="shared" si="17"/>
        <v>1</v>
      </c>
    </row>
    <row r="1128" spans="1:10" x14ac:dyDescent="0.3">
      <c r="A1128" s="17" t="s">
        <v>6208</v>
      </c>
      <c r="B1128" s="17" t="str">
        <f>IFERROR(INDEX(Mots!$B:$B,MATCH($A1128,Mots!$A:$A,0)),"introuvable")</f>
        <v>le problème</v>
      </c>
      <c r="C1128" s="17" t="str">
        <f>IFERROR(INDEX(Mots!$N:$N,MATCH($A1128,Mots!$A:$A,0)),"")</f>
        <v>chose</v>
      </c>
      <c r="D1128" s="17">
        <f>IFERROR(COUNTA(INDEX(Mots!$E:$E,MATCH($A1128,Mots!$A:$A,0)):INDEX(Mots!$K:$K,MATCH($A1128,Mots!$A:$A,0))),0)</f>
        <v>1</v>
      </c>
      <c r="E1128" s="17" t="str">
        <f>IF(COUNTIF(Classement!$A:$A,$A1128)&gt;0,"ok","à faire")</f>
        <v>ok</v>
      </c>
      <c r="F1128" s="17" t="str">
        <f>IF(COUNTIF(Tags!$A:$A,$A1128)&gt;0,"ok","à faire")</f>
        <v>à faire</v>
      </c>
      <c r="G1128" s="17" t="str">
        <f>IF(COUNTIF(Phrases!$A:$A,$A1128)&gt;0,"ok","à faire")</f>
        <v>ok</v>
      </c>
      <c r="H1128" s="17" t="str">
        <f>IF(COUNTIFS(Phrases!$A:$A,$A1128,Phrases!$I:$I,"&lt;&gt;")&gt;0,"ok","à faire")</f>
        <v>ok</v>
      </c>
      <c r="I1128" s="17" t="str">
        <f>IF(COUNTIF(Synonymes!$A:$A,$A1128)&gt;0,"ok","")</f>
        <v>ok</v>
      </c>
      <c r="J1128" s="17">
        <f t="shared" si="17"/>
        <v>1</v>
      </c>
    </row>
    <row r="1129" spans="1:10" x14ac:dyDescent="0.3">
      <c r="A1129" s="17" t="s">
        <v>6212</v>
      </c>
      <c r="B1129" s="17" t="str">
        <f>IFERROR(INDEX(Mots!$B:$B,MATCH($A1129,Mots!$A:$A,0)),"introuvable")</f>
        <v>le puzzle</v>
      </c>
      <c r="C1129" s="17" t="str">
        <f>IFERROR(INDEX(Mots!$N:$N,MATCH($A1129,Mots!$A:$A,0)),"")</f>
        <v>chose</v>
      </c>
      <c r="D1129" s="17">
        <f>IFERROR(COUNTA(INDEX(Mots!$E:$E,MATCH($A1129,Mots!$A:$A,0)):INDEX(Mots!$K:$K,MATCH($A1129,Mots!$A:$A,0))),0)</f>
        <v>1</v>
      </c>
      <c r="E1129" s="17" t="str">
        <f>IF(COUNTIF(Classement!$A:$A,$A1129)&gt;0,"ok","à faire")</f>
        <v>ok</v>
      </c>
      <c r="F1129" s="17" t="str">
        <f>IF(COUNTIF(Tags!$A:$A,$A1129)&gt;0,"ok","à faire")</f>
        <v>à faire</v>
      </c>
      <c r="G1129" s="17" t="str">
        <f>IF(COUNTIF(Phrases!$A:$A,$A1129)&gt;0,"ok","à faire")</f>
        <v>ok</v>
      </c>
      <c r="H1129" s="17" t="str">
        <f>IF(COUNTIFS(Phrases!$A:$A,$A1129,Phrases!$I:$I,"&lt;&gt;")&gt;0,"ok","à faire")</f>
        <v>ok</v>
      </c>
      <c r="I1129" s="17" t="str">
        <f>IF(COUNTIF(Synonymes!$A:$A,$A1129)&gt;0,"ok","")</f>
        <v/>
      </c>
      <c r="J1129" s="17">
        <f t="shared" si="17"/>
        <v>1</v>
      </c>
    </row>
    <row r="1130" spans="1:10" x14ac:dyDescent="0.3">
      <c r="A1130" s="17" t="s">
        <v>6216</v>
      </c>
      <c r="B1130" s="17" t="str">
        <f>IFERROR(INDEX(Mots!$B:$B,MATCH($A1130,Mots!$A:$A,0)),"introuvable")</f>
        <v>le quartier</v>
      </c>
      <c r="C1130" s="17" t="str">
        <f>IFERROR(INDEX(Mots!$N:$N,MATCH($A1130,Mots!$A:$A,0)),"")</f>
        <v>chose</v>
      </c>
      <c r="D1130" s="17">
        <f>IFERROR(COUNTA(INDEX(Mots!$E:$E,MATCH($A1130,Mots!$A:$A,0)):INDEX(Mots!$K:$K,MATCH($A1130,Mots!$A:$A,0))),0)</f>
        <v>3</v>
      </c>
      <c r="E1130" s="17" t="str">
        <f>IF(COUNTIF(Classement!$A:$A,$A1130)&gt;0,"ok","à faire")</f>
        <v>ok</v>
      </c>
      <c r="F1130" s="17" t="str">
        <f>IF(COUNTIF(Tags!$A:$A,$A1130)&gt;0,"ok","à faire")</f>
        <v>ok</v>
      </c>
      <c r="G1130" s="17" t="str">
        <f>IF(COUNTIF(Phrases!$A:$A,$A1130)&gt;0,"ok","à faire")</f>
        <v>ok</v>
      </c>
      <c r="H1130" s="17" t="str">
        <f>IF(COUNTIFS(Phrases!$A:$A,$A1130,Phrases!$I:$I,"&lt;&gt;")&gt;0,"ok","à faire")</f>
        <v>à faire</v>
      </c>
      <c r="I1130" s="17" t="str">
        <f>IF(COUNTIF(Synonymes!$A:$A,$A1130)&gt;0,"ok","")</f>
        <v>ok</v>
      </c>
      <c r="J1130" s="17">
        <f t="shared" si="17"/>
        <v>1</v>
      </c>
    </row>
    <row r="1131" spans="1:10" x14ac:dyDescent="0.3">
      <c r="A1131" s="17" t="s">
        <v>6222</v>
      </c>
      <c r="B1131" s="17" t="str">
        <f>IFERROR(INDEX(Mots!$B:$B,MATCH($A1131,Mots!$A:$A,0)),"introuvable")</f>
        <v>le récipient</v>
      </c>
      <c r="C1131" s="17" t="str">
        <f>IFERROR(INDEX(Mots!$N:$N,MATCH($A1131,Mots!$A:$A,0)),"")</f>
        <v>chose</v>
      </c>
      <c r="D1131" s="17">
        <f>IFERROR(COUNTA(INDEX(Mots!$E:$E,MATCH($A1131,Mots!$A:$A,0)):INDEX(Mots!$K:$K,MATCH($A1131,Mots!$A:$A,0))),0)</f>
        <v>3</v>
      </c>
      <c r="E1131" s="17" t="str">
        <f>IF(COUNTIF(Classement!$A:$A,$A1131)&gt;0,"ok","à faire")</f>
        <v>ok</v>
      </c>
      <c r="F1131" s="17" t="str">
        <f>IF(COUNTIF(Tags!$A:$A,$A1131)&gt;0,"ok","à faire")</f>
        <v>ok</v>
      </c>
      <c r="G1131" s="17" t="str">
        <f>IF(COUNTIF(Phrases!$A:$A,$A1131)&gt;0,"ok","à faire")</f>
        <v>ok</v>
      </c>
      <c r="H1131" s="17" t="str">
        <f>IF(COUNTIFS(Phrases!$A:$A,$A1131,Phrases!$I:$I,"&lt;&gt;")&gt;0,"ok","à faire")</f>
        <v>à faire</v>
      </c>
      <c r="I1131" s="17" t="str">
        <f>IF(COUNTIF(Synonymes!$A:$A,$A1131)&gt;0,"ok","")</f>
        <v/>
      </c>
      <c r="J1131" s="17">
        <f t="shared" si="17"/>
        <v>1</v>
      </c>
    </row>
    <row r="1132" spans="1:10" x14ac:dyDescent="0.3">
      <c r="A1132" s="17" t="s">
        <v>6228</v>
      </c>
      <c r="B1132" s="17" t="str">
        <f>IFERROR(INDEX(Mots!$B:$B,MATCH($A1132,Mots!$A:$A,0)),"introuvable")</f>
        <v>le récit</v>
      </c>
      <c r="C1132" s="17" t="str">
        <f>IFERROR(INDEX(Mots!$N:$N,MATCH($A1132,Mots!$A:$A,0)),"")</f>
        <v>chose</v>
      </c>
      <c r="D1132" s="17">
        <f>IFERROR(COUNTA(INDEX(Mots!$E:$E,MATCH($A1132,Mots!$A:$A,0)):INDEX(Mots!$K:$K,MATCH($A1132,Mots!$A:$A,0))),0)</f>
        <v>4</v>
      </c>
      <c r="E1132" s="17" t="str">
        <f>IF(COUNTIF(Classement!$A:$A,$A1132)&gt;0,"ok","à faire")</f>
        <v>ok</v>
      </c>
      <c r="F1132" s="17" t="str">
        <f>IF(COUNTIF(Tags!$A:$A,$A1132)&gt;0,"ok","à faire")</f>
        <v>à faire</v>
      </c>
      <c r="G1132" s="17" t="str">
        <f>IF(COUNTIF(Phrases!$A:$A,$A1132)&gt;0,"ok","à faire")</f>
        <v>ok</v>
      </c>
      <c r="H1132" s="17" t="str">
        <f>IF(COUNTIFS(Phrases!$A:$A,$A1132,Phrases!$I:$I,"&lt;&gt;")&gt;0,"ok","à faire")</f>
        <v>ok</v>
      </c>
      <c r="I1132" s="17" t="str">
        <f>IF(COUNTIF(Synonymes!$A:$A,$A1132)&gt;0,"ok","")</f>
        <v>ok</v>
      </c>
      <c r="J1132" s="17">
        <f t="shared" si="17"/>
        <v>1</v>
      </c>
    </row>
    <row r="1133" spans="1:10" x14ac:dyDescent="0.3">
      <c r="A1133" s="17" t="s">
        <v>6235</v>
      </c>
      <c r="B1133" s="17" t="str">
        <f>IFERROR(INDEX(Mots!$B:$B,MATCH($A1133,Mots!$A:$A,0)),"introuvable")</f>
        <v>le reçu</v>
      </c>
      <c r="C1133" s="17" t="str">
        <f>IFERROR(INDEX(Mots!$N:$N,MATCH($A1133,Mots!$A:$A,0)),"")</f>
        <v>chose</v>
      </c>
      <c r="D1133" s="17">
        <f>IFERROR(COUNTA(INDEX(Mots!$E:$E,MATCH($A1133,Mots!$A:$A,0)):INDEX(Mots!$K:$K,MATCH($A1133,Mots!$A:$A,0))),0)</f>
        <v>1</v>
      </c>
      <c r="E1133" s="17" t="str">
        <f>IF(COUNTIF(Classement!$A:$A,$A1133)&gt;0,"ok","à faire")</f>
        <v>ok</v>
      </c>
      <c r="F1133" s="17" t="str">
        <f>IF(COUNTIF(Tags!$A:$A,$A1133)&gt;0,"ok","à faire")</f>
        <v>à faire</v>
      </c>
      <c r="G1133" s="17" t="str">
        <f>IF(COUNTIF(Phrases!$A:$A,$A1133)&gt;0,"ok","à faire")</f>
        <v>ok</v>
      </c>
      <c r="H1133" s="17" t="str">
        <f>IF(COUNTIFS(Phrases!$A:$A,$A1133,Phrases!$I:$I,"&lt;&gt;")&gt;0,"ok","à faire")</f>
        <v>ok</v>
      </c>
      <c r="I1133" s="17" t="str">
        <f>IF(COUNTIF(Synonymes!$A:$A,$A1133)&gt;0,"ok","")</f>
        <v>ok</v>
      </c>
      <c r="J1133" s="17">
        <f t="shared" si="17"/>
        <v>1</v>
      </c>
    </row>
    <row r="1134" spans="1:10" x14ac:dyDescent="0.3">
      <c r="A1134" s="17" t="s">
        <v>6239</v>
      </c>
      <c r="B1134" s="17" t="str">
        <f>IFERROR(INDEX(Mots!$B:$B,MATCH($A1134,Mots!$A:$A,0)),"introuvable")</f>
        <v>le reflet</v>
      </c>
      <c r="C1134" s="17" t="str">
        <f>IFERROR(INDEX(Mots!$N:$N,MATCH($A1134,Mots!$A:$A,0)),"")</f>
        <v>chose</v>
      </c>
      <c r="D1134" s="17">
        <f>IFERROR(COUNTA(INDEX(Mots!$E:$E,MATCH($A1134,Mots!$A:$A,0)):INDEX(Mots!$K:$K,MATCH($A1134,Mots!$A:$A,0))),0)</f>
        <v>5</v>
      </c>
      <c r="E1134" s="17" t="str">
        <f>IF(COUNTIF(Classement!$A:$A,$A1134)&gt;0,"ok","à faire")</f>
        <v>ok</v>
      </c>
      <c r="F1134" s="17" t="str">
        <f>IF(COUNTIF(Tags!$A:$A,$A1134)&gt;0,"ok","à faire")</f>
        <v>ok</v>
      </c>
      <c r="G1134" s="17" t="str">
        <f>IF(COUNTIF(Phrases!$A:$A,$A1134)&gt;0,"ok","à faire")</f>
        <v>ok</v>
      </c>
      <c r="H1134" s="17" t="str">
        <f>IF(COUNTIFS(Phrases!$A:$A,$A1134,Phrases!$I:$I,"&lt;&gt;")&gt;0,"ok","à faire")</f>
        <v>à faire</v>
      </c>
      <c r="I1134" s="17" t="str">
        <f>IF(COUNTIF(Synonymes!$A:$A,$A1134)&gt;0,"ok","")</f>
        <v/>
      </c>
      <c r="J1134" s="17">
        <f t="shared" si="17"/>
        <v>1</v>
      </c>
    </row>
    <row r="1135" spans="1:10" x14ac:dyDescent="0.3">
      <c r="A1135" s="17" t="s">
        <v>6247</v>
      </c>
      <c r="B1135" s="17" t="str">
        <f>IFERROR(INDEX(Mots!$B:$B,MATCH($A1135,Mots!$A:$A,0)),"introuvable")</f>
        <v>le regret</v>
      </c>
      <c r="C1135" s="17" t="str">
        <f>IFERROR(INDEX(Mots!$N:$N,MATCH($A1135,Mots!$A:$A,0)),"")</f>
        <v>chose</v>
      </c>
      <c r="D1135" s="17">
        <f>IFERROR(COUNTA(INDEX(Mots!$E:$E,MATCH($A1135,Mots!$A:$A,0)):INDEX(Mots!$K:$K,MATCH($A1135,Mots!$A:$A,0))),0)</f>
        <v>1</v>
      </c>
      <c r="E1135" s="17" t="str">
        <f>IF(COUNTIF(Classement!$A:$A,$A1135)&gt;0,"ok","à faire")</f>
        <v>ok</v>
      </c>
      <c r="F1135" s="17" t="str">
        <f>IF(COUNTIF(Tags!$A:$A,$A1135)&gt;0,"ok","à faire")</f>
        <v>à faire</v>
      </c>
      <c r="G1135" s="17" t="str">
        <f>IF(COUNTIF(Phrases!$A:$A,$A1135)&gt;0,"ok","à faire")</f>
        <v>ok</v>
      </c>
      <c r="H1135" s="17" t="str">
        <f>IF(COUNTIFS(Phrases!$A:$A,$A1135,Phrases!$I:$I,"&lt;&gt;")&gt;0,"ok","à faire")</f>
        <v>ok</v>
      </c>
      <c r="I1135" s="17" t="str">
        <f>IF(COUNTIF(Synonymes!$A:$A,$A1135)&gt;0,"ok","")</f>
        <v/>
      </c>
      <c r="J1135" s="17">
        <f t="shared" si="17"/>
        <v>1</v>
      </c>
    </row>
    <row r="1136" spans="1:10" x14ac:dyDescent="0.3">
      <c r="A1136" s="17" t="s">
        <v>6251</v>
      </c>
      <c r="B1136" s="17" t="str">
        <f>IFERROR(INDEX(Mots!$B:$B,MATCH($A1136,Mots!$A:$A,0)),"introuvable")</f>
        <v>le relief</v>
      </c>
      <c r="C1136" s="17" t="str">
        <f>IFERROR(INDEX(Mots!$N:$N,MATCH($A1136,Mots!$A:$A,0)),"")</f>
        <v>chose</v>
      </c>
      <c r="D1136" s="17">
        <f>IFERROR(COUNTA(INDEX(Mots!$E:$E,MATCH($A1136,Mots!$A:$A,0)):INDEX(Mots!$K:$K,MATCH($A1136,Mots!$A:$A,0))),0)</f>
        <v>1</v>
      </c>
      <c r="E1136" s="17" t="str">
        <f>IF(COUNTIF(Classement!$A:$A,$A1136)&gt;0,"ok","à faire")</f>
        <v>ok</v>
      </c>
      <c r="F1136" s="17" t="str">
        <f>IF(COUNTIF(Tags!$A:$A,$A1136)&gt;0,"ok","à faire")</f>
        <v>à faire</v>
      </c>
      <c r="G1136" s="17" t="str">
        <f>IF(COUNTIF(Phrases!$A:$A,$A1136)&gt;0,"ok","à faire")</f>
        <v>ok</v>
      </c>
      <c r="H1136" s="17" t="str">
        <f>IF(COUNTIFS(Phrases!$A:$A,$A1136,Phrases!$I:$I,"&lt;&gt;")&gt;0,"ok","à faire")</f>
        <v>à faire</v>
      </c>
      <c r="I1136" s="17" t="str">
        <f>IF(COUNTIF(Synonymes!$A:$A,$A1136)&gt;0,"ok","")</f>
        <v/>
      </c>
      <c r="J1136" s="17">
        <f t="shared" si="17"/>
        <v>2</v>
      </c>
    </row>
    <row r="1137" spans="1:10" x14ac:dyDescent="0.3">
      <c r="A1137" s="17" t="s">
        <v>6255</v>
      </c>
      <c r="B1137" s="17" t="str">
        <f>IFERROR(INDEX(Mots!$B:$B,MATCH($A1137,Mots!$A:$A,0)),"introuvable")</f>
        <v>le remède</v>
      </c>
      <c r="C1137" s="17" t="str">
        <f>IFERROR(INDEX(Mots!$N:$N,MATCH($A1137,Mots!$A:$A,0)),"")</f>
        <v>chose</v>
      </c>
      <c r="D1137" s="17">
        <f>IFERROR(COUNTA(INDEX(Mots!$E:$E,MATCH($A1137,Mots!$A:$A,0)):INDEX(Mots!$K:$K,MATCH($A1137,Mots!$A:$A,0))),0)</f>
        <v>5</v>
      </c>
      <c r="E1137" s="17" t="str">
        <f>IF(COUNTIF(Classement!$A:$A,$A1137)&gt;0,"ok","à faire")</f>
        <v>ok</v>
      </c>
      <c r="F1137" s="17" t="str">
        <f>IF(COUNTIF(Tags!$A:$A,$A1137)&gt;0,"ok","à faire")</f>
        <v>ok</v>
      </c>
      <c r="G1137" s="17" t="str">
        <f>IF(COUNTIF(Phrases!$A:$A,$A1137)&gt;0,"ok","à faire")</f>
        <v>ok</v>
      </c>
      <c r="H1137" s="17" t="str">
        <f>IF(COUNTIFS(Phrases!$A:$A,$A1137,Phrases!$I:$I,"&lt;&gt;")&gt;0,"ok","à faire")</f>
        <v>à faire</v>
      </c>
      <c r="I1137" s="17" t="str">
        <f>IF(COUNTIF(Synonymes!$A:$A,$A1137)&gt;0,"ok","")</f>
        <v>ok</v>
      </c>
      <c r="J1137" s="17">
        <f t="shared" si="17"/>
        <v>1</v>
      </c>
    </row>
    <row r="1138" spans="1:10" x14ac:dyDescent="0.3">
      <c r="A1138" s="17" t="s">
        <v>6258</v>
      </c>
      <c r="B1138" s="17" t="str">
        <f>IFERROR(INDEX(Mots!$B:$B,MATCH($A1138,Mots!$A:$A,0)),"introuvable")</f>
        <v>le repas</v>
      </c>
      <c r="C1138" s="17" t="str">
        <f>IFERROR(INDEX(Mots!$N:$N,MATCH($A1138,Mots!$A:$A,0)),"")</f>
        <v>chose</v>
      </c>
      <c r="D1138" s="17">
        <f>IFERROR(COUNTA(INDEX(Mots!$E:$E,MATCH($A1138,Mots!$A:$A,0)):INDEX(Mots!$K:$K,MATCH($A1138,Mots!$A:$A,0))),0)</f>
        <v>1</v>
      </c>
      <c r="E1138" s="17" t="str">
        <f>IF(COUNTIF(Classement!$A:$A,$A1138)&gt;0,"ok","à faire")</f>
        <v>ok</v>
      </c>
      <c r="F1138" s="17" t="str">
        <f>IF(COUNTIF(Tags!$A:$A,$A1138)&gt;0,"ok","à faire")</f>
        <v>ok</v>
      </c>
      <c r="G1138" s="17" t="str">
        <f>IF(COUNTIF(Phrases!$A:$A,$A1138)&gt;0,"ok","à faire")</f>
        <v>ok</v>
      </c>
      <c r="H1138" s="17" t="str">
        <f>IF(COUNTIFS(Phrases!$A:$A,$A1138,Phrases!$I:$I,"&lt;&gt;")&gt;0,"ok","à faire")</f>
        <v>ok</v>
      </c>
      <c r="I1138" s="17" t="str">
        <f>IF(COUNTIF(Synonymes!$A:$A,$A1138)&gt;0,"ok","")</f>
        <v/>
      </c>
      <c r="J1138" s="17">
        <f t="shared" si="17"/>
        <v>0</v>
      </c>
    </row>
    <row r="1139" spans="1:10" x14ac:dyDescent="0.3">
      <c r="A1139" s="17" t="s">
        <v>6262</v>
      </c>
      <c r="B1139" s="17" t="str">
        <f>IFERROR(INDEX(Mots!$B:$B,MATCH($A1139,Mots!$A:$A,0)),"introuvable")</f>
        <v>le repos</v>
      </c>
      <c r="C1139" s="17" t="str">
        <f>IFERROR(INDEX(Mots!$N:$N,MATCH($A1139,Mots!$A:$A,0)),"")</f>
        <v>mot utile</v>
      </c>
      <c r="D1139" s="17">
        <f>IFERROR(COUNTA(INDEX(Mots!$E:$E,MATCH($A1139,Mots!$A:$A,0)):INDEX(Mots!$K:$K,MATCH($A1139,Mots!$A:$A,0))),0)</f>
        <v>1</v>
      </c>
      <c r="E1139" s="17" t="str">
        <f>IF(COUNTIF(Classement!$A:$A,$A1139)&gt;0,"ok","à faire")</f>
        <v>ok</v>
      </c>
      <c r="F1139" s="17" t="str">
        <f>IF(COUNTIF(Tags!$A:$A,$A1139)&gt;0,"ok","à faire")</f>
        <v>ok</v>
      </c>
      <c r="G1139" s="17" t="str">
        <f>IF(COUNTIF(Phrases!$A:$A,$A1139)&gt;0,"ok","à faire")</f>
        <v>à faire</v>
      </c>
      <c r="H1139" s="17" t="str">
        <f>IF(COUNTIFS(Phrases!$A:$A,$A1139,Phrases!$I:$I,"&lt;&gt;")&gt;0,"ok","à faire")</f>
        <v>à faire</v>
      </c>
      <c r="I1139" s="17" t="str">
        <f>IF(COUNTIF(Synonymes!$A:$A,$A1139)&gt;0,"ok","")</f>
        <v/>
      </c>
      <c r="J1139" s="17">
        <f t="shared" si="17"/>
        <v>2</v>
      </c>
    </row>
    <row r="1140" spans="1:10" x14ac:dyDescent="0.3">
      <c r="A1140" s="17" t="s">
        <v>6266</v>
      </c>
      <c r="B1140" s="17" t="str">
        <f>IFERROR(INDEX(Mots!$B:$B,MATCH($A1140,Mots!$A:$A,0)),"introuvable")</f>
        <v>le respect</v>
      </c>
      <c r="C1140" s="17" t="str">
        <f>IFERROR(INDEX(Mots!$N:$N,MATCH($A1140,Mots!$A:$A,0)),"")</f>
        <v>chose</v>
      </c>
      <c r="D1140" s="17">
        <f>IFERROR(COUNTA(INDEX(Mots!$E:$E,MATCH($A1140,Mots!$A:$A,0)):INDEX(Mots!$K:$K,MATCH($A1140,Mots!$A:$A,0))),0)</f>
        <v>2</v>
      </c>
      <c r="E1140" s="17" t="str">
        <f>IF(COUNTIF(Classement!$A:$A,$A1140)&gt;0,"ok","à faire")</f>
        <v>ok</v>
      </c>
      <c r="F1140" s="17" t="str">
        <f>IF(COUNTIF(Tags!$A:$A,$A1140)&gt;0,"ok","à faire")</f>
        <v>à faire</v>
      </c>
      <c r="G1140" s="17" t="str">
        <f>IF(COUNTIF(Phrases!$A:$A,$A1140)&gt;0,"ok","à faire")</f>
        <v>ok</v>
      </c>
      <c r="H1140" s="17" t="str">
        <f>IF(COUNTIFS(Phrases!$A:$A,$A1140,Phrases!$I:$I,"&lt;&gt;")&gt;0,"ok","à faire")</f>
        <v>ok</v>
      </c>
      <c r="I1140" s="17" t="str">
        <f>IF(COUNTIF(Synonymes!$A:$A,$A1140)&gt;0,"ok","")</f>
        <v/>
      </c>
      <c r="J1140" s="17">
        <f t="shared" si="17"/>
        <v>1</v>
      </c>
    </row>
    <row r="1141" spans="1:10" x14ac:dyDescent="0.3">
      <c r="A1141" s="17" t="s">
        <v>6271</v>
      </c>
      <c r="B1141" s="17" t="str">
        <f>IFERROR(INDEX(Mots!$B:$B,MATCH($A1141,Mots!$A:$A,0)),"introuvable")</f>
        <v>le résultat</v>
      </c>
      <c r="C1141" s="17" t="str">
        <f>IFERROR(INDEX(Mots!$N:$N,MATCH($A1141,Mots!$A:$A,0)),"")</f>
        <v>chose</v>
      </c>
      <c r="D1141" s="17">
        <f>IFERROR(COUNTA(INDEX(Mots!$E:$E,MATCH($A1141,Mots!$A:$A,0)):INDEX(Mots!$K:$K,MATCH($A1141,Mots!$A:$A,0))),0)</f>
        <v>1</v>
      </c>
      <c r="E1141" s="17" t="str">
        <f>IF(COUNTIF(Classement!$A:$A,$A1141)&gt;0,"ok","à faire")</f>
        <v>ok</v>
      </c>
      <c r="F1141" s="17" t="str">
        <f>IF(COUNTIF(Tags!$A:$A,$A1141)&gt;0,"ok","à faire")</f>
        <v>à faire</v>
      </c>
      <c r="G1141" s="17" t="str">
        <f>IF(COUNTIF(Phrases!$A:$A,$A1141)&gt;0,"ok","à faire")</f>
        <v>ok</v>
      </c>
      <c r="H1141" s="17" t="str">
        <f>IF(COUNTIFS(Phrases!$A:$A,$A1141,Phrases!$I:$I,"&lt;&gt;")&gt;0,"ok","à faire")</f>
        <v>à faire</v>
      </c>
      <c r="I1141" s="17" t="str">
        <f>IF(COUNTIF(Synonymes!$A:$A,$A1141)&gt;0,"ok","")</f>
        <v/>
      </c>
      <c r="J1141" s="17">
        <f t="shared" si="17"/>
        <v>2</v>
      </c>
    </row>
    <row r="1142" spans="1:10" x14ac:dyDescent="0.3">
      <c r="A1142" s="17" t="s">
        <v>6275</v>
      </c>
      <c r="B1142" s="17" t="str">
        <f>IFERROR(INDEX(Mots!$B:$B,MATCH($A1142,Mots!$A:$A,0)),"introuvable")</f>
        <v>le retour</v>
      </c>
      <c r="C1142" s="17" t="str">
        <f>IFERROR(INDEX(Mots!$N:$N,MATCH($A1142,Mots!$A:$A,0)),"")</f>
        <v>lieu</v>
      </c>
      <c r="D1142" s="17">
        <f>IFERROR(COUNTA(INDEX(Mots!$E:$E,MATCH($A1142,Mots!$A:$A,0)):INDEX(Mots!$K:$K,MATCH($A1142,Mots!$A:$A,0))),0)</f>
        <v>1</v>
      </c>
      <c r="E1142" s="17" t="str">
        <f>IF(COUNTIF(Classement!$A:$A,$A1142)&gt;0,"ok","à faire")</f>
        <v>ok</v>
      </c>
      <c r="F1142" s="17" t="str">
        <f>IF(COUNTIF(Tags!$A:$A,$A1142)&gt;0,"ok","à faire")</f>
        <v>à faire</v>
      </c>
      <c r="G1142" s="17" t="str">
        <f>IF(COUNTIF(Phrases!$A:$A,$A1142)&gt;0,"ok","à faire")</f>
        <v>à faire</v>
      </c>
      <c r="H1142" s="17" t="str">
        <f>IF(COUNTIFS(Phrases!$A:$A,$A1142,Phrases!$I:$I,"&lt;&gt;")&gt;0,"ok","à faire")</f>
        <v>à faire</v>
      </c>
      <c r="I1142" s="17" t="str">
        <f>IF(COUNTIF(Synonymes!$A:$A,$A1142)&gt;0,"ok","")</f>
        <v/>
      </c>
      <c r="J1142" s="17">
        <f t="shared" si="17"/>
        <v>3</v>
      </c>
    </row>
    <row r="1143" spans="1:10" x14ac:dyDescent="0.3">
      <c r="A1143" s="17" t="s">
        <v>6279</v>
      </c>
      <c r="B1143" s="17" t="str">
        <f>IFERROR(INDEX(Mots!$B:$B,MATCH($A1143,Mots!$A:$A,0)),"introuvable")</f>
        <v>le rhume</v>
      </c>
      <c r="C1143" s="17" t="str">
        <f>IFERROR(INDEX(Mots!$N:$N,MATCH($A1143,Mots!$A:$A,0)),"")</f>
        <v>chose</v>
      </c>
      <c r="D1143" s="17">
        <f>IFERROR(COUNTA(INDEX(Mots!$E:$E,MATCH($A1143,Mots!$A:$A,0)):INDEX(Mots!$K:$K,MATCH($A1143,Mots!$A:$A,0))),0)</f>
        <v>1</v>
      </c>
      <c r="E1143" s="17" t="str">
        <f>IF(COUNTIF(Classement!$A:$A,$A1143)&gt;0,"ok","à faire")</f>
        <v>ok</v>
      </c>
      <c r="F1143" s="17" t="str">
        <f>IF(COUNTIF(Tags!$A:$A,$A1143)&gt;0,"ok","à faire")</f>
        <v>ok</v>
      </c>
      <c r="G1143" s="17" t="str">
        <f>IF(COUNTIF(Phrases!$A:$A,$A1143)&gt;0,"ok","à faire")</f>
        <v>ok</v>
      </c>
      <c r="H1143" s="17" t="str">
        <f>IF(COUNTIFS(Phrases!$A:$A,$A1143,Phrases!$I:$I,"&lt;&gt;")&gt;0,"ok","à faire")</f>
        <v>ok</v>
      </c>
      <c r="I1143" s="17" t="str">
        <f>IF(COUNTIF(Synonymes!$A:$A,$A1143)&gt;0,"ok","")</f>
        <v/>
      </c>
      <c r="J1143" s="17">
        <f t="shared" si="17"/>
        <v>0</v>
      </c>
    </row>
    <row r="1144" spans="1:10" x14ac:dyDescent="0.3">
      <c r="A1144" s="17" t="s">
        <v>6283</v>
      </c>
      <c r="B1144" s="17" t="str">
        <f>IFERROR(INDEX(Mots!$B:$B,MATCH($A1144,Mots!$A:$A,0)),"introuvable")</f>
        <v>le rideau</v>
      </c>
      <c r="C1144" s="17" t="str">
        <f>IFERROR(INDEX(Mots!$N:$N,MATCH($A1144,Mots!$A:$A,0)),"")</f>
        <v>chose</v>
      </c>
      <c r="D1144" s="17">
        <f>IFERROR(COUNTA(INDEX(Mots!$E:$E,MATCH($A1144,Mots!$A:$A,0)):INDEX(Mots!$K:$K,MATCH($A1144,Mots!$A:$A,0))),0)</f>
        <v>6</v>
      </c>
      <c r="E1144" s="17" t="str">
        <f>IF(COUNTIF(Classement!$A:$A,$A1144)&gt;0,"ok","à faire")</f>
        <v>ok</v>
      </c>
      <c r="F1144" s="17" t="str">
        <f>IF(COUNTIF(Tags!$A:$A,$A1144)&gt;0,"ok","à faire")</f>
        <v>ok</v>
      </c>
      <c r="G1144" s="17" t="str">
        <f>IF(COUNTIF(Phrases!$A:$A,$A1144)&gt;0,"ok","à faire")</f>
        <v>ok</v>
      </c>
      <c r="H1144" s="17" t="str">
        <f>IF(COUNTIFS(Phrases!$A:$A,$A1144,Phrases!$I:$I,"&lt;&gt;")&gt;0,"ok","à faire")</f>
        <v>ok</v>
      </c>
      <c r="I1144" s="17" t="str">
        <f>IF(COUNTIF(Synonymes!$A:$A,$A1144)&gt;0,"ok","")</f>
        <v/>
      </c>
      <c r="J1144" s="17">
        <f t="shared" si="17"/>
        <v>0</v>
      </c>
    </row>
    <row r="1145" spans="1:10" x14ac:dyDescent="0.3">
      <c r="A1145" s="17" t="s">
        <v>6287</v>
      </c>
      <c r="B1145" s="17" t="str">
        <f>IFERROR(INDEX(Mots!$B:$B,MATCH($A1145,Mots!$A:$A,0)),"introuvable")</f>
        <v>le risque</v>
      </c>
      <c r="C1145" s="17" t="str">
        <f>IFERROR(INDEX(Mots!$N:$N,MATCH($A1145,Mots!$A:$A,0)),"")</f>
        <v>chose</v>
      </c>
      <c r="D1145" s="17">
        <f>IFERROR(COUNTA(INDEX(Mots!$E:$E,MATCH($A1145,Mots!$A:$A,0)):INDEX(Mots!$K:$K,MATCH($A1145,Mots!$A:$A,0))),0)</f>
        <v>1</v>
      </c>
      <c r="E1145" s="17" t="str">
        <f>IF(COUNTIF(Classement!$A:$A,$A1145)&gt;0,"ok","à faire")</f>
        <v>ok</v>
      </c>
      <c r="F1145" s="17" t="str">
        <f>IF(COUNTIF(Tags!$A:$A,$A1145)&gt;0,"ok","à faire")</f>
        <v>à faire</v>
      </c>
      <c r="G1145" s="17" t="str">
        <f>IF(COUNTIF(Phrases!$A:$A,$A1145)&gt;0,"ok","à faire")</f>
        <v>ok</v>
      </c>
      <c r="H1145" s="17" t="str">
        <f>IF(COUNTIFS(Phrases!$A:$A,$A1145,Phrases!$I:$I,"&lt;&gt;")&gt;0,"ok","à faire")</f>
        <v>ok</v>
      </c>
      <c r="I1145" s="17" t="str">
        <f>IF(COUNTIF(Synonymes!$A:$A,$A1145)&gt;0,"ok","")</f>
        <v/>
      </c>
      <c r="J1145" s="17">
        <f t="shared" si="17"/>
        <v>1</v>
      </c>
    </row>
    <row r="1146" spans="1:10" x14ac:dyDescent="0.3">
      <c r="A1146" s="17" t="s">
        <v>6291</v>
      </c>
      <c r="B1146" s="17" t="str">
        <f>IFERROR(INDEX(Mots!$B:$B,MATCH($A1146,Mots!$A:$A,0)),"introuvable")</f>
        <v>le ruban</v>
      </c>
      <c r="C1146" s="17" t="str">
        <f>IFERROR(INDEX(Mots!$N:$N,MATCH($A1146,Mots!$A:$A,0)),"")</f>
        <v>chose</v>
      </c>
      <c r="D1146" s="17">
        <f>IFERROR(COUNTA(INDEX(Mots!$E:$E,MATCH($A1146,Mots!$A:$A,0)):INDEX(Mots!$K:$K,MATCH($A1146,Mots!$A:$A,0))),0)</f>
        <v>6</v>
      </c>
      <c r="E1146" s="17" t="str">
        <f>IF(COUNTIF(Classement!$A:$A,$A1146)&gt;0,"ok","à faire")</f>
        <v>ok</v>
      </c>
      <c r="F1146" s="17" t="str">
        <f>IF(COUNTIF(Tags!$A:$A,$A1146)&gt;0,"ok","à faire")</f>
        <v>ok</v>
      </c>
      <c r="G1146" s="17" t="str">
        <f>IF(COUNTIF(Phrases!$A:$A,$A1146)&gt;0,"ok","à faire")</f>
        <v>ok</v>
      </c>
      <c r="H1146" s="17" t="str">
        <f>IF(COUNTIFS(Phrases!$A:$A,$A1146,Phrases!$I:$I,"&lt;&gt;")&gt;0,"ok","à faire")</f>
        <v>à faire</v>
      </c>
      <c r="I1146" s="17" t="str">
        <f>IF(COUNTIF(Synonymes!$A:$A,$A1146)&gt;0,"ok","")</f>
        <v/>
      </c>
      <c r="J1146" s="17">
        <f t="shared" si="17"/>
        <v>1</v>
      </c>
    </row>
    <row r="1147" spans="1:10" x14ac:dyDescent="0.3">
      <c r="A1147" s="17" t="s">
        <v>6295</v>
      </c>
      <c r="B1147" s="17" t="str">
        <f>IFERROR(INDEX(Mots!$B:$B,MATCH($A1147,Mots!$A:$A,0)),"introuvable")</f>
        <v>le rythme</v>
      </c>
      <c r="C1147" s="17" t="str">
        <f>IFERROR(INDEX(Mots!$N:$N,MATCH($A1147,Mots!$A:$A,0)),"")</f>
        <v>chose</v>
      </c>
      <c r="D1147" s="17">
        <f>IFERROR(COUNTA(INDEX(Mots!$E:$E,MATCH($A1147,Mots!$A:$A,0)):INDEX(Mots!$K:$K,MATCH($A1147,Mots!$A:$A,0))),0)</f>
        <v>2</v>
      </c>
      <c r="E1147" s="17" t="str">
        <f>IF(COUNTIF(Classement!$A:$A,$A1147)&gt;0,"ok","à faire")</f>
        <v>ok</v>
      </c>
      <c r="F1147" s="17" t="str">
        <f>IF(COUNTIF(Tags!$A:$A,$A1147)&gt;0,"ok","à faire")</f>
        <v>ok</v>
      </c>
      <c r="G1147" s="17" t="str">
        <f>IF(COUNTIF(Phrases!$A:$A,$A1147)&gt;0,"ok","à faire")</f>
        <v>ok</v>
      </c>
      <c r="H1147" s="17" t="str">
        <f>IF(COUNTIFS(Phrases!$A:$A,$A1147,Phrases!$I:$I,"&lt;&gt;")&gt;0,"ok","à faire")</f>
        <v>ok</v>
      </c>
      <c r="I1147" s="17" t="str">
        <f>IF(COUNTIF(Synonymes!$A:$A,$A1147)&gt;0,"ok","")</f>
        <v/>
      </c>
      <c r="J1147" s="17">
        <f t="shared" si="17"/>
        <v>0</v>
      </c>
    </row>
    <row r="1148" spans="1:10" x14ac:dyDescent="0.3">
      <c r="A1148" s="17" t="s">
        <v>6302</v>
      </c>
      <c r="B1148" s="17" t="str">
        <f>IFERROR(INDEX(Mots!$B:$B,MATCH($A1148,Mots!$A:$A,0)),"introuvable")</f>
        <v>le sable</v>
      </c>
      <c r="C1148" s="17" t="str">
        <f>IFERROR(INDEX(Mots!$N:$N,MATCH($A1148,Mots!$A:$A,0)),"")</f>
        <v>chose</v>
      </c>
      <c r="D1148" s="17">
        <f>IFERROR(COUNTA(INDEX(Mots!$E:$E,MATCH($A1148,Mots!$A:$A,0)):INDEX(Mots!$K:$K,MATCH($A1148,Mots!$A:$A,0))),0)</f>
        <v>5</v>
      </c>
      <c r="E1148" s="17" t="str">
        <f>IF(COUNTIF(Classement!$A:$A,$A1148)&gt;0,"ok","à faire")</f>
        <v>ok</v>
      </c>
      <c r="F1148" s="17" t="str">
        <f>IF(COUNTIF(Tags!$A:$A,$A1148)&gt;0,"ok","à faire")</f>
        <v>à faire</v>
      </c>
      <c r="G1148" s="17" t="str">
        <f>IF(COUNTIF(Phrases!$A:$A,$A1148)&gt;0,"ok","à faire")</f>
        <v>ok</v>
      </c>
      <c r="H1148" s="17" t="str">
        <f>IF(COUNTIFS(Phrases!$A:$A,$A1148,Phrases!$I:$I,"&lt;&gt;")&gt;0,"ok","à faire")</f>
        <v>à faire</v>
      </c>
      <c r="I1148" s="17" t="str">
        <f>IF(COUNTIF(Synonymes!$A:$A,$A1148)&gt;0,"ok","")</f>
        <v/>
      </c>
      <c r="J1148" s="17">
        <f t="shared" si="17"/>
        <v>2</v>
      </c>
    </row>
    <row r="1149" spans="1:10" x14ac:dyDescent="0.3">
      <c r="A1149" s="17" t="s">
        <v>6312</v>
      </c>
      <c r="B1149" s="17" t="str">
        <f>IFERROR(INDEX(Mots!$B:$B,MATCH($A1149,Mots!$A:$A,0)),"introuvable")</f>
        <v>le sac</v>
      </c>
      <c r="C1149" s="17" t="str">
        <f>IFERROR(INDEX(Mots!$N:$N,MATCH($A1149,Mots!$A:$A,0)),"")</f>
        <v>chose</v>
      </c>
      <c r="D1149" s="17">
        <f>IFERROR(COUNTA(INDEX(Mots!$E:$E,MATCH($A1149,Mots!$A:$A,0)):INDEX(Mots!$K:$K,MATCH($A1149,Mots!$A:$A,0))),0)</f>
        <v>5</v>
      </c>
      <c r="E1149" s="17" t="str">
        <f>IF(COUNTIF(Classement!$A:$A,$A1149)&gt;0,"ok","à faire")</f>
        <v>ok</v>
      </c>
      <c r="F1149" s="17" t="str">
        <f>IF(COUNTIF(Tags!$A:$A,$A1149)&gt;0,"ok","à faire")</f>
        <v>ok</v>
      </c>
      <c r="G1149" s="17" t="str">
        <f>IF(COUNTIF(Phrases!$A:$A,$A1149)&gt;0,"ok","à faire")</f>
        <v>ok</v>
      </c>
      <c r="H1149" s="17" t="str">
        <f>IF(COUNTIFS(Phrases!$A:$A,$A1149,Phrases!$I:$I,"&lt;&gt;")&gt;0,"ok","à faire")</f>
        <v>ok</v>
      </c>
      <c r="I1149" s="17" t="str">
        <f>IF(COUNTIF(Synonymes!$A:$A,$A1149)&gt;0,"ok","")</f>
        <v/>
      </c>
      <c r="J1149" s="17">
        <f t="shared" si="17"/>
        <v>0</v>
      </c>
    </row>
    <row r="1150" spans="1:10" x14ac:dyDescent="0.3">
      <c r="A1150" s="17" t="s">
        <v>6320</v>
      </c>
      <c r="B1150" s="17" t="str">
        <f>IFERROR(INDEX(Mots!$B:$B,MATCH($A1150,Mots!$A:$A,0)),"introuvable")</f>
        <v>le sac à dos</v>
      </c>
      <c r="C1150" s="17" t="str">
        <f>IFERROR(INDEX(Mots!$N:$N,MATCH($A1150,Mots!$A:$A,0)),"")</f>
        <v>chose</v>
      </c>
      <c r="D1150" s="17">
        <f>IFERROR(COUNTA(INDEX(Mots!$E:$E,MATCH($A1150,Mots!$A:$A,0)):INDEX(Mots!$K:$K,MATCH($A1150,Mots!$A:$A,0))),0)</f>
        <v>5</v>
      </c>
      <c r="E1150" s="17" t="str">
        <f>IF(COUNTIF(Classement!$A:$A,$A1150)&gt;0,"ok","à faire")</f>
        <v>ok</v>
      </c>
      <c r="F1150" s="17" t="str">
        <f>IF(COUNTIF(Tags!$A:$A,$A1150)&gt;0,"ok","à faire")</f>
        <v>ok</v>
      </c>
      <c r="G1150" s="17" t="str">
        <f>IF(COUNTIF(Phrases!$A:$A,$A1150)&gt;0,"ok","à faire")</f>
        <v>ok</v>
      </c>
      <c r="H1150" s="17" t="str">
        <f>IF(COUNTIFS(Phrases!$A:$A,$A1150,Phrases!$I:$I,"&lt;&gt;")&gt;0,"ok","à faire")</f>
        <v>à faire</v>
      </c>
      <c r="I1150" s="17" t="str">
        <f>IF(COUNTIF(Synonymes!$A:$A,$A1150)&gt;0,"ok","")</f>
        <v/>
      </c>
      <c r="J1150" s="17">
        <f t="shared" si="17"/>
        <v>1</v>
      </c>
    </row>
    <row r="1151" spans="1:10" x14ac:dyDescent="0.3">
      <c r="A1151" s="17" t="s">
        <v>6328</v>
      </c>
      <c r="B1151" s="17" t="str">
        <f>IFERROR(INDEX(Mots!$B:$B,MATCH($A1151,Mots!$A:$A,0)),"introuvable")</f>
        <v>le seau</v>
      </c>
      <c r="C1151" s="17" t="str">
        <f>IFERROR(INDEX(Mots!$N:$N,MATCH($A1151,Mots!$A:$A,0)),"")</f>
        <v>chose</v>
      </c>
      <c r="D1151" s="17">
        <f>IFERROR(COUNTA(INDEX(Mots!$E:$E,MATCH($A1151,Mots!$A:$A,0)):INDEX(Mots!$K:$K,MATCH($A1151,Mots!$A:$A,0))),0)</f>
        <v>5</v>
      </c>
      <c r="E1151" s="17" t="str">
        <f>IF(COUNTIF(Classement!$A:$A,$A1151)&gt;0,"ok","à faire")</f>
        <v>ok</v>
      </c>
      <c r="F1151" s="17" t="str">
        <f>IF(COUNTIF(Tags!$A:$A,$A1151)&gt;0,"ok","à faire")</f>
        <v>ok</v>
      </c>
      <c r="G1151" s="17" t="str">
        <f>IF(COUNTIF(Phrases!$A:$A,$A1151)&gt;0,"ok","à faire")</f>
        <v>ok</v>
      </c>
      <c r="H1151" s="17" t="str">
        <f>IF(COUNTIFS(Phrases!$A:$A,$A1151,Phrases!$I:$I,"&lt;&gt;")&gt;0,"ok","à faire")</f>
        <v>ok</v>
      </c>
      <c r="I1151" s="17" t="str">
        <f>IF(COUNTIF(Synonymes!$A:$A,$A1151)&gt;0,"ok","")</f>
        <v>ok</v>
      </c>
      <c r="J1151" s="17">
        <f t="shared" si="17"/>
        <v>0</v>
      </c>
    </row>
    <row r="1152" spans="1:10" x14ac:dyDescent="0.3">
      <c r="A1152" s="17" t="s">
        <v>6336</v>
      </c>
      <c r="B1152" s="17" t="str">
        <f>IFERROR(INDEX(Mots!$B:$B,MATCH($A1152,Mots!$A:$A,0)),"introuvable")</f>
        <v>le secours</v>
      </c>
      <c r="C1152" s="17" t="str">
        <f>IFERROR(INDEX(Mots!$N:$N,MATCH($A1152,Mots!$A:$A,0)),"")</f>
        <v>chose</v>
      </c>
      <c r="D1152" s="17">
        <f>IFERROR(COUNTA(INDEX(Mots!$E:$E,MATCH($A1152,Mots!$A:$A,0)):INDEX(Mots!$K:$K,MATCH($A1152,Mots!$A:$A,0))),0)</f>
        <v>1</v>
      </c>
      <c r="E1152" s="17" t="str">
        <f>IF(COUNTIF(Classement!$A:$A,$A1152)&gt;0,"ok","à faire")</f>
        <v>ok</v>
      </c>
      <c r="F1152" s="17" t="str">
        <f>IF(COUNTIF(Tags!$A:$A,$A1152)&gt;0,"ok","à faire")</f>
        <v>ok</v>
      </c>
      <c r="G1152" s="17" t="str">
        <f>IF(COUNTIF(Phrases!$A:$A,$A1152)&gt;0,"ok","à faire")</f>
        <v>ok</v>
      </c>
      <c r="H1152" s="17" t="str">
        <f>IF(COUNTIFS(Phrases!$A:$A,$A1152,Phrases!$I:$I,"&lt;&gt;")&gt;0,"ok","à faire")</f>
        <v>ok</v>
      </c>
      <c r="I1152" s="17" t="str">
        <f>IF(COUNTIF(Synonymes!$A:$A,$A1152)&gt;0,"ok","")</f>
        <v/>
      </c>
      <c r="J1152" s="17">
        <f t="shared" si="17"/>
        <v>0</v>
      </c>
    </row>
    <row r="1153" spans="1:10" x14ac:dyDescent="0.3">
      <c r="A1153" s="17" t="s">
        <v>6340</v>
      </c>
      <c r="B1153" s="17" t="str">
        <f>IFERROR(INDEX(Mots!$B:$B,MATCH($A1153,Mots!$A:$A,0)),"introuvable")</f>
        <v>le secret</v>
      </c>
      <c r="C1153" s="17" t="str">
        <f>IFERROR(INDEX(Mots!$N:$N,MATCH($A1153,Mots!$A:$A,0)),"")</f>
        <v>chose</v>
      </c>
      <c r="D1153" s="17">
        <f>IFERROR(COUNTA(INDEX(Mots!$E:$E,MATCH($A1153,Mots!$A:$A,0)):INDEX(Mots!$K:$K,MATCH($A1153,Mots!$A:$A,0))),0)</f>
        <v>1</v>
      </c>
      <c r="E1153" s="17" t="str">
        <f>IF(COUNTIF(Classement!$A:$A,$A1153)&gt;0,"ok","à faire")</f>
        <v>ok</v>
      </c>
      <c r="F1153" s="17" t="str">
        <f>IF(COUNTIF(Tags!$A:$A,$A1153)&gt;0,"ok","à faire")</f>
        <v>à faire</v>
      </c>
      <c r="G1153" s="17" t="str">
        <f>IF(COUNTIF(Phrases!$A:$A,$A1153)&gt;0,"ok","à faire")</f>
        <v>ok</v>
      </c>
      <c r="H1153" s="17" t="str">
        <f>IF(COUNTIFS(Phrases!$A:$A,$A1153,Phrases!$I:$I,"&lt;&gt;")&gt;0,"ok","à faire")</f>
        <v>ok</v>
      </c>
      <c r="I1153" s="17" t="str">
        <f>IF(COUNTIF(Synonymes!$A:$A,$A1153)&gt;0,"ok","")</f>
        <v/>
      </c>
      <c r="J1153" s="17">
        <f t="shared" ref="J1153:J1216" si="18">COUNTIF(E1153:H1153,"à faire")</f>
        <v>1</v>
      </c>
    </row>
    <row r="1154" spans="1:10" x14ac:dyDescent="0.3">
      <c r="A1154" s="17" t="s">
        <v>6344</v>
      </c>
      <c r="B1154" s="17" t="str">
        <f>IFERROR(INDEX(Mots!$B:$B,MATCH($A1154,Mots!$A:$A,0)),"introuvable")</f>
        <v>le secteur</v>
      </c>
      <c r="C1154" s="17" t="str">
        <f>IFERROR(INDEX(Mots!$N:$N,MATCH($A1154,Mots!$A:$A,0)),"")</f>
        <v>lieu</v>
      </c>
      <c r="D1154" s="17">
        <f>IFERROR(COUNTA(INDEX(Mots!$E:$E,MATCH($A1154,Mots!$A:$A,0)):INDEX(Mots!$K:$K,MATCH($A1154,Mots!$A:$A,0))),0)</f>
        <v>5</v>
      </c>
      <c r="E1154" s="17" t="str">
        <f>IF(COUNTIF(Classement!$A:$A,$A1154)&gt;0,"ok","à faire")</f>
        <v>ok</v>
      </c>
      <c r="F1154" s="17" t="str">
        <f>IF(COUNTIF(Tags!$A:$A,$A1154)&gt;0,"ok","à faire")</f>
        <v>à faire</v>
      </c>
      <c r="G1154" s="17" t="str">
        <f>IF(COUNTIF(Phrases!$A:$A,$A1154)&gt;0,"ok","à faire")</f>
        <v>ok</v>
      </c>
      <c r="H1154" s="17" t="str">
        <f>IF(COUNTIFS(Phrases!$A:$A,$A1154,Phrases!$I:$I,"&lt;&gt;")&gt;0,"ok","à faire")</f>
        <v>à faire</v>
      </c>
      <c r="I1154" s="17" t="str">
        <f>IF(COUNTIF(Synonymes!$A:$A,$A1154)&gt;0,"ok","")</f>
        <v/>
      </c>
      <c r="J1154" s="17">
        <f t="shared" si="18"/>
        <v>2</v>
      </c>
    </row>
    <row r="1155" spans="1:10" x14ac:dyDescent="0.3">
      <c r="A1155" s="17" t="s">
        <v>6349</v>
      </c>
      <c r="B1155" s="17" t="str">
        <f>IFERROR(INDEX(Mots!$B:$B,MATCH($A1155,Mots!$A:$A,0)),"introuvable")</f>
        <v>le sentier</v>
      </c>
      <c r="C1155" s="17" t="str">
        <f>IFERROR(INDEX(Mots!$N:$N,MATCH($A1155,Mots!$A:$A,0)),"")</f>
        <v>chose</v>
      </c>
      <c r="D1155" s="17">
        <f>IFERROR(COUNTA(INDEX(Mots!$E:$E,MATCH($A1155,Mots!$A:$A,0)):INDEX(Mots!$K:$K,MATCH($A1155,Mots!$A:$A,0))),0)</f>
        <v>5</v>
      </c>
      <c r="E1155" s="17" t="str">
        <f>IF(COUNTIF(Classement!$A:$A,$A1155)&gt;0,"ok","à faire")</f>
        <v>ok</v>
      </c>
      <c r="F1155" s="17" t="str">
        <f>IF(COUNTIF(Tags!$A:$A,$A1155)&gt;0,"ok","à faire")</f>
        <v>ok</v>
      </c>
      <c r="G1155" s="17" t="str">
        <f>IF(COUNTIF(Phrases!$A:$A,$A1155)&gt;0,"ok","à faire")</f>
        <v>ok</v>
      </c>
      <c r="H1155" s="17" t="str">
        <f>IF(COUNTIFS(Phrases!$A:$A,$A1155,Phrases!$I:$I,"&lt;&gt;")&gt;0,"ok","à faire")</f>
        <v>ok</v>
      </c>
      <c r="I1155" s="17" t="str">
        <f>IF(COUNTIF(Synonymes!$A:$A,$A1155)&gt;0,"ok","")</f>
        <v>ok</v>
      </c>
      <c r="J1155" s="17">
        <f t="shared" si="18"/>
        <v>0</v>
      </c>
    </row>
    <row r="1156" spans="1:10" x14ac:dyDescent="0.3">
      <c r="A1156" s="17" t="s">
        <v>6357</v>
      </c>
      <c r="B1156" s="17" t="str">
        <f>IFERROR(INDEX(Mots!$B:$B,MATCH($A1156,Mots!$A:$A,0)),"introuvable")</f>
        <v>le service</v>
      </c>
      <c r="C1156" s="17" t="str">
        <f>IFERROR(INDEX(Mots!$N:$N,MATCH($A1156,Mots!$A:$A,0)),"")</f>
        <v>chose</v>
      </c>
      <c r="D1156" s="17">
        <f>IFERROR(COUNTA(INDEX(Mots!$E:$E,MATCH($A1156,Mots!$A:$A,0)):INDEX(Mots!$K:$K,MATCH($A1156,Mots!$A:$A,0))),0)</f>
        <v>2</v>
      </c>
      <c r="E1156" s="17" t="str">
        <f>IF(COUNTIF(Classement!$A:$A,$A1156)&gt;0,"ok","à faire")</f>
        <v>ok</v>
      </c>
      <c r="F1156" s="17" t="str">
        <f>IF(COUNTIF(Tags!$A:$A,$A1156)&gt;0,"ok","à faire")</f>
        <v>à faire</v>
      </c>
      <c r="G1156" s="17" t="str">
        <f>IF(COUNTIF(Phrases!$A:$A,$A1156)&gt;0,"ok","à faire")</f>
        <v>ok</v>
      </c>
      <c r="H1156" s="17" t="str">
        <f>IF(COUNTIFS(Phrases!$A:$A,$A1156,Phrases!$I:$I,"&lt;&gt;")&gt;0,"ok","à faire")</f>
        <v>ok</v>
      </c>
      <c r="I1156" s="17" t="str">
        <f>IF(COUNTIF(Synonymes!$A:$A,$A1156)&gt;0,"ok","")</f>
        <v/>
      </c>
      <c r="J1156" s="17">
        <f t="shared" si="18"/>
        <v>1</v>
      </c>
    </row>
    <row r="1157" spans="1:10" x14ac:dyDescent="0.3">
      <c r="A1157" s="17" t="s">
        <v>6362</v>
      </c>
      <c r="B1157" s="17" t="str">
        <f>IFERROR(INDEX(Mots!$B:$B,MATCH($A1157,Mots!$A:$A,0)),"introuvable")</f>
        <v>le signe</v>
      </c>
      <c r="C1157" s="17" t="str">
        <f>IFERROR(INDEX(Mots!$N:$N,MATCH($A1157,Mots!$A:$A,0)),"")</f>
        <v>chose</v>
      </c>
      <c r="D1157" s="17">
        <f>IFERROR(COUNTA(INDEX(Mots!$E:$E,MATCH($A1157,Mots!$A:$A,0)):INDEX(Mots!$K:$K,MATCH($A1157,Mots!$A:$A,0))),0)</f>
        <v>5</v>
      </c>
      <c r="E1157" s="17" t="str">
        <f>IF(COUNTIF(Classement!$A:$A,$A1157)&gt;0,"ok","à faire")</f>
        <v>ok</v>
      </c>
      <c r="F1157" s="17" t="str">
        <f>IF(COUNTIF(Tags!$A:$A,$A1157)&gt;0,"ok","à faire")</f>
        <v>ok</v>
      </c>
      <c r="G1157" s="17" t="str">
        <f>IF(COUNTIF(Phrases!$A:$A,$A1157)&gt;0,"ok","à faire")</f>
        <v>ok</v>
      </c>
      <c r="H1157" s="17" t="str">
        <f>IF(COUNTIFS(Phrases!$A:$A,$A1157,Phrases!$I:$I,"&lt;&gt;")&gt;0,"ok","à faire")</f>
        <v>ok</v>
      </c>
      <c r="I1157" s="17" t="str">
        <f>IF(COUNTIF(Synonymes!$A:$A,$A1157)&gt;0,"ok","")</f>
        <v>ok</v>
      </c>
      <c r="J1157" s="17">
        <f t="shared" si="18"/>
        <v>0</v>
      </c>
    </row>
    <row r="1158" spans="1:10" x14ac:dyDescent="0.3">
      <c r="A1158" s="17" t="s">
        <v>6370</v>
      </c>
      <c r="B1158" s="17" t="str">
        <f>IFERROR(INDEX(Mots!$B:$B,MATCH($A1158,Mots!$A:$A,0)),"introuvable")</f>
        <v>le silence</v>
      </c>
      <c r="C1158" s="17" t="str">
        <f>IFERROR(INDEX(Mots!$N:$N,MATCH($A1158,Mots!$A:$A,0)),"")</f>
        <v>chose</v>
      </c>
      <c r="D1158" s="17">
        <f>IFERROR(COUNTA(INDEX(Mots!$E:$E,MATCH($A1158,Mots!$A:$A,0)):INDEX(Mots!$K:$K,MATCH($A1158,Mots!$A:$A,0))),0)</f>
        <v>1</v>
      </c>
      <c r="E1158" s="17" t="str">
        <f>IF(COUNTIF(Classement!$A:$A,$A1158)&gt;0,"ok","à faire")</f>
        <v>ok</v>
      </c>
      <c r="F1158" s="17" t="str">
        <f>IF(COUNTIF(Tags!$A:$A,$A1158)&gt;0,"ok","à faire")</f>
        <v>à faire</v>
      </c>
      <c r="G1158" s="17" t="str">
        <f>IF(COUNTIF(Phrases!$A:$A,$A1158)&gt;0,"ok","à faire")</f>
        <v>ok</v>
      </c>
      <c r="H1158" s="17" t="str">
        <f>IF(COUNTIFS(Phrases!$A:$A,$A1158,Phrases!$I:$I,"&lt;&gt;")&gt;0,"ok","à faire")</f>
        <v>ok</v>
      </c>
      <c r="I1158" s="17" t="str">
        <f>IF(COUNTIF(Synonymes!$A:$A,$A1158)&gt;0,"ok","")</f>
        <v/>
      </c>
      <c r="J1158" s="17">
        <f t="shared" si="18"/>
        <v>1</v>
      </c>
    </row>
    <row r="1159" spans="1:10" x14ac:dyDescent="0.3">
      <c r="A1159" s="17" t="s">
        <v>6374</v>
      </c>
      <c r="B1159" s="17" t="str">
        <f>IFERROR(INDEX(Mots!$B:$B,MATCH($A1159,Mots!$A:$A,0)),"introuvable")</f>
        <v>soigner</v>
      </c>
      <c r="C1159" s="17" t="str">
        <f>IFERROR(INDEX(Mots!$N:$N,MATCH($A1159,Mots!$A:$A,0)),"")</f>
        <v>action</v>
      </c>
      <c r="D1159" s="17">
        <f>IFERROR(COUNTA(INDEX(Mots!$E:$E,MATCH($A1159,Mots!$A:$A,0)):INDEX(Mots!$K:$K,MATCH($A1159,Mots!$A:$A,0))),0)</f>
        <v>2</v>
      </c>
      <c r="E1159" s="17" t="str">
        <f>IF(COUNTIF(Classement!$A:$A,$A1159)&gt;0,"ok","à faire")</f>
        <v>ok</v>
      </c>
      <c r="F1159" s="17" t="str">
        <f>IF(COUNTIF(Tags!$A:$A,$A1159)&gt;0,"ok","à faire")</f>
        <v>ok</v>
      </c>
      <c r="G1159" s="17" t="str">
        <f>IF(COUNTIF(Phrases!$A:$A,$A1159)&gt;0,"ok","à faire")</f>
        <v>ok</v>
      </c>
      <c r="H1159" s="17" t="str">
        <f>IF(COUNTIFS(Phrases!$A:$A,$A1159,Phrases!$I:$I,"&lt;&gt;")&gt;0,"ok","à faire")</f>
        <v>ok</v>
      </c>
      <c r="I1159" s="17" t="str">
        <f>IF(COUNTIF(Synonymes!$A:$A,$A1159)&gt;0,"ok","")</f>
        <v/>
      </c>
      <c r="J1159" s="17">
        <f t="shared" si="18"/>
        <v>0</v>
      </c>
    </row>
    <row r="1160" spans="1:10" x14ac:dyDescent="0.3">
      <c r="A1160" s="17" t="s">
        <v>6379</v>
      </c>
      <c r="B1160" s="17" t="str">
        <f>IFERROR(INDEX(Mots!$B:$B,MATCH($A1160,Mots!$A:$A,0)),"introuvable")</f>
        <v>le sol</v>
      </c>
      <c r="C1160" s="17" t="str">
        <f>IFERROR(INDEX(Mots!$N:$N,MATCH($A1160,Mots!$A:$A,0)),"")</f>
        <v>chose</v>
      </c>
      <c r="D1160" s="17">
        <f>IFERROR(COUNTA(INDEX(Mots!$E:$E,MATCH($A1160,Mots!$A:$A,0)):INDEX(Mots!$K:$K,MATCH($A1160,Mots!$A:$A,0))),0)</f>
        <v>1</v>
      </c>
      <c r="E1160" s="17" t="str">
        <f>IF(COUNTIF(Classement!$A:$A,$A1160)&gt;0,"ok","à faire")</f>
        <v>ok</v>
      </c>
      <c r="F1160" s="17" t="str">
        <f>IF(COUNTIF(Tags!$A:$A,$A1160)&gt;0,"ok","à faire")</f>
        <v>ok</v>
      </c>
      <c r="G1160" s="17" t="str">
        <f>IF(COUNTIF(Phrases!$A:$A,$A1160)&gt;0,"ok","à faire")</f>
        <v>ok</v>
      </c>
      <c r="H1160" s="17" t="str">
        <f>IF(COUNTIFS(Phrases!$A:$A,$A1160,Phrases!$I:$I,"&lt;&gt;")&gt;0,"ok","à faire")</f>
        <v>ok</v>
      </c>
      <c r="I1160" s="17" t="str">
        <f>IF(COUNTIF(Synonymes!$A:$A,$A1160)&gt;0,"ok","")</f>
        <v/>
      </c>
      <c r="J1160" s="17">
        <f t="shared" si="18"/>
        <v>0</v>
      </c>
    </row>
    <row r="1161" spans="1:10" x14ac:dyDescent="0.3">
      <c r="A1161" s="17" t="s">
        <v>6383</v>
      </c>
      <c r="B1161" s="17" t="str">
        <f>IFERROR(INDEX(Mots!$B:$B,MATCH($A1161,Mots!$A:$A,0)),"introuvable")</f>
        <v>le sommeil</v>
      </c>
      <c r="C1161" s="17" t="str">
        <f>IFERROR(INDEX(Mots!$N:$N,MATCH($A1161,Mots!$A:$A,0)),"")</f>
        <v>chose</v>
      </c>
      <c r="D1161" s="17">
        <f>IFERROR(COUNTA(INDEX(Mots!$E:$E,MATCH($A1161,Mots!$A:$A,0)):INDEX(Mots!$K:$K,MATCH($A1161,Mots!$A:$A,0))),0)</f>
        <v>5</v>
      </c>
      <c r="E1161" s="17" t="str">
        <f>IF(COUNTIF(Classement!$A:$A,$A1161)&gt;0,"ok","à faire")</f>
        <v>ok</v>
      </c>
      <c r="F1161" s="17" t="str">
        <f>IF(COUNTIF(Tags!$A:$A,$A1161)&gt;0,"ok","à faire")</f>
        <v>ok</v>
      </c>
      <c r="G1161" s="17" t="str">
        <f>IF(COUNTIF(Phrases!$A:$A,$A1161)&gt;0,"ok","à faire")</f>
        <v>ok</v>
      </c>
      <c r="H1161" s="17" t="str">
        <f>IF(COUNTIFS(Phrases!$A:$A,$A1161,Phrases!$I:$I,"&lt;&gt;")&gt;0,"ok","à faire")</f>
        <v>ok</v>
      </c>
      <c r="I1161" s="17" t="str">
        <f>IF(COUNTIF(Synonymes!$A:$A,$A1161)&gt;0,"ok","")</f>
        <v/>
      </c>
      <c r="J1161" s="17">
        <f t="shared" si="18"/>
        <v>0</v>
      </c>
    </row>
    <row r="1162" spans="1:10" x14ac:dyDescent="0.3">
      <c r="A1162" s="17" t="s">
        <v>6386</v>
      </c>
      <c r="B1162" s="17" t="str">
        <f>IFERROR(INDEX(Mots!$B:$B,MATCH($A1162,Mots!$A:$A,0)),"introuvable")</f>
        <v>le souhait</v>
      </c>
      <c r="C1162" s="17" t="str">
        <f>IFERROR(INDEX(Mots!$N:$N,MATCH($A1162,Mots!$A:$A,0)),"")</f>
        <v>chose</v>
      </c>
      <c r="D1162" s="17">
        <f>IFERROR(COUNTA(INDEX(Mots!$E:$E,MATCH($A1162,Mots!$A:$A,0)):INDEX(Mots!$K:$K,MATCH($A1162,Mots!$A:$A,0))),0)</f>
        <v>2</v>
      </c>
      <c r="E1162" s="17" t="str">
        <f>IF(COUNTIF(Classement!$A:$A,$A1162)&gt;0,"ok","à faire")</f>
        <v>ok</v>
      </c>
      <c r="F1162" s="17" t="str">
        <f>IF(COUNTIF(Tags!$A:$A,$A1162)&gt;0,"ok","à faire")</f>
        <v>à faire</v>
      </c>
      <c r="G1162" s="17" t="str">
        <f>IF(COUNTIF(Phrases!$A:$A,$A1162)&gt;0,"ok","à faire")</f>
        <v>ok</v>
      </c>
      <c r="H1162" s="17" t="str">
        <f>IF(COUNTIFS(Phrases!$A:$A,$A1162,Phrases!$I:$I,"&lt;&gt;")&gt;0,"ok","à faire")</f>
        <v>ok</v>
      </c>
      <c r="I1162" s="17" t="str">
        <f>IF(COUNTIF(Synonymes!$A:$A,$A1162)&gt;0,"ok","")</f>
        <v>ok</v>
      </c>
      <c r="J1162" s="17">
        <f t="shared" si="18"/>
        <v>1</v>
      </c>
    </row>
    <row r="1163" spans="1:10" x14ac:dyDescent="0.3">
      <c r="A1163" s="17" t="s">
        <v>6391</v>
      </c>
      <c r="B1163" s="17" t="str">
        <f>IFERROR(INDEX(Mots!$B:$B,MATCH($A1163,Mots!$A:$A,0)),"introuvable")</f>
        <v>le souvenir</v>
      </c>
      <c r="C1163" s="17" t="str">
        <f>IFERROR(INDEX(Mots!$N:$N,MATCH($A1163,Mots!$A:$A,0)),"")</f>
        <v>mot utile</v>
      </c>
      <c r="D1163" s="17">
        <f>IFERROR(COUNTA(INDEX(Mots!$E:$E,MATCH($A1163,Mots!$A:$A,0)):INDEX(Mots!$K:$K,MATCH($A1163,Mots!$A:$A,0))),0)</f>
        <v>1</v>
      </c>
      <c r="E1163" s="17" t="str">
        <f>IF(COUNTIF(Classement!$A:$A,$A1163)&gt;0,"ok","à faire")</f>
        <v>ok</v>
      </c>
      <c r="F1163" s="17" t="str">
        <f>IF(COUNTIF(Tags!$A:$A,$A1163)&gt;0,"ok","à faire")</f>
        <v>ok</v>
      </c>
      <c r="G1163" s="17" t="str">
        <f>IF(COUNTIF(Phrases!$A:$A,$A1163)&gt;0,"ok","à faire")</f>
        <v>à faire</v>
      </c>
      <c r="H1163" s="17" t="str">
        <f>IF(COUNTIFS(Phrases!$A:$A,$A1163,Phrases!$I:$I,"&lt;&gt;")&gt;0,"ok","à faire")</f>
        <v>à faire</v>
      </c>
      <c r="I1163" s="17" t="str">
        <f>IF(COUNTIF(Synonymes!$A:$A,$A1163)&gt;0,"ok","")</f>
        <v/>
      </c>
      <c r="J1163" s="17">
        <f t="shared" si="18"/>
        <v>2</v>
      </c>
    </row>
    <row r="1164" spans="1:10" x14ac:dyDescent="0.3">
      <c r="A1164" s="17" t="s">
        <v>6395</v>
      </c>
      <c r="B1164" s="17" t="str">
        <f>IFERROR(INDEX(Mots!$B:$B,MATCH($A1164,Mots!$A:$A,0)),"introuvable")</f>
        <v>le sport</v>
      </c>
      <c r="C1164" s="17" t="str">
        <f>IFERROR(INDEX(Mots!$N:$N,MATCH($A1164,Mots!$A:$A,0)),"")</f>
        <v>chose</v>
      </c>
      <c r="D1164" s="17">
        <f>IFERROR(COUNTA(INDEX(Mots!$E:$E,MATCH($A1164,Mots!$A:$A,0)):INDEX(Mots!$K:$K,MATCH($A1164,Mots!$A:$A,0))),0)</f>
        <v>6</v>
      </c>
      <c r="E1164" s="17" t="str">
        <f>IF(COUNTIF(Classement!$A:$A,$A1164)&gt;0,"ok","à faire")</f>
        <v>ok</v>
      </c>
      <c r="F1164" s="17" t="str">
        <f>IF(COUNTIF(Tags!$A:$A,$A1164)&gt;0,"ok","à faire")</f>
        <v>à faire</v>
      </c>
      <c r="G1164" s="17" t="str">
        <f>IF(COUNTIF(Phrases!$A:$A,$A1164)&gt;0,"ok","à faire")</f>
        <v>ok</v>
      </c>
      <c r="H1164" s="17" t="str">
        <f>IF(COUNTIFS(Phrases!$A:$A,$A1164,Phrases!$I:$I,"&lt;&gt;")&gt;0,"ok","à faire")</f>
        <v>ok</v>
      </c>
      <c r="I1164" s="17" t="str">
        <f>IF(COUNTIF(Synonymes!$A:$A,$A1164)&gt;0,"ok","")</f>
        <v/>
      </c>
      <c r="J1164" s="17">
        <f t="shared" si="18"/>
        <v>1</v>
      </c>
    </row>
    <row r="1165" spans="1:10" x14ac:dyDescent="0.3">
      <c r="A1165" s="17" t="s">
        <v>6404</v>
      </c>
      <c r="B1165" s="17" t="str">
        <f>IFERROR(INDEX(Mots!$B:$B,MATCH($A1165,Mots!$A:$A,0)),"introuvable")</f>
        <v>le stade</v>
      </c>
      <c r="C1165" s="17" t="str">
        <f>IFERROR(INDEX(Mots!$N:$N,MATCH($A1165,Mots!$A:$A,0)),"")</f>
        <v>chose</v>
      </c>
      <c r="D1165" s="17">
        <f>IFERROR(COUNTA(INDEX(Mots!$E:$E,MATCH($A1165,Mots!$A:$A,0)):INDEX(Mots!$K:$K,MATCH($A1165,Mots!$A:$A,0))),0)</f>
        <v>5</v>
      </c>
      <c r="E1165" s="17" t="str">
        <f>IF(COUNTIF(Classement!$A:$A,$A1165)&gt;0,"ok","à faire")</f>
        <v>ok</v>
      </c>
      <c r="F1165" s="17" t="str">
        <f>IF(COUNTIF(Tags!$A:$A,$A1165)&gt;0,"ok","à faire")</f>
        <v>à faire</v>
      </c>
      <c r="G1165" s="17" t="str">
        <f>IF(COUNTIF(Phrases!$A:$A,$A1165)&gt;0,"ok","à faire")</f>
        <v>ok</v>
      </c>
      <c r="H1165" s="17" t="str">
        <f>IF(COUNTIFS(Phrases!$A:$A,$A1165,Phrases!$I:$I,"&lt;&gt;")&gt;0,"ok","à faire")</f>
        <v>à faire</v>
      </c>
      <c r="I1165" s="17" t="str">
        <f>IF(COUNTIF(Synonymes!$A:$A,$A1165)&gt;0,"ok","")</f>
        <v/>
      </c>
      <c r="J1165" s="17">
        <f t="shared" si="18"/>
        <v>2</v>
      </c>
    </row>
    <row r="1166" spans="1:10" x14ac:dyDescent="0.3">
      <c r="A1166" s="17" t="s">
        <v>6410</v>
      </c>
      <c r="B1166" s="17" t="str">
        <f>IFERROR(INDEX(Mots!$B:$B,MATCH($A1166,Mots!$A:$A,0)),"introuvable")</f>
        <v>le stylo</v>
      </c>
      <c r="C1166" s="17" t="str">
        <f>IFERROR(INDEX(Mots!$N:$N,MATCH($A1166,Mots!$A:$A,0)),"")</f>
        <v>chose</v>
      </c>
      <c r="D1166" s="17">
        <f>IFERROR(COUNTA(INDEX(Mots!$E:$E,MATCH($A1166,Mots!$A:$A,0)):INDEX(Mots!$K:$K,MATCH($A1166,Mots!$A:$A,0))),0)</f>
        <v>5</v>
      </c>
      <c r="E1166" s="17" t="str">
        <f>IF(COUNTIF(Classement!$A:$A,$A1166)&gt;0,"ok","à faire")</f>
        <v>ok</v>
      </c>
      <c r="F1166" s="17" t="str">
        <f>IF(COUNTIF(Tags!$A:$A,$A1166)&gt;0,"ok","à faire")</f>
        <v>ok</v>
      </c>
      <c r="G1166" s="17" t="str">
        <f>IF(COUNTIF(Phrases!$A:$A,$A1166)&gt;0,"ok","à faire")</f>
        <v>ok</v>
      </c>
      <c r="H1166" s="17" t="str">
        <f>IF(COUNTIFS(Phrases!$A:$A,$A1166,Phrases!$I:$I,"&lt;&gt;")&gt;0,"ok","à faire")</f>
        <v>à faire</v>
      </c>
      <c r="I1166" s="17" t="str">
        <f>IF(COUNTIF(Synonymes!$A:$A,$A1166)&gt;0,"ok","")</f>
        <v/>
      </c>
      <c r="J1166" s="17">
        <f t="shared" si="18"/>
        <v>1</v>
      </c>
    </row>
    <row r="1167" spans="1:10" x14ac:dyDescent="0.3">
      <c r="A1167" s="17" t="s">
        <v>6418</v>
      </c>
      <c r="B1167" s="17" t="str">
        <f>IFERROR(INDEX(Mots!$B:$B,MATCH($A1167,Mots!$A:$A,0)),"introuvable")</f>
        <v>le tableau</v>
      </c>
      <c r="C1167" s="17" t="str">
        <f>IFERROR(INDEX(Mots!$N:$N,MATCH($A1167,Mots!$A:$A,0)),"")</f>
        <v>chose</v>
      </c>
      <c r="D1167" s="17">
        <f>IFERROR(COUNTA(INDEX(Mots!$E:$E,MATCH($A1167,Mots!$A:$A,0)):INDEX(Mots!$K:$K,MATCH($A1167,Mots!$A:$A,0))),0)</f>
        <v>6</v>
      </c>
      <c r="E1167" s="17" t="str">
        <f>IF(COUNTIF(Classement!$A:$A,$A1167)&gt;0,"ok","à faire")</f>
        <v>ok</v>
      </c>
      <c r="F1167" s="17" t="str">
        <f>IF(COUNTIF(Tags!$A:$A,$A1167)&gt;0,"ok","à faire")</f>
        <v>ok</v>
      </c>
      <c r="G1167" s="17" t="str">
        <f>IF(COUNTIF(Phrases!$A:$A,$A1167)&gt;0,"ok","à faire")</f>
        <v>ok</v>
      </c>
      <c r="H1167" s="17" t="str">
        <f>IF(COUNTIFS(Phrases!$A:$A,$A1167,Phrases!$I:$I,"&lt;&gt;")&gt;0,"ok","à faire")</f>
        <v>à faire</v>
      </c>
      <c r="I1167" s="17" t="str">
        <f>IF(COUNTIF(Synonymes!$A:$A,$A1167)&gt;0,"ok","")</f>
        <v/>
      </c>
      <c r="J1167" s="17">
        <f t="shared" si="18"/>
        <v>1</v>
      </c>
    </row>
    <row r="1168" spans="1:10" x14ac:dyDescent="0.3">
      <c r="A1168" s="17" t="s">
        <v>6422</v>
      </c>
      <c r="B1168" s="17" t="str">
        <f>IFERROR(INDEX(Mots!$B:$B,MATCH($A1168,Mots!$A:$A,0)),"introuvable")</f>
        <v>le tablier</v>
      </c>
      <c r="C1168" s="17" t="str">
        <f>IFERROR(INDEX(Mots!$N:$N,MATCH($A1168,Mots!$A:$A,0)),"")</f>
        <v>chose</v>
      </c>
      <c r="D1168" s="17">
        <f>IFERROR(COUNTA(INDEX(Mots!$E:$E,MATCH($A1168,Mots!$A:$A,0)):INDEX(Mots!$K:$K,MATCH($A1168,Mots!$A:$A,0))),0)</f>
        <v>5</v>
      </c>
      <c r="E1168" s="17" t="str">
        <f>IF(COUNTIF(Classement!$A:$A,$A1168)&gt;0,"ok","à faire")</f>
        <v>ok</v>
      </c>
      <c r="F1168" s="17" t="str">
        <f>IF(COUNTIF(Tags!$A:$A,$A1168)&gt;0,"ok","à faire")</f>
        <v>ok</v>
      </c>
      <c r="G1168" s="17" t="str">
        <f>IF(COUNTIF(Phrases!$A:$A,$A1168)&gt;0,"ok","à faire")</f>
        <v>ok</v>
      </c>
      <c r="H1168" s="17" t="str">
        <f>IF(COUNTIFS(Phrases!$A:$A,$A1168,Phrases!$I:$I,"&lt;&gt;")&gt;0,"ok","à faire")</f>
        <v>ok</v>
      </c>
      <c r="I1168" s="17" t="str">
        <f>IF(COUNTIF(Synonymes!$A:$A,$A1168)&gt;0,"ok","")</f>
        <v/>
      </c>
      <c r="J1168" s="17">
        <f t="shared" si="18"/>
        <v>0</v>
      </c>
    </row>
    <row r="1169" spans="1:10" x14ac:dyDescent="0.3">
      <c r="A1169" s="17" t="s">
        <v>6430</v>
      </c>
      <c r="B1169" s="17" t="str">
        <f>IFERROR(INDEX(Mots!$B:$B,MATCH($A1169,Mots!$A:$A,0)),"introuvable")</f>
        <v>le tas</v>
      </c>
      <c r="C1169" s="17" t="str">
        <f>IFERROR(INDEX(Mots!$N:$N,MATCH($A1169,Mots!$A:$A,0)),"")</f>
        <v>chose</v>
      </c>
      <c r="D1169" s="17">
        <f>IFERROR(COUNTA(INDEX(Mots!$E:$E,MATCH($A1169,Mots!$A:$A,0)):INDEX(Mots!$K:$K,MATCH($A1169,Mots!$A:$A,0))),0)</f>
        <v>5</v>
      </c>
      <c r="E1169" s="17" t="str">
        <f>IF(COUNTIF(Classement!$A:$A,$A1169)&gt;0,"ok","à faire")</f>
        <v>ok</v>
      </c>
      <c r="F1169" s="17" t="str">
        <f>IF(COUNTIF(Tags!$A:$A,$A1169)&gt;0,"ok","à faire")</f>
        <v>à faire</v>
      </c>
      <c r="G1169" s="17" t="str">
        <f>IF(COUNTIF(Phrases!$A:$A,$A1169)&gt;0,"ok","à faire")</f>
        <v>ok</v>
      </c>
      <c r="H1169" s="17" t="str">
        <f>IF(COUNTIFS(Phrases!$A:$A,$A1169,Phrases!$I:$I,"&lt;&gt;")&gt;0,"ok","à faire")</f>
        <v>ok</v>
      </c>
      <c r="I1169" s="17" t="str">
        <f>IF(COUNTIF(Synonymes!$A:$A,$A1169)&gt;0,"ok","")</f>
        <v>ok</v>
      </c>
      <c r="J1169" s="17">
        <f t="shared" si="18"/>
        <v>1</v>
      </c>
    </row>
    <row r="1170" spans="1:10" x14ac:dyDescent="0.3">
      <c r="A1170" s="17" t="s">
        <v>6438</v>
      </c>
      <c r="B1170" s="17" t="str">
        <f>IFERROR(INDEX(Mots!$B:$B,MATCH($A1170,Mots!$A:$A,0)),"introuvable")</f>
        <v>le terrain</v>
      </c>
      <c r="C1170" s="17" t="str">
        <f>IFERROR(INDEX(Mots!$N:$N,MATCH($A1170,Mots!$A:$A,0)),"")</f>
        <v>chose</v>
      </c>
      <c r="D1170" s="17">
        <f>IFERROR(COUNTA(INDEX(Mots!$E:$E,MATCH($A1170,Mots!$A:$A,0)):INDEX(Mots!$K:$K,MATCH($A1170,Mots!$A:$A,0))),0)</f>
        <v>5</v>
      </c>
      <c r="E1170" s="17" t="str">
        <f>IF(COUNTIF(Classement!$A:$A,$A1170)&gt;0,"ok","à faire")</f>
        <v>ok</v>
      </c>
      <c r="F1170" s="17" t="str">
        <f>IF(COUNTIF(Tags!$A:$A,$A1170)&gt;0,"ok","à faire")</f>
        <v>ok</v>
      </c>
      <c r="G1170" s="17" t="str">
        <f>IF(COUNTIF(Phrases!$A:$A,$A1170)&gt;0,"ok","à faire")</f>
        <v>ok</v>
      </c>
      <c r="H1170" s="17" t="str">
        <f>IF(COUNTIFS(Phrases!$A:$A,$A1170,Phrases!$I:$I,"&lt;&gt;")&gt;0,"ok","à faire")</f>
        <v>à faire</v>
      </c>
      <c r="I1170" s="17" t="str">
        <f>IF(COUNTIF(Synonymes!$A:$A,$A1170)&gt;0,"ok","")</f>
        <v/>
      </c>
      <c r="J1170" s="17">
        <f t="shared" si="18"/>
        <v>1</v>
      </c>
    </row>
    <row r="1171" spans="1:10" x14ac:dyDescent="0.3">
      <c r="A1171" s="17" t="s">
        <v>6446</v>
      </c>
      <c r="B1171" s="17" t="str">
        <f>IFERROR(INDEX(Mots!$B:$B,MATCH($A1171,Mots!$A:$A,0)),"introuvable")</f>
        <v>le territoire</v>
      </c>
      <c r="C1171" s="17" t="str">
        <f>IFERROR(INDEX(Mots!$N:$N,MATCH($A1171,Mots!$A:$A,0)),"")</f>
        <v>chose</v>
      </c>
      <c r="D1171" s="17">
        <f>IFERROR(COUNTA(INDEX(Mots!$E:$E,MATCH($A1171,Mots!$A:$A,0)):INDEX(Mots!$K:$K,MATCH($A1171,Mots!$A:$A,0))),0)</f>
        <v>1</v>
      </c>
      <c r="E1171" s="17" t="str">
        <f>IF(COUNTIF(Classement!$A:$A,$A1171)&gt;0,"ok","à faire")</f>
        <v>ok</v>
      </c>
      <c r="F1171" s="17" t="str">
        <f>IF(COUNTIF(Tags!$A:$A,$A1171)&gt;0,"ok","à faire")</f>
        <v>ok</v>
      </c>
      <c r="G1171" s="17" t="str">
        <f>IF(COUNTIF(Phrases!$A:$A,$A1171)&gt;0,"ok","à faire")</f>
        <v>ok</v>
      </c>
      <c r="H1171" s="17" t="str">
        <f>IF(COUNTIFS(Phrases!$A:$A,$A1171,Phrases!$I:$I,"&lt;&gt;")&gt;0,"ok","à faire")</f>
        <v>à faire</v>
      </c>
      <c r="I1171" s="17" t="str">
        <f>IF(COUNTIF(Synonymes!$A:$A,$A1171)&gt;0,"ok","")</f>
        <v/>
      </c>
      <c r="J1171" s="17">
        <f t="shared" si="18"/>
        <v>1</v>
      </c>
    </row>
    <row r="1172" spans="1:10" x14ac:dyDescent="0.3">
      <c r="A1172" s="17" t="s">
        <v>6450</v>
      </c>
      <c r="B1172" s="17" t="str">
        <f>IFERROR(INDEX(Mots!$B:$B,MATCH($A1172,Mots!$A:$A,0)),"introuvable")</f>
        <v>le texte</v>
      </c>
      <c r="C1172" s="17" t="str">
        <f>IFERROR(INDEX(Mots!$N:$N,MATCH($A1172,Mots!$A:$A,0)),"")</f>
        <v>chose</v>
      </c>
      <c r="D1172" s="17">
        <f>IFERROR(COUNTA(INDEX(Mots!$E:$E,MATCH($A1172,Mots!$A:$A,0)):INDEX(Mots!$K:$K,MATCH($A1172,Mots!$A:$A,0))),0)</f>
        <v>4</v>
      </c>
      <c r="E1172" s="17" t="str">
        <f>IF(COUNTIF(Classement!$A:$A,$A1172)&gt;0,"ok","à faire")</f>
        <v>ok</v>
      </c>
      <c r="F1172" s="17" t="str">
        <f>IF(COUNTIF(Tags!$A:$A,$A1172)&gt;0,"ok","à faire")</f>
        <v>ok</v>
      </c>
      <c r="G1172" s="17" t="str">
        <f>IF(COUNTIF(Phrases!$A:$A,$A1172)&gt;0,"ok","à faire")</f>
        <v>ok</v>
      </c>
      <c r="H1172" s="17" t="str">
        <f>IF(COUNTIFS(Phrases!$A:$A,$A1172,Phrases!$I:$I,"&lt;&gt;")&gt;0,"ok","à faire")</f>
        <v>à faire</v>
      </c>
      <c r="I1172" s="17" t="str">
        <f>IF(COUNTIF(Synonymes!$A:$A,$A1172)&gt;0,"ok","")</f>
        <v/>
      </c>
      <c r="J1172" s="17">
        <f t="shared" si="18"/>
        <v>1</v>
      </c>
    </row>
    <row r="1173" spans="1:10" x14ac:dyDescent="0.3">
      <c r="A1173" s="17" t="s">
        <v>6457</v>
      </c>
      <c r="B1173" s="17" t="str">
        <f>IFERROR(INDEX(Mots!$B:$B,MATCH($A1173,Mots!$A:$A,0)),"introuvable")</f>
        <v>le thermomètre</v>
      </c>
      <c r="C1173" s="17" t="str">
        <f>IFERROR(INDEX(Mots!$N:$N,MATCH($A1173,Mots!$A:$A,0)),"")</f>
        <v>chose</v>
      </c>
      <c r="D1173" s="17">
        <f>IFERROR(COUNTA(INDEX(Mots!$E:$E,MATCH($A1173,Mots!$A:$A,0)):INDEX(Mots!$K:$K,MATCH($A1173,Mots!$A:$A,0))),0)</f>
        <v>5</v>
      </c>
      <c r="E1173" s="17" t="str">
        <f>IF(COUNTIF(Classement!$A:$A,$A1173)&gt;0,"ok","à faire")</f>
        <v>ok</v>
      </c>
      <c r="F1173" s="17" t="str">
        <f>IF(COUNTIF(Tags!$A:$A,$A1173)&gt;0,"ok","à faire")</f>
        <v>ok</v>
      </c>
      <c r="G1173" s="17" t="str">
        <f>IF(COUNTIF(Phrases!$A:$A,$A1173)&gt;0,"ok","à faire")</f>
        <v>ok</v>
      </c>
      <c r="H1173" s="17" t="str">
        <f>IF(COUNTIFS(Phrases!$A:$A,$A1173,Phrases!$I:$I,"&lt;&gt;")&gt;0,"ok","à faire")</f>
        <v>à faire</v>
      </c>
      <c r="I1173" s="17" t="str">
        <f>IF(COUNTIF(Synonymes!$A:$A,$A1173)&gt;0,"ok","")</f>
        <v/>
      </c>
      <c r="J1173" s="17">
        <f t="shared" si="18"/>
        <v>1</v>
      </c>
    </row>
    <row r="1174" spans="1:10" x14ac:dyDescent="0.3">
      <c r="A1174" s="17" t="s">
        <v>6465</v>
      </c>
      <c r="B1174" s="17" t="str">
        <f>IFERROR(INDEX(Mots!$B:$B,MATCH($A1174,Mots!$A:$A,0)),"introuvable")</f>
        <v>le timbre</v>
      </c>
      <c r="C1174" s="17" t="str">
        <f>IFERROR(INDEX(Mots!$N:$N,MATCH($A1174,Mots!$A:$A,0)),"")</f>
        <v>chose</v>
      </c>
      <c r="D1174" s="17">
        <f>IFERROR(COUNTA(INDEX(Mots!$E:$E,MATCH($A1174,Mots!$A:$A,0)):INDEX(Mots!$K:$K,MATCH($A1174,Mots!$A:$A,0))),0)</f>
        <v>5</v>
      </c>
      <c r="E1174" s="17" t="str">
        <f>IF(COUNTIF(Classement!$A:$A,$A1174)&gt;0,"ok","à faire")</f>
        <v>ok</v>
      </c>
      <c r="F1174" s="17" t="str">
        <f>IF(COUNTIF(Tags!$A:$A,$A1174)&gt;0,"ok","à faire")</f>
        <v>à faire</v>
      </c>
      <c r="G1174" s="17" t="str">
        <f>IF(COUNTIF(Phrases!$A:$A,$A1174)&gt;0,"ok","à faire")</f>
        <v>ok</v>
      </c>
      <c r="H1174" s="17" t="str">
        <f>IF(COUNTIFS(Phrases!$A:$A,$A1174,Phrases!$I:$I,"&lt;&gt;")&gt;0,"ok","à faire")</f>
        <v>ok</v>
      </c>
      <c r="I1174" s="17" t="str">
        <f>IF(COUNTIF(Synonymes!$A:$A,$A1174)&gt;0,"ok","")</f>
        <v/>
      </c>
      <c r="J1174" s="17">
        <f t="shared" si="18"/>
        <v>1</v>
      </c>
    </row>
    <row r="1175" spans="1:10" x14ac:dyDescent="0.3">
      <c r="A1175" s="17" t="s">
        <v>6473</v>
      </c>
      <c r="B1175" s="17" t="str">
        <f>IFERROR(INDEX(Mots!$B:$B,MATCH($A1175,Mots!$A:$A,0)),"introuvable")</f>
        <v>le tiroir</v>
      </c>
      <c r="C1175" s="17" t="str">
        <f>IFERROR(INDEX(Mots!$N:$N,MATCH($A1175,Mots!$A:$A,0)),"")</f>
        <v>chose</v>
      </c>
      <c r="D1175" s="17">
        <f>IFERROR(COUNTA(INDEX(Mots!$E:$E,MATCH($A1175,Mots!$A:$A,0)):INDEX(Mots!$K:$K,MATCH($A1175,Mots!$A:$A,0))),0)</f>
        <v>5</v>
      </c>
      <c r="E1175" s="17" t="str">
        <f>IF(COUNTIF(Classement!$A:$A,$A1175)&gt;0,"ok","à faire")</f>
        <v>ok</v>
      </c>
      <c r="F1175" s="17" t="str">
        <f>IF(COUNTIF(Tags!$A:$A,$A1175)&gt;0,"ok","à faire")</f>
        <v>ok</v>
      </c>
      <c r="G1175" s="17" t="str">
        <f>IF(COUNTIF(Phrases!$A:$A,$A1175)&gt;0,"ok","à faire")</f>
        <v>ok</v>
      </c>
      <c r="H1175" s="17" t="str">
        <f>IF(COUNTIFS(Phrases!$A:$A,$A1175,Phrases!$I:$I,"&lt;&gt;")&gt;0,"ok","à faire")</f>
        <v>à faire</v>
      </c>
      <c r="I1175" s="17" t="str">
        <f>IF(COUNTIF(Synonymes!$A:$A,$A1175)&gt;0,"ok","")</f>
        <v/>
      </c>
      <c r="J1175" s="17">
        <f t="shared" si="18"/>
        <v>1</v>
      </c>
    </row>
    <row r="1176" spans="1:10" x14ac:dyDescent="0.3">
      <c r="A1176" s="17" t="s">
        <v>6481</v>
      </c>
      <c r="B1176" s="17" t="str">
        <f>IFERROR(INDEX(Mots!$B:$B,MATCH($A1176,Mots!$A:$A,0)),"introuvable")</f>
        <v>le tissu</v>
      </c>
      <c r="C1176" s="17" t="str">
        <f>IFERROR(INDEX(Mots!$N:$N,MATCH($A1176,Mots!$A:$A,0)),"")</f>
        <v>chose</v>
      </c>
      <c r="D1176" s="17">
        <f>IFERROR(COUNTA(INDEX(Mots!$E:$E,MATCH($A1176,Mots!$A:$A,0)):INDEX(Mots!$K:$K,MATCH($A1176,Mots!$A:$A,0))),0)</f>
        <v>1</v>
      </c>
      <c r="E1176" s="17" t="str">
        <f>IF(COUNTIF(Classement!$A:$A,$A1176)&gt;0,"ok","à faire")</f>
        <v>ok</v>
      </c>
      <c r="F1176" s="17" t="str">
        <f>IF(COUNTIF(Tags!$A:$A,$A1176)&gt;0,"ok","à faire")</f>
        <v>ok</v>
      </c>
      <c r="G1176" s="17" t="str">
        <f>IF(COUNTIF(Phrases!$A:$A,$A1176)&gt;0,"ok","à faire")</f>
        <v>ok</v>
      </c>
      <c r="H1176" s="17" t="str">
        <f>IF(COUNTIFS(Phrases!$A:$A,$A1176,Phrases!$I:$I,"&lt;&gt;")&gt;0,"ok","à faire")</f>
        <v>à faire</v>
      </c>
      <c r="I1176" s="17" t="str">
        <f>IF(COUNTIF(Synonymes!$A:$A,$A1176)&gt;0,"ok","")</f>
        <v/>
      </c>
      <c r="J1176" s="17">
        <f t="shared" si="18"/>
        <v>1</v>
      </c>
    </row>
    <row r="1177" spans="1:10" x14ac:dyDescent="0.3">
      <c r="A1177" s="17" t="s">
        <v>6485</v>
      </c>
      <c r="B1177" s="17" t="str">
        <f>IFERROR(INDEX(Mots!$B:$B,MATCH($A1177,Mots!$A:$A,0)),"introuvable")</f>
        <v>le tonneau</v>
      </c>
      <c r="C1177" s="17" t="str">
        <f>IFERROR(INDEX(Mots!$N:$N,MATCH($A1177,Mots!$A:$A,0)),"")</f>
        <v>chose</v>
      </c>
      <c r="D1177" s="17">
        <f>IFERROR(COUNTA(INDEX(Mots!$E:$E,MATCH($A1177,Mots!$A:$A,0)):INDEX(Mots!$K:$K,MATCH($A1177,Mots!$A:$A,0))),0)</f>
        <v>1</v>
      </c>
      <c r="E1177" s="17" t="str">
        <f>IF(COUNTIF(Classement!$A:$A,$A1177)&gt;0,"ok","à faire")</f>
        <v>ok</v>
      </c>
      <c r="F1177" s="17" t="str">
        <f>IF(COUNTIF(Tags!$A:$A,$A1177)&gt;0,"ok","à faire")</f>
        <v>ok</v>
      </c>
      <c r="G1177" s="17" t="str">
        <f>IF(COUNTIF(Phrases!$A:$A,$A1177)&gt;0,"ok","à faire")</f>
        <v>ok</v>
      </c>
      <c r="H1177" s="17" t="str">
        <f>IF(COUNTIFS(Phrases!$A:$A,$A1177,Phrases!$I:$I,"&lt;&gt;")&gt;0,"ok","à faire")</f>
        <v>à faire</v>
      </c>
      <c r="I1177" s="17" t="str">
        <f>IF(COUNTIF(Synonymes!$A:$A,$A1177)&gt;0,"ok","")</f>
        <v/>
      </c>
      <c r="J1177" s="17">
        <f t="shared" si="18"/>
        <v>1</v>
      </c>
    </row>
    <row r="1178" spans="1:10" x14ac:dyDescent="0.3">
      <c r="A1178" s="17" t="s">
        <v>6489</v>
      </c>
      <c r="B1178" s="17" t="str">
        <f>IFERROR(INDEX(Mots!$B:$B,MATCH($A1178,Mots!$A:$A,0)),"introuvable")</f>
        <v>le tonnerre</v>
      </c>
      <c r="C1178" s="17" t="str">
        <f>IFERROR(INDEX(Mots!$N:$N,MATCH($A1178,Mots!$A:$A,0)),"")</f>
        <v>chose</v>
      </c>
      <c r="D1178" s="17">
        <f>IFERROR(COUNTA(INDEX(Mots!$E:$E,MATCH($A1178,Mots!$A:$A,0)):INDEX(Mots!$K:$K,MATCH($A1178,Mots!$A:$A,0))),0)</f>
        <v>1</v>
      </c>
      <c r="E1178" s="17" t="str">
        <f>IF(COUNTIF(Classement!$A:$A,$A1178)&gt;0,"ok","à faire")</f>
        <v>ok</v>
      </c>
      <c r="F1178" s="17" t="str">
        <f>IF(COUNTIF(Tags!$A:$A,$A1178)&gt;0,"ok","à faire")</f>
        <v>à faire</v>
      </c>
      <c r="G1178" s="17" t="str">
        <f>IF(COUNTIF(Phrases!$A:$A,$A1178)&gt;0,"ok","à faire")</f>
        <v>ok</v>
      </c>
      <c r="H1178" s="17" t="str">
        <f>IF(COUNTIFS(Phrases!$A:$A,$A1178,Phrases!$I:$I,"&lt;&gt;")&gt;0,"ok","à faire")</f>
        <v>ok</v>
      </c>
      <c r="I1178" s="17" t="str">
        <f>IF(COUNTIF(Synonymes!$A:$A,$A1178)&gt;0,"ok","")</f>
        <v/>
      </c>
      <c r="J1178" s="17">
        <f t="shared" si="18"/>
        <v>1</v>
      </c>
    </row>
    <row r="1179" spans="1:10" x14ac:dyDescent="0.3">
      <c r="A1179" s="17" t="s">
        <v>6493</v>
      </c>
      <c r="B1179" s="17" t="str">
        <f>IFERROR(INDEX(Mots!$B:$B,MATCH($A1179,Mots!$A:$A,0)),"introuvable")</f>
        <v>le total</v>
      </c>
      <c r="C1179" s="17" t="str">
        <f>IFERROR(INDEX(Mots!$N:$N,MATCH($A1179,Mots!$A:$A,0)),"")</f>
        <v>chose</v>
      </c>
      <c r="D1179" s="17">
        <f>IFERROR(COUNTA(INDEX(Mots!$E:$E,MATCH($A1179,Mots!$A:$A,0)):INDEX(Mots!$K:$K,MATCH($A1179,Mots!$A:$A,0))),0)</f>
        <v>1</v>
      </c>
      <c r="E1179" s="17" t="str">
        <f>IF(COUNTIF(Classement!$A:$A,$A1179)&gt;0,"ok","à faire")</f>
        <v>ok</v>
      </c>
      <c r="F1179" s="17" t="str">
        <f>IF(COUNTIF(Tags!$A:$A,$A1179)&gt;0,"ok","à faire")</f>
        <v>à faire</v>
      </c>
      <c r="G1179" s="17" t="str">
        <f>IF(COUNTIF(Phrases!$A:$A,$A1179)&gt;0,"ok","à faire")</f>
        <v>ok</v>
      </c>
      <c r="H1179" s="17" t="str">
        <f>IF(COUNTIFS(Phrases!$A:$A,$A1179,Phrases!$I:$I,"&lt;&gt;")&gt;0,"ok","à faire")</f>
        <v>ok</v>
      </c>
      <c r="I1179" s="17" t="str">
        <f>IF(COUNTIF(Synonymes!$A:$A,$A1179)&gt;0,"ok","")</f>
        <v/>
      </c>
      <c r="J1179" s="17">
        <f t="shared" si="18"/>
        <v>1</v>
      </c>
    </row>
    <row r="1180" spans="1:10" x14ac:dyDescent="0.3">
      <c r="A1180" s="17" t="s">
        <v>6497</v>
      </c>
      <c r="B1180" s="17" t="str">
        <f>IFERROR(INDEX(Mots!$B:$B,MATCH($A1180,Mots!$A:$A,0)),"introuvable")</f>
        <v>le tournevis</v>
      </c>
      <c r="C1180" s="17" t="str">
        <f>IFERROR(INDEX(Mots!$N:$N,MATCH($A1180,Mots!$A:$A,0)),"")</f>
        <v>chose</v>
      </c>
      <c r="D1180" s="17">
        <f>IFERROR(COUNTA(INDEX(Mots!$E:$E,MATCH($A1180,Mots!$A:$A,0)):INDEX(Mots!$K:$K,MATCH($A1180,Mots!$A:$A,0))),0)</f>
        <v>4</v>
      </c>
      <c r="E1180" s="17" t="str">
        <f>IF(COUNTIF(Classement!$A:$A,$A1180)&gt;0,"ok","à faire")</f>
        <v>ok</v>
      </c>
      <c r="F1180" s="17" t="str">
        <f>IF(COUNTIF(Tags!$A:$A,$A1180)&gt;0,"ok","à faire")</f>
        <v>ok</v>
      </c>
      <c r="G1180" s="17" t="str">
        <f>IF(COUNTIF(Phrases!$A:$A,$A1180)&gt;0,"ok","à faire")</f>
        <v>ok</v>
      </c>
      <c r="H1180" s="17" t="str">
        <f>IF(COUNTIFS(Phrases!$A:$A,$A1180,Phrases!$I:$I,"&lt;&gt;")&gt;0,"ok","à faire")</f>
        <v>à faire</v>
      </c>
      <c r="I1180" s="17" t="str">
        <f>IF(COUNTIF(Synonymes!$A:$A,$A1180)&gt;0,"ok","")</f>
        <v/>
      </c>
      <c r="J1180" s="17">
        <f t="shared" si="18"/>
        <v>1</v>
      </c>
    </row>
    <row r="1181" spans="1:10" x14ac:dyDescent="0.3">
      <c r="A1181" s="17" t="s">
        <v>6504</v>
      </c>
      <c r="B1181" s="17" t="str">
        <f>IFERROR(INDEX(Mots!$B:$B,MATCH($A1181,Mots!$A:$A,0)),"introuvable")</f>
        <v>le trait</v>
      </c>
      <c r="C1181" s="17" t="str">
        <f>IFERROR(INDEX(Mots!$N:$N,MATCH($A1181,Mots!$A:$A,0)),"")</f>
        <v>chose</v>
      </c>
      <c r="D1181" s="17">
        <f>IFERROR(COUNTA(INDEX(Mots!$E:$E,MATCH($A1181,Mots!$A:$A,0)):INDEX(Mots!$K:$K,MATCH($A1181,Mots!$A:$A,0))),0)</f>
        <v>1</v>
      </c>
      <c r="E1181" s="17" t="str">
        <f>IF(COUNTIF(Classement!$A:$A,$A1181)&gt;0,"ok","à faire")</f>
        <v>ok</v>
      </c>
      <c r="F1181" s="17" t="str">
        <f>IF(COUNTIF(Tags!$A:$A,$A1181)&gt;0,"ok","à faire")</f>
        <v>à faire</v>
      </c>
      <c r="G1181" s="17" t="str">
        <f>IF(COUNTIF(Phrases!$A:$A,$A1181)&gt;0,"ok","à faire")</f>
        <v>ok</v>
      </c>
      <c r="H1181" s="17" t="str">
        <f>IF(COUNTIFS(Phrases!$A:$A,$A1181,Phrases!$I:$I,"&lt;&gt;")&gt;0,"ok","à faire")</f>
        <v>ok</v>
      </c>
      <c r="I1181" s="17" t="str">
        <f>IF(COUNTIF(Synonymes!$A:$A,$A1181)&gt;0,"ok","")</f>
        <v>ok</v>
      </c>
      <c r="J1181" s="17">
        <f t="shared" si="18"/>
        <v>1</v>
      </c>
    </row>
    <row r="1182" spans="1:10" x14ac:dyDescent="0.3">
      <c r="A1182" s="17" t="s">
        <v>73</v>
      </c>
      <c r="B1182" s="17" t="str">
        <f>IFERROR(INDEX(Mots!$B:$B,MATCH($A1182,Mots!$A:$A,0)),"introuvable")</f>
        <v>le travail</v>
      </c>
      <c r="C1182" s="17" t="str">
        <f>IFERROR(INDEX(Mots!$N:$N,MATCH($A1182,Mots!$A:$A,0)),"")</f>
        <v>chose</v>
      </c>
      <c r="D1182" s="17">
        <f>IFERROR(COUNTA(INDEX(Mots!$E:$E,MATCH($A1182,Mots!$A:$A,0)):INDEX(Mots!$K:$K,MATCH($A1182,Mots!$A:$A,0))),0)</f>
        <v>1</v>
      </c>
      <c r="E1182" s="17" t="str">
        <f>IF(COUNTIF(Classement!$A:$A,$A1182)&gt;0,"ok","à faire")</f>
        <v>ok</v>
      </c>
      <c r="F1182" s="17" t="str">
        <f>IF(COUNTIF(Tags!$A:$A,$A1182)&gt;0,"ok","à faire")</f>
        <v>ok</v>
      </c>
      <c r="G1182" s="17" t="str">
        <f>IF(COUNTIF(Phrases!$A:$A,$A1182)&gt;0,"ok","à faire")</f>
        <v>ok</v>
      </c>
      <c r="H1182" s="17" t="str">
        <f>IF(COUNTIFS(Phrases!$A:$A,$A1182,Phrases!$I:$I,"&lt;&gt;")&gt;0,"ok","à faire")</f>
        <v>ok</v>
      </c>
      <c r="I1182" s="17" t="str">
        <f>IF(COUNTIF(Synonymes!$A:$A,$A1182)&gt;0,"ok","")</f>
        <v>ok</v>
      </c>
      <c r="J1182" s="17">
        <f t="shared" si="18"/>
        <v>0</v>
      </c>
    </row>
    <row r="1183" spans="1:10" x14ac:dyDescent="0.3">
      <c r="A1183" s="8" t="s">
        <v>9518</v>
      </c>
      <c r="B1183" s="17" t="str">
        <f>IFERROR(INDEX(Mots!$B:$B,MATCH($A1183,Mots!$A:$A,0)),"introuvable")</f>
        <v>le tronc</v>
      </c>
      <c r="C1183" s="17" t="str">
        <f>IFERROR(INDEX(Mots!$N:$N,MATCH($A1183,Mots!$A:$A,0)),"")</f>
        <v>chose</v>
      </c>
      <c r="D1183" s="17">
        <f>IFERROR(COUNTA(INDEX(Mots!$E:$E,MATCH($A1183,Mots!$A:$A,0)):INDEX(Mots!$K:$K,MATCH($A1183,Mots!$A:$A,0))),0)</f>
        <v>5</v>
      </c>
      <c r="E1183" s="17" t="str">
        <f>IF(COUNTIF(Classement!$A:$A,$A1183)&gt;0,"ok","à faire")</f>
        <v>ok</v>
      </c>
      <c r="F1183" s="17" t="str">
        <f>IF(COUNTIF(Tags!$A:$A,$A1183)&gt;0,"ok","à faire")</f>
        <v>ok</v>
      </c>
      <c r="G1183" s="17" t="str">
        <f>IF(COUNTIF(Phrases!$A:$A,$A1183)&gt;0,"ok","à faire")</f>
        <v>ok</v>
      </c>
      <c r="H1183" s="17" t="str">
        <f>IF(COUNTIFS(Phrases!$A:$A,$A1183,Phrases!$I:$I,"&lt;&gt;")&gt;0,"ok","à faire")</f>
        <v>à faire</v>
      </c>
      <c r="I1183" s="17" t="str">
        <f>IF(COUNTIF(Synonymes!$A:$A,$A1183)&gt;0,"ok","")</f>
        <v/>
      </c>
      <c r="J1183" s="17">
        <f t="shared" si="18"/>
        <v>1</v>
      </c>
    </row>
    <row r="1184" spans="1:10" x14ac:dyDescent="0.3">
      <c r="A1184" s="17" t="s">
        <v>6513</v>
      </c>
      <c r="B1184" s="17" t="str">
        <f>IFERROR(INDEX(Mots!$B:$B,MATCH($A1184,Mots!$A:$A,0)),"introuvable")</f>
        <v>le trottoir</v>
      </c>
      <c r="C1184" s="17" t="str">
        <f>IFERROR(INDEX(Mots!$N:$N,MATCH($A1184,Mots!$A:$A,0)),"")</f>
        <v>chose</v>
      </c>
      <c r="D1184" s="17">
        <f>IFERROR(COUNTA(INDEX(Mots!$E:$E,MATCH($A1184,Mots!$A:$A,0)):INDEX(Mots!$K:$K,MATCH($A1184,Mots!$A:$A,0))),0)</f>
        <v>5</v>
      </c>
      <c r="E1184" s="17" t="str">
        <f>IF(COUNTIF(Classement!$A:$A,$A1184)&gt;0,"ok","à faire")</f>
        <v>ok</v>
      </c>
      <c r="F1184" s="17" t="str">
        <f>IF(COUNTIF(Tags!$A:$A,$A1184)&gt;0,"ok","à faire")</f>
        <v>ok</v>
      </c>
      <c r="G1184" s="17" t="str">
        <f>IF(COUNTIF(Phrases!$A:$A,$A1184)&gt;0,"ok","à faire")</f>
        <v>ok</v>
      </c>
      <c r="H1184" s="17" t="str">
        <f>IF(COUNTIFS(Phrases!$A:$A,$A1184,Phrases!$I:$I,"&lt;&gt;")&gt;0,"ok","à faire")</f>
        <v>ok</v>
      </c>
      <c r="I1184" s="17" t="str">
        <f>IF(COUNTIF(Synonymes!$A:$A,$A1184)&gt;0,"ok","")</f>
        <v/>
      </c>
      <c r="J1184" s="17">
        <f t="shared" si="18"/>
        <v>0</v>
      </c>
    </row>
    <row r="1185" spans="1:10" x14ac:dyDescent="0.3">
      <c r="A1185" s="17" t="s">
        <v>6517</v>
      </c>
      <c r="B1185" s="17" t="str">
        <f>IFERROR(INDEX(Mots!$B:$B,MATCH($A1185,Mots!$A:$A,0)),"introuvable")</f>
        <v>le trou</v>
      </c>
      <c r="C1185" s="17" t="str">
        <f>IFERROR(INDEX(Mots!$N:$N,MATCH($A1185,Mots!$A:$A,0)),"")</f>
        <v>chose</v>
      </c>
      <c r="D1185" s="17">
        <f>IFERROR(COUNTA(INDEX(Mots!$E:$E,MATCH($A1185,Mots!$A:$A,0)):INDEX(Mots!$K:$K,MATCH($A1185,Mots!$A:$A,0))),0)</f>
        <v>5</v>
      </c>
      <c r="E1185" s="17" t="str">
        <f>IF(COUNTIF(Classement!$A:$A,$A1185)&gt;0,"ok","à faire")</f>
        <v>ok</v>
      </c>
      <c r="F1185" s="17" t="str">
        <f>IF(COUNTIF(Tags!$A:$A,$A1185)&gt;0,"ok","à faire")</f>
        <v>à faire</v>
      </c>
      <c r="G1185" s="17" t="str">
        <f>IF(COUNTIF(Phrases!$A:$A,$A1185)&gt;0,"ok","à faire")</f>
        <v>ok</v>
      </c>
      <c r="H1185" s="17" t="str">
        <f>IF(COUNTIFS(Phrases!$A:$A,$A1185,Phrases!$I:$I,"&lt;&gt;")&gt;0,"ok","à faire")</f>
        <v>ok</v>
      </c>
      <c r="I1185" s="17" t="str">
        <f>IF(COUNTIF(Synonymes!$A:$A,$A1185)&gt;0,"ok","")</f>
        <v/>
      </c>
      <c r="J1185" s="17">
        <f t="shared" si="18"/>
        <v>1</v>
      </c>
    </row>
    <row r="1186" spans="1:10" x14ac:dyDescent="0.3">
      <c r="A1186" s="17" t="s">
        <v>6525</v>
      </c>
      <c r="B1186" s="17" t="str">
        <f>IFERROR(INDEX(Mots!$B:$B,MATCH($A1186,Mots!$A:$A,0)),"introuvable")</f>
        <v>le trousseau</v>
      </c>
      <c r="C1186" s="17" t="str">
        <f>IFERROR(INDEX(Mots!$N:$N,MATCH($A1186,Mots!$A:$A,0)),"")</f>
        <v>chose</v>
      </c>
      <c r="D1186" s="17">
        <f>IFERROR(COUNTA(INDEX(Mots!$E:$E,MATCH($A1186,Mots!$A:$A,0)):INDEX(Mots!$K:$K,MATCH($A1186,Mots!$A:$A,0))),0)</f>
        <v>5</v>
      </c>
      <c r="E1186" s="17" t="str">
        <f>IF(COUNTIF(Classement!$A:$A,$A1186)&gt;0,"ok","à faire")</f>
        <v>ok</v>
      </c>
      <c r="F1186" s="17" t="str">
        <f>IF(COUNTIF(Tags!$A:$A,$A1186)&gt;0,"ok","à faire")</f>
        <v>à faire</v>
      </c>
      <c r="G1186" s="17" t="str">
        <f>IF(COUNTIF(Phrases!$A:$A,$A1186)&gt;0,"ok","à faire")</f>
        <v>ok</v>
      </c>
      <c r="H1186" s="17" t="str">
        <f>IF(COUNTIFS(Phrases!$A:$A,$A1186,Phrases!$I:$I,"&lt;&gt;")&gt;0,"ok","à faire")</f>
        <v>ok</v>
      </c>
      <c r="I1186" s="17" t="str">
        <f>IF(COUNTIF(Synonymes!$A:$A,$A1186)&gt;0,"ok","")</f>
        <v/>
      </c>
      <c r="J1186" s="17">
        <f t="shared" si="18"/>
        <v>1</v>
      </c>
    </row>
    <row r="1187" spans="1:10" x14ac:dyDescent="0.3">
      <c r="A1187" s="17" t="s">
        <v>6533</v>
      </c>
      <c r="B1187" s="17" t="str">
        <f>IFERROR(INDEX(Mots!$B:$B,MATCH($A1187,Mots!$A:$A,0)),"introuvable")</f>
        <v>le tube</v>
      </c>
      <c r="C1187" s="17" t="str">
        <f>IFERROR(INDEX(Mots!$N:$N,MATCH($A1187,Mots!$A:$A,0)),"")</f>
        <v>chose</v>
      </c>
      <c r="D1187" s="17">
        <f>IFERROR(COUNTA(INDEX(Mots!$E:$E,MATCH($A1187,Mots!$A:$A,0)):INDEX(Mots!$K:$K,MATCH($A1187,Mots!$A:$A,0))),0)</f>
        <v>5</v>
      </c>
      <c r="E1187" s="17" t="str">
        <f>IF(COUNTIF(Classement!$A:$A,$A1187)&gt;0,"ok","à faire")</f>
        <v>ok</v>
      </c>
      <c r="F1187" s="17" t="str">
        <f>IF(COUNTIF(Tags!$A:$A,$A1187)&gt;0,"ok","à faire")</f>
        <v>ok</v>
      </c>
      <c r="G1187" s="17" t="str">
        <f>IF(COUNTIF(Phrases!$A:$A,$A1187)&gt;0,"ok","à faire")</f>
        <v>ok</v>
      </c>
      <c r="H1187" s="17" t="str">
        <f>IF(COUNTIFS(Phrases!$A:$A,$A1187,Phrases!$I:$I,"&lt;&gt;")&gt;0,"ok","à faire")</f>
        <v>à faire</v>
      </c>
      <c r="I1187" s="17" t="str">
        <f>IF(COUNTIF(Synonymes!$A:$A,$A1187)&gt;0,"ok","")</f>
        <v/>
      </c>
      <c r="J1187" s="17">
        <f t="shared" si="18"/>
        <v>1</v>
      </c>
    </row>
    <row r="1188" spans="1:10" x14ac:dyDescent="0.3">
      <c r="A1188" s="17" t="s">
        <v>6541</v>
      </c>
      <c r="B1188" s="17" t="str">
        <f>IFERROR(INDEX(Mots!$B:$B,MATCH($A1188,Mots!$A:$A,0)),"introuvable")</f>
        <v>le tuyau</v>
      </c>
      <c r="C1188" s="17" t="str">
        <f>IFERROR(INDEX(Mots!$N:$N,MATCH($A1188,Mots!$A:$A,0)),"")</f>
        <v>chose</v>
      </c>
      <c r="D1188" s="17">
        <f>IFERROR(COUNTA(INDEX(Mots!$E:$E,MATCH($A1188,Mots!$A:$A,0)):INDEX(Mots!$K:$K,MATCH($A1188,Mots!$A:$A,0))),0)</f>
        <v>5</v>
      </c>
      <c r="E1188" s="17" t="str">
        <f>IF(COUNTIF(Classement!$A:$A,$A1188)&gt;0,"ok","à faire")</f>
        <v>ok</v>
      </c>
      <c r="F1188" s="17" t="str">
        <f>IF(COUNTIF(Tags!$A:$A,$A1188)&gt;0,"ok","à faire")</f>
        <v>à faire</v>
      </c>
      <c r="G1188" s="17" t="str">
        <f>IF(COUNTIF(Phrases!$A:$A,$A1188)&gt;0,"ok","à faire")</f>
        <v>ok</v>
      </c>
      <c r="H1188" s="17" t="str">
        <f>IF(COUNTIFS(Phrases!$A:$A,$A1188,Phrases!$I:$I,"&lt;&gt;")&gt;0,"ok","à faire")</f>
        <v>à faire</v>
      </c>
      <c r="I1188" s="17" t="str">
        <f>IF(COUNTIF(Synonymes!$A:$A,$A1188)&gt;0,"ok","")</f>
        <v/>
      </c>
      <c r="J1188" s="17">
        <f t="shared" si="18"/>
        <v>2</v>
      </c>
    </row>
    <row r="1189" spans="1:10" x14ac:dyDescent="0.3">
      <c r="A1189" s="17" t="s">
        <v>6549</v>
      </c>
      <c r="B1189" s="17" t="str">
        <f>IFERROR(INDEX(Mots!$B:$B,MATCH($A1189,Mots!$A:$A,0)),"introuvable")</f>
        <v>le type</v>
      </c>
      <c r="C1189" s="17" t="str">
        <f>IFERROR(INDEX(Mots!$N:$N,MATCH($A1189,Mots!$A:$A,0)),"")</f>
        <v>chose</v>
      </c>
      <c r="D1189" s="17">
        <f>IFERROR(COUNTA(INDEX(Mots!$E:$E,MATCH($A1189,Mots!$A:$A,0)):INDEX(Mots!$K:$K,MATCH($A1189,Mots!$A:$A,0))),0)</f>
        <v>2</v>
      </c>
      <c r="E1189" s="17" t="str">
        <f>IF(COUNTIF(Classement!$A:$A,$A1189)&gt;0,"ok","à faire")</f>
        <v>ok</v>
      </c>
      <c r="F1189" s="17" t="str">
        <f>IF(COUNTIF(Tags!$A:$A,$A1189)&gt;0,"ok","à faire")</f>
        <v>à faire</v>
      </c>
      <c r="G1189" s="17" t="str">
        <f>IF(COUNTIF(Phrases!$A:$A,$A1189)&gt;0,"ok","à faire")</f>
        <v>ok</v>
      </c>
      <c r="H1189" s="17" t="str">
        <f>IF(COUNTIFS(Phrases!$A:$A,$A1189,Phrases!$I:$I,"&lt;&gt;")&gt;0,"ok","à faire")</f>
        <v>ok</v>
      </c>
      <c r="I1189" s="17" t="str">
        <f>IF(COUNTIF(Synonymes!$A:$A,$A1189)&gt;0,"ok","")</f>
        <v>ok</v>
      </c>
      <c r="J1189" s="17">
        <f t="shared" si="18"/>
        <v>1</v>
      </c>
    </row>
    <row r="1190" spans="1:10" x14ac:dyDescent="0.3">
      <c r="A1190" s="17" t="s">
        <v>6554</v>
      </c>
      <c r="B1190" s="17" t="str">
        <f>IFERROR(INDEX(Mots!$B:$B,MATCH($A1190,Mots!$A:$A,0)),"introuvable")</f>
        <v>le vaccin</v>
      </c>
      <c r="C1190" s="17" t="str">
        <f>IFERROR(INDEX(Mots!$N:$N,MATCH($A1190,Mots!$A:$A,0)),"")</f>
        <v>chose</v>
      </c>
      <c r="D1190" s="17">
        <f>IFERROR(COUNTA(INDEX(Mots!$E:$E,MATCH($A1190,Mots!$A:$A,0)):INDEX(Mots!$K:$K,MATCH($A1190,Mots!$A:$A,0))),0)</f>
        <v>1</v>
      </c>
      <c r="E1190" s="17" t="str">
        <f>IF(COUNTIF(Classement!$A:$A,$A1190)&gt;0,"ok","à faire")</f>
        <v>ok</v>
      </c>
      <c r="F1190" s="17" t="str">
        <f>IF(COUNTIF(Tags!$A:$A,$A1190)&gt;0,"ok","à faire")</f>
        <v>ok</v>
      </c>
      <c r="G1190" s="17" t="str">
        <f>IF(COUNTIF(Phrases!$A:$A,$A1190)&gt;0,"ok","à faire")</f>
        <v>ok</v>
      </c>
      <c r="H1190" s="17" t="str">
        <f>IF(COUNTIFS(Phrases!$A:$A,$A1190,Phrases!$I:$I,"&lt;&gt;")&gt;0,"ok","à faire")</f>
        <v>ok</v>
      </c>
      <c r="I1190" s="17" t="str">
        <f>IF(COUNTIF(Synonymes!$A:$A,$A1190)&gt;0,"ok","")</f>
        <v/>
      </c>
      <c r="J1190" s="17">
        <f t="shared" si="18"/>
        <v>0</v>
      </c>
    </row>
    <row r="1191" spans="1:10" x14ac:dyDescent="0.3">
      <c r="A1191" s="17" t="s">
        <v>6558</v>
      </c>
      <c r="B1191" s="17" t="str">
        <f>IFERROR(INDEX(Mots!$B:$B,MATCH($A1191,Mots!$A:$A,0)),"introuvable")</f>
        <v>le vainqueur</v>
      </c>
      <c r="C1191" s="17" t="str">
        <f>IFERROR(INDEX(Mots!$N:$N,MATCH($A1191,Mots!$A:$A,0)),"")</f>
        <v>personne</v>
      </c>
      <c r="D1191" s="17">
        <f>IFERROR(COUNTA(INDEX(Mots!$E:$E,MATCH($A1191,Mots!$A:$A,0)):INDEX(Mots!$K:$K,MATCH($A1191,Mots!$A:$A,0))),0)</f>
        <v>5</v>
      </c>
      <c r="E1191" s="17" t="str">
        <f>IF(COUNTIF(Classement!$A:$A,$A1191)&gt;0,"ok","à faire")</f>
        <v>ok</v>
      </c>
      <c r="F1191" s="17" t="str">
        <f>IF(COUNTIF(Tags!$A:$A,$A1191)&gt;0,"ok","à faire")</f>
        <v>à faire</v>
      </c>
      <c r="G1191" s="17" t="str">
        <f>IF(COUNTIF(Phrases!$A:$A,$A1191)&gt;0,"ok","à faire")</f>
        <v>à faire</v>
      </c>
      <c r="H1191" s="17" t="str">
        <f>IF(COUNTIFS(Phrases!$A:$A,$A1191,Phrases!$I:$I,"&lt;&gt;")&gt;0,"ok","à faire")</f>
        <v>à faire</v>
      </c>
      <c r="I1191" s="17" t="str">
        <f>IF(COUNTIF(Synonymes!$A:$A,$A1191)&gt;0,"ok","")</f>
        <v>ok</v>
      </c>
      <c r="J1191" s="17">
        <f t="shared" si="18"/>
        <v>3</v>
      </c>
    </row>
    <row r="1192" spans="1:10" x14ac:dyDescent="0.3">
      <c r="A1192" s="17" t="s">
        <v>6561</v>
      </c>
      <c r="B1192" s="17" t="str">
        <f>IFERROR(INDEX(Mots!$B:$B,MATCH($A1192,Mots!$A:$A,0)),"introuvable")</f>
        <v>le velours</v>
      </c>
      <c r="C1192" s="17" t="str">
        <f>IFERROR(INDEX(Mots!$N:$N,MATCH($A1192,Mots!$A:$A,0)),"")</f>
        <v>chose</v>
      </c>
      <c r="D1192" s="17">
        <f>IFERROR(COUNTA(INDEX(Mots!$E:$E,MATCH($A1192,Mots!$A:$A,0)):INDEX(Mots!$K:$K,MATCH($A1192,Mots!$A:$A,0))),0)</f>
        <v>2</v>
      </c>
      <c r="E1192" s="17" t="str">
        <f>IF(COUNTIF(Classement!$A:$A,$A1192)&gt;0,"ok","à faire")</f>
        <v>ok</v>
      </c>
      <c r="F1192" s="17" t="str">
        <f>IF(COUNTIF(Tags!$A:$A,$A1192)&gt;0,"ok","à faire")</f>
        <v>ok</v>
      </c>
      <c r="G1192" s="17" t="str">
        <f>IF(COUNTIF(Phrases!$A:$A,$A1192)&gt;0,"ok","à faire")</f>
        <v>ok</v>
      </c>
      <c r="H1192" s="17" t="str">
        <f>IF(COUNTIFS(Phrases!$A:$A,$A1192,Phrases!$I:$I,"&lt;&gt;")&gt;0,"ok","à faire")</f>
        <v>à faire</v>
      </c>
      <c r="I1192" s="17" t="str">
        <f>IF(COUNTIF(Synonymes!$A:$A,$A1192)&gt;0,"ok","")</f>
        <v/>
      </c>
      <c r="J1192" s="17">
        <f t="shared" si="18"/>
        <v>1</v>
      </c>
    </row>
    <row r="1193" spans="1:10" x14ac:dyDescent="0.3">
      <c r="A1193" s="17" t="s">
        <v>6566</v>
      </c>
      <c r="B1193" s="17" t="str">
        <f>IFERROR(INDEX(Mots!$B:$B,MATCH($A1193,Mots!$A:$A,0)),"introuvable")</f>
        <v>le vent</v>
      </c>
      <c r="C1193" s="17" t="str">
        <f>IFERROR(INDEX(Mots!$N:$N,MATCH($A1193,Mots!$A:$A,0)),"")</f>
        <v>chose</v>
      </c>
      <c r="D1193" s="17">
        <f>IFERROR(COUNTA(INDEX(Mots!$E:$E,MATCH($A1193,Mots!$A:$A,0)):INDEX(Mots!$K:$K,MATCH($A1193,Mots!$A:$A,0))),0)</f>
        <v>5</v>
      </c>
      <c r="E1193" s="17" t="str">
        <f>IF(COUNTIF(Classement!$A:$A,$A1193)&gt;0,"ok","à faire")</f>
        <v>ok</v>
      </c>
      <c r="F1193" s="17" t="str">
        <f>IF(COUNTIF(Tags!$A:$A,$A1193)&gt;0,"ok","à faire")</f>
        <v>ok</v>
      </c>
      <c r="G1193" s="17" t="str">
        <f>IF(COUNTIF(Phrases!$A:$A,$A1193)&gt;0,"ok","à faire")</f>
        <v>ok</v>
      </c>
      <c r="H1193" s="17" t="str">
        <f>IF(COUNTIFS(Phrases!$A:$A,$A1193,Phrases!$I:$I,"&lt;&gt;")&gt;0,"ok","à faire")</f>
        <v>ok</v>
      </c>
      <c r="I1193" s="17" t="str">
        <f>IF(COUNTIF(Synonymes!$A:$A,$A1193)&gt;0,"ok","")</f>
        <v/>
      </c>
      <c r="J1193" s="17">
        <f t="shared" si="18"/>
        <v>0</v>
      </c>
    </row>
    <row r="1194" spans="1:10" x14ac:dyDescent="0.3">
      <c r="A1194" s="17" t="s">
        <v>6574</v>
      </c>
      <c r="B1194" s="17" t="str">
        <f>IFERROR(INDEX(Mots!$B:$B,MATCH($A1194,Mots!$A:$A,0)),"introuvable")</f>
        <v>le verbe</v>
      </c>
      <c r="C1194" s="17" t="str">
        <f>IFERROR(INDEX(Mots!$N:$N,MATCH($A1194,Mots!$A:$A,0)),"")</f>
        <v>chose</v>
      </c>
      <c r="D1194" s="17">
        <f>IFERROR(COUNTA(INDEX(Mots!$E:$E,MATCH($A1194,Mots!$A:$A,0)):INDEX(Mots!$K:$K,MATCH($A1194,Mots!$A:$A,0))),0)</f>
        <v>1</v>
      </c>
      <c r="E1194" s="17" t="str">
        <f>IF(COUNTIF(Classement!$A:$A,$A1194)&gt;0,"ok","à faire")</f>
        <v>à faire</v>
      </c>
      <c r="F1194" s="17" t="str">
        <f>IF(COUNTIF(Tags!$A:$A,$A1194)&gt;0,"ok","à faire")</f>
        <v>ok</v>
      </c>
      <c r="G1194" s="17" t="str">
        <f>IF(COUNTIF(Phrases!$A:$A,$A1194)&gt;0,"ok","à faire")</f>
        <v>à faire</v>
      </c>
      <c r="H1194" s="17" t="str">
        <f>IF(COUNTIFS(Phrases!$A:$A,$A1194,Phrases!$I:$I,"&lt;&gt;")&gt;0,"ok","à faire")</f>
        <v>à faire</v>
      </c>
      <c r="I1194" s="17" t="str">
        <f>IF(COUNTIF(Synonymes!$A:$A,$A1194)&gt;0,"ok","")</f>
        <v/>
      </c>
      <c r="J1194" s="17">
        <f t="shared" si="18"/>
        <v>3</v>
      </c>
    </row>
    <row r="1195" spans="1:10" x14ac:dyDescent="0.3">
      <c r="A1195" s="17" t="s">
        <v>6578</v>
      </c>
      <c r="B1195" s="17" t="str">
        <f>IFERROR(INDEX(Mots!$B:$B,MATCH($A1195,Mots!$A:$A,0)),"introuvable")</f>
        <v>le vêtement</v>
      </c>
      <c r="C1195" s="17" t="str">
        <f>IFERROR(INDEX(Mots!$N:$N,MATCH($A1195,Mots!$A:$A,0)),"")</f>
        <v>chose</v>
      </c>
      <c r="D1195" s="17">
        <f>IFERROR(COUNTA(INDEX(Mots!$E:$E,MATCH($A1195,Mots!$A:$A,0)):INDEX(Mots!$K:$K,MATCH($A1195,Mots!$A:$A,0))),0)</f>
        <v>1</v>
      </c>
      <c r="E1195" s="17" t="str">
        <f>IF(COUNTIF(Classement!$A:$A,$A1195)&gt;0,"ok","à faire")</f>
        <v>ok</v>
      </c>
      <c r="F1195" s="17" t="str">
        <f>IF(COUNTIF(Tags!$A:$A,$A1195)&gt;0,"ok","à faire")</f>
        <v>ok</v>
      </c>
      <c r="G1195" s="17" t="str">
        <f>IF(COUNTIF(Phrases!$A:$A,$A1195)&gt;0,"ok","à faire")</f>
        <v>à faire</v>
      </c>
      <c r="H1195" s="17" t="str">
        <f>IF(COUNTIFS(Phrases!$A:$A,$A1195,Phrases!$I:$I,"&lt;&gt;")&gt;0,"ok","à faire")</f>
        <v>à faire</v>
      </c>
      <c r="I1195" s="17" t="str">
        <f>IF(COUNTIF(Synonymes!$A:$A,$A1195)&gt;0,"ok","")</f>
        <v>ok</v>
      </c>
      <c r="J1195" s="17">
        <f t="shared" si="18"/>
        <v>2</v>
      </c>
    </row>
    <row r="1196" spans="1:10" x14ac:dyDescent="0.3">
      <c r="A1196" s="17" t="s">
        <v>6582</v>
      </c>
      <c r="B1196" s="17" t="str">
        <f>IFERROR(INDEX(Mots!$B:$B,MATCH($A1196,Mots!$A:$A,0)),"introuvable")</f>
        <v>le village</v>
      </c>
      <c r="C1196" s="17" t="str">
        <f>IFERROR(INDEX(Mots!$N:$N,MATCH($A1196,Mots!$A:$A,0)),"")</f>
        <v>chose</v>
      </c>
      <c r="D1196" s="17">
        <f>IFERROR(COUNTA(INDEX(Mots!$E:$E,MATCH($A1196,Mots!$A:$A,0)):INDEX(Mots!$K:$K,MATCH($A1196,Mots!$A:$A,0))),0)</f>
        <v>5</v>
      </c>
      <c r="E1196" s="17" t="str">
        <f>IF(COUNTIF(Classement!$A:$A,$A1196)&gt;0,"ok","à faire")</f>
        <v>ok</v>
      </c>
      <c r="F1196" s="17" t="str">
        <f>IF(COUNTIF(Tags!$A:$A,$A1196)&gt;0,"ok","à faire")</f>
        <v>ok</v>
      </c>
      <c r="G1196" s="17" t="str">
        <f>IF(COUNTIF(Phrases!$A:$A,$A1196)&gt;0,"ok","à faire")</f>
        <v>à faire</v>
      </c>
      <c r="H1196" s="17" t="str">
        <f>IF(COUNTIFS(Phrases!$A:$A,$A1196,Phrases!$I:$I,"&lt;&gt;")&gt;0,"ok","à faire")</f>
        <v>à faire</v>
      </c>
      <c r="I1196" s="17" t="str">
        <f>IF(COUNTIF(Synonymes!$A:$A,$A1196)&gt;0,"ok","")</f>
        <v/>
      </c>
      <c r="J1196" s="17">
        <f t="shared" si="18"/>
        <v>2</v>
      </c>
    </row>
    <row r="1197" spans="1:10" x14ac:dyDescent="0.3">
      <c r="A1197" s="17" t="s">
        <v>324</v>
      </c>
      <c r="B1197" s="17" t="str">
        <f>IFERROR(INDEX(Mots!$B:$B,MATCH($A1197,Mots!$A:$A,0)),"introuvable")</f>
        <v>le visage</v>
      </c>
      <c r="C1197" s="17" t="str">
        <f>IFERROR(INDEX(Mots!$N:$N,MATCH($A1197,Mots!$A:$A,0)),"")</f>
        <v>sentiment</v>
      </c>
      <c r="D1197" s="17">
        <f>IFERROR(COUNTA(INDEX(Mots!$E:$E,MATCH($A1197,Mots!$A:$A,0)):INDEX(Mots!$K:$K,MATCH($A1197,Mots!$A:$A,0))),0)</f>
        <v>6</v>
      </c>
      <c r="E1197" s="17" t="str">
        <f>IF(COUNTIF(Classement!$A:$A,$A1197)&gt;0,"ok","à faire")</f>
        <v>ok</v>
      </c>
      <c r="F1197" s="17" t="str">
        <f>IF(COUNTIF(Tags!$A:$A,$A1197)&gt;0,"ok","à faire")</f>
        <v>ok</v>
      </c>
      <c r="G1197" s="17" t="str">
        <f>IF(COUNTIF(Phrases!$A:$A,$A1197)&gt;0,"ok","à faire")</f>
        <v>à faire</v>
      </c>
      <c r="H1197" s="17" t="str">
        <f>IF(COUNTIFS(Phrases!$A:$A,$A1197,Phrases!$I:$I,"&lt;&gt;")&gt;0,"ok","à faire")</f>
        <v>à faire</v>
      </c>
      <c r="I1197" s="17" t="str">
        <f>IF(COUNTIF(Synonymes!$A:$A,$A1197)&gt;0,"ok","")</f>
        <v>ok</v>
      </c>
      <c r="J1197" s="17">
        <f t="shared" si="18"/>
        <v>2</v>
      </c>
    </row>
    <row r="1198" spans="1:10" x14ac:dyDescent="0.3">
      <c r="A1198" s="17" t="s">
        <v>6597</v>
      </c>
      <c r="B1198" s="17" t="str">
        <f>IFERROR(INDEX(Mots!$B:$B,MATCH($A1198,Mots!$A:$A,0)),"introuvable")</f>
        <v>le voisin</v>
      </c>
      <c r="C1198" s="17" t="str">
        <f>IFERROR(INDEX(Mots!$N:$N,MATCH($A1198,Mots!$A:$A,0)),"")</f>
        <v>personne</v>
      </c>
      <c r="D1198" s="17">
        <f>IFERROR(COUNTA(INDEX(Mots!$E:$E,MATCH($A1198,Mots!$A:$A,0)):INDEX(Mots!$K:$K,MATCH($A1198,Mots!$A:$A,0))),0)</f>
        <v>1</v>
      </c>
      <c r="E1198" s="17" t="str">
        <f>IF(COUNTIF(Classement!$A:$A,$A1198)&gt;0,"ok","à faire")</f>
        <v>ok</v>
      </c>
      <c r="F1198" s="17" t="str">
        <f>IF(COUNTIF(Tags!$A:$A,$A1198)&gt;0,"ok","à faire")</f>
        <v>ok</v>
      </c>
      <c r="G1198" s="17" t="str">
        <f>IF(COUNTIF(Phrases!$A:$A,$A1198)&gt;0,"ok","à faire")</f>
        <v>à faire</v>
      </c>
      <c r="H1198" s="17" t="str">
        <f>IF(COUNTIFS(Phrases!$A:$A,$A1198,Phrases!$I:$I,"&lt;&gt;")&gt;0,"ok","à faire")</f>
        <v>à faire</v>
      </c>
      <c r="I1198" s="17" t="str">
        <f>IF(COUNTIF(Synonymes!$A:$A,$A1198)&gt;0,"ok","")</f>
        <v/>
      </c>
      <c r="J1198" s="17">
        <f t="shared" si="18"/>
        <v>2</v>
      </c>
    </row>
    <row r="1199" spans="1:10" x14ac:dyDescent="0.3">
      <c r="A1199" s="17" t="s">
        <v>6601</v>
      </c>
      <c r="B1199" s="17" t="str">
        <f>IFERROR(INDEX(Mots!$B:$B,MATCH($A1199,Mots!$A:$A,0)),"introuvable")</f>
        <v>le vol</v>
      </c>
      <c r="C1199" s="17" t="str">
        <f>IFERROR(INDEX(Mots!$N:$N,MATCH($A1199,Mots!$A:$A,0)),"")</f>
        <v>chose</v>
      </c>
      <c r="D1199" s="17">
        <f>IFERROR(COUNTA(INDEX(Mots!$E:$E,MATCH($A1199,Mots!$A:$A,0)):INDEX(Mots!$K:$K,MATCH($A1199,Mots!$A:$A,0))),0)</f>
        <v>6</v>
      </c>
      <c r="E1199" s="17" t="str">
        <f>IF(COUNTIF(Classement!$A:$A,$A1199)&gt;0,"ok","à faire")</f>
        <v>ok</v>
      </c>
      <c r="F1199" s="17" t="str">
        <f>IF(COUNTIF(Tags!$A:$A,$A1199)&gt;0,"ok","à faire")</f>
        <v>ok</v>
      </c>
      <c r="G1199" s="17" t="str">
        <f>IF(COUNTIF(Phrases!$A:$A,$A1199)&gt;0,"ok","à faire")</f>
        <v>à faire</v>
      </c>
      <c r="H1199" s="17" t="str">
        <f>IF(COUNTIFS(Phrases!$A:$A,$A1199,Phrases!$I:$I,"&lt;&gt;")&gt;0,"ok","à faire")</f>
        <v>à faire</v>
      </c>
      <c r="I1199" s="17" t="str">
        <f>IF(COUNTIF(Synonymes!$A:$A,$A1199)&gt;0,"ok","")</f>
        <v/>
      </c>
      <c r="J1199" s="17">
        <f t="shared" si="18"/>
        <v>2</v>
      </c>
    </row>
    <row r="1200" spans="1:10" x14ac:dyDescent="0.3">
      <c r="A1200" s="17" t="s">
        <v>6605</v>
      </c>
      <c r="B1200" s="17" t="str">
        <f>IFERROR(INDEX(Mots!$B:$B,MATCH($A1200,Mots!$A:$A,0)),"introuvable")</f>
        <v>le volume</v>
      </c>
      <c r="C1200" s="17" t="str">
        <f>IFERROR(INDEX(Mots!$N:$N,MATCH($A1200,Mots!$A:$A,0)),"")</f>
        <v>chose</v>
      </c>
      <c r="D1200" s="17">
        <f>IFERROR(COUNTA(INDEX(Mots!$E:$E,MATCH($A1200,Mots!$A:$A,0)):INDEX(Mots!$K:$K,MATCH($A1200,Mots!$A:$A,0))),0)</f>
        <v>6</v>
      </c>
      <c r="E1200" s="17" t="str">
        <f>IF(COUNTIF(Classement!$A:$A,$A1200)&gt;0,"ok","à faire")</f>
        <v>ok</v>
      </c>
      <c r="F1200" s="17" t="str">
        <f>IF(COUNTIF(Tags!$A:$A,$A1200)&gt;0,"ok","à faire")</f>
        <v>ok</v>
      </c>
      <c r="G1200" s="17" t="str">
        <f>IF(COUNTIF(Phrases!$A:$A,$A1200)&gt;0,"ok","à faire")</f>
        <v>à faire</v>
      </c>
      <c r="H1200" s="17" t="str">
        <f>IF(COUNTIFS(Phrases!$A:$A,$A1200,Phrases!$I:$I,"&lt;&gt;")&gt;0,"ok","à faire")</f>
        <v>à faire</v>
      </c>
      <c r="I1200" s="17" t="str">
        <f>IF(COUNTIF(Synonymes!$A:$A,$A1200)&gt;0,"ok","")</f>
        <v/>
      </c>
      <c r="J1200" s="17">
        <f t="shared" si="18"/>
        <v>2</v>
      </c>
    </row>
    <row r="1201" spans="1:10" x14ac:dyDescent="0.3">
      <c r="A1201" s="17" t="s">
        <v>6608</v>
      </c>
      <c r="B1201" s="17" t="str">
        <f>IFERROR(INDEX(Mots!$B:$B,MATCH($A1201,Mots!$A:$A,0)),"introuvable")</f>
        <v>le voyage</v>
      </c>
      <c r="C1201" s="17" t="str">
        <f>IFERROR(INDEX(Mots!$N:$N,MATCH($A1201,Mots!$A:$A,0)),"")</f>
        <v>lieu</v>
      </c>
      <c r="D1201" s="17">
        <f>IFERROR(COUNTA(INDEX(Mots!$E:$E,MATCH($A1201,Mots!$A:$A,0)):INDEX(Mots!$K:$K,MATCH($A1201,Mots!$A:$A,0))),0)</f>
        <v>1</v>
      </c>
      <c r="E1201" s="17" t="str">
        <f>IF(COUNTIF(Classement!$A:$A,$A1201)&gt;0,"ok","à faire")</f>
        <v>ok</v>
      </c>
      <c r="F1201" s="17" t="str">
        <f>IF(COUNTIF(Tags!$A:$A,$A1201)&gt;0,"ok","à faire")</f>
        <v>à faire</v>
      </c>
      <c r="G1201" s="17" t="str">
        <f>IF(COUNTIF(Phrases!$A:$A,$A1201)&gt;0,"ok","à faire")</f>
        <v>à faire</v>
      </c>
      <c r="H1201" s="17" t="str">
        <f>IF(COUNTIFS(Phrases!$A:$A,$A1201,Phrases!$I:$I,"&lt;&gt;")&gt;0,"ok","à faire")</f>
        <v>à faire</v>
      </c>
      <c r="I1201" s="17" t="str">
        <f>IF(COUNTIF(Synonymes!$A:$A,$A1201)&gt;0,"ok","")</f>
        <v/>
      </c>
      <c r="J1201" s="17">
        <f t="shared" si="18"/>
        <v>3</v>
      </c>
    </row>
    <row r="1202" spans="1:10" x14ac:dyDescent="0.3">
      <c r="A1202" s="17" t="s">
        <v>6612</v>
      </c>
      <c r="B1202" s="17" t="str">
        <f>IFERROR(INDEX(Mots!$B:$B,MATCH($A1202,Mots!$A:$A,0)),"introuvable")</f>
        <v>l'échelle</v>
      </c>
      <c r="C1202" s="17" t="str">
        <f>IFERROR(INDEX(Mots!$N:$N,MATCH($A1202,Mots!$A:$A,0)),"")</f>
        <v>chose</v>
      </c>
      <c r="D1202" s="17">
        <f>IFERROR(COUNTA(INDEX(Mots!$E:$E,MATCH($A1202,Mots!$A:$A,0)):INDEX(Mots!$K:$K,MATCH($A1202,Mots!$A:$A,0))),0)</f>
        <v>5</v>
      </c>
      <c r="E1202" s="17" t="str">
        <f>IF(COUNTIF(Classement!$A:$A,$A1202)&gt;0,"ok","à faire")</f>
        <v>ok</v>
      </c>
      <c r="F1202" s="17" t="str">
        <f>IF(COUNTIF(Tags!$A:$A,$A1202)&gt;0,"ok","à faire")</f>
        <v>ok</v>
      </c>
      <c r="G1202" s="17" t="str">
        <f>IF(COUNTIF(Phrases!$A:$A,$A1202)&gt;0,"ok","à faire")</f>
        <v>à faire</v>
      </c>
      <c r="H1202" s="17" t="str">
        <f>IF(COUNTIFS(Phrases!$A:$A,$A1202,Phrases!$I:$I,"&lt;&gt;")&gt;0,"ok","à faire")</f>
        <v>à faire</v>
      </c>
      <c r="I1202" s="17" t="str">
        <f>IF(COUNTIF(Synonymes!$A:$A,$A1202)&gt;0,"ok","")</f>
        <v/>
      </c>
      <c r="J1202" s="17">
        <f t="shared" si="18"/>
        <v>2</v>
      </c>
    </row>
    <row r="1203" spans="1:10" x14ac:dyDescent="0.3">
      <c r="A1203" s="17" t="s">
        <v>6620</v>
      </c>
      <c r="B1203" s="17" t="str">
        <f>IFERROR(INDEX(Mots!$B:$B,MATCH($A1203,Mots!$A:$A,0)),"introuvable")</f>
        <v>l'éclair</v>
      </c>
      <c r="C1203" s="17" t="str">
        <f>IFERROR(INDEX(Mots!$N:$N,MATCH($A1203,Mots!$A:$A,0)),"")</f>
        <v>chose</v>
      </c>
      <c r="D1203" s="17">
        <f>IFERROR(COUNTA(INDEX(Mots!$E:$E,MATCH($A1203,Mots!$A:$A,0)):INDEX(Mots!$K:$K,MATCH($A1203,Mots!$A:$A,0))),0)</f>
        <v>5</v>
      </c>
      <c r="E1203" s="17" t="str">
        <f>IF(COUNTIF(Classement!$A:$A,$A1203)&gt;0,"ok","à faire")</f>
        <v>ok</v>
      </c>
      <c r="F1203" s="17" t="str">
        <f>IF(COUNTIF(Tags!$A:$A,$A1203)&gt;0,"ok","à faire")</f>
        <v>ok</v>
      </c>
      <c r="G1203" s="17" t="str">
        <f>IF(COUNTIF(Phrases!$A:$A,$A1203)&gt;0,"ok","à faire")</f>
        <v>à faire</v>
      </c>
      <c r="H1203" s="17" t="str">
        <f>IF(COUNTIFS(Phrases!$A:$A,$A1203,Phrases!$I:$I,"&lt;&gt;")&gt;0,"ok","à faire")</f>
        <v>à faire</v>
      </c>
      <c r="I1203" s="17" t="str">
        <f>IF(COUNTIF(Synonymes!$A:$A,$A1203)&gt;0,"ok","")</f>
        <v/>
      </c>
      <c r="J1203" s="17">
        <f t="shared" si="18"/>
        <v>2</v>
      </c>
    </row>
    <row r="1204" spans="1:10" x14ac:dyDescent="0.3">
      <c r="A1204" s="17" t="s">
        <v>6628</v>
      </c>
      <c r="B1204" s="17" t="str">
        <f>IFERROR(INDEX(Mots!$B:$B,MATCH($A1204,Mots!$A:$A,0)),"introuvable")</f>
        <v>l'école</v>
      </c>
      <c r="C1204" s="17" t="str">
        <f>IFERROR(INDEX(Mots!$N:$N,MATCH($A1204,Mots!$A:$A,0)),"")</f>
        <v>lieu</v>
      </c>
      <c r="D1204" s="17">
        <f>IFERROR(COUNTA(INDEX(Mots!$E:$E,MATCH($A1204,Mots!$A:$A,0)):INDEX(Mots!$K:$K,MATCH($A1204,Mots!$A:$A,0))),0)</f>
        <v>5</v>
      </c>
      <c r="E1204" s="17" t="str">
        <f>IF(COUNTIF(Classement!$A:$A,$A1204)&gt;0,"ok","à faire")</f>
        <v>ok</v>
      </c>
      <c r="F1204" s="17" t="str">
        <f>IF(COUNTIF(Tags!$A:$A,$A1204)&gt;0,"ok","à faire")</f>
        <v>ok</v>
      </c>
      <c r="G1204" s="17" t="str">
        <f>IF(COUNTIF(Phrases!$A:$A,$A1204)&gt;0,"ok","à faire")</f>
        <v>à faire</v>
      </c>
      <c r="H1204" s="17" t="str">
        <f>IF(COUNTIFS(Phrases!$A:$A,$A1204,Phrases!$I:$I,"&lt;&gt;")&gt;0,"ok","à faire")</f>
        <v>à faire</v>
      </c>
      <c r="I1204" s="17" t="str">
        <f>IF(COUNTIF(Synonymes!$A:$A,$A1204)&gt;0,"ok","")</f>
        <v/>
      </c>
      <c r="J1204" s="17">
        <f t="shared" si="18"/>
        <v>2</v>
      </c>
    </row>
    <row r="1205" spans="1:10" x14ac:dyDescent="0.3">
      <c r="A1205" s="17" t="s">
        <v>6636</v>
      </c>
      <c r="B1205" s="17" t="str">
        <f>IFERROR(INDEX(Mots!$B:$B,MATCH($A1205,Mots!$A:$A,0)),"introuvable")</f>
        <v>l'économie</v>
      </c>
      <c r="C1205" s="17" t="str">
        <f>IFERROR(INDEX(Mots!$N:$N,MATCH($A1205,Mots!$A:$A,0)),"")</f>
        <v>chose</v>
      </c>
      <c r="D1205" s="17">
        <f>IFERROR(COUNTA(INDEX(Mots!$E:$E,MATCH($A1205,Mots!$A:$A,0)):INDEX(Mots!$K:$K,MATCH($A1205,Mots!$A:$A,0))),0)</f>
        <v>1</v>
      </c>
      <c r="E1205" s="17" t="str">
        <f>IF(COUNTIF(Classement!$A:$A,$A1205)&gt;0,"ok","à faire")</f>
        <v>ok</v>
      </c>
      <c r="F1205" s="17" t="str">
        <f>IF(COUNTIF(Tags!$A:$A,$A1205)&gt;0,"ok","à faire")</f>
        <v>ok</v>
      </c>
      <c r="G1205" s="17" t="str">
        <f>IF(COUNTIF(Phrases!$A:$A,$A1205)&gt;0,"ok","à faire")</f>
        <v>à faire</v>
      </c>
      <c r="H1205" s="17" t="str">
        <f>IF(COUNTIFS(Phrases!$A:$A,$A1205,Phrases!$I:$I,"&lt;&gt;")&gt;0,"ok","à faire")</f>
        <v>à faire</v>
      </c>
      <c r="I1205" s="17" t="str">
        <f>IF(COUNTIF(Synonymes!$A:$A,$A1205)&gt;0,"ok","")</f>
        <v>ok</v>
      </c>
      <c r="J1205" s="17">
        <f t="shared" si="18"/>
        <v>2</v>
      </c>
    </row>
    <row r="1206" spans="1:10" x14ac:dyDescent="0.3">
      <c r="A1206" s="17" t="s">
        <v>6640</v>
      </c>
      <c r="B1206" s="17" t="str">
        <f>IFERROR(INDEX(Mots!$B:$B,MATCH($A1206,Mots!$A:$A,0)),"introuvable")</f>
        <v>l'écorce</v>
      </c>
      <c r="C1206" s="17" t="str">
        <f>IFERROR(INDEX(Mots!$N:$N,MATCH($A1206,Mots!$A:$A,0)),"")</f>
        <v>chose</v>
      </c>
      <c r="D1206" s="17">
        <f>IFERROR(COUNTA(INDEX(Mots!$E:$E,MATCH($A1206,Mots!$A:$A,0)):INDEX(Mots!$K:$K,MATCH($A1206,Mots!$A:$A,0))),0)</f>
        <v>5</v>
      </c>
      <c r="E1206" s="17" t="str">
        <f>IF(COUNTIF(Classement!$A:$A,$A1206)&gt;0,"ok","à faire")</f>
        <v>ok</v>
      </c>
      <c r="F1206" s="17" t="str">
        <f>IF(COUNTIF(Tags!$A:$A,$A1206)&gt;0,"ok","à faire")</f>
        <v>ok</v>
      </c>
      <c r="G1206" s="17" t="str">
        <f>IF(COUNTIF(Phrases!$A:$A,$A1206)&gt;0,"ok","à faire")</f>
        <v>à faire</v>
      </c>
      <c r="H1206" s="17" t="str">
        <f>IF(COUNTIFS(Phrases!$A:$A,$A1206,Phrases!$I:$I,"&lt;&gt;")&gt;0,"ok","à faire")</f>
        <v>à faire</v>
      </c>
      <c r="I1206" s="17" t="str">
        <f>IF(COUNTIF(Synonymes!$A:$A,$A1206)&gt;0,"ok","")</f>
        <v/>
      </c>
      <c r="J1206" s="17">
        <f t="shared" si="18"/>
        <v>2</v>
      </c>
    </row>
    <row r="1207" spans="1:10" x14ac:dyDescent="0.3">
      <c r="A1207" s="17" t="s">
        <v>6648</v>
      </c>
      <c r="B1207" s="17" t="str">
        <f>IFERROR(INDEX(Mots!$B:$B,MATCH($A1207,Mots!$A:$A,0)),"introuvable")</f>
        <v>l'écran</v>
      </c>
      <c r="C1207" s="17" t="str">
        <f>IFERROR(INDEX(Mots!$N:$N,MATCH($A1207,Mots!$A:$A,0)),"")</f>
        <v>chose</v>
      </c>
      <c r="D1207" s="17">
        <f>IFERROR(COUNTA(INDEX(Mots!$E:$E,MATCH($A1207,Mots!$A:$A,0)):INDEX(Mots!$K:$K,MATCH($A1207,Mots!$A:$A,0))),0)</f>
        <v>5</v>
      </c>
      <c r="E1207" s="17" t="str">
        <f>IF(COUNTIF(Classement!$A:$A,$A1207)&gt;0,"ok","à faire")</f>
        <v>ok</v>
      </c>
      <c r="F1207" s="17" t="str">
        <f>IF(COUNTIF(Tags!$A:$A,$A1207)&gt;0,"ok","à faire")</f>
        <v>à faire</v>
      </c>
      <c r="G1207" s="17" t="str">
        <f>IF(COUNTIF(Phrases!$A:$A,$A1207)&gt;0,"ok","à faire")</f>
        <v>à faire</v>
      </c>
      <c r="H1207" s="17" t="str">
        <f>IF(COUNTIFS(Phrases!$A:$A,$A1207,Phrases!$I:$I,"&lt;&gt;")&gt;0,"ok","à faire")</f>
        <v>à faire</v>
      </c>
      <c r="I1207" s="17" t="str">
        <f>IF(COUNTIF(Synonymes!$A:$A,$A1207)&gt;0,"ok","")</f>
        <v/>
      </c>
      <c r="J1207" s="17">
        <f t="shared" si="18"/>
        <v>3</v>
      </c>
    </row>
    <row r="1208" spans="1:10" x14ac:dyDescent="0.3">
      <c r="A1208" s="17" t="s">
        <v>6656</v>
      </c>
      <c r="B1208" s="17" t="str">
        <f>IFERROR(INDEX(Mots!$B:$B,MATCH($A1208,Mots!$A:$A,0)),"introuvable")</f>
        <v>l'effort</v>
      </c>
      <c r="C1208" s="17" t="str">
        <f>IFERROR(INDEX(Mots!$N:$N,MATCH($A1208,Mots!$A:$A,0)),"")</f>
        <v>chose</v>
      </c>
      <c r="D1208" s="17">
        <f>IFERROR(COUNTA(INDEX(Mots!$E:$E,MATCH($A1208,Mots!$A:$A,0)):INDEX(Mots!$K:$K,MATCH($A1208,Mots!$A:$A,0))),0)</f>
        <v>5</v>
      </c>
      <c r="E1208" s="17" t="str">
        <f>IF(COUNTIF(Classement!$A:$A,$A1208)&gt;0,"ok","à faire")</f>
        <v>ok</v>
      </c>
      <c r="F1208" s="17" t="str">
        <f>IF(COUNTIF(Tags!$A:$A,$A1208)&gt;0,"ok","à faire")</f>
        <v>à faire</v>
      </c>
      <c r="G1208" s="17" t="str">
        <f>IF(COUNTIF(Phrases!$A:$A,$A1208)&gt;0,"ok","à faire")</f>
        <v>à faire</v>
      </c>
      <c r="H1208" s="17" t="str">
        <f>IF(COUNTIFS(Phrases!$A:$A,$A1208,Phrases!$I:$I,"&lt;&gt;")&gt;0,"ok","à faire")</f>
        <v>à faire</v>
      </c>
      <c r="I1208" s="17" t="str">
        <f>IF(COUNTIF(Synonymes!$A:$A,$A1208)&gt;0,"ok","")</f>
        <v/>
      </c>
      <c r="J1208" s="17">
        <f t="shared" si="18"/>
        <v>3</v>
      </c>
    </row>
    <row r="1209" spans="1:10" x14ac:dyDescent="0.3">
      <c r="A1209" s="17" t="s">
        <v>6662</v>
      </c>
      <c r="B1209" s="17" t="str">
        <f>IFERROR(INDEX(Mots!$B:$B,MATCH($A1209,Mots!$A:$A,0)),"introuvable")</f>
        <v>l'élève</v>
      </c>
      <c r="C1209" s="17" t="str">
        <f>IFERROR(INDEX(Mots!$N:$N,MATCH($A1209,Mots!$A:$A,0)),"")</f>
        <v>chose</v>
      </c>
      <c r="D1209" s="17">
        <f>IFERROR(COUNTA(INDEX(Mots!$E:$E,MATCH($A1209,Mots!$A:$A,0)):INDEX(Mots!$K:$K,MATCH($A1209,Mots!$A:$A,0))),0)</f>
        <v>5</v>
      </c>
      <c r="E1209" s="17" t="str">
        <f>IF(COUNTIF(Classement!$A:$A,$A1209)&gt;0,"ok","à faire")</f>
        <v>ok</v>
      </c>
      <c r="F1209" s="17" t="str">
        <f>IF(COUNTIF(Tags!$A:$A,$A1209)&gt;0,"ok","à faire")</f>
        <v>ok</v>
      </c>
      <c r="G1209" s="17" t="str">
        <f>IF(COUNTIF(Phrases!$A:$A,$A1209)&gt;0,"ok","à faire")</f>
        <v>à faire</v>
      </c>
      <c r="H1209" s="17" t="str">
        <f>IF(COUNTIFS(Phrases!$A:$A,$A1209,Phrases!$I:$I,"&lt;&gt;")&gt;0,"ok","à faire")</f>
        <v>à faire</v>
      </c>
      <c r="I1209" s="17" t="str">
        <f>IF(COUNTIF(Synonymes!$A:$A,$A1209)&gt;0,"ok","")</f>
        <v/>
      </c>
      <c r="J1209" s="17">
        <f t="shared" si="18"/>
        <v>2</v>
      </c>
    </row>
    <row r="1210" spans="1:10" x14ac:dyDescent="0.3">
      <c r="A1210" s="17" t="s">
        <v>6670</v>
      </c>
      <c r="B1210" s="17" t="str">
        <f>IFERROR(INDEX(Mots!$B:$B,MATCH($A1210,Mots!$A:$A,0)),"introuvable")</f>
        <v>l'endroit</v>
      </c>
      <c r="C1210" s="17" t="str">
        <f>IFERROR(INDEX(Mots!$N:$N,MATCH($A1210,Mots!$A:$A,0)),"")</f>
        <v>lieu</v>
      </c>
      <c r="D1210" s="17">
        <f>IFERROR(COUNTA(INDEX(Mots!$E:$E,MATCH($A1210,Mots!$A:$A,0)):INDEX(Mots!$K:$K,MATCH($A1210,Mots!$A:$A,0))),0)</f>
        <v>1</v>
      </c>
      <c r="E1210" s="17" t="str">
        <f>IF(COUNTIF(Classement!$A:$A,$A1210)&gt;0,"ok","à faire")</f>
        <v>ok</v>
      </c>
      <c r="F1210" s="17" t="str">
        <f>IF(COUNTIF(Tags!$A:$A,$A1210)&gt;0,"ok","à faire")</f>
        <v>à faire</v>
      </c>
      <c r="G1210" s="17" t="str">
        <f>IF(COUNTIF(Phrases!$A:$A,$A1210)&gt;0,"ok","à faire")</f>
        <v>à faire</v>
      </c>
      <c r="H1210" s="17" t="str">
        <f>IF(COUNTIFS(Phrases!$A:$A,$A1210,Phrases!$I:$I,"&lt;&gt;")&gt;0,"ok","à faire")</f>
        <v>à faire</v>
      </c>
      <c r="I1210" s="17" t="str">
        <f>IF(COUNTIF(Synonymes!$A:$A,$A1210)&gt;0,"ok","")</f>
        <v>ok</v>
      </c>
      <c r="J1210" s="17">
        <f t="shared" si="18"/>
        <v>3</v>
      </c>
    </row>
    <row r="1211" spans="1:10" x14ac:dyDescent="0.3">
      <c r="A1211" s="17" t="s">
        <v>6674</v>
      </c>
      <c r="B1211" s="17" t="str">
        <f>IFERROR(INDEX(Mots!$B:$B,MATCH($A1211,Mots!$A:$A,0)),"introuvable")</f>
        <v>l'engin</v>
      </c>
      <c r="C1211" s="17" t="str">
        <f>IFERROR(INDEX(Mots!$N:$N,MATCH($A1211,Mots!$A:$A,0)),"")</f>
        <v>chose</v>
      </c>
      <c r="D1211" s="17">
        <f>IFERROR(COUNTA(INDEX(Mots!$E:$E,MATCH($A1211,Mots!$A:$A,0)):INDEX(Mots!$K:$K,MATCH($A1211,Mots!$A:$A,0))),0)</f>
        <v>4</v>
      </c>
      <c r="E1211" s="17" t="str">
        <f>IF(COUNTIF(Classement!$A:$A,$A1211)&gt;0,"ok","à faire")</f>
        <v>ok</v>
      </c>
      <c r="F1211" s="17" t="str">
        <f>IF(COUNTIF(Tags!$A:$A,$A1211)&gt;0,"ok","à faire")</f>
        <v>ok</v>
      </c>
      <c r="G1211" s="17" t="str">
        <f>IF(COUNTIF(Phrases!$A:$A,$A1211)&gt;0,"ok","à faire")</f>
        <v>à faire</v>
      </c>
      <c r="H1211" s="17" t="str">
        <f>IF(COUNTIFS(Phrases!$A:$A,$A1211,Phrases!$I:$I,"&lt;&gt;")&gt;0,"ok","à faire")</f>
        <v>à faire</v>
      </c>
      <c r="I1211" s="17" t="str">
        <f>IF(COUNTIF(Synonymes!$A:$A,$A1211)&gt;0,"ok","")</f>
        <v/>
      </c>
      <c r="J1211" s="17">
        <f t="shared" si="18"/>
        <v>2</v>
      </c>
    </row>
    <row r="1212" spans="1:10" x14ac:dyDescent="0.3">
      <c r="A1212" s="17" t="s">
        <v>6680</v>
      </c>
      <c r="B1212" s="17" t="str">
        <f>IFERROR(INDEX(Mots!$B:$B,MATCH($A1212,Mots!$A:$A,0)),"introuvable")</f>
        <v>l'ennui</v>
      </c>
      <c r="C1212" s="17" t="str">
        <f>IFERROR(INDEX(Mots!$N:$N,MATCH($A1212,Mots!$A:$A,0)),"")</f>
        <v>sentiment</v>
      </c>
      <c r="D1212" s="17">
        <f>IFERROR(COUNTA(INDEX(Mots!$E:$E,MATCH($A1212,Mots!$A:$A,0)):INDEX(Mots!$K:$K,MATCH($A1212,Mots!$A:$A,0))),0)</f>
        <v>1</v>
      </c>
      <c r="E1212" s="17" t="str">
        <f>IF(COUNTIF(Classement!$A:$A,$A1212)&gt;0,"ok","à faire")</f>
        <v>ok</v>
      </c>
      <c r="F1212" s="17" t="str">
        <f>IF(COUNTIF(Tags!$A:$A,$A1212)&gt;0,"ok","à faire")</f>
        <v>ok</v>
      </c>
      <c r="G1212" s="17" t="str">
        <f>IF(COUNTIF(Phrases!$A:$A,$A1212)&gt;0,"ok","à faire")</f>
        <v>à faire</v>
      </c>
      <c r="H1212" s="17" t="str">
        <f>IF(COUNTIFS(Phrases!$A:$A,$A1212,Phrases!$I:$I,"&lt;&gt;")&gt;0,"ok","à faire")</f>
        <v>à faire</v>
      </c>
      <c r="I1212" s="17" t="str">
        <f>IF(COUNTIF(Synonymes!$A:$A,$A1212)&gt;0,"ok","")</f>
        <v/>
      </c>
      <c r="J1212" s="17">
        <f t="shared" si="18"/>
        <v>2</v>
      </c>
    </row>
    <row r="1213" spans="1:10" x14ac:dyDescent="0.3">
      <c r="A1213" s="17" t="s">
        <v>6684</v>
      </c>
      <c r="B1213" s="17" t="str">
        <f>IFERROR(INDEX(Mots!$B:$B,MATCH($A1213,Mots!$A:$A,0)),"introuvable")</f>
        <v>l'entraide</v>
      </c>
      <c r="C1213" s="17" t="str">
        <f>IFERROR(INDEX(Mots!$N:$N,MATCH($A1213,Mots!$A:$A,0)),"")</f>
        <v>chose</v>
      </c>
      <c r="D1213" s="17">
        <f>IFERROR(COUNTA(INDEX(Mots!$E:$E,MATCH($A1213,Mots!$A:$A,0)):INDEX(Mots!$K:$K,MATCH($A1213,Mots!$A:$A,0))),0)</f>
        <v>5</v>
      </c>
      <c r="E1213" s="17" t="str">
        <f>IF(COUNTIF(Classement!$A:$A,$A1213)&gt;0,"ok","à faire")</f>
        <v>ok</v>
      </c>
      <c r="F1213" s="17" t="str">
        <f>IF(COUNTIF(Tags!$A:$A,$A1213)&gt;0,"ok","à faire")</f>
        <v>ok</v>
      </c>
      <c r="G1213" s="17" t="str">
        <f>IF(COUNTIF(Phrases!$A:$A,$A1213)&gt;0,"ok","à faire")</f>
        <v>à faire</v>
      </c>
      <c r="H1213" s="17" t="str">
        <f>IF(COUNTIFS(Phrases!$A:$A,$A1213,Phrases!$I:$I,"&lt;&gt;")&gt;0,"ok","à faire")</f>
        <v>à faire</v>
      </c>
      <c r="I1213" s="17" t="str">
        <f>IF(COUNTIF(Synonymes!$A:$A,$A1213)&gt;0,"ok","")</f>
        <v/>
      </c>
      <c r="J1213" s="17">
        <f t="shared" si="18"/>
        <v>2</v>
      </c>
    </row>
    <row r="1214" spans="1:10" x14ac:dyDescent="0.3">
      <c r="A1214" s="17" t="s">
        <v>319</v>
      </c>
      <c r="B1214" s="17" t="str">
        <f>IFERROR(INDEX(Mots!$B:$B,MATCH($A1214,Mots!$A:$A,0)),"introuvable")</f>
        <v>l'entretien</v>
      </c>
      <c r="C1214" s="17" t="str">
        <f>IFERROR(INDEX(Mots!$N:$N,MATCH($A1214,Mots!$A:$A,0)),"")</f>
        <v>chose</v>
      </c>
      <c r="D1214" s="17">
        <f>IFERROR(COUNTA(INDEX(Mots!$E:$E,MATCH($A1214,Mots!$A:$A,0)):INDEX(Mots!$K:$K,MATCH($A1214,Mots!$A:$A,0))),0)</f>
        <v>1</v>
      </c>
      <c r="E1214" s="17" t="str">
        <f>IF(COUNTIF(Classement!$A:$A,$A1214)&gt;0,"ok","à faire")</f>
        <v>ok</v>
      </c>
      <c r="F1214" s="17" t="str">
        <f>IF(COUNTIF(Tags!$A:$A,$A1214)&gt;0,"ok","à faire")</f>
        <v>ok</v>
      </c>
      <c r="G1214" s="17" t="str">
        <f>IF(COUNTIF(Phrases!$A:$A,$A1214)&gt;0,"ok","à faire")</f>
        <v>à faire</v>
      </c>
      <c r="H1214" s="17" t="str">
        <f>IF(COUNTIFS(Phrases!$A:$A,$A1214,Phrases!$I:$I,"&lt;&gt;")&gt;0,"ok","à faire")</f>
        <v>à faire</v>
      </c>
      <c r="I1214" s="17" t="str">
        <f>IF(COUNTIF(Synonymes!$A:$A,$A1214)&gt;0,"ok","")</f>
        <v/>
      </c>
      <c r="J1214" s="17">
        <f t="shared" si="18"/>
        <v>2</v>
      </c>
    </row>
    <row r="1215" spans="1:10" x14ac:dyDescent="0.3">
      <c r="A1215" s="17" t="s">
        <v>6690</v>
      </c>
      <c r="B1215" s="17" t="str">
        <f>IFERROR(INDEX(Mots!$B:$B,MATCH($A1215,Mots!$A:$A,0)),"introuvable")</f>
        <v>l'enveloppe</v>
      </c>
      <c r="C1215" s="17" t="str">
        <f>IFERROR(INDEX(Mots!$N:$N,MATCH($A1215,Mots!$A:$A,0)),"")</f>
        <v>chose</v>
      </c>
      <c r="D1215" s="17">
        <f>IFERROR(COUNTA(INDEX(Mots!$E:$E,MATCH($A1215,Mots!$A:$A,0)):INDEX(Mots!$K:$K,MATCH($A1215,Mots!$A:$A,0))),0)</f>
        <v>5</v>
      </c>
      <c r="E1215" s="17" t="str">
        <f>IF(COUNTIF(Classement!$A:$A,$A1215)&gt;0,"ok","à faire")</f>
        <v>ok</v>
      </c>
      <c r="F1215" s="17" t="str">
        <f>IF(COUNTIF(Tags!$A:$A,$A1215)&gt;0,"ok","à faire")</f>
        <v>ok</v>
      </c>
      <c r="G1215" s="17" t="str">
        <f>IF(COUNTIF(Phrases!$A:$A,$A1215)&gt;0,"ok","à faire")</f>
        <v>à faire</v>
      </c>
      <c r="H1215" s="17" t="str">
        <f>IF(COUNTIFS(Phrases!$A:$A,$A1215,Phrases!$I:$I,"&lt;&gt;")&gt;0,"ok","à faire")</f>
        <v>à faire</v>
      </c>
      <c r="I1215" s="17" t="str">
        <f>IF(COUNTIF(Synonymes!$A:$A,$A1215)&gt;0,"ok","")</f>
        <v/>
      </c>
      <c r="J1215" s="17">
        <f t="shared" si="18"/>
        <v>2</v>
      </c>
    </row>
    <row r="1216" spans="1:10" x14ac:dyDescent="0.3">
      <c r="A1216" s="17" t="s">
        <v>6698</v>
      </c>
      <c r="B1216" s="17" t="str">
        <f>IFERROR(INDEX(Mots!$B:$B,MATCH($A1216,Mots!$A:$A,0)),"introuvable")</f>
        <v>l'envie</v>
      </c>
      <c r="C1216" s="17" t="str">
        <f>IFERROR(INDEX(Mots!$N:$N,MATCH($A1216,Mots!$A:$A,0)),"")</f>
        <v>chose</v>
      </c>
      <c r="D1216" s="17">
        <f>IFERROR(COUNTA(INDEX(Mots!$E:$E,MATCH($A1216,Mots!$A:$A,0)):INDEX(Mots!$K:$K,MATCH($A1216,Mots!$A:$A,0))),0)</f>
        <v>2</v>
      </c>
      <c r="E1216" s="17" t="str">
        <f>IF(COUNTIF(Classement!$A:$A,$A1216)&gt;0,"ok","à faire")</f>
        <v>ok</v>
      </c>
      <c r="F1216" s="17" t="str">
        <f>IF(COUNTIF(Tags!$A:$A,$A1216)&gt;0,"ok","à faire")</f>
        <v>à faire</v>
      </c>
      <c r="G1216" s="17" t="str">
        <f>IF(COUNTIF(Phrases!$A:$A,$A1216)&gt;0,"ok","à faire")</f>
        <v>à faire</v>
      </c>
      <c r="H1216" s="17" t="str">
        <f>IF(COUNTIFS(Phrases!$A:$A,$A1216,Phrases!$I:$I,"&lt;&gt;")&gt;0,"ok","à faire")</f>
        <v>à faire</v>
      </c>
      <c r="I1216" s="17" t="str">
        <f>IF(COUNTIF(Synonymes!$A:$A,$A1216)&gt;0,"ok","")</f>
        <v>ok</v>
      </c>
      <c r="J1216" s="17">
        <f t="shared" si="18"/>
        <v>3</v>
      </c>
    </row>
    <row r="1217" spans="1:10" x14ac:dyDescent="0.3">
      <c r="A1217" s="17" t="s">
        <v>6703</v>
      </c>
      <c r="B1217" s="17" t="str">
        <f>IFERROR(INDEX(Mots!$B:$B,MATCH($A1217,Mots!$A:$A,0)),"introuvable")</f>
        <v>l'environnement</v>
      </c>
      <c r="C1217" s="17" t="str">
        <f>IFERROR(INDEX(Mots!$N:$N,MATCH($A1217,Mots!$A:$A,0)),"")</f>
        <v>chose</v>
      </c>
      <c r="D1217" s="17">
        <f>IFERROR(COUNTA(INDEX(Mots!$E:$E,MATCH($A1217,Mots!$A:$A,0)):INDEX(Mots!$K:$K,MATCH($A1217,Mots!$A:$A,0))),0)</f>
        <v>6</v>
      </c>
      <c r="E1217" s="17" t="str">
        <f>IF(COUNTIF(Classement!$A:$A,$A1217)&gt;0,"ok","à faire")</f>
        <v>ok</v>
      </c>
      <c r="F1217" s="17" t="str">
        <f>IF(COUNTIF(Tags!$A:$A,$A1217)&gt;0,"ok","à faire")</f>
        <v>ok</v>
      </c>
      <c r="G1217" s="17" t="str">
        <f>IF(COUNTIF(Phrases!$A:$A,$A1217)&gt;0,"ok","à faire")</f>
        <v>à faire</v>
      </c>
      <c r="H1217" s="17" t="str">
        <f>IF(COUNTIFS(Phrases!$A:$A,$A1217,Phrases!$I:$I,"&lt;&gt;")&gt;0,"ok","à faire")</f>
        <v>à faire</v>
      </c>
      <c r="I1217" s="17" t="str">
        <f>IF(COUNTIF(Synonymes!$A:$A,$A1217)&gt;0,"ok","")</f>
        <v/>
      </c>
      <c r="J1217" s="17">
        <f t="shared" ref="J1217:J1280" si="19">COUNTIF(E1217:H1217,"à faire")</f>
        <v>2</v>
      </c>
    </row>
    <row r="1218" spans="1:10" x14ac:dyDescent="0.3">
      <c r="A1218" s="17" t="s">
        <v>6712</v>
      </c>
      <c r="B1218" s="17" t="str">
        <f>IFERROR(INDEX(Mots!$B:$B,MATCH($A1218,Mots!$A:$A,0)),"introuvable")</f>
        <v>l'épice</v>
      </c>
      <c r="C1218" s="17" t="str">
        <f>IFERROR(INDEX(Mots!$N:$N,MATCH($A1218,Mots!$A:$A,0)),"")</f>
        <v>chose</v>
      </c>
      <c r="D1218" s="17">
        <f>IFERROR(COUNTA(INDEX(Mots!$E:$E,MATCH($A1218,Mots!$A:$A,0)):INDEX(Mots!$K:$K,MATCH($A1218,Mots!$A:$A,0))),0)</f>
        <v>4</v>
      </c>
      <c r="E1218" s="17" t="str">
        <f>IF(COUNTIF(Classement!$A:$A,$A1218)&gt;0,"ok","à faire")</f>
        <v>ok</v>
      </c>
      <c r="F1218" s="17" t="str">
        <f>IF(COUNTIF(Tags!$A:$A,$A1218)&gt;0,"ok","à faire")</f>
        <v>ok</v>
      </c>
      <c r="G1218" s="17" t="str">
        <f>IF(COUNTIF(Phrases!$A:$A,$A1218)&gt;0,"ok","à faire")</f>
        <v>à faire</v>
      </c>
      <c r="H1218" s="17" t="str">
        <f>IF(COUNTIFS(Phrases!$A:$A,$A1218,Phrases!$I:$I,"&lt;&gt;")&gt;0,"ok","à faire")</f>
        <v>à faire</v>
      </c>
      <c r="I1218" s="17" t="str">
        <f>IF(COUNTIF(Synonymes!$A:$A,$A1218)&gt;0,"ok","")</f>
        <v/>
      </c>
      <c r="J1218" s="17">
        <f t="shared" si="19"/>
        <v>2</v>
      </c>
    </row>
    <row r="1219" spans="1:10" x14ac:dyDescent="0.3">
      <c r="A1219" s="17" t="s">
        <v>6715</v>
      </c>
      <c r="B1219" s="17" t="str">
        <f>IFERROR(INDEX(Mots!$B:$B,MATCH($A1219,Mots!$A:$A,0)),"introuvable")</f>
        <v>l'erreur</v>
      </c>
      <c r="C1219" s="17" t="str">
        <f>IFERROR(INDEX(Mots!$N:$N,MATCH($A1219,Mots!$A:$A,0)),"")</f>
        <v>chose</v>
      </c>
      <c r="D1219" s="17">
        <f>IFERROR(COUNTA(INDEX(Mots!$E:$E,MATCH($A1219,Mots!$A:$A,0)):INDEX(Mots!$K:$K,MATCH($A1219,Mots!$A:$A,0))),0)</f>
        <v>2</v>
      </c>
      <c r="E1219" s="17" t="str">
        <f>IF(COUNTIF(Classement!$A:$A,$A1219)&gt;0,"ok","à faire")</f>
        <v>ok</v>
      </c>
      <c r="F1219" s="17" t="str">
        <f>IF(COUNTIF(Tags!$A:$A,$A1219)&gt;0,"ok","à faire")</f>
        <v>à faire</v>
      </c>
      <c r="G1219" s="17" t="str">
        <f>IF(COUNTIF(Phrases!$A:$A,$A1219)&gt;0,"ok","à faire")</f>
        <v>à faire</v>
      </c>
      <c r="H1219" s="17" t="str">
        <f>IF(COUNTIFS(Phrases!$A:$A,$A1219,Phrases!$I:$I,"&lt;&gt;")&gt;0,"ok","à faire")</f>
        <v>à faire</v>
      </c>
      <c r="I1219" s="17" t="str">
        <f>IF(COUNTIF(Synonymes!$A:$A,$A1219)&gt;0,"ok","")</f>
        <v>ok</v>
      </c>
      <c r="J1219" s="17">
        <f t="shared" si="19"/>
        <v>3</v>
      </c>
    </row>
    <row r="1220" spans="1:10" x14ac:dyDescent="0.3">
      <c r="A1220" s="17" t="s">
        <v>6718</v>
      </c>
      <c r="B1220" s="17" t="str">
        <f>IFERROR(INDEX(Mots!$B:$B,MATCH($A1220,Mots!$A:$A,0)),"introuvable")</f>
        <v>les ciseaux</v>
      </c>
      <c r="C1220" s="17" t="str">
        <f>IFERROR(INDEX(Mots!$N:$N,MATCH($A1220,Mots!$A:$A,0)),"")</f>
        <v>chose</v>
      </c>
      <c r="D1220" s="17">
        <f>IFERROR(COUNTA(INDEX(Mots!$E:$E,MATCH($A1220,Mots!$A:$A,0)):INDEX(Mots!$K:$K,MATCH($A1220,Mots!$A:$A,0))),0)</f>
        <v>1</v>
      </c>
      <c r="E1220" s="17" t="str">
        <f>IF(COUNTIF(Classement!$A:$A,$A1220)&gt;0,"ok","à faire")</f>
        <v>ok</v>
      </c>
      <c r="F1220" s="17" t="str">
        <f>IF(COUNTIF(Tags!$A:$A,$A1220)&gt;0,"ok","à faire")</f>
        <v>ok</v>
      </c>
      <c r="G1220" s="17" t="str">
        <f>IF(COUNTIF(Phrases!$A:$A,$A1220)&gt;0,"ok","à faire")</f>
        <v>à faire</v>
      </c>
      <c r="H1220" s="17" t="str">
        <f>IF(COUNTIFS(Phrases!$A:$A,$A1220,Phrases!$I:$I,"&lt;&gt;")&gt;0,"ok","à faire")</f>
        <v>à faire</v>
      </c>
      <c r="I1220" s="17" t="str">
        <f>IF(COUNTIF(Synonymes!$A:$A,$A1220)&gt;0,"ok","")</f>
        <v/>
      </c>
      <c r="J1220" s="17">
        <f t="shared" si="19"/>
        <v>2</v>
      </c>
    </row>
    <row r="1221" spans="1:10" x14ac:dyDescent="0.3">
      <c r="A1221" s="17" t="s">
        <v>6721</v>
      </c>
      <c r="B1221" s="17" t="str">
        <f>IFERROR(INDEX(Mots!$B:$B,MATCH($A1221,Mots!$A:$A,0)),"introuvable")</f>
        <v>les gens</v>
      </c>
      <c r="C1221" s="17" t="str">
        <f>IFERROR(INDEX(Mots!$N:$N,MATCH($A1221,Mots!$A:$A,0)),"")</f>
        <v>chose</v>
      </c>
      <c r="D1221" s="17">
        <f>IFERROR(COUNTA(INDEX(Mots!$E:$E,MATCH($A1221,Mots!$A:$A,0)):INDEX(Mots!$K:$K,MATCH($A1221,Mots!$A:$A,0))),0)</f>
        <v>1</v>
      </c>
      <c r="E1221" s="17" t="str">
        <f>IF(COUNTIF(Classement!$A:$A,$A1221)&gt;0,"ok","à faire")</f>
        <v>ok</v>
      </c>
      <c r="F1221" s="17" t="str">
        <f>IF(COUNTIF(Tags!$A:$A,$A1221)&gt;0,"ok","à faire")</f>
        <v>à faire</v>
      </c>
      <c r="G1221" s="17" t="str">
        <f>IF(COUNTIF(Phrases!$A:$A,$A1221)&gt;0,"ok","à faire")</f>
        <v>à faire</v>
      </c>
      <c r="H1221" s="17" t="str">
        <f>IF(COUNTIFS(Phrases!$A:$A,$A1221,Phrases!$I:$I,"&lt;&gt;")&gt;0,"ok","à faire")</f>
        <v>à faire</v>
      </c>
      <c r="I1221" s="17" t="str">
        <f>IF(COUNTIF(Synonymes!$A:$A,$A1221)&gt;0,"ok","")</f>
        <v>ok</v>
      </c>
      <c r="J1221" s="17">
        <f t="shared" si="19"/>
        <v>3</v>
      </c>
    </row>
    <row r="1222" spans="1:10" x14ac:dyDescent="0.3">
      <c r="A1222" s="17" t="s">
        <v>6725</v>
      </c>
      <c r="B1222" s="17" t="str">
        <f>IFERROR(INDEX(Mots!$B:$B,MATCH($A1222,Mots!$A:$A,0)),"introuvable")</f>
        <v>les jumelles</v>
      </c>
      <c r="C1222" s="17" t="str">
        <f>IFERROR(INDEX(Mots!$N:$N,MATCH($A1222,Mots!$A:$A,0)),"")</f>
        <v>chose</v>
      </c>
      <c r="D1222" s="17">
        <f>IFERROR(COUNTA(INDEX(Mots!$E:$E,MATCH($A1222,Mots!$A:$A,0)):INDEX(Mots!$K:$K,MATCH($A1222,Mots!$A:$A,0))),0)</f>
        <v>5</v>
      </c>
      <c r="E1222" s="17" t="str">
        <f>IF(COUNTIF(Classement!$A:$A,$A1222)&gt;0,"ok","à faire")</f>
        <v>ok</v>
      </c>
      <c r="F1222" s="17" t="str">
        <f>IF(COUNTIF(Tags!$A:$A,$A1222)&gt;0,"ok","à faire")</f>
        <v>ok</v>
      </c>
      <c r="G1222" s="17" t="str">
        <f>IF(COUNTIF(Phrases!$A:$A,$A1222)&gt;0,"ok","à faire")</f>
        <v>à faire</v>
      </c>
      <c r="H1222" s="17" t="str">
        <f>IF(COUNTIFS(Phrases!$A:$A,$A1222,Phrases!$I:$I,"&lt;&gt;")&gt;0,"ok","à faire")</f>
        <v>à faire</v>
      </c>
      <c r="I1222" s="17" t="str">
        <f>IF(COUNTIF(Synonymes!$A:$A,$A1222)&gt;0,"ok","")</f>
        <v/>
      </c>
      <c r="J1222" s="17">
        <f t="shared" si="19"/>
        <v>2</v>
      </c>
    </row>
    <row r="1223" spans="1:10" x14ac:dyDescent="0.3">
      <c r="A1223" s="17" t="s">
        <v>6733</v>
      </c>
      <c r="B1223" s="17" t="str">
        <f>IFERROR(INDEX(Mots!$B:$B,MATCH($A1223,Mots!$A:$A,0)),"introuvable")</f>
        <v>les lunettes</v>
      </c>
      <c r="C1223" s="17" t="str">
        <f>IFERROR(INDEX(Mots!$N:$N,MATCH($A1223,Mots!$A:$A,0)),"")</f>
        <v>chose</v>
      </c>
      <c r="D1223" s="17">
        <f>IFERROR(COUNTA(INDEX(Mots!$E:$E,MATCH($A1223,Mots!$A:$A,0)):INDEX(Mots!$K:$K,MATCH($A1223,Mots!$A:$A,0))),0)</f>
        <v>1</v>
      </c>
      <c r="E1223" s="17" t="str">
        <f>IF(COUNTIF(Classement!$A:$A,$A1223)&gt;0,"ok","à faire")</f>
        <v>ok</v>
      </c>
      <c r="F1223" s="17" t="str">
        <f>IF(COUNTIF(Tags!$A:$A,$A1223)&gt;0,"ok","à faire")</f>
        <v>ok</v>
      </c>
      <c r="G1223" s="17" t="str">
        <f>IF(COUNTIF(Phrases!$A:$A,$A1223)&gt;0,"ok","à faire")</f>
        <v>à faire</v>
      </c>
      <c r="H1223" s="17" t="str">
        <f>IF(COUNTIFS(Phrases!$A:$A,$A1223,Phrases!$I:$I,"&lt;&gt;")&gt;0,"ok","à faire")</f>
        <v>à faire</v>
      </c>
      <c r="I1223" s="17" t="str">
        <f>IF(COUNTIF(Synonymes!$A:$A,$A1223)&gt;0,"ok","")</f>
        <v/>
      </c>
      <c r="J1223" s="17">
        <f t="shared" si="19"/>
        <v>2</v>
      </c>
    </row>
    <row r="1224" spans="1:10" x14ac:dyDescent="0.3">
      <c r="A1224" s="17" t="s">
        <v>6737</v>
      </c>
      <c r="B1224" s="17" t="str">
        <f>IFERROR(INDEX(Mots!$B:$B,MATCH($A1224,Mots!$A:$A,0)),"introuvable")</f>
        <v>les vacances</v>
      </c>
      <c r="C1224" s="17" t="str">
        <f>IFERROR(INDEX(Mots!$N:$N,MATCH($A1224,Mots!$A:$A,0)),"")</f>
        <v>chose</v>
      </c>
      <c r="D1224" s="17">
        <f>IFERROR(COUNTA(INDEX(Mots!$E:$E,MATCH($A1224,Mots!$A:$A,0)):INDEX(Mots!$K:$K,MATCH($A1224,Mots!$A:$A,0))),0)</f>
        <v>5</v>
      </c>
      <c r="E1224" s="17" t="str">
        <f>IF(COUNTIF(Classement!$A:$A,$A1224)&gt;0,"ok","à faire")</f>
        <v>ok</v>
      </c>
      <c r="F1224" s="17" t="str">
        <f>IF(COUNTIF(Tags!$A:$A,$A1224)&gt;0,"ok","à faire")</f>
        <v>ok</v>
      </c>
      <c r="G1224" s="17" t="str">
        <f>IF(COUNTIF(Phrases!$A:$A,$A1224)&gt;0,"ok","à faire")</f>
        <v>à faire</v>
      </c>
      <c r="H1224" s="17" t="str">
        <f>IF(COUNTIFS(Phrases!$A:$A,$A1224,Phrases!$I:$I,"&lt;&gt;")&gt;0,"ok","à faire")</f>
        <v>à faire</v>
      </c>
      <c r="I1224" s="17" t="str">
        <f>IF(COUNTIF(Synonymes!$A:$A,$A1224)&gt;0,"ok","")</f>
        <v/>
      </c>
      <c r="J1224" s="17">
        <f t="shared" si="19"/>
        <v>2</v>
      </c>
    </row>
    <row r="1225" spans="1:10" x14ac:dyDescent="0.3">
      <c r="A1225" s="17" t="s">
        <v>6744</v>
      </c>
      <c r="B1225" s="17" t="str">
        <f>IFERROR(INDEX(Mots!$B:$B,MATCH($A1225,Mots!$A:$A,0)),"introuvable")</f>
        <v>l'espace</v>
      </c>
      <c r="C1225" s="17" t="str">
        <f>IFERROR(INDEX(Mots!$N:$N,MATCH($A1225,Mots!$A:$A,0)),"")</f>
        <v>lieu</v>
      </c>
      <c r="D1225" s="17">
        <f>IFERROR(COUNTA(INDEX(Mots!$E:$E,MATCH($A1225,Mots!$A:$A,0)):INDEX(Mots!$K:$K,MATCH($A1225,Mots!$A:$A,0))),0)</f>
        <v>1</v>
      </c>
      <c r="E1225" s="17" t="str">
        <f>IF(COUNTIF(Classement!$A:$A,$A1225)&gt;0,"ok","à faire")</f>
        <v>ok</v>
      </c>
      <c r="F1225" s="17" t="str">
        <f>IF(COUNTIF(Tags!$A:$A,$A1225)&gt;0,"ok","à faire")</f>
        <v>à faire</v>
      </c>
      <c r="G1225" s="17" t="str">
        <f>IF(COUNTIF(Phrases!$A:$A,$A1225)&gt;0,"ok","à faire")</f>
        <v>à faire</v>
      </c>
      <c r="H1225" s="17" t="str">
        <f>IF(COUNTIFS(Phrases!$A:$A,$A1225,Phrases!$I:$I,"&lt;&gt;")&gt;0,"ok","à faire")</f>
        <v>à faire</v>
      </c>
      <c r="I1225" s="17" t="str">
        <f>IF(COUNTIF(Synonymes!$A:$A,$A1225)&gt;0,"ok","")</f>
        <v/>
      </c>
      <c r="J1225" s="17">
        <f t="shared" si="19"/>
        <v>3</v>
      </c>
    </row>
    <row r="1226" spans="1:10" x14ac:dyDescent="0.3">
      <c r="A1226" s="17" t="s">
        <v>6748</v>
      </c>
      <c r="B1226" s="17" t="str">
        <f>IFERROR(INDEX(Mots!$B:$B,MATCH($A1226,Mots!$A:$A,0)),"introuvable")</f>
        <v>l'étagère</v>
      </c>
      <c r="C1226" s="17" t="str">
        <f>IFERROR(INDEX(Mots!$N:$N,MATCH($A1226,Mots!$A:$A,0)),"")</f>
        <v>chose</v>
      </c>
      <c r="D1226" s="17">
        <f>IFERROR(COUNTA(INDEX(Mots!$E:$E,MATCH($A1226,Mots!$A:$A,0)):INDEX(Mots!$K:$K,MATCH($A1226,Mots!$A:$A,0))),0)</f>
        <v>5</v>
      </c>
      <c r="E1226" s="17" t="str">
        <f>IF(COUNTIF(Classement!$A:$A,$A1226)&gt;0,"ok","à faire")</f>
        <v>ok</v>
      </c>
      <c r="F1226" s="17" t="str">
        <f>IF(COUNTIF(Tags!$A:$A,$A1226)&gt;0,"ok","à faire")</f>
        <v>ok</v>
      </c>
      <c r="G1226" s="17" t="str">
        <f>IF(COUNTIF(Phrases!$A:$A,$A1226)&gt;0,"ok","à faire")</f>
        <v>à faire</v>
      </c>
      <c r="H1226" s="17" t="str">
        <f>IF(COUNTIFS(Phrases!$A:$A,$A1226,Phrases!$I:$I,"&lt;&gt;")&gt;0,"ok","à faire")</f>
        <v>à faire</v>
      </c>
      <c r="I1226" s="17" t="str">
        <f>IF(COUNTIF(Synonymes!$A:$A,$A1226)&gt;0,"ok","")</f>
        <v/>
      </c>
      <c r="J1226" s="17">
        <f t="shared" si="19"/>
        <v>2</v>
      </c>
    </row>
    <row r="1227" spans="1:10" x14ac:dyDescent="0.3">
      <c r="A1227" s="17" t="s">
        <v>6756</v>
      </c>
      <c r="B1227" s="17" t="str">
        <f>IFERROR(INDEX(Mots!$B:$B,MATCH($A1227,Mots!$A:$A,0)),"introuvable")</f>
        <v>l'étoile</v>
      </c>
      <c r="C1227" s="17" t="str">
        <f>IFERROR(INDEX(Mots!$N:$N,MATCH($A1227,Mots!$A:$A,0)),"")</f>
        <v>chose</v>
      </c>
      <c r="D1227" s="17">
        <f>IFERROR(COUNTA(INDEX(Mots!$E:$E,MATCH($A1227,Mots!$A:$A,0)):INDEX(Mots!$K:$K,MATCH($A1227,Mots!$A:$A,0))),0)</f>
        <v>5</v>
      </c>
      <c r="E1227" s="17" t="str">
        <f>IF(COUNTIF(Classement!$A:$A,$A1227)&gt;0,"ok","à faire")</f>
        <v>ok</v>
      </c>
      <c r="F1227" s="17" t="str">
        <f>IF(COUNTIF(Tags!$A:$A,$A1227)&gt;0,"ok","à faire")</f>
        <v>ok</v>
      </c>
      <c r="G1227" s="17" t="str">
        <f>IF(COUNTIF(Phrases!$A:$A,$A1227)&gt;0,"ok","à faire")</f>
        <v>à faire</v>
      </c>
      <c r="H1227" s="17" t="str">
        <f>IF(COUNTIFS(Phrases!$A:$A,$A1227,Phrases!$I:$I,"&lt;&gt;")&gt;0,"ok","à faire")</f>
        <v>à faire</v>
      </c>
      <c r="I1227" s="17" t="str">
        <f>IF(COUNTIF(Synonymes!$A:$A,$A1227)&gt;0,"ok","")</f>
        <v/>
      </c>
      <c r="J1227" s="17">
        <f t="shared" si="19"/>
        <v>2</v>
      </c>
    </row>
    <row r="1228" spans="1:10" x14ac:dyDescent="0.3">
      <c r="A1228" s="17" t="s">
        <v>6764</v>
      </c>
      <c r="B1228" s="17" t="str">
        <f>IFERROR(INDEX(Mots!$B:$B,MATCH($A1228,Mots!$A:$A,0)),"introuvable")</f>
        <v>lever</v>
      </c>
      <c r="C1228" s="17" t="str">
        <f>IFERROR(INDEX(Mots!$N:$N,MATCH($A1228,Mots!$A:$A,0)),"")</f>
        <v>action</v>
      </c>
      <c r="D1228" s="17">
        <f>IFERROR(COUNTA(INDEX(Mots!$E:$E,MATCH($A1228,Mots!$A:$A,0)):INDEX(Mots!$K:$K,MATCH($A1228,Mots!$A:$A,0))),0)</f>
        <v>4</v>
      </c>
      <c r="E1228" s="17" t="str">
        <f>IF(COUNTIF(Classement!$A:$A,$A1228)&gt;0,"ok","à faire")</f>
        <v>ok</v>
      </c>
      <c r="F1228" s="17" t="str">
        <f>IF(COUNTIF(Tags!$A:$A,$A1228)&gt;0,"ok","à faire")</f>
        <v>ok</v>
      </c>
      <c r="G1228" s="17" t="str">
        <f>IF(COUNTIF(Phrases!$A:$A,$A1228)&gt;0,"ok","à faire")</f>
        <v>ok</v>
      </c>
      <c r="H1228" s="17" t="str">
        <f>IF(COUNTIFS(Phrases!$A:$A,$A1228,Phrases!$I:$I,"&lt;&gt;")&gt;0,"ok","à faire")</f>
        <v>ok</v>
      </c>
      <c r="I1228" s="17" t="str">
        <f>IF(COUNTIF(Synonymes!$A:$A,$A1228)&gt;0,"ok","")</f>
        <v>ok</v>
      </c>
      <c r="J1228" s="17">
        <f t="shared" si="19"/>
        <v>0</v>
      </c>
    </row>
    <row r="1229" spans="1:10" x14ac:dyDescent="0.3">
      <c r="A1229" s="17" t="s">
        <v>6767</v>
      </c>
      <c r="B1229" s="17" t="str">
        <f>IFERROR(INDEX(Mots!$B:$B,MATCH($A1229,Mots!$A:$A,0)),"introuvable")</f>
        <v>l'excursion</v>
      </c>
      <c r="C1229" s="17" t="str">
        <f>IFERROR(INDEX(Mots!$N:$N,MATCH($A1229,Mots!$A:$A,0)),"")</f>
        <v>lieu</v>
      </c>
      <c r="D1229" s="17">
        <f>IFERROR(COUNTA(INDEX(Mots!$E:$E,MATCH($A1229,Mots!$A:$A,0)):INDEX(Mots!$K:$K,MATCH($A1229,Mots!$A:$A,0))),0)</f>
        <v>3</v>
      </c>
      <c r="E1229" s="17" t="str">
        <f>IF(COUNTIF(Classement!$A:$A,$A1229)&gt;0,"ok","à faire")</f>
        <v>ok</v>
      </c>
      <c r="F1229" s="17" t="str">
        <f>IF(COUNTIF(Tags!$A:$A,$A1229)&gt;0,"ok","à faire")</f>
        <v>à faire</v>
      </c>
      <c r="G1229" s="17" t="str">
        <f>IF(COUNTIF(Phrases!$A:$A,$A1229)&gt;0,"ok","à faire")</f>
        <v>à faire</v>
      </c>
      <c r="H1229" s="17" t="str">
        <f>IF(COUNTIFS(Phrases!$A:$A,$A1229,Phrases!$I:$I,"&lt;&gt;")&gt;0,"ok","à faire")</f>
        <v>à faire</v>
      </c>
      <c r="I1229" s="17" t="str">
        <f>IF(COUNTIF(Synonymes!$A:$A,$A1229)&gt;0,"ok","")</f>
        <v>ok</v>
      </c>
      <c r="J1229" s="17">
        <f t="shared" si="19"/>
        <v>3</v>
      </c>
    </row>
    <row r="1230" spans="1:10" x14ac:dyDescent="0.3">
      <c r="A1230" s="17" t="s">
        <v>6773</v>
      </c>
      <c r="B1230" s="17" t="str">
        <f>IFERROR(INDEX(Mots!$B:$B,MATCH($A1230,Mots!$A:$A,0)),"introuvable")</f>
        <v>l'exemple</v>
      </c>
      <c r="C1230" s="17" t="str">
        <f>IFERROR(INDEX(Mots!$N:$N,MATCH($A1230,Mots!$A:$A,0)),"")</f>
        <v>chose</v>
      </c>
      <c r="D1230" s="17">
        <f>IFERROR(COUNTA(INDEX(Mots!$E:$E,MATCH($A1230,Mots!$A:$A,0)):INDEX(Mots!$K:$K,MATCH($A1230,Mots!$A:$A,0))),0)</f>
        <v>2</v>
      </c>
      <c r="E1230" s="17" t="str">
        <f>IF(COUNTIF(Classement!$A:$A,$A1230)&gt;0,"ok","à faire")</f>
        <v>ok</v>
      </c>
      <c r="F1230" s="17" t="str">
        <f>IF(COUNTIF(Tags!$A:$A,$A1230)&gt;0,"ok","à faire")</f>
        <v>ok</v>
      </c>
      <c r="G1230" s="17" t="str">
        <f>IF(COUNTIF(Phrases!$A:$A,$A1230)&gt;0,"ok","à faire")</f>
        <v>ok</v>
      </c>
      <c r="H1230" s="17" t="str">
        <f>IF(COUNTIFS(Phrases!$A:$A,$A1230,Phrases!$I:$I,"&lt;&gt;")&gt;0,"ok","à faire")</f>
        <v>à faire</v>
      </c>
      <c r="I1230" s="17" t="str">
        <f>IF(COUNTIF(Synonymes!$A:$A,$A1230)&gt;0,"ok","")</f>
        <v/>
      </c>
      <c r="J1230" s="17">
        <f t="shared" si="19"/>
        <v>1</v>
      </c>
    </row>
    <row r="1231" spans="1:10" x14ac:dyDescent="0.3">
      <c r="A1231" s="17" t="s">
        <v>6778</v>
      </c>
      <c r="B1231" s="17" t="str">
        <f>IFERROR(INDEX(Mots!$B:$B,MATCH($A1231,Mots!$A:$A,0)),"introuvable")</f>
        <v>l'histoire</v>
      </c>
      <c r="C1231" s="17" t="str">
        <f>IFERROR(INDEX(Mots!$N:$N,MATCH($A1231,Mots!$A:$A,0)),"")</f>
        <v>chose</v>
      </c>
      <c r="D1231" s="17">
        <f>IFERROR(COUNTA(INDEX(Mots!$E:$E,MATCH($A1231,Mots!$A:$A,0)):INDEX(Mots!$K:$K,MATCH($A1231,Mots!$A:$A,0))),0)</f>
        <v>5</v>
      </c>
      <c r="E1231" s="17" t="str">
        <f>IF(COUNTIF(Classement!$A:$A,$A1231)&gt;0,"ok","à faire")</f>
        <v>ok</v>
      </c>
      <c r="F1231" s="17" t="str">
        <f>IF(COUNTIF(Tags!$A:$A,$A1231)&gt;0,"ok","à faire")</f>
        <v>ok</v>
      </c>
      <c r="G1231" s="17" t="str">
        <f>IF(COUNTIF(Phrases!$A:$A,$A1231)&gt;0,"ok","à faire")</f>
        <v>à faire</v>
      </c>
      <c r="H1231" s="17" t="str">
        <f>IF(COUNTIFS(Phrases!$A:$A,$A1231,Phrases!$I:$I,"&lt;&gt;")&gt;0,"ok","à faire")</f>
        <v>à faire</v>
      </c>
      <c r="I1231" s="17" t="str">
        <f>IF(COUNTIF(Synonymes!$A:$A,$A1231)&gt;0,"ok","")</f>
        <v>ok</v>
      </c>
      <c r="J1231" s="17">
        <f t="shared" si="19"/>
        <v>2</v>
      </c>
    </row>
    <row r="1232" spans="1:10" x14ac:dyDescent="0.3">
      <c r="A1232" s="17" t="s">
        <v>6783</v>
      </c>
      <c r="B1232" s="17" t="str">
        <f>IFERROR(INDEX(Mots!$B:$B,MATCH($A1232,Mots!$A:$A,0)),"introuvable")</f>
        <v>l'horizon</v>
      </c>
      <c r="C1232" s="17" t="str">
        <f>IFERROR(INDEX(Mots!$N:$N,MATCH($A1232,Mots!$A:$A,0)),"")</f>
        <v>chose</v>
      </c>
      <c r="D1232" s="17">
        <f>IFERROR(COUNTA(INDEX(Mots!$E:$E,MATCH($A1232,Mots!$A:$A,0)):INDEX(Mots!$K:$K,MATCH($A1232,Mots!$A:$A,0))),0)</f>
        <v>1</v>
      </c>
      <c r="E1232" s="17" t="str">
        <f>IF(COUNTIF(Classement!$A:$A,$A1232)&gt;0,"ok","à faire")</f>
        <v>ok</v>
      </c>
      <c r="F1232" s="17" t="str">
        <f>IF(COUNTIF(Tags!$A:$A,$A1232)&gt;0,"ok","à faire")</f>
        <v>ok</v>
      </c>
      <c r="G1232" s="17" t="str">
        <f>IF(COUNTIF(Phrases!$A:$A,$A1232)&gt;0,"ok","à faire")</f>
        <v>à faire</v>
      </c>
      <c r="H1232" s="17" t="str">
        <f>IF(COUNTIFS(Phrases!$A:$A,$A1232,Phrases!$I:$I,"&lt;&gt;")&gt;0,"ok","à faire")</f>
        <v>à faire</v>
      </c>
      <c r="I1232" s="17" t="str">
        <f>IF(COUNTIF(Synonymes!$A:$A,$A1232)&gt;0,"ok","")</f>
        <v/>
      </c>
      <c r="J1232" s="17">
        <f t="shared" si="19"/>
        <v>2</v>
      </c>
    </row>
    <row r="1233" spans="1:10" x14ac:dyDescent="0.3">
      <c r="A1233" s="17" t="s">
        <v>6787</v>
      </c>
      <c r="B1233" s="17" t="str">
        <f>IFERROR(INDEX(Mots!$B:$B,MATCH($A1233,Mots!$A:$A,0)),"introuvable")</f>
        <v>l'idée</v>
      </c>
      <c r="C1233" s="17" t="str">
        <f>IFERROR(INDEX(Mots!$N:$N,MATCH($A1233,Mots!$A:$A,0)),"")</f>
        <v>chose</v>
      </c>
      <c r="D1233" s="17">
        <f>IFERROR(COUNTA(INDEX(Mots!$E:$E,MATCH($A1233,Mots!$A:$A,0)):INDEX(Mots!$K:$K,MATCH($A1233,Mots!$A:$A,0))),0)</f>
        <v>1</v>
      </c>
      <c r="E1233" s="17" t="str">
        <f>IF(COUNTIF(Classement!$A:$A,$A1233)&gt;0,"ok","à faire")</f>
        <v>ok</v>
      </c>
      <c r="F1233" s="17" t="str">
        <f>IF(COUNTIF(Tags!$A:$A,$A1233)&gt;0,"ok","à faire")</f>
        <v>ok</v>
      </c>
      <c r="G1233" s="17" t="str">
        <f>IF(COUNTIF(Phrases!$A:$A,$A1233)&gt;0,"ok","à faire")</f>
        <v>à faire</v>
      </c>
      <c r="H1233" s="17" t="str">
        <f>IF(COUNTIFS(Phrases!$A:$A,$A1233,Phrases!$I:$I,"&lt;&gt;")&gt;0,"ok","à faire")</f>
        <v>à faire</v>
      </c>
      <c r="I1233" s="17" t="str">
        <f>IF(COUNTIF(Synonymes!$A:$A,$A1233)&gt;0,"ok","")</f>
        <v/>
      </c>
      <c r="J1233" s="17">
        <f t="shared" si="19"/>
        <v>2</v>
      </c>
    </row>
    <row r="1234" spans="1:10" x14ac:dyDescent="0.3">
      <c r="A1234" s="17" t="s">
        <v>6791</v>
      </c>
      <c r="B1234" s="17" t="str">
        <f>IFERROR(INDEX(Mots!$B:$B,MATCH($A1234,Mots!$A:$A,0)),"introuvable")</f>
        <v>l'île</v>
      </c>
      <c r="C1234" s="17" t="str">
        <f>IFERROR(INDEX(Mots!$N:$N,MATCH($A1234,Mots!$A:$A,0)),"")</f>
        <v>chose</v>
      </c>
      <c r="D1234" s="17">
        <f>IFERROR(COUNTA(INDEX(Mots!$E:$E,MATCH($A1234,Mots!$A:$A,0)):INDEX(Mots!$K:$K,MATCH($A1234,Mots!$A:$A,0))),0)</f>
        <v>1</v>
      </c>
      <c r="E1234" s="17" t="str">
        <f>IF(COUNTIF(Classement!$A:$A,$A1234)&gt;0,"ok","à faire")</f>
        <v>ok</v>
      </c>
      <c r="F1234" s="17" t="str">
        <f>IF(COUNTIF(Tags!$A:$A,$A1234)&gt;0,"ok","à faire")</f>
        <v>ok</v>
      </c>
      <c r="G1234" s="17" t="str">
        <f>IF(COUNTIF(Phrases!$A:$A,$A1234)&gt;0,"ok","à faire")</f>
        <v>à faire</v>
      </c>
      <c r="H1234" s="17" t="str">
        <f>IF(COUNTIFS(Phrases!$A:$A,$A1234,Phrases!$I:$I,"&lt;&gt;")&gt;0,"ok","à faire")</f>
        <v>à faire</v>
      </c>
      <c r="I1234" s="17" t="str">
        <f>IF(COUNTIF(Synonymes!$A:$A,$A1234)&gt;0,"ok","")</f>
        <v/>
      </c>
      <c r="J1234" s="17">
        <f t="shared" si="19"/>
        <v>2</v>
      </c>
    </row>
    <row r="1235" spans="1:10" x14ac:dyDescent="0.3">
      <c r="A1235" s="17" t="s">
        <v>6795</v>
      </c>
      <c r="B1235" s="17" t="str">
        <f>IFERROR(INDEX(Mots!$B:$B,MATCH($A1235,Mots!$A:$A,0)),"introuvable")</f>
        <v>l'image</v>
      </c>
      <c r="C1235" s="17" t="str">
        <f>IFERROR(INDEX(Mots!$N:$N,MATCH($A1235,Mots!$A:$A,0)),"")</f>
        <v>chose</v>
      </c>
      <c r="D1235" s="17">
        <f>IFERROR(COUNTA(INDEX(Mots!$E:$E,MATCH($A1235,Mots!$A:$A,0)):INDEX(Mots!$K:$K,MATCH($A1235,Mots!$A:$A,0))),0)</f>
        <v>5</v>
      </c>
      <c r="E1235" s="17" t="str">
        <f>IF(COUNTIF(Classement!$A:$A,$A1235)&gt;0,"ok","à faire")</f>
        <v>ok</v>
      </c>
      <c r="F1235" s="17" t="str">
        <f>IF(COUNTIF(Tags!$A:$A,$A1235)&gt;0,"ok","à faire")</f>
        <v>à faire</v>
      </c>
      <c r="G1235" s="17" t="str">
        <f>IF(COUNTIF(Phrases!$A:$A,$A1235)&gt;0,"ok","à faire")</f>
        <v>ok</v>
      </c>
      <c r="H1235" s="17" t="str">
        <f>IF(COUNTIFS(Phrases!$A:$A,$A1235,Phrases!$I:$I,"&lt;&gt;")&gt;0,"ok","à faire")</f>
        <v>à faire</v>
      </c>
      <c r="I1235" s="17" t="str">
        <f>IF(COUNTIF(Synonymes!$A:$A,$A1235)&gt;0,"ok","")</f>
        <v>ok</v>
      </c>
      <c r="J1235" s="17">
        <f t="shared" si="19"/>
        <v>2</v>
      </c>
    </row>
    <row r="1236" spans="1:10" x14ac:dyDescent="0.3">
      <c r="A1236" s="17" t="s">
        <v>6798</v>
      </c>
      <c r="B1236" s="17" t="str">
        <f>IFERROR(INDEX(Mots!$B:$B,MATCH($A1236,Mots!$A:$A,0)),"introuvable")</f>
        <v>l'immeuble</v>
      </c>
      <c r="C1236" s="17" t="str">
        <f>IFERROR(INDEX(Mots!$N:$N,MATCH($A1236,Mots!$A:$A,0)),"")</f>
        <v>lieu</v>
      </c>
      <c r="D1236" s="17">
        <f>IFERROR(COUNTA(INDEX(Mots!$E:$E,MATCH($A1236,Mots!$A:$A,0)):INDEX(Mots!$K:$K,MATCH($A1236,Mots!$A:$A,0))),0)</f>
        <v>5</v>
      </c>
      <c r="E1236" s="17" t="str">
        <f>IF(COUNTIF(Classement!$A:$A,$A1236)&gt;0,"ok","à faire")</f>
        <v>ok</v>
      </c>
      <c r="F1236" s="17" t="str">
        <f>IF(COUNTIF(Tags!$A:$A,$A1236)&gt;0,"ok","à faire")</f>
        <v>ok</v>
      </c>
      <c r="G1236" s="17" t="str">
        <f>IF(COUNTIF(Phrases!$A:$A,$A1236)&gt;0,"ok","à faire")</f>
        <v>à faire</v>
      </c>
      <c r="H1236" s="17" t="str">
        <f>IF(COUNTIFS(Phrases!$A:$A,$A1236,Phrases!$I:$I,"&lt;&gt;")&gt;0,"ok","à faire")</f>
        <v>à faire</v>
      </c>
      <c r="I1236" s="17" t="str">
        <f>IF(COUNTIF(Synonymes!$A:$A,$A1236)&gt;0,"ok","")</f>
        <v>ok</v>
      </c>
      <c r="J1236" s="17">
        <f t="shared" si="19"/>
        <v>2</v>
      </c>
    </row>
    <row r="1237" spans="1:10" x14ac:dyDescent="0.3">
      <c r="A1237" s="17" t="s">
        <v>6806</v>
      </c>
      <c r="B1237" s="17" t="str">
        <f>IFERROR(INDEX(Mots!$B:$B,MATCH($A1237,Mots!$A:$A,0)),"introuvable")</f>
        <v>l'information</v>
      </c>
      <c r="C1237" s="17" t="str">
        <f>IFERROR(INDEX(Mots!$N:$N,MATCH($A1237,Mots!$A:$A,0)),"")</f>
        <v>chose</v>
      </c>
      <c r="D1237" s="17">
        <f>IFERROR(COUNTA(INDEX(Mots!$E:$E,MATCH($A1237,Mots!$A:$A,0)):INDEX(Mots!$K:$K,MATCH($A1237,Mots!$A:$A,0))),0)</f>
        <v>1</v>
      </c>
      <c r="E1237" s="17" t="str">
        <f>IF(COUNTIF(Classement!$A:$A,$A1237)&gt;0,"ok","à faire")</f>
        <v>ok</v>
      </c>
      <c r="F1237" s="17" t="str">
        <f>IF(COUNTIF(Tags!$A:$A,$A1237)&gt;0,"ok","à faire")</f>
        <v>ok</v>
      </c>
      <c r="G1237" s="17" t="str">
        <f>IF(COUNTIF(Phrases!$A:$A,$A1237)&gt;0,"ok","à faire")</f>
        <v>à faire</v>
      </c>
      <c r="H1237" s="17" t="str">
        <f>IF(COUNTIFS(Phrases!$A:$A,$A1237,Phrases!$I:$I,"&lt;&gt;")&gt;0,"ok","à faire")</f>
        <v>à faire</v>
      </c>
      <c r="I1237" s="17" t="str">
        <f>IF(COUNTIF(Synonymes!$A:$A,$A1237)&gt;0,"ok","")</f>
        <v>ok</v>
      </c>
      <c r="J1237" s="17">
        <f t="shared" si="19"/>
        <v>2</v>
      </c>
    </row>
    <row r="1238" spans="1:10" x14ac:dyDescent="0.3">
      <c r="A1238" s="17" t="s">
        <v>6810</v>
      </c>
      <c r="B1238" s="17" t="str">
        <f>IFERROR(INDEX(Mots!$B:$B,MATCH($A1238,Mots!$A:$A,0)),"introuvable")</f>
        <v>l'inquiétude</v>
      </c>
      <c r="C1238" s="17" t="str">
        <f>IFERROR(INDEX(Mots!$N:$N,MATCH($A1238,Mots!$A:$A,0)),"")</f>
        <v>sentiment</v>
      </c>
      <c r="D1238" s="17">
        <f>IFERROR(COUNTA(INDEX(Mots!$E:$E,MATCH($A1238,Mots!$A:$A,0)):INDEX(Mots!$K:$K,MATCH($A1238,Mots!$A:$A,0))),0)</f>
        <v>4</v>
      </c>
      <c r="E1238" s="17" t="str">
        <f>IF(COUNTIF(Classement!$A:$A,$A1238)&gt;0,"ok","à faire")</f>
        <v>ok</v>
      </c>
      <c r="F1238" s="17" t="str">
        <f>IF(COUNTIF(Tags!$A:$A,$A1238)&gt;0,"ok","à faire")</f>
        <v>ok</v>
      </c>
      <c r="G1238" s="17" t="str">
        <f>IF(COUNTIF(Phrases!$A:$A,$A1238)&gt;0,"ok","à faire")</f>
        <v>à faire</v>
      </c>
      <c r="H1238" s="17" t="str">
        <f>IF(COUNTIFS(Phrases!$A:$A,$A1238,Phrases!$I:$I,"&lt;&gt;")&gt;0,"ok","à faire")</f>
        <v>à faire</v>
      </c>
      <c r="I1238" s="17" t="str">
        <f>IF(COUNTIF(Synonymes!$A:$A,$A1238)&gt;0,"ok","")</f>
        <v>ok</v>
      </c>
      <c r="J1238" s="17">
        <f t="shared" si="19"/>
        <v>2</v>
      </c>
    </row>
    <row r="1239" spans="1:10" x14ac:dyDescent="0.3">
      <c r="A1239" s="17" t="s">
        <v>6817</v>
      </c>
      <c r="B1239" s="17" t="str">
        <f>IFERROR(INDEX(Mots!$B:$B,MATCH($A1239,Mots!$A:$A,0)),"introuvable")</f>
        <v>l'instant</v>
      </c>
      <c r="C1239" s="17" t="str">
        <f>IFERROR(INDEX(Mots!$N:$N,MATCH($A1239,Mots!$A:$A,0)),"")</f>
        <v>mot utile</v>
      </c>
      <c r="D1239" s="17">
        <f>IFERROR(COUNTA(INDEX(Mots!$E:$E,MATCH($A1239,Mots!$A:$A,0)):INDEX(Mots!$K:$K,MATCH($A1239,Mots!$A:$A,0))),0)</f>
        <v>2</v>
      </c>
      <c r="E1239" s="17" t="str">
        <f>IF(COUNTIF(Classement!$A:$A,$A1239)&gt;0,"ok","à faire")</f>
        <v>ok</v>
      </c>
      <c r="F1239" s="17" t="str">
        <f>IF(COUNTIF(Tags!$A:$A,$A1239)&gt;0,"ok","à faire")</f>
        <v>ok</v>
      </c>
      <c r="G1239" s="17" t="str">
        <f>IF(COUNTIF(Phrases!$A:$A,$A1239)&gt;0,"ok","à faire")</f>
        <v>à faire</v>
      </c>
      <c r="H1239" s="17" t="str">
        <f>IF(COUNTIFS(Phrases!$A:$A,$A1239,Phrases!$I:$I,"&lt;&gt;")&gt;0,"ok","à faire")</f>
        <v>à faire</v>
      </c>
      <c r="I1239" s="17" t="str">
        <f>IF(COUNTIF(Synonymes!$A:$A,$A1239)&gt;0,"ok","")</f>
        <v>ok</v>
      </c>
      <c r="J1239" s="17">
        <f t="shared" si="19"/>
        <v>2</v>
      </c>
    </row>
    <row r="1240" spans="1:10" x14ac:dyDescent="0.3">
      <c r="A1240" s="17" t="s">
        <v>6822</v>
      </c>
      <c r="B1240" s="17" t="str">
        <f>IFERROR(INDEX(Mots!$B:$B,MATCH($A1240,Mots!$A:$A,0)),"introuvable")</f>
        <v>l'invitation</v>
      </c>
      <c r="C1240" s="17" t="str">
        <f>IFERROR(INDEX(Mots!$N:$N,MATCH($A1240,Mots!$A:$A,0)),"")</f>
        <v>chose</v>
      </c>
      <c r="D1240" s="17">
        <f>IFERROR(COUNTA(INDEX(Mots!$E:$E,MATCH($A1240,Mots!$A:$A,0)):INDEX(Mots!$K:$K,MATCH($A1240,Mots!$A:$A,0))),0)</f>
        <v>1</v>
      </c>
      <c r="E1240" s="17" t="str">
        <f>IF(COUNTIF(Classement!$A:$A,$A1240)&gt;0,"ok","à faire")</f>
        <v>ok</v>
      </c>
      <c r="F1240" s="17" t="str">
        <f>IF(COUNTIF(Tags!$A:$A,$A1240)&gt;0,"ok","à faire")</f>
        <v>ok</v>
      </c>
      <c r="G1240" s="17" t="str">
        <f>IF(COUNTIF(Phrases!$A:$A,$A1240)&gt;0,"ok","à faire")</f>
        <v>à faire</v>
      </c>
      <c r="H1240" s="17" t="str">
        <f>IF(COUNTIFS(Phrases!$A:$A,$A1240,Phrases!$I:$I,"&lt;&gt;")&gt;0,"ok","à faire")</f>
        <v>à faire</v>
      </c>
      <c r="I1240" s="17" t="str">
        <f>IF(COUNTIF(Synonymes!$A:$A,$A1240)&gt;0,"ok","")</f>
        <v/>
      </c>
      <c r="J1240" s="17">
        <f t="shared" si="19"/>
        <v>2</v>
      </c>
    </row>
    <row r="1241" spans="1:10" x14ac:dyDescent="0.3">
      <c r="A1241" s="17" t="s">
        <v>6826</v>
      </c>
      <c r="B1241" s="17" t="str">
        <f>IFERROR(INDEX(Mots!$B:$B,MATCH($A1241,Mots!$A:$A,0)),"introuvable")</f>
        <v>l'invité</v>
      </c>
      <c r="C1241" s="17" t="str">
        <f>IFERROR(INDEX(Mots!$N:$N,MATCH($A1241,Mots!$A:$A,0)),"")</f>
        <v>chose</v>
      </c>
      <c r="D1241" s="17">
        <f>IFERROR(COUNTA(INDEX(Mots!$E:$E,MATCH($A1241,Mots!$A:$A,0)):INDEX(Mots!$K:$K,MATCH($A1241,Mots!$A:$A,0))),0)</f>
        <v>1</v>
      </c>
      <c r="E1241" s="17" t="str">
        <f>IF(COUNTIF(Classement!$A:$A,$A1241)&gt;0,"ok","à faire")</f>
        <v>ok</v>
      </c>
      <c r="F1241" s="17" t="str">
        <f>IF(COUNTIF(Tags!$A:$A,$A1241)&gt;0,"ok","à faire")</f>
        <v>ok</v>
      </c>
      <c r="G1241" s="17" t="str">
        <f>IF(COUNTIF(Phrases!$A:$A,$A1241)&gt;0,"ok","à faire")</f>
        <v>à faire</v>
      </c>
      <c r="H1241" s="17" t="str">
        <f>IF(COUNTIFS(Phrases!$A:$A,$A1241,Phrases!$I:$I,"&lt;&gt;")&gt;0,"ok","à faire")</f>
        <v>à faire</v>
      </c>
      <c r="I1241" s="17" t="str">
        <f>IF(COUNTIF(Synonymes!$A:$A,$A1241)&gt;0,"ok","")</f>
        <v/>
      </c>
      <c r="J1241" s="17">
        <f t="shared" si="19"/>
        <v>2</v>
      </c>
    </row>
    <row r="1242" spans="1:10" x14ac:dyDescent="0.3">
      <c r="A1242" s="17" t="s">
        <v>6830</v>
      </c>
      <c r="B1242" s="17" t="str">
        <f>IFERROR(INDEX(Mots!$B:$B,MATCH($A1242,Mots!$A:$A,0)),"introuvable")</f>
        <v>lire</v>
      </c>
      <c r="C1242" s="17" t="str">
        <f>IFERROR(INDEX(Mots!$N:$N,MATCH($A1242,Mots!$A:$A,0)),"")</f>
        <v>action</v>
      </c>
      <c r="D1242" s="17">
        <f>IFERROR(COUNTA(INDEX(Mots!$E:$E,MATCH($A1242,Mots!$A:$A,0)):INDEX(Mots!$K:$K,MATCH($A1242,Mots!$A:$A,0))),0)</f>
        <v>5</v>
      </c>
      <c r="E1242" s="17" t="str">
        <f>IF(COUNTIF(Classement!$A:$A,$A1242)&gt;0,"ok","à faire")</f>
        <v>ok</v>
      </c>
      <c r="F1242" s="17" t="str">
        <f>IF(COUNTIF(Tags!$A:$A,$A1242)&gt;0,"ok","à faire")</f>
        <v>ok</v>
      </c>
      <c r="G1242" s="17" t="str">
        <f>IF(COUNTIF(Phrases!$A:$A,$A1242)&gt;0,"ok","à faire")</f>
        <v>ok</v>
      </c>
      <c r="H1242" s="17" t="str">
        <f>IF(COUNTIFS(Phrases!$A:$A,$A1242,Phrases!$I:$I,"&lt;&gt;")&gt;0,"ok","à faire")</f>
        <v>à faire</v>
      </c>
      <c r="I1242" s="17" t="str">
        <f>IF(COUNTIF(Synonymes!$A:$A,$A1242)&gt;0,"ok","")</f>
        <v/>
      </c>
      <c r="J1242" s="17">
        <f t="shared" si="19"/>
        <v>1</v>
      </c>
    </row>
    <row r="1243" spans="1:10" x14ac:dyDescent="0.3">
      <c r="A1243" s="17" t="s">
        <v>6837</v>
      </c>
      <c r="B1243" s="17" t="str">
        <f>IFERROR(INDEX(Mots!$B:$B,MATCH($A1243,Mots!$A:$A,0)),"introuvable")</f>
        <v>l'objet</v>
      </c>
      <c r="C1243" s="17" t="str">
        <f>IFERROR(INDEX(Mots!$N:$N,MATCH($A1243,Mots!$A:$A,0)),"")</f>
        <v>chose</v>
      </c>
      <c r="D1243" s="17">
        <f>IFERROR(COUNTA(INDEX(Mots!$E:$E,MATCH($A1243,Mots!$A:$A,0)):INDEX(Mots!$K:$K,MATCH($A1243,Mots!$A:$A,0))),0)</f>
        <v>5</v>
      </c>
      <c r="E1243" s="17" t="str">
        <f>IF(COUNTIF(Classement!$A:$A,$A1243)&gt;0,"ok","à faire")</f>
        <v>ok</v>
      </c>
      <c r="F1243" s="17" t="str">
        <f>IF(COUNTIF(Tags!$A:$A,$A1243)&gt;0,"ok","à faire")</f>
        <v>ok</v>
      </c>
      <c r="G1243" s="17" t="str">
        <f>IF(COUNTIF(Phrases!$A:$A,$A1243)&gt;0,"ok","à faire")</f>
        <v>ok</v>
      </c>
      <c r="H1243" s="17" t="str">
        <f>IF(COUNTIFS(Phrases!$A:$A,$A1243,Phrases!$I:$I,"&lt;&gt;")&gt;0,"ok","à faire")</f>
        <v>à faire</v>
      </c>
      <c r="I1243" s="17" t="str">
        <f>IF(COUNTIF(Synonymes!$A:$A,$A1243)&gt;0,"ok","")</f>
        <v>ok</v>
      </c>
      <c r="J1243" s="17">
        <f t="shared" si="19"/>
        <v>1</v>
      </c>
    </row>
    <row r="1244" spans="1:10" x14ac:dyDescent="0.3">
      <c r="A1244" s="17" t="s">
        <v>6845</v>
      </c>
      <c r="B1244" s="17" t="str">
        <f>IFERROR(INDEX(Mots!$B:$B,MATCH($A1244,Mots!$A:$A,0)),"introuvable")</f>
        <v>l'odeur</v>
      </c>
      <c r="C1244" s="17" t="str">
        <f>IFERROR(INDEX(Mots!$N:$N,MATCH($A1244,Mots!$A:$A,0)),"")</f>
        <v>chose</v>
      </c>
      <c r="D1244" s="17">
        <f>IFERROR(COUNTA(INDEX(Mots!$E:$E,MATCH($A1244,Mots!$A:$A,0)):INDEX(Mots!$K:$K,MATCH($A1244,Mots!$A:$A,0))),0)</f>
        <v>4</v>
      </c>
      <c r="E1244" s="17" t="str">
        <f>IF(COUNTIF(Classement!$A:$A,$A1244)&gt;0,"ok","à faire")</f>
        <v>ok</v>
      </c>
      <c r="F1244" s="17" t="str">
        <f>IF(COUNTIF(Tags!$A:$A,$A1244)&gt;0,"ok","à faire")</f>
        <v>à faire</v>
      </c>
      <c r="G1244" s="17" t="str">
        <f>IF(COUNTIF(Phrases!$A:$A,$A1244)&gt;0,"ok","à faire")</f>
        <v>à faire</v>
      </c>
      <c r="H1244" s="17" t="str">
        <f>IF(COUNTIFS(Phrases!$A:$A,$A1244,Phrases!$I:$I,"&lt;&gt;")&gt;0,"ok","à faire")</f>
        <v>à faire</v>
      </c>
      <c r="I1244" s="17" t="str">
        <f>IF(COUNTIF(Synonymes!$A:$A,$A1244)&gt;0,"ok","")</f>
        <v/>
      </c>
      <c r="J1244" s="17">
        <f t="shared" si="19"/>
        <v>3</v>
      </c>
    </row>
    <row r="1245" spans="1:10" x14ac:dyDescent="0.3">
      <c r="A1245" s="17" t="s">
        <v>6852</v>
      </c>
      <c r="B1245" s="17" t="str">
        <f>IFERROR(INDEX(Mots!$B:$B,MATCH($A1245,Mots!$A:$A,0)),"introuvable")</f>
        <v>l'oeuvre</v>
      </c>
      <c r="C1245" s="17" t="str">
        <f>IFERROR(INDEX(Mots!$N:$N,MATCH($A1245,Mots!$A:$A,0)),"")</f>
        <v>chose</v>
      </c>
      <c r="D1245" s="17">
        <f>IFERROR(COUNTA(INDEX(Mots!$E:$E,MATCH($A1245,Mots!$A:$A,0)):INDEX(Mots!$K:$K,MATCH($A1245,Mots!$A:$A,0))),0)</f>
        <v>6</v>
      </c>
      <c r="E1245" s="17" t="str">
        <f>IF(COUNTIF(Classement!$A:$A,$A1245)&gt;0,"ok","à faire")</f>
        <v>ok</v>
      </c>
      <c r="F1245" s="17" t="str">
        <f>IF(COUNTIF(Tags!$A:$A,$A1245)&gt;0,"ok","à faire")</f>
        <v>ok</v>
      </c>
      <c r="G1245" s="17" t="str">
        <f>IF(COUNTIF(Phrases!$A:$A,$A1245)&gt;0,"ok","à faire")</f>
        <v>à faire</v>
      </c>
      <c r="H1245" s="17" t="str">
        <f>IF(COUNTIFS(Phrases!$A:$A,$A1245,Phrases!$I:$I,"&lt;&gt;")&gt;0,"ok","à faire")</f>
        <v>à faire</v>
      </c>
      <c r="I1245" s="17" t="str">
        <f>IF(COUNTIF(Synonymes!$A:$A,$A1245)&gt;0,"ok","")</f>
        <v>ok</v>
      </c>
      <c r="J1245" s="17">
        <f t="shared" si="19"/>
        <v>2</v>
      </c>
    </row>
    <row r="1246" spans="1:10" x14ac:dyDescent="0.3">
      <c r="A1246" s="17" t="s">
        <v>6861</v>
      </c>
      <c r="B1246" s="17" t="str">
        <f>IFERROR(INDEX(Mots!$B:$B,MATCH($A1246,Mots!$A:$A,0)),"introuvable")</f>
        <v>loin</v>
      </c>
      <c r="C1246" s="17" t="str">
        <f>IFERROR(INDEX(Mots!$N:$N,MATCH($A1246,Mots!$A:$A,0)),"")</f>
        <v>mot utile</v>
      </c>
      <c r="D1246" s="17">
        <f>IFERROR(COUNTA(INDEX(Mots!$E:$E,MATCH($A1246,Mots!$A:$A,0)):INDEX(Mots!$K:$K,MATCH($A1246,Mots!$A:$A,0))),0)</f>
        <v>1</v>
      </c>
      <c r="E1246" s="17" t="str">
        <f>IF(COUNTIF(Classement!$A:$A,$A1246)&gt;0,"ok","à faire")</f>
        <v>ok</v>
      </c>
      <c r="F1246" s="17" t="str">
        <f>IF(COUNTIF(Tags!$A:$A,$A1246)&gt;0,"ok","à faire")</f>
        <v>ok</v>
      </c>
      <c r="G1246" s="17" t="str">
        <f>IF(COUNTIF(Phrases!$A:$A,$A1246)&gt;0,"ok","à faire")</f>
        <v>à faire</v>
      </c>
      <c r="H1246" s="17" t="str">
        <f>IF(COUNTIFS(Phrases!$A:$A,$A1246,Phrases!$I:$I,"&lt;&gt;")&gt;0,"ok","à faire")</f>
        <v>à faire</v>
      </c>
      <c r="I1246" s="17" t="str">
        <f>IF(COUNTIF(Synonymes!$A:$A,$A1246)&gt;0,"ok","")</f>
        <v/>
      </c>
      <c r="J1246" s="17">
        <f t="shared" si="19"/>
        <v>2</v>
      </c>
    </row>
    <row r="1247" spans="1:10" x14ac:dyDescent="0.3">
      <c r="A1247" s="17" t="s">
        <v>6863</v>
      </c>
      <c r="B1247" s="17" t="str">
        <f>IFERROR(INDEX(Mots!$B:$B,MATCH($A1247,Mots!$A:$A,0)),"introuvable")</f>
        <v>l'oiseau</v>
      </c>
      <c r="C1247" s="17" t="str">
        <f>IFERROR(INDEX(Mots!$N:$N,MATCH($A1247,Mots!$A:$A,0)),"")</f>
        <v>animal</v>
      </c>
      <c r="D1247" s="17">
        <f>IFERROR(COUNTA(INDEX(Mots!$E:$E,MATCH($A1247,Mots!$A:$A,0)):INDEX(Mots!$K:$K,MATCH($A1247,Mots!$A:$A,0))),0)</f>
        <v>5</v>
      </c>
      <c r="E1247" s="17" t="str">
        <f>IF(COUNTIF(Classement!$A:$A,$A1247)&gt;0,"ok","à faire")</f>
        <v>ok</v>
      </c>
      <c r="F1247" s="17" t="str">
        <f>IF(COUNTIF(Tags!$A:$A,$A1247)&gt;0,"ok","à faire")</f>
        <v>ok</v>
      </c>
      <c r="G1247" s="17" t="str">
        <f>IF(COUNTIF(Phrases!$A:$A,$A1247)&gt;0,"ok","à faire")</f>
        <v>à faire</v>
      </c>
      <c r="H1247" s="17" t="str">
        <f>IF(COUNTIFS(Phrases!$A:$A,$A1247,Phrases!$I:$I,"&lt;&gt;")&gt;0,"ok","à faire")</f>
        <v>à faire</v>
      </c>
      <c r="I1247" s="17" t="str">
        <f>IF(COUNTIF(Synonymes!$A:$A,$A1247)&gt;0,"ok","")</f>
        <v/>
      </c>
      <c r="J1247" s="17">
        <f t="shared" si="19"/>
        <v>2</v>
      </c>
    </row>
    <row r="1248" spans="1:10" x14ac:dyDescent="0.3">
      <c r="A1248" s="17" t="s">
        <v>6871</v>
      </c>
      <c r="B1248" s="17" t="str">
        <f>IFERROR(INDEX(Mots!$B:$B,MATCH($A1248,Mots!$A:$A,0)),"introuvable")</f>
        <v>l'ombre</v>
      </c>
      <c r="C1248" s="17" t="str">
        <f>IFERROR(INDEX(Mots!$N:$N,MATCH($A1248,Mots!$A:$A,0)),"")</f>
        <v>chose</v>
      </c>
      <c r="D1248" s="17">
        <f>IFERROR(COUNTA(INDEX(Mots!$E:$E,MATCH($A1248,Mots!$A:$A,0)):INDEX(Mots!$K:$K,MATCH($A1248,Mots!$A:$A,0))),0)</f>
        <v>4</v>
      </c>
      <c r="E1248" s="17" t="str">
        <f>IF(COUNTIF(Classement!$A:$A,$A1248)&gt;0,"ok","à faire")</f>
        <v>ok</v>
      </c>
      <c r="F1248" s="17" t="str">
        <f>IF(COUNTIF(Tags!$A:$A,$A1248)&gt;0,"ok","à faire")</f>
        <v>ok</v>
      </c>
      <c r="G1248" s="17" t="str">
        <f>IF(COUNTIF(Phrases!$A:$A,$A1248)&gt;0,"ok","à faire")</f>
        <v>ok</v>
      </c>
      <c r="H1248" s="17" t="str">
        <f>IF(COUNTIFS(Phrases!$A:$A,$A1248,Phrases!$I:$I,"&lt;&gt;")&gt;0,"ok","à faire")</f>
        <v>à faire</v>
      </c>
      <c r="I1248" s="17" t="str">
        <f>IF(COUNTIF(Synonymes!$A:$A,$A1248)&gt;0,"ok","")</f>
        <v/>
      </c>
      <c r="J1248" s="17">
        <f t="shared" si="19"/>
        <v>1</v>
      </c>
    </row>
    <row r="1249" spans="1:10" x14ac:dyDescent="0.3">
      <c r="A1249" s="17" t="s">
        <v>6878</v>
      </c>
      <c r="B1249" s="17" t="str">
        <f>IFERROR(INDEX(Mots!$B:$B,MATCH($A1249,Mots!$A:$A,0)),"introuvable")</f>
        <v>longtemps</v>
      </c>
      <c r="C1249" s="17" t="str">
        <f>IFERROR(INDEX(Mots!$N:$N,MATCH($A1249,Mots!$A:$A,0)),"")</f>
        <v>mot utile</v>
      </c>
      <c r="D1249" s="17">
        <f>IFERROR(COUNTA(INDEX(Mots!$E:$E,MATCH($A1249,Mots!$A:$A,0)):INDEX(Mots!$K:$K,MATCH($A1249,Mots!$A:$A,0))),0)</f>
        <v>2</v>
      </c>
      <c r="E1249" s="17" t="str">
        <f>IF(COUNTIF(Classement!$A:$A,$A1249)&gt;0,"ok","à faire")</f>
        <v>ok</v>
      </c>
      <c r="F1249" s="17" t="str">
        <f>IF(COUNTIF(Tags!$A:$A,$A1249)&gt;0,"ok","à faire")</f>
        <v>ok</v>
      </c>
      <c r="G1249" s="17" t="str">
        <f>IF(COUNTIF(Phrases!$A:$A,$A1249)&gt;0,"ok","à faire")</f>
        <v>à faire</v>
      </c>
      <c r="H1249" s="17" t="str">
        <f>IF(COUNTIFS(Phrases!$A:$A,$A1249,Phrases!$I:$I,"&lt;&gt;")&gt;0,"ok","à faire")</f>
        <v>à faire</v>
      </c>
      <c r="I1249" s="17" t="str">
        <f>IF(COUNTIF(Synonymes!$A:$A,$A1249)&gt;0,"ok","")</f>
        <v/>
      </c>
      <c r="J1249" s="17">
        <f t="shared" si="19"/>
        <v>2</v>
      </c>
    </row>
    <row r="1250" spans="1:10" x14ac:dyDescent="0.3">
      <c r="A1250" s="17" t="s">
        <v>6882</v>
      </c>
      <c r="B1250" s="17" t="str">
        <f>IFERROR(INDEX(Mots!$B:$B,MATCH($A1250,Mots!$A:$A,0)),"introuvable")</f>
        <v>l'orage</v>
      </c>
      <c r="C1250" s="17" t="str">
        <f>IFERROR(INDEX(Mots!$N:$N,MATCH($A1250,Mots!$A:$A,0)),"")</f>
        <v>chose</v>
      </c>
      <c r="D1250" s="17">
        <f>IFERROR(COUNTA(INDEX(Mots!$E:$E,MATCH($A1250,Mots!$A:$A,0)):INDEX(Mots!$K:$K,MATCH($A1250,Mots!$A:$A,0))),0)</f>
        <v>5</v>
      </c>
      <c r="E1250" s="17" t="str">
        <f>IF(COUNTIF(Classement!$A:$A,$A1250)&gt;0,"ok","à faire")</f>
        <v>ok</v>
      </c>
      <c r="F1250" s="17" t="str">
        <f>IF(COUNTIF(Tags!$A:$A,$A1250)&gt;0,"ok","à faire")</f>
        <v>à faire</v>
      </c>
      <c r="G1250" s="17" t="str">
        <f>IF(COUNTIF(Phrases!$A:$A,$A1250)&gt;0,"ok","à faire")</f>
        <v>à faire</v>
      </c>
      <c r="H1250" s="17" t="str">
        <f>IF(COUNTIFS(Phrases!$A:$A,$A1250,Phrases!$I:$I,"&lt;&gt;")&gt;0,"ok","à faire")</f>
        <v>à faire</v>
      </c>
      <c r="I1250" s="17" t="str">
        <f>IF(COUNTIF(Synonymes!$A:$A,$A1250)&gt;0,"ok","")</f>
        <v>ok</v>
      </c>
      <c r="J1250" s="17">
        <f t="shared" si="19"/>
        <v>3</v>
      </c>
    </row>
    <row r="1251" spans="1:10" x14ac:dyDescent="0.3">
      <c r="A1251" s="17" t="s">
        <v>6886</v>
      </c>
      <c r="B1251" s="17" t="str">
        <f>IFERROR(INDEX(Mots!$B:$B,MATCH($A1251,Mots!$A:$A,0)),"introuvable")</f>
        <v>l'ordonnance</v>
      </c>
      <c r="C1251" s="17" t="str">
        <f>IFERROR(INDEX(Mots!$N:$N,MATCH($A1251,Mots!$A:$A,0)),"")</f>
        <v>chose</v>
      </c>
      <c r="D1251" s="17">
        <f>IFERROR(COUNTA(INDEX(Mots!$E:$E,MATCH($A1251,Mots!$A:$A,0)):INDEX(Mots!$K:$K,MATCH($A1251,Mots!$A:$A,0))),0)</f>
        <v>1</v>
      </c>
      <c r="E1251" s="17" t="str">
        <f>IF(COUNTIF(Classement!$A:$A,$A1251)&gt;0,"ok","à faire")</f>
        <v>ok</v>
      </c>
      <c r="F1251" s="17" t="str">
        <f>IF(COUNTIF(Tags!$A:$A,$A1251)&gt;0,"ok","à faire")</f>
        <v>ok</v>
      </c>
      <c r="G1251" s="17" t="str">
        <f>IF(COUNTIF(Phrases!$A:$A,$A1251)&gt;0,"ok","à faire")</f>
        <v>à faire</v>
      </c>
      <c r="H1251" s="17" t="str">
        <f>IF(COUNTIFS(Phrases!$A:$A,$A1251,Phrases!$I:$I,"&lt;&gt;")&gt;0,"ok","à faire")</f>
        <v>à faire</v>
      </c>
      <c r="I1251" s="17" t="str">
        <f>IF(COUNTIF(Synonymes!$A:$A,$A1251)&gt;0,"ok","")</f>
        <v/>
      </c>
      <c r="J1251" s="17">
        <f t="shared" si="19"/>
        <v>2</v>
      </c>
    </row>
    <row r="1252" spans="1:10" x14ac:dyDescent="0.3">
      <c r="A1252" s="17" t="s">
        <v>6890</v>
      </c>
      <c r="B1252" s="17" t="str">
        <f>IFERROR(INDEX(Mots!$B:$B,MATCH($A1252,Mots!$A:$A,0)),"introuvable")</f>
        <v>l'outil</v>
      </c>
      <c r="C1252" s="17" t="str">
        <f>IFERROR(INDEX(Mots!$N:$N,MATCH($A1252,Mots!$A:$A,0)),"")</f>
        <v>chose</v>
      </c>
      <c r="D1252" s="17">
        <f>IFERROR(COUNTA(INDEX(Mots!$E:$E,MATCH($A1252,Mots!$A:$A,0)):INDEX(Mots!$K:$K,MATCH($A1252,Mots!$A:$A,0))),0)</f>
        <v>4</v>
      </c>
      <c r="E1252" s="17" t="str">
        <f>IF(COUNTIF(Classement!$A:$A,$A1252)&gt;0,"ok","à faire")</f>
        <v>ok</v>
      </c>
      <c r="F1252" s="17" t="str">
        <f>IF(COUNTIF(Tags!$A:$A,$A1252)&gt;0,"ok","à faire")</f>
        <v>ok</v>
      </c>
      <c r="G1252" s="17" t="str">
        <f>IF(COUNTIF(Phrases!$A:$A,$A1252)&gt;0,"ok","à faire")</f>
        <v>à faire</v>
      </c>
      <c r="H1252" s="17" t="str">
        <f>IF(COUNTIFS(Phrases!$A:$A,$A1252,Phrases!$I:$I,"&lt;&gt;")&gt;0,"ok","à faire")</f>
        <v>à faire</v>
      </c>
      <c r="I1252" s="17" t="str">
        <f>IF(COUNTIF(Synonymes!$A:$A,$A1252)&gt;0,"ok","")</f>
        <v/>
      </c>
      <c r="J1252" s="17">
        <f t="shared" si="19"/>
        <v>2</v>
      </c>
    </row>
    <row r="1253" spans="1:10" x14ac:dyDescent="0.3">
      <c r="A1253" s="17" t="s">
        <v>6895</v>
      </c>
      <c r="B1253" s="17" t="str">
        <f>IFERROR(INDEX(Mots!$B:$B,MATCH($A1253,Mots!$A:$A,0)),"introuvable")</f>
        <v>l'unité</v>
      </c>
      <c r="C1253" s="17" t="str">
        <f>IFERROR(INDEX(Mots!$N:$N,MATCH($A1253,Mots!$A:$A,0)),"")</f>
        <v>chose</v>
      </c>
      <c r="D1253" s="17">
        <f>IFERROR(COUNTA(INDEX(Mots!$E:$E,MATCH($A1253,Mots!$A:$A,0)):INDEX(Mots!$K:$K,MATCH($A1253,Mots!$A:$A,0))),0)</f>
        <v>2</v>
      </c>
      <c r="E1253" s="17" t="str">
        <f>IF(COUNTIF(Classement!$A:$A,$A1253)&gt;0,"ok","à faire")</f>
        <v>ok</v>
      </c>
      <c r="F1253" s="17" t="str">
        <f>IF(COUNTIF(Tags!$A:$A,$A1253)&gt;0,"ok","à faire")</f>
        <v>à faire</v>
      </c>
      <c r="G1253" s="17" t="str">
        <f>IF(COUNTIF(Phrases!$A:$A,$A1253)&gt;0,"ok","à faire")</f>
        <v>à faire</v>
      </c>
      <c r="H1253" s="17" t="str">
        <f>IF(COUNTIFS(Phrases!$A:$A,$A1253,Phrases!$I:$I,"&lt;&gt;")&gt;0,"ok","à faire")</f>
        <v>à faire</v>
      </c>
      <c r="I1253" s="17" t="str">
        <f>IF(COUNTIF(Synonymes!$A:$A,$A1253)&gt;0,"ok","")</f>
        <v/>
      </c>
      <c r="J1253" s="17">
        <f t="shared" si="19"/>
        <v>3</v>
      </c>
    </row>
    <row r="1254" spans="1:10" x14ac:dyDescent="0.3">
      <c r="A1254" s="17" t="s">
        <v>6900</v>
      </c>
      <c r="B1254" s="17" t="str">
        <f>IFERROR(INDEX(Mots!$B:$B,MATCH($A1254,Mots!$A:$A,0)),"introuvable")</f>
        <v>l'usage</v>
      </c>
      <c r="C1254" s="17" t="str">
        <f>IFERROR(INDEX(Mots!$N:$N,MATCH($A1254,Mots!$A:$A,0)),"")</f>
        <v>chose</v>
      </c>
      <c r="D1254" s="17">
        <f>IFERROR(COUNTA(INDEX(Mots!$E:$E,MATCH($A1254,Mots!$A:$A,0)):INDEX(Mots!$K:$K,MATCH($A1254,Mots!$A:$A,0))),0)</f>
        <v>1</v>
      </c>
      <c r="E1254" s="17" t="str">
        <f>IF(COUNTIF(Classement!$A:$A,$A1254)&gt;0,"ok","à faire")</f>
        <v>ok</v>
      </c>
      <c r="F1254" s="17" t="str">
        <f>IF(COUNTIF(Tags!$A:$A,$A1254)&gt;0,"ok","à faire")</f>
        <v>à faire</v>
      </c>
      <c r="G1254" s="17" t="str">
        <f>IF(COUNTIF(Phrases!$A:$A,$A1254)&gt;0,"ok","à faire")</f>
        <v>à faire</v>
      </c>
      <c r="H1254" s="17" t="str">
        <f>IF(COUNTIFS(Phrases!$A:$A,$A1254,Phrases!$I:$I,"&lt;&gt;")&gt;0,"ok","à faire")</f>
        <v>à faire</v>
      </c>
      <c r="I1254" s="17" t="str">
        <f>IF(COUNTIF(Synonymes!$A:$A,$A1254)&gt;0,"ok","")</f>
        <v>ok</v>
      </c>
      <c r="J1254" s="17">
        <f t="shared" si="19"/>
        <v>3</v>
      </c>
    </row>
    <row r="1255" spans="1:10" x14ac:dyDescent="0.3">
      <c r="A1255" s="17" t="s">
        <v>6904</v>
      </c>
      <c r="B1255" s="17" t="str">
        <f>IFERROR(INDEX(Mots!$B:$B,MATCH($A1255,Mots!$A:$A,0)),"introuvable")</f>
        <v>l'usine</v>
      </c>
      <c r="C1255" s="17" t="str">
        <f>IFERROR(INDEX(Mots!$N:$N,MATCH($A1255,Mots!$A:$A,0)),"")</f>
        <v>lieu</v>
      </c>
      <c r="D1255" s="17">
        <f>IFERROR(COUNTA(INDEX(Mots!$E:$E,MATCH($A1255,Mots!$A:$A,0)):INDEX(Mots!$K:$K,MATCH($A1255,Mots!$A:$A,0))),0)</f>
        <v>5</v>
      </c>
      <c r="E1255" s="17" t="str">
        <f>IF(COUNTIF(Classement!$A:$A,$A1255)&gt;0,"ok","à faire")</f>
        <v>ok</v>
      </c>
      <c r="F1255" s="17" t="str">
        <f>IF(COUNTIF(Tags!$A:$A,$A1255)&gt;0,"ok","à faire")</f>
        <v>ok</v>
      </c>
      <c r="G1255" s="17" t="str">
        <f>IF(COUNTIF(Phrases!$A:$A,$A1255)&gt;0,"ok","à faire")</f>
        <v>à faire</v>
      </c>
      <c r="H1255" s="17" t="str">
        <f>IF(COUNTIFS(Phrases!$A:$A,$A1255,Phrases!$I:$I,"&lt;&gt;")&gt;0,"ok","à faire")</f>
        <v>à faire</v>
      </c>
      <c r="I1255" s="17" t="str">
        <f>IF(COUNTIF(Synonymes!$A:$A,$A1255)&gt;0,"ok","")</f>
        <v/>
      </c>
      <c r="J1255" s="17">
        <f t="shared" si="19"/>
        <v>2</v>
      </c>
    </row>
    <row r="1256" spans="1:10" x14ac:dyDescent="0.3">
      <c r="A1256" s="8" t="s">
        <v>9599</v>
      </c>
      <c r="B1256" s="17" t="str">
        <f>IFERROR(INDEX(Mots!$B:$B,MATCH($A1256,Mots!$A:$A,0)),"introuvable")</f>
        <v>mal</v>
      </c>
      <c r="C1256" s="17" t="str">
        <f>IFERROR(INDEX(Mots!$N:$N,MATCH($A1256,Mots!$A:$A,0)),"")</f>
        <v>mot utile</v>
      </c>
      <c r="D1256" s="17">
        <f>IFERROR(COUNTA(INDEX(Mots!$E:$E,MATCH($A1256,Mots!$A:$A,0)):INDEX(Mots!$K:$K,MATCH($A1256,Mots!$A:$A,0))),0)</f>
        <v>1</v>
      </c>
      <c r="E1256" s="17" t="str">
        <f>IF(COUNTIF(Classement!$A:$A,$A1256)&gt;0,"ok","à faire")</f>
        <v>ok</v>
      </c>
      <c r="F1256" s="17" t="str">
        <f>IF(COUNTIF(Tags!$A:$A,$A1256)&gt;0,"ok","à faire")</f>
        <v>ok</v>
      </c>
      <c r="G1256" s="17" t="str">
        <f>IF(COUNTIF(Phrases!$A:$A,$A1256)&gt;0,"ok","à faire")</f>
        <v>à faire</v>
      </c>
      <c r="H1256" s="17" t="str">
        <f>IF(COUNTIFS(Phrases!$A:$A,$A1256,Phrases!$I:$I,"&lt;&gt;")&gt;0,"ok","à faire")</f>
        <v>à faire</v>
      </c>
      <c r="I1256" s="17" t="str">
        <f>IF(COUNTIF(Synonymes!$A:$A,$A1256)&gt;0,"ok","")</f>
        <v/>
      </c>
      <c r="J1256" s="17">
        <f t="shared" si="19"/>
        <v>2</v>
      </c>
    </row>
    <row r="1257" spans="1:10" x14ac:dyDescent="0.3">
      <c r="A1257" s="17" t="s">
        <v>6915</v>
      </c>
      <c r="B1257" s="17" t="str">
        <f>IFERROR(INDEX(Mots!$B:$B,MATCH($A1257,Mots!$A:$A,0)),"introuvable")</f>
        <v>malin</v>
      </c>
      <c r="C1257" s="17" t="str">
        <f>IFERROR(INDEX(Mots!$N:$N,MATCH($A1257,Mots!$A:$A,0)),"")</f>
        <v>qualité</v>
      </c>
      <c r="D1257" s="17">
        <f>IFERROR(COUNTA(INDEX(Mots!$E:$E,MATCH($A1257,Mots!$A:$A,0)):INDEX(Mots!$K:$K,MATCH($A1257,Mots!$A:$A,0))),0)</f>
        <v>2</v>
      </c>
      <c r="E1257" s="17" t="str">
        <f>IF(COUNTIF(Classement!$A:$A,$A1257)&gt;0,"ok","à faire")</f>
        <v>ok</v>
      </c>
      <c r="F1257" s="17" t="str">
        <f>IF(COUNTIF(Tags!$A:$A,$A1257)&gt;0,"ok","à faire")</f>
        <v>ok</v>
      </c>
      <c r="G1257" s="17" t="str">
        <f>IF(COUNTIF(Phrases!$A:$A,$A1257)&gt;0,"ok","à faire")</f>
        <v>ok</v>
      </c>
      <c r="H1257" s="17" t="str">
        <f>IF(COUNTIFS(Phrases!$A:$A,$A1257,Phrases!$I:$I,"&lt;&gt;")&gt;0,"ok","à faire")</f>
        <v>à faire</v>
      </c>
      <c r="I1257" s="17" t="str">
        <f>IF(COUNTIF(Synonymes!$A:$A,$A1257)&gt;0,"ok","")</f>
        <v>ok</v>
      </c>
      <c r="J1257" s="17">
        <f t="shared" si="19"/>
        <v>1</v>
      </c>
    </row>
    <row r="1258" spans="1:10" x14ac:dyDescent="0.3">
      <c r="A1258" s="17" t="s">
        <v>6920</v>
      </c>
      <c r="B1258" s="17" t="str">
        <f>IFERROR(INDEX(Mots!$B:$B,MATCH($A1258,Mots!$A:$A,0)),"introuvable")</f>
        <v>manger</v>
      </c>
      <c r="C1258" s="17" t="str">
        <f>IFERROR(INDEX(Mots!$N:$N,MATCH($A1258,Mots!$A:$A,0)),"")</f>
        <v>action</v>
      </c>
      <c r="D1258" s="17">
        <f>IFERROR(COUNTA(INDEX(Mots!$E:$E,MATCH($A1258,Mots!$A:$A,0)):INDEX(Mots!$K:$K,MATCH($A1258,Mots!$A:$A,0))),0)</f>
        <v>5</v>
      </c>
      <c r="E1258" s="17" t="str">
        <f>IF(COUNTIF(Classement!$A:$A,$A1258)&gt;0,"ok","à faire")</f>
        <v>ok</v>
      </c>
      <c r="F1258" s="17" t="str">
        <f>IF(COUNTIF(Tags!$A:$A,$A1258)&gt;0,"ok","à faire")</f>
        <v>ok</v>
      </c>
      <c r="G1258" s="17" t="str">
        <f>IF(COUNTIF(Phrases!$A:$A,$A1258)&gt;0,"ok","à faire")</f>
        <v>ok</v>
      </c>
      <c r="H1258" s="17" t="str">
        <f>IF(COUNTIFS(Phrases!$A:$A,$A1258,Phrases!$I:$I,"&lt;&gt;")&gt;0,"ok","à faire")</f>
        <v>ok</v>
      </c>
      <c r="I1258" s="17" t="str">
        <f>IF(COUNTIF(Synonymes!$A:$A,$A1258)&gt;0,"ok","")</f>
        <v/>
      </c>
      <c r="J1258" s="17">
        <f t="shared" si="19"/>
        <v>0</v>
      </c>
    </row>
    <row r="1259" spans="1:10" x14ac:dyDescent="0.3">
      <c r="A1259" s="17" t="s">
        <v>6928</v>
      </c>
      <c r="B1259" s="17" t="str">
        <f>IFERROR(INDEX(Mots!$B:$B,MATCH($A1259,Mots!$A:$A,0)),"introuvable")</f>
        <v>marcher</v>
      </c>
      <c r="C1259" s="17" t="str">
        <f>IFERROR(INDEX(Mots!$N:$N,MATCH($A1259,Mots!$A:$A,0)),"")</f>
        <v>action</v>
      </c>
      <c r="D1259" s="17">
        <f>IFERROR(COUNTA(INDEX(Mots!$E:$E,MATCH($A1259,Mots!$A:$A,0)):INDEX(Mots!$K:$K,MATCH($A1259,Mots!$A:$A,0))),0)</f>
        <v>5</v>
      </c>
      <c r="E1259" s="17" t="str">
        <f>IF(COUNTIF(Classement!$A:$A,$A1259)&gt;0,"ok","à faire")</f>
        <v>ok</v>
      </c>
      <c r="F1259" s="17" t="str">
        <f>IF(COUNTIF(Tags!$A:$A,$A1259)&gt;0,"ok","à faire")</f>
        <v>ok</v>
      </c>
      <c r="G1259" s="17" t="str">
        <f>IF(COUNTIF(Phrases!$A:$A,$A1259)&gt;0,"ok","à faire")</f>
        <v>ok</v>
      </c>
      <c r="H1259" s="17" t="str">
        <f>IF(COUNTIFS(Phrases!$A:$A,$A1259,Phrases!$I:$I,"&lt;&gt;")&gt;0,"ok","à faire")</f>
        <v>ok</v>
      </c>
      <c r="I1259" s="17" t="str">
        <f>IF(COUNTIF(Synonymes!$A:$A,$A1259)&gt;0,"ok","")</f>
        <v/>
      </c>
      <c r="J1259" s="17">
        <f t="shared" si="19"/>
        <v>0</v>
      </c>
    </row>
    <row r="1260" spans="1:10" x14ac:dyDescent="0.3">
      <c r="A1260" s="17" t="s">
        <v>6936</v>
      </c>
      <c r="B1260" s="17" t="str">
        <f>IFERROR(INDEX(Mots!$B:$B,MATCH($A1260,Mots!$A:$A,0)),"introuvable")</f>
        <v>masculin</v>
      </c>
      <c r="C1260" s="17" t="str">
        <f>IFERROR(INDEX(Mots!$N:$N,MATCH($A1260,Mots!$A:$A,0)),"")</f>
        <v>qualité</v>
      </c>
      <c r="D1260" s="17">
        <f>IFERROR(COUNTA(INDEX(Mots!$E:$E,MATCH($A1260,Mots!$A:$A,0)):INDEX(Mots!$K:$K,MATCH($A1260,Mots!$A:$A,0))),0)</f>
        <v>1</v>
      </c>
      <c r="E1260" s="17" t="str">
        <f>IF(COUNTIF(Classement!$A:$A,$A1260)&gt;0,"ok","à faire")</f>
        <v>ok</v>
      </c>
      <c r="F1260" s="17" t="str">
        <f>IF(COUNTIF(Tags!$A:$A,$A1260)&gt;0,"ok","à faire")</f>
        <v>à faire</v>
      </c>
      <c r="G1260" s="17" t="str">
        <f>IF(COUNTIF(Phrases!$A:$A,$A1260)&gt;0,"ok","à faire")</f>
        <v>ok</v>
      </c>
      <c r="H1260" s="17" t="str">
        <f>IF(COUNTIFS(Phrases!$A:$A,$A1260,Phrases!$I:$I,"&lt;&gt;")&gt;0,"ok","à faire")</f>
        <v>à faire</v>
      </c>
      <c r="I1260" s="17" t="str">
        <f>IF(COUNTIF(Synonymes!$A:$A,$A1260)&gt;0,"ok","")</f>
        <v/>
      </c>
      <c r="J1260" s="17">
        <f t="shared" si="19"/>
        <v>2</v>
      </c>
    </row>
    <row r="1261" spans="1:10" x14ac:dyDescent="0.3">
      <c r="A1261" s="17" t="s">
        <v>6939</v>
      </c>
      <c r="B1261" s="17" t="str">
        <f>IFERROR(INDEX(Mots!$B:$B,MATCH($A1261,Mots!$A:$A,0)),"introuvable")</f>
        <v>mentir</v>
      </c>
      <c r="C1261" s="17" t="str">
        <f>IFERROR(INDEX(Mots!$N:$N,MATCH($A1261,Mots!$A:$A,0)),"")</f>
        <v>action</v>
      </c>
      <c r="D1261" s="17">
        <f>IFERROR(COUNTA(INDEX(Mots!$E:$E,MATCH($A1261,Mots!$A:$A,0)):INDEX(Mots!$K:$K,MATCH($A1261,Mots!$A:$A,0))),0)</f>
        <v>2</v>
      </c>
      <c r="E1261" s="17" t="str">
        <f>IF(COUNTIF(Classement!$A:$A,$A1261)&gt;0,"ok","à faire")</f>
        <v>ok</v>
      </c>
      <c r="F1261" s="17" t="str">
        <f>IF(COUNTIF(Tags!$A:$A,$A1261)&gt;0,"ok","à faire")</f>
        <v>ok</v>
      </c>
      <c r="G1261" s="17" t="str">
        <f>IF(COUNTIF(Phrases!$A:$A,$A1261)&gt;0,"ok","à faire")</f>
        <v>ok</v>
      </c>
      <c r="H1261" s="17" t="str">
        <f>IF(COUNTIFS(Phrases!$A:$A,$A1261,Phrases!$I:$I,"&lt;&gt;")&gt;0,"ok","à faire")</f>
        <v>à faire</v>
      </c>
      <c r="I1261" s="17" t="str">
        <f>IF(COUNTIF(Synonymes!$A:$A,$A1261)&gt;0,"ok","")</f>
        <v/>
      </c>
      <c r="J1261" s="17">
        <f t="shared" si="19"/>
        <v>1</v>
      </c>
    </row>
    <row r="1262" spans="1:10" x14ac:dyDescent="0.3">
      <c r="A1262" s="17" t="s">
        <v>6942</v>
      </c>
      <c r="B1262" s="17" t="str">
        <f>IFERROR(INDEX(Mots!$B:$B,MATCH($A1262,Mots!$A:$A,0)),"introuvable")</f>
        <v>merveilleux</v>
      </c>
      <c r="C1262" s="17" t="str">
        <f>IFERROR(INDEX(Mots!$N:$N,MATCH($A1262,Mots!$A:$A,0)),"")</f>
        <v>qualité</v>
      </c>
      <c r="D1262" s="17">
        <f>IFERROR(COUNTA(INDEX(Mots!$E:$E,MATCH($A1262,Mots!$A:$A,0)):INDEX(Mots!$K:$K,MATCH($A1262,Mots!$A:$A,0))),0)</f>
        <v>1</v>
      </c>
      <c r="E1262" s="17" t="str">
        <f>IF(COUNTIF(Classement!$A:$A,$A1262)&gt;0,"ok","à faire")</f>
        <v>ok</v>
      </c>
      <c r="F1262" s="17" t="str">
        <f>IF(COUNTIF(Tags!$A:$A,$A1262)&gt;0,"ok","à faire")</f>
        <v>ok</v>
      </c>
      <c r="G1262" s="17" t="str">
        <f>IF(COUNTIF(Phrases!$A:$A,$A1262)&gt;0,"ok","à faire")</f>
        <v>ok</v>
      </c>
      <c r="H1262" s="17" t="str">
        <f>IF(COUNTIFS(Phrases!$A:$A,$A1262,Phrases!$I:$I,"&lt;&gt;")&gt;0,"ok","à faire")</f>
        <v>à faire</v>
      </c>
      <c r="I1262" s="17" t="str">
        <f>IF(COUNTIF(Synonymes!$A:$A,$A1262)&gt;0,"ok","")</f>
        <v>ok</v>
      </c>
      <c r="J1262" s="17">
        <f t="shared" si="19"/>
        <v>1</v>
      </c>
    </row>
    <row r="1263" spans="1:10" x14ac:dyDescent="0.3">
      <c r="A1263" s="17" t="s">
        <v>6945</v>
      </c>
      <c r="B1263" s="17" t="str">
        <f>IFERROR(INDEX(Mots!$B:$B,MATCH($A1263,Mots!$A:$A,0)),"introuvable")</f>
        <v>monter</v>
      </c>
      <c r="C1263" s="17" t="str">
        <f>IFERROR(INDEX(Mots!$N:$N,MATCH($A1263,Mots!$A:$A,0)),"")</f>
        <v>action</v>
      </c>
      <c r="D1263" s="17">
        <f>IFERROR(COUNTA(INDEX(Mots!$E:$E,MATCH($A1263,Mots!$A:$A,0)):INDEX(Mots!$K:$K,MATCH($A1263,Mots!$A:$A,0))),0)</f>
        <v>5</v>
      </c>
      <c r="E1263" s="17" t="str">
        <f>IF(COUNTIF(Classement!$A:$A,$A1263)&gt;0,"ok","à faire")</f>
        <v>ok</v>
      </c>
      <c r="F1263" s="17" t="str">
        <f>IF(COUNTIF(Tags!$A:$A,$A1263)&gt;0,"ok","à faire")</f>
        <v>à faire</v>
      </c>
      <c r="G1263" s="17" t="str">
        <f>IF(COUNTIF(Phrases!$A:$A,$A1263)&gt;0,"ok","à faire")</f>
        <v>ok</v>
      </c>
      <c r="H1263" s="17" t="str">
        <f>IF(COUNTIFS(Phrases!$A:$A,$A1263,Phrases!$I:$I,"&lt;&gt;")&gt;0,"ok","à faire")</f>
        <v>à faire</v>
      </c>
      <c r="I1263" s="17" t="str">
        <f>IF(COUNTIF(Synonymes!$A:$A,$A1263)&gt;0,"ok","")</f>
        <v/>
      </c>
      <c r="J1263" s="17">
        <f t="shared" si="19"/>
        <v>2</v>
      </c>
    </row>
    <row r="1264" spans="1:10" x14ac:dyDescent="0.3">
      <c r="A1264" s="17" t="s">
        <v>6949</v>
      </c>
      <c r="B1264" s="17" t="str">
        <f>IFERROR(INDEX(Mots!$B:$B,MATCH($A1264,Mots!$A:$A,0)),"introuvable")</f>
        <v>montrer</v>
      </c>
      <c r="C1264" s="17" t="str">
        <f>IFERROR(INDEX(Mots!$N:$N,MATCH($A1264,Mots!$A:$A,0)),"")</f>
        <v>action</v>
      </c>
      <c r="D1264" s="17">
        <f>IFERROR(COUNTA(INDEX(Mots!$E:$E,MATCH($A1264,Mots!$A:$A,0)):INDEX(Mots!$K:$K,MATCH($A1264,Mots!$A:$A,0))),0)</f>
        <v>4</v>
      </c>
      <c r="E1264" s="17" t="str">
        <f>IF(COUNTIF(Classement!$A:$A,$A1264)&gt;0,"ok","à faire")</f>
        <v>ok</v>
      </c>
      <c r="F1264" s="17" t="str">
        <f>IF(COUNTIF(Tags!$A:$A,$A1264)&gt;0,"ok","à faire")</f>
        <v>à faire</v>
      </c>
      <c r="G1264" s="17" t="str">
        <f>IF(COUNTIF(Phrases!$A:$A,$A1264)&gt;0,"ok","à faire")</f>
        <v>ok</v>
      </c>
      <c r="H1264" s="17" t="str">
        <f>IF(COUNTIFS(Phrases!$A:$A,$A1264,Phrases!$I:$I,"&lt;&gt;")&gt;0,"ok","à faire")</f>
        <v>ok</v>
      </c>
      <c r="I1264" s="17" t="str">
        <f>IF(COUNTIF(Synonymes!$A:$A,$A1264)&gt;0,"ok","")</f>
        <v>ok</v>
      </c>
      <c r="J1264" s="17">
        <f t="shared" si="19"/>
        <v>1</v>
      </c>
    </row>
    <row r="1265" spans="1:10" x14ac:dyDescent="0.3">
      <c r="A1265" s="17" t="s">
        <v>6956</v>
      </c>
      <c r="B1265" s="17" t="str">
        <f>IFERROR(INDEX(Mots!$B:$B,MATCH($A1265,Mots!$A:$A,0)),"introuvable")</f>
        <v>nager</v>
      </c>
      <c r="C1265" s="17" t="str">
        <f>IFERROR(INDEX(Mots!$N:$N,MATCH($A1265,Mots!$A:$A,0)),"")</f>
        <v>action</v>
      </c>
      <c r="D1265" s="17">
        <f>IFERROR(COUNTA(INDEX(Mots!$E:$E,MATCH($A1265,Mots!$A:$A,0)):INDEX(Mots!$K:$K,MATCH($A1265,Mots!$A:$A,0))),0)</f>
        <v>5</v>
      </c>
      <c r="E1265" s="17" t="str">
        <f>IF(COUNTIF(Classement!$A:$A,$A1265)&gt;0,"ok","à faire")</f>
        <v>ok</v>
      </c>
      <c r="F1265" s="17" t="str">
        <f>IF(COUNTIF(Tags!$A:$A,$A1265)&gt;0,"ok","à faire")</f>
        <v>ok</v>
      </c>
      <c r="G1265" s="17" t="str">
        <f>IF(COUNTIF(Phrases!$A:$A,$A1265)&gt;0,"ok","à faire")</f>
        <v>ok</v>
      </c>
      <c r="H1265" s="17" t="str">
        <f>IF(COUNTIFS(Phrases!$A:$A,$A1265,Phrases!$I:$I,"&lt;&gt;")&gt;0,"ok","à faire")</f>
        <v>ok</v>
      </c>
      <c r="I1265" s="17" t="str">
        <f>IF(COUNTIF(Synonymes!$A:$A,$A1265)&gt;0,"ok","")</f>
        <v/>
      </c>
      <c r="J1265" s="17">
        <f t="shared" si="19"/>
        <v>0</v>
      </c>
    </row>
    <row r="1266" spans="1:10" x14ac:dyDescent="0.3">
      <c r="A1266" s="17" t="s">
        <v>6964</v>
      </c>
      <c r="B1266" s="17" t="str">
        <f>IFERROR(INDEX(Mots!$B:$B,MATCH($A1266,Mots!$A:$A,0)),"introuvable")</f>
        <v>nettoyer</v>
      </c>
      <c r="C1266" s="17" t="str">
        <f>IFERROR(INDEX(Mots!$N:$N,MATCH($A1266,Mots!$A:$A,0)),"")</f>
        <v>action</v>
      </c>
      <c r="D1266" s="17">
        <f>IFERROR(COUNTA(INDEX(Mots!$E:$E,MATCH($A1266,Mots!$A:$A,0)):INDEX(Mots!$K:$K,MATCH($A1266,Mots!$A:$A,0))),0)</f>
        <v>5</v>
      </c>
      <c r="E1266" s="17" t="str">
        <f>IF(COUNTIF(Classement!$A:$A,$A1266)&gt;0,"ok","à faire")</f>
        <v>ok</v>
      </c>
      <c r="F1266" s="17" t="str">
        <f>IF(COUNTIF(Tags!$A:$A,$A1266)&gt;0,"ok","à faire")</f>
        <v>ok</v>
      </c>
      <c r="G1266" s="17" t="str">
        <f>IF(COUNTIF(Phrases!$A:$A,$A1266)&gt;0,"ok","à faire")</f>
        <v>ok</v>
      </c>
      <c r="H1266" s="17" t="str">
        <f>IF(COUNTIFS(Phrases!$A:$A,$A1266,Phrases!$I:$I,"&lt;&gt;")&gt;0,"ok","à faire")</f>
        <v>ok</v>
      </c>
      <c r="I1266" s="17" t="str">
        <f>IF(COUNTIF(Synonymes!$A:$A,$A1266)&gt;0,"ok","")</f>
        <v>ok</v>
      </c>
      <c r="J1266" s="17">
        <f t="shared" si="19"/>
        <v>0</v>
      </c>
    </row>
    <row r="1267" spans="1:10" x14ac:dyDescent="0.3">
      <c r="A1267" s="17" t="s">
        <v>6972</v>
      </c>
      <c r="B1267" s="17" t="str">
        <f>IFERROR(INDEX(Mots!$B:$B,MATCH($A1267,Mots!$A:$A,0)),"introuvable")</f>
        <v>nombreux</v>
      </c>
      <c r="C1267" s="17" t="str">
        <f>IFERROR(INDEX(Mots!$N:$N,MATCH($A1267,Mots!$A:$A,0)),"")</f>
        <v>qualité</v>
      </c>
      <c r="D1267" s="17">
        <f>IFERROR(COUNTA(INDEX(Mots!$E:$E,MATCH($A1267,Mots!$A:$A,0)):INDEX(Mots!$K:$K,MATCH($A1267,Mots!$A:$A,0))),0)</f>
        <v>1</v>
      </c>
      <c r="E1267" s="17" t="str">
        <f>IF(COUNTIF(Classement!$A:$A,$A1267)&gt;0,"ok","à faire")</f>
        <v>ok</v>
      </c>
      <c r="F1267" s="17" t="str">
        <f>IF(COUNTIF(Tags!$A:$A,$A1267)&gt;0,"ok","à faire")</f>
        <v>ok</v>
      </c>
      <c r="G1267" s="17" t="str">
        <f>IF(COUNTIF(Phrases!$A:$A,$A1267)&gt;0,"ok","à faire")</f>
        <v>ok</v>
      </c>
      <c r="H1267" s="17" t="str">
        <f>IF(COUNTIFS(Phrases!$A:$A,$A1267,Phrases!$I:$I,"&lt;&gt;")&gt;0,"ok","à faire")</f>
        <v>à faire</v>
      </c>
      <c r="I1267" s="17" t="str">
        <f>IF(COUNTIF(Synonymes!$A:$A,$A1267)&gt;0,"ok","")</f>
        <v>ok</v>
      </c>
      <c r="J1267" s="17">
        <f t="shared" si="19"/>
        <v>1</v>
      </c>
    </row>
    <row r="1268" spans="1:10" x14ac:dyDescent="0.3">
      <c r="A1268" s="17" t="s">
        <v>6976</v>
      </c>
      <c r="B1268" s="17" t="str">
        <f>IFERROR(INDEX(Mots!$B:$B,MATCH($A1268,Mots!$A:$A,0)),"introuvable")</f>
        <v>nu</v>
      </c>
      <c r="C1268" s="17" t="str">
        <f>IFERROR(INDEX(Mots!$N:$N,MATCH($A1268,Mots!$A:$A,0)),"")</f>
        <v>qualité</v>
      </c>
      <c r="D1268" s="17">
        <f>IFERROR(COUNTA(INDEX(Mots!$E:$E,MATCH($A1268,Mots!$A:$A,0)):INDEX(Mots!$K:$K,MATCH($A1268,Mots!$A:$A,0))),0)</f>
        <v>5</v>
      </c>
      <c r="E1268" s="17" t="str">
        <f>IF(COUNTIF(Classement!$A:$A,$A1268)&gt;0,"ok","à faire")</f>
        <v>ok</v>
      </c>
      <c r="F1268" s="17" t="str">
        <f>IF(COUNTIF(Tags!$A:$A,$A1268)&gt;0,"ok","à faire")</f>
        <v>à faire</v>
      </c>
      <c r="G1268" s="17" t="str">
        <f>IF(COUNTIF(Phrases!$A:$A,$A1268)&gt;0,"ok","à faire")</f>
        <v>ok</v>
      </c>
      <c r="H1268" s="17" t="str">
        <f>IF(COUNTIFS(Phrases!$A:$A,$A1268,Phrases!$I:$I,"&lt;&gt;")&gt;0,"ok","à faire")</f>
        <v>ok</v>
      </c>
      <c r="I1268" s="17" t="str">
        <f>IF(COUNTIF(Synonymes!$A:$A,$A1268)&gt;0,"ok","")</f>
        <v/>
      </c>
      <c r="J1268" s="17">
        <f t="shared" si="19"/>
        <v>1</v>
      </c>
    </row>
    <row r="1269" spans="1:10" x14ac:dyDescent="0.3">
      <c r="A1269" s="17" t="s">
        <v>6983</v>
      </c>
      <c r="B1269" s="17" t="str">
        <f>IFERROR(INDEX(Mots!$B:$B,MATCH($A1269,Mots!$A:$A,0)),"introuvable")</f>
        <v>ordonner</v>
      </c>
      <c r="C1269" s="17" t="str">
        <f>IFERROR(INDEX(Mots!$N:$N,MATCH($A1269,Mots!$A:$A,0)),"")</f>
        <v>action</v>
      </c>
      <c r="D1269" s="17">
        <f>IFERROR(COUNTA(INDEX(Mots!$E:$E,MATCH($A1269,Mots!$A:$A,0)):INDEX(Mots!$K:$K,MATCH($A1269,Mots!$A:$A,0))),0)</f>
        <v>1</v>
      </c>
      <c r="E1269" s="17" t="str">
        <f>IF(COUNTIF(Classement!$A:$A,$A1269)&gt;0,"ok","à faire")</f>
        <v>ok</v>
      </c>
      <c r="F1269" s="17" t="str">
        <f>IF(COUNTIF(Tags!$A:$A,$A1269)&gt;0,"ok","à faire")</f>
        <v>ok</v>
      </c>
      <c r="G1269" s="17" t="str">
        <f>IF(COUNTIF(Phrases!$A:$A,$A1269)&gt;0,"ok","à faire")</f>
        <v>ok</v>
      </c>
      <c r="H1269" s="17" t="str">
        <f>IF(COUNTIFS(Phrases!$A:$A,$A1269,Phrases!$I:$I,"&lt;&gt;")&gt;0,"ok","à faire")</f>
        <v>à faire</v>
      </c>
      <c r="I1269" s="17" t="str">
        <f>IF(COUNTIF(Synonymes!$A:$A,$A1269)&gt;0,"ok","")</f>
        <v>ok</v>
      </c>
      <c r="J1269" s="17">
        <f t="shared" si="19"/>
        <v>1</v>
      </c>
    </row>
    <row r="1270" spans="1:10" x14ac:dyDescent="0.3">
      <c r="A1270" s="17" t="s">
        <v>6987</v>
      </c>
      <c r="B1270" s="17" t="str">
        <f>IFERROR(INDEX(Mots!$B:$B,MATCH($A1270,Mots!$A:$A,0)),"introuvable")</f>
        <v>oublier</v>
      </c>
      <c r="C1270" s="17" t="str">
        <f>IFERROR(INDEX(Mots!$N:$N,MATCH($A1270,Mots!$A:$A,0)),"")</f>
        <v>action</v>
      </c>
      <c r="D1270" s="17">
        <f>IFERROR(COUNTA(INDEX(Mots!$E:$E,MATCH($A1270,Mots!$A:$A,0)):INDEX(Mots!$K:$K,MATCH($A1270,Mots!$A:$A,0))),0)</f>
        <v>1</v>
      </c>
      <c r="E1270" s="17" t="str">
        <f>IF(COUNTIF(Classement!$A:$A,$A1270)&gt;0,"ok","à faire")</f>
        <v>ok</v>
      </c>
      <c r="F1270" s="17" t="str">
        <f>IF(COUNTIF(Tags!$A:$A,$A1270)&gt;0,"ok","à faire")</f>
        <v>ok</v>
      </c>
      <c r="G1270" s="17" t="str">
        <f>IF(COUNTIF(Phrases!$A:$A,$A1270)&gt;0,"ok","à faire")</f>
        <v>ok</v>
      </c>
      <c r="H1270" s="17" t="str">
        <f>IF(COUNTIFS(Phrases!$A:$A,$A1270,Phrases!$I:$I,"&lt;&gt;")&gt;0,"ok","à faire")</f>
        <v>ok</v>
      </c>
      <c r="I1270" s="17" t="str">
        <f>IF(COUNTIF(Synonymes!$A:$A,$A1270)&gt;0,"ok","")</f>
        <v/>
      </c>
      <c r="J1270" s="17">
        <f t="shared" si="19"/>
        <v>0</v>
      </c>
    </row>
    <row r="1271" spans="1:10" x14ac:dyDescent="0.3">
      <c r="A1271" s="17" t="s">
        <v>6991</v>
      </c>
      <c r="B1271" s="17" t="str">
        <f>IFERROR(INDEX(Mots!$B:$B,MATCH($A1271,Mots!$A:$A,0)),"introuvable")</f>
        <v>ouvrir</v>
      </c>
      <c r="C1271" s="17" t="str">
        <f>IFERROR(INDEX(Mots!$N:$N,MATCH($A1271,Mots!$A:$A,0)),"")</f>
        <v>action</v>
      </c>
      <c r="D1271" s="17">
        <f>IFERROR(COUNTA(INDEX(Mots!$E:$E,MATCH($A1271,Mots!$A:$A,0)):INDEX(Mots!$K:$K,MATCH($A1271,Mots!$A:$A,0))),0)</f>
        <v>4</v>
      </c>
      <c r="E1271" s="17" t="str">
        <f>IF(COUNTIF(Classement!$A:$A,$A1271)&gt;0,"ok","à faire")</f>
        <v>ok</v>
      </c>
      <c r="F1271" s="17" t="str">
        <f>IF(COUNTIF(Tags!$A:$A,$A1271)&gt;0,"ok","à faire")</f>
        <v>ok</v>
      </c>
      <c r="G1271" s="17" t="str">
        <f>IF(COUNTIF(Phrases!$A:$A,$A1271)&gt;0,"ok","à faire")</f>
        <v>ok</v>
      </c>
      <c r="H1271" s="17" t="str">
        <f>IF(COUNTIFS(Phrases!$A:$A,$A1271,Phrases!$I:$I,"&lt;&gt;")&gt;0,"ok","à faire")</f>
        <v>ok</v>
      </c>
      <c r="I1271" s="17" t="str">
        <f>IF(COUNTIF(Synonymes!$A:$A,$A1271)&gt;0,"ok","")</f>
        <v/>
      </c>
      <c r="J1271" s="17">
        <f t="shared" si="19"/>
        <v>0</v>
      </c>
    </row>
    <row r="1272" spans="1:10" x14ac:dyDescent="0.3">
      <c r="A1272" s="17" t="s">
        <v>9527</v>
      </c>
      <c r="B1272" s="17" t="str">
        <f>IFERROR(INDEX(Mots!$B:$B,MATCH($A1272,Mots!$A:$A,0)),"introuvable")</f>
        <v>pareil</v>
      </c>
      <c r="C1272" s="17" t="str">
        <f>IFERROR(INDEX(Mots!$N:$N,MATCH($A1272,Mots!$A:$A,0)),"")</f>
        <v>qualité</v>
      </c>
      <c r="D1272" s="17">
        <f>IFERROR(COUNTA(INDEX(Mots!$E:$E,MATCH($A1272,Mots!$A:$A,0)):INDEX(Mots!$K:$K,MATCH($A1272,Mots!$A:$A,0))),0)</f>
        <v>2</v>
      </c>
      <c r="E1272" s="17" t="str">
        <f>IF(COUNTIF(Classement!$A:$A,$A1272)&gt;0,"ok","à faire")</f>
        <v>ok</v>
      </c>
      <c r="F1272" s="17" t="str">
        <f>IF(COUNTIF(Tags!$A:$A,$A1272)&gt;0,"ok","à faire")</f>
        <v>à faire</v>
      </c>
      <c r="G1272" s="17" t="str">
        <f>IF(COUNTIF(Phrases!$A:$A,$A1272)&gt;0,"ok","à faire")</f>
        <v>ok</v>
      </c>
      <c r="H1272" s="17" t="str">
        <f>IF(COUNTIFS(Phrases!$A:$A,$A1272,Phrases!$I:$I,"&lt;&gt;")&gt;0,"ok","à faire")</f>
        <v>ok</v>
      </c>
      <c r="I1272" s="17" t="str">
        <f>IF(COUNTIF(Synonymes!$A:$A,$A1272)&gt;0,"ok","")</f>
        <v>ok</v>
      </c>
      <c r="J1272" s="17">
        <f t="shared" si="19"/>
        <v>1</v>
      </c>
    </row>
    <row r="1273" spans="1:10" x14ac:dyDescent="0.3">
      <c r="A1273" s="17" t="s">
        <v>7000</v>
      </c>
      <c r="B1273" s="17" t="str">
        <f>IFERROR(INDEX(Mots!$B:$B,MATCH($A1273,Mots!$A:$A,0)),"introuvable")</f>
        <v>parler</v>
      </c>
      <c r="C1273" s="17" t="str">
        <f>IFERROR(INDEX(Mots!$N:$N,MATCH($A1273,Mots!$A:$A,0)),"")</f>
        <v>action</v>
      </c>
      <c r="D1273" s="17">
        <f>IFERROR(COUNTA(INDEX(Mots!$E:$E,MATCH($A1273,Mots!$A:$A,0)):INDEX(Mots!$K:$K,MATCH($A1273,Mots!$A:$A,0))),0)</f>
        <v>6</v>
      </c>
      <c r="E1273" s="17" t="str">
        <f>IF(COUNTIF(Classement!$A:$A,$A1273)&gt;0,"ok","à faire")</f>
        <v>ok</v>
      </c>
      <c r="F1273" s="17" t="str">
        <f>IF(COUNTIF(Tags!$A:$A,$A1273)&gt;0,"ok","à faire")</f>
        <v>ok</v>
      </c>
      <c r="G1273" s="17" t="str">
        <f>IF(COUNTIF(Phrases!$A:$A,$A1273)&gt;0,"ok","à faire")</f>
        <v>ok</v>
      </c>
      <c r="H1273" s="17" t="str">
        <f>IF(COUNTIFS(Phrases!$A:$A,$A1273,Phrases!$I:$I,"&lt;&gt;")&gt;0,"ok","à faire")</f>
        <v>ok</v>
      </c>
      <c r="I1273" s="17" t="str">
        <f>IF(COUNTIF(Synonymes!$A:$A,$A1273)&gt;0,"ok","")</f>
        <v>ok</v>
      </c>
      <c r="J1273" s="17">
        <f t="shared" si="19"/>
        <v>0</v>
      </c>
    </row>
    <row r="1274" spans="1:10" x14ac:dyDescent="0.3">
      <c r="A1274" s="17" t="s">
        <v>7009</v>
      </c>
      <c r="B1274" s="17" t="str">
        <f>IFERROR(INDEX(Mots!$B:$B,MATCH($A1274,Mots!$A:$A,0)),"introuvable")</f>
        <v>partir</v>
      </c>
      <c r="C1274" s="17" t="str">
        <f>IFERROR(INDEX(Mots!$N:$N,MATCH($A1274,Mots!$A:$A,0)),"")</f>
        <v>action</v>
      </c>
      <c r="D1274" s="17">
        <f>IFERROR(COUNTA(INDEX(Mots!$E:$E,MATCH($A1274,Mots!$A:$A,0)):INDEX(Mots!$K:$K,MATCH($A1274,Mots!$A:$A,0))),0)</f>
        <v>5</v>
      </c>
      <c r="E1274" s="17" t="str">
        <f>IF(COUNTIF(Classement!$A:$A,$A1274)&gt;0,"ok","à faire")</f>
        <v>ok</v>
      </c>
      <c r="F1274" s="17" t="str">
        <f>IF(COUNTIF(Tags!$A:$A,$A1274)&gt;0,"ok","à faire")</f>
        <v>ok</v>
      </c>
      <c r="G1274" s="17" t="str">
        <f>IF(COUNTIF(Phrases!$A:$A,$A1274)&gt;0,"ok","à faire")</f>
        <v>ok</v>
      </c>
      <c r="H1274" s="17" t="str">
        <f>IF(COUNTIFS(Phrases!$A:$A,$A1274,Phrases!$I:$I,"&lt;&gt;")&gt;0,"ok","à faire")</f>
        <v>ok</v>
      </c>
      <c r="I1274" s="17" t="str">
        <f>IF(COUNTIF(Synonymes!$A:$A,$A1274)&gt;0,"ok","")</f>
        <v>ok</v>
      </c>
      <c r="J1274" s="17">
        <f t="shared" si="19"/>
        <v>0</v>
      </c>
    </row>
    <row r="1275" spans="1:10" x14ac:dyDescent="0.3">
      <c r="A1275" s="17" t="s">
        <v>7017</v>
      </c>
      <c r="B1275" s="17" t="str">
        <f>IFERROR(INDEX(Mots!$B:$B,MATCH($A1275,Mots!$A:$A,0)),"introuvable")</f>
        <v>partout</v>
      </c>
      <c r="C1275" s="17" t="str">
        <f>IFERROR(INDEX(Mots!$N:$N,MATCH($A1275,Mots!$A:$A,0)),"")</f>
        <v>qualité</v>
      </c>
      <c r="D1275" s="17">
        <f>IFERROR(COUNTA(INDEX(Mots!$E:$E,MATCH($A1275,Mots!$A:$A,0)):INDEX(Mots!$K:$K,MATCH($A1275,Mots!$A:$A,0))),0)</f>
        <v>0</v>
      </c>
      <c r="E1275" s="17" t="str">
        <f>IF(COUNTIF(Classement!$A:$A,$A1275)&gt;0,"ok","à faire")</f>
        <v>ok</v>
      </c>
      <c r="F1275" s="17" t="str">
        <f>IF(COUNTIF(Tags!$A:$A,$A1275)&gt;0,"ok","à faire")</f>
        <v>ok</v>
      </c>
      <c r="G1275" s="17" t="str">
        <f>IF(COUNTIF(Phrases!$A:$A,$A1275)&gt;0,"ok","à faire")</f>
        <v>ok</v>
      </c>
      <c r="H1275" s="17" t="str">
        <f>IF(COUNTIFS(Phrases!$A:$A,$A1275,Phrases!$I:$I,"&lt;&gt;")&gt;0,"ok","à faire")</f>
        <v>ok</v>
      </c>
      <c r="I1275" s="17" t="str">
        <f>IF(COUNTIF(Synonymes!$A:$A,$A1275)&gt;0,"ok","")</f>
        <v/>
      </c>
      <c r="J1275" s="17">
        <f t="shared" si="19"/>
        <v>0</v>
      </c>
    </row>
    <row r="1276" spans="1:10" x14ac:dyDescent="0.3">
      <c r="A1276" s="17" t="s">
        <v>7020</v>
      </c>
      <c r="B1276" s="17" t="str">
        <f>IFERROR(INDEX(Mots!$B:$B,MATCH($A1276,Mots!$A:$A,0)),"introuvable")</f>
        <v>payer</v>
      </c>
      <c r="C1276" s="17" t="str">
        <f>IFERROR(INDEX(Mots!$N:$N,MATCH($A1276,Mots!$A:$A,0)),"")</f>
        <v>action</v>
      </c>
      <c r="D1276" s="17">
        <f>IFERROR(COUNTA(INDEX(Mots!$E:$E,MATCH($A1276,Mots!$A:$A,0)):INDEX(Mots!$K:$K,MATCH($A1276,Mots!$A:$A,0))),0)</f>
        <v>5</v>
      </c>
      <c r="E1276" s="17" t="str">
        <f>IF(COUNTIF(Classement!$A:$A,$A1276)&gt;0,"ok","à faire")</f>
        <v>ok</v>
      </c>
      <c r="F1276" s="17" t="str">
        <f>IF(COUNTIF(Tags!$A:$A,$A1276)&gt;0,"ok","à faire")</f>
        <v>ok</v>
      </c>
      <c r="G1276" s="17" t="str">
        <f>IF(COUNTIF(Phrases!$A:$A,$A1276)&gt;0,"ok","à faire")</f>
        <v>ok</v>
      </c>
      <c r="H1276" s="17" t="str">
        <f>IF(COUNTIFS(Phrases!$A:$A,$A1276,Phrases!$I:$I,"&lt;&gt;")&gt;0,"ok","à faire")</f>
        <v>ok</v>
      </c>
      <c r="I1276" s="17" t="str">
        <f>IF(COUNTIF(Synonymes!$A:$A,$A1276)&gt;0,"ok","")</f>
        <v>ok</v>
      </c>
      <c r="J1276" s="17">
        <f t="shared" si="19"/>
        <v>0</v>
      </c>
    </row>
    <row r="1277" spans="1:10" x14ac:dyDescent="0.3">
      <c r="A1277" s="17" t="s">
        <v>7032</v>
      </c>
      <c r="B1277" s="17" t="str">
        <f>IFERROR(INDEX(Mots!$B:$B,MATCH($A1277,Mots!$A:$A,0)),"introuvable")</f>
        <v>penser</v>
      </c>
      <c r="C1277" s="17" t="str">
        <f>IFERROR(INDEX(Mots!$N:$N,MATCH($A1277,Mots!$A:$A,0)),"")</f>
        <v>action</v>
      </c>
      <c r="D1277" s="17">
        <f>IFERROR(COUNTA(INDEX(Mots!$E:$E,MATCH($A1277,Mots!$A:$A,0)):INDEX(Mots!$K:$K,MATCH($A1277,Mots!$A:$A,0))),0)</f>
        <v>1</v>
      </c>
      <c r="E1277" s="17" t="str">
        <f>IF(COUNTIF(Classement!$A:$A,$A1277)&gt;0,"ok","à faire")</f>
        <v>ok</v>
      </c>
      <c r="F1277" s="17" t="str">
        <f>IF(COUNTIF(Tags!$A:$A,$A1277)&gt;0,"ok","à faire")</f>
        <v>ok</v>
      </c>
      <c r="G1277" s="17" t="str">
        <f>IF(COUNTIF(Phrases!$A:$A,$A1277)&gt;0,"ok","à faire")</f>
        <v>ok</v>
      </c>
      <c r="H1277" s="17" t="str">
        <f>IF(COUNTIFS(Phrases!$A:$A,$A1277,Phrases!$I:$I,"&lt;&gt;")&gt;0,"ok","à faire")</f>
        <v>ok</v>
      </c>
      <c r="I1277" s="17" t="str">
        <f>IF(COUNTIF(Synonymes!$A:$A,$A1277)&gt;0,"ok","")</f>
        <v/>
      </c>
      <c r="J1277" s="17">
        <f t="shared" si="19"/>
        <v>0</v>
      </c>
    </row>
    <row r="1278" spans="1:10" x14ac:dyDescent="0.3">
      <c r="A1278" s="17" t="s">
        <v>7036</v>
      </c>
      <c r="B1278" s="17" t="str">
        <f>IFERROR(INDEX(Mots!$B:$B,MATCH($A1278,Mots!$A:$A,0)),"introuvable")</f>
        <v>perdre</v>
      </c>
      <c r="C1278" s="17" t="str">
        <f>IFERROR(INDEX(Mots!$N:$N,MATCH($A1278,Mots!$A:$A,0)),"")</f>
        <v>action</v>
      </c>
      <c r="D1278" s="17">
        <f>IFERROR(COUNTA(INDEX(Mots!$E:$E,MATCH($A1278,Mots!$A:$A,0)):INDEX(Mots!$K:$K,MATCH($A1278,Mots!$A:$A,0))),0)</f>
        <v>4</v>
      </c>
      <c r="E1278" s="17" t="str">
        <f>IF(COUNTIF(Classement!$A:$A,$A1278)&gt;0,"ok","à faire")</f>
        <v>ok</v>
      </c>
      <c r="F1278" s="17" t="str">
        <f>IF(COUNTIF(Tags!$A:$A,$A1278)&gt;0,"ok","à faire")</f>
        <v>ok</v>
      </c>
      <c r="G1278" s="17" t="str">
        <f>IF(COUNTIF(Phrases!$A:$A,$A1278)&gt;0,"ok","à faire")</f>
        <v>ok</v>
      </c>
      <c r="H1278" s="17" t="str">
        <f>IF(COUNTIFS(Phrases!$A:$A,$A1278,Phrases!$I:$I,"&lt;&gt;")&gt;0,"ok","à faire")</f>
        <v>ok</v>
      </c>
      <c r="I1278" s="17" t="str">
        <f>IF(COUNTIF(Synonymes!$A:$A,$A1278)&gt;0,"ok","")</f>
        <v>ok</v>
      </c>
      <c r="J1278" s="17">
        <f t="shared" si="19"/>
        <v>0</v>
      </c>
    </row>
    <row r="1279" spans="1:10" x14ac:dyDescent="0.3">
      <c r="A1279" s="17" t="s">
        <v>7039</v>
      </c>
      <c r="B1279" s="17" t="str">
        <f>IFERROR(INDEX(Mots!$B:$B,MATCH($A1279,Mots!$A:$A,0)),"introuvable")</f>
        <v>peu</v>
      </c>
      <c r="C1279" s="17" t="str">
        <f>IFERROR(INDEX(Mots!$N:$N,MATCH($A1279,Mots!$A:$A,0)),"")</f>
        <v>mot utile</v>
      </c>
      <c r="D1279" s="17">
        <f>IFERROR(COUNTA(INDEX(Mots!$E:$E,MATCH($A1279,Mots!$A:$A,0)):INDEX(Mots!$K:$K,MATCH($A1279,Mots!$A:$A,0))),0)</f>
        <v>3</v>
      </c>
      <c r="E1279" s="17" t="str">
        <f>IF(COUNTIF(Classement!$A:$A,$A1279)&gt;0,"ok","à faire")</f>
        <v>ok</v>
      </c>
      <c r="F1279" s="17" t="str">
        <f>IF(COUNTIF(Tags!$A:$A,$A1279)&gt;0,"ok","à faire")</f>
        <v>ok</v>
      </c>
      <c r="G1279" s="17" t="str">
        <f>IF(COUNTIF(Phrases!$A:$A,$A1279)&gt;0,"ok","à faire")</f>
        <v>à faire</v>
      </c>
      <c r="H1279" s="17" t="str">
        <f>IF(COUNTIFS(Phrases!$A:$A,$A1279,Phrases!$I:$I,"&lt;&gt;")&gt;0,"ok","à faire")</f>
        <v>à faire</v>
      </c>
      <c r="I1279" s="17" t="str">
        <f>IF(COUNTIF(Synonymes!$A:$A,$A1279)&gt;0,"ok","")</f>
        <v/>
      </c>
      <c r="J1279" s="17">
        <f t="shared" si="19"/>
        <v>2</v>
      </c>
    </row>
    <row r="1280" spans="1:10" x14ac:dyDescent="0.3">
      <c r="A1280" s="17" t="s">
        <v>7042</v>
      </c>
      <c r="B1280" s="17" t="str">
        <f>IFERROR(INDEX(Mots!$B:$B,MATCH($A1280,Mots!$A:$A,0)),"introuvable")</f>
        <v>Philippe Germanier</v>
      </c>
      <c r="C1280" s="17" t="str">
        <f>IFERROR(INDEX(Mots!$N:$N,MATCH($A1280,Mots!$A:$A,0)),"")</f>
        <v>personne</v>
      </c>
      <c r="D1280" s="17">
        <f>IFERROR(COUNTA(INDEX(Mots!$E:$E,MATCH($A1280,Mots!$A:$A,0)):INDEX(Mots!$K:$K,MATCH($A1280,Mots!$A:$A,0))),0)</f>
        <v>1</v>
      </c>
      <c r="E1280" s="17" t="str">
        <f>IF(COUNTIF(Classement!$A:$A,$A1280)&gt;0,"ok","à faire")</f>
        <v>ok</v>
      </c>
      <c r="F1280" s="17" t="str">
        <f>IF(COUNTIF(Tags!$A:$A,$A1280)&gt;0,"ok","à faire")</f>
        <v>ok</v>
      </c>
      <c r="G1280" s="17" t="str">
        <f>IF(COUNTIF(Phrases!$A:$A,$A1280)&gt;0,"ok","à faire")</f>
        <v>à faire</v>
      </c>
      <c r="H1280" s="17" t="str">
        <f>IF(COUNTIFS(Phrases!$A:$A,$A1280,Phrases!$I:$I,"&lt;&gt;")&gt;0,"ok","à faire")</f>
        <v>à faire</v>
      </c>
      <c r="I1280" s="17" t="str">
        <f>IF(COUNTIF(Synonymes!$A:$A,$A1280)&gt;0,"ok","")</f>
        <v/>
      </c>
      <c r="J1280" s="17">
        <f t="shared" si="19"/>
        <v>2</v>
      </c>
    </row>
    <row r="1281" spans="1:10" x14ac:dyDescent="0.3">
      <c r="A1281" s="17" t="s">
        <v>7046</v>
      </c>
      <c r="B1281" s="17" t="str">
        <f>IFERROR(INDEX(Mots!$B:$B,MATCH($A1281,Mots!$A:$A,0)),"introuvable")</f>
        <v>piquant</v>
      </c>
      <c r="C1281" s="17" t="str">
        <f>IFERROR(INDEX(Mots!$N:$N,MATCH($A1281,Mots!$A:$A,0)),"")</f>
        <v>qualité</v>
      </c>
      <c r="D1281" s="17">
        <f>IFERROR(COUNTA(INDEX(Mots!$E:$E,MATCH($A1281,Mots!$A:$A,0)):INDEX(Mots!$K:$K,MATCH($A1281,Mots!$A:$A,0))),0)</f>
        <v>1</v>
      </c>
      <c r="E1281" s="17" t="str">
        <f>IF(COUNTIF(Classement!$A:$A,$A1281)&gt;0,"ok","à faire")</f>
        <v>ok</v>
      </c>
      <c r="F1281" s="17" t="str">
        <f>IF(COUNTIF(Tags!$A:$A,$A1281)&gt;0,"ok","à faire")</f>
        <v>ok</v>
      </c>
      <c r="G1281" s="17" t="str">
        <f>IF(COUNTIF(Phrases!$A:$A,$A1281)&gt;0,"ok","à faire")</f>
        <v>ok</v>
      </c>
      <c r="H1281" s="17" t="str">
        <f>IF(COUNTIFS(Phrases!$A:$A,$A1281,Phrases!$I:$I,"&lt;&gt;")&gt;0,"ok","à faire")</f>
        <v>à faire</v>
      </c>
      <c r="I1281" s="17" t="str">
        <f>IF(COUNTIF(Synonymes!$A:$A,$A1281)&gt;0,"ok","")</f>
        <v/>
      </c>
      <c r="J1281" s="17">
        <f t="shared" ref="J1281:J1344" si="20">COUNTIF(E1281:H1281,"à faire")</f>
        <v>1</v>
      </c>
    </row>
    <row r="1282" spans="1:10" x14ac:dyDescent="0.3">
      <c r="A1282" s="17" t="s">
        <v>7049</v>
      </c>
      <c r="B1282" s="17" t="str">
        <f>IFERROR(INDEX(Mots!$B:$B,MATCH($A1282,Mots!$A:$A,0)),"introuvable")</f>
        <v>plaindre</v>
      </c>
      <c r="C1282" s="17" t="str">
        <f>IFERROR(INDEX(Mots!$N:$N,MATCH($A1282,Mots!$A:$A,0)),"")</f>
        <v>action</v>
      </c>
      <c r="D1282" s="17">
        <f>IFERROR(COUNTA(INDEX(Mots!$E:$E,MATCH($A1282,Mots!$A:$A,0)):INDEX(Mots!$K:$K,MATCH($A1282,Mots!$A:$A,0))),0)</f>
        <v>1</v>
      </c>
      <c r="E1282" s="17" t="str">
        <f>IF(COUNTIF(Classement!$A:$A,$A1282)&gt;0,"ok","à faire")</f>
        <v>ok</v>
      </c>
      <c r="F1282" s="17" t="str">
        <f>IF(COUNTIF(Tags!$A:$A,$A1282)&gt;0,"ok","à faire")</f>
        <v>ok</v>
      </c>
      <c r="G1282" s="17" t="str">
        <f>IF(COUNTIF(Phrases!$A:$A,$A1282)&gt;0,"ok","à faire")</f>
        <v>ok</v>
      </c>
      <c r="H1282" s="17" t="str">
        <f>IF(COUNTIFS(Phrases!$A:$A,$A1282,Phrases!$I:$I,"&lt;&gt;")&gt;0,"ok","à faire")</f>
        <v>à faire</v>
      </c>
      <c r="I1282" s="17" t="str">
        <f>IF(COUNTIF(Synonymes!$A:$A,$A1282)&gt;0,"ok","")</f>
        <v/>
      </c>
      <c r="J1282" s="17">
        <f t="shared" si="20"/>
        <v>1</v>
      </c>
    </row>
    <row r="1283" spans="1:10" x14ac:dyDescent="0.3">
      <c r="A1283" s="17" t="s">
        <v>7053</v>
      </c>
      <c r="B1283" s="17" t="str">
        <f>IFERROR(INDEX(Mots!$B:$B,MATCH($A1283,Mots!$A:$A,0)),"introuvable")</f>
        <v>pleurer</v>
      </c>
      <c r="C1283" s="17" t="str">
        <f>IFERROR(INDEX(Mots!$N:$N,MATCH($A1283,Mots!$A:$A,0)),"")</f>
        <v>action</v>
      </c>
      <c r="D1283" s="17">
        <f>IFERROR(COUNTA(INDEX(Mots!$E:$E,MATCH($A1283,Mots!$A:$A,0)):INDEX(Mots!$K:$K,MATCH($A1283,Mots!$A:$A,0))),0)</f>
        <v>5</v>
      </c>
      <c r="E1283" s="17" t="str">
        <f>IF(COUNTIF(Classement!$A:$A,$A1283)&gt;0,"ok","à faire")</f>
        <v>ok</v>
      </c>
      <c r="F1283" s="17" t="str">
        <f>IF(COUNTIF(Tags!$A:$A,$A1283)&gt;0,"ok","à faire")</f>
        <v>à faire</v>
      </c>
      <c r="G1283" s="17" t="str">
        <f>IF(COUNTIF(Phrases!$A:$A,$A1283)&gt;0,"ok","à faire")</f>
        <v>ok</v>
      </c>
      <c r="H1283" s="17" t="str">
        <f>IF(COUNTIFS(Phrases!$A:$A,$A1283,Phrases!$I:$I,"&lt;&gt;")&gt;0,"ok","à faire")</f>
        <v>à faire</v>
      </c>
      <c r="I1283" s="17" t="str">
        <f>IF(COUNTIF(Synonymes!$A:$A,$A1283)&gt;0,"ok","")</f>
        <v/>
      </c>
      <c r="J1283" s="17">
        <f t="shared" si="20"/>
        <v>2</v>
      </c>
    </row>
    <row r="1284" spans="1:10" x14ac:dyDescent="0.3">
      <c r="A1284" s="17" t="s">
        <v>9722</v>
      </c>
      <c r="B1284" s="17" t="str">
        <f>IFERROR(INDEX(Mots!$B:$B,MATCH($A1284,Mots!$A:$A,0)),"introuvable")</f>
        <v>plutôt</v>
      </c>
      <c r="C1284" s="17" t="str">
        <f>IFERROR(INDEX(Mots!$N:$N,MATCH($A1284,Mots!$A:$A,0)),"")</f>
        <v>mot utile</v>
      </c>
      <c r="D1284" s="17">
        <f>IFERROR(COUNTA(INDEX(Mots!$E:$E,MATCH($A1284,Mots!$A:$A,0)):INDEX(Mots!$K:$K,MATCH($A1284,Mots!$A:$A,0))),0)</f>
        <v>0</v>
      </c>
      <c r="E1284" s="17" t="str">
        <f>IF(COUNTIF(Classement!$A:$A,$A1284)&gt;0,"ok","à faire")</f>
        <v>ok</v>
      </c>
      <c r="F1284" s="17" t="str">
        <f>IF(COUNTIF(Tags!$A:$A,$A1284)&gt;0,"ok","à faire")</f>
        <v>ok</v>
      </c>
      <c r="G1284" s="17" t="str">
        <f>IF(COUNTIF(Phrases!$A:$A,$A1284)&gt;0,"ok","à faire")</f>
        <v>à faire</v>
      </c>
      <c r="H1284" s="17" t="str">
        <f>IF(COUNTIFS(Phrases!$A:$A,$A1284,Phrases!$I:$I,"&lt;&gt;")&gt;0,"ok","à faire")</f>
        <v>à faire</v>
      </c>
      <c r="I1284" s="17" t="str">
        <f>IF(COUNTIF(Synonymes!$A:$A,$A1284)&gt;0,"ok","")</f>
        <v/>
      </c>
      <c r="J1284" s="17">
        <f t="shared" si="20"/>
        <v>2</v>
      </c>
    </row>
    <row r="1285" spans="1:10" x14ac:dyDescent="0.3">
      <c r="A1285" s="17" t="s">
        <v>7063</v>
      </c>
      <c r="B1285" s="17" t="str">
        <f>IFERROR(INDEX(Mots!$B:$B,MATCH($A1285,Mots!$A:$A,0)),"introuvable")</f>
        <v>porter</v>
      </c>
      <c r="C1285" s="17" t="str">
        <f>IFERROR(INDEX(Mots!$N:$N,MATCH($A1285,Mots!$A:$A,0)),"")</f>
        <v>action</v>
      </c>
      <c r="D1285" s="17">
        <f>IFERROR(COUNTA(INDEX(Mots!$E:$E,MATCH($A1285,Mots!$A:$A,0)):INDEX(Mots!$K:$K,MATCH($A1285,Mots!$A:$A,0))),0)</f>
        <v>5</v>
      </c>
      <c r="E1285" s="17" t="str">
        <f>IF(COUNTIF(Classement!$A:$A,$A1285)&gt;0,"ok","à faire")</f>
        <v>ok</v>
      </c>
      <c r="F1285" s="17" t="str">
        <f>IF(COUNTIF(Tags!$A:$A,$A1285)&gt;0,"ok","à faire")</f>
        <v>ok</v>
      </c>
      <c r="G1285" s="17" t="str">
        <f>IF(COUNTIF(Phrases!$A:$A,$A1285)&gt;0,"ok","à faire")</f>
        <v>ok</v>
      </c>
      <c r="H1285" s="17" t="str">
        <f>IF(COUNTIFS(Phrases!$A:$A,$A1285,Phrases!$I:$I,"&lt;&gt;")&gt;0,"ok","à faire")</f>
        <v>ok</v>
      </c>
      <c r="I1285" s="17" t="str">
        <f>IF(COUNTIF(Synonymes!$A:$A,$A1285)&gt;0,"ok","")</f>
        <v/>
      </c>
      <c r="J1285" s="17">
        <f t="shared" si="20"/>
        <v>0</v>
      </c>
    </row>
    <row r="1286" spans="1:10" x14ac:dyDescent="0.3">
      <c r="A1286" s="17" t="s">
        <v>7071</v>
      </c>
      <c r="B1286" s="17" t="str">
        <f>IFERROR(INDEX(Mots!$B:$B,MATCH($A1286,Mots!$A:$A,0)),"introuvable")</f>
        <v>poser</v>
      </c>
      <c r="C1286" s="17" t="str">
        <f>IFERROR(INDEX(Mots!$N:$N,MATCH($A1286,Mots!$A:$A,0)),"")</f>
        <v>action</v>
      </c>
      <c r="D1286" s="17">
        <f>IFERROR(COUNTA(INDEX(Mots!$E:$E,MATCH($A1286,Mots!$A:$A,0)):INDEX(Mots!$K:$K,MATCH($A1286,Mots!$A:$A,0))),0)</f>
        <v>5</v>
      </c>
      <c r="E1286" s="17" t="str">
        <f>IF(COUNTIF(Classement!$A:$A,$A1286)&gt;0,"ok","à faire")</f>
        <v>ok</v>
      </c>
      <c r="F1286" s="17" t="str">
        <f>IF(COUNTIF(Tags!$A:$A,$A1286)&gt;0,"ok","à faire")</f>
        <v>à faire</v>
      </c>
      <c r="G1286" s="17" t="str">
        <f>IF(COUNTIF(Phrases!$A:$A,$A1286)&gt;0,"ok","à faire")</f>
        <v>ok</v>
      </c>
      <c r="H1286" s="17" t="str">
        <f>IF(COUNTIFS(Phrases!$A:$A,$A1286,Phrases!$I:$I,"&lt;&gt;")&gt;0,"ok","à faire")</f>
        <v>à faire</v>
      </c>
      <c r="I1286" s="17" t="str">
        <f>IF(COUNTIF(Synonymes!$A:$A,$A1286)&gt;0,"ok","")</f>
        <v/>
      </c>
      <c r="J1286" s="17">
        <f t="shared" si="20"/>
        <v>2</v>
      </c>
    </row>
    <row r="1287" spans="1:10" x14ac:dyDescent="0.3">
      <c r="A1287" s="17" t="s">
        <v>7079</v>
      </c>
      <c r="B1287" s="17" t="str">
        <f>IFERROR(INDEX(Mots!$B:$B,MATCH($A1287,Mots!$A:$A,0)),"introuvable")</f>
        <v>possible</v>
      </c>
      <c r="C1287" s="17" t="str">
        <f>IFERROR(INDEX(Mots!$N:$N,MATCH($A1287,Mots!$A:$A,0)),"")</f>
        <v>qualité</v>
      </c>
      <c r="D1287" s="17">
        <f>IFERROR(COUNTA(INDEX(Mots!$E:$E,MATCH($A1287,Mots!$A:$A,0)):INDEX(Mots!$K:$K,MATCH($A1287,Mots!$A:$A,0))),0)</f>
        <v>1</v>
      </c>
      <c r="E1287" s="17" t="str">
        <f>IF(COUNTIF(Classement!$A:$A,$A1287)&gt;0,"ok","à faire")</f>
        <v>ok</v>
      </c>
      <c r="F1287" s="17" t="str">
        <f>IF(COUNTIF(Tags!$A:$A,$A1287)&gt;0,"ok","à faire")</f>
        <v>à faire</v>
      </c>
      <c r="G1287" s="17" t="str">
        <f>IF(COUNTIF(Phrases!$A:$A,$A1287)&gt;0,"ok","à faire")</f>
        <v>ok</v>
      </c>
      <c r="H1287" s="17" t="str">
        <f>IF(COUNTIFS(Phrases!$A:$A,$A1287,Phrases!$I:$I,"&lt;&gt;")&gt;0,"ok","à faire")</f>
        <v>ok</v>
      </c>
      <c r="I1287" s="17" t="str">
        <f>IF(COUNTIF(Synonymes!$A:$A,$A1287)&gt;0,"ok","")</f>
        <v/>
      </c>
      <c r="J1287" s="17">
        <f t="shared" si="20"/>
        <v>1</v>
      </c>
    </row>
    <row r="1288" spans="1:10" x14ac:dyDescent="0.3">
      <c r="A1288" s="17" t="s">
        <v>7082</v>
      </c>
      <c r="B1288" s="17" t="str">
        <f>IFERROR(INDEX(Mots!$B:$B,MATCH($A1288,Mots!$A:$A,0)),"introuvable")</f>
        <v>pourtant</v>
      </c>
      <c r="C1288" s="17" t="str">
        <f>IFERROR(INDEX(Mots!$N:$N,MATCH($A1288,Mots!$A:$A,0)),"")</f>
        <v>mot utile</v>
      </c>
      <c r="D1288" s="17">
        <f>IFERROR(COUNTA(INDEX(Mots!$E:$E,MATCH($A1288,Mots!$A:$A,0)):INDEX(Mots!$K:$K,MATCH($A1288,Mots!$A:$A,0))),0)</f>
        <v>0</v>
      </c>
      <c r="E1288" s="17" t="str">
        <f>IF(COUNTIF(Classement!$A:$A,$A1288)&gt;0,"ok","à faire")</f>
        <v>ok</v>
      </c>
      <c r="F1288" s="17" t="str">
        <f>IF(COUNTIF(Tags!$A:$A,$A1288)&gt;0,"ok","à faire")</f>
        <v>ok</v>
      </c>
      <c r="G1288" s="17" t="str">
        <f>IF(COUNTIF(Phrases!$A:$A,$A1288)&gt;0,"ok","à faire")</f>
        <v>à faire</v>
      </c>
      <c r="H1288" s="17" t="str">
        <f>IF(COUNTIFS(Phrases!$A:$A,$A1288,Phrases!$I:$I,"&lt;&gt;")&gt;0,"ok","à faire")</f>
        <v>à faire</v>
      </c>
      <c r="I1288" s="17" t="str">
        <f>IF(COUNTIF(Synonymes!$A:$A,$A1288)&gt;0,"ok","")</f>
        <v/>
      </c>
      <c r="J1288" s="17">
        <f t="shared" si="20"/>
        <v>2</v>
      </c>
    </row>
    <row r="1289" spans="1:10" x14ac:dyDescent="0.3">
      <c r="A1289" s="17" t="s">
        <v>7084</v>
      </c>
      <c r="B1289" s="17" t="str">
        <f>IFERROR(INDEX(Mots!$B:$B,MATCH($A1289,Mots!$A:$A,0)),"introuvable")</f>
        <v>pousser</v>
      </c>
      <c r="C1289" s="17" t="str">
        <f>IFERROR(INDEX(Mots!$N:$N,MATCH($A1289,Mots!$A:$A,0)),"")</f>
        <v>action</v>
      </c>
      <c r="D1289" s="17">
        <f>IFERROR(COUNTA(INDEX(Mots!$E:$E,MATCH($A1289,Mots!$A:$A,0)):INDEX(Mots!$K:$K,MATCH($A1289,Mots!$A:$A,0))),0)</f>
        <v>5</v>
      </c>
      <c r="E1289" s="17" t="str">
        <f>IF(COUNTIF(Classement!$A:$A,$A1289)&gt;0,"ok","à faire")</f>
        <v>ok</v>
      </c>
      <c r="F1289" s="17" t="str">
        <f>IF(COUNTIF(Tags!$A:$A,$A1289)&gt;0,"ok","à faire")</f>
        <v>ok</v>
      </c>
      <c r="G1289" s="17" t="str">
        <f>IF(COUNTIF(Phrases!$A:$A,$A1289)&gt;0,"ok","à faire")</f>
        <v>ok</v>
      </c>
      <c r="H1289" s="17" t="str">
        <f>IF(COUNTIFS(Phrases!$A:$A,$A1289,Phrases!$I:$I,"&lt;&gt;")&gt;0,"ok","à faire")</f>
        <v>ok</v>
      </c>
      <c r="I1289" s="17" t="str">
        <f>IF(COUNTIF(Synonymes!$A:$A,$A1289)&gt;0,"ok","")</f>
        <v/>
      </c>
      <c r="J1289" s="17">
        <f t="shared" si="20"/>
        <v>0</v>
      </c>
    </row>
    <row r="1290" spans="1:10" x14ac:dyDescent="0.3">
      <c r="A1290" s="17" t="s">
        <v>7092</v>
      </c>
      <c r="B1290" s="17" t="str">
        <f>IFERROR(INDEX(Mots!$B:$B,MATCH($A1290,Mots!$A:$A,0)),"introuvable")</f>
        <v>pouvoir</v>
      </c>
      <c r="C1290" s="17" t="str">
        <f>IFERROR(INDEX(Mots!$N:$N,MATCH($A1290,Mots!$A:$A,0)),"")</f>
        <v>action</v>
      </c>
      <c r="D1290" s="17">
        <f>IFERROR(COUNTA(INDEX(Mots!$E:$E,MATCH($A1290,Mots!$A:$A,0)):INDEX(Mots!$K:$K,MATCH($A1290,Mots!$A:$A,0))),0)</f>
        <v>2</v>
      </c>
      <c r="E1290" s="17" t="str">
        <f>IF(COUNTIF(Classement!$A:$A,$A1290)&gt;0,"ok","à faire")</f>
        <v>ok</v>
      </c>
      <c r="F1290" s="17" t="str">
        <f>IF(COUNTIF(Tags!$A:$A,$A1290)&gt;0,"ok","à faire")</f>
        <v>à faire</v>
      </c>
      <c r="G1290" s="17" t="str">
        <f>IF(COUNTIF(Phrases!$A:$A,$A1290)&gt;0,"ok","à faire")</f>
        <v>à faire</v>
      </c>
      <c r="H1290" s="17" t="str">
        <f>IF(COUNTIFS(Phrases!$A:$A,$A1290,Phrases!$I:$I,"&lt;&gt;")&gt;0,"ok","à faire")</f>
        <v>à faire</v>
      </c>
      <c r="I1290" s="17" t="str">
        <f>IF(COUNTIF(Synonymes!$A:$A,$A1290)&gt;0,"ok","")</f>
        <v/>
      </c>
      <c r="J1290" s="17">
        <f t="shared" si="20"/>
        <v>3</v>
      </c>
    </row>
    <row r="1291" spans="1:10" x14ac:dyDescent="0.3">
      <c r="A1291" s="17" t="s">
        <v>7097</v>
      </c>
      <c r="B1291" s="17" t="str">
        <f>IFERROR(INDEX(Mots!$B:$B,MATCH($A1291,Mots!$A:$A,0)),"introuvable")</f>
        <v>pratique</v>
      </c>
      <c r="C1291" s="17" t="str">
        <f>IFERROR(INDEX(Mots!$N:$N,MATCH($A1291,Mots!$A:$A,0)),"")</f>
        <v>qualité</v>
      </c>
      <c r="D1291" s="17">
        <f>IFERROR(COUNTA(INDEX(Mots!$E:$E,MATCH($A1291,Mots!$A:$A,0)):INDEX(Mots!$K:$K,MATCH($A1291,Mots!$A:$A,0))),0)</f>
        <v>0</v>
      </c>
      <c r="E1291" s="17" t="str">
        <f>IF(COUNTIF(Classement!$A:$A,$A1291)&gt;0,"ok","à faire")</f>
        <v>ok</v>
      </c>
      <c r="F1291" s="17" t="str">
        <f>IF(COUNTIF(Tags!$A:$A,$A1291)&gt;0,"ok","à faire")</f>
        <v>ok</v>
      </c>
      <c r="G1291" s="17" t="str">
        <f>IF(COUNTIF(Phrases!$A:$A,$A1291)&gt;0,"ok","à faire")</f>
        <v>ok</v>
      </c>
      <c r="H1291" s="17" t="str">
        <f>IF(COUNTIFS(Phrases!$A:$A,$A1291,Phrases!$I:$I,"&lt;&gt;")&gt;0,"ok","à faire")</f>
        <v>ok</v>
      </c>
      <c r="I1291" s="17" t="str">
        <f>IF(COUNTIF(Synonymes!$A:$A,$A1291)&gt;0,"ok","")</f>
        <v>ok</v>
      </c>
      <c r="J1291" s="17">
        <f t="shared" si="20"/>
        <v>0</v>
      </c>
    </row>
    <row r="1292" spans="1:10" x14ac:dyDescent="0.3">
      <c r="A1292" s="17" t="s">
        <v>7100</v>
      </c>
      <c r="B1292" s="17" t="str">
        <f>IFERROR(INDEX(Mots!$B:$B,MATCH($A1292,Mots!$A:$A,0)),"introuvable")</f>
        <v>précis</v>
      </c>
      <c r="C1292" s="17" t="str">
        <f>IFERROR(INDEX(Mots!$N:$N,MATCH($A1292,Mots!$A:$A,0)),"")</f>
        <v>qualité</v>
      </c>
      <c r="D1292" s="17">
        <f>IFERROR(COUNTA(INDEX(Mots!$E:$E,MATCH($A1292,Mots!$A:$A,0)):INDEX(Mots!$K:$K,MATCH($A1292,Mots!$A:$A,0))),0)</f>
        <v>0</v>
      </c>
      <c r="E1292" s="17" t="str">
        <f>IF(COUNTIF(Classement!$A:$A,$A1292)&gt;0,"ok","à faire")</f>
        <v>ok</v>
      </c>
      <c r="F1292" s="17" t="str">
        <f>IF(COUNTIF(Tags!$A:$A,$A1292)&gt;0,"ok","à faire")</f>
        <v>à faire</v>
      </c>
      <c r="G1292" s="17" t="str">
        <f>IF(COUNTIF(Phrases!$A:$A,$A1292)&gt;0,"ok","à faire")</f>
        <v>ok</v>
      </c>
      <c r="H1292" s="17" t="str">
        <f>IF(COUNTIFS(Phrases!$A:$A,$A1292,Phrases!$I:$I,"&lt;&gt;")&gt;0,"ok","à faire")</f>
        <v>à faire</v>
      </c>
      <c r="I1292" s="17" t="str">
        <f>IF(COUNTIF(Synonymes!$A:$A,$A1292)&gt;0,"ok","")</f>
        <v/>
      </c>
      <c r="J1292" s="17">
        <f t="shared" si="20"/>
        <v>2</v>
      </c>
    </row>
    <row r="1293" spans="1:10" x14ac:dyDescent="0.3">
      <c r="A1293" s="17" t="s">
        <v>7103</v>
      </c>
      <c r="B1293" s="17" t="str">
        <f>IFERROR(INDEX(Mots!$B:$B,MATCH($A1293,Mots!$A:$A,0)),"introuvable")</f>
        <v>préféré</v>
      </c>
      <c r="C1293" s="17" t="str">
        <f>IFERROR(INDEX(Mots!$N:$N,MATCH($A1293,Mots!$A:$A,0)),"")</f>
        <v>qualité</v>
      </c>
      <c r="D1293" s="17">
        <f>IFERROR(COUNTA(INDEX(Mots!$E:$E,MATCH($A1293,Mots!$A:$A,0)):INDEX(Mots!$K:$K,MATCH($A1293,Mots!$A:$A,0))),0)</f>
        <v>1</v>
      </c>
      <c r="E1293" s="17" t="str">
        <f>IF(COUNTIF(Classement!$A:$A,$A1293)&gt;0,"ok","à faire")</f>
        <v>ok</v>
      </c>
      <c r="F1293" s="17" t="str">
        <f>IF(COUNTIF(Tags!$A:$A,$A1293)&gt;0,"ok","à faire")</f>
        <v>à faire</v>
      </c>
      <c r="G1293" s="17" t="str">
        <f>IF(COUNTIF(Phrases!$A:$A,$A1293)&gt;0,"ok","à faire")</f>
        <v>ok</v>
      </c>
      <c r="H1293" s="17" t="str">
        <f>IF(COUNTIFS(Phrases!$A:$A,$A1293,Phrases!$I:$I,"&lt;&gt;")&gt;0,"ok","à faire")</f>
        <v>ok</v>
      </c>
      <c r="I1293" s="17" t="str">
        <f>IF(COUNTIF(Synonymes!$A:$A,$A1293)&gt;0,"ok","")</f>
        <v/>
      </c>
      <c r="J1293" s="17">
        <f t="shared" si="20"/>
        <v>1</v>
      </c>
    </row>
    <row r="1294" spans="1:10" x14ac:dyDescent="0.3">
      <c r="A1294" s="17" t="s">
        <v>7107</v>
      </c>
      <c r="B1294" s="17" t="str">
        <f>IFERROR(INDEX(Mots!$B:$B,MATCH($A1294,Mots!$A:$A,0)),"introuvable")</f>
        <v>prendre</v>
      </c>
      <c r="C1294" s="17" t="str">
        <f>IFERROR(INDEX(Mots!$N:$N,MATCH($A1294,Mots!$A:$A,0)),"")</f>
        <v>action</v>
      </c>
      <c r="D1294" s="17">
        <f>IFERROR(COUNTA(INDEX(Mots!$E:$E,MATCH($A1294,Mots!$A:$A,0)):INDEX(Mots!$K:$K,MATCH($A1294,Mots!$A:$A,0))),0)</f>
        <v>4</v>
      </c>
      <c r="E1294" s="17" t="str">
        <f>IF(COUNTIF(Classement!$A:$A,$A1294)&gt;0,"ok","à faire")</f>
        <v>ok</v>
      </c>
      <c r="F1294" s="17" t="str">
        <f>IF(COUNTIF(Tags!$A:$A,$A1294)&gt;0,"ok","à faire")</f>
        <v>ok</v>
      </c>
      <c r="G1294" s="17" t="str">
        <f>IF(COUNTIF(Phrases!$A:$A,$A1294)&gt;0,"ok","à faire")</f>
        <v>ok</v>
      </c>
      <c r="H1294" s="17" t="str">
        <f>IF(COUNTIFS(Phrases!$A:$A,$A1294,Phrases!$I:$I,"&lt;&gt;")&gt;0,"ok","à faire")</f>
        <v>à faire</v>
      </c>
      <c r="I1294" s="17" t="str">
        <f>IF(COUNTIF(Synonymes!$A:$A,$A1294)&gt;0,"ok","")</f>
        <v/>
      </c>
      <c r="J1294" s="17">
        <f t="shared" si="20"/>
        <v>1</v>
      </c>
    </row>
    <row r="1295" spans="1:10" x14ac:dyDescent="0.3">
      <c r="A1295" s="17" t="s">
        <v>7114</v>
      </c>
      <c r="B1295" s="17" t="str">
        <f>IFERROR(INDEX(Mots!$B:$B,MATCH($A1295,Mots!$A:$A,0)),"introuvable")</f>
        <v>préparer</v>
      </c>
      <c r="C1295" s="17" t="str">
        <f>IFERROR(INDEX(Mots!$N:$N,MATCH($A1295,Mots!$A:$A,0)),"")</f>
        <v>action</v>
      </c>
      <c r="D1295" s="17">
        <f>IFERROR(COUNTA(INDEX(Mots!$E:$E,MATCH($A1295,Mots!$A:$A,0)):INDEX(Mots!$K:$K,MATCH($A1295,Mots!$A:$A,0))),0)</f>
        <v>4</v>
      </c>
      <c r="E1295" s="17" t="str">
        <f>IF(COUNTIF(Classement!$A:$A,$A1295)&gt;0,"ok","à faire")</f>
        <v>ok</v>
      </c>
      <c r="F1295" s="17" t="str">
        <f>IF(COUNTIF(Tags!$A:$A,$A1295)&gt;0,"ok","à faire")</f>
        <v>ok</v>
      </c>
      <c r="G1295" s="17" t="str">
        <f>IF(COUNTIF(Phrases!$A:$A,$A1295)&gt;0,"ok","à faire")</f>
        <v>ok</v>
      </c>
      <c r="H1295" s="17" t="str">
        <f>IF(COUNTIFS(Phrases!$A:$A,$A1295,Phrases!$I:$I,"&lt;&gt;")&gt;0,"ok","à faire")</f>
        <v>ok</v>
      </c>
      <c r="I1295" s="17" t="str">
        <f>IF(COUNTIF(Synonymes!$A:$A,$A1295)&gt;0,"ok","")</f>
        <v/>
      </c>
      <c r="J1295" s="17">
        <f t="shared" si="20"/>
        <v>0</v>
      </c>
    </row>
    <row r="1296" spans="1:10" x14ac:dyDescent="0.3">
      <c r="A1296" s="17" t="s">
        <v>7121</v>
      </c>
      <c r="B1296" s="17" t="str">
        <f>IFERROR(INDEX(Mots!$B:$B,MATCH($A1296,Mots!$A:$A,0)),"introuvable")</f>
        <v>près (proche)</v>
      </c>
      <c r="C1296" s="17" t="str">
        <f>IFERROR(INDEX(Mots!$N:$N,MATCH($A1296,Mots!$A:$A,0)),"")</f>
        <v>mot utile</v>
      </c>
      <c r="D1296" s="17">
        <f>IFERROR(COUNTA(INDEX(Mots!$E:$E,MATCH($A1296,Mots!$A:$A,0)):INDEX(Mots!$K:$K,MATCH($A1296,Mots!$A:$A,0))),0)</f>
        <v>1</v>
      </c>
      <c r="E1296" s="17" t="str">
        <f>IF(COUNTIF(Classement!$A:$A,$A1296)&gt;0,"ok","à faire")</f>
        <v>ok</v>
      </c>
      <c r="F1296" s="17" t="str">
        <f>IF(COUNTIF(Tags!$A:$A,$A1296)&gt;0,"ok","à faire")</f>
        <v>ok</v>
      </c>
      <c r="G1296" s="17" t="str">
        <f>IF(COUNTIF(Phrases!$A:$A,$A1296)&gt;0,"ok","à faire")</f>
        <v>à faire</v>
      </c>
      <c r="H1296" s="17" t="str">
        <f>IF(COUNTIFS(Phrases!$A:$A,$A1296,Phrases!$I:$I,"&lt;&gt;")&gt;0,"ok","à faire")</f>
        <v>à faire</v>
      </c>
      <c r="I1296" s="17" t="str">
        <f>IF(COUNTIF(Synonymes!$A:$A,$A1296)&gt;0,"ok","")</f>
        <v/>
      </c>
      <c r="J1296" s="17">
        <f t="shared" si="20"/>
        <v>2</v>
      </c>
    </row>
    <row r="1297" spans="1:10" x14ac:dyDescent="0.3">
      <c r="A1297" s="17" t="s">
        <v>7124</v>
      </c>
      <c r="B1297" s="17" t="str">
        <f>IFERROR(INDEX(Mots!$B:$B,MATCH($A1297,Mots!$A:$A,0)),"introuvable")</f>
        <v>presque</v>
      </c>
      <c r="C1297" s="17" t="str">
        <f>IFERROR(INDEX(Mots!$N:$N,MATCH($A1297,Mots!$A:$A,0)),"")</f>
        <v>mot utile</v>
      </c>
      <c r="D1297" s="17">
        <f>IFERROR(COUNTA(INDEX(Mots!$E:$E,MATCH($A1297,Mots!$A:$A,0)):INDEX(Mots!$K:$K,MATCH($A1297,Mots!$A:$A,0))),0)</f>
        <v>0</v>
      </c>
      <c r="E1297" s="17" t="str">
        <f>IF(COUNTIF(Classement!$A:$A,$A1297)&gt;0,"ok","à faire")</f>
        <v>ok</v>
      </c>
      <c r="F1297" s="17" t="str">
        <f>IF(COUNTIF(Tags!$A:$A,$A1297)&gt;0,"ok","à faire")</f>
        <v>ok</v>
      </c>
      <c r="G1297" s="17" t="str">
        <f>IF(COUNTIF(Phrases!$A:$A,$A1297)&gt;0,"ok","à faire")</f>
        <v>à faire</v>
      </c>
      <c r="H1297" s="17" t="str">
        <f>IF(COUNTIFS(Phrases!$A:$A,$A1297,Phrases!$I:$I,"&lt;&gt;")&gt;0,"ok","à faire")</f>
        <v>à faire</v>
      </c>
      <c r="I1297" s="17" t="str">
        <f>IF(COUNTIF(Synonymes!$A:$A,$A1297)&gt;0,"ok","")</f>
        <v>ok</v>
      </c>
      <c r="J1297" s="17">
        <f t="shared" si="20"/>
        <v>2</v>
      </c>
    </row>
    <row r="1298" spans="1:10" x14ac:dyDescent="0.3">
      <c r="A1298" s="17" t="s">
        <v>7126</v>
      </c>
      <c r="B1298" s="17" t="str">
        <f>IFERROR(INDEX(Mots!$B:$B,MATCH($A1298,Mots!$A:$A,0)),"introuvable")</f>
        <v>prêt</v>
      </c>
      <c r="C1298" s="17" t="str">
        <f>IFERROR(INDEX(Mots!$N:$N,MATCH($A1298,Mots!$A:$A,0)),"")</f>
        <v>qualité</v>
      </c>
      <c r="D1298" s="17">
        <f>IFERROR(COUNTA(INDEX(Mots!$E:$E,MATCH($A1298,Mots!$A:$A,0)):INDEX(Mots!$K:$K,MATCH($A1298,Mots!$A:$A,0))),0)</f>
        <v>1</v>
      </c>
      <c r="E1298" s="17" t="str">
        <f>IF(COUNTIF(Classement!$A:$A,$A1298)&gt;0,"ok","à faire")</f>
        <v>ok</v>
      </c>
      <c r="F1298" s="17" t="str">
        <f>IF(COUNTIF(Tags!$A:$A,$A1298)&gt;0,"ok","à faire")</f>
        <v>ok</v>
      </c>
      <c r="G1298" s="17" t="str">
        <f>IF(COUNTIF(Phrases!$A:$A,$A1298)&gt;0,"ok","à faire")</f>
        <v>ok</v>
      </c>
      <c r="H1298" s="17" t="str">
        <f>IF(COUNTIFS(Phrases!$A:$A,$A1298,Phrases!$I:$I,"&lt;&gt;")&gt;0,"ok","à faire")</f>
        <v>ok</v>
      </c>
      <c r="I1298" s="17" t="str">
        <f>IF(COUNTIF(Synonymes!$A:$A,$A1298)&gt;0,"ok","")</f>
        <v/>
      </c>
      <c r="J1298" s="17">
        <f t="shared" si="20"/>
        <v>0</v>
      </c>
    </row>
    <row r="1299" spans="1:10" x14ac:dyDescent="0.3">
      <c r="A1299" s="17" t="s">
        <v>7130</v>
      </c>
      <c r="B1299" s="17" t="str">
        <f>IFERROR(INDEX(Mots!$B:$B,MATCH($A1299,Mots!$A:$A,0)),"introuvable")</f>
        <v>prévenir</v>
      </c>
      <c r="C1299" s="17" t="str">
        <f>IFERROR(INDEX(Mots!$N:$N,MATCH($A1299,Mots!$A:$A,0)),"")</f>
        <v>action</v>
      </c>
      <c r="D1299" s="17">
        <f>IFERROR(COUNTA(INDEX(Mots!$E:$E,MATCH($A1299,Mots!$A:$A,0)):INDEX(Mots!$K:$K,MATCH($A1299,Mots!$A:$A,0))),0)</f>
        <v>1</v>
      </c>
      <c r="E1299" s="17" t="str">
        <f>IF(COUNTIF(Classement!$A:$A,$A1299)&gt;0,"ok","à faire")</f>
        <v>ok</v>
      </c>
      <c r="F1299" s="17" t="str">
        <f>IF(COUNTIF(Tags!$A:$A,$A1299)&gt;0,"ok","à faire")</f>
        <v>ok</v>
      </c>
      <c r="G1299" s="17" t="str">
        <f>IF(COUNTIF(Phrases!$A:$A,$A1299)&gt;0,"ok","à faire")</f>
        <v>ok</v>
      </c>
      <c r="H1299" s="17" t="str">
        <f>IF(COUNTIFS(Phrases!$A:$A,$A1299,Phrases!$I:$I,"&lt;&gt;")&gt;0,"ok","à faire")</f>
        <v>ok</v>
      </c>
      <c r="I1299" s="17" t="str">
        <f>IF(COUNTIF(Synonymes!$A:$A,$A1299)&gt;0,"ok","")</f>
        <v>ok</v>
      </c>
      <c r="J1299" s="17">
        <f t="shared" si="20"/>
        <v>0</v>
      </c>
    </row>
    <row r="1300" spans="1:10" x14ac:dyDescent="0.3">
      <c r="A1300" s="17" t="s">
        <v>7134</v>
      </c>
      <c r="B1300" s="17" t="str">
        <f>IFERROR(INDEX(Mots!$B:$B,MATCH($A1300,Mots!$A:$A,0)),"introuvable")</f>
        <v>profond</v>
      </c>
      <c r="C1300" s="17" t="str">
        <f>IFERROR(INDEX(Mots!$N:$N,MATCH($A1300,Mots!$A:$A,0)),"")</f>
        <v>qualité</v>
      </c>
      <c r="D1300" s="17">
        <f>IFERROR(COUNTA(INDEX(Mots!$E:$E,MATCH($A1300,Mots!$A:$A,0)):INDEX(Mots!$K:$K,MATCH($A1300,Mots!$A:$A,0))),0)</f>
        <v>1</v>
      </c>
      <c r="E1300" s="17" t="str">
        <f>IF(COUNTIF(Classement!$A:$A,$A1300)&gt;0,"ok","à faire")</f>
        <v>ok</v>
      </c>
      <c r="F1300" s="17" t="str">
        <f>IF(COUNTIF(Tags!$A:$A,$A1300)&gt;0,"ok","à faire")</f>
        <v>ok</v>
      </c>
      <c r="G1300" s="17" t="str">
        <f>IF(COUNTIF(Phrases!$A:$A,$A1300)&gt;0,"ok","à faire")</f>
        <v>ok</v>
      </c>
      <c r="H1300" s="17" t="str">
        <f>IF(COUNTIFS(Phrases!$A:$A,$A1300,Phrases!$I:$I,"&lt;&gt;")&gt;0,"ok","à faire")</f>
        <v>à faire</v>
      </c>
      <c r="I1300" s="17" t="str">
        <f>IF(COUNTIF(Synonymes!$A:$A,$A1300)&gt;0,"ok","")</f>
        <v/>
      </c>
      <c r="J1300" s="17">
        <f t="shared" si="20"/>
        <v>1</v>
      </c>
    </row>
    <row r="1301" spans="1:10" x14ac:dyDescent="0.3">
      <c r="A1301" s="17" t="s">
        <v>7138</v>
      </c>
      <c r="B1301" s="17" t="str">
        <f>IFERROR(INDEX(Mots!$B:$B,MATCH($A1301,Mots!$A:$A,0)),"introuvable")</f>
        <v>promettre</v>
      </c>
      <c r="C1301" s="17" t="str">
        <f>IFERROR(INDEX(Mots!$N:$N,MATCH($A1301,Mots!$A:$A,0)),"")</f>
        <v>action</v>
      </c>
      <c r="D1301" s="17">
        <f>IFERROR(COUNTA(INDEX(Mots!$E:$E,MATCH($A1301,Mots!$A:$A,0)):INDEX(Mots!$K:$K,MATCH($A1301,Mots!$A:$A,0))),0)</f>
        <v>1</v>
      </c>
      <c r="E1301" s="17" t="str">
        <f>IF(COUNTIF(Classement!$A:$A,$A1301)&gt;0,"ok","à faire")</f>
        <v>ok</v>
      </c>
      <c r="F1301" s="17" t="str">
        <f>IF(COUNTIF(Tags!$A:$A,$A1301)&gt;0,"ok","à faire")</f>
        <v>ok</v>
      </c>
      <c r="G1301" s="17" t="str">
        <f>IF(COUNTIF(Phrases!$A:$A,$A1301)&gt;0,"ok","à faire")</f>
        <v>ok</v>
      </c>
      <c r="H1301" s="17" t="str">
        <f>IF(COUNTIFS(Phrases!$A:$A,$A1301,Phrases!$I:$I,"&lt;&gt;")&gt;0,"ok","à faire")</f>
        <v>ok</v>
      </c>
      <c r="I1301" s="17" t="str">
        <f>IF(COUNTIF(Synonymes!$A:$A,$A1301)&gt;0,"ok","")</f>
        <v>ok</v>
      </c>
      <c r="J1301" s="17">
        <f t="shared" si="20"/>
        <v>0</v>
      </c>
    </row>
    <row r="1302" spans="1:10" x14ac:dyDescent="0.3">
      <c r="A1302" s="17" t="s">
        <v>7142</v>
      </c>
      <c r="B1302" s="17" t="str">
        <f>IFERROR(INDEX(Mots!$B:$B,MATCH($A1302,Mots!$A:$A,0)),"introuvable")</f>
        <v>raconter</v>
      </c>
      <c r="C1302" s="17" t="str">
        <f>IFERROR(INDEX(Mots!$N:$N,MATCH($A1302,Mots!$A:$A,0)),"")</f>
        <v>action</v>
      </c>
      <c r="D1302" s="17">
        <f>IFERROR(COUNTA(INDEX(Mots!$E:$E,MATCH($A1302,Mots!$A:$A,0)):INDEX(Mots!$K:$K,MATCH($A1302,Mots!$A:$A,0))),0)</f>
        <v>1</v>
      </c>
      <c r="E1302" s="17" t="str">
        <f>IF(COUNTIF(Classement!$A:$A,$A1302)&gt;0,"ok","à faire")</f>
        <v>ok</v>
      </c>
      <c r="F1302" s="17" t="str">
        <f>IF(COUNTIF(Tags!$A:$A,$A1302)&gt;0,"ok","à faire")</f>
        <v>ok</v>
      </c>
      <c r="G1302" s="17" t="str">
        <f>IF(COUNTIF(Phrases!$A:$A,$A1302)&gt;0,"ok","à faire")</f>
        <v>ok</v>
      </c>
      <c r="H1302" s="17" t="str">
        <f>IF(COUNTIFS(Phrases!$A:$A,$A1302,Phrases!$I:$I,"&lt;&gt;")&gt;0,"ok","à faire")</f>
        <v>ok</v>
      </c>
      <c r="I1302" s="17" t="str">
        <f>IF(COUNTIF(Synonymes!$A:$A,$A1302)&gt;0,"ok","")</f>
        <v>ok</v>
      </c>
      <c r="J1302" s="17">
        <f t="shared" si="20"/>
        <v>0</v>
      </c>
    </row>
    <row r="1303" spans="1:10" x14ac:dyDescent="0.3">
      <c r="A1303" s="17" t="s">
        <v>7146</v>
      </c>
      <c r="B1303" s="17" t="str">
        <f>IFERROR(INDEX(Mots!$B:$B,MATCH($A1303,Mots!$A:$A,0)),"introuvable")</f>
        <v>ramasser</v>
      </c>
      <c r="C1303" s="17" t="str">
        <f>IFERROR(INDEX(Mots!$N:$N,MATCH($A1303,Mots!$A:$A,0)),"")</f>
        <v>action</v>
      </c>
      <c r="D1303" s="17">
        <f>IFERROR(COUNTA(INDEX(Mots!$E:$E,MATCH($A1303,Mots!$A:$A,0)):INDEX(Mots!$K:$K,MATCH($A1303,Mots!$A:$A,0))),0)</f>
        <v>6</v>
      </c>
      <c r="E1303" s="17" t="str">
        <f>IF(COUNTIF(Classement!$A:$A,$A1303)&gt;0,"ok","à faire")</f>
        <v>ok</v>
      </c>
      <c r="F1303" s="17" t="str">
        <f>IF(COUNTIF(Tags!$A:$A,$A1303)&gt;0,"ok","à faire")</f>
        <v>ok</v>
      </c>
      <c r="G1303" s="17" t="str">
        <f>IF(COUNTIF(Phrases!$A:$A,$A1303)&gt;0,"ok","à faire")</f>
        <v>ok</v>
      </c>
      <c r="H1303" s="17" t="str">
        <f>IF(COUNTIFS(Phrases!$A:$A,$A1303,Phrases!$I:$I,"&lt;&gt;")&gt;0,"ok","à faire")</f>
        <v>ok</v>
      </c>
      <c r="I1303" s="17" t="str">
        <f>IF(COUNTIF(Synonymes!$A:$A,$A1303)&gt;0,"ok","")</f>
        <v/>
      </c>
      <c r="J1303" s="17">
        <f t="shared" si="20"/>
        <v>0</v>
      </c>
    </row>
    <row r="1304" spans="1:10" x14ac:dyDescent="0.3">
      <c r="A1304" s="17" t="s">
        <v>7153</v>
      </c>
      <c r="B1304" s="17" t="str">
        <f>IFERROR(INDEX(Mots!$B:$B,MATCH($A1304,Mots!$A:$A,0)),"introuvable")</f>
        <v>ranger</v>
      </c>
      <c r="C1304" s="17" t="str">
        <f>IFERROR(INDEX(Mots!$N:$N,MATCH($A1304,Mots!$A:$A,0)),"")</f>
        <v>action</v>
      </c>
      <c r="D1304" s="17">
        <f>IFERROR(COUNTA(INDEX(Mots!$E:$E,MATCH($A1304,Mots!$A:$A,0)):INDEX(Mots!$K:$K,MATCH($A1304,Mots!$A:$A,0))),0)</f>
        <v>4</v>
      </c>
      <c r="E1304" s="17" t="str">
        <f>IF(COUNTIF(Classement!$A:$A,$A1304)&gt;0,"ok","à faire")</f>
        <v>ok</v>
      </c>
      <c r="F1304" s="17" t="str">
        <f>IF(COUNTIF(Tags!$A:$A,$A1304)&gt;0,"ok","à faire")</f>
        <v>ok</v>
      </c>
      <c r="G1304" s="17" t="str">
        <f>IF(COUNTIF(Phrases!$A:$A,$A1304)&gt;0,"ok","à faire")</f>
        <v>ok</v>
      </c>
      <c r="H1304" s="17" t="str">
        <f>IF(COUNTIFS(Phrases!$A:$A,$A1304,Phrases!$I:$I,"&lt;&gt;")&gt;0,"ok","à faire")</f>
        <v>à faire</v>
      </c>
      <c r="I1304" s="17" t="str">
        <f>IF(COUNTIF(Synonymes!$A:$A,$A1304)&gt;0,"ok","")</f>
        <v/>
      </c>
      <c r="J1304" s="17">
        <f t="shared" si="20"/>
        <v>1</v>
      </c>
    </row>
    <row r="1305" spans="1:10" x14ac:dyDescent="0.3">
      <c r="A1305" s="17" t="s">
        <v>7160</v>
      </c>
      <c r="B1305" s="17" t="str">
        <f>IFERROR(INDEX(Mots!$B:$B,MATCH($A1305,Mots!$A:$A,0)),"introuvable")</f>
        <v>rappeler</v>
      </c>
      <c r="C1305" s="17" t="str">
        <f>IFERROR(INDEX(Mots!$N:$N,MATCH($A1305,Mots!$A:$A,0)),"")</f>
        <v>action</v>
      </c>
      <c r="D1305" s="17">
        <f>IFERROR(COUNTA(INDEX(Mots!$E:$E,MATCH($A1305,Mots!$A:$A,0)):INDEX(Mots!$K:$K,MATCH($A1305,Mots!$A:$A,0))),0)</f>
        <v>1</v>
      </c>
      <c r="E1305" s="17" t="str">
        <f>IF(COUNTIF(Classement!$A:$A,$A1305)&gt;0,"ok","à faire")</f>
        <v>ok</v>
      </c>
      <c r="F1305" s="17" t="str">
        <f>IF(COUNTIF(Tags!$A:$A,$A1305)&gt;0,"ok","à faire")</f>
        <v>ok</v>
      </c>
      <c r="G1305" s="17" t="str">
        <f>IF(COUNTIF(Phrases!$A:$A,$A1305)&gt;0,"ok","à faire")</f>
        <v>ok</v>
      </c>
      <c r="H1305" s="17" t="str">
        <f>IF(COUNTIFS(Phrases!$A:$A,$A1305,Phrases!$I:$I,"&lt;&gt;")&gt;0,"ok","à faire")</f>
        <v>ok</v>
      </c>
      <c r="I1305" s="17" t="str">
        <f>IF(COUNTIF(Synonymes!$A:$A,$A1305)&gt;0,"ok","")</f>
        <v/>
      </c>
      <c r="J1305" s="17">
        <f t="shared" si="20"/>
        <v>0</v>
      </c>
    </row>
    <row r="1306" spans="1:10" x14ac:dyDescent="0.3">
      <c r="A1306" s="17" t="s">
        <v>7164</v>
      </c>
      <c r="B1306" s="17" t="str">
        <f>IFERROR(INDEX(Mots!$B:$B,MATCH($A1306,Mots!$A:$A,0)),"introuvable")</f>
        <v>rarement</v>
      </c>
      <c r="C1306" s="17" t="str">
        <f>IFERROR(INDEX(Mots!$N:$N,MATCH($A1306,Mots!$A:$A,0)),"")</f>
        <v>qualité</v>
      </c>
      <c r="D1306" s="17">
        <f>IFERROR(COUNTA(INDEX(Mots!$E:$E,MATCH($A1306,Mots!$A:$A,0)):INDEX(Mots!$K:$K,MATCH($A1306,Mots!$A:$A,0))),0)</f>
        <v>0</v>
      </c>
      <c r="E1306" s="17" t="str">
        <f>IF(COUNTIF(Classement!$A:$A,$A1306)&gt;0,"ok","à faire")</f>
        <v>ok</v>
      </c>
      <c r="F1306" s="17" t="str">
        <f>IF(COUNTIF(Tags!$A:$A,$A1306)&gt;0,"ok","à faire")</f>
        <v>à faire</v>
      </c>
      <c r="G1306" s="17" t="str">
        <f>IF(COUNTIF(Phrases!$A:$A,$A1306)&gt;0,"ok","à faire")</f>
        <v>ok</v>
      </c>
      <c r="H1306" s="17" t="str">
        <f>IF(COUNTIFS(Phrases!$A:$A,$A1306,Phrases!$I:$I,"&lt;&gt;")&gt;0,"ok","à faire")</f>
        <v>à faire</v>
      </c>
      <c r="I1306" s="17" t="str">
        <f>IF(COUNTIF(Synonymes!$A:$A,$A1306)&gt;0,"ok","")</f>
        <v/>
      </c>
      <c r="J1306" s="17">
        <f t="shared" si="20"/>
        <v>2</v>
      </c>
    </row>
    <row r="1307" spans="1:10" x14ac:dyDescent="0.3">
      <c r="A1307" s="17" t="s">
        <v>7167</v>
      </c>
      <c r="B1307" s="17" t="str">
        <f>IFERROR(INDEX(Mots!$B:$B,MATCH($A1307,Mots!$A:$A,0)),"introuvable")</f>
        <v>réfléchir</v>
      </c>
      <c r="C1307" s="17" t="str">
        <f>IFERROR(INDEX(Mots!$N:$N,MATCH($A1307,Mots!$A:$A,0)),"")</f>
        <v>action</v>
      </c>
      <c r="D1307" s="17">
        <f>IFERROR(COUNTA(INDEX(Mots!$E:$E,MATCH($A1307,Mots!$A:$A,0)):INDEX(Mots!$K:$K,MATCH($A1307,Mots!$A:$A,0))),0)</f>
        <v>1</v>
      </c>
      <c r="E1307" s="17" t="str">
        <f>IF(COUNTIF(Classement!$A:$A,$A1307)&gt;0,"ok","à faire")</f>
        <v>ok</v>
      </c>
      <c r="F1307" s="17" t="str">
        <f>IF(COUNTIF(Tags!$A:$A,$A1307)&gt;0,"ok","à faire")</f>
        <v>ok</v>
      </c>
      <c r="G1307" s="17" t="str">
        <f>IF(COUNTIF(Phrases!$A:$A,$A1307)&gt;0,"ok","à faire")</f>
        <v>ok</v>
      </c>
      <c r="H1307" s="17" t="str">
        <f>IF(COUNTIFS(Phrases!$A:$A,$A1307,Phrases!$I:$I,"&lt;&gt;")&gt;0,"ok","à faire")</f>
        <v>ok</v>
      </c>
      <c r="I1307" s="17" t="str">
        <f>IF(COUNTIF(Synonymes!$A:$A,$A1307)&gt;0,"ok","")</f>
        <v>ok</v>
      </c>
      <c r="J1307" s="17">
        <f t="shared" si="20"/>
        <v>0</v>
      </c>
    </row>
    <row r="1308" spans="1:10" x14ac:dyDescent="0.3">
      <c r="A1308" s="17" t="s">
        <v>7171</v>
      </c>
      <c r="B1308" s="17" t="str">
        <f>IFERROR(INDEX(Mots!$B:$B,MATCH($A1308,Mots!$A:$A,0)),"introuvable")</f>
        <v>refuser</v>
      </c>
      <c r="C1308" s="17" t="str">
        <f>IFERROR(INDEX(Mots!$N:$N,MATCH($A1308,Mots!$A:$A,0)),"")</f>
        <v>action</v>
      </c>
      <c r="D1308" s="17">
        <f>IFERROR(COUNTA(INDEX(Mots!$E:$E,MATCH($A1308,Mots!$A:$A,0)):INDEX(Mots!$K:$K,MATCH($A1308,Mots!$A:$A,0))),0)</f>
        <v>3</v>
      </c>
      <c r="E1308" s="17" t="str">
        <f>IF(COUNTIF(Classement!$A:$A,$A1308)&gt;0,"ok","à faire")</f>
        <v>ok</v>
      </c>
      <c r="F1308" s="17" t="str">
        <f>IF(COUNTIF(Tags!$A:$A,$A1308)&gt;0,"ok","à faire")</f>
        <v>ok</v>
      </c>
      <c r="G1308" s="17" t="str">
        <f>IF(COUNTIF(Phrases!$A:$A,$A1308)&gt;0,"ok","à faire")</f>
        <v>ok</v>
      </c>
      <c r="H1308" s="17" t="str">
        <f>IF(COUNTIFS(Phrases!$A:$A,$A1308,Phrases!$I:$I,"&lt;&gt;")&gt;0,"ok","à faire")</f>
        <v>ok</v>
      </c>
      <c r="I1308" s="17" t="str">
        <f>IF(COUNTIF(Synonymes!$A:$A,$A1308)&gt;0,"ok","")</f>
        <v/>
      </c>
      <c r="J1308" s="17">
        <f t="shared" si="20"/>
        <v>0</v>
      </c>
    </row>
    <row r="1309" spans="1:10" x14ac:dyDescent="0.3">
      <c r="A1309" s="17" t="s">
        <v>7177</v>
      </c>
      <c r="B1309" s="17" t="str">
        <f>IFERROR(INDEX(Mots!$B:$B,MATCH($A1309,Mots!$A:$A,0)),"introuvable")</f>
        <v>regarder</v>
      </c>
      <c r="C1309" s="17" t="str">
        <f>IFERROR(INDEX(Mots!$N:$N,MATCH($A1309,Mots!$A:$A,0)),"")</f>
        <v>action</v>
      </c>
      <c r="D1309" s="17">
        <f>IFERROR(COUNTA(INDEX(Mots!$E:$E,MATCH($A1309,Mots!$A:$A,0)):INDEX(Mots!$K:$K,MATCH($A1309,Mots!$A:$A,0))),0)</f>
        <v>5</v>
      </c>
      <c r="E1309" s="17" t="str">
        <f>IF(COUNTIF(Classement!$A:$A,$A1309)&gt;0,"ok","à faire")</f>
        <v>ok</v>
      </c>
      <c r="F1309" s="17" t="str">
        <f>IF(COUNTIF(Tags!$A:$A,$A1309)&gt;0,"ok","à faire")</f>
        <v>ok</v>
      </c>
      <c r="G1309" s="17" t="str">
        <f>IF(COUNTIF(Phrases!$A:$A,$A1309)&gt;0,"ok","à faire")</f>
        <v>ok</v>
      </c>
      <c r="H1309" s="17" t="str">
        <f>IF(COUNTIFS(Phrases!$A:$A,$A1309,Phrases!$I:$I,"&lt;&gt;")&gt;0,"ok","à faire")</f>
        <v>ok</v>
      </c>
      <c r="I1309" s="17" t="str">
        <f>IF(COUNTIF(Synonymes!$A:$A,$A1309)&gt;0,"ok","")</f>
        <v/>
      </c>
      <c r="J1309" s="17">
        <f t="shared" si="20"/>
        <v>0</v>
      </c>
    </row>
    <row r="1310" spans="1:10" x14ac:dyDescent="0.3">
      <c r="A1310" s="17" t="s">
        <v>7185</v>
      </c>
      <c r="B1310" s="17" t="str">
        <f>IFERROR(INDEX(Mots!$B:$B,MATCH($A1310,Mots!$A:$A,0)),"introuvable")</f>
        <v>Régis Evéquoz</v>
      </c>
      <c r="C1310" s="17" t="str">
        <f>IFERROR(INDEX(Mots!$N:$N,MATCH($A1310,Mots!$A:$A,0)),"")</f>
        <v>personne</v>
      </c>
      <c r="D1310" s="17">
        <f>IFERROR(COUNTA(INDEX(Mots!$E:$E,MATCH($A1310,Mots!$A:$A,0)):INDEX(Mots!$K:$K,MATCH($A1310,Mots!$A:$A,0))),0)</f>
        <v>1</v>
      </c>
      <c r="E1310" s="17" t="str">
        <f>IF(COUNTIF(Classement!$A:$A,$A1310)&gt;0,"ok","à faire")</f>
        <v>ok</v>
      </c>
      <c r="F1310" s="17" t="str">
        <f>IF(COUNTIF(Tags!$A:$A,$A1310)&gt;0,"ok","à faire")</f>
        <v>ok</v>
      </c>
      <c r="G1310" s="17" t="str">
        <f>IF(COUNTIF(Phrases!$A:$A,$A1310)&gt;0,"ok","à faire")</f>
        <v>à faire</v>
      </c>
      <c r="H1310" s="17" t="str">
        <f>IF(COUNTIFS(Phrases!$A:$A,$A1310,Phrases!$I:$I,"&lt;&gt;")&gt;0,"ok","à faire")</f>
        <v>à faire</v>
      </c>
      <c r="I1310" s="17" t="str">
        <f>IF(COUNTIF(Synonymes!$A:$A,$A1310)&gt;0,"ok","")</f>
        <v/>
      </c>
      <c r="J1310" s="17">
        <f t="shared" si="20"/>
        <v>2</v>
      </c>
    </row>
    <row r="1311" spans="1:10" x14ac:dyDescent="0.3">
      <c r="A1311" s="17" t="s">
        <v>7189</v>
      </c>
      <c r="B1311" s="17" t="str">
        <f>IFERROR(INDEX(Mots!$B:$B,MATCH($A1311,Mots!$A:$A,0)),"introuvable")</f>
        <v>régulier</v>
      </c>
      <c r="C1311" s="17" t="str">
        <f>IFERROR(INDEX(Mots!$N:$N,MATCH($A1311,Mots!$A:$A,0)),"")</f>
        <v>qualité</v>
      </c>
      <c r="D1311" s="17">
        <f>IFERROR(COUNTA(INDEX(Mots!$E:$E,MATCH($A1311,Mots!$A:$A,0)):INDEX(Mots!$K:$K,MATCH($A1311,Mots!$A:$A,0))),0)</f>
        <v>0</v>
      </c>
      <c r="E1311" s="17" t="str">
        <f>IF(COUNTIF(Classement!$A:$A,$A1311)&gt;0,"ok","à faire")</f>
        <v>ok</v>
      </c>
      <c r="F1311" s="17" t="str">
        <f>IF(COUNTIF(Tags!$A:$A,$A1311)&gt;0,"ok","à faire")</f>
        <v>à faire</v>
      </c>
      <c r="G1311" s="17" t="str">
        <f>IF(COUNTIF(Phrases!$A:$A,$A1311)&gt;0,"ok","à faire")</f>
        <v>ok</v>
      </c>
      <c r="H1311" s="17" t="str">
        <f>IF(COUNTIFS(Phrases!$A:$A,$A1311,Phrases!$I:$I,"&lt;&gt;")&gt;0,"ok","à faire")</f>
        <v>à faire</v>
      </c>
      <c r="I1311" s="17" t="str">
        <f>IF(COUNTIF(Synonymes!$A:$A,$A1311)&gt;0,"ok","")</f>
        <v>ok</v>
      </c>
      <c r="J1311" s="17">
        <f t="shared" si="20"/>
        <v>2</v>
      </c>
    </row>
    <row r="1312" spans="1:10" x14ac:dyDescent="0.3">
      <c r="A1312" s="17" t="s">
        <v>7192</v>
      </c>
      <c r="B1312" s="17" t="str">
        <f>IFERROR(INDEX(Mots!$B:$B,MATCH($A1312,Mots!$A:$A,0)),"introuvable")</f>
        <v>remarquer</v>
      </c>
      <c r="C1312" s="17" t="str">
        <f>IFERROR(INDEX(Mots!$N:$N,MATCH($A1312,Mots!$A:$A,0)),"")</f>
        <v>action</v>
      </c>
      <c r="D1312" s="17">
        <f>IFERROR(COUNTA(INDEX(Mots!$E:$E,MATCH($A1312,Mots!$A:$A,0)):INDEX(Mots!$K:$K,MATCH($A1312,Mots!$A:$A,0))),0)</f>
        <v>2</v>
      </c>
      <c r="E1312" s="17" t="str">
        <f>IF(COUNTIF(Classement!$A:$A,$A1312)&gt;0,"ok","à faire")</f>
        <v>ok</v>
      </c>
      <c r="F1312" s="17" t="str">
        <f>IF(COUNTIF(Tags!$A:$A,$A1312)&gt;0,"ok","à faire")</f>
        <v>à faire</v>
      </c>
      <c r="G1312" s="17" t="str">
        <f>IF(COUNTIF(Phrases!$A:$A,$A1312)&gt;0,"ok","à faire")</f>
        <v>ok</v>
      </c>
      <c r="H1312" s="17" t="str">
        <f>IF(COUNTIFS(Phrases!$A:$A,$A1312,Phrases!$I:$I,"&lt;&gt;")&gt;0,"ok","à faire")</f>
        <v>à faire</v>
      </c>
      <c r="I1312" s="17" t="str">
        <f>IF(COUNTIF(Synonymes!$A:$A,$A1312)&gt;0,"ok","")</f>
        <v>ok</v>
      </c>
      <c r="J1312" s="17">
        <f t="shared" si="20"/>
        <v>2</v>
      </c>
    </row>
    <row r="1313" spans="1:10" x14ac:dyDescent="0.3">
      <c r="A1313" s="17" t="s">
        <v>7197</v>
      </c>
      <c r="B1313" s="17" t="str">
        <f>IFERROR(INDEX(Mots!$B:$B,MATCH($A1313,Mots!$A:$A,0)),"introuvable")</f>
        <v>remercier</v>
      </c>
      <c r="C1313" s="17" t="str">
        <f>IFERROR(INDEX(Mots!$N:$N,MATCH($A1313,Mots!$A:$A,0)),"")</f>
        <v>action</v>
      </c>
      <c r="D1313" s="17">
        <f>IFERROR(COUNTA(INDEX(Mots!$E:$E,MATCH($A1313,Mots!$A:$A,0)):INDEX(Mots!$K:$K,MATCH($A1313,Mots!$A:$A,0))),0)</f>
        <v>5</v>
      </c>
      <c r="E1313" s="17" t="str">
        <f>IF(COUNTIF(Classement!$A:$A,$A1313)&gt;0,"ok","à faire")</f>
        <v>ok</v>
      </c>
      <c r="F1313" s="17" t="str">
        <f>IF(COUNTIF(Tags!$A:$A,$A1313)&gt;0,"ok","à faire")</f>
        <v>ok</v>
      </c>
      <c r="G1313" s="17" t="str">
        <f>IF(COUNTIF(Phrases!$A:$A,$A1313)&gt;0,"ok","à faire")</f>
        <v>ok</v>
      </c>
      <c r="H1313" s="17" t="str">
        <f>IF(COUNTIFS(Phrases!$A:$A,$A1313,Phrases!$I:$I,"&lt;&gt;")&gt;0,"ok","à faire")</f>
        <v>ok</v>
      </c>
      <c r="I1313" s="17" t="str">
        <f>IF(COUNTIF(Synonymes!$A:$A,$A1313)&gt;0,"ok","")</f>
        <v/>
      </c>
      <c r="J1313" s="17">
        <f t="shared" si="20"/>
        <v>0</v>
      </c>
    </row>
    <row r="1314" spans="1:10" x14ac:dyDescent="0.3">
      <c r="A1314" s="17" t="s">
        <v>7205</v>
      </c>
      <c r="B1314" s="17" t="str">
        <f>IFERROR(INDEX(Mots!$B:$B,MATCH($A1314,Mots!$A:$A,0)),"introuvable")</f>
        <v>réparer</v>
      </c>
      <c r="C1314" s="17" t="str">
        <f>IFERROR(INDEX(Mots!$N:$N,MATCH($A1314,Mots!$A:$A,0)),"")</f>
        <v>action</v>
      </c>
      <c r="D1314" s="17">
        <f>IFERROR(COUNTA(INDEX(Mots!$E:$E,MATCH($A1314,Mots!$A:$A,0)):INDEX(Mots!$K:$K,MATCH($A1314,Mots!$A:$A,0))),0)</f>
        <v>5</v>
      </c>
      <c r="E1314" s="17" t="str">
        <f>IF(COUNTIF(Classement!$A:$A,$A1314)&gt;0,"ok","à faire")</f>
        <v>ok</v>
      </c>
      <c r="F1314" s="17" t="str">
        <f>IF(COUNTIF(Tags!$A:$A,$A1314)&gt;0,"ok","à faire")</f>
        <v>ok</v>
      </c>
      <c r="G1314" s="17" t="str">
        <f>IF(COUNTIF(Phrases!$A:$A,$A1314)&gt;0,"ok","à faire")</f>
        <v>ok</v>
      </c>
      <c r="H1314" s="17" t="str">
        <f>IF(COUNTIFS(Phrases!$A:$A,$A1314,Phrases!$I:$I,"&lt;&gt;")&gt;0,"ok","à faire")</f>
        <v>à faire</v>
      </c>
      <c r="I1314" s="17" t="str">
        <f>IF(COUNTIF(Synonymes!$A:$A,$A1314)&gt;0,"ok","")</f>
        <v>ok</v>
      </c>
      <c r="J1314" s="17">
        <f t="shared" si="20"/>
        <v>1</v>
      </c>
    </row>
    <row r="1315" spans="1:10" x14ac:dyDescent="0.3">
      <c r="A1315" s="17" t="s">
        <v>7213</v>
      </c>
      <c r="B1315" s="17" t="str">
        <f>IFERROR(INDEX(Mots!$B:$B,MATCH($A1315,Mots!$A:$A,0)),"introuvable")</f>
        <v>répéter</v>
      </c>
      <c r="C1315" s="17" t="str">
        <f>IFERROR(INDEX(Mots!$N:$N,MATCH($A1315,Mots!$A:$A,0)),"")</f>
        <v>action</v>
      </c>
      <c r="D1315" s="17">
        <f>IFERROR(COUNTA(INDEX(Mots!$E:$E,MATCH($A1315,Mots!$A:$A,0)):INDEX(Mots!$K:$K,MATCH($A1315,Mots!$A:$A,0))),0)</f>
        <v>3</v>
      </c>
      <c r="E1315" s="17" t="str">
        <f>IF(COUNTIF(Classement!$A:$A,$A1315)&gt;0,"ok","à faire")</f>
        <v>ok</v>
      </c>
      <c r="F1315" s="17" t="str">
        <f>IF(COUNTIF(Tags!$A:$A,$A1315)&gt;0,"ok","à faire")</f>
        <v>ok</v>
      </c>
      <c r="G1315" s="17" t="str">
        <f>IF(COUNTIF(Phrases!$A:$A,$A1315)&gt;0,"ok","à faire")</f>
        <v>ok</v>
      </c>
      <c r="H1315" s="17" t="str">
        <f>IF(COUNTIFS(Phrases!$A:$A,$A1315,Phrases!$I:$I,"&lt;&gt;")&gt;0,"ok","à faire")</f>
        <v>ok</v>
      </c>
      <c r="I1315" s="17" t="str">
        <f>IF(COUNTIF(Synonymes!$A:$A,$A1315)&gt;0,"ok","")</f>
        <v/>
      </c>
      <c r="J1315" s="17">
        <f t="shared" si="20"/>
        <v>0</v>
      </c>
    </row>
    <row r="1316" spans="1:10" x14ac:dyDescent="0.3">
      <c r="A1316" s="17" t="s">
        <v>7219</v>
      </c>
      <c r="B1316" s="17" t="str">
        <f>IFERROR(INDEX(Mots!$B:$B,MATCH($A1316,Mots!$A:$A,0)),"introuvable")</f>
        <v>répondre</v>
      </c>
      <c r="C1316" s="17" t="str">
        <f>IFERROR(INDEX(Mots!$N:$N,MATCH($A1316,Mots!$A:$A,0)),"")</f>
        <v>action</v>
      </c>
      <c r="D1316" s="17">
        <f>IFERROR(COUNTA(INDEX(Mots!$E:$E,MATCH($A1316,Mots!$A:$A,0)):INDEX(Mots!$K:$K,MATCH($A1316,Mots!$A:$A,0))),0)</f>
        <v>3</v>
      </c>
      <c r="E1316" s="17" t="str">
        <f>IF(COUNTIF(Classement!$A:$A,$A1316)&gt;0,"ok","à faire")</f>
        <v>ok</v>
      </c>
      <c r="F1316" s="17" t="str">
        <f>IF(COUNTIF(Tags!$A:$A,$A1316)&gt;0,"ok","à faire")</f>
        <v>ok</v>
      </c>
      <c r="G1316" s="17" t="str">
        <f>IF(COUNTIF(Phrases!$A:$A,$A1316)&gt;0,"ok","à faire")</f>
        <v>ok</v>
      </c>
      <c r="H1316" s="17" t="str">
        <f>IF(COUNTIFS(Phrases!$A:$A,$A1316,Phrases!$I:$I,"&lt;&gt;")&gt;0,"ok","à faire")</f>
        <v>ok</v>
      </c>
      <c r="I1316" s="17" t="str">
        <f>IF(COUNTIF(Synonymes!$A:$A,$A1316)&gt;0,"ok","")</f>
        <v/>
      </c>
      <c r="J1316" s="17">
        <f t="shared" si="20"/>
        <v>0</v>
      </c>
    </row>
    <row r="1317" spans="1:10" x14ac:dyDescent="0.3">
      <c r="A1317" s="17" t="s">
        <v>7225</v>
      </c>
      <c r="B1317" s="17" t="str">
        <f>IFERROR(INDEX(Mots!$B:$B,MATCH($A1317,Mots!$A:$A,0)),"introuvable")</f>
        <v>résistant</v>
      </c>
      <c r="C1317" s="17" t="str">
        <f>IFERROR(INDEX(Mots!$N:$N,MATCH($A1317,Mots!$A:$A,0)),"")</f>
        <v>qualité</v>
      </c>
      <c r="D1317" s="17">
        <f>IFERROR(COUNTA(INDEX(Mots!$E:$E,MATCH($A1317,Mots!$A:$A,0)):INDEX(Mots!$K:$K,MATCH($A1317,Mots!$A:$A,0))),0)</f>
        <v>0</v>
      </c>
      <c r="E1317" s="17" t="str">
        <f>IF(COUNTIF(Classement!$A:$A,$A1317)&gt;0,"ok","à faire")</f>
        <v>ok</v>
      </c>
      <c r="F1317" s="17" t="str">
        <f>IF(COUNTIF(Tags!$A:$A,$A1317)&gt;0,"ok","à faire")</f>
        <v>ok</v>
      </c>
      <c r="G1317" s="17" t="str">
        <f>IF(COUNTIF(Phrases!$A:$A,$A1317)&gt;0,"ok","à faire")</f>
        <v>ok</v>
      </c>
      <c r="H1317" s="17" t="str">
        <f>IF(COUNTIFS(Phrases!$A:$A,$A1317,Phrases!$I:$I,"&lt;&gt;")&gt;0,"ok","à faire")</f>
        <v>à faire</v>
      </c>
      <c r="I1317" s="17" t="str">
        <f>IF(COUNTIF(Synonymes!$A:$A,$A1317)&gt;0,"ok","")</f>
        <v>ok</v>
      </c>
      <c r="J1317" s="17">
        <f t="shared" si="20"/>
        <v>1</v>
      </c>
    </row>
    <row r="1318" spans="1:10" x14ac:dyDescent="0.3">
      <c r="A1318" s="17" t="s">
        <v>7228</v>
      </c>
      <c r="B1318" s="17" t="str">
        <f>IFERROR(INDEX(Mots!$B:$B,MATCH($A1318,Mots!$A:$A,0)),"introuvable")</f>
        <v>rester</v>
      </c>
      <c r="C1318" s="17" t="str">
        <f>IFERROR(INDEX(Mots!$N:$N,MATCH($A1318,Mots!$A:$A,0)),"")</f>
        <v>action</v>
      </c>
      <c r="D1318" s="17">
        <f>IFERROR(COUNTA(INDEX(Mots!$E:$E,MATCH($A1318,Mots!$A:$A,0)):INDEX(Mots!$K:$K,MATCH($A1318,Mots!$A:$A,0))),0)</f>
        <v>3</v>
      </c>
      <c r="E1318" s="17" t="str">
        <f>IF(COUNTIF(Classement!$A:$A,$A1318)&gt;0,"ok","à faire")</f>
        <v>ok</v>
      </c>
      <c r="F1318" s="17" t="str">
        <f>IF(COUNTIF(Tags!$A:$A,$A1318)&gt;0,"ok","à faire")</f>
        <v>à faire</v>
      </c>
      <c r="G1318" s="17" t="str">
        <f>IF(COUNTIF(Phrases!$A:$A,$A1318)&gt;0,"ok","à faire")</f>
        <v>ok</v>
      </c>
      <c r="H1318" s="17" t="str">
        <f>IF(COUNTIFS(Phrases!$A:$A,$A1318,Phrases!$I:$I,"&lt;&gt;")&gt;0,"ok","à faire")</f>
        <v>ok</v>
      </c>
      <c r="I1318" s="17" t="str">
        <f>IF(COUNTIF(Synonymes!$A:$A,$A1318)&gt;0,"ok","")</f>
        <v>ok</v>
      </c>
      <c r="J1318" s="17">
        <f t="shared" si="20"/>
        <v>1</v>
      </c>
    </row>
    <row r="1319" spans="1:10" x14ac:dyDescent="0.3">
      <c r="A1319" s="17" t="s">
        <v>7234</v>
      </c>
      <c r="B1319" s="17" t="str">
        <f>IFERROR(INDEX(Mots!$B:$B,MATCH($A1319,Mots!$A:$A,0)),"introuvable")</f>
        <v>réussir</v>
      </c>
      <c r="C1319" s="17" t="str">
        <f>IFERROR(INDEX(Mots!$N:$N,MATCH($A1319,Mots!$A:$A,0)),"")</f>
        <v>action</v>
      </c>
      <c r="D1319" s="17">
        <f>IFERROR(COUNTA(INDEX(Mots!$E:$E,MATCH($A1319,Mots!$A:$A,0)):INDEX(Mots!$K:$K,MATCH($A1319,Mots!$A:$A,0))),0)</f>
        <v>1</v>
      </c>
      <c r="E1319" s="17" t="str">
        <f>IF(COUNTIF(Classement!$A:$A,$A1319)&gt;0,"ok","à faire")</f>
        <v>ok</v>
      </c>
      <c r="F1319" s="17" t="str">
        <f>IF(COUNTIF(Tags!$A:$A,$A1319)&gt;0,"ok","à faire")</f>
        <v>à faire</v>
      </c>
      <c r="G1319" s="17" t="str">
        <f>IF(COUNTIF(Phrases!$A:$A,$A1319)&gt;0,"ok","à faire")</f>
        <v>ok</v>
      </c>
      <c r="H1319" s="17" t="str">
        <f>IF(COUNTIFS(Phrases!$A:$A,$A1319,Phrases!$I:$I,"&lt;&gt;")&gt;0,"ok","à faire")</f>
        <v>ok</v>
      </c>
      <c r="I1319" s="17" t="str">
        <f>IF(COUNTIF(Synonymes!$A:$A,$A1319)&gt;0,"ok","")</f>
        <v>ok</v>
      </c>
      <c r="J1319" s="17">
        <f t="shared" si="20"/>
        <v>1</v>
      </c>
    </row>
    <row r="1320" spans="1:10" x14ac:dyDescent="0.3">
      <c r="A1320" s="17" t="s">
        <v>7238</v>
      </c>
      <c r="B1320" s="17" t="str">
        <f>IFERROR(INDEX(Mots!$B:$B,MATCH($A1320,Mots!$A:$A,0)),"introuvable")</f>
        <v>rire</v>
      </c>
      <c r="C1320" s="17" t="str">
        <f>IFERROR(INDEX(Mots!$N:$N,MATCH($A1320,Mots!$A:$A,0)),"")</f>
        <v>action</v>
      </c>
      <c r="D1320" s="17">
        <f>IFERROR(COUNTA(INDEX(Mots!$E:$E,MATCH($A1320,Mots!$A:$A,0)):INDEX(Mots!$K:$K,MATCH($A1320,Mots!$A:$A,0))),0)</f>
        <v>5</v>
      </c>
      <c r="E1320" s="17" t="str">
        <f>IF(COUNTIF(Classement!$A:$A,$A1320)&gt;0,"ok","à faire")</f>
        <v>ok</v>
      </c>
      <c r="F1320" s="17" t="str">
        <f>IF(COUNTIF(Tags!$A:$A,$A1320)&gt;0,"ok","à faire")</f>
        <v>à faire</v>
      </c>
      <c r="G1320" s="17" t="str">
        <f>IF(COUNTIF(Phrases!$A:$A,$A1320)&gt;0,"ok","à faire")</f>
        <v>ok</v>
      </c>
      <c r="H1320" s="17" t="str">
        <f>IF(COUNTIFS(Phrases!$A:$A,$A1320,Phrases!$I:$I,"&lt;&gt;")&gt;0,"ok","à faire")</f>
        <v>à faire</v>
      </c>
      <c r="I1320" s="17" t="str">
        <f>IF(COUNTIF(Synonymes!$A:$A,$A1320)&gt;0,"ok","")</f>
        <v/>
      </c>
      <c r="J1320" s="17">
        <f t="shared" si="20"/>
        <v>2</v>
      </c>
    </row>
    <row r="1321" spans="1:10" x14ac:dyDescent="0.3">
      <c r="A1321" s="17" t="s">
        <v>7246</v>
      </c>
      <c r="B1321" s="17" t="str">
        <f>IFERROR(INDEX(Mots!$B:$B,MATCH($A1321,Mots!$A:$A,0)),"introuvable")</f>
        <v>roux</v>
      </c>
      <c r="C1321" s="17" t="str">
        <f>IFERROR(INDEX(Mots!$N:$N,MATCH($A1321,Mots!$A:$A,0)),"")</f>
        <v>qualité</v>
      </c>
      <c r="D1321" s="17">
        <f>IFERROR(COUNTA(INDEX(Mots!$E:$E,MATCH($A1321,Mots!$A:$A,0)):INDEX(Mots!$K:$K,MATCH($A1321,Mots!$A:$A,0))),0)</f>
        <v>4</v>
      </c>
      <c r="E1321" s="17" t="str">
        <f>IF(COUNTIF(Classement!$A:$A,$A1321)&gt;0,"ok","à faire")</f>
        <v>ok</v>
      </c>
      <c r="F1321" s="17" t="str">
        <f>IF(COUNTIF(Tags!$A:$A,$A1321)&gt;0,"ok","à faire")</f>
        <v>ok</v>
      </c>
      <c r="G1321" s="17" t="str">
        <f>IF(COUNTIF(Phrases!$A:$A,$A1321)&gt;0,"ok","à faire")</f>
        <v>ok</v>
      </c>
      <c r="H1321" s="17" t="str">
        <f>IF(COUNTIFS(Phrases!$A:$A,$A1321,Phrases!$I:$I,"&lt;&gt;")&gt;0,"ok","à faire")</f>
        <v>à faire</v>
      </c>
      <c r="I1321" s="17" t="str">
        <f>IF(COUNTIF(Synonymes!$A:$A,$A1321)&gt;0,"ok","")</f>
        <v/>
      </c>
      <c r="J1321" s="17">
        <f t="shared" si="20"/>
        <v>1</v>
      </c>
    </row>
    <row r="1322" spans="1:10" x14ac:dyDescent="0.3">
      <c r="A1322" s="17" t="s">
        <v>7253</v>
      </c>
      <c r="B1322" s="17" t="str">
        <f>IFERROR(INDEX(Mots!$B:$B,MATCH($A1322,Mots!$A:$A,0)),"introuvable")</f>
        <v>rude</v>
      </c>
      <c r="C1322" s="17" t="str">
        <f>IFERROR(INDEX(Mots!$N:$N,MATCH($A1322,Mots!$A:$A,0)),"")</f>
        <v>qualité</v>
      </c>
      <c r="D1322" s="17">
        <f>IFERROR(COUNTA(INDEX(Mots!$E:$E,MATCH($A1322,Mots!$A:$A,0)):INDEX(Mots!$K:$K,MATCH($A1322,Mots!$A:$A,0))),0)</f>
        <v>0</v>
      </c>
      <c r="E1322" s="17" t="str">
        <f>IF(COUNTIF(Classement!$A:$A,$A1322)&gt;0,"ok","à faire")</f>
        <v>ok</v>
      </c>
      <c r="F1322" s="17" t="str">
        <f>IF(COUNTIF(Tags!$A:$A,$A1322)&gt;0,"ok","à faire")</f>
        <v>ok</v>
      </c>
      <c r="G1322" s="17" t="str">
        <f>IF(COUNTIF(Phrases!$A:$A,$A1322)&gt;0,"ok","à faire")</f>
        <v>ok</v>
      </c>
      <c r="H1322" s="17" t="str">
        <f>IF(COUNTIFS(Phrases!$A:$A,$A1322,Phrases!$I:$I,"&lt;&gt;")&gt;0,"ok","à faire")</f>
        <v>à faire</v>
      </c>
      <c r="I1322" s="17" t="str">
        <f>IF(COUNTIF(Synonymes!$A:$A,$A1322)&gt;0,"ok","")</f>
        <v>ok</v>
      </c>
      <c r="J1322" s="17">
        <f t="shared" si="20"/>
        <v>1</v>
      </c>
    </row>
    <row r="1323" spans="1:10" x14ac:dyDescent="0.3">
      <c r="A1323" s="17" t="s">
        <v>7255</v>
      </c>
      <c r="B1323" s="17" t="str">
        <f>IFERROR(INDEX(Mots!$B:$B,MATCH($A1323,Mots!$A:$A,0)),"introuvable")</f>
        <v>rusé</v>
      </c>
      <c r="C1323" s="17" t="str">
        <f>IFERROR(INDEX(Mots!$N:$N,MATCH($A1323,Mots!$A:$A,0)),"")</f>
        <v>qualité</v>
      </c>
      <c r="D1323" s="17">
        <f>IFERROR(COUNTA(INDEX(Mots!$E:$E,MATCH($A1323,Mots!$A:$A,0)):INDEX(Mots!$K:$K,MATCH($A1323,Mots!$A:$A,0))),0)</f>
        <v>2</v>
      </c>
      <c r="E1323" s="17" t="str">
        <f>IF(COUNTIF(Classement!$A:$A,$A1323)&gt;0,"ok","à faire")</f>
        <v>ok</v>
      </c>
      <c r="F1323" s="17" t="str">
        <f>IF(COUNTIF(Tags!$A:$A,$A1323)&gt;0,"ok","à faire")</f>
        <v>ok</v>
      </c>
      <c r="G1323" s="17" t="str">
        <f>IF(COUNTIF(Phrases!$A:$A,$A1323)&gt;0,"ok","à faire")</f>
        <v>ok</v>
      </c>
      <c r="H1323" s="17" t="str">
        <f>IF(COUNTIFS(Phrases!$A:$A,$A1323,Phrases!$I:$I,"&lt;&gt;")&gt;0,"ok","à faire")</f>
        <v>à faire</v>
      </c>
      <c r="I1323" s="17" t="str">
        <f>IF(COUNTIF(Synonymes!$A:$A,$A1323)&gt;0,"ok","")</f>
        <v>ok</v>
      </c>
      <c r="J1323" s="17">
        <f t="shared" si="20"/>
        <v>1</v>
      </c>
    </row>
    <row r="1324" spans="1:10" x14ac:dyDescent="0.3">
      <c r="A1324" s="17" t="s">
        <v>7260</v>
      </c>
      <c r="B1324" s="17" t="str">
        <f>IFERROR(INDEX(Mots!$B:$B,MATCH($A1324,Mots!$A:$A,0)),"introuvable")</f>
        <v>saluer</v>
      </c>
      <c r="C1324" s="17" t="str">
        <f>IFERROR(INDEX(Mots!$N:$N,MATCH($A1324,Mots!$A:$A,0)),"")</f>
        <v>action</v>
      </c>
      <c r="D1324" s="17">
        <f>IFERROR(COUNTA(INDEX(Mots!$E:$E,MATCH($A1324,Mots!$A:$A,0)):INDEX(Mots!$K:$K,MATCH($A1324,Mots!$A:$A,0))),0)</f>
        <v>5</v>
      </c>
      <c r="E1324" s="17" t="str">
        <f>IF(COUNTIF(Classement!$A:$A,$A1324)&gt;0,"ok","à faire")</f>
        <v>ok</v>
      </c>
      <c r="F1324" s="17" t="str">
        <f>IF(COUNTIF(Tags!$A:$A,$A1324)&gt;0,"ok","à faire")</f>
        <v>ok</v>
      </c>
      <c r="G1324" s="17" t="str">
        <f>IF(COUNTIF(Phrases!$A:$A,$A1324)&gt;0,"ok","à faire")</f>
        <v>ok</v>
      </c>
      <c r="H1324" s="17" t="str">
        <f>IF(COUNTIFS(Phrases!$A:$A,$A1324,Phrases!$I:$I,"&lt;&gt;")&gt;0,"ok","à faire")</f>
        <v>ok</v>
      </c>
      <c r="I1324" s="17" t="str">
        <f>IF(COUNTIF(Synonymes!$A:$A,$A1324)&gt;0,"ok","")</f>
        <v/>
      </c>
      <c r="J1324" s="17">
        <f t="shared" si="20"/>
        <v>0</v>
      </c>
    </row>
    <row r="1325" spans="1:10" x14ac:dyDescent="0.3">
      <c r="A1325" s="17" t="s">
        <v>7268</v>
      </c>
      <c r="B1325" s="17" t="str">
        <f>IFERROR(INDEX(Mots!$B:$B,MATCH($A1325,Mots!$A:$A,0)),"introuvable")</f>
        <v>s'asseoir</v>
      </c>
      <c r="C1325" s="17" t="str">
        <f>IFERROR(INDEX(Mots!$N:$N,MATCH($A1325,Mots!$A:$A,0)),"")</f>
        <v>action</v>
      </c>
      <c r="D1325" s="17">
        <f>IFERROR(COUNTA(INDEX(Mots!$E:$E,MATCH($A1325,Mots!$A:$A,0)):INDEX(Mots!$K:$K,MATCH($A1325,Mots!$A:$A,0))),0)</f>
        <v>4</v>
      </c>
      <c r="E1325" s="17" t="str">
        <f>IF(COUNTIF(Classement!$A:$A,$A1325)&gt;0,"ok","à faire")</f>
        <v>ok</v>
      </c>
      <c r="F1325" s="17" t="str">
        <f>IF(COUNTIF(Tags!$A:$A,$A1325)&gt;0,"ok","à faire")</f>
        <v>ok</v>
      </c>
      <c r="G1325" s="17" t="str">
        <f>IF(COUNTIF(Phrases!$A:$A,$A1325)&gt;0,"ok","à faire")</f>
        <v>ok</v>
      </c>
      <c r="H1325" s="17" t="str">
        <f>IF(COUNTIFS(Phrases!$A:$A,$A1325,Phrases!$I:$I,"&lt;&gt;")&gt;0,"ok","à faire")</f>
        <v>ok</v>
      </c>
      <c r="I1325" s="17" t="str">
        <f>IF(COUNTIF(Synonymes!$A:$A,$A1325)&gt;0,"ok","")</f>
        <v/>
      </c>
      <c r="J1325" s="17">
        <f t="shared" si="20"/>
        <v>0</v>
      </c>
    </row>
    <row r="1326" spans="1:10" x14ac:dyDescent="0.3">
      <c r="A1326" s="17" t="s">
        <v>7275</v>
      </c>
      <c r="B1326" s="17" t="str">
        <f>IFERROR(INDEX(Mots!$B:$B,MATCH($A1326,Mots!$A:$A,0)),"introuvable")</f>
        <v>sauter</v>
      </c>
      <c r="C1326" s="17" t="str">
        <f>IFERROR(INDEX(Mots!$N:$N,MATCH($A1326,Mots!$A:$A,0)),"")</f>
        <v>action</v>
      </c>
      <c r="D1326" s="17">
        <f>IFERROR(COUNTA(INDEX(Mots!$E:$E,MATCH($A1326,Mots!$A:$A,0)):INDEX(Mots!$K:$K,MATCH($A1326,Mots!$A:$A,0))),0)</f>
        <v>5</v>
      </c>
      <c r="E1326" s="17" t="str">
        <f>IF(COUNTIF(Classement!$A:$A,$A1326)&gt;0,"ok","à faire")</f>
        <v>ok</v>
      </c>
      <c r="F1326" s="17" t="str">
        <f>IF(COUNTIF(Tags!$A:$A,$A1326)&gt;0,"ok","à faire")</f>
        <v>à faire</v>
      </c>
      <c r="G1326" s="17" t="str">
        <f>IF(COUNTIF(Phrases!$A:$A,$A1326)&gt;0,"ok","à faire")</f>
        <v>ok</v>
      </c>
      <c r="H1326" s="17" t="str">
        <f>IF(COUNTIFS(Phrases!$A:$A,$A1326,Phrases!$I:$I,"&lt;&gt;")&gt;0,"ok","à faire")</f>
        <v>à faire</v>
      </c>
      <c r="I1326" s="17" t="str">
        <f>IF(COUNTIF(Synonymes!$A:$A,$A1326)&gt;0,"ok","")</f>
        <v/>
      </c>
      <c r="J1326" s="17">
        <f t="shared" si="20"/>
        <v>2</v>
      </c>
    </row>
    <row r="1327" spans="1:10" x14ac:dyDescent="0.3">
      <c r="A1327" s="8" t="s">
        <v>9624</v>
      </c>
      <c r="B1327" s="17" t="str">
        <f>IFERROR(INDEX(Mots!$B:$B,MATCH($A1327,Mots!$A:$A,0)),"introuvable")</f>
        <v>sauvage</v>
      </c>
      <c r="C1327" s="17" t="str">
        <f>IFERROR(INDEX(Mots!$N:$N,MATCH($A1327,Mots!$A:$A,0)),"")</f>
        <v>qualité</v>
      </c>
      <c r="D1327" s="17">
        <f>IFERROR(COUNTA(INDEX(Mots!$E:$E,MATCH($A1327,Mots!$A:$A,0)):INDEX(Mots!$K:$K,MATCH($A1327,Mots!$A:$A,0))),0)</f>
        <v>1</v>
      </c>
      <c r="E1327" s="17" t="str">
        <f>IF(COUNTIF(Classement!$A:$A,$A1327)&gt;0,"ok","à faire")</f>
        <v>ok</v>
      </c>
      <c r="F1327" s="17" t="str">
        <f>IF(COUNTIF(Tags!$A:$A,$A1327)&gt;0,"ok","à faire")</f>
        <v>ok</v>
      </c>
      <c r="G1327" s="17" t="str">
        <f>IF(COUNTIF(Phrases!$A:$A,$A1327)&gt;0,"ok","à faire")</f>
        <v>ok</v>
      </c>
      <c r="H1327" s="17" t="str">
        <f>IF(COUNTIFS(Phrases!$A:$A,$A1327,Phrases!$I:$I,"&lt;&gt;")&gt;0,"ok","à faire")</f>
        <v>ok</v>
      </c>
      <c r="I1327" s="17" t="str">
        <f>IF(COUNTIF(Synonymes!$A:$A,$A1327)&gt;0,"ok","")</f>
        <v/>
      </c>
      <c r="J1327" s="17">
        <f t="shared" si="20"/>
        <v>0</v>
      </c>
    </row>
    <row r="1328" spans="1:10" x14ac:dyDescent="0.3">
      <c r="A1328" s="17" t="s">
        <v>7285</v>
      </c>
      <c r="B1328" s="17" t="str">
        <f>IFERROR(INDEX(Mots!$B:$B,MATCH($A1328,Mots!$A:$A,0)),"introuvable")</f>
        <v>savoir</v>
      </c>
      <c r="C1328" s="17" t="str">
        <f>IFERROR(INDEX(Mots!$N:$N,MATCH($A1328,Mots!$A:$A,0)),"")</f>
        <v>action</v>
      </c>
      <c r="D1328" s="17">
        <f>IFERROR(COUNTA(INDEX(Mots!$E:$E,MATCH($A1328,Mots!$A:$A,0)):INDEX(Mots!$K:$K,MATCH($A1328,Mots!$A:$A,0))),0)</f>
        <v>1</v>
      </c>
      <c r="E1328" s="17" t="str">
        <f>IF(COUNTIF(Classement!$A:$A,$A1328)&gt;0,"ok","à faire")</f>
        <v>ok</v>
      </c>
      <c r="F1328" s="17" t="str">
        <f>IF(COUNTIF(Tags!$A:$A,$A1328)&gt;0,"ok","à faire")</f>
        <v>ok</v>
      </c>
      <c r="G1328" s="17" t="str">
        <f>IF(COUNTIF(Phrases!$A:$A,$A1328)&gt;0,"ok","à faire")</f>
        <v>ok</v>
      </c>
      <c r="H1328" s="17" t="str">
        <f>IF(COUNTIFS(Phrases!$A:$A,$A1328,Phrases!$I:$I,"&lt;&gt;")&gt;0,"ok","à faire")</f>
        <v>ok</v>
      </c>
      <c r="I1328" s="17" t="str">
        <f>IF(COUNTIF(Synonymes!$A:$A,$A1328)&gt;0,"ok","")</f>
        <v/>
      </c>
      <c r="J1328" s="17">
        <f t="shared" si="20"/>
        <v>0</v>
      </c>
    </row>
    <row r="1329" spans="1:10" x14ac:dyDescent="0.3">
      <c r="A1329" s="17" t="s">
        <v>7289</v>
      </c>
      <c r="B1329" s="17" t="str">
        <f>IFERROR(INDEX(Mots!$B:$B,MATCH($A1329,Mots!$A:$A,0)),"introuvable")</f>
        <v>se souvenir</v>
      </c>
      <c r="C1329" s="17" t="str">
        <f>IFERROR(INDEX(Mots!$N:$N,MATCH($A1329,Mots!$A:$A,0)),"")</f>
        <v>action</v>
      </c>
      <c r="D1329" s="17">
        <f>IFERROR(COUNTA(INDEX(Mots!$E:$E,MATCH($A1329,Mots!$A:$A,0)):INDEX(Mots!$K:$K,MATCH($A1329,Mots!$A:$A,0))),0)</f>
        <v>1</v>
      </c>
      <c r="E1329" s="17" t="str">
        <f>IF(COUNTIF(Classement!$A:$A,$A1329)&gt;0,"ok","à faire")</f>
        <v>ok</v>
      </c>
      <c r="F1329" s="17" t="str">
        <f>IF(COUNTIF(Tags!$A:$A,$A1329)&gt;0,"ok","à faire")</f>
        <v>ok</v>
      </c>
      <c r="G1329" s="17" t="str">
        <f>IF(COUNTIF(Phrases!$A:$A,$A1329)&gt;0,"ok","à faire")</f>
        <v>ok</v>
      </c>
      <c r="H1329" s="17" t="str">
        <f>IF(COUNTIFS(Phrases!$A:$A,$A1329,Phrases!$I:$I,"&lt;&gt;")&gt;0,"ok","à faire")</f>
        <v>ok</v>
      </c>
      <c r="I1329" s="17" t="str">
        <f>IF(COUNTIF(Synonymes!$A:$A,$A1329)&gt;0,"ok","")</f>
        <v>ok</v>
      </c>
      <c r="J1329" s="17">
        <f t="shared" si="20"/>
        <v>0</v>
      </c>
    </row>
    <row r="1330" spans="1:10" x14ac:dyDescent="0.3">
      <c r="A1330" s="17" t="s">
        <v>7293</v>
      </c>
      <c r="B1330" s="17" t="str">
        <f>IFERROR(INDEX(Mots!$B:$B,MATCH($A1330,Mots!$A:$A,0)),"introuvable")</f>
        <v>sentir</v>
      </c>
      <c r="C1330" s="17" t="str">
        <f>IFERROR(INDEX(Mots!$N:$N,MATCH($A1330,Mots!$A:$A,0)),"")</f>
        <v>action</v>
      </c>
      <c r="D1330" s="17">
        <f>IFERROR(COUNTA(INDEX(Mots!$E:$E,MATCH($A1330,Mots!$A:$A,0)):INDEX(Mots!$K:$K,MATCH($A1330,Mots!$A:$A,0))),0)</f>
        <v>5</v>
      </c>
      <c r="E1330" s="17" t="str">
        <f>IF(COUNTIF(Classement!$A:$A,$A1330)&gt;0,"ok","à faire")</f>
        <v>ok</v>
      </c>
      <c r="F1330" s="17" t="str">
        <f>IF(COUNTIF(Tags!$A:$A,$A1330)&gt;0,"ok","à faire")</f>
        <v>ok</v>
      </c>
      <c r="G1330" s="17" t="str">
        <f>IF(COUNTIF(Phrases!$A:$A,$A1330)&gt;0,"ok","à faire")</f>
        <v>ok</v>
      </c>
      <c r="H1330" s="17" t="str">
        <f>IF(COUNTIFS(Phrases!$A:$A,$A1330,Phrases!$I:$I,"&lt;&gt;")&gt;0,"ok","à faire")</f>
        <v>ok</v>
      </c>
      <c r="I1330" s="17" t="str">
        <f>IF(COUNTIF(Synonymes!$A:$A,$A1330)&gt;0,"ok","")</f>
        <v/>
      </c>
      <c r="J1330" s="17">
        <f t="shared" si="20"/>
        <v>0</v>
      </c>
    </row>
    <row r="1331" spans="1:10" x14ac:dyDescent="0.3">
      <c r="A1331" s="17" t="s">
        <v>7301</v>
      </c>
      <c r="B1331" s="17" t="str">
        <f>IFERROR(INDEX(Mots!$B:$B,MATCH($A1331,Mots!$A:$A,0)),"introuvable")</f>
        <v>serrer</v>
      </c>
      <c r="C1331" s="17" t="str">
        <f>IFERROR(INDEX(Mots!$N:$N,MATCH($A1331,Mots!$A:$A,0)),"")</f>
        <v>action</v>
      </c>
      <c r="D1331" s="17">
        <f>IFERROR(COUNTA(INDEX(Mots!$E:$E,MATCH($A1331,Mots!$A:$A,0)):INDEX(Mots!$K:$K,MATCH($A1331,Mots!$A:$A,0))),0)</f>
        <v>5</v>
      </c>
      <c r="E1331" s="17" t="str">
        <f>IF(COUNTIF(Classement!$A:$A,$A1331)&gt;0,"ok","à faire")</f>
        <v>ok</v>
      </c>
      <c r="F1331" s="17" t="str">
        <f>IF(COUNTIF(Tags!$A:$A,$A1331)&gt;0,"ok","à faire")</f>
        <v>à faire</v>
      </c>
      <c r="G1331" s="17" t="str">
        <f>IF(COUNTIF(Phrases!$A:$A,$A1331)&gt;0,"ok","à faire")</f>
        <v>ok</v>
      </c>
      <c r="H1331" s="17" t="str">
        <f>IF(COUNTIFS(Phrases!$A:$A,$A1331,Phrases!$I:$I,"&lt;&gt;")&gt;0,"ok","à faire")</f>
        <v>à faire</v>
      </c>
      <c r="I1331" s="17" t="str">
        <f>IF(COUNTIF(Synonymes!$A:$A,$A1331)&gt;0,"ok","")</f>
        <v/>
      </c>
      <c r="J1331" s="17">
        <f t="shared" si="20"/>
        <v>2</v>
      </c>
    </row>
    <row r="1332" spans="1:10" x14ac:dyDescent="0.3">
      <c r="A1332" s="17" t="s">
        <v>7309</v>
      </c>
      <c r="B1332" s="17" t="str">
        <f>IFERROR(INDEX(Mots!$B:$B,MATCH($A1332,Mots!$A:$A,0)),"introuvable")</f>
        <v>seul</v>
      </c>
      <c r="C1332" s="17" t="str">
        <f>IFERROR(INDEX(Mots!$N:$N,MATCH($A1332,Mots!$A:$A,0)),"")</f>
        <v>qualité</v>
      </c>
      <c r="D1332" s="17">
        <f>IFERROR(COUNTA(INDEX(Mots!$E:$E,MATCH($A1332,Mots!$A:$A,0)):INDEX(Mots!$K:$K,MATCH($A1332,Mots!$A:$A,0))),0)</f>
        <v>4</v>
      </c>
      <c r="E1332" s="17" t="str">
        <f>IF(COUNTIF(Classement!$A:$A,$A1332)&gt;0,"ok","à faire")</f>
        <v>ok</v>
      </c>
      <c r="F1332" s="17" t="str">
        <f>IF(COUNTIF(Tags!$A:$A,$A1332)&gt;0,"ok","à faire")</f>
        <v>à faire</v>
      </c>
      <c r="G1332" s="17" t="str">
        <f>IF(COUNTIF(Phrases!$A:$A,$A1332)&gt;0,"ok","à faire")</f>
        <v>ok</v>
      </c>
      <c r="H1332" s="17" t="str">
        <f>IF(COUNTIFS(Phrases!$A:$A,$A1332,Phrases!$I:$I,"&lt;&gt;")&gt;0,"ok","à faire")</f>
        <v>ok</v>
      </c>
      <c r="I1332" s="17" t="str">
        <f>IF(COUNTIF(Synonymes!$A:$A,$A1332)&gt;0,"ok","")</f>
        <v/>
      </c>
      <c r="J1332" s="17">
        <f t="shared" si="20"/>
        <v>1</v>
      </c>
    </row>
    <row r="1333" spans="1:10" x14ac:dyDescent="0.3">
      <c r="A1333" s="17" t="s">
        <v>7311</v>
      </c>
      <c r="B1333" s="17" t="str">
        <f>IFERROR(INDEX(Mots!$B:$B,MATCH($A1333,Mots!$A:$A,0)),"introuvable")</f>
        <v>seulement</v>
      </c>
      <c r="C1333" s="17" t="str">
        <f>IFERROR(INDEX(Mots!$N:$N,MATCH($A1333,Mots!$A:$A,0)),"")</f>
        <v>qualité</v>
      </c>
      <c r="D1333" s="17">
        <f>IFERROR(COUNTA(INDEX(Mots!$E:$E,MATCH($A1333,Mots!$A:$A,0)):INDEX(Mots!$K:$K,MATCH($A1333,Mots!$A:$A,0))),0)</f>
        <v>0</v>
      </c>
      <c r="E1333" s="17" t="str">
        <f>IF(COUNTIF(Classement!$A:$A,$A1333)&gt;0,"ok","à faire")</f>
        <v>ok</v>
      </c>
      <c r="F1333" s="17" t="str">
        <f>IF(COUNTIF(Tags!$A:$A,$A1333)&gt;0,"ok","à faire")</f>
        <v>à faire</v>
      </c>
      <c r="G1333" s="17" t="str">
        <f>IF(COUNTIF(Phrases!$A:$A,$A1333)&gt;0,"ok","à faire")</f>
        <v>ok</v>
      </c>
      <c r="H1333" s="17" t="str">
        <f>IF(COUNTIFS(Phrases!$A:$A,$A1333,Phrases!$I:$I,"&lt;&gt;")&gt;0,"ok","à faire")</f>
        <v>à faire</v>
      </c>
      <c r="I1333" s="17" t="str">
        <f>IF(COUNTIF(Synonymes!$A:$A,$A1333)&gt;0,"ok","")</f>
        <v>ok</v>
      </c>
      <c r="J1333" s="17">
        <f t="shared" si="20"/>
        <v>2</v>
      </c>
    </row>
    <row r="1334" spans="1:10" x14ac:dyDescent="0.3">
      <c r="A1334" s="17" t="s">
        <v>7314</v>
      </c>
      <c r="B1334" s="17" t="str">
        <f>IFERROR(INDEX(Mots!$B:$B,MATCH($A1334,Mots!$A:$A,0)),"introuvable")</f>
        <v>sortir</v>
      </c>
      <c r="C1334" s="17" t="str">
        <f>IFERROR(INDEX(Mots!$N:$N,MATCH($A1334,Mots!$A:$A,0)),"")</f>
        <v>action</v>
      </c>
      <c r="D1334" s="17">
        <f>IFERROR(COUNTA(INDEX(Mots!$E:$E,MATCH($A1334,Mots!$A:$A,0)):INDEX(Mots!$K:$K,MATCH($A1334,Mots!$A:$A,0))),0)</f>
        <v>4</v>
      </c>
      <c r="E1334" s="17" t="str">
        <f>IF(COUNTIF(Classement!$A:$A,$A1334)&gt;0,"ok","à faire")</f>
        <v>ok</v>
      </c>
      <c r="F1334" s="17" t="str">
        <f>IF(COUNTIF(Tags!$A:$A,$A1334)&gt;0,"ok","à faire")</f>
        <v>ok</v>
      </c>
      <c r="G1334" s="17" t="str">
        <f>IF(COUNTIF(Phrases!$A:$A,$A1334)&gt;0,"ok","à faire")</f>
        <v>ok</v>
      </c>
      <c r="H1334" s="17" t="str">
        <f>IF(COUNTIFS(Phrases!$A:$A,$A1334,Phrases!$I:$I,"&lt;&gt;")&gt;0,"ok","à faire")</f>
        <v>ok</v>
      </c>
      <c r="I1334" s="17" t="str">
        <f>IF(COUNTIF(Synonymes!$A:$A,$A1334)&gt;0,"ok","")</f>
        <v/>
      </c>
      <c r="J1334" s="17">
        <f t="shared" si="20"/>
        <v>0</v>
      </c>
    </row>
    <row r="1335" spans="1:10" x14ac:dyDescent="0.3">
      <c r="A1335" s="17" t="s">
        <v>7321</v>
      </c>
      <c r="B1335" s="17" t="str">
        <f>IFERROR(INDEX(Mots!$B:$B,MATCH($A1335,Mots!$A:$A,0)),"introuvable")</f>
        <v>soudain</v>
      </c>
      <c r="C1335" s="17" t="str">
        <f>IFERROR(INDEX(Mots!$N:$N,MATCH($A1335,Mots!$A:$A,0)),"")</f>
        <v>qualité</v>
      </c>
      <c r="D1335" s="17">
        <f>IFERROR(COUNTA(INDEX(Mots!$E:$E,MATCH($A1335,Mots!$A:$A,0)):INDEX(Mots!$K:$K,MATCH($A1335,Mots!$A:$A,0))),0)</f>
        <v>1</v>
      </c>
      <c r="E1335" s="17" t="str">
        <f>IF(COUNTIF(Classement!$A:$A,$A1335)&gt;0,"ok","à faire")</f>
        <v>ok</v>
      </c>
      <c r="F1335" s="17" t="str">
        <f>IF(COUNTIF(Tags!$A:$A,$A1335)&gt;0,"ok","à faire")</f>
        <v>à faire</v>
      </c>
      <c r="G1335" s="17" t="str">
        <f>IF(COUNTIF(Phrases!$A:$A,$A1335)&gt;0,"ok","à faire")</f>
        <v>ok</v>
      </c>
      <c r="H1335" s="17" t="str">
        <f>IF(COUNTIFS(Phrases!$A:$A,$A1335,Phrases!$I:$I,"&lt;&gt;")&gt;0,"ok","à faire")</f>
        <v>ok</v>
      </c>
      <c r="I1335" s="17" t="str">
        <f>IF(COUNTIF(Synonymes!$A:$A,$A1335)&gt;0,"ok","")</f>
        <v/>
      </c>
      <c r="J1335" s="17">
        <f t="shared" si="20"/>
        <v>1</v>
      </c>
    </row>
    <row r="1336" spans="1:10" x14ac:dyDescent="0.3">
      <c r="A1336" s="17" t="s">
        <v>7323</v>
      </c>
      <c r="B1336" s="17" t="str">
        <f>IFERROR(INDEX(Mots!$B:$B,MATCH($A1336,Mots!$A:$A,0)),"introuvable")</f>
        <v>souple</v>
      </c>
      <c r="C1336" s="17" t="str">
        <f>IFERROR(INDEX(Mots!$N:$N,MATCH($A1336,Mots!$A:$A,0)),"")</f>
        <v>qualité</v>
      </c>
      <c r="D1336" s="17">
        <f>IFERROR(COUNTA(INDEX(Mots!$E:$E,MATCH($A1336,Mots!$A:$A,0)):INDEX(Mots!$K:$K,MATCH($A1336,Mots!$A:$A,0))),0)</f>
        <v>5</v>
      </c>
      <c r="E1336" s="17" t="str">
        <f>IF(COUNTIF(Classement!$A:$A,$A1336)&gt;0,"ok","à faire")</f>
        <v>ok</v>
      </c>
      <c r="F1336" s="17" t="str">
        <f>IF(COUNTIF(Tags!$A:$A,$A1336)&gt;0,"ok","à faire")</f>
        <v>ok</v>
      </c>
      <c r="G1336" s="17" t="str">
        <f>IF(COUNTIF(Phrases!$A:$A,$A1336)&gt;0,"ok","à faire")</f>
        <v>ok</v>
      </c>
      <c r="H1336" s="17" t="str">
        <f>IF(COUNTIFS(Phrases!$A:$A,$A1336,Phrases!$I:$I,"&lt;&gt;")&gt;0,"ok","à faire")</f>
        <v>à faire</v>
      </c>
      <c r="I1336" s="17" t="str">
        <f>IF(COUNTIF(Synonymes!$A:$A,$A1336)&gt;0,"ok","")</f>
        <v>ok</v>
      </c>
      <c r="J1336" s="17">
        <f t="shared" si="20"/>
        <v>1</v>
      </c>
    </row>
    <row r="1337" spans="1:10" x14ac:dyDescent="0.3">
      <c r="A1337" s="17" t="s">
        <v>7330</v>
      </c>
      <c r="B1337" s="17" t="str">
        <f>IFERROR(INDEX(Mots!$B:$B,MATCH($A1337,Mots!$A:$A,0)),"introuvable")</f>
        <v>Stéphanie Germanier</v>
      </c>
      <c r="C1337" s="17" t="str">
        <f>IFERROR(INDEX(Mots!$N:$N,MATCH($A1337,Mots!$A:$A,0)),"")</f>
        <v>personne</v>
      </c>
      <c r="D1337" s="17">
        <f>IFERROR(COUNTA(INDEX(Mots!$E:$E,MATCH($A1337,Mots!$A:$A,0)):INDEX(Mots!$K:$K,MATCH($A1337,Mots!$A:$A,0))),0)</f>
        <v>1</v>
      </c>
      <c r="E1337" s="17" t="str">
        <f>IF(COUNTIF(Classement!$A:$A,$A1337)&gt;0,"ok","à faire")</f>
        <v>ok</v>
      </c>
      <c r="F1337" s="17" t="str">
        <f>IF(COUNTIF(Tags!$A:$A,$A1337)&gt;0,"ok","à faire")</f>
        <v>ok</v>
      </c>
      <c r="G1337" s="17" t="str">
        <f>IF(COUNTIF(Phrases!$A:$A,$A1337)&gt;0,"ok","à faire")</f>
        <v>à faire</v>
      </c>
      <c r="H1337" s="17" t="str">
        <f>IF(COUNTIFS(Phrases!$A:$A,$A1337,Phrases!$I:$I,"&lt;&gt;")&gt;0,"ok","à faire")</f>
        <v>à faire</v>
      </c>
      <c r="I1337" s="17" t="str">
        <f>IF(COUNTIF(Synonymes!$A:$A,$A1337)&gt;0,"ok","")</f>
        <v/>
      </c>
      <c r="J1337" s="17">
        <f t="shared" si="20"/>
        <v>2</v>
      </c>
    </row>
    <row r="1338" spans="1:10" x14ac:dyDescent="0.3">
      <c r="A1338" s="17" t="s">
        <v>7334</v>
      </c>
      <c r="B1338" s="17" t="str">
        <f>IFERROR(INDEX(Mots!$B:$B,MATCH($A1338,Mots!$A:$A,0)),"introuvable")</f>
        <v>supplier</v>
      </c>
      <c r="C1338" s="17" t="str">
        <f>IFERROR(INDEX(Mots!$N:$N,MATCH($A1338,Mots!$A:$A,0)),"")</f>
        <v>action</v>
      </c>
      <c r="D1338" s="17">
        <f>IFERROR(COUNTA(INDEX(Mots!$E:$E,MATCH($A1338,Mots!$A:$A,0)):INDEX(Mots!$K:$K,MATCH($A1338,Mots!$A:$A,0))),0)</f>
        <v>1</v>
      </c>
      <c r="E1338" s="17" t="str">
        <f>IF(COUNTIF(Classement!$A:$A,$A1338)&gt;0,"ok","à faire")</f>
        <v>ok</v>
      </c>
      <c r="F1338" s="17" t="str">
        <f>IF(COUNTIF(Tags!$A:$A,$A1338)&gt;0,"ok","à faire")</f>
        <v>ok</v>
      </c>
      <c r="G1338" s="17" t="str">
        <f>IF(COUNTIF(Phrases!$A:$A,$A1338)&gt;0,"ok","à faire")</f>
        <v>ok</v>
      </c>
      <c r="H1338" s="17" t="str">
        <f>IF(COUNTIFS(Phrases!$A:$A,$A1338,Phrases!$I:$I,"&lt;&gt;")&gt;0,"ok","à faire")</f>
        <v>à faire</v>
      </c>
      <c r="I1338" s="17" t="str">
        <f>IF(COUNTIF(Synonymes!$A:$A,$A1338)&gt;0,"ok","")</f>
        <v>ok</v>
      </c>
      <c r="J1338" s="17">
        <f t="shared" si="20"/>
        <v>1</v>
      </c>
    </row>
    <row r="1339" spans="1:10" x14ac:dyDescent="0.3">
      <c r="A1339" s="17" t="s">
        <v>7338</v>
      </c>
      <c r="B1339" s="17" t="str">
        <f>IFERROR(INDEX(Mots!$B:$B,MATCH($A1339,Mots!$A:$A,0)),"introuvable")</f>
        <v>surtout</v>
      </c>
      <c r="C1339" s="17" t="str">
        <f>IFERROR(INDEX(Mots!$N:$N,MATCH($A1339,Mots!$A:$A,0)),"")</f>
        <v>mot utile</v>
      </c>
      <c r="D1339" s="17">
        <f>IFERROR(COUNTA(INDEX(Mots!$E:$E,MATCH($A1339,Mots!$A:$A,0)):INDEX(Mots!$K:$K,MATCH($A1339,Mots!$A:$A,0))),0)</f>
        <v>0</v>
      </c>
      <c r="E1339" s="17" t="str">
        <f>IF(COUNTIF(Classement!$A:$A,$A1339)&gt;0,"ok","à faire")</f>
        <v>ok</v>
      </c>
      <c r="F1339" s="17" t="str">
        <f>IF(COUNTIF(Tags!$A:$A,$A1339)&gt;0,"ok","à faire")</f>
        <v>ok</v>
      </c>
      <c r="G1339" s="17" t="str">
        <f>IF(COUNTIF(Phrases!$A:$A,$A1339)&gt;0,"ok","à faire")</f>
        <v>à faire</v>
      </c>
      <c r="H1339" s="17" t="str">
        <f>IF(COUNTIFS(Phrases!$A:$A,$A1339,Phrases!$I:$I,"&lt;&gt;")&gt;0,"ok","à faire")</f>
        <v>à faire</v>
      </c>
      <c r="I1339" s="17" t="str">
        <f>IF(COUNTIF(Synonymes!$A:$A,$A1339)&gt;0,"ok","")</f>
        <v/>
      </c>
      <c r="J1339" s="17">
        <f t="shared" si="20"/>
        <v>2</v>
      </c>
    </row>
    <row r="1340" spans="1:10" x14ac:dyDescent="0.3">
      <c r="A1340" s="17" t="s">
        <v>7340</v>
      </c>
      <c r="B1340" s="17" t="str">
        <f>IFERROR(INDEX(Mots!$B:$B,MATCH($A1340,Mots!$A:$A,0)),"introuvable")</f>
        <v>tenir</v>
      </c>
      <c r="C1340" s="17" t="str">
        <f>IFERROR(INDEX(Mots!$N:$N,MATCH($A1340,Mots!$A:$A,0)),"")</f>
        <v>action</v>
      </c>
      <c r="D1340" s="17">
        <f>IFERROR(COUNTA(INDEX(Mots!$E:$E,MATCH($A1340,Mots!$A:$A,0)):INDEX(Mots!$K:$K,MATCH($A1340,Mots!$A:$A,0))),0)</f>
        <v>3</v>
      </c>
      <c r="E1340" s="17" t="str">
        <f>IF(COUNTIF(Classement!$A:$A,$A1340)&gt;0,"ok","à faire")</f>
        <v>ok</v>
      </c>
      <c r="F1340" s="17" t="str">
        <f>IF(COUNTIF(Tags!$A:$A,$A1340)&gt;0,"ok","à faire")</f>
        <v>ok</v>
      </c>
      <c r="G1340" s="17" t="str">
        <f>IF(COUNTIF(Phrases!$A:$A,$A1340)&gt;0,"ok","à faire")</f>
        <v>ok</v>
      </c>
      <c r="H1340" s="17" t="str">
        <f>IF(COUNTIFS(Phrases!$A:$A,$A1340,Phrases!$I:$I,"&lt;&gt;")&gt;0,"ok","à faire")</f>
        <v>ok</v>
      </c>
      <c r="I1340" s="17" t="str">
        <f>IF(COUNTIF(Synonymes!$A:$A,$A1340)&gt;0,"ok","")</f>
        <v/>
      </c>
      <c r="J1340" s="17">
        <f t="shared" si="20"/>
        <v>0</v>
      </c>
    </row>
    <row r="1341" spans="1:10" x14ac:dyDescent="0.3">
      <c r="A1341" s="17" t="s">
        <v>7346</v>
      </c>
      <c r="B1341" s="17" t="str">
        <f>IFERROR(INDEX(Mots!$B:$B,MATCH($A1341,Mots!$A:$A,0)),"introuvable")</f>
        <v>tiède</v>
      </c>
      <c r="C1341" s="17" t="str">
        <f>IFERROR(INDEX(Mots!$N:$N,MATCH($A1341,Mots!$A:$A,0)),"")</f>
        <v>mot utile</v>
      </c>
      <c r="D1341" s="17">
        <f>IFERROR(COUNTA(INDEX(Mots!$E:$E,MATCH($A1341,Mots!$A:$A,0)):INDEX(Mots!$K:$K,MATCH($A1341,Mots!$A:$A,0))),0)</f>
        <v>1</v>
      </c>
      <c r="E1341" s="17" t="str">
        <f>IF(COUNTIF(Classement!$A:$A,$A1341)&gt;0,"ok","à faire")</f>
        <v>ok</v>
      </c>
      <c r="F1341" s="17" t="str">
        <f>IF(COUNTIF(Tags!$A:$A,$A1341)&gt;0,"ok","à faire")</f>
        <v>ok</v>
      </c>
      <c r="G1341" s="17" t="str">
        <f>IF(COUNTIF(Phrases!$A:$A,$A1341)&gt;0,"ok","à faire")</f>
        <v>à faire</v>
      </c>
      <c r="H1341" s="17" t="str">
        <f>IF(COUNTIFS(Phrases!$A:$A,$A1341,Phrases!$I:$I,"&lt;&gt;")&gt;0,"ok","à faire")</f>
        <v>à faire</v>
      </c>
      <c r="I1341" s="17" t="str">
        <f>IF(COUNTIF(Synonymes!$A:$A,$A1341)&gt;0,"ok","")</f>
        <v/>
      </c>
      <c r="J1341" s="17">
        <f t="shared" si="20"/>
        <v>2</v>
      </c>
    </row>
    <row r="1342" spans="1:10" x14ac:dyDescent="0.3">
      <c r="A1342" s="17" t="s">
        <v>7350</v>
      </c>
      <c r="B1342" s="17" t="str">
        <f>IFERROR(INDEX(Mots!$B:$B,MATCH($A1342,Mots!$A:$A,0)),"introuvable")</f>
        <v>tirer</v>
      </c>
      <c r="C1342" s="17" t="str">
        <f>IFERROR(INDEX(Mots!$N:$N,MATCH($A1342,Mots!$A:$A,0)),"")</f>
        <v>action</v>
      </c>
      <c r="D1342" s="17">
        <f>IFERROR(COUNTA(INDEX(Mots!$E:$E,MATCH($A1342,Mots!$A:$A,0)):INDEX(Mots!$K:$K,MATCH($A1342,Mots!$A:$A,0))),0)</f>
        <v>5</v>
      </c>
      <c r="E1342" s="17" t="str">
        <f>IF(COUNTIF(Classement!$A:$A,$A1342)&gt;0,"ok","à faire")</f>
        <v>ok</v>
      </c>
      <c r="F1342" s="17" t="str">
        <f>IF(COUNTIF(Tags!$A:$A,$A1342)&gt;0,"ok","à faire")</f>
        <v>ok</v>
      </c>
      <c r="G1342" s="17" t="str">
        <f>IF(COUNTIF(Phrases!$A:$A,$A1342)&gt;0,"ok","à faire")</f>
        <v>ok</v>
      </c>
      <c r="H1342" s="17" t="str">
        <f>IF(COUNTIFS(Phrases!$A:$A,$A1342,Phrases!$I:$I,"&lt;&gt;")&gt;0,"ok","à faire")</f>
        <v>ok</v>
      </c>
      <c r="I1342" s="17" t="str">
        <f>IF(COUNTIF(Synonymes!$A:$A,$A1342)&gt;0,"ok","")</f>
        <v/>
      </c>
      <c r="J1342" s="17">
        <f t="shared" si="20"/>
        <v>0</v>
      </c>
    </row>
    <row r="1343" spans="1:10" x14ac:dyDescent="0.3">
      <c r="A1343" s="17" t="s">
        <v>7358</v>
      </c>
      <c r="B1343" s="17" t="str">
        <f>IFERROR(INDEX(Mots!$B:$B,MATCH($A1343,Mots!$A:$A,0)),"introuvable")</f>
        <v>tomber</v>
      </c>
      <c r="C1343" s="17" t="str">
        <f>IFERROR(INDEX(Mots!$N:$N,MATCH($A1343,Mots!$A:$A,0)),"")</f>
        <v>action</v>
      </c>
      <c r="D1343" s="17">
        <f>IFERROR(COUNTA(INDEX(Mots!$E:$E,MATCH($A1343,Mots!$A:$A,0)):INDEX(Mots!$K:$K,MATCH($A1343,Mots!$A:$A,0))),0)</f>
        <v>5</v>
      </c>
      <c r="E1343" s="17" t="str">
        <f>IF(COUNTIF(Classement!$A:$A,$A1343)&gt;0,"ok","à faire")</f>
        <v>ok</v>
      </c>
      <c r="F1343" s="17" t="str">
        <f>IF(COUNTIF(Tags!$A:$A,$A1343)&gt;0,"ok","à faire")</f>
        <v>à faire</v>
      </c>
      <c r="G1343" s="17" t="str">
        <f>IF(COUNTIF(Phrases!$A:$A,$A1343)&gt;0,"ok","à faire")</f>
        <v>ok</v>
      </c>
      <c r="H1343" s="17" t="str">
        <f>IF(COUNTIFS(Phrases!$A:$A,$A1343,Phrases!$I:$I,"&lt;&gt;")&gt;0,"ok","à faire")</f>
        <v>ok</v>
      </c>
      <c r="I1343" s="17" t="str">
        <f>IF(COUNTIF(Synonymes!$A:$A,$A1343)&gt;0,"ok","")</f>
        <v>ok</v>
      </c>
      <c r="J1343" s="17">
        <f t="shared" si="20"/>
        <v>1</v>
      </c>
    </row>
    <row r="1344" spans="1:10" x14ac:dyDescent="0.3">
      <c r="A1344" s="17" t="s">
        <v>7365</v>
      </c>
      <c r="B1344" s="17" t="str">
        <f>IFERROR(INDEX(Mots!$B:$B,MATCH($A1344,Mots!$A:$A,0)),"introuvable")</f>
        <v>toucher</v>
      </c>
      <c r="C1344" s="17" t="str">
        <f>IFERROR(INDEX(Mots!$N:$N,MATCH($A1344,Mots!$A:$A,0)),"")</f>
        <v>action</v>
      </c>
      <c r="D1344" s="17">
        <f>IFERROR(COUNTA(INDEX(Mots!$E:$E,MATCH($A1344,Mots!$A:$A,0)):INDEX(Mots!$K:$K,MATCH($A1344,Mots!$A:$A,0))),0)</f>
        <v>5</v>
      </c>
      <c r="E1344" s="17" t="str">
        <f>IF(COUNTIF(Classement!$A:$A,$A1344)&gt;0,"ok","à faire")</f>
        <v>ok</v>
      </c>
      <c r="F1344" s="17" t="str">
        <f>IF(COUNTIF(Tags!$A:$A,$A1344)&gt;0,"ok","à faire")</f>
        <v>à faire</v>
      </c>
      <c r="G1344" s="17" t="str">
        <f>IF(COUNTIF(Phrases!$A:$A,$A1344)&gt;0,"ok","à faire")</f>
        <v>ok</v>
      </c>
      <c r="H1344" s="17" t="str">
        <f>IF(COUNTIFS(Phrases!$A:$A,$A1344,Phrases!$I:$I,"&lt;&gt;")&gt;0,"ok","à faire")</f>
        <v>à faire</v>
      </c>
      <c r="I1344" s="17" t="str">
        <f>IF(COUNTIF(Synonymes!$A:$A,$A1344)&gt;0,"ok","")</f>
        <v/>
      </c>
      <c r="J1344" s="17">
        <f t="shared" si="20"/>
        <v>2</v>
      </c>
    </row>
    <row r="1345" spans="1:10" x14ac:dyDescent="0.3">
      <c r="A1345" s="17" t="s">
        <v>7373</v>
      </c>
      <c r="B1345" s="17" t="str">
        <f>IFERROR(INDEX(Mots!$B:$B,MATCH($A1345,Mots!$A:$A,0)),"introuvable")</f>
        <v>touffu</v>
      </c>
      <c r="C1345" s="17" t="str">
        <f>IFERROR(INDEX(Mots!$N:$N,MATCH($A1345,Mots!$A:$A,0)),"")</f>
        <v>qualité</v>
      </c>
      <c r="D1345" s="17">
        <f>IFERROR(COUNTA(INDEX(Mots!$E:$E,MATCH($A1345,Mots!$A:$A,0)):INDEX(Mots!$K:$K,MATCH($A1345,Mots!$A:$A,0))),0)</f>
        <v>0</v>
      </c>
      <c r="E1345" s="17" t="str">
        <f>IF(COUNTIF(Classement!$A:$A,$A1345)&gt;0,"ok","à faire")</f>
        <v>ok</v>
      </c>
      <c r="F1345" s="17" t="str">
        <f>IF(COUNTIF(Tags!$A:$A,$A1345)&gt;0,"ok","à faire")</f>
        <v>ok</v>
      </c>
      <c r="G1345" s="17" t="str">
        <f>IF(COUNTIF(Phrases!$A:$A,$A1345)&gt;0,"ok","à faire")</f>
        <v>ok</v>
      </c>
      <c r="H1345" s="17" t="str">
        <f>IF(COUNTIFS(Phrases!$A:$A,$A1345,Phrases!$I:$I,"&lt;&gt;")&gt;0,"ok","à faire")</f>
        <v>à faire</v>
      </c>
      <c r="I1345" s="17" t="str">
        <f>IF(COUNTIF(Synonymes!$A:$A,$A1345)&gt;0,"ok","")</f>
        <v>ok</v>
      </c>
      <c r="J1345" s="17">
        <f t="shared" ref="J1345:J1408" si="21">COUNTIF(E1345:H1345,"à faire")</f>
        <v>1</v>
      </c>
    </row>
    <row r="1346" spans="1:10" x14ac:dyDescent="0.3">
      <c r="A1346" s="17" t="s">
        <v>7375</v>
      </c>
      <c r="B1346" s="17" t="str">
        <f>IFERROR(INDEX(Mots!$B:$B,MATCH($A1346,Mots!$A:$A,0)),"introuvable")</f>
        <v>tranquille</v>
      </c>
      <c r="C1346" s="17" t="str">
        <f>IFERROR(INDEX(Mots!$N:$N,MATCH($A1346,Mots!$A:$A,0)),"")</f>
        <v>qualité</v>
      </c>
      <c r="D1346" s="17">
        <f>IFERROR(COUNTA(INDEX(Mots!$E:$E,MATCH($A1346,Mots!$A:$A,0)):INDEX(Mots!$K:$K,MATCH($A1346,Mots!$A:$A,0))),0)</f>
        <v>1</v>
      </c>
      <c r="E1346" s="17" t="str">
        <f>IF(COUNTIF(Classement!$A:$A,$A1346)&gt;0,"ok","à faire")</f>
        <v>ok</v>
      </c>
      <c r="F1346" s="17" t="str">
        <f>IF(COUNTIF(Tags!$A:$A,$A1346)&gt;0,"ok","à faire")</f>
        <v>ok</v>
      </c>
      <c r="G1346" s="17" t="str">
        <f>IF(COUNTIF(Phrases!$A:$A,$A1346)&gt;0,"ok","à faire")</f>
        <v>ok</v>
      </c>
      <c r="H1346" s="17" t="str">
        <f>IF(COUNTIFS(Phrases!$A:$A,$A1346,Phrases!$I:$I,"&lt;&gt;")&gt;0,"ok","à faire")</f>
        <v>ok</v>
      </c>
      <c r="I1346" s="17" t="str">
        <f>IF(COUNTIF(Synonymes!$A:$A,$A1346)&gt;0,"ok","")</f>
        <v>ok</v>
      </c>
      <c r="J1346" s="17">
        <f t="shared" si="21"/>
        <v>0</v>
      </c>
    </row>
    <row r="1347" spans="1:10" x14ac:dyDescent="0.3">
      <c r="A1347" s="17" t="s">
        <v>7378</v>
      </c>
      <c r="B1347" s="17" t="str">
        <f>IFERROR(INDEX(Mots!$B:$B,MATCH($A1347,Mots!$A:$A,0)),"introuvable")</f>
        <v>transparent</v>
      </c>
      <c r="C1347" s="17" t="str">
        <f>IFERROR(INDEX(Mots!$N:$N,MATCH($A1347,Mots!$A:$A,0)),"")</f>
        <v>qualité</v>
      </c>
      <c r="D1347" s="17">
        <f>IFERROR(COUNTA(INDEX(Mots!$E:$E,MATCH($A1347,Mots!$A:$A,0)):INDEX(Mots!$K:$K,MATCH($A1347,Mots!$A:$A,0))),0)</f>
        <v>1</v>
      </c>
      <c r="E1347" s="17" t="str">
        <f>IF(COUNTIF(Classement!$A:$A,$A1347)&gt;0,"ok","à faire")</f>
        <v>ok</v>
      </c>
      <c r="F1347" s="17" t="str">
        <f>IF(COUNTIF(Tags!$A:$A,$A1347)&gt;0,"ok","à faire")</f>
        <v>à faire</v>
      </c>
      <c r="G1347" s="17" t="str">
        <f>IF(COUNTIF(Phrases!$A:$A,$A1347)&gt;0,"ok","à faire")</f>
        <v>ok</v>
      </c>
      <c r="H1347" s="17" t="str">
        <f>IF(COUNTIFS(Phrases!$A:$A,$A1347,Phrases!$I:$I,"&lt;&gt;")&gt;0,"ok","à faire")</f>
        <v>à faire</v>
      </c>
      <c r="I1347" s="17" t="str">
        <f>IF(COUNTIF(Synonymes!$A:$A,$A1347)&gt;0,"ok","")</f>
        <v/>
      </c>
      <c r="J1347" s="17">
        <f t="shared" si="21"/>
        <v>2</v>
      </c>
    </row>
    <row r="1348" spans="1:10" x14ac:dyDescent="0.3">
      <c r="A1348" s="17" t="s">
        <v>7381</v>
      </c>
      <c r="B1348" s="17" t="str">
        <f>IFERROR(INDEX(Mots!$B:$B,MATCH($A1348,Mots!$A:$A,0)),"introuvable")</f>
        <v>travailler</v>
      </c>
      <c r="C1348" s="17" t="str">
        <f>IFERROR(INDEX(Mots!$N:$N,MATCH($A1348,Mots!$A:$A,0)),"")</f>
        <v>action</v>
      </c>
      <c r="D1348" s="17">
        <f>IFERROR(COUNTA(INDEX(Mots!$E:$E,MATCH($A1348,Mots!$A:$A,0)):INDEX(Mots!$K:$K,MATCH($A1348,Mots!$A:$A,0))),0)</f>
        <v>1</v>
      </c>
      <c r="E1348" s="17" t="str">
        <f>IF(COUNTIF(Classement!$A:$A,$A1348)&gt;0,"ok","à faire")</f>
        <v>ok</v>
      </c>
      <c r="F1348" s="17" t="str">
        <f>IF(COUNTIF(Tags!$A:$A,$A1348)&gt;0,"ok","à faire")</f>
        <v>ok</v>
      </c>
      <c r="G1348" s="17" t="str">
        <f>IF(COUNTIF(Phrases!$A:$A,$A1348)&gt;0,"ok","à faire")</f>
        <v>ok</v>
      </c>
      <c r="H1348" s="17" t="str">
        <f>IF(COUNTIFS(Phrases!$A:$A,$A1348,Phrases!$I:$I,"&lt;&gt;")&gt;0,"ok","à faire")</f>
        <v>ok</v>
      </c>
      <c r="I1348" s="17" t="str">
        <f>IF(COUNTIF(Synonymes!$A:$A,$A1348)&gt;0,"ok","")</f>
        <v>ok</v>
      </c>
      <c r="J1348" s="17">
        <f t="shared" si="21"/>
        <v>0</v>
      </c>
    </row>
    <row r="1349" spans="1:10" x14ac:dyDescent="0.3">
      <c r="A1349" s="17" t="s">
        <v>7385</v>
      </c>
      <c r="B1349" s="17" t="str">
        <f>IFERROR(INDEX(Mots!$B:$B,MATCH($A1349,Mots!$A:$A,0)),"introuvable")</f>
        <v>très</v>
      </c>
      <c r="C1349" s="17" t="str">
        <f>IFERROR(INDEX(Mots!$N:$N,MATCH($A1349,Mots!$A:$A,0)),"")</f>
        <v>mot utile</v>
      </c>
      <c r="D1349" s="17">
        <f>IFERROR(COUNTA(INDEX(Mots!$E:$E,MATCH($A1349,Mots!$A:$A,0)):INDEX(Mots!$K:$K,MATCH($A1349,Mots!$A:$A,0))),0)</f>
        <v>0</v>
      </c>
      <c r="E1349" s="17" t="str">
        <f>IF(COUNTIF(Classement!$A:$A,$A1349)&gt;0,"ok","à faire")</f>
        <v>ok</v>
      </c>
      <c r="F1349" s="17" t="str">
        <f>IF(COUNTIF(Tags!$A:$A,$A1349)&gt;0,"ok","à faire")</f>
        <v>ok</v>
      </c>
      <c r="G1349" s="17" t="str">
        <f>IF(COUNTIF(Phrases!$A:$A,$A1349)&gt;0,"ok","à faire")</f>
        <v>à faire</v>
      </c>
      <c r="H1349" s="17" t="str">
        <f>IF(COUNTIFS(Phrases!$A:$A,$A1349,Phrases!$I:$I,"&lt;&gt;")&gt;0,"ok","à faire")</f>
        <v>à faire</v>
      </c>
      <c r="I1349" s="17" t="str">
        <f>IF(COUNTIF(Synonymes!$A:$A,$A1349)&gt;0,"ok","")</f>
        <v/>
      </c>
      <c r="J1349" s="17">
        <f t="shared" si="21"/>
        <v>2</v>
      </c>
    </row>
    <row r="1350" spans="1:10" x14ac:dyDescent="0.3">
      <c r="A1350" s="17" t="s">
        <v>7388</v>
      </c>
      <c r="B1350" s="17" t="str">
        <f>IFERROR(INDEX(Mots!$B:$B,MATCH($A1350,Mots!$A:$A,0)),"introuvable")</f>
        <v>trop</v>
      </c>
      <c r="C1350" s="17" t="str">
        <f>IFERROR(INDEX(Mots!$N:$N,MATCH($A1350,Mots!$A:$A,0)),"")</f>
        <v>mot utile</v>
      </c>
      <c r="D1350" s="17">
        <f>IFERROR(COUNTA(INDEX(Mots!$E:$E,MATCH($A1350,Mots!$A:$A,0)):INDEX(Mots!$K:$K,MATCH($A1350,Mots!$A:$A,0))),0)</f>
        <v>2</v>
      </c>
      <c r="E1350" s="17" t="str">
        <f>IF(COUNTIF(Classement!$A:$A,$A1350)&gt;0,"ok","à faire")</f>
        <v>ok</v>
      </c>
      <c r="F1350" s="17" t="str">
        <f>IF(COUNTIF(Tags!$A:$A,$A1350)&gt;0,"ok","à faire")</f>
        <v>ok</v>
      </c>
      <c r="G1350" s="17" t="str">
        <f>IF(COUNTIF(Phrases!$A:$A,$A1350)&gt;0,"ok","à faire")</f>
        <v>à faire</v>
      </c>
      <c r="H1350" s="17" t="str">
        <f>IF(COUNTIFS(Phrases!$A:$A,$A1350,Phrases!$I:$I,"&lt;&gt;")&gt;0,"ok","à faire")</f>
        <v>à faire</v>
      </c>
      <c r="I1350" s="17" t="str">
        <f>IF(COUNTIF(Synonymes!$A:$A,$A1350)&gt;0,"ok","")</f>
        <v/>
      </c>
      <c r="J1350" s="17">
        <f t="shared" si="21"/>
        <v>2</v>
      </c>
    </row>
    <row r="1351" spans="1:10" x14ac:dyDescent="0.3">
      <c r="A1351" s="17" t="s">
        <v>7392</v>
      </c>
      <c r="B1351" s="17" t="str">
        <f>IFERROR(INDEX(Mots!$B:$B,MATCH($A1351,Mots!$A:$A,0)),"introuvable")</f>
        <v>trouver</v>
      </c>
      <c r="C1351" s="17" t="str">
        <f>IFERROR(INDEX(Mots!$N:$N,MATCH($A1351,Mots!$A:$A,0)),"")</f>
        <v>action</v>
      </c>
      <c r="D1351" s="17">
        <f>IFERROR(COUNTA(INDEX(Mots!$E:$E,MATCH($A1351,Mots!$A:$A,0)):INDEX(Mots!$K:$K,MATCH($A1351,Mots!$A:$A,0))),0)</f>
        <v>2</v>
      </c>
      <c r="E1351" s="17" t="str">
        <f>IF(COUNTIF(Classement!$A:$A,$A1351)&gt;0,"ok","à faire")</f>
        <v>ok</v>
      </c>
      <c r="F1351" s="17" t="str">
        <f>IF(COUNTIF(Tags!$A:$A,$A1351)&gt;0,"ok","à faire")</f>
        <v>à faire</v>
      </c>
      <c r="G1351" s="17" t="str">
        <f>IF(COUNTIF(Phrases!$A:$A,$A1351)&gt;0,"ok","à faire")</f>
        <v>ok</v>
      </c>
      <c r="H1351" s="17" t="str">
        <f>IF(COUNTIFS(Phrases!$A:$A,$A1351,Phrases!$I:$I,"&lt;&gt;")&gt;0,"ok","à faire")</f>
        <v>ok</v>
      </c>
      <c r="I1351" s="17" t="str">
        <f>IF(COUNTIF(Synonymes!$A:$A,$A1351)&gt;0,"ok","")</f>
        <v/>
      </c>
      <c r="J1351" s="17">
        <f t="shared" si="21"/>
        <v>1</v>
      </c>
    </row>
    <row r="1352" spans="1:10" x14ac:dyDescent="0.3">
      <c r="A1352" s="17" t="s">
        <v>7397</v>
      </c>
      <c r="B1352" s="17" t="str">
        <f>IFERROR(INDEX(Mots!$B:$B,MATCH($A1352,Mots!$A:$A,0)),"introuvable")</f>
        <v>urgent</v>
      </c>
      <c r="C1352" s="17" t="str">
        <f>IFERROR(INDEX(Mots!$N:$N,MATCH($A1352,Mots!$A:$A,0)),"")</f>
        <v>qualité</v>
      </c>
      <c r="D1352" s="17">
        <f>IFERROR(COUNTA(INDEX(Mots!$E:$E,MATCH($A1352,Mots!$A:$A,0)):INDEX(Mots!$K:$K,MATCH($A1352,Mots!$A:$A,0))),0)</f>
        <v>0</v>
      </c>
      <c r="E1352" s="17" t="str">
        <f>IF(COUNTIF(Classement!$A:$A,$A1352)&gt;0,"ok","à faire")</f>
        <v>ok</v>
      </c>
      <c r="F1352" s="17" t="str">
        <f>IF(COUNTIF(Tags!$A:$A,$A1352)&gt;0,"ok","à faire")</f>
        <v>à faire</v>
      </c>
      <c r="G1352" s="17" t="str">
        <f>IF(COUNTIF(Phrases!$A:$A,$A1352)&gt;0,"ok","à faire")</f>
        <v>à faire</v>
      </c>
      <c r="H1352" s="17" t="str">
        <f>IF(COUNTIFS(Phrases!$A:$A,$A1352,Phrases!$I:$I,"&lt;&gt;")&gt;0,"ok","à faire")</f>
        <v>à faire</v>
      </c>
      <c r="I1352" s="17" t="str">
        <f>IF(COUNTIF(Synonymes!$A:$A,$A1352)&gt;0,"ok","")</f>
        <v>ok</v>
      </c>
      <c r="J1352" s="17">
        <f t="shared" si="21"/>
        <v>3</v>
      </c>
    </row>
    <row r="1353" spans="1:10" x14ac:dyDescent="0.3">
      <c r="A1353" s="17" t="s">
        <v>7400</v>
      </c>
      <c r="B1353" s="17" t="str">
        <f>IFERROR(INDEX(Mots!$B:$B,MATCH($A1353,Mots!$A:$A,0)),"introuvable")</f>
        <v>utile</v>
      </c>
      <c r="C1353" s="17" t="str">
        <f>IFERROR(INDEX(Mots!$N:$N,MATCH($A1353,Mots!$A:$A,0)),"")</f>
        <v>qualité</v>
      </c>
      <c r="D1353" s="17">
        <f>IFERROR(COUNTA(INDEX(Mots!$E:$E,MATCH($A1353,Mots!$A:$A,0)):INDEX(Mots!$K:$K,MATCH($A1353,Mots!$A:$A,0))),0)</f>
        <v>0</v>
      </c>
      <c r="E1353" s="17" t="str">
        <f>IF(COUNTIF(Classement!$A:$A,$A1353)&gt;0,"ok","à faire")</f>
        <v>ok</v>
      </c>
      <c r="F1353" s="17" t="str">
        <f>IF(COUNTIF(Tags!$A:$A,$A1353)&gt;0,"ok","à faire")</f>
        <v>à faire</v>
      </c>
      <c r="G1353" s="17" t="str">
        <f>IF(COUNTIF(Phrases!$A:$A,$A1353)&gt;0,"ok","à faire")</f>
        <v>à faire</v>
      </c>
      <c r="H1353" s="17" t="str">
        <f>IF(COUNTIFS(Phrases!$A:$A,$A1353,Phrases!$I:$I,"&lt;&gt;")&gt;0,"ok","à faire")</f>
        <v>à faire</v>
      </c>
      <c r="I1353" s="17" t="str">
        <f>IF(COUNTIF(Synonymes!$A:$A,$A1353)&gt;0,"ok","")</f>
        <v>ok</v>
      </c>
      <c r="J1353" s="17">
        <f t="shared" si="21"/>
        <v>3</v>
      </c>
    </row>
    <row r="1354" spans="1:10" x14ac:dyDescent="0.3">
      <c r="A1354" s="17" t="s">
        <v>7403</v>
      </c>
      <c r="B1354" s="17" t="str">
        <f>IFERROR(INDEX(Mots!$B:$B,MATCH($A1354,Mots!$A:$A,0)),"introuvable")</f>
        <v>velouté</v>
      </c>
      <c r="C1354" s="17" t="str">
        <f>IFERROR(INDEX(Mots!$N:$N,MATCH($A1354,Mots!$A:$A,0)),"")</f>
        <v>qualité</v>
      </c>
      <c r="D1354" s="17">
        <f>IFERROR(COUNTA(INDEX(Mots!$E:$E,MATCH($A1354,Mots!$A:$A,0)):INDEX(Mots!$K:$K,MATCH($A1354,Mots!$A:$A,0))),0)</f>
        <v>1</v>
      </c>
      <c r="E1354" s="17" t="str">
        <f>IF(COUNTIF(Classement!$A:$A,$A1354)&gt;0,"ok","à faire")</f>
        <v>ok</v>
      </c>
      <c r="F1354" s="17" t="str">
        <f>IF(COUNTIF(Tags!$A:$A,$A1354)&gt;0,"ok","à faire")</f>
        <v>ok</v>
      </c>
      <c r="G1354" s="17" t="str">
        <f>IF(COUNTIF(Phrases!$A:$A,$A1354)&gt;0,"ok","à faire")</f>
        <v>à faire</v>
      </c>
      <c r="H1354" s="17" t="str">
        <f>IF(COUNTIFS(Phrases!$A:$A,$A1354,Phrases!$I:$I,"&lt;&gt;")&gt;0,"ok","à faire")</f>
        <v>à faire</v>
      </c>
      <c r="I1354" s="17" t="str">
        <f>IF(COUNTIF(Synonymes!$A:$A,$A1354)&gt;0,"ok","")</f>
        <v>ok</v>
      </c>
      <c r="J1354" s="17">
        <f t="shared" si="21"/>
        <v>2</v>
      </c>
    </row>
    <row r="1355" spans="1:10" x14ac:dyDescent="0.3">
      <c r="A1355" s="17" t="s">
        <v>7407</v>
      </c>
      <c r="B1355" s="17" t="str">
        <f>IFERROR(INDEX(Mots!$B:$B,MATCH($A1355,Mots!$A:$A,0)),"introuvable")</f>
        <v>vendre</v>
      </c>
      <c r="C1355" s="17" t="str">
        <f>IFERROR(INDEX(Mots!$N:$N,MATCH($A1355,Mots!$A:$A,0)),"")</f>
        <v>action</v>
      </c>
      <c r="D1355" s="17">
        <f>IFERROR(COUNTA(INDEX(Mots!$E:$E,MATCH($A1355,Mots!$A:$A,0)):INDEX(Mots!$K:$K,MATCH($A1355,Mots!$A:$A,0))),0)</f>
        <v>2</v>
      </c>
      <c r="E1355" s="17" t="str">
        <f>IF(COUNTIF(Classement!$A:$A,$A1355)&gt;0,"ok","à faire")</f>
        <v>ok</v>
      </c>
      <c r="F1355" s="17" t="str">
        <f>IF(COUNTIF(Tags!$A:$A,$A1355)&gt;0,"ok","à faire")</f>
        <v>ok</v>
      </c>
      <c r="G1355" s="17" t="str">
        <f>IF(COUNTIF(Phrases!$A:$A,$A1355)&gt;0,"ok","à faire")</f>
        <v>ok</v>
      </c>
      <c r="H1355" s="17" t="str">
        <f>IF(COUNTIFS(Phrases!$A:$A,$A1355,Phrases!$I:$I,"&lt;&gt;")&gt;0,"ok","à faire")</f>
        <v>ok</v>
      </c>
      <c r="I1355" s="17" t="str">
        <f>IF(COUNTIF(Synonymes!$A:$A,$A1355)&gt;0,"ok","")</f>
        <v/>
      </c>
      <c r="J1355" s="17">
        <f t="shared" si="21"/>
        <v>0</v>
      </c>
    </row>
    <row r="1356" spans="1:10" x14ac:dyDescent="0.3">
      <c r="A1356" s="17" t="s">
        <v>7412</v>
      </c>
      <c r="B1356" s="17" t="str">
        <f>IFERROR(INDEX(Mots!$B:$B,MATCH($A1356,Mots!$A:$A,0)),"introuvable")</f>
        <v>venir</v>
      </c>
      <c r="C1356" s="17" t="str">
        <f>IFERROR(INDEX(Mots!$N:$N,MATCH($A1356,Mots!$A:$A,0)),"")</f>
        <v>action</v>
      </c>
      <c r="D1356" s="17">
        <f>IFERROR(COUNTA(INDEX(Mots!$E:$E,MATCH($A1356,Mots!$A:$A,0)):INDEX(Mots!$K:$K,MATCH($A1356,Mots!$A:$A,0))),0)</f>
        <v>5</v>
      </c>
      <c r="E1356" s="17" t="str">
        <f>IF(COUNTIF(Classement!$A:$A,$A1356)&gt;0,"ok","à faire")</f>
        <v>ok</v>
      </c>
      <c r="F1356" s="17" t="str">
        <f>IF(COUNTIF(Tags!$A:$A,$A1356)&gt;0,"ok","à faire")</f>
        <v>ok</v>
      </c>
      <c r="G1356" s="17" t="str">
        <f>IF(COUNTIF(Phrases!$A:$A,$A1356)&gt;0,"ok","à faire")</f>
        <v>ok</v>
      </c>
      <c r="H1356" s="17" t="str">
        <f>IF(COUNTIFS(Phrases!$A:$A,$A1356,Phrases!$I:$I,"&lt;&gt;")&gt;0,"ok","à faire")</f>
        <v>ok</v>
      </c>
      <c r="I1356" s="17" t="str">
        <f>IF(COUNTIF(Synonymes!$A:$A,$A1356)&gt;0,"ok","")</f>
        <v/>
      </c>
      <c r="J1356" s="17">
        <f t="shared" si="21"/>
        <v>0</v>
      </c>
    </row>
    <row r="1357" spans="1:10" x14ac:dyDescent="0.3">
      <c r="A1357" s="17" t="s">
        <v>7420</v>
      </c>
      <c r="B1357" s="17" t="str">
        <f>IFERROR(INDEX(Mots!$B:$B,MATCH($A1357,Mots!$A:$A,0)),"introuvable")</f>
        <v>vif - vive</v>
      </c>
      <c r="C1357" s="17" t="str">
        <f>IFERROR(INDEX(Mots!$N:$N,MATCH($A1357,Mots!$A:$A,0)),"")</f>
        <v>qualité</v>
      </c>
      <c r="D1357" s="17">
        <f>IFERROR(COUNTA(INDEX(Mots!$E:$E,MATCH($A1357,Mots!$A:$A,0)):INDEX(Mots!$K:$K,MATCH($A1357,Mots!$A:$A,0))),0)</f>
        <v>0</v>
      </c>
      <c r="E1357" s="17" t="str">
        <f>IF(COUNTIF(Classement!$A:$A,$A1357)&gt;0,"ok","à faire")</f>
        <v>ok</v>
      </c>
      <c r="F1357" s="17" t="str">
        <f>IF(COUNTIF(Tags!$A:$A,$A1357)&gt;0,"ok","à faire")</f>
        <v>ok</v>
      </c>
      <c r="G1357" s="17" t="str">
        <f>IF(COUNTIF(Phrases!$A:$A,$A1357)&gt;0,"ok","à faire")</f>
        <v>à faire</v>
      </c>
      <c r="H1357" s="17" t="str">
        <f>IF(COUNTIFS(Phrases!$A:$A,$A1357,Phrases!$I:$I,"&lt;&gt;")&gt;0,"ok","à faire")</f>
        <v>à faire</v>
      </c>
      <c r="I1357" s="17" t="str">
        <f>IF(COUNTIF(Synonymes!$A:$A,$A1357)&gt;0,"ok","")</f>
        <v>ok</v>
      </c>
      <c r="J1357" s="17">
        <f t="shared" si="21"/>
        <v>2</v>
      </c>
    </row>
    <row r="1358" spans="1:10" x14ac:dyDescent="0.3">
      <c r="A1358" s="8" t="s">
        <v>9640</v>
      </c>
      <c r="B1358" s="17" t="str">
        <f>IFERROR(INDEX(Mots!$B:$B,MATCH($A1358,Mots!$A:$A,0)),"introuvable")</f>
        <v>vite</v>
      </c>
      <c r="C1358" s="17" t="str">
        <f>IFERROR(INDEX(Mots!$N:$N,MATCH($A1358,Mots!$A:$A,0)),"")</f>
        <v>mot utile</v>
      </c>
      <c r="D1358" s="17">
        <f>IFERROR(COUNTA(INDEX(Mots!$E:$E,MATCH($A1358,Mots!$A:$A,0)):INDEX(Mots!$K:$K,MATCH($A1358,Mots!$A:$A,0))),0)</f>
        <v>1</v>
      </c>
      <c r="E1358" s="17" t="str">
        <f>IF(COUNTIF(Classement!$A:$A,$A1358)&gt;0,"ok","à faire")</f>
        <v>ok</v>
      </c>
      <c r="F1358" s="17" t="str">
        <f>IF(COUNTIF(Tags!$A:$A,$A1358)&gt;0,"ok","à faire")</f>
        <v>ok</v>
      </c>
      <c r="G1358" s="17" t="str">
        <f>IF(COUNTIF(Phrases!$A:$A,$A1358)&gt;0,"ok","à faire")</f>
        <v>à faire</v>
      </c>
      <c r="H1358" s="17" t="str">
        <f>IF(COUNTIFS(Phrases!$A:$A,$A1358,Phrases!$I:$I,"&lt;&gt;")&gt;0,"ok","à faire")</f>
        <v>à faire</v>
      </c>
      <c r="I1358" s="17" t="str">
        <f>IF(COUNTIF(Synonymes!$A:$A,$A1358)&gt;0,"ok","")</f>
        <v/>
      </c>
      <c r="J1358" s="17">
        <f t="shared" si="21"/>
        <v>2</v>
      </c>
    </row>
    <row r="1359" spans="1:10" x14ac:dyDescent="0.3">
      <c r="A1359" s="17" t="s">
        <v>7425</v>
      </c>
      <c r="B1359" s="17" t="str">
        <f>IFERROR(INDEX(Mots!$B:$B,MATCH($A1359,Mots!$A:$A,0)),"introuvable")</f>
        <v>vitré</v>
      </c>
      <c r="C1359" s="17" t="str">
        <f>IFERROR(INDEX(Mots!$N:$N,MATCH($A1359,Mots!$A:$A,0)),"")</f>
        <v>qualité</v>
      </c>
      <c r="D1359" s="17">
        <f>IFERROR(COUNTA(INDEX(Mots!$E:$E,MATCH($A1359,Mots!$A:$A,0)):INDEX(Mots!$K:$K,MATCH($A1359,Mots!$A:$A,0))),0)</f>
        <v>1</v>
      </c>
      <c r="E1359" s="17" t="str">
        <f>IF(COUNTIF(Classement!$A:$A,$A1359)&gt;0,"ok","à faire")</f>
        <v>ok</v>
      </c>
      <c r="F1359" s="17" t="str">
        <f>IF(COUNTIF(Tags!$A:$A,$A1359)&gt;0,"ok","à faire")</f>
        <v>à faire</v>
      </c>
      <c r="G1359" s="17" t="str">
        <f>IF(COUNTIF(Phrases!$A:$A,$A1359)&gt;0,"ok","à faire")</f>
        <v>ok</v>
      </c>
      <c r="H1359" s="17" t="str">
        <f>IF(COUNTIFS(Phrases!$A:$A,$A1359,Phrases!$I:$I,"&lt;&gt;")&gt;0,"ok","à faire")</f>
        <v>à faire</v>
      </c>
      <c r="I1359" s="17" t="str">
        <f>IF(COUNTIF(Synonymes!$A:$A,$A1359)&gt;0,"ok","")</f>
        <v/>
      </c>
      <c r="J1359" s="17">
        <f t="shared" si="21"/>
        <v>2</v>
      </c>
    </row>
    <row r="1360" spans="1:10" x14ac:dyDescent="0.3">
      <c r="A1360" s="17" t="s">
        <v>7429</v>
      </c>
      <c r="B1360" s="17" t="str">
        <f>IFERROR(INDEX(Mots!$B:$B,MATCH($A1360,Mots!$A:$A,0)),"introuvable")</f>
        <v>vivant</v>
      </c>
      <c r="C1360" s="17" t="str">
        <f>IFERROR(INDEX(Mots!$N:$N,MATCH($A1360,Mots!$A:$A,0)),"")</f>
        <v>qualité</v>
      </c>
      <c r="D1360" s="17">
        <f>IFERROR(COUNTA(INDEX(Mots!$E:$E,MATCH($A1360,Mots!$A:$A,0)):INDEX(Mots!$K:$K,MATCH($A1360,Mots!$A:$A,0))),0)</f>
        <v>1</v>
      </c>
      <c r="E1360" s="17" t="str">
        <f>IF(COUNTIF(Classement!$A:$A,$A1360)&gt;0,"ok","à faire")</f>
        <v>ok</v>
      </c>
      <c r="F1360" s="17" t="str">
        <f>IF(COUNTIF(Tags!$A:$A,$A1360)&gt;0,"ok","à faire")</f>
        <v>à faire</v>
      </c>
      <c r="G1360" s="17" t="str">
        <f>IF(COUNTIF(Phrases!$A:$A,$A1360)&gt;0,"ok","à faire")</f>
        <v>à faire</v>
      </c>
      <c r="H1360" s="17" t="str">
        <f>IF(COUNTIFS(Phrases!$A:$A,$A1360,Phrases!$I:$I,"&lt;&gt;")&gt;0,"ok","à faire")</f>
        <v>à faire</v>
      </c>
      <c r="I1360" s="17" t="str">
        <f>IF(COUNTIF(Synonymes!$A:$A,$A1360)&gt;0,"ok","")</f>
        <v/>
      </c>
      <c r="J1360" s="17">
        <f t="shared" si="21"/>
        <v>3</v>
      </c>
    </row>
    <row r="1361" spans="1:10" x14ac:dyDescent="0.3">
      <c r="A1361" s="17" t="s">
        <v>7432</v>
      </c>
      <c r="B1361" s="17" t="str">
        <f>IFERROR(INDEX(Mots!$B:$B,MATCH($A1361,Mots!$A:$A,0)),"introuvable")</f>
        <v>voir</v>
      </c>
      <c r="C1361" s="17" t="str">
        <f>IFERROR(INDEX(Mots!$N:$N,MATCH($A1361,Mots!$A:$A,0)),"")</f>
        <v>action</v>
      </c>
      <c r="D1361" s="17">
        <f>IFERROR(COUNTA(INDEX(Mots!$E:$E,MATCH($A1361,Mots!$A:$A,0)):INDEX(Mots!$K:$K,MATCH($A1361,Mots!$A:$A,0))),0)</f>
        <v>4</v>
      </c>
      <c r="E1361" s="17" t="str">
        <f>IF(COUNTIF(Classement!$A:$A,$A1361)&gt;0,"ok","à faire")</f>
        <v>ok</v>
      </c>
      <c r="F1361" s="17" t="str">
        <f>IF(COUNTIF(Tags!$A:$A,$A1361)&gt;0,"ok","à faire")</f>
        <v>à faire</v>
      </c>
      <c r="G1361" s="17" t="str">
        <f>IF(COUNTIF(Phrases!$A:$A,$A1361)&gt;0,"ok","à faire")</f>
        <v>ok</v>
      </c>
      <c r="H1361" s="17" t="str">
        <f>IF(COUNTIFS(Phrases!$A:$A,$A1361,Phrases!$I:$I,"&lt;&gt;")&gt;0,"ok","à faire")</f>
        <v>ok</v>
      </c>
      <c r="I1361" s="17" t="str">
        <f>IF(COUNTIF(Synonymes!$A:$A,$A1361)&gt;0,"ok","")</f>
        <v/>
      </c>
      <c r="J1361" s="17">
        <f t="shared" si="21"/>
        <v>1</v>
      </c>
    </row>
    <row r="1362" spans="1:10" x14ac:dyDescent="0.3">
      <c r="A1362" s="17" t="s">
        <v>7439</v>
      </c>
      <c r="B1362" s="17" t="str">
        <f>IFERROR(INDEX(Mots!$B:$B,MATCH($A1362,Mots!$A:$A,0)),"introuvable")</f>
        <v>voler</v>
      </c>
      <c r="C1362" s="17" t="str">
        <f>IFERROR(INDEX(Mots!$N:$N,MATCH($A1362,Mots!$A:$A,0)),"")</f>
        <v>action</v>
      </c>
      <c r="D1362" s="17">
        <f>IFERROR(COUNTA(INDEX(Mots!$E:$E,MATCH($A1362,Mots!$A:$A,0)):INDEX(Mots!$K:$K,MATCH($A1362,Mots!$A:$A,0))),0)</f>
        <v>5</v>
      </c>
      <c r="E1362" s="17" t="str">
        <f>IF(COUNTIF(Classement!$A:$A,$A1362)&gt;0,"ok","à faire")</f>
        <v>ok</v>
      </c>
      <c r="F1362" s="17" t="str">
        <f>IF(COUNTIF(Tags!$A:$A,$A1362)&gt;0,"ok","à faire")</f>
        <v>ok</v>
      </c>
      <c r="G1362" s="17" t="str">
        <f>IF(COUNTIF(Phrases!$A:$A,$A1362)&gt;0,"ok","à faire")</f>
        <v>ok</v>
      </c>
      <c r="H1362" s="17" t="str">
        <f>IF(COUNTIFS(Phrases!$A:$A,$A1362,Phrases!$I:$I,"&lt;&gt;")&gt;0,"ok","à faire")</f>
        <v>ok</v>
      </c>
      <c r="I1362" s="17" t="str">
        <f>IF(COUNTIF(Synonymes!$A:$A,$A1362)&gt;0,"ok","")</f>
        <v/>
      </c>
      <c r="J1362" s="17">
        <f t="shared" si="21"/>
        <v>0</v>
      </c>
    </row>
    <row r="1363" spans="1:10" x14ac:dyDescent="0.3">
      <c r="A1363" s="17" t="s">
        <v>7443</v>
      </c>
      <c r="B1363" s="17" t="str">
        <f>IFERROR(INDEX(Mots!$B:$B,MATCH($A1363,Mots!$A:$A,0)),"introuvable")</f>
        <v>vouloir</v>
      </c>
      <c r="C1363" s="17" t="str">
        <f>IFERROR(INDEX(Mots!$N:$N,MATCH($A1363,Mots!$A:$A,0)),"")</f>
        <v>action</v>
      </c>
      <c r="D1363" s="17">
        <f>IFERROR(COUNTA(INDEX(Mots!$E:$E,MATCH($A1363,Mots!$A:$A,0)):INDEX(Mots!$K:$K,MATCH($A1363,Mots!$A:$A,0))),0)</f>
        <v>3</v>
      </c>
      <c r="E1363" s="17" t="str">
        <f>IF(COUNTIF(Classement!$A:$A,$A1363)&gt;0,"ok","à faire")</f>
        <v>ok</v>
      </c>
      <c r="F1363" s="17" t="str">
        <f>IF(COUNTIF(Tags!$A:$A,$A1363)&gt;0,"ok","à faire")</f>
        <v>ok</v>
      </c>
      <c r="G1363" s="17" t="str">
        <f>IF(COUNTIF(Phrases!$A:$A,$A1363)&gt;0,"ok","à faire")</f>
        <v>ok</v>
      </c>
      <c r="H1363" s="17" t="str">
        <f>IF(COUNTIFS(Phrases!$A:$A,$A1363,Phrases!$I:$I,"&lt;&gt;")&gt;0,"ok","à faire")</f>
        <v>ok</v>
      </c>
      <c r="I1363" s="17" t="str">
        <f>IF(COUNTIF(Synonymes!$A:$A,$A1363)&gt;0,"ok","")</f>
        <v>ok</v>
      </c>
      <c r="J1363" s="17">
        <f t="shared" si="21"/>
        <v>0</v>
      </c>
    </row>
    <row r="1364" spans="1:10" x14ac:dyDescent="0.3">
      <c r="A1364" s="17" t="s">
        <v>7449</v>
      </c>
      <c r="B1364" s="17" t="str">
        <f>IFERROR(INDEX(Mots!$B:$B,MATCH($A1364,Mots!$A:$A,0)),"introuvable")</f>
        <v>vraiment</v>
      </c>
      <c r="C1364" s="17" t="str">
        <f>IFERROR(INDEX(Mots!$N:$N,MATCH($A1364,Mots!$A:$A,0)),"")</f>
        <v>qualité</v>
      </c>
      <c r="D1364" s="17">
        <f>IFERROR(COUNTA(INDEX(Mots!$E:$E,MATCH($A1364,Mots!$A:$A,0)):INDEX(Mots!$K:$K,MATCH($A1364,Mots!$A:$A,0))),0)</f>
        <v>0</v>
      </c>
      <c r="E1364" s="17" t="str">
        <f>IF(COUNTIF(Classement!$A:$A,$A1364)&gt;0,"ok","à faire")</f>
        <v>ok</v>
      </c>
      <c r="F1364" s="17" t="str">
        <f>IF(COUNTIF(Tags!$A:$A,$A1364)&gt;0,"ok","à faire")</f>
        <v>à faire</v>
      </c>
      <c r="G1364" s="17" t="str">
        <f>IF(COUNTIF(Phrases!$A:$A,$A1364)&gt;0,"ok","à faire")</f>
        <v>à faire</v>
      </c>
      <c r="H1364" s="17" t="str">
        <f>IF(COUNTIFS(Phrases!$A:$A,$A1364,Phrases!$I:$I,"&lt;&gt;")&gt;0,"ok","à faire")</f>
        <v>à faire</v>
      </c>
      <c r="I1364" s="17" t="str">
        <f>IF(COUNTIF(Synonymes!$A:$A,$A1364)&gt;0,"ok","")</f>
        <v>ok</v>
      </c>
      <c r="J1364" s="17">
        <f t="shared" si="21"/>
        <v>3</v>
      </c>
    </row>
    <row r="1365" spans="1:10" x14ac:dyDescent="0.3">
      <c r="A1365" s="17" t="s">
        <v>7452</v>
      </c>
      <c r="B1365" s="17" t="str">
        <f>IFERROR(INDEX(Mots!$B:$B,MATCH($A1365,Mots!$A:$A,0)),"introuvable")</f>
        <v>zéro</v>
      </c>
      <c r="C1365" s="17" t="str">
        <f>IFERROR(INDEX(Mots!$N:$N,MATCH($A1365,Mots!$A:$A,0)),"")</f>
        <v>mot utile</v>
      </c>
      <c r="D1365" s="17">
        <f>IFERROR(COUNTA(INDEX(Mots!$E:$E,MATCH($A1365,Mots!$A:$A,0)):INDEX(Mots!$K:$K,MATCH($A1365,Mots!$A:$A,0))),0)</f>
        <v>1</v>
      </c>
      <c r="E1365" s="17" t="str">
        <f>IF(COUNTIF(Classement!$A:$A,$A1365)&gt;0,"ok","à faire")</f>
        <v>ok</v>
      </c>
      <c r="F1365" s="17" t="str">
        <f>IF(COUNTIF(Tags!$A:$A,$A1365)&gt;0,"ok","à faire")</f>
        <v>ok</v>
      </c>
      <c r="G1365" s="17" t="str">
        <f>IF(COUNTIF(Phrases!$A:$A,$A1365)&gt;0,"ok","à faire")</f>
        <v>à faire</v>
      </c>
      <c r="H1365" s="17" t="str">
        <f>IF(COUNTIFS(Phrases!$A:$A,$A1365,Phrases!$I:$I,"&lt;&gt;")&gt;0,"ok","à faire")</f>
        <v>à faire</v>
      </c>
      <c r="I1365" s="17" t="str">
        <f>IF(COUNTIF(Synonymes!$A:$A,$A1365)&gt;0,"ok","")</f>
        <v>ok</v>
      </c>
      <c r="J1365" s="17">
        <f t="shared" si="21"/>
        <v>2</v>
      </c>
    </row>
    <row r="1366" spans="1:10" x14ac:dyDescent="0.3">
      <c r="A1366" s="17" t="s">
        <v>7456</v>
      </c>
      <c r="B1366" s="17" t="str">
        <f>IFERROR(INDEX(Mots!$B:$B,MATCH($A1366,Mots!$A:$A,0)),"introuvable")</f>
        <v>le yogurt</v>
      </c>
      <c r="C1366" s="17" t="str">
        <f>IFERROR(INDEX(Mots!$N:$N,MATCH($A1366,Mots!$A:$A,0)),"")</f>
        <v>chose</v>
      </c>
      <c r="D1366" s="17">
        <f>IFERROR(COUNTA(INDEX(Mots!$E:$E,MATCH($A1366,Mots!$A:$A,0)):INDEX(Mots!$K:$K,MATCH($A1366,Mots!$A:$A,0))),0)</f>
        <v>1</v>
      </c>
      <c r="E1366" s="17" t="str">
        <f>IF(COUNTIF(Classement!$A:$A,$A1366)&gt;0,"ok","à faire")</f>
        <v>ok</v>
      </c>
      <c r="F1366" s="17" t="str">
        <f>IF(COUNTIF(Tags!$A:$A,$A1366)&gt;0,"ok","à faire")</f>
        <v>ok</v>
      </c>
      <c r="G1366" s="17" t="str">
        <f>IF(COUNTIF(Phrases!$A:$A,$A1366)&gt;0,"ok","à faire")</f>
        <v>ok</v>
      </c>
      <c r="H1366" s="17" t="str">
        <f>IF(COUNTIFS(Phrases!$A:$A,$A1366,Phrases!$I:$I,"&lt;&gt;")&gt;0,"ok","à faire")</f>
        <v>à faire</v>
      </c>
      <c r="I1366" s="17" t="str">
        <f>IF(COUNTIF(Synonymes!$A:$A,$A1366)&gt;0,"ok","")</f>
        <v/>
      </c>
      <c r="J1366" s="17">
        <f t="shared" si="21"/>
        <v>1</v>
      </c>
    </row>
    <row r="1367" spans="1:10" x14ac:dyDescent="0.3">
      <c r="A1367" s="17" t="s">
        <v>7460</v>
      </c>
      <c r="B1367" s="17" t="str">
        <f>IFERROR(INDEX(Mots!$B:$B,MATCH($A1367,Mots!$A:$A,0)),"introuvable")</f>
        <v>le vinaigre</v>
      </c>
      <c r="C1367" s="17" t="str">
        <f>IFERROR(INDEX(Mots!$N:$N,MATCH($A1367,Mots!$A:$A,0)),"")</f>
        <v>chose</v>
      </c>
      <c r="D1367" s="17">
        <f>IFERROR(COUNTA(INDEX(Mots!$E:$E,MATCH($A1367,Mots!$A:$A,0)):INDEX(Mots!$K:$K,MATCH($A1367,Mots!$A:$A,0))),0)</f>
        <v>1</v>
      </c>
      <c r="E1367" s="17" t="str">
        <f>IF(COUNTIF(Classement!$A:$A,$A1367)&gt;0,"ok","à faire")</f>
        <v>ok</v>
      </c>
      <c r="F1367" s="17" t="str">
        <f>IF(COUNTIF(Tags!$A:$A,$A1367)&gt;0,"ok","à faire")</f>
        <v>ok</v>
      </c>
      <c r="G1367" s="17" t="str">
        <f>IF(COUNTIF(Phrases!$A:$A,$A1367)&gt;0,"ok","à faire")</f>
        <v>à faire</v>
      </c>
      <c r="H1367" s="17" t="str">
        <f>IF(COUNTIFS(Phrases!$A:$A,$A1367,Phrases!$I:$I,"&lt;&gt;")&gt;0,"ok","à faire")</f>
        <v>à faire</v>
      </c>
      <c r="I1367" s="17" t="str">
        <f>IF(COUNTIF(Synonymes!$A:$A,$A1367)&gt;0,"ok","")</f>
        <v/>
      </c>
      <c r="J1367" s="17">
        <f t="shared" si="21"/>
        <v>2</v>
      </c>
    </row>
    <row r="1368" spans="1:10" x14ac:dyDescent="0.3">
      <c r="A1368" s="17" t="s">
        <v>117</v>
      </c>
      <c r="B1368" s="17" t="str">
        <f>IFERROR(INDEX(Mots!$B:$B,MATCH($A1368,Mots!$A:$A,0)),"introuvable")</f>
        <v>les accompagnements</v>
      </c>
      <c r="C1368" s="17" t="str">
        <f>IFERROR(INDEX(Mots!$N:$N,MATCH($A1368,Mots!$A:$A,0)),"")</f>
        <v>chose</v>
      </c>
      <c r="D1368" s="17">
        <f>IFERROR(COUNTA(INDEX(Mots!$E:$E,MATCH($A1368,Mots!$A:$A,0)):INDEX(Mots!$K:$K,MATCH($A1368,Mots!$A:$A,0))),0)</f>
        <v>1</v>
      </c>
      <c r="E1368" s="17" t="str">
        <f>IF(COUNTIF(Classement!$A:$A,$A1368)&gt;0,"ok","à faire")</f>
        <v>ok</v>
      </c>
      <c r="F1368" s="17" t="str">
        <f>IF(COUNTIF(Tags!$A:$A,$A1368)&gt;0,"ok","à faire")</f>
        <v>ok</v>
      </c>
      <c r="G1368" s="17" t="str">
        <f>IF(COUNTIF(Phrases!$A:$A,$A1368)&gt;0,"ok","à faire")</f>
        <v>à faire</v>
      </c>
      <c r="H1368" s="17" t="str">
        <f>IF(COUNTIFS(Phrases!$A:$A,$A1368,Phrases!$I:$I,"&lt;&gt;")&gt;0,"ok","à faire")</f>
        <v>à faire</v>
      </c>
      <c r="I1368" s="17" t="str">
        <f>IF(COUNTIF(Synonymes!$A:$A,$A1368)&gt;0,"ok","")</f>
        <v/>
      </c>
      <c r="J1368" s="17">
        <f t="shared" si="21"/>
        <v>2</v>
      </c>
    </row>
    <row r="1369" spans="1:10" x14ac:dyDescent="0.3">
      <c r="A1369" s="17" t="s">
        <v>7468</v>
      </c>
      <c r="B1369" s="17" t="str">
        <f>IFERROR(INDEX(Mots!$B:$B,MATCH($A1369,Mots!$A:$A,0)),"introuvable")</f>
        <v>le tiramisu</v>
      </c>
      <c r="C1369" s="17" t="str">
        <f>IFERROR(INDEX(Mots!$N:$N,MATCH($A1369,Mots!$A:$A,0)),"")</f>
        <v>chose</v>
      </c>
      <c r="D1369" s="17">
        <f>IFERROR(COUNTA(INDEX(Mots!$E:$E,MATCH($A1369,Mots!$A:$A,0)):INDEX(Mots!$K:$K,MATCH($A1369,Mots!$A:$A,0))),0)</f>
        <v>1</v>
      </c>
      <c r="E1369" s="17" t="str">
        <f>IF(COUNTIF(Classement!$A:$A,$A1369)&gt;0,"ok","à faire")</f>
        <v>ok</v>
      </c>
      <c r="F1369" s="17" t="str">
        <f>IF(COUNTIF(Tags!$A:$A,$A1369)&gt;0,"ok","à faire")</f>
        <v>ok</v>
      </c>
      <c r="G1369" s="17" t="str">
        <f>IF(COUNTIF(Phrases!$A:$A,$A1369)&gt;0,"ok","à faire")</f>
        <v>à faire</v>
      </c>
      <c r="H1369" s="17" t="str">
        <f>IF(COUNTIFS(Phrases!$A:$A,$A1369,Phrases!$I:$I,"&lt;&gt;")&gt;0,"ok","à faire")</f>
        <v>à faire</v>
      </c>
      <c r="I1369" s="17" t="str">
        <f>IF(COUNTIF(Synonymes!$A:$A,$A1369)&gt;0,"ok","")</f>
        <v/>
      </c>
      <c r="J1369" s="17">
        <f t="shared" si="21"/>
        <v>2</v>
      </c>
    </row>
    <row r="1370" spans="1:10" x14ac:dyDescent="0.3">
      <c r="A1370" s="17" t="s">
        <v>7472</v>
      </c>
      <c r="B1370" s="17" t="str">
        <f>IFERROR(INDEX(Mots!$B:$B,MATCH($A1370,Mots!$A:$A,0)),"introuvable")</f>
        <v>une coupe aux fraises</v>
      </c>
      <c r="C1370" s="17" t="str">
        <f>IFERROR(INDEX(Mots!$N:$N,MATCH($A1370,Mots!$A:$A,0)),"")</f>
        <v>chose</v>
      </c>
      <c r="D1370" s="17">
        <f>IFERROR(COUNTA(INDEX(Mots!$E:$E,MATCH($A1370,Mots!$A:$A,0)):INDEX(Mots!$K:$K,MATCH($A1370,Mots!$A:$A,0))),0)</f>
        <v>1</v>
      </c>
      <c r="E1370" s="17" t="str">
        <f>IF(COUNTIF(Classement!$A:$A,$A1370)&gt;0,"ok","à faire")</f>
        <v>ok</v>
      </c>
      <c r="F1370" s="17" t="str">
        <f>IF(COUNTIF(Tags!$A:$A,$A1370)&gt;0,"ok","à faire")</f>
        <v>ok</v>
      </c>
      <c r="G1370" s="17" t="str">
        <f>IF(COUNTIF(Phrases!$A:$A,$A1370)&gt;0,"ok","à faire")</f>
        <v>à faire</v>
      </c>
      <c r="H1370" s="17" t="str">
        <f>IF(COUNTIFS(Phrases!$A:$A,$A1370,Phrases!$I:$I,"&lt;&gt;")&gt;0,"ok","à faire")</f>
        <v>à faire</v>
      </c>
      <c r="I1370" s="17" t="str">
        <f>IF(COUNTIF(Synonymes!$A:$A,$A1370)&gt;0,"ok","")</f>
        <v/>
      </c>
      <c r="J1370" s="17">
        <f t="shared" si="21"/>
        <v>2</v>
      </c>
    </row>
    <row r="1371" spans="1:10" x14ac:dyDescent="0.3">
      <c r="A1371" s="17" t="s">
        <v>7476</v>
      </c>
      <c r="B1371" s="17" t="str">
        <f>IFERROR(INDEX(Mots!$B:$B,MATCH($A1371,Mots!$A:$A,0)),"introuvable")</f>
        <v>le big mac chez Mc Donald</v>
      </c>
      <c r="C1371" s="17" t="str">
        <f>IFERROR(INDEX(Mots!$N:$N,MATCH($A1371,Mots!$A:$A,0)),"")</f>
        <v>chose</v>
      </c>
      <c r="D1371" s="17">
        <f>IFERROR(COUNTA(INDEX(Mots!$E:$E,MATCH($A1371,Mots!$A:$A,0)):INDEX(Mots!$K:$K,MATCH($A1371,Mots!$A:$A,0))),0)</f>
        <v>1</v>
      </c>
      <c r="E1371" s="17" t="str">
        <f>IF(COUNTIF(Classement!$A:$A,$A1371)&gt;0,"ok","à faire")</f>
        <v>ok</v>
      </c>
      <c r="F1371" s="17" t="str">
        <f>IF(COUNTIF(Tags!$A:$A,$A1371)&gt;0,"ok","à faire")</f>
        <v>ok</v>
      </c>
      <c r="G1371" s="17" t="str">
        <f>IF(COUNTIF(Phrases!$A:$A,$A1371)&gt;0,"ok","à faire")</f>
        <v>ok</v>
      </c>
      <c r="H1371" s="17" t="str">
        <f>IF(COUNTIFS(Phrases!$A:$A,$A1371,Phrases!$I:$I,"&lt;&gt;")&gt;0,"ok","à faire")</f>
        <v>à faire</v>
      </c>
      <c r="I1371" s="17" t="str">
        <f>IF(COUNTIF(Synonymes!$A:$A,$A1371)&gt;0,"ok","")</f>
        <v/>
      </c>
      <c r="J1371" s="17">
        <f t="shared" si="21"/>
        <v>1</v>
      </c>
    </row>
    <row r="1372" spans="1:10" x14ac:dyDescent="0.3">
      <c r="A1372" s="17" t="s">
        <v>7480</v>
      </c>
      <c r="B1372" s="17" t="str">
        <f>IFERROR(INDEX(Mots!$B:$B,MATCH($A1372,Mots!$A:$A,0)),"introuvable")</f>
        <v>le carrelage</v>
      </c>
      <c r="C1372" s="17" t="str">
        <f>IFERROR(INDEX(Mots!$N:$N,MATCH($A1372,Mots!$A:$A,0)),"")</f>
        <v>chose</v>
      </c>
      <c r="D1372" s="17">
        <f>IFERROR(COUNTA(INDEX(Mots!$E:$E,MATCH($A1372,Mots!$A:$A,0)):INDEX(Mots!$K:$K,MATCH($A1372,Mots!$A:$A,0))),0)</f>
        <v>1</v>
      </c>
      <c r="E1372" s="17" t="str">
        <f>IF(COUNTIF(Classement!$A:$A,$A1372)&gt;0,"ok","à faire")</f>
        <v>ok</v>
      </c>
      <c r="F1372" s="17" t="str">
        <f>IF(COUNTIF(Tags!$A:$A,$A1372)&gt;0,"ok","à faire")</f>
        <v>ok</v>
      </c>
      <c r="G1372" s="17" t="str">
        <f>IF(COUNTIF(Phrases!$A:$A,$A1372)&gt;0,"ok","à faire")</f>
        <v>à faire</v>
      </c>
      <c r="H1372" s="17" t="str">
        <f>IF(COUNTIFS(Phrases!$A:$A,$A1372,Phrases!$I:$I,"&lt;&gt;")&gt;0,"ok","à faire")</f>
        <v>à faire</v>
      </c>
      <c r="I1372" s="17" t="str">
        <f>IF(COUNTIF(Synonymes!$A:$A,$A1372)&gt;0,"ok","")</f>
        <v/>
      </c>
      <c r="J1372" s="17">
        <f t="shared" si="21"/>
        <v>2</v>
      </c>
    </row>
    <row r="1373" spans="1:10" x14ac:dyDescent="0.3">
      <c r="A1373" s="17" t="s">
        <v>7484</v>
      </c>
      <c r="B1373" s="17" t="str">
        <f>IFERROR(INDEX(Mots!$B:$B,MATCH($A1373,Mots!$A:$A,0)),"introuvable")</f>
        <v>la poignée de la porte</v>
      </c>
      <c r="C1373" s="17" t="str">
        <f>IFERROR(INDEX(Mots!$N:$N,MATCH($A1373,Mots!$A:$A,0)),"")</f>
        <v>chose</v>
      </c>
      <c r="D1373" s="17">
        <f>IFERROR(COUNTA(INDEX(Mots!$E:$E,MATCH($A1373,Mots!$A:$A,0)):INDEX(Mots!$K:$K,MATCH($A1373,Mots!$A:$A,0))),0)</f>
        <v>5</v>
      </c>
      <c r="E1373" s="17" t="str">
        <f>IF(COUNTIF(Classement!$A:$A,$A1373)&gt;0,"ok","à faire")</f>
        <v>ok</v>
      </c>
      <c r="F1373" s="17" t="str">
        <f>IF(COUNTIF(Tags!$A:$A,$A1373)&gt;0,"ok","à faire")</f>
        <v>ok</v>
      </c>
      <c r="G1373" s="17" t="str">
        <f>IF(COUNTIF(Phrases!$A:$A,$A1373)&gt;0,"ok","à faire")</f>
        <v>à faire</v>
      </c>
      <c r="H1373" s="17" t="str">
        <f>IF(COUNTIFS(Phrases!$A:$A,$A1373,Phrases!$I:$I,"&lt;&gt;")&gt;0,"ok","à faire")</f>
        <v>à faire</v>
      </c>
      <c r="I1373" s="17" t="str">
        <f>IF(COUNTIF(Synonymes!$A:$A,$A1373)&gt;0,"ok","")</f>
        <v/>
      </c>
      <c r="J1373" s="17">
        <f t="shared" si="21"/>
        <v>2</v>
      </c>
    </row>
    <row r="1374" spans="1:10" x14ac:dyDescent="0.3">
      <c r="A1374" s="17" t="s">
        <v>7492</v>
      </c>
      <c r="B1374" s="17" t="str">
        <f>IFERROR(INDEX(Mots!$B:$B,MATCH($A1374,Mots!$A:$A,0)),"introuvable")</f>
        <v>la note</v>
      </c>
      <c r="C1374" s="17" t="str">
        <f>IFERROR(INDEX(Mots!$N:$N,MATCH($A1374,Mots!$A:$A,0)),"")</f>
        <v>chose</v>
      </c>
      <c r="D1374" s="17">
        <f>IFERROR(COUNTA(INDEX(Mots!$E:$E,MATCH($A1374,Mots!$A:$A,0)):INDEX(Mots!$K:$K,MATCH($A1374,Mots!$A:$A,0))),0)</f>
        <v>1</v>
      </c>
      <c r="E1374" s="17" t="str">
        <f>IF(COUNTIF(Classement!$A:$A,$A1374)&gt;0,"ok","à faire")</f>
        <v>ok</v>
      </c>
      <c r="F1374" s="17" t="str">
        <f>IF(COUNTIF(Tags!$A:$A,$A1374)&gt;0,"ok","à faire")</f>
        <v>ok</v>
      </c>
      <c r="G1374" s="17" t="str">
        <f>IF(COUNTIF(Phrases!$A:$A,$A1374)&gt;0,"ok","à faire")</f>
        <v>à faire</v>
      </c>
      <c r="H1374" s="17" t="str">
        <f>IF(COUNTIFS(Phrases!$A:$A,$A1374,Phrases!$I:$I,"&lt;&gt;")&gt;0,"ok","à faire")</f>
        <v>à faire</v>
      </c>
      <c r="I1374" s="17" t="str">
        <f>IF(COUNTIF(Synonymes!$A:$A,$A1374)&gt;0,"ok","")</f>
        <v/>
      </c>
      <c r="J1374" s="17">
        <f t="shared" si="21"/>
        <v>2</v>
      </c>
    </row>
    <row r="1375" spans="1:10" x14ac:dyDescent="0.3">
      <c r="A1375" s="17" t="s">
        <v>7496</v>
      </c>
      <c r="B1375" s="17" t="str">
        <f>IFERROR(INDEX(Mots!$B:$B,MATCH($A1375,Mots!$A:$A,0)),"introuvable")</f>
        <v>la gamme</v>
      </c>
      <c r="C1375" s="17" t="str">
        <f>IFERROR(INDEX(Mots!$N:$N,MATCH($A1375,Mots!$A:$A,0)),"")</f>
        <v>chose</v>
      </c>
      <c r="D1375" s="17">
        <f>IFERROR(COUNTA(INDEX(Mots!$E:$E,MATCH($A1375,Mots!$A:$A,0)):INDEX(Mots!$K:$K,MATCH($A1375,Mots!$A:$A,0))),0)</f>
        <v>1</v>
      </c>
      <c r="E1375" s="17" t="str">
        <f>IF(COUNTIF(Classement!$A:$A,$A1375)&gt;0,"ok","à faire")</f>
        <v>ok</v>
      </c>
      <c r="F1375" s="17" t="str">
        <f>IF(COUNTIF(Tags!$A:$A,$A1375)&gt;0,"ok","à faire")</f>
        <v>ok</v>
      </c>
      <c r="G1375" s="17" t="str">
        <f>IF(COUNTIF(Phrases!$A:$A,$A1375)&gt;0,"ok","à faire")</f>
        <v>ok</v>
      </c>
      <c r="H1375" s="17" t="str">
        <f>IF(COUNTIFS(Phrases!$A:$A,$A1375,Phrases!$I:$I,"&lt;&gt;")&gt;0,"ok","à faire")</f>
        <v>à faire</v>
      </c>
      <c r="I1375" s="17" t="str">
        <f>IF(COUNTIF(Synonymes!$A:$A,$A1375)&gt;0,"ok","")</f>
        <v/>
      </c>
      <c r="J1375" s="17">
        <f t="shared" si="21"/>
        <v>1</v>
      </c>
    </row>
    <row r="1376" spans="1:10" x14ac:dyDescent="0.3">
      <c r="A1376" s="17" t="s">
        <v>7500</v>
      </c>
      <c r="B1376" s="17" t="str">
        <f>IFERROR(INDEX(Mots!$B:$B,MATCH($A1376,Mots!$A:$A,0)),"introuvable")</f>
        <v>le métronome</v>
      </c>
      <c r="C1376" s="17" t="str">
        <f>IFERROR(INDEX(Mots!$N:$N,MATCH($A1376,Mots!$A:$A,0)),"")</f>
        <v>chose</v>
      </c>
      <c r="D1376" s="17">
        <f>IFERROR(COUNTA(INDEX(Mots!$E:$E,MATCH($A1376,Mots!$A:$A,0)):INDEX(Mots!$K:$K,MATCH($A1376,Mots!$A:$A,0))),0)</f>
        <v>1</v>
      </c>
      <c r="E1376" s="17" t="str">
        <f>IF(COUNTIF(Classement!$A:$A,$A1376)&gt;0,"ok","à faire")</f>
        <v>ok</v>
      </c>
      <c r="F1376" s="17" t="str">
        <f>IF(COUNTIF(Tags!$A:$A,$A1376)&gt;0,"ok","à faire")</f>
        <v>ok</v>
      </c>
      <c r="G1376" s="17" t="str">
        <f>IF(COUNTIF(Phrases!$A:$A,$A1376)&gt;0,"ok","à faire")</f>
        <v>ok</v>
      </c>
      <c r="H1376" s="17" t="str">
        <f>IF(COUNTIFS(Phrases!$A:$A,$A1376,Phrases!$I:$I,"&lt;&gt;")&gt;0,"ok","à faire")</f>
        <v>à faire</v>
      </c>
      <c r="I1376" s="17" t="str">
        <f>IF(COUNTIF(Synonymes!$A:$A,$A1376)&gt;0,"ok","")</f>
        <v/>
      </c>
      <c r="J1376" s="17">
        <f t="shared" si="21"/>
        <v>1</v>
      </c>
    </row>
    <row r="1377" spans="1:10" x14ac:dyDescent="0.3">
      <c r="A1377" s="17" t="s">
        <v>7504</v>
      </c>
      <c r="B1377" s="17" t="str">
        <f>IFERROR(INDEX(Mots!$B:$B,MATCH($A1377,Mots!$A:$A,0)),"introuvable")</f>
        <v>le levier de vitesse</v>
      </c>
      <c r="C1377" s="17" t="str">
        <f>IFERROR(INDEX(Mots!$N:$N,MATCH($A1377,Mots!$A:$A,0)),"")</f>
        <v>chose</v>
      </c>
      <c r="D1377" s="17">
        <f>IFERROR(COUNTA(INDEX(Mots!$E:$E,MATCH($A1377,Mots!$A:$A,0)):INDEX(Mots!$K:$K,MATCH($A1377,Mots!$A:$A,0))),0)</f>
        <v>1</v>
      </c>
      <c r="E1377" s="17" t="str">
        <f>IF(COUNTIF(Classement!$A:$A,$A1377)&gt;0,"ok","à faire")</f>
        <v>ok</v>
      </c>
      <c r="F1377" s="17" t="str">
        <f>IF(COUNTIF(Tags!$A:$A,$A1377)&gt;0,"ok","à faire")</f>
        <v>ok</v>
      </c>
      <c r="G1377" s="17" t="str">
        <f>IF(COUNTIF(Phrases!$A:$A,$A1377)&gt;0,"ok","à faire")</f>
        <v>à faire</v>
      </c>
      <c r="H1377" s="17" t="str">
        <f>IF(COUNTIFS(Phrases!$A:$A,$A1377,Phrases!$I:$I,"&lt;&gt;")&gt;0,"ok","à faire")</f>
        <v>à faire</v>
      </c>
      <c r="I1377" s="17" t="str">
        <f>IF(COUNTIF(Synonymes!$A:$A,$A1377)&gt;0,"ok","")</f>
        <v/>
      </c>
      <c r="J1377" s="17">
        <f t="shared" si="21"/>
        <v>2</v>
      </c>
    </row>
    <row r="1378" spans="1:10" x14ac:dyDescent="0.3">
      <c r="A1378" s="17" t="s">
        <v>7508</v>
      </c>
      <c r="B1378" s="17" t="str">
        <f>IFERROR(INDEX(Mots!$B:$B,MATCH($A1378,Mots!$A:$A,0)),"introuvable")</f>
        <v>récurrer</v>
      </c>
      <c r="C1378" s="17" t="str">
        <f>IFERROR(INDEX(Mots!$N:$N,MATCH($A1378,Mots!$A:$A,0)),"")</f>
        <v>action</v>
      </c>
      <c r="D1378" s="17">
        <f>IFERROR(COUNTA(INDEX(Mots!$E:$E,MATCH($A1378,Mots!$A:$A,0)):INDEX(Mots!$K:$K,MATCH($A1378,Mots!$A:$A,0))),0)</f>
        <v>1</v>
      </c>
      <c r="E1378" s="17" t="str">
        <f>IF(COUNTIF(Classement!$A:$A,$A1378)&gt;0,"ok","à faire")</f>
        <v>ok</v>
      </c>
      <c r="F1378" s="17" t="str">
        <f>IF(COUNTIF(Tags!$A:$A,$A1378)&gt;0,"ok","à faire")</f>
        <v>ok</v>
      </c>
      <c r="G1378" s="17" t="str">
        <f>IF(COUNTIF(Phrases!$A:$A,$A1378)&gt;0,"ok","à faire")</f>
        <v>ok</v>
      </c>
      <c r="H1378" s="17" t="str">
        <f>IF(COUNTIFS(Phrases!$A:$A,$A1378,Phrases!$I:$I,"&lt;&gt;")&gt;0,"ok","à faire")</f>
        <v>ok</v>
      </c>
      <c r="I1378" s="17" t="str">
        <f>IF(COUNTIF(Synonymes!$A:$A,$A1378)&gt;0,"ok","")</f>
        <v>ok</v>
      </c>
      <c r="J1378" s="17">
        <f t="shared" si="21"/>
        <v>0</v>
      </c>
    </row>
    <row r="1379" spans="1:10" x14ac:dyDescent="0.3">
      <c r="A1379" s="17" t="s">
        <v>7512</v>
      </c>
      <c r="B1379" s="17" t="str">
        <f>IFERROR(INDEX(Mots!$B:$B,MATCH($A1379,Mots!$A:$A,0)),"introuvable")</f>
        <v>l'appareil photo</v>
      </c>
      <c r="C1379" s="17" t="str">
        <f>IFERROR(INDEX(Mots!$N:$N,MATCH($A1379,Mots!$A:$A,0)),"")</f>
        <v>chose</v>
      </c>
      <c r="D1379" s="17">
        <f>IFERROR(COUNTA(INDEX(Mots!$E:$E,MATCH($A1379,Mots!$A:$A,0)):INDEX(Mots!$K:$K,MATCH($A1379,Mots!$A:$A,0))),0)</f>
        <v>1</v>
      </c>
      <c r="E1379" s="17" t="str">
        <f>IF(COUNTIF(Classement!$A:$A,$A1379)&gt;0,"ok","à faire")</f>
        <v>ok</v>
      </c>
      <c r="F1379" s="17" t="str">
        <f>IF(COUNTIF(Tags!$A:$A,$A1379)&gt;0,"ok","à faire")</f>
        <v>ok</v>
      </c>
      <c r="G1379" s="17" t="str">
        <f>IF(COUNTIF(Phrases!$A:$A,$A1379)&gt;0,"ok","à faire")</f>
        <v>ok</v>
      </c>
      <c r="H1379" s="17" t="str">
        <f>IF(COUNTIFS(Phrases!$A:$A,$A1379,Phrases!$I:$I,"&lt;&gt;")&gt;0,"ok","à faire")</f>
        <v>à faire</v>
      </c>
      <c r="I1379" s="17" t="str">
        <f>IF(COUNTIF(Synonymes!$A:$A,$A1379)&gt;0,"ok","")</f>
        <v/>
      </c>
      <c r="J1379" s="17">
        <f t="shared" si="21"/>
        <v>1</v>
      </c>
    </row>
    <row r="1380" spans="1:10" x14ac:dyDescent="0.3">
      <c r="A1380" s="17" t="s">
        <v>7516</v>
      </c>
      <c r="B1380" s="17" t="str">
        <f>IFERROR(INDEX(Mots!$B:$B,MATCH($A1380,Mots!$A:$A,0)),"introuvable")</f>
        <v>le léopard</v>
      </c>
      <c r="C1380" s="17" t="str">
        <f>IFERROR(INDEX(Mots!$N:$N,MATCH($A1380,Mots!$A:$A,0)),"")</f>
        <v>animal</v>
      </c>
      <c r="D1380" s="17">
        <f>IFERROR(COUNTA(INDEX(Mots!$E:$E,MATCH($A1380,Mots!$A:$A,0)):INDEX(Mots!$K:$K,MATCH($A1380,Mots!$A:$A,0))),0)</f>
        <v>4</v>
      </c>
      <c r="E1380" s="17" t="str">
        <f>IF(COUNTIF(Classement!$A:$A,$A1380)&gt;0,"ok","à faire")</f>
        <v>ok</v>
      </c>
      <c r="F1380" s="17" t="str">
        <f>IF(COUNTIF(Tags!$A:$A,$A1380)&gt;0,"ok","à faire")</f>
        <v>ok</v>
      </c>
      <c r="G1380" s="17" t="str">
        <f>IF(COUNTIF(Phrases!$A:$A,$A1380)&gt;0,"ok","à faire")</f>
        <v>à faire</v>
      </c>
      <c r="H1380" s="17" t="str">
        <f>IF(COUNTIFS(Phrases!$A:$A,$A1380,Phrases!$I:$I,"&lt;&gt;")&gt;0,"ok","à faire")</f>
        <v>à faire</v>
      </c>
      <c r="I1380" s="17" t="str">
        <f>IF(COUNTIF(Synonymes!$A:$A,$A1380)&gt;0,"ok","")</f>
        <v/>
      </c>
      <c r="J1380" s="17">
        <f t="shared" si="21"/>
        <v>2</v>
      </c>
    </row>
    <row r="1381" spans="1:10" x14ac:dyDescent="0.3">
      <c r="A1381" s="17" t="s">
        <v>7522</v>
      </c>
      <c r="B1381" s="17" t="str">
        <f>IFERROR(INDEX(Mots!$B:$B,MATCH($A1381,Mots!$A:$A,0)),"introuvable")</f>
        <v>le moustique</v>
      </c>
      <c r="C1381" s="17" t="str">
        <f>IFERROR(INDEX(Mots!$N:$N,MATCH($A1381,Mots!$A:$A,0)),"")</f>
        <v>animal</v>
      </c>
      <c r="D1381" s="17">
        <f>IFERROR(COUNTA(INDEX(Mots!$E:$E,MATCH($A1381,Mots!$A:$A,0)):INDEX(Mots!$K:$K,MATCH($A1381,Mots!$A:$A,0))),0)</f>
        <v>1</v>
      </c>
      <c r="E1381" s="17" t="str">
        <f>IF(COUNTIF(Classement!$A:$A,$A1381)&gt;0,"ok","à faire")</f>
        <v>ok</v>
      </c>
      <c r="F1381" s="17" t="str">
        <f>IF(COUNTIF(Tags!$A:$A,$A1381)&gt;0,"ok","à faire")</f>
        <v>ok</v>
      </c>
      <c r="G1381" s="17" t="str">
        <f>IF(COUNTIF(Phrases!$A:$A,$A1381)&gt;0,"ok","à faire")</f>
        <v>ok</v>
      </c>
      <c r="H1381" s="17" t="str">
        <f>IF(COUNTIFS(Phrases!$A:$A,$A1381,Phrases!$I:$I,"&lt;&gt;")&gt;0,"ok","à faire")</f>
        <v>à faire</v>
      </c>
      <c r="I1381" s="17" t="str">
        <f>IF(COUNTIF(Synonymes!$A:$A,$A1381)&gt;0,"ok","")</f>
        <v/>
      </c>
      <c r="J1381" s="17">
        <f t="shared" si="21"/>
        <v>1</v>
      </c>
    </row>
    <row r="1382" spans="1:10" x14ac:dyDescent="0.3">
      <c r="A1382" s="17" t="s">
        <v>7526</v>
      </c>
      <c r="B1382" s="17" t="str">
        <f>IFERROR(INDEX(Mots!$B:$B,MATCH($A1382,Mots!$A:$A,0)),"introuvable")</f>
        <v>le maïs</v>
      </c>
      <c r="C1382" s="17" t="str">
        <f>IFERROR(INDEX(Mots!$N:$N,MATCH($A1382,Mots!$A:$A,0)),"")</f>
        <v>chose</v>
      </c>
      <c r="D1382" s="17">
        <f>IFERROR(COUNTA(INDEX(Mots!$E:$E,MATCH($A1382,Mots!$A:$A,0)):INDEX(Mots!$K:$K,MATCH($A1382,Mots!$A:$A,0))),0)</f>
        <v>5</v>
      </c>
      <c r="E1382" s="17" t="str">
        <f>IF(COUNTIF(Classement!$A:$A,$A1382)&gt;0,"ok","à faire")</f>
        <v>ok</v>
      </c>
      <c r="F1382" s="17" t="str">
        <f>IF(COUNTIF(Tags!$A:$A,$A1382)&gt;0,"ok","à faire")</f>
        <v>ok</v>
      </c>
      <c r="G1382" s="17" t="str">
        <f>IF(COUNTIF(Phrases!$A:$A,$A1382)&gt;0,"ok","à faire")</f>
        <v>à faire</v>
      </c>
      <c r="H1382" s="17" t="str">
        <f>IF(COUNTIFS(Phrases!$A:$A,$A1382,Phrases!$I:$I,"&lt;&gt;")&gt;0,"ok","à faire")</f>
        <v>à faire</v>
      </c>
      <c r="I1382" s="17" t="str">
        <f>IF(COUNTIF(Synonymes!$A:$A,$A1382)&gt;0,"ok","")</f>
        <v/>
      </c>
      <c r="J1382" s="17">
        <f t="shared" si="21"/>
        <v>2</v>
      </c>
    </row>
    <row r="1383" spans="1:10" x14ac:dyDescent="0.3">
      <c r="A1383" s="17" t="s">
        <v>7534</v>
      </c>
      <c r="B1383" s="17" t="str">
        <f>IFERROR(INDEX(Mots!$B:$B,MATCH($A1383,Mots!$A:$A,0)),"introuvable")</f>
        <v>tousser</v>
      </c>
      <c r="C1383" s="17" t="str">
        <f>IFERROR(INDEX(Mots!$N:$N,MATCH($A1383,Mots!$A:$A,0)),"")</f>
        <v>action</v>
      </c>
      <c r="D1383" s="17">
        <f>IFERROR(COUNTA(INDEX(Mots!$E:$E,MATCH($A1383,Mots!$A:$A,0)):INDEX(Mots!$K:$K,MATCH($A1383,Mots!$A:$A,0))),0)</f>
        <v>3</v>
      </c>
      <c r="E1383" s="17" t="str">
        <f>IF(COUNTIF(Classement!$A:$A,$A1383)&gt;0,"ok","à faire")</f>
        <v>ok</v>
      </c>
      <c r="F1383" s="17" t="str">
        <f>IF(COUNTIF(Tags!$A:$A,$A1383)&gt;0,"ok","à faire")</f>
        <v>ok</v>
      </c>
      <c r="G1383" s="17" t="str">
        <f>IF(COUNTIF(Phrases!$A:$A,$A1383)&gt;0,"ok","à faire")</f>
        <v>ok</v>
      </c>
      <c r="H1383" s="17" t="str">
        <f>IF(COUNTIFS(Phrases!$A:$A,$A1383,Phrases!$I:$I,"&lt;&gt;")&gt;0,"ok","à faire")</f>
        <v>ok</v>
      </c>
      <c r="I1383" s="17" t="str">
        <f>IF(COUNTIF(Synonymes!$A:$A,$A1383)&gt;0,"ok","")</f>
        <v/>
      </c>
      <c r="J1383" s="17">
        <f t="shared" si="21"/>
        <v>0</v>
      </c>
    </row>
    <row r="1384" spans="1:10" x14ac:dyDescent="0.3">
      <c r="A1384" s="17" t="s">
        <v>7537</v>
      </c>
      <c r="B1384" s="17" t="str">
        <f>IFERROR(INDEX(Mots!$B:$B,MATCH($A1384,Mots!$A:$A,0)),"introuvable")</f>
        <v>jambon</v>
      </c>
      <c r="C1384" s="17" t="str">
        <f>IFERROR(INDEX(Mots!$N:$N,MATCH($A1384,Mots!$A:$A,0)),"")</f>
        <v>chose</v>
      </c>
      <c r="D1384" s="17">
        <f>IFERROR(COUNTA(INDEX(Mots!$E:$E,MATCH($A1384,Mots!$A:$A,0)):INDEX(Mots!$K:$K,MATCH($A1384,Mots!$A:$A,0))),0)</f>
        <v>5</v>
      </c>
      <c r="E1384" s="17" t="str">
        <f>IF(COUNTIF(Classement!$A:$A,$A1384)&gt;0,"ok","à faire")</f>
        <v>ok</v>
      </c>
      <c r="F1384" s="17" t="str">
        <f>IF(COUNTIF(Tags!$A:$A,$A1384)&gt;0,"ok","à faire")</f>
        <v>ok</v>
      </c>
      <c r="G1384" s="17" t="str">
        <f>IF(COUNTIF(Phrases!$A:$A,$A1384)&gt;0,"ok","à faire")</f>
        <v>à faire</v>
      </c>
      <c r="H1384" s="17" t="str">
        <f>IF(COUNTIFS(Phrases!$A:$A,$A1384,Phrases!$I:$I,"&lt;&gt;")&gt;0,"ok","à faire")</f>
        <v>à faire</v>
      </c>
      <c r="I1384" s="17" t="str">
        <f>IF(COUNTIF(Synonymes!$A:$A,$A1384)&gt;0,"ok","")</f>
        <v/>
      </c>
      <c r="J1384" s="17">
        <f t="shared" si="21"/>
        <v>2</v>
      </c>
    </row>
    <row r="1385" spans="1:10" x14ac:dyDescent="0.3">
      <c r="A1385" s="17" t="s">
        <v>7542</v>
      </c>
      <c r="B1385" s="17" t="str">
        <f>IFERROR(INDEX(Mots!$B:$B,MATCH($A1385,Mots!$A:$A,0)),"introuvable")</f>
        <v>grand-maman Emma</v>
      </c>
      <c r="C1385" s="17" t="str">
        <f>IFERROR(INDEX(Mots!$N:$N,MATCH($A1385,Mots!$A:$A,0)),"")</f>
        <v>personne</v>
      </c>
      <c r="D1385" s="17">
        <f>IFERROR(COUNTA(INDEX(Mots!$E:$E,MATCH($A1385,Mots!$A:$A,0)):INDEX(Mots!$K:$K,MATCH($A1385,Mots!$A:$A,0))),0)</f>
        <v>2</v>
      </c>
      <c r="E1385" s="17" t="str">
        <f>IF(COUNTIF(Classement!$A:$A,$A1385)&gt;0,"ok","à faire")</f>
        <v>ok</v>
      </c>
      <c r="F1385" s="17" t="str">
        <f>IF(COUNTIF(Tags!$A:$A,$A1385)&gt;0,"ok","à faire")</f>
        <v>ok</v>
      </c>
      <c r="G1385" s="17" t="str">
        <f>IF(COUNTIF(Phrases!$A:$A,$A1385)&gt;0,"ok","à faire")</f>
        <v>à faire</v>
      </c>
      <c r="H1385" s="17" t="str">
        <f>IF(COUNTIFS(Phrases!$A:$A,$A1385,Phrases!$I:$I,"&lt;&gt;")&gt;0,"ok","à faire")</f>
        <v>à faire</v>
      </c>
      <c r="I1385" s="17" t="str">
        <f>IF(COUNTIF(Synonymes!$A:$A,$A1385)&gt;0,"ok","")</f>
        <v/>
      </c>
      <c r="J1385" s="17">
        <f t="shared" si="21"/>
        <v>2</v>
      </c>
    </row>
    <row r="1386" spans="1:10" x14ac:dyDescent="0.3">
      <c r="A1386" s="17" t="s">
        <v>7547</v>
      </c>
      <c r="B1386" s="17" t="str">
        <f>IFERROR(INDEX(Mots!$B:$B,MATCH($A1386,Mots!$A:$A,0)),"introuvable")</f>
        <v>grand-papa Maurice</v>
      </c>
      <c r="C1386" s="17" t="str">
        <f>IFERROR(INDEX(Mots!$N:$N,MATCH($A1386,Mots!$A:$A,0)),"")</f>
        <v>personne</v>
      </c>
      <c r="D1386" s="17">
        <f>IFERROR(COUNTA(INDEX(Mots!$E:$E,MATCH($A1386,Mots!$A:$A,0)):INDEX(Mots!$K:$K,MATCH($A1386,Mots!$A:$A,0))),0)</f>
        <v>1</v>
      </c>
      <c r="E1386" s="17" t="str">
        <f>IF(COUNTIF(Classement!$A:$A,$A1386)&gt;0,"ok","à faire")</f>
        <v>ok</v>
      </c>
      <c r="F1386" s="17" t="str">
        <f>IF(COUNTIF(Tags!$A:$A,$A1386)&gt;0,"ok","à faire")</f>
        <v>ok</v>
      </c>
      <c r="G1386" s="17" t="str">
        <f>IF(COUNTIF(Phrases!$A:$A,$A1386)&gt;0,"ok","à faire")</f>
        <v>à faire</v>
      </c>
      <c r="H1386" s="17" t="str">
        <f>IF(COUNTIFS(Phrases!$A:$A,$A1386,Phrases!$I:$I,"&lt;&gt;")&gt;0,"ok","à faire")</f>
        <v>à faire</v>
      </c>
      <c r="I1386" s="17" t="str">
        <f>IF(COUNTIF(Synonymes!$A:$A,$A1386)&gt;0,"ok","")</f>
        <v/>
      </c>
      <c r="J1386" s="17">
        <f t="shared" si="21"/>
        <v>2</v>
      </c>
    </row>
    <row r="1387" spans="1:10" x14ac:dyDescent="0.3">
      <c r="A1387" s="17" t="s">
        <v>7551</v>
      </c>
      <c r="B1387" s="17" t="str">
        <f>IFERROR(INDEX(Mots!$B:$B,MATCH($A1387,Mots!$A:$A,0)),"introuvable")</f>
        <v>l'oncle Bernard</v>
      </c>
      <c r="C1387" s="17" t="str">
        <f>IFERROR(INDEX(Mots!$N:$N,MATCH($A1387,Mots!$A:$A,0)),"")</f>
        <v>personne</v>
      </c>
      <c r="D1387" s="17">
        <f>IFERROR(COUNTA(INDEX(Mots!$E:$E,MATCH($A1387,Mots!$A:$A,0)):INDEX(Mots!$K:$K,MATCH($A1387,Mots!$A:$A,0))),0)</f>
        <v>1</v>
      </c>
      <c r="E1387" s="17" t="str">
        <f>IF(COUNTIF(Classement!$A:$A,$A1387)&gt;0,"ok","à faire")</f>
        <v>ok</v>
      </c>
      <c r="F1387" s="17" t="str">
        <f>IF(COUNTIF(Tags!$A:$A,$A1387)&gt;0,"ok","à faire")</f>
        <v>ok</v>
      </c>
      <c r="G1387" s="17" t="str">
        <f>IF(COUNTIF(Phrases!$A:$A,$A1387)&gt;0,"ok","à faire")</f>
        <v>à faire</v>
      </c>
      <c r="H1387" s="17" t="str">
        <f>IF(COUNTIFS(Phrases!$A:$A,$A1387,Phrases!$I:$I,"&lt;&gt;")&gt;0,"ok","à faire")</f>
        <v>à faire</v>
      </c>
      <c r="I1387" s="17" t="str">
        <f>IF(COUNTIF(Synonymes!$A:$A,$A1387)&gt;0,"ok","")</f>
        <v/>
      </c>
      <c r="J1387" s="17">
        <f t="shared" si="21"/>
        <v>2</v>
      </c>
    </row>
    <row r="1388" spans="1:10" x14ac:dyDescent="0.3">
      <c r="A1388" s="17" t="s">
        <v>7555</v>
      </c>
      <c r="B1388" s="17" t="str">
        <f>IFERROR(INDEX(Mots!$B:$B,MATCH($A1388,Mots!$A:$A,0)),"introuvable")</f>
        <v>l'oncle Marcel</v>
      </c>
      <c r="C1388" s="17" t="str">
        <f>IFERROR(INDEX(Mots!$N:$N,MATCH($A1388,Mots!$A:$A,0)),"")</f>
        <v>personne</v>
      </c>
      <c r="D1388" s="17">
        <f>IFERROR(COUNTA(INDEX(Mots!$E:$E,MATCH($A1388,Mots!$A:$A,0)):INDEX(Mots!$K:$K,MATCH($A1388,Mots!$A:$A,0))),0)</f>
        <v>1</v>
      </c>
      <c r="E1388" s="17" t="str">
        <f>IF(COUNTIF(Classement!$A:$A,$A1388)&gt;0,"ok","à faire")</f>
        <v>ok</v>
      </c>
      <c r="F1388" s="17" t="str">
        <f>IF(COUNTIF(Tags!$A:$A,$A1388)&gt;0,"ok","à faire")</f>
        <v>ok</v>
      </c>
      <c r="G1388" s="17" t="str">
        <f>IF(COUNTIF(Phrases!$A:$A,$A1388)&gt;0,"ok","à faire")</f>
        <v>à faire</v>
      </c>
      <c r="H1388" s="17" t="str">
        <f>IF(COUNTIFS(Phrases!$A:$A,$A1388,Phrases!$I:$I,"&lt;&gt;")&gt;0,"ok","à faire")</f>
        <v>à faire</v>
      </c>
      <c r="I1388" s="17" t="str">
        <f>IF(COUNTIF(Synonymes!$A:$A,$A1388)&gt;0,"ok","")</f>
        <v/>
      </c>
      <c r="J1388" s="17">
        <f t="shared" si="21"/>
        <v>2</v>
      </c>
    </row>
    <row r="1389" spans="1:10" x14ac:dyDescent="0.3">
      <c r="A1389" s="17" t="s">
        <v>7559</v>
      </c>
      <c r="B1389" s="17" t="str">
        <f>IFERROR(INDEX(Mots!$B:$B,MATCH($A1389,Mots!$A:$A,0)),"introuvable")</f>
        <v>tante Lucienne</v>
      </c>
      <c r="C1389" s="17" t="str">
        <f>IFERROR(INDEX(Mots!$N:$N,MATCH($A1389,Mots!$A:$A,0)),"")</f>
        <v>personne</v>
      </c>
      <c r="D1389" s="17">
        <f>IFERROR(COUNTA(INDEX(Mots!$E:$E,MATCH($A1389,Mots!$A:$A,0)):INDEX(Mots!$K:$K,MATCH($A1389,Mots!$A:$A,0))),0)</f>
        <v>1</v>
      </c>
      <c r="E1389" s="17" t="str">
        <f>IF(COUNTIF(Classement!$A:$A,$A1389)&gt;0,"ok","à faire")</f>
        <v>ok</v>
      </c>
      <c r="F1389" s="17" t="str">
        <f>IF(COUNTIF(Tags!$A:$A,$A1389)&gt;0,"ok","à faire")</f>
        <v>ok</v>
      </c>
      <c r="G1389" s="17" t="str">
        <f>IF(COUNTIF(Phrases!$A:$A,$A1389)&gt;0,"ok","à faire")</f>
        <v>à faire</v>
      </c>
      <c r="H1389" s="17" t="str">
        <f>IF(COUNTIFS(Phrases!$A:$A,$A1389,Phrases!$I:$I,"&lt;&gt;")&gt;0,"ok","à faire")</f>
        <v>à faire</v>
      </c>
      <c r="I1389" s="17" t="str">
        <f>IF(COUNTIF(Synonymes!$A:$A,$A1389)&gt;0,"ok","")</f>
        <v/>
      </c>
      <c r="J1389" s="17">
        <f t="shared" si="21"/>
        <v>2</v>
      </c>
    </row>
    <row r="1390" spans="1:10" x14ac:dyDescent="0.3">
      <c r="A1390" s="17" t="s">
        <v>7563</v>
      </c>
      <c r="B1390" s="17" t="str">
        <f>IFERROR(INDEX(Mots!$B:$B,MATCH($A1390,Mots!$A:$A,0)),"introuvable")</f>
        <v>tante Edith</v>
      </c>
      <c r="C1390" s="17" t="str">
        <f>IFERROR(INDEX(Mots!$N:$N,MATCH($A1390,Mots!$A:$A,0)),"")</f>
        <v>personne</v>
      </c>
      <c r="D1390" s="17">
        <f>IFERROR(COUNTA(INDEX(Mots!$E:$E,MATCH($A1390,Mots!$A:$A,0)):INDEX(Mots!$K:$K,MATCH($A1390,Mots!$A:$A,0))),0)</f>
        <v>1</v>
      </c>
      <c r="E1390" s="17" t="str">
        <f>IF(COUNTIF(Classement!$A:$A,$A1390)&gt;0,"ok","à faire")</f>
        <v>ok</v>
      </c>
      <c r="F1390" s="17" t="str">
        <f>IF(COUNTIF(Tags!$A:$A,$A1390)&gt;0,"ok","à faire")</f>
        <v>ok</v>
      </c>
      <c r="G1390" s="17" t="str">
        <f>IF(COUNTIF(Phrases!$A:$A,$A1390)&gt;0,"ok","à faire")</f>
        <v>à faire</v>
      </c>
      <c r="H1390" s="17" t="str">
        <f>IF(COUNTIFS(Phrases!$A:$A,$A1390,Phrases!$I:$I,"&lt;&gt;")&gt;0,"ok","à faire")</f>
        <v>à faire</v>
      </c>
      <c r="I1390" s="17" t="str">
        <f>IF(COUNTIF(Synonymes!$A:$A,$A1390)&gt;0,"ok","")</f>
        <v/>
      </c>
      <c r="J1390" s="17">
        <f t="shared" si="21"/>
        <v>2</v>
      </c>
    </row>
    <row r="1391" spans="1:10" x14ac:dyDescent="0.3">
      <c r="A1391" s="17" t="s">
        <v>7567</v>
      </c>
      <c r="B1391" s="17" t="str">
        <f>IFERROR(INDEX(Mots!$B:$B,MATCH($A1391,Mots!$A:$A,0)),"introuvable")</f>
        <v>la coupe</v>
      </c>
      <c r="C1391" s="17" t="str">
        <f>IFERROR(INDEX(Mots!$N:$N,MATCH($A1391,Mots!$A:$A,0)),"")</f>
        <v>personne</v>
      </c>
      <c r="D1391" s="17">
        <f>IFERROR(COUNTA(INDEX(Mots!$E:$E,MATCH($A1391,Mots!$A:$A,0)):INDEX(Mots!$K:$K,MATCH($A1391,Mots!$A:$A,0))),0)</f>
        <v>1</v>
      </c>
      <c r="E1391" s="17" t="str">
        <f>IF(COUNTIF(Classement!$A:$A,$A1391)&gt;0,"ok","à faire")</f>
        <v>ok</v>
      </c>
      <c r="F1391" s="17" t="str">
        <f>IF(COUNTIF(Tags!$A:$A,$A1391)&gt;0,"ok","à faire")</f>
        <v>à faire</v>
      </c>
      <c r="G1391" s="17" t="str">
        <f>IF(COUNTIF(Phrases!$A:$A,$A1391)&gt;0,"ok","à faire")</f>
        <v>à faire</v>
      </c>
      <c r="H1391" s="17" t="str">
        <f>IF(COUNTIFS(Phrases!$A:$A,$A1391,Phrases!$I:$I,"&lt;&gt;")&gt;0,"ok","à faire")</f>
        <v>à faire</v>
      </c>
      <c r="I1391" s="17" t="str">
        <f>IF(COUNTIF(Synonymes!$A:$A,$A1391)&gt;0,"ok","")</f>
        <v/>
      </c>
      <c r="J1391" s="17">
        <f t="shared" si="21"/>
        <v>3</v>
      </c>
    </row>
    <row r="1392" spans="1:10" x14ac:dyDescent="0.3">
      <c r="A1392" s="17" t="s">
        <v>7571</v>
      </c>
      <c r="B1392" s="17" t="str">
        <f>IFERROR(INDEX(Mots!$B:$B,MATCH($A1392,Mots!$A:$A,0)),"introuvable")</f>
        <v>quitter</v>
      </c>
      <c r="C1392" s="17" t="str">
        <f>IFERROR(INDEX(Mots!$N:$N,MATCH($A1392,Mots!$A:$A,0)),"")</f>
        <v>action</v>
      </c>
      <c r="D1392" s="17">
        <f>IFERROR(COUNTA(INDEX(Mots!$E:$E,MATCH($A1392,Mots!$A:$A,0)):INDEX(Mots!$K:$K,MATCH($A1392,Mots!$A:$A,0))),0)</f>
        <v>2</v>
      </c>
      <c r="E1392" s="17" t="str">
        <f>IF(COUNTIF(Classement!$A:$A,$A1392)&gt;0,"ok","à faire")</f>
        <v>à faire</v>
      </c>
      <c r="F1392" s="17" t="str">
        <f>IF(COUNTIF(Tags!$A:$A,$A1392)&gt;0,"ok","à faire")</f>
        <v>à faire</v>
      </c>
      <c r="G1392" s="17" t="str">
        <f>IF(COUNTIF(Phrases!$A:$A,$A1392)&gt;0,"ok","à faire")</f>
        <v>ok</v>
      </c>
      <c r="H1392" s="17" t="str">
        <f>IF(COUNTIFS(Phrases!$A:$A,$A1392,Phrases!$I:$I,"&lt;&gt;")&gt;0,"ok","à faire")</f>
        <v>à faire</v>
      </c>
      <c r="I1392" s="17" t="str">
        <f>IF(COUNTIF(Synonymes!$A:$A,$A1392)&gt;0,"ok","")</f>
        <v>ok</v>
      </c>
      <c r="J1392" s="17">
        <f t="shared" si="21"/>
        <v>3</v>
      </c>
    </row>
    <row r="1393" spans="1:10" x14ac:dyDescent="0.3">
      <c r="A1393" s="17" t="s">
        <v>7576</v>
      </c>
      <c r="B1393" s="17" t="str">
        <f>IFERROR(INDEX(Mots!$B:$B,MATCH($A1393,Mots!$A:$A,0)),"introuvable")</f>
        <v>interdire</v>
      </c>
      <c r="C1393" s="17" t="str">
        <f>IFERROR(INDEX(Mots!$N:$N,MATCH($A1393,Mots!$A:$A,0)),"")</f>
        <v>action</v>
      </c>
      <c r="D1393" s="17">
        <f>IFERROR(COUNTA(INDEX(Mots!$E:$E,MATCH($A1393,Mots!$A:$A,0)):INDEX(Mots!$K:$K,MATCH($A1393,Mots!$A:$A,0))),0)</f>
        <v>1</v>
      </c>
      <c r="E1393" s="17" t="str">
        <f>IF(COUNTIF(Classement!$A:$A,$A1393)&gt;0,"ok","à faire")</f>
        <v>à faire</v>
      </c>
      <c r="F1393" s="17" t="str">
        <f>IF(COUNTIF(Tags!$A:$A,$A1393)&gt;0,"ok","à faire")</f>
        <v>ok</v>
      </c>
      <c r="G1393" s="17" t="str">
        <f>IF(COUNTIF(Phrases!$A:$A,$A1393)&gt;0,"ok","à faire")</f>
        <v>ok</v>
      </c>
      <c r="H1393" s="17" t="str">
        <f>IF(COUNTIFS(Phrases!$A:$A,$A1393,Phrases!$I:$I,"&lt;&gt;")&gt;0,"ok","à faire")</f>
        <v>à faire</v>
      </c>
      <c r="I1393" s="17" t="str">
        <f>IF(COUNTIF(Synonymes!$A:$A,$A1393)&gt;0,"ok","")</f>
        <v>ok</v>
      </c>
      <c r="J1393" s="17">
        <f t="shared" si="21"/>
        <v>2</v>
      </c>
    </row>
    <row r="1394" spans="1:10" x14ac:dyDescent="0.3">
      <c r="A1394" s="17" t="s">
        <v>7580</v>
      </c>
      <c r="B1394" s="17" t="str">
        <f>IFERROR(INDEX(Mots!$B:$B,MATCH($A1394,Mots!$A:$A,0)),"introuvable")</f>
        <v>arriver</v>
      </c>
      <c r="C1394" s="17" t="str">
        <f>IFERROR(INDEX(Mots!$N:$N,MATCH($A1394,Mots!$A:$A,0)),"")</f>
        <v>action</v>
      </c>
      <c r="D1394" s="17">
        <f>IFERROR(COUNTA(INDEX(Mots!$E:$E,MATCH($A1394,Mots!$A:$A,0)):INDEX(Mots!$K:$K,MATCH($A1394,Mots!$A:$A,0))),0)</f>
        <v>1</v>
      </c>
      <c r="E1394" s="17" t="str">
        <f>IF(COUNTIF(Classement!$A:$A,$A1394)&gt;0,"ok","à faire")</f>
        <v>ok</v>
      </c>
      <c r="F1394" s="17" t="str">
        <f>IF(COUNTIF(Tags!$A:$A,$A1394)&gt;0,"ok","à faire")</f>
        <v>à faire</v>
      </c>
      <c r="G1394" s="17" t="str">
        <f>IF(COUNTIF(Phrases!$A:$A,$A1394)&gt;0,"ok","à faire")</f>
        <v>ok</v>
      </c>
      <c r="H1394" s="17" t="str">
        <f>IF(COUNTIFS(Phrases!$A:$A,$A1394,Phrases!$I:$I,"&lt;&gt;")&gt;0,"ok","à faire")</f>
        <v>à faire</v>
      </c>
      <c r="I1394" s="17" t="str">
        <f>IF(COUNTIF(Synonymes!$A:$A,$A1394)&gt;0,"ok","")</f>
        <v/>
      </c>
      <c r="J1394" s="17">
        <f t="shared" si="21"/>
        <v>2</v>
      </c>
    </row>
    <row r="1395" spans="1:10" x14ac:dyDescent="0.3">
      <c r="A1395" s="17" t="s">
        <v>7583</v>
      </c>
      <c r="B1395" s="17" t="str">
        <f>IFERROR(INDEX(Mots!$B:$B,MATCH($A1395,Mots!$A:$A,0)),"introuvable")</f>
        <v>la capsule Nespresso</v>
      </c>
      <c r="C1395" s="17" t="str">
        <f>IFERROR(INDEX(Mots!$N:$N,MATCH($A1395,Mots!$A:$A,0)),"")</f>
        <v>chose</v>
      </c>
      <c r="D1395" s="17">
        <f>IFERROR(COUNTA(INDEX(Mots!$E:$E,MATCH($A1395,Mots!$A:$A,0)):INDEX(Mots!$K:$K,MATCH($A1395,Mots!$A:$A,0))),0)</f>
        <v>5</v>
      </c>
      <c r="E1395" s="17" t="str">
        <f>IF(COUNTIF(Classement!$A:$A,$A1395)&gt;0,"ok","à faire")</f>
        <v>à faire</v>
      </c>
      <c r="F1395" s="17" t="str">
        <f>IF(COUNTIF(Tags!$A:$A,$A1395)&gt;0,"ok","à faire")</f>
        <v>ok</v>
      </c>
      <c r="G1395" s="17" t="str">
        <f>IF(COUNTIF(Phrases!$A:$A,$A1395)&gt;0,"ok","à faire")</f>
        <v>à faire</v>
      </c>
      <c r="H1395" s="17" t="str">
        <f>IF(COUNTIFS(Phrases!$A:$A,$A1395,Phrases!$I:$I,"&lt;&gt;")&gt;0,"ok","à faire")</f>
        <v>à faire</v>
      </c>
      <c r="I1395" s="17" t="str">
        <f>IF(COUNTIF(Synonymes!$A:$A,$A1395)&gt;0,"ok","")</f>
        <v/>
      </c>
      <c r="J1395" s="17">
        <f t="shared" si="21"/>
        <v>3</v>
      </c>
    </row>
    <row r="1396" spans="1:10" x14ac:dyDescent="0.3">
      <c r="A1396" s="17" t="s">
        <v>7591</v>
      </c>
      <c r="B1396" s="17" t="str">
        <f>IFERROR(INDEX(Mots!$B:$B,MATCH($A1396,Mots!$A:$A,0)),"introuvable")</f>
        <v>l'émotion</v>
      </c>
      <c r="C1396" s="17" t="str">
        <f>IFERROR(INDEX(Mots!$N:$N,MATCH($A1396,Mots!$A:$A,0)),"")</f>
        <v>sentiment</v>
      </c>
      <c r="D1396" s="17">
        <f>IFERROR(COUNTA(INDEX(Mots!$E:$E,MATCH($A1396,Mots!$A:$A,0)):INDEX(Mots!$K:$K,MATCH($A1396,Mots!$A:$A,0))),0)</f>
        <v>6</v>
      </c>
      <c r="E1396" s="17" t="str">
        <f>IF(COUNTIF(Classement!$A:$A,$A1396)&gt;0,"ok","à faire")</f>
        <v>ok</v>
      </c>
      <c r="F1396" s="17" t="str">
        <f>IF(COUNTIF(Tags!$A:$A,$A1396)&gt;0,"ok","à faire")</f>
        <v>à faire</v>
      </c>
      <c r="G1396" s="17" t="str">
        <f>IF(COUNTIF(Phrases!$A:$A,$A1396)&gt;0,"ok","à faire")</f>
        <v>à faire</v>
      </c>
      <c r="H1396" s="17" t="str">
        <f>IF(COUNTIFS(Phrases!$A:$A,$A1396,Phrases!$I:$I,"&lt;&gt;")&gt;0,"ok","à faire")</f>
        <v>à faire</v>
      </c>
      <c r="I1396" s="17" t="str">
        <f>IF(COUNTIF(Synonymes!$A:$A,$A1396)&gt;0,"ok","")</f>
        <v/>
      </c>
      <c r="J1396" s="17">
        <f t="shared" si="21"/>
        <v>3</v>
      </c>
    </row>
    <row r="1397" spans="1:10" x14ac:dyDescent="0.3">
      <c r="A1397" s="17" t="s">
        <v>23</v>
      </c>
      <c r="B1397" s="17" t="str">
        <f>IFERROR(INDEX(Mots!$B:$B,MATCH($A1397,Mots!$A:$A,0)),"introuvable")</f>
        <v>la nourriture</v>
      </c>
      <c r="C1397" s="17" t="str">
        <f>IFERROR(INDEX(Mots!$N:$N,MATCH($A1397,Mots!$A:$A,0)),"")</f>
        <v>chose</v>
      </c>
      <c r="D1397" s="17">
        <f>IFERROR(COUNTA(INDEX(Mots!$E:$E,MATCH($A1397,Mots!$A:$A,0)):INDEX(Mots!$K:$K,MATCH($A1397,Mots!$A:$A,0))),0)</f>
        <v>1</v>
      </c>
      <c r="E1397" s="17" t="str">
        <f>IF(COUNTIF(Classement!$A:$A,$A1397)&gt;0,"ok","à faire")</f>
        <v>ok</v>
      </c>
      <c r="F1397" s="17" t="str">
        <f>IF(COUNTIF(Tags!$A:$A,$A1397)&gt;0,"ok","à faire")</f>
        <v>ok</v>
      </c>
      <c r="G1397" s="17" t="str">
        <f>IF(COUNTIF(Phrases!$A:$A,$A1397)&gt;0,"ok","à faire")</f>
        <v>à faire</v>
      </c>
      <c r="H1397" s="17" t="str">
        <f>IF(COUNTIFS(Phrases!$A:$A,$A1397,Phrases!$I:$I,"&lt;&gt;")&gt;0,"ok","à faire")</f>
        <v>à faire</v>
      </c>
      <c r="I1397" s="17" t="str">
        <f>IF(COUNTIF(Synonymes!$A:$A,$A1397)&gt;0,"ok","")</f>
        <v/>
      </c>
      <c r="J1397" s="17">
        <f t="shared" si="21"/>
        <v>2</v>
      </c>
    </row>
    <row r="1398" spans="1:10" x14ac:dyDescent="0.3">
      <c r="A1398" s="17" t="s">
        <v>7601</v>
      </c>
      <c r="B1398" s="17" t="str">
        <f>IFERROR(INDEX(Mots!$B:$B,MATCH($A1398,Mots!$A:$A,0)),"introuvable")</f>
        <v>le corps (humain)</v>
      </c>
      <c r="C1398" s="17" t="str">
        <f>IFERROR(INDEX(Mots!$N:$N,MATCH($A1398,Mots!$A:$A,0)),"")</f>
        <v>chose</v>
      </c>
      <c r="D1398" s="17">
        <f>IFERROR(COUNTA(INDEX(Mots!$E:$E,MATCH($A1398,Mots!$A:$A,0)):INDEX(Mots!$K:$K,MATCH($A1398,Mots!$A:$A,0))),0)</f>
        <v>1</v>
      </c>
      <c r="E1398" s="17" t="str">
        <f>IF(COUNTIF(Classement!$A:$A,$A1398)&gt;0,"ok","à faire")</f>
        <v>ok</v>
      </c>
      <c r="F1398" s="17" t="str">
        <f>IF(COUNTIF(Tags!$A:$A,$A1398)&gt;0,"ok","à faire")</f>
        <v>à faire</v>
      </c>
      <c r="G1398" s="17" t="str">
        <f>IF(COUNTIF(Phrases!$A:$A,$A1398)&gt;0,"ok","à faire")</f>
        <v>à faire</v>
      </c>
      <c r="H1398" s="17" t="str">
        <f>IF(COUNTIFS(Phrases!$A:$A,$A1398,Phrases!$I:$I,"&lt;&gt;")&gt;0,"ok","à faire")</f>
        <v>à faire</v>
      </c>
      <c r="I1398" s="17" t="str">
        <f>IF(COUNTIF(Synonymes!$A:$A,$A1398)&gt;0,"ok","")</f>
        <v/>
      </c>
      <c r="J1398" s="17">
        <f t="shared" si="21"/>
        <v>3</v>
      </c>
    </row>
    <row r="1399" spans="1:10" x14ac:dyDescent="0.3">
      <c r="A1399" s="17" t="s">
        <v>7604</v>
      </c>
      <c r="B1399" s="17" t="str">
        <f>IFERROR(INDEX(Mots!$B:$B,MATCH($A1399,Mots!$A:$A,0)),"introuvable")</f>
        <v>habiter</v>
      </c>
      <c r="C1399" s="17" t="str">
        <f>IFERROR(INDEX(Mots!$N:$N,MATCH($A1399,Mots!$A:$A,0)),"")</f>
        <v>action</v>
      </c>
      <c r="D1399" s="17">
        <f>IFERROR(COUNTA(INDEX(Mots!$E:$E,MATCH($A1399,Mots!$A:$A,0)):INDEX(Mots!$K:$K,MATCH($A1399,Mots!$A:$A,0))),0)</f>
        <v>0</v>
      </c>
      <c r="E1399" s="17" t="str">
        <f>IF(COUNTIF(Classement!$A:$A,$A1399)&gt;0,"ok","à faire")</f>
        <v>ok</v>
      </c>
      <c r="F1399" s="17" t="str">
        <f>IF(COUNTIF(Tags!$A:$A,$A1399)&gt;0,"ok","à faire")</f>
        <v>ok</v>
      </c>
      <c r="G1399" s="17" t="str">
        <f>IF(COUNTIF(Phrases!$A:$A,$A1399)&gt;0,"ok","à faire")</f>
        <v>ok</v>
      </c>
      <c r="H1399" s="17" t="str">
        <f>IF(COUNTIFS(Phrases!$A:$A,$A1399,Phrases!$I:$I,"&lt;&gt;")&gt;0,"ok","à faire")</f>
        <v>ok</v>
      </c>
      <c r="I1399" s="17" t="str">
        <f>IF(COUNTIF(Synonymes!$A:$A,$A1399)&gt;0,"ok","")</f>
        <v>ok</v>
      </c>
      <c r="J1399" s="17">
        <f t="shared" si="21"/>
        <v>0</v>
      </c>
    </row>
    <row r="1400" spans="1:10" x14ac:dyDescent="0.3">
      <c r="A1400" s="17" t="s">
        <v>7607</v>
      </c>
      <c r="B1400" s="17" t="str">
        <f>IFERROR(INDEX(Mots!$B:$B,MATCH($A1400,Mots!$A:$A,0)),"introuvable")</f>
        <v>éclairer</v>
      </c>
      <c r="C1400" s="17" t="str">
        <f>IFERROR(INDEX(Mots!$N:$N,MATCH($A1400,Mots!$A:$A,0)),"")</f>
        <v>action</v>
      </c>
      <c r="D1400" s="17">
        <f>IFERROR(COUNTA(INDEX(Mots!$E:$E,MATCH($A1400,Mots!$A:$A,0)):INDEX(Mots!$K:$K,MATCH($A1400,Mots!$A:$A,0))),0)</f>
        <v>0</v>
      </c>
      <c r="E1400" s="17" t="str">
        <f>IF(COUNTIF(Classement!$A:$A,$A1400)&gt;0,"ok","à faire")</f>
        <v>ok</v>
      </c>
      <c r="F1400" s="17" t="str">
        <f>IF(COUNTIF(Tags!$A:$A,$A1400)&gt;0,"ok","à faire")</f>
        <v>ok</v>
      </c>
      <c r="G1400" s="17" t="str">
        <f>IF(COUNTIF(Phrases!$A:$A,$A1400)&gt;0,"ok","à faire")</f>
        <v>ok</v>
      </c>
      <c r="H1400" s="17" t="str">
        <f>IF(COUNTIFS(Phrases!$A:$A,$A1400,Phrases!$I:$I,"&lt;&gt;")&gt;0,"ok","à faire")</f>
        <v>ok</v>
      </c>
      <c r="I1400" s="17" t="str">
        <f>IF(COUNTIF(Synonymes!$A:$A,$A1400)&gt;0,"ok","")</f>
        <v/>
      </c>
      <c r="J1400" s="17">
        <f t="shared" si="21"/>
        <v>0</v>
      </c>
    </row>
    <row r="1401" spans="1:10" x14ac:dyDescent="0.3">
      <c r="A1401" s="17" t="s">
        <v>249</v>
      </c>
      <c r="B1401" s="17" t="str">
        <f>IFERROR(INDEX(Mots!$B:$B,MATCH($A1401,Mots!$A:$A,0)),"introuvable")</f>
        <v>le souper</v>
      </c>
      <c r="C1401" s="17" t="str">
        <f>IFERROR(INDEX(Mots!$N:$N,MATCH($A1401,Mots!$A:$A,0)),"")</f>
        <v>chose</v>
      </c>
      <c r="D1401" s="17">
        <f>IFERROR(COUNTA(INDEX(Mots!$E:$E,MATCH($A1401,Mots!$A:$A,0)):INDEX(Mots!$K:$K,MATCH($A1401,Mots!$A:$A,0))),0)</f>
        <v>2</v>
      </c>
      <c r="E1401" s="17" t="str">
        <f>IF(COUNTIF(Classement!$A:$A,$A1401)&gt;0,"ok","à faire")</f>
        <v>ok</v>
      </c>
      <c r="F1401" s="17" t="str">
        <f>IF(COUNTIF(Tags!$A:$A,$A1401)&gt;0,"ok","à faire")</f>
        <v>ok</v>
      </c>
      <c r="G1401" s="17" t="str">
        <f>IF(COUNTIF(Phrases!$A:$A,$A1401)&gt;0,"ok","à faire")</f>
        <v>à faire</v>
      </c>
      <c r="H1401" s="17" t="str">
        <f>IF(COUNTIFS(Phrases!$A:$A,$A1401,Phrases!$I:$I,"&lt;&gt;")&gt;0,"ok","à faire")</f>
        <v>à faire</v>
      </c>
      <c r="I1401" s="17" t="str">
        <f>IF(COUNTIF(Synonymes!$A:$A,$A1401)&gt;0,"ok","")</f>
        <v/>
      </c>
      <c r="J1401" s="17">
        <f t="shared" si="21"/>
        <v>2</v>
      </c>
    </row>
    <row r="1402" spans="1:10" x14ac:dyDescent="0.3">
      <c r="A1402" s="17" t="s">
        <v>7612</v>
      </c>
      <c r="B1402" s="17" t="str">
        <f>IFERROR(INDEX(Mots!$B:$B,MATCH($A1402,Mots!$A:$A,0)),"introuvable")</f>
        <v>le pommier</v>
      </c>
      <c r="C1402" s="17" t="str">
        <f>IFERROR(INDEX(Mots!$N:$N,MATCH($A1402,Mots!$A:$A,0)),"")</f>
        <v>chose</v>
      </c>
      <c r="D1402" s="17">
        <f>IFERROR(COUNTA(INDEX(Mots!$E:$E,MATCH($A1402,Mots!$A:$A,0)):INDEX(Mots!$K:$K,MATCH($A1402,Mots!$A:$A,0))),0)</f>
        <v>0</v>
      </c>
      <c r="E1402" s="17" t="str">
        <f>IF(COUNTIF(Classement!$A:$A,$A1402)&gt;0,"ok","à faire")</f>
        <v>ok</v>
      </c>
      <c r="F1402" s="17" t="str">
        <f>IF(COUNTIF(Tags!$A:$A,$A1402)&gt;0,"ok","à faire")</f>
        <v>ok</v>
      </c>
      <c r="G1402" s="17" t="str">
        <f>IF(COUNTIF(Phrases!$A:$A,$A1402)&gt;0,"ok","à faire")</f>
        <v>à faire</v>
      </c>
      <c r="H1402" s="17" t="str">
        <f>IF(COUNTIFS(Phrases!$A:$A,$A1402,Phrases!$I:$I,"&lt;&gt;")&gt;0,"ok","à faire")</f>
        <v>à faire</v>
      </c>
      <c r="I1402" s="17" t="str">
        <f>IF(COUNTIF(Synonymes!$A:$A,$A1402)&gt;0,"ok","")</f>
        <v/>
      </c>
      <c r="J1402" s="17">
        <f t="shared" si="21"/>
        <v>2</v>
      </c>
    </row>
    <row r="1403" spans="1:10" x14ac:dyDescent="0.3">
      <c r="A1403" s="17" t="s">
        <v>7615</v>
      </c>
      <c r="B1403" s="17" t="str">
        <f>IFERROR(INDEX(Mots!$B:$B,MATCH($A1403,Mots!$A:$A,0)),"introuvable")</f>
        <v>griller</v>
      </c>
      <c r="C1403" s="17" t="str">
        <f>IFERROR(INDEX(Mots!$N:$N,MATCH($A1403,Mots!$A:$A,0)),"")</f>
        <v>action</v>
      </c>
      <c r="D1403" s="17">
        <f>IFERROR(COUNTA(INDEX(Mots!$E:$E,MATCH($A1403,Mots!$A:$A,0)):INDEX(Mots!$K:$K,MATCH($A1403,Mots!$A:$A,0))),0)</f>
        <v>0</v>
      </c>
      <c r="E1403" s="17" t="str">
        <f>IF(COUNTIF(Classement!$A:$A,$A1403)&gt;0,"ok","à faire")</f>
        <v>ok</v>
      </c>
      <c r="F1403" s="17" t="str">
        <f>IF(COUNTIF(Tags!$A:$A,$A1403)&gt;0,"ok","à faire")</f>
        <v>ok</v>
      </c>
      <c r="G1403" s="17" t="str">
        <f>IF(COUNTIF(Phrases!$A:$A,$A1403)&gt;0,"ok","à faire")</f>
        <v>ok</v>
      </c>
      <c r="H1403" s="17" t="str">
        <f>IF(COUNTIFS(Phrases!$A:$A,$A1403,Phrases!$I:$I,"&lt;&gt;")&gt;0,"ok","à faire")</f>
        <v>ok</v>
      </c>
      <c r="I1403" s="17" t="str">
        <f>IF(COUNTIF(Synonymes!$A:$A,$A1403)&gt;0,"ok","")</f>
        <v>ok</v>
      </c>
      <c r="J1403" s="17">
        <f t="shared" si="21"/>
        <v>0</v>
      </c>
    </row>
    <row r="1404" spans="1:10" x14ac:dyDescent="0.3">
      <c r="A1404" s="17" t="s">
        <v>1169</v>
      </c>
      <c r="B1404" s="17" t="str">
        <f>IFERROR(INDEX(Mots!$B:$B,MATCH($A1404,Mots!$A:$A,0)),"introuvable")</f>
        <v>animal</v>
      </c>
      <c r="C1404" s="17" t="str">
        <f>IFERROR(INDEX(Mots!$N:$N,MATCH($A1404,Mots!$A:$A,0)),"")</f>
        <v>animal</v>
      </c>
      <c r="D1404" s="17">
        <f>IFERROR(COUNTA(INDEX(Mots!$E:$E,MATCH($A1404,Mots!$A:$A,0)):INDEX(Mots!$K:$K,MATCH($A1404,Mots!$A:$A,0))),0)</f>
        <v>1</v>
      </c>
      <c r="E1404" s="17" t="str">
        <f>IF(COUNTIF(Classement!$A:$A,$A1404)&gt;0,"ok","à faire")</f>
        <v>ok</v>
      </c>
      <c r="F1404" s="17" t="str">
        <f>IF(COUNTIF(Tags!$A:$A,$A1404)&gt;0,"ok","à faire")</f>
        <v>ok</v>
      </c>
      <c r="G1404" s="17" t="str">
        <f>IF(COUNTIF(Phrases!$A:$A,$A1404)&gt;0,"ok","à faire")</f>
        <v>à faire</v>
      </c>
      <c r="H1404" s="17" t="str">
        <f>IF(COUNTIFS(Phrases!$A:$A,$A1404,Phrases!$I:$I,"&lt;&gt;")&gt;0,"ok","à faire")</f>
        <v>à faire</v>
      </c>
      <c r="I1404" s="17" t="str">
        <f>IF(COUNTIF(Synonymes!$A:$A,$A1404)&gt;0,"ok","")</f>
        <v/>
      </c>
      <c r="J1404" s="17">
        <f t="shared" si="21"/>
        <v>2</v>
      </c>
    </row>
    <row r="1405" spans="1:10" x14ac:dyDescent="0.3">
      <c r="A1405" s="17" t="s">
        <v>242</v>
      </c>
      <c r="B1405" s="17" t="str">
        <f>IFERROR(INDEX(Mots!$B:$B,MATCH($A1405,Mots!$A:$A,0)),"introuvable")</f>
        <v>L'assaisonnement</v>
      </c>
      <c r="C1405" s="17" t="str">
        <f>IFERROR(INDEX(Mots!$N:$N,MATCH($A1405,Mots!$A:$A,0)),"")</f>
        <v>chose</v>
      </c>
      <c r="D1405" s="17">
        <f>IFERROR(COUNTA(INDEX(Mots!$E:$E,MATCH($A1405,Mots!$A:$A,0)):INDEX(Mots!$K:$K,MATCH($A1405,Mots!$A:$A,0))),0)</f>
        <v>1</v>
      </c>
      <c r="E1405" s="17" t="str">
        <f>IF(COUNTIF(Classement!$A:$A,$A1405)&gt;0,"ok","à faire")</f>
        <v>ok</v>
      </c>
      <c r="F1405" s="17" t="str">
        <f>IF(COUNTIF(Tags!$A:$A,$A1405)&gt;0,"ok","à faire")</f>
        <v>ok</v>
      </c>
      <c r="G1405" s="17" t="str">
        <f>IF(COUNTIF(Phrases!$A:$A,$A1405)&gt;0,"ok","à faire")</f>
        <v>à faire</v>
      </c>
      <c r="H1405" s="17" t="str">
        <f>IF(COUNTIFS(Phrases!$A:$A,$A1405,Phrases!$I:$I,"&lt;&gt;")&gt;0,"ok","à faire")</f>
        <v>à faire</v>
      </c>
      <c r="I1405" s="17" t="str">
        <f>IF(COUNTIF(Synonymes!$A:$A,$A1405)&gt;0,"ok","")</f>
        <v/>
      </c>
      <c r="J1405" s="17">
        <f t="shared" si="21"/>
        <v>2</v>
      </c>
    </row>
    <row r="1406" spans="1:10" x14ac:dyDescent="0.3">
      <c r="A1406" s="17" t="s">
        <v>7621</v>
      </c>
      <c r="B1406" s="17" t="str">
        <f>IFERROR(INDEX(Mots!$B:$B,MATCH($A1406,Mots!$A:$A,0)),"introuvable")</f>
        <v>conduire</v>
      </c>
      <c r="C1406" s="17" t="str">
        <f>IFERROR(INDEX(Mots!$N:$N,MATCH($A1406,Mots!$A:$A,0)),"")</f>
        <v>action</v>
      </c>
      <c r="D1406" s="17">
        <f>IFERROR(COUNTA(INDEX(Mots!$E:$E,MATCH($A1406,Mots!$A:$A,0)):INDEX(Mots!$K:$K,MATCH($A1406,Mots!$A:$A,0))),0)</f>
        <v>0</v>
      </c>
      <c r="E1406" s="17" t="str">
        <f>IF(COUNTIF(Classement!$A:$A,$A1406)&gt;0,"ok","à faire")</f>
        <v>ok</v>
      </c>
      <c r="F1406" s="17" t="str">
        <f>IF(COUNTIF(Tags!$A:$A,$A1406)&gt;0,"ok","à faire")</f>
        <v>ok</v>
      </c>
      <c r="G1406" s="17" t="str">
        <f>IF(COUNTIF(Phrases!$A:$A,$A1406)&gt;0,"ok","à faire")</f>
        <v>ok</v>
      </c>
      <c r="H1406" s="17" t="str">
        <f>IF(COUNTIFS(Phrases!$A:$A,$A1406,Phrases!$I:$I,"&lt;&gt;")&gt;0,"ok","à faire")</f>
        <v>ok</v>
      </c>
      <c r="I1406" s="17" t="str">
        <f>IF(COUNTIF(Synonymes!$A:$A,$A1406)&gt;0,"ok","")</f>
        <v>ok</v>
      </c>
      <c r="J1406" s="17">
        <f t="shared" si="21"/>
        <v>0</v>
      </c>
    </row>
    <row r="1407" spans="1:10" x14ac:dyDescent="0.3">
      <c r="A1407" s="17" t="s">
        <v>7624</v>
      </c>
      <c r="B1407" s="17" t="str">
        <f>IFERROR(INDEX(Mots!$B:$B,MATCH($A1407,Mots!$A:$A,0)),"introuvable")</f>
        <v>un habit</v>
      </c>
      <c r="C1407" s="17" t="str">
        <f>IFERROR(INDEX(Mots!$N:$N,MATCH($A1407,Mots!$A:$A,0)),"")</f>
        <v>chose</v>
      </c>
      <c r="D1407" s="17">
        <f>IFERROR(COUNTA(INDEX(Mots!$E:$E,MATCH($A1407,Mots!$A:$A,0)):INDEX(Mots!$K:$K,MATCH($A1407,Mots!$A:$A,0))),0)</f>
        <v>1</v>
      </c>
      <c r="E1407" s="17" t="str">
        <f>IF(COUNTIF(Classement!$A:$A,$A1407)&gt;0,"ok","à faire")</f>
        <v>ok</v>
      </c>
      <c r="F1407" s="17" t="str">
        <f>IF(COUNTIF(Tags!$A:$A,$A1407)&gt;0,"ok","à faire")</f>
        <v>ok</v>
      </c>
      <c r="G1407" s="17" t="str">
        <f>IF(COUNTIF(Phrases!$A:$A,$A1407)&gt;0,"ok","à faire")</f>
        <v>à faire</v>
      </c>
      <c r="H1407" s="17" t="str">
        <f>IF(COUNTIFS(Phrases!$A:$A,$A1407,Phrases!$I:$I,"&lt;&gt;")&gt;0,"ok","à faire")</f>
        <v>à faire</v>
      </c>
      <c r="I1407" s="17" t="str">
        <f>IF(COUNTIF(Synonymes!$A:$A,$A1407)&gt;0,"ok","")</f>
        <v>ok</v>
      </c>
      <c r="J1407" s="17">
        <f t="shared" si="21"/>
        <v>2</v>
      </c>
    </row>
    <row r="1408" spans="1:10" x14ac:dyDescent="0.3">
      <c r="A1408" s="17" t="s">
        <v>7627</v>
      </c>
      <c r="B1408" s="17" t="str">
        <f>IFERROR(INDEX(Mots!$B:$B,MATCH($A1408,Mots!$A:$A,0)),"introuvable")</f>
        <v>traverser</v>
      </c>
      <c r="C1408" s="17" t="str">
        <f>IFERROR(INDEX(Mots!$N:$N,MATCH($A1408,Mots!$A:$A,0)),"")</f>
        <v>action</v>
      </c>
      <c r="D1408" s="17">
        <f>IFERROR(COUNTA(INDEX(Mots!$E:$E,MATCH($A1408,Mots!$A:$A,0)):INDEX(Mots!$K:$K,MATCH($A1408,Mots!$A:$A,0))),0)</f>
        <v>0</v>
      </c>
      <c r="E1408" s="17" t="str">
        <f>IF(COUNTIF(Classement!$A:$A,$A1408)&gt;0,"ok","à faire")</f>
        <v>ok</v>
      </c>
      <c r="F1408" s="17" t="str">
        <f>IF(COUNTIF(Tags!$A:$A,$A1408)&gt;0,"ok","à faire")</f>
        <v>ok</v>
      </c>
      <c r="G1408" s="17" t="str">
        <f>IF(COUNTIF(Phrases!$A:$A,$A1408)&gt;0,"ok","à faire")</f>
        <v>ok</v>
      </c>
      <c r="H1408" s="17" t="str">
        <f>IF(COUNTIFS(Phrases!$A:$A,$A1408,Phrases!$I:$I,"&lt;&gt;")&gt;0,"ok","à faire")</f>
        <v>ok</v>
      </c>
      <c r="I1408" s="17" t="str">
        <f>IF(COUNTIF(Synonymes!$A:$A,$A1408)&gt;0,"ok","")</f>
        <v/>
      </c>
      <c r="J1408" s="17">
        <f t="shared" si="21"/>
        <v>0</v>
      </c>
    </row>
    <row r="1409" spans="1:10" x14ac:dyDescent="0.3">
      <c r="A1409" s="17" t="s">
        <v>7630</v>
      </c>
      <c r="B1409" s="17" t="str">
        <f>IFERROR(INDEX(Mots!$B:$B,MATCH($A1409,Mots!$A:$A,0)),"introuvable")</f>
        <v>avaler</v>
      </c>
      <c r="C1409" s="17" t="str">
        <f>IFERROR(INDEX(Mots!$N:$N,MATCH($A1409,Mots!$A:$A,0)),"")</f>
        <v>action</v>
      </c>
      <c r="D1409" s="17">
        <f>IFERROR(COUNTA(INDEX(Mots!$E:$E,MATCH($A1409,Mots!$A:$A,0)):INDEX(Mots!$K:$K,MATCH($A1409,Mots!$A:$A,0))),0)</f>
        <v>0</v>
      </c>
      <c r="E1409" s="17" t="str">
        <f>IF(COUNTIF(Classement!$A:$A,$A1409)&gt;0,"ok","à faire")</f>
        <v>ok</v>
      </c>
      <c r="F1409" s="17" t="str">
        <f>IF(COUNTIF(Tags!$A:$A,$A1409)&gt;0,"ok","à faire")</f>
        <v>ok</v>
      </c>
      <c r="G1409" s="17" t="str">
        <f>IF(COUNTIF(Phrases!$A:$A,$A1409)&gt;0,"ok","à faire")</f>
        <v>ok</v>
      </c>
      <c r="H1409" s="17" t="str">
        <f>IF(COUNTIFS(Phrases!$A:$A,$A1409,Phrases!$I:$I,"&lt;&gt;")&gt;0,"ok","à faire")</f>
        <v>ok</v>
      </c>
      <c r="I1409" s="17" t="str">
        <f>IF(COUNTIF(Synonymes!$A:$A,$A1409)&gt;0,"ok","")</f>
        <v/>
      </c>
      <c r="J1409" s="17">
        <f t="shared" ref="J1409:J1419" si="22">COUNTIF(E1409:H1409,"à faire")</f>
        <v>0</v>
      </c>
    </row>
    <row r="1410" spans="1:10" x14ac:dyDescent="0.3">
      <c r="A1410" s="17" t="s">
        <v>7632</v>
      </c>
      <c r="B1410" s="17" t="str">
        <f>IFERROR(INDEX(Mots!$B:$B,MATCH($A1410,Mots!$A:$A,0)),"introuvable")</f>
        <v>le verre</v>
      </c>
      <c r="C1410" s="17" t="str">
        <f>IFERROR(INDEX(Mots!$N:$N,MATCH($A1410,Mots!$A:$A,0)),"")</f>
        <v>chose</v>
      </c>
      <c r="D1410" s="17">
        <f>IFERROR(COUNTA(INDEX(Mots!$E:$E,MATCH($A1410,Mots!$A:$A,0)):INDEX(Mots!$K:$K,MATCH($A1410,Mots!$A:$A,0))),0)</f>
        <v>5</v>
      </c>
      <c r="E1410" s="17" t="str">
        <f>IF(COUNTIF(Classement!$A:$A,$A1410)&gt;0,"ok","à faire")</f>
        <v>ok</v>
      </c>
      <c r="F1410" s="17" t="str">
        <f>IF(COUNTIF(Tags!$A:$A,$A1410)&gt;0,"ok","à faire")</f>
        <v>ok</v>
      </c>
      <c r="G1410" s="17" t="str">
        <f>IF(COUNTIF(Phrases!$A:$A,$A1410)&gt;0,"ok","à faire")</f>
        <v>à faire</v>
      </c>
      <c r="H1410" s="17" t="str">
        <f>IF(COUNTIFS(Phrases!$A:$A,$A1410,Phrases!$I:$I,"&lt;&gt;")&gt;0,"ok","à faire")</f>
        <v>à faire</v>
      </c>
      <c r="I1410" s="17" t="str">
        <f>IF(COUNTIF(Synonymes!$A:$A,$A1410)&gt;0,"ok","")</f>
        <v/>
      </c>
      <c r="J1410" s="17">
        <f t="shared" si="22"/>
        <v>2</v>
      </c>
    </row>
    <row r="1411" spans="1:10" x14ac:dyDescent="0.3">
      <c r="A1411" s="17" t="s">
        <v>7638</v>
      </c>
      <c r="B1411" s="17" t="str">
        <f>IFERROR(INDEX(Mots!$B:$B,MATCH($A1411,Mots!$A:$A,0)),"introuvable")</f>
        <v>Yvan Lagger</v>
      </c>
      <c r="C1411" s="17" t="str">
        <f>IFERROR(INDEX(Mots!$N:$N,MATCH($A1411,Mots!$A:$A,0)),"")</f>
        <v>personne</v>
      </c>
      <c r="D1411" s="17">
        <f>IFERROR(COUNTA(INDEX(Mots!$E:$E,MATCH($A1411,Mots!$A:$A,0)):INDEX(Mots!$K:$K,MATCH($A1411,Mots!$A:$A,0))),0)</f>
        <v>2</v>
      </c>
      <c r="E1411" s="17" t="str">
        <f>IF(COUNTIF(Classement!$A:$A,$A1411)&gt;0,"ok","à faire")</f>
        <v>à faire</v>
      </c>
      <c r="F1411" s="17" t="str">
        <f>IF(COUNTIF(Tags!$A:$A,$A1411)&gt;0,"ok","à faire")</f>
        <v>à faire</v>
      </c>
      <c r="G1411" s="17" t="str">
        <f>IF(COUNTIF(Phrases!$A:$A,$A1411)&gt;0,"ok","à faire")</f>
        <v>à faire</v>
      </c>
      <c r="H1411" s="17" t="str">
        <f>IF(COUNTIFS(Phrases!$A:$A,$A1411,Phrases!$I:$I,"&lt;&gt;")&gt;0,"ok","à faire")</f>
        <v>à faire</v>
      </c>
      <c r="I1411" s="17" t="str">
        <f>IF(COUNTIF(Synonymes!$A:$A,$A1411)&gt;0,"ok","")</f>
        <v/>
      </c>
      <c r="J1411" s="17">
        <f t="shared" si="22"/>
        <v>4</v>
      </c>
    </row>
    <row r="1412" spans="1:10" x14ac:dyDescent="0.3">
      <c r="A1412" s="17" t="s">
        <v>7642</v>
      </c>
      <c r="B1412" s="17" t="str">
        <f>IFERROR(INDEX(Mots!$B:$B,MATCH($A1412,Mots!$A:$A,0)),"introuvable")</f>
        <v>chauffer</v>
      </c>
      <c r="C1412" s="17" t="str">
        <f>IFERROR(INDEX(Mots!$N:$N,MATCH($A1412,Mots!$A:$A,0)),"")</f>
        <v>action</v>
      </c>
      <c r="D1412" s="17">
        <f>IFERROR(COUNTA(INDEX(Mots!$E:$E,MATCH($A1412,Mots!$A:$A,0)):INDEX(Mots!$K:$K,MATCH($A1412,Mots!$A:$A,0))),0)</f>
        <v>0</v>
      </c>
      <c r="E1412" s="17" t="str">
        <f>IF(COUNTIF(Classement!$A:$A,$A1412)&gt;0,"ok","à faire")</f>
        <v>ok</v>
      </c>
      <c r="F1412" s="17" t="str">
        <f>IF(COUNTIF(Tags!$A:$A,$A1412)&gt;0,"ok","à faire")</f>
        <v>à faire</v>
      </c>
      <c r="G1412" s="17" t="str">
        <f>IF(COUNTIF(Phrases!$A:$A,$A1412)&gt;0,"ok","à faire")</f>
        <v>ok</v>
      </c>
      <c r="H1412" s="17" t="str">
        <f>IF(COUNTIFS(Phrases!$A:$A,$A1412,Phrases!$I:$I,"&lt;&gt;")&gt;0,"ok","à faire")</f>
        <v>ok</v>
      </c>
      <c r="I1412" s="17" t="str">
        <f>IF(COUNTIF(Synonymes!$A:$A,$A1412)&gt;0,"ok","")</f>
        <v/>
      </c>
      <c r="J1412" s="17">
        <f t="shared" si="22"/>
        <v>1</v>
      </c>
    </row>
    <row r="1413" spans="1:10" x14ac:dyDescent="0.3">
      <c r="A1413" s="17" t="s">
        <v>7644</v>
      </c>
      <c r="B1413" s="17" t="str">
        <f>IFERROR(INDEX(Mots!$B:$B,MATCH($A1413,Mots!$A:$A,0)),"introuvable")</f>
        <v>transporter</v>
      </c>
      <c r="C1413" s="17" t="str">
        <f>IFERROR(INDEX(Mots!$N:$N,MATCH($A1413,Mots!$A:$A,0)),"")</f>
        <v>action</v>
      </c>
      <c r="D1413" s="17">
        <f>IFERROR(COUNTA(INDEX(Mots!$E:$E,MATCH($A1413,Mots!$A:$A,0)):INDEX(Mots!$K:$K,MATCH($A1413,Mots!$A:$A,0))),0)</f>
        <v>0</v>
      </c>
      <c r="E1413" s="17" t="str">
        <f>IF(COUNTIF(Classement!$A:$A,$A1413)&gt;0,"ok","à faire")</f>
        <v>à faire</v>
      </c>
      <c r="F1413" s="17" t="str">
        <f>IF(COUNTIF(Tags!$A:$A,$A1413)&gt;0,"ok","à faire")</f>
        <v>à faire</v>
      </c>
      <c r="G1413" s="17" t="str">
        <f>IF(COUNTIF(Phrases!$A:$A,$A1413)&gt;0,"ok","à faire")</f>
        <v>ok</v>
      </c>
      <c r="H1413" s="17" t="str">
        <f>IF(COUNTIFS(Phrases!$A:$A,$A1413,Phrases!$I:$I,"&lt;&gt;")&gt;0,"ok","à faire")</f>
        <v>ok</v>
      </c>
      <c r="I1413" s="17" t="str">
        <f>IF(COUNTIF(Synonymes!$A:$A,$A1413)&gt;0,"ok","")</f>
        <v/>
      </c>
      <c r="J1413" s="17">
        <f t="shared" si="22"/>
        <v>2</v>
      </c>
    </row>
    <row r="1414" spans="1:10" x14ac:dyDescent="0.3">
      <c r="A1414" s="17" t="s">
        <v>7646</v>
      </c>
      <c r="B1414" s="17" t="str">
        <f>IFERROR(INDEX(Mots!$B:$B,MATCH($A1414,Mots!$A:$A,0)),"introuvable")</f>
        <v>le parquet</v>
      </c>
      <c r="C1414" s="17" t="str">
        <f>IFERROR(INDEX(Mots!$N:$N,MATCH($A1414,Mots!$A:$A,0)),"")</f>
        <v>chose</v>
      </c>
      <c r="D1414" s="17">
        <f>IFERROR(COUNTA(INDEX(Mots!$E:$E,MATCH($A1414,Mots!$A:$A,0)):INDEX(Mots!$K:$K,MATCH($A1414,Mots!$A:$A,0))),0)</f>
        <v>5</v>
      </c>
      <c r="E1414" s="17" t="str">
        <f>IF(COUNTIF(Classement!$A:$A,$A1414)&gt;0,"ok","à faire")</f>
        <v>ok</v>
      </c>
      <c r="F1414" s="17" t="str">
        <f>IF(COUNTIF(Tags!$A:$A,$A1414)&gt;0,"ok","à faire")</f>
        <v>à faire</v>
      </c>
      <c r="G1414" s="17" t="str">
        <f>IF(COUNTIF(Phrases!$A:$A,$A1414)&gt;0,"ok","à faire")</f>
        <v>à faire</v>
      </c>
      <c r="H1414" s="17" t="str">
        <f>IF(COUNTIFS(Phrases!$A:$A,$A1414,Phrases!$I:$I,"&lt;&gt;")&gt;0,"ok","à faire")</f>
        <v>à faire</v>
      </c>
      <c r="I1414" s="17" t="str">
        <f>IF(COUNTIF(Synonymes!$A:$A,$A1414)&gt;0,"ok","")</f>
        <v/>
      </c>
      <c r="J1414" s="17">
        <f t="shared" si="22"/>
        <v>3</v>
      </c>
    </row>
    <row r="1415" spans="1:10" x14ac:dyDescent="0.3">
      <c r="A1415" s="17" t="s">
        <v>7648</v>
      </c>
      <c r="B1415" s="17" t="str">
        <f>IFERROR(INDEX(Mots!$B:$B,MATCH($A1415,Mots!$A:$A,0)),"introuvable")</f>
        <v>ramper</v>
      </c>
      <c r="C1415" s="17" t="str">
        <f>IFERROR(INDEX(Mots!$N:$N,MATCH($A1415,Mots!$A:$A,0)),"")</f>
        <v>action</v>
      </c>
      <c r="D1415" s="17">
        <f>IFERROR(COUNTA(INDEX(Mots!$E:$E,MATCH($A1415,Mots!$A:$A,0)):INDEX(Mots!$K:$K,MATCH($A1415,Mots!$A:$A,0))),0)</f>
        <v>0</v>
      </c>
      <c r="E1415" s="17" t="str">
        <f>IF(COUNTIF(Classement!$A:$A,$A1415)&gt;0,"ok","à faire")</f>
        <v>ok</v>
      </c>
      <c r="F1415" s="17" t="str">
        <f>IF(COUNTIF(Tags!$A:$A,$A1415)&gt;0,"ok","à faire")</f>
        <v>à faire</v>
      </c>
      <c r="G1415" s="17" t="str">
        <f>IF(COUNTIF(Phrases!$A:$A,$A1415)&gt;0,"ok","à faire")</f>
        <v>ok</v>
      </c>
      <c r="H1415" s="17" t="str">
        <f>IF(COUNTIFS(Phrases!$A:$A,$A1415,Phrases!$I:$I,"&lt;&gt;")&gt;0,"ok","à faire")</f>
        <v>ok</v>
      </c>
      <c r="I1415" s="17" t="str">
        <f>IF(COUNTIF(Synonymes!$A:$A,$A1415)&gt;0,"ok","")</f>
        <v/>
      </c>
      <c r="J1415" s="17">
        <f t="shared" si="22"/>
        <v>1</v>
      </c>
    </row>
    <row r="1416" spans="1:10" x14ac:dyDescent="0.3">
      <c r="A1416" s="17" t="s">
        <v>7650</v>
      </c>
      <c r="B1416" s="17" t="str">
        <f>IFERROR(INDEX(Mots!$B:$B,MATCH($A1416,Mots!$A:$A,0)),"introuvable")</f>
        <v>le produit ou gel de douche</v>
      </c>
      <c r="C1416" s="17" t="str">
        <f>IFERROR(INDEX(Mots!$N:$N,MATCH($A1416,Mots!$A:$A,0)),"")</f>
        <v>chose</v>
      </c>
      <c r="D1416" s="17">
        <f>IFERROR(COUNTA(INDEX(Mots!$E:$E,MATCH($A1416,Mots!$A:$A,0)):INDEX(Mots!$K:$K,MATCH($A1416,Mots!$A:$A,0))),0)</f>
        <v>3</v>
      </c>
      <c r="E1416" s="17" t="str">
        <f>IF(COUNTIF(Classement!$A:$A,$A1416)&gt;0,"ok","à faire")</f>
        <v>ok</v>
      </c>
      <c r="F1416" s="17" t="str">
        <f>IF(COUNTIF(Tags!$A:$A,$A1416)&gt;0,"ok","à faire")</f>
        <v>ok</v>
      </c>
      <c r="G1416" s="17" t="str">
        <f>IF(COUNTIF(Phrases!$A:$A,$A1416)&gt;0,"ok","à faire")</f>
        <v>à faire</v>
      </c>
      <c r="H1416" s="17" t="str">
        <f>IF(COUNTIFS(Phrases!$A:$A,$A1416,Phrases!$I:$I,"&lt;&gt;")&gt;0,"ok","à faire")</f>
        <v>à faire</v>
      </c>
      <c r="I1416" s="17" t="str">
        <f>IF(COUNTIF(Synonymes!$A:$A,$A1416)&gt;0,"ok","")</f>
        <v/>
      </c>
      <c r="J1416" s="17">
        <f t="shared" si="22"/>
        <v>2</v>
      </c>
    </row>
    <row r="1417" spans="1:10" x14ac:dyDescent="0.3">
      <c r="A1417" s="17" t="s">
        <v>7656</v>
      </c>
      <c r="B1417" s="17" t="str">
        <f>IFERROR(INDEX(Mots!$B:$B,MATCH($A1417,Mots!$A:$A,0)),"introuvable")</f>
        <v>l'aile</v>
      </c>
      <c r="C1417" s="17" t="str">
        <f>IFERROR(INDEX(Mots!$N:$N,MATCH($A1417,Mots!$A:$A,0)),"")</f>
        <v>chose</v>
      </c>
      <c r="D1417" s="17">
        <f>IFERROR(COUNTA(INDEX(Mots!$E:$E,MATCH($A1417,Mots!$A:$A,0)):INDEX(Mots!$K:$K,MATCH($A1417,Mots!$A:$A,0))),0)</f>
        <v>6</v>
      </c>
      <c r="E1417" s="17" t="str">
        <f>IF(COUNTIF(Classement!$A:$A,$A1417)&gt;0,"ok","à faire")</f>
        <v>ok</v>
      </c>
      <c r="F1417" s="17" t="str">
        <f>IF(COUNTIF(Tags!$A:$A,$A1417)&gt;0,"ok","à faire")</f>
        <v>ok</v>
      </c>
      <c r="G1417" s="17" t="str">
        <f>IF(COUNTIF(Phrases!$A:$A,$A1417)&gt;0,"ok","à faire")</f>
        <v>à faire</v>
      </c>
      <c r="H1417" s="17" t="str">
        <f>IF(COUNTIFS(Phrases!$A:$A,$A1417,Phrases!$I:$I,"&lt;&gt;")&gt;0,"ok","à faire")</f>
        <v>à faire</v>
      </c>
      <c r="I1417" s="17" t="str">
        <f>IF(COUNTIF(Synonymes!$A:$A,$A1417)&gt;0,"ok","")</f>
        <v/>
      </c>
      <c r="J1417" s="17">
        <f t="shared" si="22"/>
        <v>2</v>
      </c>
    </row>
    <row r="1418" spans="1:10" x14ac:dyDescent="0.3">
      <c r="A1418" s="17" t="s">
        <v>7664</v>
      </c>
      <c r="B1418" s="17" t="str">
        <f>IFERROR(INDEX(Mots!$B:$B,MATCH($A1418,Mots!$A:$A,0)),"introuvable")</f>
        <v>l'aile</v>
      </c>
      <c r="C1418" s="17" t="str">
        <f>IFERROR(INDEX(Mots!$N:$N,MATCH($A1418,Mots!$A:$A,0)),"")</f>
        <v>chose</v>
      </c>
      <c r="D1418" s="17">
        <f>IFERROR(COUNTA(INDEX(Mots!$E:$E,MATCH($A1418,Mots!$A:$A,0)):INDEX(Mots!$K:$K,MATCH($A1418,Mots!$A:$A,0))),0)</f>
        <v>6</v>
      </c>
      <c r="E1418" s="17" t="str">
        <f>IF(COUNTIF(Classement!$A:$A,$A1418)&gt;0,"ok","à faire")</f>
        <v>ok</v>
      </c>
      <c r="F1418" s="17" t="str">
        <f>IF(COUNTIF(Tags!$A:$A,$A1418)&gt;0,"ok","à faire")</f>
        <v>ok</v>
      </c>
      <c r="G1418" s="17" t="str">
        <f>IF(COUNTIF(Phrases!$A:$A,$A1418)&gt;0,"ok","à faire")</f>
        <v>à faire</v>
      </c>
      <c r="H1418" s="17" t="str">
        <f>IF(COUNTIFS(Phrases!$A:$A,$A1418,Phrases!$I:$I,"&lt;&gt;")&gt;0,"ok","à faire")</f>
        <v>à faire</v>
      </c>
      <c r="I1418" s="17" t="str">
        <f>IF(COUNTIF(Synonymes!$A:$A,$A1418)&gt;0,"ok","")</f>
        <v/>
      </c>
      <c r="J1418" s="17">
        <f t="shared" si="22"/>
        <v>2</v>
      </c>
    </row>
    <row r="1419" spans="1:10" x14ac:dyDescent="0.3">
      <c r="A1419" s="17" t="s">
        <v>7672</v>
      </c>
      <c r="B1419" s="17" t="str">
        <f>IFERROR(INDEX(Mots!$B:$B,MATCH($A1419,Mots!$A:$A,0)),"introuvable")</f>
        <v>le virage</v>
      </c>
      <c r="C1419" s="17" t="str">
        <f>IFERROR(INDEX(Mots!$N:$N,MATCH($A1419,Mots!$A:$A,0)),"")</f>
        <v>chose</v>
      </c>
      <c r="D1419" s="17">
        <f>IFERROR(COUNTA(INDEX(Mots!$E:$E,MATCH($A1419,Mots!$A:$A,0)):INDEX(Mots!$K:$K,MATCH($A1419,Mots!$A:$A,0))),0)</f>
        <v>5</v>
      </c>
      <c r="E1419" s="17" t="str">
        <f>IF(COUNTIF(Classement!$A:$A,$A1419)&gt;0,"ok","à faire")</f>
        <v>ok</v>
      </c>
      <c r="F1419" s="17" t="str">
        <f>IF(COUNTIF(Tags!$A:$A,$A1419)&gt;0,"ok","à faire")</f>
        <v>ok</v>
      </c>
      <c r="G1419" s="17" t="str">
        <f>IF(COUNTIF(Phrases!$A:$A,$A1419)&gt;0,"ok","à faire")</f>
        <v>à faire</v>
      </c>
      <c r="H1419" s="17" t="str">
        <f>IF(COUNTIFS(Phrases!$A:$A,$A1419,Phrases!$I:$I,"&lt;&gt;")&gt;0,"ok","à faire")</f>
        <v>à faire</v>
      </c>
      <c r="I1419" s="17" t="str">
        <f>IF(COUNTIF(Synonymes!$A:$A,$A1419)&gt;0,"ok","")</f>
        <v/>
      </c>
      <c r="J1419" s="17">
        <f t="shared" si="22"/>
        <v>2</v>
      </c>
    </row>
  </sheetData>
  <autoFilter ref="A1:J1419" xr:uid="{00000000-0009-0000-0000-00000F000000}"/>
  <conditionalFormatting sqref="E2:H1419">
    <cfRule type="cellIs" dxfId="1" priority="1" operator="equal">
      <formula>"à faire"</formula>
    </cfRule>
    <cfRule type="cellIs" dxfId="0" priority="2" operator="equal">
      <formula>"ok"</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16</vt:i4>
      </vt:variant>
      <vt:variant>
        <vt:lpstr>Plages nommées</vt:lpstr>
      </vt:variant>
      <vt:variant>
        <vt:i4>5</vt:i4>
      </vt:variant>
    </vt:vector>
  </HeadingPairs>
  <TitlesOfParts>
    <vt:vector size="21" baseType="lpstr">
      <vt:lpstr>Catégories</vt:lpstr>
      <vt:lpstr>Sous-catégories</vt:lpstr>
      <vt:lpstr>Mots</vt:lpstr>
      <vt:lpstr>Liens</vt:lpstr>
      <vt:lpstr>Référence</vt:lpstr>
      <vt:lpstr>Validation</vt:lpstr>
      <vt:lpstr>Classement</vt:lpstr>
      <vt:lpstr>Tags_liste</vt:lpstr>
      <vt:lpstr>Tags</vt:lpstr>
      <vt:lpstr>Synonymes</vt:lpstr>
      <vt:lpstr>Phrases</vt:lpstr>
      <vt:lpstr>Listes_ref</vt:lpstr>
      <vt:lpstr>Listes</vt:lpstr>
      <vt:lpstr>Natures</vt:lpstr>
      <vt:lpstr>Revue_tags</vt:lpstr>
      <vt:lpstr>Suivi</vt:lpstr>
      <vt:lpstr>liste_categories_id</vt:lpstr>
      <vt:lpstr>liste_listes</vt:lpstr>
      <vt:lpstr>liste_natures</vt:lpstr>
      <vt:lpstr>liste_sous_categories_id</vt:lpstr>
      <vt:lpstr>liste_tags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 roh</dc:creator>
  <cp:lastModifiedBy>o. roh</cp:lastModifiedBy>
  <dcterms:created xsi:type="dcterms:W3CDTF">2026-05-02T18:46:32Z</dcterms:created>
  <dcterms:modified xsi:type="dcterms:W3CDTF">2026-08-05T18:59:11Z</dcterms:modified>
</cp:coreProperties>
</file>